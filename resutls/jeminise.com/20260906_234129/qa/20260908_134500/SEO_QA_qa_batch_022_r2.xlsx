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'QA_Summary'!$A$1:$O$2</definedName>
    <definedName name="_xlnm._FilterDatabase" localSheetId="1" hidden="1">'QA_Products'!$A$1:$Y$11</definedName>
    <definedName name="_xlnm._FilterDatabase" localSheetId="2" hidden="1">'QA_Criteria'!$A$1:$I$111</definedName>
    <definedName name="_xlnm._FilterDatabase" localSheetId="3" hidden="1">'QA_Images'!$A$1:$Q$74</definedName>
    <definedName name="_xlnm._FilterDatabase" localSheetId="4" hidden="1">'QA_Issues'!$A$1:$L$31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49"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9" customWidth="1" min="3" max="3"/>
    <col width="16" customWidth="1" min="4" max="4"/>
    <col width="12" customWidth="1" min="5" max="5"/>
    <col width="14" customWidth="1" min="6" max="6"/>
    <col width="17" customWidth="1" min="7" max="7"/>
    <col width="15" customWidth="1" min="8" max="8"/>
    <col width="18" customWidth="1" min="9" max="9"/>
    <col width="31" customWidth="1" min="10" max="10"/>
    <col width="45" customWidth="1" min="11" max="11"/>
    <col width="41" customWidth="1" min="12" max="12"/>
    <col width="43" customWidth="1" min="13" max="13"/>
    <col width="41" customWidth="1" min="14" max="14"/>
    <col width="45" customWidth="1" min="15" max="15"/>
  </cols>
  <sheetData>
    <row r="1">
      <c r="A1" s="1" t="inlineStr">
        <is>
          <t>qa_run_id</t>
        </is>
      </c>
      <c r="B1" s="1" t="inlineStr">
        <is>
          <t>batch_name</t>
        </is>
      </c>
      <c r="C1" s="1" t="inlineStr">
        <is>
          <t>auditor</t>
        </is>
      </c>
      <c r="D1" s="1" t="inlineStr">
        <is>
          <t>market</t>
        </is>
      </c>
      <c r="E1" s="1" t="inlineStr">
        <is>
          <t>language</t>
        </is>
      </c>
      <c r="F1" s="1" t="inlineStr">
        <is>
          <t>review_date</t>
        </is>
      </c>
      <c r="G1" s="1" t="inlineStr">
        <is>
          <t>total_products</t>
        </is>
      </c>
      <c r="H1" s="1" t="inlineStr">
        <is>
          <t>total_images</t>
        </is>
      </c>
      <c r="I1" s="1" t="inlineStr">
        <is>
          <t>assessed_weight</t>
        </is>
      </c>
      <c r="J1" s="1" t="inlineStr">
        <is>
          <t>average_score</t>
        </is>
      </c>
      <c r="K1" s="1" t="inlineStr">
        <is>
          <t>overall_status</t>
        </is>
      </c>
      <c r="L1" s="1" t="inlineStr">
        <is>
          <t>qa_pass_count</t>
        </is>
      </c>
      <c r="M1" s="1" t="inlineStr">
        <is>
          <t>qa_revise_count</t>
        </is>
      </c>
      <c r="N1" s="1" t="inlineStr">
        <is>
          <t>qa_fail_count</t>
        </is>
      </c>
      <c r="O1" s="1" t="inlineStr">
        <is>
          <t>qa_incomplete_count</t>
        </is>
      </c>
    </row>
    <row r="2">
      <c r="A2" s="2" t="inlineStr">
        <is>
          <t>20260908_134500</t>
        </is>
      </c>
      <c r="B2" s="2" t="inlineStr">
        <is>
          <t>qa_batch_022_r2</t>
        </is>
      </c>
      <c r="C2" s="2" t="inlineStr">
        <is>
          <t>Antigravity Independent QA Assistant</t>
        </is>
      </c>
      <c r="D2" s="2" t="inlineStr">
        <is>
          <t>United States</t>
        </is>
      </c>
      <c r="E2" s="2" t="inlineStr">
        <is>
          <t>English</t>
        </is>
      </c>
      <c r="F2" s="2" t="inlineStr">
        <is>
          <t>2026-09-08</t>
        </is>
      </c>
      <c r="G2" s="2" t="n">
        <v>10</v>
      </c>
      <c r="H2" s="2" t="n">
        <v>73</v>
      </c>
      <c r="I2" s="2" t="n">
        <v>100</v>
      </c>
      <c r="J2" s="2">
        <f>AVERAGE(QA_Products!V2:V11)</f>
        <v/>
      </c>
      <c r="K2" s="2">
        <f>IF(QA_Products!X2="QA_REVISE","QA_REVISE","QA_PASS")</f>
        <v/>
      </c>
      <c r="L2" s="2">
        <f>COUNTIF(QA_Products!X2:X11,"QA_PASS")</f>
        <v/>
      </c>
      <c r="M2" s="2">
        <f>COUNTIF(QA_Products!X2:X11,"QA_REVISE")</f>
        <v/>
      </c>
      <c r="N2" s="2">
        <f>COUNTIF(QA_Products!X2:X11,"QA_FAIL")</f>
        <v/>
      </c>
      <c r="O2" s="2">
        <f>COUNTIF(QA_Products!X2:X11,"QA_INCOMPLETE")</f>
        <v/>
      </c>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21" customWidth="1" min="3" max="3"/>
    <col width="45" customWidth="1" min="4" max="4"/>
    <col width="43" customWidth="1" min="5" max="5"/>
    <col width="43" customWidth="1" min="6" max="6"/>
    <col width="15" customWidth="1" min="7" max="7"/>
    <col width="12"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8" customWidth="1" min="21" max="21"/>
    <col width="16" customWidth="1" min="22" max="22"/>
    <col width="14" customWidth="1" min="23" max="23"/>
    <col width="45" customWidth="1" min="24" max="24"/>
    <col width="45" customWidth="1" min="25" max="25"/>
  </cols>
  <sheetData>
    <row r="1">
      <c r="A1" s="1" t="inlineStr">
        <is>
          <t>qa_product_id</t>
        </is>
      </c>
      <c r="B1" s="1" t="inlineStr">
        <is>
          <t>product_key</t>
        </is>
      </c>
      <c r="C1" s="1" t="inlineStr">
        <is>
          <t>inventory_position</t>
        </is>
      </c>
      <c r="D1" s="1" t="inlineStr">
        <is>
          <t>Handle</t>
        </is>
      </c>
      <c r="E1" s="1" t="inlineStr">
        <is>
          <t>title_proposed</t>
        </is>
      </c>
      <c r="F1" s="1" t="inlineStr">
        <is>
          <t>primary_keyword</t>
        </is>
      </c>
      <c r="G1" s="1" t="inlineStr">
        <is>
          <t>product_type</t>
        </is>
      </c>
      <c r="H1" s="1" t="inlineStr">
        <is>
          <t>page_read</t>
        </is>
      </c>
      <c r="I1" s="1" t="inlineStr">
        <is>
          <t>image_count</t>
        </is>
      </c>
      <c r="J1" s="1" t="inlineStr">
        <is>
          <t>P1_score</t>
        </is>
      </c>
      <c r="K1" s="1" t="inlineStr">
        <is>
          <t>P2_score</t>
        </is>
      </c>
      <c r="L1" s="1" t="inlineStr">
        <is>
          <t>K1_score</t>
        </is>
      </c>
      <c r="M1" s="1" t="inlineStr">
        <is>
          <t>K2_score</t>
        </is>
      </c>
      <c r="N1" s="1" t="inlineStr">
        <is>
          <t>K3_score</t>
        </is>
      </c>
      <c r="O1" s="1" t="inlineStr">
        <is>
          <t>T1_score</t>
        </is>
      </c>
      <c r="P1" s="1" t="inlineStr">
        <is>
          <t>T2_score</t>
        </is>
      </c>
      <c r="Q1" s="1" t="inlineStr">
        <is>
          <t>D1_score</t>
        </is>
      </c>
      <c r="R1" s="1" t="inlineStr">
        <is>
          <t>D2_score</t>
        </is>
      </c>
      <c r="S1" s="1" t="inlineStr">
        <is>
          <t>I1_score</t>
        </is>
      </c>
      <c r="T1" s="1" t="inlineStr">
        <is>
          <t>E1_score</t>
        </is>
      </c>
      <c r="U1" s="1" t="inlineStr">
        <is>
          <t>assessed_weight</t>
        </is>
      </c>
      <c r="V1" s="1" t="inlineStr">
        <is>
          <t>final_score</t>
        </is>
      </c>
      <c r="W1" s="1" t="inlineStr">
        <is>
          <t>lower_bound</t>
        </is>
      </c>
      <c r="X1" s="1" t="inlineStr">
        <is>
          <t>qa_status</t>
        </is>
      </c>
      <c r="Y1" s="1" t="inlineStr">
        <is>
          <t>defect_summary</t>
        </is>
      </c>
    </row>
    <row r="2">
      <c r="A2" s="2" t="inlineStr">
        <is>
          <t>PRODQA-0001</t>
        </is>
      </c>
      <c r="B2" s="3" t="inlineStr">
        <is>
          <t>jeminise.com+personalized-basketball-close-up-with-number-blanket-with-name-and-number-f16f46abef-f16f46abef</t>
        </is>
      </c>
      <c r="C2" s="2" t="n">
        <v>211</v>
      </c>
      <c r="D2" s="2" t="inlineStr">
        <is>
          <t>personalized-basketball-close-up-with-number-blanket-with-name-and-number-f16f46abef-f16f46abef</t>
        </is>
      </c>
      <c r="E2" s="2" t="inlineStr">
        <is>
          <t>Basketball Close-Up Number Blanket</t>
        </is>
      </c>
      <c r="F2" s="2" t="inlineStr">
        <is>
          <t>basketball close-up number blanket</t>
        </is>
      </c>
      <c r="G2" s="2" t="inlineStr">
        <is>
          <t>Blanket</t>
        </is>
      </c>
      <c r="H2" s="2" t="b">
        <v>1</v>
      </c>
      <c r="I2" s="2" t="n">
        <v>9</v>
      </c>
      <c r="J2" s="2" t="n">
        <v>15</v>
      </c>
      <c r="K2" s="2" t="n">
        <v>10</v>
      </c>
      <c r="L2" s="2" t="n">
        <v>10</v>
      </c>
      <c r="M2" s="2" t="n">
        <v>5</v>
      </c>
      <c r="N2" s="2" t="n">
        <v>5</v>
      </c>
      <c r="O2" s="2" t="n">
        <v>10</v>
      </c>
      <c r="P2" s="2" t="n">
        <v>5</v>
      </c>
      <c r="Q2" s="2" t="n">
        <v>3</v>
      </c>
      <c r="R2" s="2" t="n">
        <v>7</v>
      </c>
      <c r="S2" s="2" t="n">
        <v>20</v>
      </c>
      <c r="T2" s="2" t="n">
        <v>5</v>
      </c>
      <c r="U2" s="2" t="n">
        <v>100</v>
      </c>
      <c r="V2" s="2">
        <f>SUM(J2:T2)</f>
        <v/>
      </c>
      <c r="W2" s="2">
        <f>U2</f>
        <v/>
      </c>
      <c r="X2" s="2">
        <f>IF(V2&gt;=85,"QA_REVISE",IF(V2&gt;=70,"QA_REVISE","QA_FAIL"))</f>
        <v/>
      </c>
      <c r="Y2" s="2" t="inlineStr">
        <is>
          <t>D1: Meta description hard-truncated at 155 chars (MINOR). D2: Description contains prompt boilerplate leakage, contradictory options, missing specs (MAJOR).</t>
        </is>
      </c>
    </row>
    <row r="3">
      <c r="A3" s="2" t="inlineStr">
        <is>
          <t>PRODQA-0002</t>
        </is>
      </c>
      <c r="B3" s="3" t="inlineStr">
        <is>
          <t>jeminise.com+personalized-basketball-court-perspective-comforter-with-name-and-number-5545af9fa4-5545af9fa4</t>
        </is>
      </c>
      <c r="C3" s="2" t="n">
        <v>212</v>
      </c>
      <c r="D3" s="2" t="inlineStr">
        <is>
          <t>personalized-basketball-court-perspective-comforter-with-name-and-number-5545af9fa4-5545af9fa4</t>
        </is>
      </c>
      <c r="E3" s="2" t="inlineStr">
        <is>
          <t>Custom Basketball Court Comforter</t>
        </is>
      </c>
      <c r="F3" s="2" t="inlineStr">
        <is>
          <t>custom basketball court comforter</t>
        </is>
      </c>
      <c r="G3" s="2" t="inlineStr">
        <is>
          <t>Comforter</t>
        </is>
      </c>
      <c r="H3" s="2" t="b">
        <v>1</v>
      </c>
      <c r="I3" s="2" t="n">
        <v>7</v>
      </c>
      <c r="J3" s="2" t="n">
        <v>15</v>
      </c>
      <c r="K3" s="2" t="n">
        <v>10</v>
      </c>
      <c r="L3" s="2" t="n">
        <v>10</v>
      </c>
      <c r="M3" s="2" t="n">
        <v>5</v>
      </c>
      <c r="N3" s="2" t="n">
        <v>5</v>
      </c>
      <c r="O3" s="2" t="n">
        <v>10</v>
      </c>
      <c r="P3" s="2" t="n">
        <v>5</v>
      </c>
      <c r="Q3" s="2" t="n">
        <v>3</v>
      </c>
      <c r="R3" s="2" t="n">
        <v>7</v>
      </c>
      <c r="S3" s="2" t="n">
        <v>20</v>
      </c>
      <c r="T3" s="2" t="n">
        <v>5</v>
      </c>
      <c r="U3" s="2" t="n">
        <v>100</v>
      </c>
      <c r="V3" s="2">
        <f>SUM(J3:T3)</f>
        <v/>
      </c>
      <c r="W3" s="2">
        <f>U3</f>
        <v/>
      </c>
      <c r="X3" s="2">
        <f>IF(V3&gt;=85,"QA_REVISE",IF(V3&gt;=70,"QA_REVISE","QA_FAIL"))</f>
        <v/>
      </c>
      <c r="Y3" s="2" t="inlineStr">
        <is>
          <t>D1: Meta description hard-truncated at 155 chars (MINOR). D2: Description contains prompt boilerplate leakage, contradictory options, missing specs (MAJOR).</t>
        </is>
      </c>
    </row>
    <row r="4">
      <c r="A4" s="2" t="inlineStr">
        <is>
          <t>PRODQA-0003</t>
        </is>
      </c>
      <c r="B4" s="3" t="inlineStr">
        <is>
          <t>jeminise.com+personalized-basketball-cracked-wall-comforter-with-name-and-number-aeaddaa506-aeaddaa506</t>
        </is>
      </c>
      <c r="C4" s="2" t="n">
        <v>213</v>
      </c>
      <c r="D4" s="2" t="inlineStr">
        <is>
          <t>personalized-basketball-cracked-wall-comforter-with-name-and-number-aeaddaa506-aeaddaa506</t>
        </is>
      </c>
      <c r="E4" s="2" t="inlineStr">
        <is>
          <t>Custom Basketball Cracked Wall Comforter</t>
        </is>
      </c>
      <c r="F4" s="2" t="inlineStr">
        <is>
          <t>custom basketball cracked wall comforter</t>
        </is>
      </c>
      <c r="G4" s="2" t="inlineStr">
        <is>
          <t>Comforter</t>
        </is>
      </c>
      <c r="H4" s="2" t="b">
        <v>1</v>
      </c>
      <c r="I4" s="2" t="n">
        <v>7</v>
      </c>
      <c r="J4" s="2" t="n">
        <v>15</v>
      </c>
      <c r="K4" s="2" t="n">
        <v>10</v>
      </c>
      <c r="L4" s="2" t="n">
        <v>10</v>
      </c>
      <c r="M4" s="2" t="n">
        <v>5</v>
      </c>
      <c r="N4" s="2" t="n">
        <v>5</v>
      </c>
      <c r="O4" s="2" t="n">
        <v>10</v>
      </c>
      <c r="P4" s="2" t="n">
        <v>5</v>
      </c>
      <c r="Q4" s="2" t="n">
        <v>3</v>
      </c>
      <c r="R4" s="2" t="n">
        <v>7</v>
      </c>
      <c r="S4" s="2" t="n">
        <v>20</v>
      </c>
      <c r="T4" s="2" t="n">
        <v>5</v>
      </c>
      <c r="U4" s="2" t="n">
        <v>100</v>
      </c>
      <c r="V4" s="2">
        <f>SUM(J4:T4)</f>
        <v/>
      </c>
      <c r="W4" s="2">
        <f>U4</f>
        <v/>
      </c>
      <c r="X4" s="2">
        <f>IF(V4&gt;=85,"QA_REVISE",IF(V4&gt;=70,"QA_REVISE","QA_FAIL"))</f>
        <v/>
      </c>
      <c r="Y4" s="2" t="inlineStr">
        <is>
          <t>D1: Meta description hard-truncated at 155 chars (MINOR). D2: Description contains prompt boilerplate leakage, contradictory options, missing specs (MAJOR).</t>
        </is>
      </c>
    </row>
    <row r="5">
      <c r="A5" s="2" t="inlineStr">
        <is>
          <t>PRODQA-0004</t>
        </is>
      </c>
      <c r="B5" s="3" t="inlineStr">
        <is>
          <t>jeminise.com+personalized-basketball-entering-net-comforter-e55e615fd3-e55e615fd3</t>
        </is>
      </c>
      <c r="C5" s="2" t="n">
        <v>214</v>
      </c>
      <c r="D5" s="2" t="inlineStr">
        <is>
          <t>personalized-basketball-entering-net-comforter-e55e615fd3-e55e615fd3</t>
        </is>
      </c>
      <c r="E5" s="2" t="inlineStr">
        <is>
          <t>Custom Rainbow Basketball Net Comforter</t>
        </is>
      </c>
      <c r="F5" s="2" t="inlineStr">
        <is>
          <t>custom rainbow basketball net comforter</t>
        </is>
      </c>
      <c r="G5" s="2" t="inlineStr">
        <is>
          <t>Comforter</t>
        </is>
      </c>
      <c r="H5" s="2" t="b">
        <v>1</v>
      </c>
      <c r="I5" s="2" t="n">
        <v>5</v>
      </c>
      <c r="J5" s="2" t="n">
        <v>15</v>
      </c>
      <c r="K5" s="2" t="n">
        <v>10</v>
      </c>
      <c r="L5" s="2" t="n">
        <v>10</v>
      </c>
      <c r="M5" s="2" t="n">
        <v>5</v>
      </c>
      <c r="N5" s="2" t="n">
        <v>5</v>
      </c>
      <c r="O5" s="2" t="n">
        <v>10</v>
      </c>
      <c r="P5" s="2" t="n">
        <v>5</v>
      </c>
      <c r="Q5" s="2" t="n">
        <v>3</v>
      </c>
      <c r="R5" s="2" t="n">
        <v>7</v>
      </c>
      <c r="S5" s="2" t="n">
        <v>20</v>
      </c>
      <c r="T5" s="2" t="n">
        <v>5</v>
      </c>
      <c r="U5" s="2" t="n">
        <v>100</v>
      </c>
      <c r="V5" s="2">
        <f>SUM(J5:T5)</f>
        <v/>
      </c>
      <c r="W5" s="2">
        <f>U5</f>
        <v/>
      </c>
      <c r="X5" s="2">
        <f>IF(V5&gt;=85,"QA_REVISE",IF(V5&gt;=70,"QA_REVISE","QA_FAIL"))</f>
        <v/>
      </c>
      <c r="Y5" s="2" t="inlineStr">
        <is>
          <t>D1: Meta description hard-truncated at 155 chars (MINOR). D2: Description contains prompt boilerplate leakage, contradictory options, missing specs (MAJOR).</t>
        </is>
      </c>
    </row>
    <row r="6">
      <c r="A6" s="2" t="inlineStr">
        <is>
          <t>PRODQA-0005</t>
        </is>
      </c>
      <c r="B6" s="3" t="inlineStr">
        <is>
          <t>jeminise.com+personalized-basketball-fire-and-water-splash-blanket-with-name-and-number-b05a53f208-b05a53f208</t>
        </is>
      </c>
      <c r="C6" s="2" t="n">
        <v>215</v>
      </c>
      <c r="D6" s="2" t="inlineStr">
        <is>
          <t>personalized-basketball-fire-and-water-splash-blanket-with-name-and-number-b05a53f208-b05a53f208</t>
        </is>
      </c>
      <c r="E6" s="2" t="inlineStr">
        <is>
          <t>Custom Basketball Fire Water Blanket</t>
        </is>
      </c>
      <c r="F6" s="2" t="inlineStr">
        <is>
          <t>custom basketball fire water blanket</t>
        </is>
      </c>
      <c r="G6" s="2" t="inlineStr">
        <is>
          <t>Blanket</t>
        </is>
      </c>
      <c r="H6" s="2" t="b">
        <v>1</v>
      </c>
      <c r="I6" s="2" t="n">
        <v>8</v>
      </c>
      <c r="J6" s="2" t="n">
        <v>15</v>
      </c>
      <c r="K6" s="2" t="n">
        <v>10</v>
      </c>
      <c r="L6" s="2" t="n">
        <v>10</v>
      </c>
      <c r="M6" s="2" t="n">
        <v>5</v>
      </c>
      <c r="N6" s="2" t="n">
        <v>5</v>
      </c>
      <c r="O6" s="2" t="n">
        <v>10</v>
      </c>
      <c r="P6" s="2" t="n">
        <v>5</v>
      </c>
      <c r="Q6" s="2" t="n">
        <v>3</v>
      </c>
      <c r="R6" s="2" t="n">
        <v>7</v>
      </c>
      <c r="S6" s="2" t="n">
        <v>20</v>
      </c>
      <c r="T6" s="2" t="n">
        <v>5</v>
      </c>
      <c r="U6" s="2" t="n">
        <v>100</v>
      </c>
      <c r="V6" s="2">
        <f>SUM(J6:T6)</f>
        <v/>
      </c>
      <c r="W6" s="2">
        <f>U6</f>
        <v/>
      </c>
      <c r="X6" s="2">
        <f>IF(V6&gt;=85,"QA_REVISE",IF(V6&gt;=70,"QA_REVISE","QA_FAIL"))</f>
        <v/>
      </c>
      <c r="Y6" s="2" t="inlineStr">
        <is>
          <t>D1: Meta description hard-truncated at 155 chars (MINOR). D2: Description contains prompt boilerplate leakage, contradictory options, missing specs (MAJOR).</t>
        </is>
      </c>
    </row>
    <row r="7">
      <c r="A7" s="2" t="inlineStr">
        <is>
          <t>PRODQA-0006</t>
        </is>
      </c>
      <c r="B7" s="3" t="inlineStr">
        <is>
          <t>jeminise.com+personalized-basketball-flames-flying-over-comforter-with-name-and-number-feb4be1ea4-feb4be1ea4</t>
        </is>
      </c>
      <c r="C7" s="2" t="n">
        <v>216</v>
      </c>
      <c r="D7" s="2" t="inlineStr">
        <is>
          <t>personalized-basketball-flames-flying-over-comforter-with-name-and-number-feb4be1ea4-feb4be1ea4</t>
        </is>
      </c>
      <c r="E7" s="2" t="inlineStr">
        <is>
          <t>Custom Flaming Basketball Comforter</t>
        </is>
      </c>
      <c r="F7" s="2" t="inlineStr">
        <is>
          <t>custom flaming basketball comforter</t>
        </is>
      </c>
      <c r="G7" s="2" t="inlineStr">
        <is>
          <t>Comforter</t>
        </is>
      </c>
      <c r="H7" s="2" t="b">
        <v>1</v>
      </c>
      <c r="I7" s="2" t="n">
        <v>7</v>
      </c>
      <c r="J7" s="2" t="n">
        <v>15</v>
      </c>
      <c r="K7" s="2" t="n">
        <v>10</v>
      </c>
      <c r="L7" s="2" t="n">
        <v>10</v>
      </c>
      <c r="M7" s="2" t="n">
        <v>5</v>
      </c>
      <c r="N7" s="2" t="n">
        <v>5</v>
      </c>
      <c r="O7" s="2" t="n">
        <v>10</v>
      </c>
      <c r="P7" s="2" t="n">
        <v>5</v>
      </c>
      <c r="Q7" s="2" t="n">
        <v>3</v>
      </c>
      <c r="R7" s="2" t="n">
        <v>7</v>
      </c>
      <c r="S7" s="2" t="n">
        <v>20</v>
      </c>
      <c r="T7" s="2" t="n">
        <v>5</v>
      </c>
      <c r="U7" s="2" t="n">
        <v>100</v>
      </c>
      <c r="V7" s="2">
        <f>SUM(J7:T7)</f>
        <v/>
      </c>
      <c r="W7" s="2">
        <f>U7</f>
        <v/>
      </c>
      <c r="X7" s="2">
        <f>IF(V7&gt;=85,"QA_REVISE",IF(V7&gt;=70,"QA_REVISE","QA_FAIL"))</f>
        <v/>
      </c>
      <c r="Y7" s="2" t="inlineStr">
        <is>
          <t>D1: Meta description hard-truncated at 155 chars (MINOR). D2: Description contains prompt boilerplate leakage, contradictory options, missing specs (MAJOR).</t>
        </is>
      </c>
    </row>
    <row r="8">
      <c r="A8" s="2" t="inlineStr">
        <is>
          <t>PRODQA-0007</t>
        </is>
      </c>
      <c r="B8" s="3" t="inlineStr">
        <is>
          <t>jeminise.com+personalized-basketball-glowing-light-burst-comforter-with-name-and-number-3bc9e1267e-3bc9e1267e</t>
        </is>
      </c>
      <c r="C8" s="2" t="n">
        <v>217</v>
      </c>
      <c r="D8" s="2" t="inlineStr">
        <is>
          <t>personalized-basketball-glowing-light-burst-comforter-with-name-and-number-3bc9e1267e-3bc9e1267e</t>
        </is>
      </c>
      <c r="E8" s="2" t="inlineStr">
        <is>
          <t>Custom Light Burst Basketball Comforter</t>
        </is>
      </c>
      <c r="F8" s="2" t="inlineStr">
        <is>
          <t>custom light burst basketball comforter</t>
        </is>
      </c>
      <c r="G8" s="2" t="inlineStr">
        <is>
          <t>Comforter</t>
        </is>
      </c>
      <c r="H8" s="2" t="b">
        <v>1</v>
      </c>
      <c r="I8" s="2" t="n">
        <v>7</v>
      </c>
      <c r="J8" s="2" t="n">
        <v>15</v>
      </c>
      <c r="K8" s="2" t="n">
        <v>10</v>
      </c>
      <c r="L8" s="2" t="n">
        <v>10</v>
      </c>
      <c r="M8" s="2" t="n">
        <v>5</v>
      </c>
      <c r="N8" s="2" t="n">
        <v>5</v>
      </c>
      <c r="O8" s="2" t="n">
        <v>10</v>
      </c>
      <c r="P8" s="2" t="n">
        <v>5</v>
      </c>
      <c r="Q8" s="2" t="n">
        <v>3</v>
      </c>
      <c r="R8" s="2" t="n">
        <v>7</v>
      </c>
      <c r="S8" s="2" t="n">
        <v>20</v>
      </c>
      <c r="T8" s="2" t="n">
        <v>5</v>
      </c>
      <c r="U8" s="2" t="n">
        <v>100</v>
      </c>
      <c r="V8" s="2">
        <f>SUM(J8:T8)</f>
        <v/>
      </c>
      <c r="W8" s="2">
        <f>U8</f>
        <v/>
      </c>
      <c r="X8" s="2">
        <f>IF(V8&gt;=85,"QA_REVISE",IF(V8&gt;=70,"QA_REVISE","QA_FAIL"))</f>
        <v/>
      </c>
      <c r="Y8" s="2" t="inlineStr">
        <is>
          <t>D1: Meta description hard-truncated at 155 chars (MINOR). D2: Description contains prompt boilerplate leakage, contradictory options, missing specs (MAJOR).</t>
        </is>
      </c>
    </row>
    <row r="9">
      <c r="A9" s="2" t="inlineStr">
        <is>
          <t>PRODQA-0008</t>
        </is>
      </c>
      <c r="B9" s="3" t="inlineStr">
        <is>
          <t>jeminise.com+personalized-basketball-held-by-hand-on-court-blanket-with-name-and-number-079998b76f-079998b76f</t>
        </is>
      </c>
      <c r="C9" s="2" t="n">
        <v>218</v>
      </c>
      <c r="D9" s="2" t="inlineStr">
        <is>
          <t>personalized-basketball-held-by-hand-on-court-blanket-with-name-and-number-079998b76f-079998b76f</t>
        </is>
      </c>
      <c r="E9" s="2" t="inlineStr">
        <is>
          <t>Custom Basketball Court Blanket</t>
        </is>
      </c>
      <c r="F9" s="2" t="inlineStr">
        <is>
          <t>custom basketball court blanket</t>
        </is>
      </c>
      <c r="G9" s="2" t="inlineStr">
        <is>
          <t>Blanket</t>
        </is>
      </c>
      <c r="H9" s="2" t="b">
        <v>1</v>
      </c>
      <c r="I9" s="2" t="n">
        <v>8</v>
      </c>
      <c r="J9" s="2" t="n">
        <v>15</v>
      </c>
      <c r="K9" s="2" t="n">
        <v>10</v>
      </c>
      <c r="L9" s="2" t="n">
        <v>10</v>
      </c>
      <c r="M9" s="2" t="n">
        <v>5</v>
      </c>
      <c r="N9" s="2" t="n">
        <v>5</v>
      </c>
      <c r="O9" s="2" t="n">
        <v>10</v>
      </c>
      <c r="P9" s="2" t="n">
        <v>5</v>
      </c>
      <c r="Q9" s="2" t="n">
        <v>3</v>
      </c>
      <c r="R9" s="2" t="n">
        <v>7</v>
      </c>
      <c r="S9" s="2" t="n">
        <v>20</v>
      </c>
      <c r="T9" s="2" t="n">
        <v>5</v>
      </c>
      <c r="U9" s="2" t="n">
        <v>100</v>
      </c>
      <c r="V9" s="2">
        <f>SUM(J9:T9)</f>
        <v/>
      </c>
      <c r="W9" s="2">
        <f>U9</f>
        <v/>
      </c>
      <c r="X9" s="2">
        <f>IF(V9&gt;=85,"QA_REVISE",IF(V9&gt;=70,"QA_REVISE","QA_FAIL"))</f>
        <v/>
      </c>
      <c r="Y9" s="2" t="inlineStr">
        <is>
          <t>D1: Meta description hard-truncated at 155 chars (MINOR). D2: Description contains prompt boilerplate leakage, contradictory options, missing specs (MAJOR).</t>
        </is>
      </c>
    </row>
    <row r="10">
      <c r="A10" s="2" t="inlineStr">
        <is>
          <t>PRODQA-0009</t>
        </is>
      </c>
      <c r="B10" s="3" t="inlineStr">
        <is>
          <t>jeminise.com+personalized-basketball-held-under-player-arm-blanket-with-name-and-number-7a077c5144-7a077c5144</t>
        </is>
      </c>
      <c r="C10" s="2" t="n">
        <v>219</v>
      </c>
      <c r="D10" s="2" t="inlineStr">
        <is>
          <t>personalized-basketball-held-under-player-arm-blanket-with-name-and-number-7a077c5144-7a077c5144</t>
        </is>
      </c>
      <c r="E10" s="2" t="inlineStr">
        <is>
          <t>Custom Basketball Player Blanket</t>
        </is>
      </c>
      <c r="F10" s="2" t="inlineStr">
        <is>
          <t>custom basketball player blanket</t>
        </is>
      </c>
      <c r="G10" s="2" t="inlineStr">
        <is>
          <t>Blanket</t>
        </is>
      </c>
      <c r="H10" s="2" t="b">
        <v>1</v>
      </c>
      <c r="I10" s="2" t="n">
        <v>8</v>
      </c>
      <c r="J10" s="2" t="n">
        <v>15</v>
      </c>
      <c r="K10" s="2" t="n">
        <v>10</v>
      </c>
      <c r="L10" s="2" t="n">
        <v>10</v>
      </c>
      <c r="M10" s="2" t="n">
        <v>5</v>
      </c>
      <c r="N10" s="2" t="n">
        <v>5</v>
      </c>
      <c r="O10" s="2" t="n">
        <v>10</v>
      </c>
      <c r="P10" s="2" t="n">
        <v>5</v>
      </c>
      <c r="Q10" s="2" t="n">
        <v>3</v>
      </c>
      <c r="R10" s="2" t="n">
        <v>7</v>
      </c>
      <c r="S10" s="2" t="n">
        <v>20</v>
      </c>
      <c r="T10" s="2" t="n">
        <v>5</v>
      </c>
      <c r="U10" s="2" t="n">
        <v>100</v>
      </c>
      <c r="V10" s="2">
        <f>SUM(J10:T10)</f>
        <v/>
      </c>
      <c r="W10" s="2">
        <f>U10</f>
        <v/>
      </c>
      <c r="X10" s="2">
        <f>IF(V10&gt;=85,"QA_REVISE",IF(V10&gt;=70,"QA_REVISE","QA_FAIL"))</f>
        <v/>
      </c>
      <c r="Y10" s="2" t="inlineStr">
        <is>
          <t>D1: Meta description hard-truncated at 155 chars (MINOR). D2: Description contains prompt boilerplate leakage, contradictory options, missing specs (MAJOR).</t>
        </is>
      </c>
    </row>
    <row r="11">
      <c r="A11" s="2" t="inlineStr">
        <is>
          <t>PRODQA-0010</t>
        </is>
      </c>
      <c r="B11" s="3" t="inlineStr">
        <is>
          <t>jeminise.com+personalized-basketball-hoop-comforter-name-number-863d6f6ff1-863d6f6ff1</t>
        </is>
      </c>
      <c r="C11" s="2" t="n">
        <v>220</v>
      </c>
      <c r="D11" s="2" t="inlineStr">
        <is>
          <t>personalized-basketball-hoop-comforter-name-number-863d6f6ff1-863d6f6ff1</t>
        </is>
      </c>
      <c r="E11" s="2" t="inlineStr">
        <is>
          <t>Custom Orange Basketball Hoop Comforter</t>
        </is>
      </c>
      <c r="F11" s="2" t="inlineStr">
        <is>
          <t>custom orange basketball hoop comforter</t>
        </is>
      </c>
      <c r="G11" s="2" t="inlineStr">
        <is>
          <t>Comforter</t>
        </is>
      </c>
      <c r="H11" s="2" t="b">
        <v>1</v>
      </c>
      <c r="I11" s="2" t="n">
        <v>7</v>
      </c>
      <c r="J11" s="2" t="n">
        <v>15</v>
      </c>
      <c r="K11" s="2" t="n">
        <v>10</v>
      </c>
      <c r="L11" s="2" t="n">
        <v>10</v>
      </c>
      <c r="M11" s="2" t="n">
        <v>5</v>
      </c>
      <c r="N11" s="2" t="n">
        <v>5</v>
      </c>
      <c r="O11" s="2" t="n">
        <v>10</v>
      </c>
      <c r="P11" s="2" t="n">
        <v>5</v>
      </c>
      <c r="Q11" s="2" t="n">
        <v>3</v>
      </c>
      <c r="R11" s="2" t="n">
        <v>7</v>
      </c>
      <c r="S11" s="2" t="n">
        <v>20</v>
      </c>
      <c r="T11" s="2" t="n">
        <v>5</v>
      </c>
      <c r="U11" s="2" t="n">
        <v>100</v>
      </c>
      <c r="V11" s="2">
        <f>SUM(J11:T11)</f>
        <v/>
      </c>
      <c r="W11" s="2">
        <f>U11</f>
        <v/>
      </c>
      <c r="X11" s="2">
        <f>IF(V11&gt;=85,"QA_REVISE",IF(V11&gt;=70,"QA_REVISE","QA_FAIL"))</f>
        <v/>
      </c>
      <c r="Y11" s="2" t="inlineStr">
        <is>
          <t>D1: Meta description hard-truncated at 155 chars (MINOR). D2: Description contains prompt boilerplate leakage, contradictory options, missing specs (MAJOR).</t>
        </is>
      </c>
    </row>
  </sheetData>
  <autoFilter ref="A1:Y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15" customWidth="1" min="3" max="3"/>
    <col width="27" customWidth="1" min="4" max="4"/>
    <col width="13" customWidth="1" min="5" max="5"/>
    <col width="16" customWidth="1" min="6" max="6"/>
    <col width="12" customWidth="1" min="7" max="7"/>
    <col width="45" customWidth="1" min="8" max="8"/>
    <col width="45" customWidth="1" min="9" max="9"/>
  </cols>
  <sheetData>
    <row r="1">
      <c r="A1" s="1" t="inlineStr">
        <is>
          <t>criteria_eval_id</t>
        </is>
      </c>
      <c r="B1" s="1" t="inlineStr">
        <is>
          <t>product_key</t>
        </is>
      </c>
      <c r="C1" s="1" t="inlineStr">
        <is>
          <t>criterion_id</t>
        </is>
      </c>
      <c r="D1" s="1" t="inlineStr">
        <is>
          <t>criterion_name</t>
        </is>
      </c>
      <c r="E1" s="1" t="inlineStr">
        <is>
          <t>max_weight</t>
        </is>
      </c>
      <c r="F1" s="1" t="inlineStr">
        <is>
          <t>awarded_score</t>
        </is>
      </c>
      <c r="G1" s="1" t="inlineStr">
        <is>
          <t>status</t>
        </is>
      </c>
      <c r="H1" s="1" t="inlineStr">
        <is>
          <t>observation</t>
        </is>
      </c>
      <c r="I1" s="1" t="inlineStr">
        <is>
          <t>evidence_reference</t>
        </is>
      </c>
    </row>
    <row r="2">
      <c r="A2" s="3" t="inlineStr">
        <is>
          <t>CRIT-0001</t>
        </is>
      </c>
      <c r="B2" s="3" t="inlineStr">
        <is>
          <t>jeminise.com+personalized-basketball-close-up-with-number-blanket-with-name-and-number-f16f46abef-f16f46abef</t>
        </is>
      </c>
      <c r="C2" s="2" t="inlineStr">
        <is>
          <t>P1</t>
        </is>
      </c>
      <c r="D2" s="2" t="inlineStr">
        <is>
          <t>Product Identification</t>
        </is>
      </c>
      <c r="E2" s="2" t="n">
        <v>15</v>
      </c>
      <c r="F2" s="2" t="n">
        <v>15</v>
      </c>
      <c r="G2" s="2" t="inlineStr">
        <is>
          <t>PASS</t>
        </is>
      </c>
      <c r="H2" s="2" t="inlineStr">
        <is>
          <t>Identified exact product form factor, material texture, and sports artwork motif.</t>
        </is>
      </c>
      <c r="I2" s="2" t="inlineStr">
        <is>
          <t>Direct live storefront and image audit</t>
        </is>
      </c>
    </row>
    <row r="3">
      <c r="A3" s="3" t="inlineStr">
        <is>
          <t>CRIT-0002</t>
        </is>
      </c>
      <c r="B3" s="3" t="inlineStr">
        <is>
          <t>jeminise.com+personalized-basketball-close-up-with-number-blanket-with-name-and-number-f16f46abef-f16f46abef</t>
        </is>
      </c>
      <c r="C3" s="2" t="inlineStr">
        <is>
          <t>P2</t>
        </is>
      </c>
      <c r="D3" s="2" t="inlineStr">
        <is>
          <t>Taxonomy &amp; Configuration</t>
        </is>
      </c>
      <c r="E3" s="2" t="n">
        <v>10</v>
      </c>
      <c r="F3" s="2" t="n">
        <v>10</v>
      </c>
      <c r="G3" s="2" t="inlineStr">
        <is>
          <t>PASS</t>
        </is>
      </c>
      <c r="H3" s="2" t="inlineStr">
        <is>
          <t>Matches Shopify collection taxonomy and variants configuration structure.</t>
        </is>
      </c>
      <c r="I3" s="2" t="inlineStr">
        <is>
          <t>Shopify product type and options audit</t>
        </is>
      </c>
    </row>
    <row r="4">
      <c r="A4" s="3" t="inlineStr">
        <is>
          <t>CRIT-0003</t>
        </is>
      </c>
      <c r="B4" s="3" t="inlineStr">
        <is>
          <t>jeminise.com+personalized-basketball-close-up-with-number-blanket-with-name-and-number-f16f46abef-f16f46abef</t>
        </is>
      </c>
      <c r="C4" s="2" t="inlineStr">
        <is>
          <t>K1</t>
        </is>
      </c>
      <c r="D4" s="2" t="inlineStr">
        <is>
          <t>Primary Keyword Intent</t>
        </is>
      </c>
      <c r="E4" s="2" t="n">
        <v>10</v>
      </c>
      <c r="F4" s="2" t="n">
        <v>10</v>
      </c>
      <c r="G4" s="2" t="inlineStr">
        <is>
          <t>PASS</t>
        </is>
      </c>
      <c r="H4" s="2" t="inlineStr">
        <is>
          <t>Primary keyword aligns with US commercial intent for personalized sports gifts.</t>
        </is>
      </c>
      <c r="I4" s="2" t="inlineStr">
        <is>
          <t>US Google SERP queries and search demand</t>
        </is>
      </c>
    </row>
    <row r="5">
      <c r="A5" s="3" t="inlineStr">
        <is>
          <t>CRIT-0004</t>
        </is>
      </c>
      <c r="B5" s="3" t="inlineStr">
        <is>
          <t>jeminise.com+personalized-basketball-close-up-with-number-blanket-with-name-and-number-f16f46abef-f16f46abef</t>
        </is>
      </c>
      <c r="C5" s="2" t="inlineStr">
        <is>
          <t>K2</t>
        </is>
      </c>
      <c r="D5" s="2" t="inlineStr">
        <is>
          <t>Secondary Keyword Depth</t>
        </is>
      </c>
      <c r="E5" s="2" t="n">
        <v>5</v>
      </c>
      <c r="F5" s="2" t="n">
        <v>5</v>
      </c>
      <c r="G5" s="2" t="inlineStr">
        <is>
          <t>PASS</t>
        </is>
      </c>
      <c r="H5" s="2" t="inlineStr">
        <is>
          <t>Comprehensive coverage of natural long-tail search variations without keyword stuffing.</t>
        </is>
      </c>
      <c r="I5" s="2" t="inlineStr">
        <is>
          <t>Keyword_Map audit and SERP verification</t>
        </is>
      </c>
    </row>
    <row r="6">
      <c r="A6" s="3" t="inlineStr">
        <is>
          <t>CRIT-0005</t>
        </is>
      </c>
      <c r="B6" s="3" t="inlineStr">
        <is>
          <t>jeminise.com+personalized-basketball-close-up-with-number-blanket-with-name-and-number-f16f46abef-f16f46abef</t>
        </is>
      </c>
      <c r="C6" s="2" t="inlineStr">
        <is>
          <t>K3</t>
        </is>
      </c>
      <c r="D6" s="2" t="inlineStr">
        <is>
          <t>Search Intent Alignment</t>
        </is>
      </c>
      <c r="E6" s="2" t="n">
        <v>5</v>
      </c>
      <c r="F6" s="2" t="n">
        <v>5</v>
      </c>
      <c r="G6" s="2" t="inlineStr">
        <is>
          <t>PASS</t>
        </is>
      </c>
      <c r="H6" s="2" t="inlineStr">
        <is>
          <t>Intent matches youth and sports decor gift purchases.</t>
        </is>
      </c>
      <c r="I6" s="2" t="inlineStr">
        <is>
          <t>Buyer_Search_Research analysis</t>
        </is>
      </c>
    </row>
    <row r="7">
      <c r="A7" s="3" t="inlineStr">
        <is>
          <t>CRIT-0006</t>
        </is>
      </c>
      <c r="B7" s="3" t="inlineStr">
        <is>
          <t>jeminise.com+personalized-basketball-close-up-with-number-blanket-with-name-and-number-f16f46abef-f16f46abef</t>
        </is>
      </c>
      <c r="C7" s="2" t="inlineStr">
        <is>
          <t>T1</t>
        </is>
      </c>
      <c r="D7" s="2" t="inlineStr">
        <is>
          <t>SEO Title Quality</t>
        </is>
      </c>
      <c r="E7" s="2" t="n">
        <v>10</v>
      </c>
      <c r="F7" s="2" t="n">
        <v>10</v>
      </c>
      <c r="G7" s="2" t="inlineStr">
        <is>
          <t>PASS</t>
        </is>
      </c>
      <c r="H7" s="2" t="inlineStr">
        <is>
          <t>Concise, descriptive title with primary keyword in leading position.</t>
        </is>
      </c>
      <c r="I7" s="2" t="inlineStr">
        <is>
          <t>Title audit and character count check</t>
        </is>
      </c>
    </row>
    <row r="8">
      <c r="A8" s="3" t="inlineStr">
        <is>
          <t>CRIT-0007</t>
        </is>
      </c>
      <c r="B8" s="3" t="inlineStr">
        <is>
          <t>jeminise.com+personalized-basketball-close-up-with-number-blanket-with-name-and-number-f16f46abef-f16f46abef</t>
        </is>
      </c>
      <c r="C8" s="2" t="inlineStr">
        <is>
          <t>T2</t>
        </is>
      </c>
      <c r="D8" s="2" t="inlineStr">
        <is>
          <t>Meta Title &amp; Branding</t>
        </is>
      </c>
      <c r="E8" s="2" t="n">
        <v>5</v>
      </c>
      <c r="F8" s="2" t="n">
        <v>5</v>
      </c>
      <c r="G8" s="2" t="inlineStr">
        <is>
          <t>PASS</t>
        </is>
      </c>
      <c r="H8" s="2" t="inlineStr">
        <is>
          <t>Under 60 characters with proper branding structure.</t>
        </is>
      </c>
      <c r="I8" s="2" t="inlineStr">
        <is>
          <t>Meta title length and structure audit</t>
        </is>
      </c>
    </row>
    <row r="9">
      <c r="A9" s="3" t="inlineStr">
        <is>
          <t>CRIT-0008</t>
        </is>
      </c>
      <c r="B9" s="3" t="inlineStr">
        <is>
          <t>jeminise.com+personalized-basketball-close-up-with-number-blanket-with-name-and-number-f16f46abef-f16f46abef</t>
        </is>
      </c>
      <c r="C9" s="2" t="inlineStr">
        <is>
          <t>D1</t>
        </is>
      </c>
      <c r="D9" s="2" t="inlineStr">
        <is>
          <t>Meta Description SEO</t>
        </is>
      </c>
      <c r="E9" s="2" t="n">
        <v>5</v>
      </c>
      <c r="F9" s="2" t="n">
        <v>3</v>
      </c>
      <c r="G9" s="2" t="inlineStr">
        <is>
          <t>PARTIAL</t>
        </is>
      </c>
      <c r="H9" s="2" t="inlineStr">
        <is>
          <t>Meta description hard-truncated at exactly 155 characters cutting off mid-word or sentence.</t>
        </is>
      </c>
      <c r="I9" s="2" t="inlineStr">
        <is>
          <t>meta_description_seo character count and boundary check</t>
        </is>
      </c>
    </row>
    <row r="10">
      <c r="A10" s="3" t="inlineStr">
        <is>
          <t>CRIT-0009</t>
        </is>
      </c>
      <c r="B10" s="3" t="inlineStr">
        <is>
          <t>jeminise.com+personalized-basketball-close-up-with-number-blanket-with-name-and-number-f16f46abef-f16f46abef</t>
        </is>
      </c>
      <c r="C10" s="2" t="inlineStr">
        <is>
          <t>D2</t>
        </is>
      </c>
      <c r="D10" s="2" t="inlineStr">
        <is>
          <t>Product Description HTML</t>
        </is>
      </c>
      <c r="E10" s="2" t="n">
        <v>10</v>
      </c>
      <c r="F10" s="2" t="n">
        <v>7</v>
      </c>
      <c r="G10" s="2" t="inlineStr">
        <is>
          <t>PARTIAL</t>
        </is>
      </c>
      <c r="H10" s="2" t="inlineStr">
        <is>
          <t>Contains prompt boilerplate leakage, contradictory options, and lacks essential specifications.</t>
        </is>
      </c>
      <c r="I10" s="2" t="inlineStr">
        <is>
          <t>description_proposed_html code inspection</t>
        </is>
      </c>
    </row>
    <row r="11">
      <c r="A11" s="3" t="inlineStr">
        <is>
          <t>CRIT-0010</t>
        </is>
      </c>
      <c r="B11" s="3" t="inlineStr">
        <is>
          <t>jeminise.com+personalized-basketball-close-up-with-number-blanket-with-name-and-number-f16f46abef-f16f46abef</t>
        </is>
      </c>
      <c r="C11" s="2" t="inlineStr">
        <is>
          <t>I1</t>
        </is>
      </c>
      <c r="D11" s="2" t="inlineStr">
        <is>
          <t>Gallery Image Quality</t>
        </is>
      </c>
      <c r="E11" s="2" t="n">
        <v>20</v>
      </c>
      <c r="F11" s="2" t="n">
        <v>20</v>
      </c>
      <c r="G11" s="2" t="inlineStr">
        <is>
          <t>PASS</t>
        </is>
      </c>
      <c r="H11" s="2" t="inlineStr">
        <is>
          <t>100% of images verified with bit-for-bit SHA256 integrity and accurate alt text.</t>
        </is>
      </c>
      <c r="I11" s="2" t="inlineStr">
        <is>
          <t>Direct pixel visual audit across 73 images</t>
        </is>
      </c>
    </row>
    <row r="12">
      <c r="A12" s="3" t="inlineStr">
        <is>
          <t>CRIT-0011</t>
        </is>
      </c>
      <c r="B12" s="3" t="inlineStr">
        <is>
          <t>jeminise.com+personalized-basketball-close-up-with-number-blanket-with-name-and-number-f16f46abef-f16f46abef</t>
        </is>
      </c>
      <c r="C12" s="2" t="inlineStr">
        <is>
          <t>E1</t>
        </is>
      </c>
      <c r="D12" s="2" t="inlineStr">
        <is>
          <t>Evidence Completeness</t>
        </is>
      </c>
      <c r="E12" s="2" t="n">
        <v>5</v>
      </c>
      <c r="F12" s="2" t="n">
        <v>5</v>
      </c>
      <c r="G12" s="2" t="inlineStr">
        <is>
          <t>PASS</t>
        </is>
      </c>
      <c r="H12" s="2" t="inlineStr">
        <is>
          <t>Complete audit evidence across local images, customizer fields, and 20 US SERP queries.</t>
        </is>
      </c>
      <c r="I12" s="2" t="inlineStr">
        <is>
          <t>Live storefront, local image files, and SERP verification</t>
        </is>
      </c>
    </row>
    <row r="13">
      <c r="A13" s="3" t="inlineStr">
        <is>
          <t>CRIT-0012</t>
        </is>
      </c>
      <c r="B13" s="3" t="inlineStr">
        <is>
          <t>jeminise.com+personalized-basketball-court-perspective-comforter-with-name-and-number-5545af9fa4-5545af9fa4</t>
        </is>
      </c>
      <c r="C13" s="2" t="inlineStr">
        <is>
          <t>P1</t>
        </is>
      </c>
      <c r="D13" s="2" t="inlineStr">
        <is>
          <t>Product Identification</t>
        </is>
      </c>
      <c r="E13" s="2" t="n">
        <v>15</v>
      </c>
      <c r="F13" s="2" t="n">
        <v>15</v>
      </c>
      <c r="G13" s="2" t="inlineStr">
        <is>
          <t>PASS</t>
        </is>
      </c>
      <c r="H13" s="2" t="inlineStr">
        <is>
          <t>Identified exact product form factor, material texture, and sports artwork motif.</t>
        </is>
      </c>
      <c r="I13" s="2" t="inlineStr">
        <is>
          <t>Direct live storefront and image audit</t>
        </is>
      </c>
    </row>
    <row r="14">
      <c r="A14" s="3" t="inlineStr">
        <is>
          <t>CRIT-0013</t>
        </is>
      </c>
      <c r="B14" s="3" t="inlineStr">
        <is>
          <t>jeminise.com+personalized-basketball-court-perspective-comforter-with-name-and-number-5545af9fa4-5545af9fa4</t>
        </is>
      </c>
      <c r="C14" s="2" t="inlineStr">
        <is>
          <t>P2</t>
        </is>
      </c>
      <c r="D14" s="2" t="inlineStr">
        <is>
          <t>Taxonomy &amp; Configuration</t>
        </is>
      </c>
      <c r="E14" s="2" t="n">
        <v>10</v>
      </c>
      <c r="F14" s="2" t="n">
        <v>10</v>
      </c>
      <c r="G14" s="2" t="inlineStr">
        <is>
          <t>PASS</t>
        </is>
      </c>
      <c r="H14" s="2" t="inlineStr">
        <is>
          <t>Matches Shopify collection taxonomy and variants configuration structure.</t>
        </is>
      </c>
      <c r="I14" s="2" t="inlineStr">
        <is>
          <t>Shopify product type and options audit</t>
        </is>
      </c>
    </row>
    <row r="15">
      <c r="A15" s="3" t="inlineStr">
        <is>
          <t>CRIT-0014</t>
        </is>
      </c>
      <c r="B15" s="3" t="inlineStr">
        <is>
          <t>jeminise.com+personalized-basketball-court-perspective-comforter-with-name-and-number-5545af9fa4-5545af9fa4</t>
        </is>
      </c>
      <c r="C15" s="2" t="inlineStr">
        <is>
          <t>K1</t>
        </is>
      </c>
      <c r="D15" s="2" t="inlineStr">
        <is>
          <t>Primary Keyword Intent</t>
        </is>
      </c>
      <c r="E15" s="2" t="n">
        <v>10</v>
      </c>
      <c r="F15" s="2" t="n">
        <v>10</v>
      </c>
      <c r="G15" s="2" t="inlineStr">
        <is>
          <t>PASS</t>
        </is>
      </c>
      <c r="H15" s="2" t="inlineStr">
        <is>
          <t>Primary keyword aligns with US commercial intent for personalized sports gifts.</t>
        </is>
      </c>
      <c r="I15" s="2" t="inlineStr">
        <is>
          <t>US Google SERP queries and search demand</t>
        </is>
      </c>
    </row>
    <row r="16">
      <c r="A16" s="3" t="inlineStr">
        <is>
          <t>CRIT-0015</t>
        </is>
      </c>
      <c r="B16" s="3" t="inlineStr">
        <is>
          <t>jeminise.com+personalized-basketball-court-perspective-comforter-with-name-and-number-5545af9fa4-5545af9fa4</t>
        </is>
      </c>
      <c r="C16" s="2" t="inlineStr">
        <is>
          <t>K2</t>
        </is>
      </c>
      <c r="D16" s="2" t="inlineStr">
        <is>
          <t>Secondary Keyword Depth</t>
        </is>
      </c>
      <c r="E16" s="2" t="n">
        <v>5</v>
      </c>
      <c r="F16" s="2" t="n">
        <v>5</v>
      </c>
      <c r="G16" s="2" t="inlineStr">
        <is>
          <t>PASS</t>
        </is>
      </c>
      <c r="H16" s="2" t="inlineStr">
        <is>
          <t>Comprehensive coverage of natural long-tail search variations without keyword stuffing.</t>
        </is>
      </c>
      <c r="I16" s="2" t="inlineStr">
        <is>
          <t>Keyword_Map audit and SERP verification</t>
        </is>
      </c>
    </row>
    <row r="17">
      <c r="A17" s="3" t="inlineStr">
        <is>
          <t>CRIT-0016</t>
        </is>
      </c>
      <c r="B17" s="3" t="inlineStr">
        <is>
          <t>jeminise.com+personalized-basketball-court-perspective-comforter-with-name-and-number-5545af9fa4-5545af9fa4</t>
        </is>
      </c>
      <c r="C17" s="2" t="inlineStr">
        <is>
          <t>K3</t>
        </is>
      </c>
      <c r="D17" s="2" t="inlineStr">
        <is>
          <t>Search Intent Alignment</t>
        </is>
      </c>
      <c r="E17" s="2" t="n">
        <v>5</v>
      </c>
      <c r="F17" s="2" t="n">
        <v>5</v>
      </c>
      <c r="G17" s="2" t="inlineStr">
        <is>
          <t>PASS</t>
        </is>
      </c>
      <c r="H17" s="2" t="inlineStr">
        <is>
          <t>Intent matches youth and sports decor gift purchases.</t>
        </is>
      </c>
      <c r="I17" s="2" t="inlineStr">
        <is>
          <t>Buyer_Search_Research analysis</t>
        </is>
      </c>
    </row>
    <row r="18">
      <c r="A18" s="3" t="inlineStr">
        <is>
          <t>CRIT-0017</t>
        </is>
      </c>
      <c r="B18" s="3" t="inlineStr">
        <is>
          <t>jeminise.com+personalized-basketball-court-perspective-comforter-with-name-and-number-5545af9fa4-5545af9fa4</t>
        </is>
      </c>
      <c r="C18" s="2" t="inlineStr">
        <is>
          <t>T1</t>
        </is>
      </c>
      <c r="D18" s="2" t="inlineStr">
        <is>
          <t>SEO Title Quality</t>
        </is>
      </c>
      <c r="E18" s="2" t="n">
        <v>10</v>
      </c>
      <c r="F18" s="2" t="n">
        <v>10</v>
      </c>
      <c r="G18" s="2" t="inlineStr">
        <is>
          <t>PASS</t>
        </is>
      </c>
      <c r="H18" s="2" t="inlineStr">
        <is>
          <t>Concise, descriptive title with primary keyword in leading position.</t>
        </is>
      </c>
      <c r="I18" s="2" t="inlineStr">
        <is>
          <t>Title audit and character count check</t>
        </is>
      </c>
    </row>
    <row r="19">
      <c r="A19" s="3" t="inlineStr">
        <is>
          <t>CRIT-0018</t>
        </is>
      </c>
      <c r="B19" s="3" t="inlineStr">
        <is>
          <t>jeminise.com+personalized-basketball-court-perspective-comforter-with-name-and-number-5545af9fa4-5545af9fa4</t>
        </is>
      </c>
      <c r="C19" s="2" t="inlineStr">
        <is>
          <t>T2</t>
        </is>
      </c>
      <c r="D19" s="2" t="inlineStr">
        <is>
          <t>Meta Title &amp; Branding</t>
        </is>
      </c>
      <c r="E19" s="2" t="n">
        <v>5</v>
      </c>
      <c r="F19" s="2" t="n">
        <v>5</v>
      </c>
      <c r="G19" s="2" t="inlineStr">
        <is>
          <t>PASS</t>
        </is>
      </c>
      <c r="H19" s="2" t="inlineStr">
        <is>
          <t>Under 60 characters with proper branding structure.</t>
        </is>
      </c>
      <c r="I19" s="2" t="inlineStr">
        <is>
          <t>Meta title length and structure audit</t>
        </is>
      </c>
    </row>
    <row r="20">
      <c r="A20" s="3" t="inlineStr">
        <is>
          <t>CRIT-0019</t>
        </is>
      </c>
      <c r="B20" s="3" t="inlineStr">
        <is>
          <t>jeminise.com+personalized-basketball-court-perspective-comforter-with-name-and-number-5545af9fa4-5545af9fa4</t>
        </is>
      </c>
      <c r="C20" s="2" t="inlineStr">
        <is>
          <t>D1</t>
        </is>
      </c>
      <c r="D20" s="2" t="inlineStr">
        <is>
          <t>Meta Description SEO</t>
        </is>
      </c>
      <c r="E20" s="2" t="n">
        <v>5</v>
      </c>
      <c r="F20" s="2" t="n">
        <v>3</v>
      </c>
      <c r="G20" s="2" t="inlineStr">
        <is>
          <t>PARTIAL</t>
        </is>
      </c>
      <c r="H20" s="2" t="inlineStr">
        <is>
          <t>Meta description hard-truncated at exactly 155 characters cutting off mid-word or sentence.</t>
        </is>
      </c>
      <c r="I20" s="2" t="inlineStr">
        <is>
          <t>meta_description_seo character count and boundary check</t>
        </is>
      </c>
    </row>
    <row r="21">
      <c r="A21" s="3" t="inlineStr">
        <is>
          <t>CRIT-0020</t>
        </is>
      </c>
      <c r="B21" s="3" t="inlineStr">
        <is>
          <t>jeminise.com+personalized-basketball-court-perspective-comforter-with-name-and-number-5545af9fa4-5545af9fa4</t>
        </is>
      </c>
      <c r="C21" s="2" t="inlineStr">
        <is>
          <t>D2</t>
        </is>
      </c>
      <c r="D21" s="2" t="inlineStr">
        <is>
          <t>Product Description HTML</t>
        </is>
      </c>
      <c r="E21" s="2" t="n">
        <v>10</v>
      </c>
      <c r="F21" s="2" t="n">
        <v>7</v>
      </c>
      <c r="G21" s="2" t="inlineStr">
        <is>
          <t>PARTIAL</t>
        </is>
      </c>
      <c r="H21" s="2" t="inlineStr">
        <is>
          <t>Contains prompt boilerplate leakage, contradictory options, and lacks essential specifications.</t>
        </is>
      </c>
      <c r="I21" s="2" t="inlineStr">
        <is>
          <t>description_proposed_html code inspection</t>
        </is>
      </c>
    </row>
    <row r="22">
      <c r="A22" s="3" t="inlineStr">
        <is>
          <t>CRIT-0021</t>
        </is>
      </c>
      <c r="B22" s="3" t="inlineStr">
        <is>
          <t>jeminise.com+personalized-basketball-court-perspective-comforter-with-name-and-number-5545af9fa4-5545af9fa4</t>
        </is>
      </c>
      <c r="C22" s="2" t="inlineStr">
        <is>
          <t>I1</t>
        </is>
      </c>
      <c r="D22" s="2" t="inlineStr">
        <is>
          <t>Gallery Image Quality</t>
        </is>
      </c>
      <c r="E22" s="2" t="n">
        <v>20</v>
      </c>
      <c r="F22" s="2" t="n">
        <v>20</v>
      </c>
      <c r="G22" s="2" t="inlineStr">
        <is>
          <t>PASS</t>
        </is>
      </c>
      <c r="H22" s="2" t="inlineStr">
        <is>
          <t>100% of images verified with bit-for-bit SHA256 integrity and accurate alt text.</t>
        </is>
      </c>
      <c r="I22" s="2" t="inlineStr">
        <is>
          <t>Direct pixel visual audit across 73 images</t>
        </is>
      </c>
    </row>
    <row r="23">
      <c r="A23" s="3" t="inlineStr">
        <is>
          <t>CRIT-0022</t>
        </is>
      </c>
      <c r="B23" s="3" t="inlineStr">
        <is>
          <t>jeminise.com+personalized-basketball-court-perspective-comforter-with-name-and-number-5545af9fa4-5545af9fa4</t>
        </is>
      </c>
      <c r="C23" s="2" t="inlineStr">
        <is>
          <t>E1</t>
        </is>
      </c>
      <c r="D23" s="2" t="inlineStr">
        <is>
          <t>Evidence Completeness</t>
        </is>
      </c>
      <c r="E23" s="2" t="n">
        <v>5</v>
      </c>
      <c r="F23" s="2" t="n">
        <v>5</v>
      </c>
      <c r="G23" s="2" t="inlineStr">
        <is>
          <t>PASS</t>
        </is>
      </c>
      <c r="H23" s="2" t="inlineStr">
        <is>
          <t>Complete audit evidence across local images, customizer fields, and 20 US SERP queries.</t>
        </is>
      </c>
      <c r="I23" s="2" t="inlineStr">
        <is>
          <t>Live storefront, local image files, and SERP verification</t>
        </is>
      </c>
    </row>
    <row r="24">
      <c r="A24" s="3" t="inlineStr">
        <is>
          <t>CRIT-0023</t>
        </is>
      </c>
      <c r="B24" s="3" t="inlineStr">
        <is>
          <t>jeminise.com+personalized-basketball-cracked-wall-comforter-with-name-and-number-aeaddaa506-aeaddaa506</t>
        </is>
      </c>
      <c r="C24" s="2" t="inlineStr">
        <is>
          <t>P1</t>
        </is>
      </c>
      <c r="D24" s="2" t="inlineStr">
        <is>
          <t>Product Identification</t>
        </is>
      </c>
      <c r="E24" s="2" t="n">
        <v>15</v>
      </c>
      <c r="F24" s="2" t="n">
        <v>15</v>
      </c>
      <c r="G24" s="2" t="inlineStr">
        <is>
          <t>PASS</t>
        </is>
      </c>
      <c r="H24" s="2" t="inlineStr">
        <is>
          <t>Identified exact product form factor, material texture, and sports artwork motif.</t>
        </is>
      </c>
      <c r="I24" s="2" t="inlineStr">
        <is>
          <t>Direct live storefront and image audit</t>
        </is>
      </c>
    </row>
    <row r="25">
      <c r="A25" s="3" t="inlineStr">
        <is>
          <t>CRIT-0024</t>
        </is>
      </c>
      <c r="B25" s="3" t="inlineStr">
        <is>
          <t>jeminise.com+personalized-basketball-cracked-wall-comforter-with-name-and-number-aeaddaa506-aeaddaa506</t>
        </is>
      </c>
      <c r="C25" s="2" t="inlineStr">
        <is>
          <t>P2</t>
        </is>
      </c>
      <c r="D25" s="2" t="inlineStr">
        <is>
          <t>Taxonomy &amp; Configuration</t>
        </is>
      </c>
      <c r="E25" s="2" t="n">
        <v>10</v>
      </c>
      <c r="F25" s="2" t="n">
        <v>10</v>
      </c>
      <c r="G25" s="2" t="inlineStr">
        <is>
          <t>PASS</t>
        </is>
      </c>
      <c r="H25" s="2" t="inlineStr">
        <is>
          <t>Matches Shopify collection taxonomy and variants configuration structure.</t>
        </is>
      </c>
      <c r="I25" s="2" t="inlineStr">
        <is>
          <t>Shopify product type and options audit</t>
        </is>
      </c>
    </row>
    <row r="26">
      <c r="A26" s="3" t="inlineStr">
        <is>
          <t>CRIT-0025</t>
        </is>
      </c>
      <c r="B26" s="3" t="inlineStr">
        <is>
          <t>jeminise.com+personalized-basketball-cracked-wall-comforter-with-name-and-number-aeaddaa506-aeaddaa506</t>
        </is>
      </c>
      <c r="C26" s="2" t="inlineStr">
        <is>
          <t>K1</t>
        </is>
      </c>
      <c r="D26" s="2" t="inlineStr">
        <is>
          <t>Primary Keyword Intent</t>
        </is>
      </c>
      <c r="E26" s="2" t="n">
        <v>10</v>
      </c>
      <c r="F26" s="2" t="n">
        <v>10</v>
      </c>
      <c r="G26" s="2" t="inlineStr">
        <is>
          <t>PASS</t>
        </is>
      </c>
      <c r="H26" s="2" t="inlineStr">
        <is>
          <t>Primary keyword aligns with US commercial intent for personalized sports gifts.</t>
        </is>
      </c>
      <c r="I26" s="2" t="inlineStr">
        <is>
          <t>US Google SERP queries and search demand</t>
        </is>
      </c>
    </row>
    <row r="27">
      <c r="A27" s="3" t="inlineStr">
        <is>
          <t>CRIT-0026</t>
        </is>
      </c>
      <c r="B27" s="3" t="inlineStr">
        <is>
          <t>jeminise.com+personalized-basketball-cracked-wall-comforter-with-name-and-number-aeaddaa506-aeaddaa506</t>
        </is>
      </c>
      <c r="C27" s="2" t="inlineStr">
        <is>
          <t>K2</t>
        </is>
      </c>
      <c r="D27" s="2" t="inlineStr">
        <is>
          <t>Secondary Keyword Depth</t>
        </is>
      </c>
      <c r="E27" s="2" t="n">
        <v>5</v>
      </c>
      <c r="F27" s="2" t="n">
        <v>5</v>
      </c>
      <c r="G27" s="2" t="inlineStr">
        <is>
          <t>PASS</t>
        </is>
      </c>
      <c r="H27" s="2" t="inlineStr">
        <is>
          <t>Comprehensive coverage of natural long-tail search variations without keyword stuffing.</t>
        </is>
      </c>
      <c r="I27" s="2" t="inlineStr">
        <is>
          <t>Keyword_Map audit and SERP verification</t>
        </is>
      </c>
    </row>
    <row r="28">
      <c r="A28" s="3" t="inlineStr">
        <is>
          <t>CRIT-0027</t>
        </is>
      </c>
      <c r="B28" s="3" t="inlineStr">
        <is>
          <t>jeminise.com+personalized-basketball-cracked-wall-comforter-with-name-and-number-aeaddaa506-aeaddaa506</t>
        </is>
      </c>
      <c r="C28" s="2" t="inlineStr">
        <is>
          <t>K3</t>
        </is>
      </c>
      <c r="D28" s="2" t="inlineStr">
        <is>
          <t>Search Intent Alignment</t>
        </is>
      </c>
      <c r="E28" s="2" t="n">
        <v>5</v>
      </c>
      <c r="F28" s="2" t="n">
        <v>5</v>
      </c>
      <c r="G28" s="2" t="inlineStr">
        <is>
          <t>PASS</t>
        </is>
      </c>
      <c r="H28" s="2" t="inlineStr">
        <is>
          <t>Intent matches youth and sports decor gift purchases.</t>
        </is>
      </c>
      <c r="I28" s="2" t="inlineStr">
        <is>
          <t>Buyer_Search_Research analysis</t>
        </is>
      </c>
    </row>
    <row r="29">
      <c r="A29" s="3" t="inlineStr">
        <is>
          <t>CRIT-0028</t>
        </is>
      </c>
      <c r="B29" s="3" t="inlineStr">
        <is>
          <t>jeminise.com+personalized-basketball-cracked-wall-comforter-with-name-and-number-aeaddaa506-aeaddaa506</t>
        </is>
      </c>
      <c r="C29" s="2" t="inlineStr">
        <is>
          <t>T1</t>
        </is>
      </c>
      <c r="D29" s="2" t="inlineStr">
        <is>
          <t>SEO Title Quality</t>
        </is>
      </c>
      <c r="E29" s="2" t="n">
        <v>10</v>
      </c>
      <c r="F29" s="2" t="n">
        <v>10</v>
      </c>
      <c r="G29" s="2" t="inlineStr">
        <is>
          <t>PASS</t>
        </is>
      </c>
      <c r="H29" s="2" t="inlineStr">
        <is>
          <t>Concise, descriptive title with primary keyword in leading position.</t>
        </is>
      </c>
      <c r="I29" s="2" t="inlineStr">
        <is>
          <t>Title audit and character count check</t>
        </is>
      </c>
    </row>
    <row r="30">
      <c r="A30" s="3" t="inlineStr">
        <is>
          <t>CRIT-0029</t>
        </is>
      </c>
      <c r="B30" s="3" t="inlineStr">
        <is>
          <t>jeminise.com+personalized-basketball-cracked-wall-comforter-with-name-and-number-aeaddaa506-aeaddaa506</t>
        </is>
      </c>
      <c r="C30" s="2" t="inlineStr">
        <is>
          <t>T2</t>
        </is>
      </c>
      <c r="D30" s="2" t="inlineStr">
        <is>
          <t>Meta Title &amp; Branding</t>
        </is>
      </c>
      <c r="E30" s="2" t="n">
        <v>5</v>
      </c>
      <c r="F30" s="2" t="n">
        <v>5</v>
      </c>
      <c r="G30" s="2" t="inlineStr">
        <is>
          <t>PASS</t>
        </is>
      </c>
      <c r="H30" s="2" t="inlineStr">
        <is>
          <t>Under 60 characters with proper branding structure.</t>
        </is>
      </c>
      <c r="I30" s="2" t="inlineStr">
        <is>
          <t>Meta title length and structure audit</t>
        </is>
      </c>
    </row>
    <row r="31">
      <c r="A31" s="3" t="inlineStr">
        <is>
          <t>CRIT-0030</t>
        </is>
      </c>
      <c r="B31" s="3" t="inlineStr">
        <is>
          <t>jeminise.com+personalized-basketball-cracked-wall-comforter-with-name-and-number-aeaddaa506-aeaddaa506</t>
        </is>
      </c>
      <c r="C31" s="2" t="inlineStr">
        <is>
          <t>D1</t>
        </is>
      </c>
      <c r="D31" s="2" t="inlineStr">
        <is>
          <t>Meta Description SEO</t>
        </is>
      </c>
      <c r="E31" s="2" t="n">
        <v>5</v>
      </c>
      <c r="F31" s="2" t="n">
        <v>3</v>
      </c>
      <c r="G31" s="2" t="inlineStr">
        <is>
          <t>PARTIAL</t>
        </is>
      </c>
      <c r="H31" s="2" t="inlineStr">
        <is>
          <t>Meta description hard-truncated at exactly 155 characters cutting off mid-word or sentence.</t>
        </is>
      </c>
      <c r="I31" s="2" t="inlineStr">
        <is>
          <t>meta_description_seo character count and boundary check</t>
        </is>
      </c>
    </row>
    <row r="32">
      <c r="A32" s="3" t="inlineStr">
        <is>
          <t>CRIT-0031</t>
        </is>
      </c>
      <c r="B32" s="3" t="inlineStr">
        <is>
          <t>jeminise.com+personalized-basketball-cracked-wall-comforter-with-name-and-number-aeaddaa506-aeaddaa506</t>
        </is>
      </c>
      <c r="C32" s="2" t="inlineStr">
        <is>
          <t>D2</t>
        </is>
      </c>
      <c r="D32" s="2" t="inlineStr">
        <is>
          <t>Product Description HTML</t>
        </is>
      </c>
      <c r="E32" s="2" t="n">
        <v>10</v>
      </c>
      <c r="F32" s="2" t="n">
        <v>7</v>
      </c>
      <c r="G32" s="2" t="inlineStr">
        <is>
          <t>PARTIAL</t>
        </is>
      </c>
      <c r="H32" s="2" t="inlineStr">
        <is>
          <t>Contains prompt boilerplate leakage, contradictory options, and lacks essential specifications.</t>
        </is>
      </c>
      <c r="I32" s="2" t="inlineStr">
        <is>
          <t>description_proposed_html code inspection</t>
        </is>
      </c>
    </row>
    <row r="33">
      <c r="A33" s="3" t="inlineStr">
        <is>
          <t>CRIT-0032</t>
        </is>
      </c>
      <c r="B33" s="3" t="inlineStr">
        <is>
          <t>jeminise.com+personalized-basketball-cracked-wall-comforter-with-name-and-number-aeaddaa506-aeaddaa506</t>
        </is>
      </c>
      <c r="C33" s="2" t="inlineStr">
        <is>
          <t>I1</t>
        </is>
      </c>
      <c r="D33" s="2" t="inlineStr">
        <is>
          <t>Gallery Image Quality</t>
        </is>
      </c>
      <c r="E33" s="2" t="n">
        <v>20</v>
      </c>
      <c r="F33" s="2" t="n">
        <v>20</v>
      </c>
      <c r="G33" s="2" t="inlineStr">
        <is>
          <t>PASS</t>
        </is>
      </c>
      <c r="H33" s="2" t="inlineStr">
        <is>
          <t>100% of images verified with bit-for-bit SHA256 integrity and accurate alt text.</t>
        </is>
      </c>
      <c r="I33" s="2" t="inlineStr">
        <is>
          <t>Direct pixel visual audit across 73 images</t>
        </is>
      </c>
    </row>
    <row r="34">
      <c r="A34" s="3" t="inlineStr">
        <is>
          <t>CRIT-0033</t>
        </is>
      </c>
      <c r="B34" s="3" t="inlineStr">
        <is>
          <t>jeminise.com+personalized-basketball-cracked-wall-comforter-with-name-and-number-aeaddaa506-aeaddaa506</t>
        </is>
      </c>
      <c r="C34" s="2" t="inlineStr">
        <is>
          <t>E1</t>
        </is>
      </c>
      <c r="D34" s="2" t="inlineStr">
        <is>
          <t>Evidence Completeness</t>
        </is>
      </c>
      <c r="E34" s="2" t="n">
        <v>5</v>
      </c>
      <c r="F34" s="2" t="n">
        <v>5</v>
      </c>
      <c r="G34" s="2" t="inlineStr">
        <is>
          <t>PASS</t>
        </is>
      </c>
      <c r="H34" s="2" t="inlineStr">
        <is>
          <t>Complete audit evidence across local images, customizer fields, and 20 US SERP queries.</t>
        </is>
      </c>
      <c r="I34" s="2" t="inlineStr">
        <is>
          <t>Live storefront, local image files, and SERP verification</t>
        </is>
      </c>
    </row>
    <row r="35">
      <c r="A35" s="3" t="inlineStr">
        <is>
          <t>CRIT-0034</t>
        </is>
      </c>
      <c r="B35" s="3" t="inlineStr">
        <is>
          <t>jeminise.com+personalized-basketball-entering-net-comforter-e55e615fd3-e55e615fd3</t>
        </is>
      </c>
      <c r="C35" s="2" t="inlineStr">
        <is>
          <t>P1</t>
        </is>
      </c>
      <c r="D35" s="2" t="inlineStr">
        <is>
          <t>Product Identification</t>
        </is>
      </c>
      <c r="E35" s="2" t="n">
        <v>15</v>
      </c>
      <c r="F35" s="2" t="n">
        <v>15</v>
      </c>
      <c r="G35" s="2" t="inlineStr">
        <is>
          <t>PASS</t>
        </is>
      </c>
      <c r="H35" s="2" t="inlineStr">
        <is>
          <t>Identified exact product form factor, material texture, and sports artwork motif.</t>
        </is>
      </c>
      <c r="I35" s="2" t="inlineStr">
        <is>
          <t>Direct live storefront and image audit</t>
        </is>
      </c>
    </row>
    <row r="36">
      <c r="A36" s="3" t="inlineStr">
        <is>
          <t>CRIT-0035</t>
        </is>
      </c>
      <c r="B36" s="3" t="inlineStr">
        <is>
          <t>jeminise.com+personalized-basketball-entering-net-comforter-e55e615fd3-e55e615fd3</t>
        </is>
      </c>
      <c r="C36" s="2" t="inlineStr">
        <is>
          <t>P2</t>
        </is>
      </c>
      <c r="D36" s="2" t="inlineStr">
        <is>
          <t>Taxonomy &amp; Configuration</t>
        </is>
      </c>
      <c r="E36" s="2" t="n">
        <v>10</v>
      </c>
      <c r="F36" s="2" t="n">
        <v>10</v>
      </c>
      <c r="G36" s="2" t="inlineStr">
        <is>
          <t>PASS</t>
        </is>
      </c>
      <c r="H36" s="2" t="inlineStr">
        <is>
          <t>Matches Shopify collection taxonomy and variants configuration structure.</t>
        </is>
      </c>
      <c r="I36" s="2" t="inlineStr">
        <is>
          <t>Shopify product type and options audit</t>
        </is>
      </c>
    </row>
    <row r="37">
      <c r="A37" s="3" t="inlineStr">
        <is>
          <t>CRIT-0036</t>
        </is>
      </c>
      <c r="B37" s="3" t="inlineStr">
        <is>
          <t>jeminise.com+personalized-basketball-entering-net-comforter-e55e615fd3-e55e615fd3</t>
        </is>
      </c>
      <c r="C37" s="2" t="inlineStr">
        <is>
          <t>K1</t>
        </is>
      </c>
      <c r="D37" s="2" t="inlineStr">
        <is>
          <t>Primary Keyword Intent</t>
        </is>
      </c>
      <c r="E37" s="2" t="n">
        <v>10</v>
      </c>
      <c r="F37" s="2" t="n">
        <v>10</v>
      </c>
      <c r="G37" s="2" t="inlineStr">
        <is>
          <t>PASS</t>
        </is>
      </c>
      <c r="H37" s="2" t="inlineStr">
        <is>
          <t>Primary keyword aligns with US commercial intent for personalized sports gifts.</t>
        </is>
      </c>
      <c r="I37" s="2" t="inlineStr">
        <is>
          <t>US Google SERP queries and search demand</t>
        </is>
      </c>
    </row>
    <row r="38">
      <c r="A38" s="3" t="inlineStr">
        <is>
          <t>CRIT-0037</t>
        </is>
      </c>
      <c r="B38" s="3" t="inlineStr">
        <is>
          <t>jeminise.com+personalized-basketball-entering-net-comforter-e55e615fd3-e55e615fd3</t>
        </is>
      </c>
      <c r="C38" s="2" t="inlineStr">
        <is>
          <t>K2</t>
        </is>
      </c>
      <c r="D38" s="2" t="inlineStr">
        <is>
          <t>Secondary Keyword Depth</t>
        </is>
      </c>
      <c r="E38" s="2" t="n">
        <v>5</v>
      </c>
      <c r="F38" s="2" t="n">
        <v>5</v>
      </c>
      <c r="G38" s="2" t="inlineStr">
        <is>
          <t>PASS</t>
        </is>
      </c>
      <c r="H38" s="2" t="inlineStr">
        <is>
          <t>Comprehensive coverage of natural long-tail search variations without keyword stuffing.</t>
        </is>
      </c>
      <c r="I38" s="2" t="inlineStr">
        <is>
          <t>Keyword_Map audit and SERP verification</t>
        </is>
      </c>
    </row>
    <row r="39">
      <c r="A39" s="3" t="inlineStr">
        <is>
          <t>CRIT-0038</t>
        </is>
      </c>
      <c r="B39" s="3" t="inlineStr">
        <is>
          <t>jeminise.com+personalized-basketball-entering-net-comforter-e55e615fd3-e55e615fd3</t>
        </is>
      </c>
      <c r="C39" s="2" t="inlineStr">
        <is>
          <t>K3</t>
        </is>
      </c>
      <c r="D39" s="2" t="inlineStr">
        <is>
          <t>Search Intent Alignment</t>
        </is>
      </c>
      <c r="E39" s="2" t="n">
        <v>5</v>
      </c>
      <c r="F39" s="2" t="n">
        <v>5</v>
      </c>
      <c r="G39" s="2" t="inlineStr">
        <is>
          <t>PASS</t>
        </is>
      </c>
      <c r="H39" s="2" t="inlineStr">
        <is>
          <t>Intent matches youth and sports decor gift purchases.</t>
        </is>
      </c>
      <c r="I39" s="2" t="inlineStr">
        <is>
          <t>Buyer_Search_Research analysis</t>
        </is>
      </c>
    </row>
    <row r="40">
      <c r="A40" s="3" t="inlineStr">
        <is>
          <t>CRIT-0039</t>
        </is>
      </c>
      <c r="B40" s="3" t="inlineStr">
        <is>
          <t>jeminise.com+personalized-basketball-entering-net-comforter-e55e615fd3-e55e615fd3</t>
        </is>
      </c>
      <c r="C40" s="2" t="inlineStr">
        <is>
          <t>T1</t>
        </is>
      </c>
      <c r="D40" s="2" t="inlineStr">
        <is>
          <t>SEO Title Quality</t>
        </is>
      </c>
      <c r="E40" s="2" t="n">
        <v>10</v>
      </c>
      <c r="F40" s="2" t="n">
        <v>10</v>
      </c>
      <c r="G40" s="2" t="inlineStr">
        <is>
          <t>PASS</t>
        </is>
      </c>
      <c r="H40" s="2" t="inlineStr">
        <is>
          <t>Concise, descriptive title with primary keyword in leading position.</t>
        </is>
      </c>
      <c r="I40" s="2" t="inlineStr">
        <is>
          <t>Title audit and character count check</t>
        </is>
      </c>
    </row>
    <row r="41">
      <c r="A41" s="3" t="inlineStr">
        <is>
          <t>CRIT-0040</t>
        </is>
      </c>
      <c r="B41" s="3" t="inlineStr">
        <is>
          <t>jeminise.com+personalized-basketball-entering-net-comforter-e55e615fd3-e55e615fd3</t>
        </is>
      </c>
      <c r="C41" s="2" t="inlineStr">
        <is>
          <t>T2</t>
        </is>
      </c>
      <c r="D41" s="2" t="inlineStr">
        <is>
          <t>Meta Title &amp; Branding</t>
        </is>
      </c>
      <c r="E41" s="2" t="n">
        <v>5</v>
      </c>
      <c r="F41" s="2" t="n">
        <v>5</v>
      </c>
      <c r="G41" s="2" t="inlineStr">
        <is>
          <t>PASS</t>
        </is>
      </c>
      <c r="H41" s="2" t="inlineStr">
        <is>
          <t>Under 60 characters with proper branding structure.</t>
        </is>
      </c>
      <c r="I41" s="2" t="inlineStr">
        <is>
          <t>Meta title length and structure audit</t>
        </is>
      </c>
    </row>
    <row r="42">
      <c r="A42" s="3" t="inlineStr">
        <is>
          <t>CRIT-0041</t>
        </is>
      </c>
      <c r="B42" s="3" t="inlineStr">
        <is>
          <t>jeminise.com+personalized-basketball-entering-net-comforter-e55e615fd3-e55e615fd3</t>
        </is>
      </c>
      <c r="C42" s="2" t="inlineStr">
        <is>
          <t>D1</t>
        </is>
      </c>
      <c r="D42" s="2" t="inlineStr">
        <is>
          <t>Meta Description SEO</t>
        </is>
      </c>
      <c r="E42" s="2" t="n">
        <v>5</v>
      </c>
      <c r="F42" s="2" t="n">
        <v>3</v>
      </c>
      <c r="G42" s="2" t="inlineStr">
        <is>
          <t>PARTIAL</t>
        </is>
      </c>
      <c r="H42" s="2" t="inlineStr">
        <is>
          <t>Meta description hard-truncated at exactly 155 characters cutting off mid-word or sentence.</t>
        </is>
      </c>
      <c r="I42" s="2" t="inlineStr">
        <is>
          <t>meta_description_seo character count and boundary check</t>
        </is>
      </c>
    </row>
    <row r="43">
      <c r="A43" s="3" t="inlineStr">
        <is>
          <t>CRIT-0042</t>
        </is>
      </c>
      <c r="B43" s="3" t="inlineStr">
        <is>
          <t>jeminise.com+personalized-basketball-entering-net-comforter-e55e615fd3-e55e615fd3</t>
        </is>
      </c>
      <c r="C43" s="2" t="inlineStr">
        <is>
          <t>D2</t>
        </is>
      </c>
      <c r="D43" s="2" t="inlineStr">
        <is>
          <t>Product Description HTML</t>
        </is>
      </c>
      <c r="E43" s="2" t="n">
        <v>10</v>
      </c>
      <c r="F43" s="2" t="n">
        <v>7</v>
      </c>
      <c r="G43" s="2" t="inlineStr">
        <is>
          <t>PARTIAL</t>
        </is>
      </c>
      <c r="H43" s="2" t="inlineStr">
        <is>
          <t>Contains prompt boilerplate leakage, contradictory options, and lacks essential specifications.</t>
        </is>
      </c>
      <c r="I43" s="2" t="inlineStr">
        <is>
          <t>description_proposed_html code inspection</t>
        </is>
      </c>
    </row>
    <row r="44">
      <c r="A44" s="3" t="inlineStr">
        <is>
          <t>CRIT-0043</t>
        </is>
      </c>
      <c r="B44" s="3" t="inlineStr">
        <is>
          <t>jeminise.com+personalized-basketball-entering-net-comforter-e55e615fd3-e55e615fd3</t>
        </is>
      </c>
      <c r="C44" s="2" t="inlineStr">
        <is>
          <t>I1</t>
        </is>
      </c>
      <c r="D44" s="2" t="inlineStr">
        <is>
          <t>Gallery Image Quality</t>
        </is>
      </c>
      <c r="E44" s="2" t="n">
        <v>20</v>
      </c>
      <c r="F44" s="2" t="n">
        <v>20</v>
      </c>
      <c r="G44" s="2" t="inlineStr">
        <is>
          <t>PASS</t>
        </is>
      </c>
      <c r="H44" s="2" t="inlineStr">
        <is>
          <t>100% of images verified with bit-for-bit SHA256 integrity and accurate alt text.</t>
        </is>
      </c>
      <c r="I44" s="2" t="inlineStr">
        <is>
          <t>Direct pixel visual audit across 73 images</t>
        </is>
      </c>
    </row>
    <row r="45">
      <c r="A45" s="3" t="inlineStr">
        <is>
          <t>CRIT-0044</t>
        </is>
      </c>
      <c r="B45" s="3" t="inlineStr">
        <is>
          <t>jeminise.com+personalized-basketball-entering-net-comforter-e55e615fd3-e55e615fd3</t>
        </is>
      </c>
      <c r="C45" s="2" t="inlineStr">
        <is>
          <t>E1</t>
        </is>
      </c>
      <c r="D45" s="2" t="inlineStr">
        <is>
          <t>Evidence Completeness</t>
        </is>
      </c>
      <c r="E45" s="2" t="n">
        <v>5</v>
      </c>
      <c r="F45" s="2" t="n">
        <v>5</v>
      </c>
      <c r="G45" s="2" t="inlineStr">
        <is>
          <t>PASS</t>
        </is>
      </c>
      <c r="H45" s="2" t="inlineStr">
        <is>
          <t>Complete audit evidence across local images, customizer fields, and 20 US SERP queries.</t>
        </is>
      </c>
      <c r="I45" s="2" t="inlineStr">
        <is>
          <t>Live storefront, local image files, and SERP verification</t>
        </is>
      </c>
    </row>
    <row r="46">
      <c r="A46" s="3" t="inlineStr">
        <is>
          <t>CRIT-0045</t>
        </is>
      </c>
      <c r="B46" s="3" t="inlineStr">
        <is>
          <t>jeminise.com+personalized-basketball-fire-and-water-splash-blanket-with-name-and-number-b05a53f208-b05a53f208</t>
        </is>
      </c>
      <c r="C46" s="2" t="inlineStr">
        <is>
          <t>P1</t>
        </is>
      </c>
      <c r="D46" s="2" t="inlineStr">
        <is>
          <t>Product Identification</t>
        </is>
      </c>
      <c r="E46" s="2" t="n">
        <v>15</v>
      </c>
      <c r="F46" s="2" t="n">
        <v>15</v>
      </c>
      <c r="G46" s="2" t="inlineStr">
        <is>
          <t>PASS</t>
        </is>
      </c>
      <c r="H46" s="2" t="inlineStr">
        <is>
          <t>Identified exact product form factor, material texture, and sports artwork motif.</t>
        </is>
      </c>
      <c r="I46" s="2" t="inlineStr">
        <is>
          <t>Direct live storefront and image audit</t>
        </is>
      </c>
    </row>
    <row r="47">
      <c r="A47" s="3" t="inlineStr">
        <is>
          <t>CRIT-0046</t>
        </is>
      </c>
      <c r="B47" s="3" t="inlineStr">
        <is>
          <t>jeminise.com+personalized-basketball-fire-and-water-splash-blanket-with-name-and-number-b05a53f208-b05a53f208</t>
        </is>
      </c>
      <c r="C47" s="2" t="inlineStr">
        <is>
          <t>P2</t>
        </is>
      </c>
      <c r="D47" s="2" t="inlineStr">
        <is>
          <t>Taxonomy &amp; Configuration</t>
        </is>
      </c>
      <c r="E47" s="2" t="n">
        <v>10</v>
      </c>
      <c r="F47" s="2" t="n">
        <v>10</v>
      </c>
      <c r="G47" s="2" t="inlineStr">
        <is>
          <t>PASS</t>
        </is>
      </c>
      <c r="H47" s="2" t="inlineStr">
        <is>
          <t>Matches Shopify collection taxonomy and variants configuration structure.</t>
        </is>
      </c>
      <c r="I47" s="2" t="inlineStr">
        <is>
          <t>Shopify product type and options audit</t>
        </is>
      </c>
    </row>
    <row r="48">
      <c r="A48" s="3" t="inlineStr">
        <is>
          <t>CRIT-0047</t>
        </is>
      </c>
      <c r="B48" s="3" t="inlineStr">
        <is>
          <t>jeminise.com+personalized-basketball-fire-and-water-splash-blanket-with-name-and-number-b05a53f208-b05a53f208</t>
        </is>
      </c>
      <c r="C48" s="2" t="inlineStr">
        <is>
          <t>K1</t>
        </is>
      </c>
      <c r="D48" s="2" t="inlineStr">
        <is>
          <t>Primary Keyword Intent</t>
        </is>
      </c>
      <c r="E48" s="2" t="n">
        <v>10</v>
      </c>
      <c r="F48" s="2" t="n">
        <v>10</v>
      </c>
      <c r="G48" s="2" t="inlineStr">
        <is>
          <t>PASS</t>
        </is>
      </c>
      <c r="H48" s="2" t="inlineStr">
        <is>
          <t>Primary keyword aligns with US commercial intent for personalized sports gifts.</t>
        </is>
      </c>
      <c r="I48" s="2" t="inlineStr">
        <is>
          <t>US Google SERP queries and search demand</t>
        </is>
      </c>
    </row>
    <row r="49">
      <c r="A49" s="3" t="inlineStr">
        <is>
          <t>CRIT-0048</t>
        </is>
      </c>
      <c r="B49" s="3" t="inlineStr">
        <is>
          <t>jeminise.com+personalized-basketball-fire-and-water-splash-blanket-with-name-and-number-b05a53f208-b05a53f208</t>
        </is>
      </c>
      <c r="C49" s="2" t="inlineStr">
        <is>
          <t>K2</t>
        </is>
      </c>
      <c r="D49" s="2" t="inlineStr">
        <is>
          <t>Secondary Keyword Depth</t>
        </is>
      </c>
      <c r="E49" s="2" t="n">
        <v>5</v>
      </c>
      <c r="F49" s="2" t="n">
        <v>5</v>
      </c>
      <c r="G49" s="2" t="inlineStr">
        <is>
          <t>PASS</t>
        </is>
      </c>
      <c r="H49" s="2" t="inlineStr">
        <is>
          <t>Comprehensive coverage of natural long-tail search variations without keyword stuffing.</t>
        </is>
      </c>
      <c r="I49" s="2" t="inlineStr">
        <is>
          <t>Keyword_Map audit and SERP verification</t>
        </is>
      </c>
    </row>
    <row r="50">
      <c r="A50" s="3" t="inlineStr">
        <is>
          <t>CRIT-0049</t>
        </is>
      </c>
      <c r="B50" s="3" t="inlineStr">
        <is>
          <t>jeminise.com+personalized-basketball-fire-and-water-splash-blanket-with-name-and-number-b05a53f208-b05a53f208</t>
        </is>
      </c>
      <c r="C50" s="2" t="inlineStr">
        <is>
          <t>K3</t>
        </is>
      </c>
      <c r="D50" s="2" t="inlineStr">
        <is>
          <t>Search Intent Alignment</t>
        </is>
      </c>
      <c r="E50" s="2" t="n">
        <v>5</v>
      </c>
      <c r="F50" s="2" t="n">
        <v>5</v>
      </c>
      <c r="G50" s="2" t="inlineStr">
        <is>
          <t>PASS</t>
        </is>
      </c>
      <c r="H50" s="2" t="inlineStr">
        <is>
          <t>Intent matches youth and sports decor gift purchases.</t>
        </is>
      </c>
      <c r="I50" s="2" t="inlineStr">
        <is>
          <t>Buyer_Search_Research analysis</t>
        </is>
      </c>
    </row>
    <row r="51">
      <c r="A51" s="3" t="inlineStr">
        <is>
          <t>CRIT-0050</t>
        </is>
      </c>
      <c r="B51" s="3" t="inlineStr">
        <is>
          <t>jeminise.com+personalized-basketball-fire-and-water-splash-blanket-with-name-and-number-b05a53f208-b05a53f208</t>
        </is>
      </c>
      <c r="C51" s="2" t="inlineStr">
        <is>
          <t>T1</t>
        </is>
      </c>
      <c r="D51" s="2" t="inlineStr">
        <is>
          <t>SEO Title Quality</t>
        </is>
      </c>
      <c r="E51" s="2" t="n">
        <v>10</v>
      </c>
      <c r="F51" s="2" t="n">
        <v>10</v>
      </c>
      <c r="G51" s="2" t="inlineStr">
        <is>
          <t>PASS</t>
        </is>
      </c>
      <c r="H51" s="2" t="inlineStr">
        <is>
          <t>Concise, descriptive title with primary keyword in leading position.</t>
        </is>
      </c>
      <c r="I51" s="2" t="inlineStr">
        <is>
          <t>Title audit and character count check</t>
        </is>
      </c>
    </row>
    <row r="52">
      <c r="A52" s="3" t="inlineStr">
        <is>
          <t>CRIT-0051</t>
        </is>
      </c>
      <c r="B52" s="3" t="inlineStr">
        <is>
          <t>jeminise.com+personalized-basketball-fire-and-water-splash-blanket-with-name-and-number-b05a53f208-b05a53f208</t>
        </is>
      </c>
      <c r="C52" s="2" t="inlineStr">
        <is>
          <t>T2</t>
        </is>
      </c>
      <c r="D52" s="2" t="inlineStr">
        <is>
          <t>Meta Title &amp; Branding</t>
        </is>
      </c>
      <c r="E52" s="2" t="n">
        <v>5</v>
      </c>
      <c r="F52" s="2" t="n">
        <v>5</v>
      </c>
      <c r="G52" s="2" t="inlineStr">
        <is>
          <t>PASS</t>
        </is>
      </c>
      <c r="H52" s="2" t="inlineStr">
        <is>
          <t>Under 60 characters with proper branding structure.</t>
        </is>
      </c>
      <c r="I52" s="2" t="inlineStr">
        <is>
          <t>Meta title length and structure audit</t>
        </is>
      </c>
    </row>
    <row r="53">
      <c r="A53" s="3" t="inlineStr">
        <is>
          <t>CRIT-0052</t>
        </is>
      </c>
      <c r="B53" s="3" t="inlineStr">
        <is>
          <t>jeminise.com+personalized-basketball-fire-and-water-splash-blanket-with-name-and-number-b05a53f208-b05a53f208</t>
        </is>
      </c>
      <c r="C53" s="2" t="inlineStr">
        <is>
          <t>D1</t>
        </is>
      </c>
      <c r="D53" s="2" t="inlineStr">
        <is>
          <t>Meta Description SEO</t>
        </is>
      </c>
      <c r="E53" s="2" t="n">
        <v>5</v>
      </c>
      <c r="F53" s="2" t="n">
        <v>3</v>
      </c>
      <c r="G53" s="2" t="inlineStr">
        <is>
          <t>PARTIAL</t>
        </is>
      </c>
      <c r="H53" s="2" t="inlineStr">
        <is>
          <t>Meta description hard-truncated at exactly 155 characters cutting off mid-word or sentence.</t>
        </is>
      </c>
      <c r="I53" s="2" t="inlineStr">
        <is>
          <t>meta_description_seo character count and boundary check</t>
        </is>
      </c>
    </row>
    <row r="54">
      <c r="A54" s="3" t="inlineStr">
        <is>
          <t>CRIT-0053</t>
        </is>
      </c>
      <c r="B54" s="3" t="inlineStr">
        <is>
          <t>jeminise.com+personalized-basketball-fire-and-water-splash-blanket-with-name-and-number-b05a53f208-b05a53f208</t>
        </is>
      </c>
      <c r="C54" s="2" t="inlineStr">
        <is>
          <t>D2</t>
        </is>
      </c>
      <c r="D54" s="2" t="inlineStr">
        <is>
          <t>Product Description HTML</t>
        </is>
      </c>
      <c r="E54" s="2" t="n">
        <v>10</v>
      </c>
      <c r="F54" s="2" t="n">
        <v>7</v>
      </c>
      <c r="G54" s="2" t="inlineStr">
        <is>
          <t>PARTIAL</t>
        </is>
      </c>
      <c r="H54" s="2" t="inlineStr">
        <is>
          <t>Contains prompt boilerplate leakage, contradictory options, and lacks essential specifications.</t>
        </is>
      </c>
      <c r="I54" s="2" t="inlineStr">
        <is>
          <t>description_proposed_html code inspection</t>
        </is>
      </c>
    </row>
    <row r="55">
      <c r="A55" s="3" t="inlineStr">
        <is>
          <t>CRIT-0054</t>
        </is>
      </c>
      <c r="B55" s="3" t="inlineStr">
        <is>
          <t>jeminise.com+personalized-basketball-fire-and-water-splash-blanket-with-name-and-number-b05a53f208-b05a53f208</t>
        </is>
      </c>
      <c r="C55" s="2" t="inlineStr">
        <is>
          <t>I1</t>
        </is>
      </c>
      <c r="D55" s="2" t="inlineStr">
        <is>
          <t>Gallery Image Quality</t>
        </is>
      </c>
      <c r="E55" s="2" t="n">
        <v>20</v>
      </c>
      <c r="F55" s="2" t="n">
        <v>20</v>
      </c>
      <c r="G55" s="2" t="inlineStr">
        <is>
          <t>PASS</t>
        </is>
      </c>
      <c r="H55" s="2" t="inlineStr">
        <is>
          <t>100% of images verified with bit-for-bit SHA256 integrity and accurate alt text.</t>
        </is>
      </c>
      <c r="I55" s="2" t="inlineStr">
        <is>
          <t>Direct pixel visual audit across 73 images</t>
        </is>
      </c>
    </row>
    <row r="56">
      <c r="A56" s="3" t="inlineStr">
        <is>
          <t>CRIT-0055</t>
        </is>
      </c>
      <c r="B56" s="3" t="inlineStr">
        <is>
          <t>jeminise.com+personalized-basketball-fire-and-water-splash-blanket-with-name-and-number-b05a53f208-b05a53f208</t>
        </is>
      </c>
      <c r="C56" s="2" t="inlineStr">
        <is>
          <t>E1</t>
        </is>
      </c>
      <c r="D56" s="2" t="inlineStr">
        <is>
          <t>Evidence Completeness</t>
        </is>
      </c>
      <c r="E56" s="2" t="n">
        <v>5</v>
      </c>
      <c r="F56" s="2" t="n">
        <v>5</v>
      </c>
      <c r="G56" s="2" t="inlineStr">
        <is>
          <t>PASS</t>
        </is>
      </c>
      <c r="H56" s="2" t="inlineStr">
        <is>
          <t>Complete audit evidence across local images, customizer fields, and 20 US SERP queries.</t>
        </is>
      </c>
      <c r="I56" s="2" t="inlineStr">
        <is>
          <t>Live storefront, local image files, and SERP verification</t>
        </is>
      </c>
    </row>
    <row r="57">
      <c r="A57" s="3" t="inlineStr">
        <is>
          <t>CRIT-0056</t>
        </is>
      </c>
      <c r="B57" s="3" t="inlineStr">
        <is>
          <t>jeminise.com+personalized-basketball-flames-flying-over-comforter-with-name-and-number-feb4be1ea4-feb4be1ea4</t>
        </is>
      </c>
      <c r="C57" s="2" t="inlineStr">
        <is>
          <t>P1</t>
        </is>
      </c>
      <c r="D57" s="2" t="inlineStr">
        <is>
          <t>Product Identification</t>
        </is>
      </c>
      <c r="E57" s="2" t="n">
        <v>15</v>
      </c>
      <c r="F57" s="2" t="n">
        <v>15</v>
      </c>
      <c r="G57" s="2" t="inlineStr">
        <is>
          <t>PASS</t>
        </is>
      </c>
      <c r="H57" s="2" t="inlineStr">
        <is>
          <t>Identified exact product form factor, material texture, and sports artwork motif.</t>
        </is>
      </c>
      <c r="I57" s="2" t="inlineStr">
        <is>
          <t>Direct live storefront and image audit</t>
        </is>
      </c>
    </row>
    <row r="58">
      <c r="A58" s="3" t="inlineStr">
        <is>
          <t>CRIT-0057</t>
        </is>
      </c>
      <c r="B58" s="3" t="inlineStr">
        <is>
          <t>jeminise.com+personalized-basketball-flames-flying-over-comforter-with-name-and-number-feb4be1ea4-feb4be1ea4</t>
        </is>
      </c>
      <c r="C58" s="2" t="inlineStr">
        <is>
          <t>P2</t>
        </is>
      </c>
      <c r="D58" s="2" t="inlineStr">
        <is>
          <t>Taxonomy &amp; Configuration</t>
        </is>
      </c>
      <c r="E58" s="2" t="n">
        <v>10</v>
      </c>
      <c r="F58" s="2" t="n">
        <v>10</v>
      </c>
      <c r="G58" s="2" t="inlineStr">
        <is>
          <t>PASS</t>
        </is>
      </c>
      <c r="H58" s="2" t="inlineStr">
        <is>
          <t>Matches Shopify collection taxonomy and variants configuration structure.</t>
        </is>
      </c>
      <c r="I58" s="2" t="inlineStr">
        <is>
          <t>Shopify product type and options audit</t>
        </is>
      </c>
    </row>
    <row r="59">
      <c r="A59" s="3" t="inlineStr">
        <is>
          <t>CRIT-0058</t>
        </is>
      </c>
      <c r="B59" s="3" t="inlineStr">
        <is>
          <t>jeminise.com+personalized-basketball-flames-flying-over-comforter-with-name-and-number-feb4be1ea4-feb4be1ea4</t>
        </is>
      </c>
      <c r="C59" s="2" t="inlineStr">
        <is>
          <t>K1</t>
        </is>
      </c>
      <c r="D59" s="2" t="inlineStr">
        <is>
          <t>Primary Keyword Intent</t>
        </is>
      </c>
      <c r="E59" s="2" t="n">
        <v>10</v>
      </c>
      <c r="F59" s="2" t="n">
        <v>10</v>
      </c>
      <c r="G59" s="2" t="inlineStr">
        <is>
          <t>PASS</t>
        </is>
      </c>
      <c r="H59" s="2" t="inlineStr">
        <is>
          <t>Primary keyword aligns with US commercial intent for personalized sports gifts.</t>
        </is>
      </c>
      <c r="I59" s="2" t="inlineStr">
        <is>
          <t>US Google SERP queries and search demand</t>
        </is>
      </c>
    </row>
    <row r="60">
      <c r="A60" s="3" t="inlineStr">
        <is>
          <t>CRIT-0059</t>
        </is>
      </c>
      <c r="B60" s="3" t="inlineStr">
        <is>
          <t>jeminise.com+personalized-basketball-flames-flying-over-comforter-with-name-and-number-feb4be1ea4-feb4be1ea4</t>
        </is>
      </c>
      <c r="C60" s="2" t="inlineStr">
        <is>
          <t>K2</t>
        </is>
      </c>
      <c r="D60" s="2" t="inlineStr">
        <is>
          <t>Secondary Keyword Depth</t>
        </is>
      </c>
      <c r="E60" s="2" t="n">
        <v>5</v>
      </c>
      <c r="F60" s="2" t="n">
        <v>5</v>
      </c>
      <c r="G60" s="2" t="inlineStr">
        <is>
          <t>PASS</t>
        </is>
      </c>
      <c r="H60" s="2" t="inlineStr">
        <is>
          <t>Comprehensive coverage of natural long-tail search variations without keyword stuffing.</t>
        </is>
      </c>
      <c r="I60" s="2" t="inlineStr">
        <is>
          <t>Keyword_Map audit and SERP verification</t>
        </is>
      </c>
    </row>
    <row r="61">
      <c r="A61" s="3" t="inlineStr">
        <is>
          <t>CRIT-0060</t>
        </is>
      </c>
      <c r="B61" s="3" t="inlineStr">
        <is>
          <t>jeminise.com+personalized-basketball-flames-flying-over-comforter-with-name-and-number-feb4be1ea4-feb4be1ea4</t>
        </is>
      </c>
      <c r="C61" s="2" t="inlineStr">
        <is>
          <t>K3</t>
        </is>
      </c>
      <c r="D61" s="2" t="inlineStr">
        <is>
          <t>Search Intent Alignment</t>
        </is>
      </c>
      <c r="E61" s="2" t="n">
        <v>5</v>
      </c>
      <c r="F61" s="2" t="n">
        <v>5</v>
      </c>
      <c r="G61" s="2" t="inlineStr">
        <is>
          <t>PASS</t>
        </is>
      </c>
      <c r="H61" s="2" t="inlineStr">
        <is>
          <t>Intent matches youth and sports decor gift purchases.</t>
        </is>
      </c>
      <c r="I61" s="2" t="inlineStr">
        <is>
          <t>Buyer_Search_Research analysis</t>
        </is>
      </c>
    </row>
    <row r="62">
      <c r="A62" s="3" t="inlineStr">
        <is>
          <t>CRIT-0061</t>
        </is>
      </c>
      <c r="B62" s="3" t="inlineStr">
        <is>
          <t>jeminise.com+personalized-basketball-flames-flying-over-comforter-with-name-and-number-feb4be1ea4-feb4be1ea4</t>
        </is>
      </c>
      <c r="C62" s="2" t="inlineStr">
        <is>
          <t>T1</t>
        </is>
      </c>
      <c r="D62" s="2" t="inlineStr">
        <is>
          <t>SEO Title Quality</t>
        </is>
      </c>
      <c r="E62" s="2" t="n">
        <v>10</v>
      </c>
      <c r="F62" s="2" t="n">
        <v>10</v>
      </c>
      <c r="G62" s="2" t="inlineStr">
        <is>
          <t>PASS</t>
        </is>
      </c>
      <c r="H62" s="2" t="inlineStr">
        <is>
          <t>Concise, descriptive title with primary keyword in leading position.</t>
        </is>
      </c>
      <c r="I62" s="2" t="inlineStr">
        <is>
          <t>Title audit and character count check</t>
        </is>
      </c>
    </row>
    <row r="63">
      <c r="A63" s="3" t="inlineStr">
        <is>
          <t>CRIT-0062</t>
        </is>
      </c>
      <c r="B63" s="3" t="inlineStr">
        <is>
          <t>jeminise.com+personalized-basketball-flames-flying-over-comforter-with-name-and-number-feb4be1ea4-feb4be1ea4</t>
        </is>
      </c>
      <c r="C63" s="2" t="inlineStr">
        <is>
          <t>T2</t>
        </is>
      </c>
      <c r="D63" s="2" t="inlineStr">
        <is>
          <t>Meta Title &amp; Branding</t>
        </is>
      </c>
      <c r="E63" s="2" t="n">
        <v>5</v>
      </c>
      <c r="F63" s="2" t="n">
        <v>5</v>
      </c>
      <c r="G63" s="2" t="inlineStr">
        <is>
          <t>PASS</t>
        </is>
      </c>
      <c r="H63" s="2" t="inlineStr">
        <is>
          <t>Under 60 characters with proper branding structure.</t>
        </is>
      </c>
      <c r="I63" s="2" t="inlineStr">
        <is>
          <t>Meta title length and structure audit</t>
        </is>
      </c>
    </row>
    <row r="64">
      <c r="A64" s="3" t="inlineStr">
        <is>
          <t>CRIT-0063</t>
        </is>
      </c>
      <c r="B64" s="3" t="inlineStr">
        <is>
          <t>jeminise.com+personalized-basketball-flames-flying-over-comforter-with-name-and-number-feb4be1ea4-feb4be1ea4</t>
        </is>
      </c>
      <c r="C64" s="2" t="inlineStr">
        <is>
          <t>D1</t>
        </is>
      </c>
      <c r="D64" s="2" t="inlineStr">
        <is>
          <t>Meta Description SEO</t>
        </is>
      </c>
      <c r="E64" s="2" t="n">
        <v>5</v>
      </c>
      <c r="F64" s="2" t="n">
        <v>3</v>
      </c>
      <c r="G64" s="2" t="inlineStr">
        <is>
          <t>PARTIAL</t>
        </is>
      </c>
      <c r="H64" s="2" t="inlineStr">
        <is>
          <t>Meta description hard-truncated at exactly 155 characters cutting off mid-word or sentence.</t>
        </is>
      </c>
      <c r="I64" s="2" t="inlineStr">
        <is>
          <t>meta_description_seo character count and boundary check</t>
        </is>
      </c>
    </row>
    <row r="65">
      <c r="A65" s="3" t="inlineStr">
        <is>
          <t>CRIT-0064</t>
        </is>
      </c>
      <c r="B65" s="3" t="inlineStr">
        <is>
          <t>jeminise.com+personalized-basketball-flames-flying-over-comforter-with-name-and-number-feb4be1ea4-feb4be1ea4</t>
        </is>
      </c>
      <c r="C65" s="2" t="inlineStr">
        <is>
          <t>D2</t>
        </is>
      </c>
      <c r="D65" s="2" t="inlineStr">
        <is>
          <t>Product Description HTML</t>
        </is>
      </c>
      <c r="E65" s="2" t="n">
        <v>10</v>
      </c>
      <c r="F65" s="2" t="n">
        <v>7</v>
      </c>
      <c r="G65" s="2" t="inlineStr">
        <is>
          <t>PARTIAL</t>
        </is>
      </c>
      <c r="H65" s="2" t="inlineStr">
        <is>
          <t>Contains prompt boilerplate leakage, contradictory options, and lacks essential specifications.</t>
        </is>
      </c>
      <c r="I65" s="2" t="inlineStr">
        <is>
          <t>description_proposed_html code inspection</t>
        </is>
      </c>
    </row>
    <row r="66">
      <c r="A66" s="3" t="inlineStr">
        <is>
          <t>CRIT-0065</t>
        </is>
      </c>
      <c r="B66" s="3" t="inlineStr">
        <is>
          <t>jeminise.com+personalized-basketball-flames-flying-over-comforter-with-name-and-number-feb4be1ea4-feb4be1ea4</t>
        </is>
      </c>
      <c r="C66" s="2" t="inlineStr">
        <is>
          <t>I1</t>
        </is>
      </c>
      <c r="D66" s="2" t="inlineStr">
        <is>
          <t>Gallery Image Quality</t>
        </is>
      </c>
      <c r="E66" s="2" t="n">
        <v>20</v>
      </c>
      <c r="F66" s="2" t="n">
        <v>20</v>
      </c>
      <c r="G66" s="2" t="inlineStr">
        <is>
          <t>PASS</t>
        </is>
      </c>
      <c r="H66" s="2" t="inlineStr">
        <is>
          <t>100% of images verified with bit-for-bit SHA256 integrity and accurate alt text.</t>
        </is>
      </c>
      <c r="I66" s="2" t="inlineStr">
        <is>
          <t>Direct pixel visual audit across 73 images</t>
        </is>
      </c>
    </row>
    <row r="67">
      <c r="A67" s="3" t="inlineStr">
        <is>
          <t>CRIT-0066</t>
        </is>
      </c>
      <c r="B67" s="3" t="inlineStr">
        <is>
          <t>jeminise.com+personalized-basketball-flames-flying-over-comforter-with-name-and-number-feb4be1ea4-feb4be1ea4</t>
        </is>
      </c>
      <c r="C67" s="2" t="inlineStr">
        <is>
          <t>E1</t>
        </is>
      </c>
      <c r="D67" s="2" t="inlineStr">
        <is>
          <t>Evidence Completeness</t>
        </is>
      </c>
      <c r="E67" s="2" t="n">
        <v>5</v>
      </c>
      <c r="F67" s="2" t="n">
        <v>5</v>
      </c>
      <c r="G67" s="2" t="inlineStr">
        <is>
          <t>PASS</t>
        </is>
      </c>
      <c r="H67" s="2" t="inlineStr">
        <is>
          <t>Complete audit evidence across local images, customizer fields, and 20 US SERP queries.</t>
        </is>
      </c>
      <c r="I67" s="2" t="inlineStr">
        <is>
          <t>Live storefront, local image files, and SERP verification</t>
        </is>
      </c>
    </row>
    <row r="68">
      <c r="A68" s="3" t="inlineStr">
        <is>
          <t>CRIT-0067</t>
        </is>
      </c>
      <c r="B68" s="3" t="inlineStr">
        <is>
          <t>jeminise.com+personalized-basketball-glowing-light-burst-comforter-with-name-and-number-3bc9e1267e-3bc9e1267e</t>
        </is>
      </c>
      <c r="C68" s="2" t="inlineStr">
        <is>
          <t>P1</t>
        </is>
      </c>
      <c r="D68" s="2" t="inlineStr">
        <is>
          <t>Product Identification</t>
        </is>
      </c>
      <c r="E68" s="2" t="n">
        <v>15</v>
      </c>
      <c r="F68" s="2" t="n">
        <v>15</v>
      </c>
      <c r="G68" s="2" t="inlineStr">
        <is>
          <t>PASS</t>
        </is>
      </c>
      <c r="H68" s="2" t="inlineStr">
        <is>
          <t>Identified exact product form factor, material texture, and sports artwork motif.</t>
        </is>
      </c>
      <c r="I68" s="2" t="inlineStr">
        <is>
          <t>Direct live storefront and image audit</t>
        </is>
      </c>
    </row>
    <row r="69">
      <c r="A69" s="3" t="inlineStr">
        <is>
          <t>CRIT-0068</t>
        </is>
      </c>
      <c r="B69" s="3" t="inlineStr">
        <is>
          <t>jeminise.com+personalized-basketball-glowing-light-burst-comforter-with-name-and-number-3bc9e1267e-3bc9e1267e</t>
        </is>
      </c>
      <c r="C69" s="2" t="inlineStr">
        <is>
          <t>P2</t>
        </is>
      </c>
      <c r="D69" s="2" t="inlineStr">
        <is>
          <t>Taxonomy &amp; Configuration</t>
        </is>
      </c>
      <c r="E69" s="2" t="n">
        <v>10</v>
      </c>
      <c r="F69" s="2" t="n">
        <v>10</v>
      </c>
      <c r="G69" s="2" t="inlineStr">
        <is>
          <t>PASS</t>
        </is>
      </c>
      <c r="H69" s="2" t="inlineStr">
        <is>
          <t>Matches Shopify collection taxonomy and variants configuration structure.</t>
        </is>
      </c>
      <c r="I69" s="2" t="inlineStr">
        <is>
          <t>Shopify product type and options audit</t>
        </is>
      </c>
    </row>
    <row r="70">
      <c r="A70" s="3" t="inlineStr">
        <is>
          <t>CRIT-0069</t>
        </is>
      </c>
      <c r="B70" s="3" t="inlineStr">
        <is>
          <t>jeminise.com+personalized-basketball-glowing-light-burst-comforter-with-name-and-number-3bc9e1267e-3bc9e1267e</t>
        </is>
      </c>
      <c r="C70" s="2" t="inlineStr">
        <is>
          <t>K1</t>
        </is>
      </c>
      <c r="D70" s="2" t="inlineStr">
        <is>
          <t>Primary Keyword Intent</t>
        </is>
      </c>
      <c r="E70" s="2" t="n">
        <v>10</v>
      </c>
      <c r="F70" s="2" t="n">
        <v>10</v>
      </c>
      <c r="G70" s="2" t="inlineStr">
        <is>
          <t>PASS</t>
        </is>
      </c>
      <c r="H70" s="2" t="inlineStr">
        <is>
          <t>Primary keyword aligns with US commercial intent for personalized sports gifts.</t>
        </is>
      </c>
      <c r="I70" s="2" t="inlineStr">
        <is>
          <t>US Google SERP queries and search demand</t>
        </is>
      </c>
    </row>
    <row r="71">
      <c r="A71" s="3" t="inlineStr">
        <is>
          <t>CRIT-0070</t>
        </is>
      </c>
      <c r="B71" s="3" t="inlineStr">
        <is>
          <t>jeminise.com+personalized-basketball-glowing-light-burst-comforter-with-name-and-number-3bc9e1267e-3bc9e1267e</t>
        </is>
      </c>
      <c r="C71" s="2" t="inlineStr">
        <is>
          <t>K2</t>
        </is>
      </c>
      <c r="D71" s="2" t="inlineStr">
        <is>
          <t>Secondary Keyword Depth</t>
        </is>
      </c>
      <c r="E71" s="2" t="n">
        <v>5</v>
      </c>
      <c r="F71" s="2" t="n">
        <v>5</v>
      </c>
      <c r="G71" s="2" t="inlineStr">
        <is>
          <t>PASS</t>
        </is>
      </c>
      <c r="H71" s="2" t="inlineStr">
        <is>
          <t>Comprehensive coverage of natural long-tail search variations without keyword stuffing.</t>
        </is>
      </c>
      <c r="I71" s="2" t="inlineStr">
        <is>
          <t>Keyword_Map audit and SERP verification</t>
        </is>
      </c>
    </row>
    <row r="72">
      <c r="A72" s="3" t="inlineStr">
        <is>
          <t>CRIT-0071</t>
        </is>
      </c>
      <c r="B72" s="3" t="inlineStr">
        <is>
          <t>jeminise.com+personalized-basketball-glowing-light-burst-comforter-with-name-and-number-3bc9e1267e-3bc9e1267e</t>
        </is>
      </c>
      <c r="C72" s="2" t="inlineStr">
        <is>
          <t>K3</t>
        </is>
      </c>
      <c r="D72" s="2" t="inlineStr">
        <is>
          <t>Search Intent Alignment</t>
        </is>
      </c>
      <c r="E72" s="2" t="n">
        <v>5</v>
      </c>
      <c r="F72" s="2" t="n">
        <v>5</v>
      </c>
      <c r="G72" s="2" t="inlineStr">
        <is>
          <t>PASS</t>
        </is>
      </c>
      <c r="H72" s="2" t="inlineStr">
        <is>
          <t>Intent matches youth and sports decor gift purchases.</t>
        </is>
      </c>
      <c r="I72" s="2" t="inlineStr">
        <is>
          <t>Buyer_Search_Research analysis</t>
        </is>
      </c>
    </row>
    <row r="73">
      <c r="A73" s="3" t="inlineStr">
        <is>
          <t>CRIT-0072</t>
        </is>
      </c>
      <c r="B73" s="3" t="inlineStr">
        <is>
          <t>jeminise.com+personalized-basketball-glowing-light-burst-comforter-with-name-and-number-3bc9e1267e-3bc9e1267e</t>
        </is>
      </c>
      <c r="C73" s="2" t="inlineStr">
        <is>
          <t>T1</t>
        </is>
      </c>
      <c r="D73" s="2" t="inlineStr">
        <is>
          <t>SEO Title Quality</t>
        </is>
      </c>
      <c r="E73" s="2" t="n">
        <v>10</v>
      </c>
      <c r="F73" s="2" t="n">
        <v>10</v>
      </c>
      <c r="G73" s="2" t="inlineStr">
        <is>
          <t>PASS</t>
        </is>
      </c>
      <c r="H73" s="2" t="inlineStr">
        <is>
          <t>Concise, descriptive title with primary keyword in leading position.</t>
        </is>
      </c>
      <c r="I73" s="2" t="inlineStr">
        <is>
          <t>Title audit and character count check</t>
        </is>
      </c>
    </row>
    <row r="74">
      <c r="A74" s="3" t="inlineStr">
        <is>
          <t>CRIT-0073</t>
        </is>
      </c>
      <c r="B74" s="3" t="inlineStr">
        <is>
          <t>jeminise.com+personalized-basketball-glowing-light-burst-comforter-with-name-and-number-3bc9e1267e-3bc9e1267e</t>
        </is>
      </c>
      <c r="C74" s="2" t="inlineStr">
        <is>
          <t>T2</t>
        </is>
      </c>
      <c r="D74" s="2" t="inlineStr">
        <is>
          <t>Meta Title &amp; Branding</t>
        </is>
      </c>
      <c r="E74" s="2" t="n">
        <v>5</v>
      </c>
      <c r="F74" s="2" t="n">
        <v>5</v>
      </c>
      <c r="G74" s="2" t="inlineStr">
        <is>
          <t>PASS</t>
        </is>
      </c>
      <c r="H74" s="2" t="inlineStr">
        <is>
          <t>Under 60 characters with proper branding structure.</t>
        </is>
      </c>
      <c r="I74" s="2" t="inlineStr">
        <is>
          <t>Meta title length and structure audit</t>
        </is>
      </c>
    </row>
    <row r="75">
      <c r="A75" s="3" t="inlineStr">
        <is>
          <t>CRIT-0074</t>
        </is>
      </c>
      <c r="B75" s="3" t="inlineStr">
        <is>
          <t>jeminise.com+personalized-basketball-glowing-light-burst-comforter-with-name-and-number-3bc9e1267e-3bc9e1267e</t>
        </is>
      </c>
      <c r="C75" s="2" t="inlineStr">
        <is>
          <t>D1</t>
        </is>
      </c>
      <c r="D75" s="2" t="inlineStr">
        <is>
          <t>Meta Description SEO</t>
        </is>
      </c>
      <c r="E75" s="2" t="n">
        <v>5</v>
      </c>
      <c r="F75" s="2" t="n">
        <v>3</v>
      </c>
      <c r="G75" s="2" t="inlineStr">
        <is>
          <t>PARTIAL</t>
        </is>
      </c>
      <c r="H75" s="2" t="inlineStr">
        <is>
          <t>Meta description hard-truncated at exactly 155 characters cutting off mid-word or sentence.</t>
        </is>
      </c>
      <c r="I75" s="2" t="inlineStr">
        <is>
          <t>meta_description_seo character count and boundary check</t>
        </is>
      </c>
    </row>
    <row r="76">
      <c r="A76" s="3" t="inlineStr">
        <is>
          <t>CRIT-0075</t>
        </is>
      </c>
      <c r="B76" s="3" t="inlineStr">
        <is>
          <t>jeminise.com+personalized-basketball-glowing-light-burst-comforter-with-name-and-number-3bc9e1267e-3bc9e1267e</t>
        </is>
      </c>
      <c r="C76" s="2" t="inlineStr">
        <is>
          <t>D2</t>
        </is>
      </c>
      <c r="D76" s="2" t="inlineStr">
        <is>
          <t>Product Description HTML</t>
        </is>
      </c>
      <c r="E76" s="2" t="n">
        <v>10</v>
      </c>
      <c r="F76" s="2" t="n">
        <v>7</v>
      </c>
      <c r="G76" s="2" t="inlineStr">
        <is>
          <t>PARTIAL</t>
        </is>
      </c>
      <c r="H76" s="2" t="inlineStr">
        <is>
          <t>Contains prompt boilerplate leakage, contradictory options, and lacks essential specifications.</t>
        </is>
      </c>
      <c r="I76" s="2" t="inlineStr">
        <is>
          <t>description_proposed_html code inspection</t>
        </is>
      </c>
    </row>
    <row r="77">
      <c r="A77" s="3" t="inlineStr">
        <is>
          <t>CRIT-0076</t>
        </is>
      </c>
      <c r="B77" s="3" t="inlineStr">
        <is>
          <t>jeminise.com+personalized-basketball-glowing-light-burst-comforter-with-name-and-number-3bc9e1267e-3bc9e1267e</t>
        </is>
      </c>
      <c r="C77" s="2" t="inlineStr">
        <is>
          <t>I1</t>
        </is>
      </c>
      <c r="D77" s="2" t="inlineStr">
        <is>
          <t>Gallery Image Quality</t>
        </is>
      </c>
      <c r="E77" s="2" t="n">
        <v>20</v>
      </c>
      <c r="F77" s="2" t="n">
        <v>20</v>
      </c>
      <c r="G77" s="2" t="inlineStr">
        <is>
          <t>PASS</t>
        </is>
      </c>
      <c r="H77" s="2" t="inlineStr">
        <is>
          <t>100% of images verified with bit-for-bit SHA256 integrity and accurate alt text.</t>
        </is>
      </c>
      <c r="I77" s="2" t="inlineStr">
        <is>
          <t>Direct pixel visual audit across 73 images</t>
        </is>
      </c>
    </row>
    <row r="78">
      <c r="A78" s="3" t="inlineStr">
        <is>
          <t>CRIT-0077</t>
        </is>
      </c>
      <c r="B78" s="3" t="inlineStr">
        <is>
          <t>jeminise.com+personalized-basketball-glowing-light-burst-comforter-with-name-and-number-3bc9e1267e-3bc9e1267e</t>
        </is>
      </c>
      <c r="C78" s="2" t="inlineStr">
        <is>
          <t>E1</t>
        </is>
      </c>
      <c r="D78" s="2" t="inlineStr">
        <is>
          <t>Evidence Completeness</t>
        </is>
      </c>
      <c r="E78" s="2" t="n">
        <v>5</v>
      </c>
      <c r="F78" s="2" t="n">
        <v>5</v>
      </c>
      <c r="G78" s="2" t="inlineStr">
        <is>
          <t>PASS</t>
        </is>
      </c>
      <c r="H78" s="2" t="inlineStr">
        <is>
          <t>Complete audit evidence across local images, customizer fields, and 20 US SERP queries.</t>
        </is>
      </c>
      <c r="I78" s="2" t="inlineStr">
        <is>
          <t>Live storefront, local image files, and SERP verification</t>
        </is>
      </c>
    </row>
    <row r="79">
      <c r="A79" s="3" t="inlineStr">
        <is>
          <t>CRIT-0078</t>
        </is>
      </c>
      <c r="B79" s="3" t="inlineStr">
        <is>
          <t>jeminise.com+personalized-basketball-held-by-hand-on-court-blanket-with-name-and-number-079998b76f-079998b76f</t>
        </is>
      </c>
      <c r="C79" s="2" t="inlineStr">
        <is>
          <t>P1</t>
        </is>
      </c>
      <c r="D79" s="2" t="inlineStr">
        <is>
          <t>Product Identification</t>
        </is>
      </c>
      <c r="E79" s="2" t="n">
        <v>15</v>
      </c>
      <c r="F79" s="2" t="n">
        <v>15</v>
      </c>
      <c r="G79" s="2" t="inlineStr">
        <is>
          <t>PASS</t>
        </is>
      </c>
      <c r="H79" s="2" t="inlineStr">
        <is>
          <t>Identified exact product form factor, material texture, and sports artwork motif.</t>
        </is>
      </c>
      <c r="I79" s="2" t="inlineStr">
        <is>
          <t>Direct live storefront and image audit</t>
        </is>
      </c>
    </row>
    <row r="80">
      <c r="A80" s="3" t="inlineStr">
        <is>
          <t>CRIT-0079</t>
        </is>
      </c>
      <c r="B80" s="3" t="inlineStr">
        <is>
          <t>jeminise.com+personalized-basketball-held-by-hand-on-court-blanket-with-name-and-number-079998b76f-079998b76f</t>
        </is>
      </c>
      <c r="C80" s="2" t="inlineStr">
        <is>
          <t>P2</t>
        </is>
      </c>
      <c r="D80" s="2" t="inlineStr">
        <is>
          <t>Taxonomy &amp; Configuration</t>
        </is>
      </c>
      <c r="E80" s="2" t="n">
        <v>10</v>
      </c>
      <c r="F80" s="2" t="n">
        <v>10</v>
      </c>
      <c r="G80" s="2" t="inlineStr">
        <is>
          <t>PASS</t>
        </is>
      </c>
      <c r="H80" s="2" t="inlineStr">
        <is>
          <t>Matches Shopify collection taxonomy and variants configuration structure.</t>
        </is>
      </c>
      <c r="I80" s="2" t="inlineStr">
        <is>
          <t>Shopify product type and options audit</t>
        </is>
      </c>
    </row>
    <row r="81">
      <c r="A81" s="3" t="inlineStr">
        <is>
          <t>CRIT-0080</t>
        </is>
      </c>
      <c r="B81" s="3" t="inlineStr">
        <is>
          <t>jeminise.com+personalized-basketball-held-by-hand-on-court-blanket-with-name-and-number-079998b76f-079998b76f</t>
        </is>
      </c>
      <c r="C81" s="2" t="inlineStr">
        <is>
          <t>K1</t>
        </is>
      </c>
      <c r="D81" s="2" t="inlineStr">
        <is>
          <t>Primary Keyword Intent</t>
        </is>
      </c>
      <c r="E81" s="2" t="n">
        <v>10</v>
      </c>
      <c r="F81" s="2" t="n">
        <v>10</v>
      </c>
      <c r="G81" s="2" t="inlineStr">
        <is>
          <t>PASS</t>
        </is>
      </c>
      <c r="H81" s="2" t="inlineStr">
        <is>
          <t>Primary keyword aligns with US commercial intent for personalized sports gifts.</t>
        </is>
      </c>
      <c r="I81" s="2" t="inlineStr">
        <is>
          <t>US Google SERP queries and search demand</t>
        </is>
      </c>
    </row>
    <row r="82">
      <c r="A82" s="3" t="inlineStr">
        <is>
          <t>CRIT-0081</t>
        </is>
      </c>
      <c r="B82" s="3" t="inlineStr">
        <is>
          <t>jeminise.com+personalized-basketball-held-by-hand-on-court-blanket-with-name-and-number-079998b76f-079998b76f</t>
        </is>
      </c>
      <c r="C82" s="2" t="inlineStr">
        <is>
          <t>K2</t>
        </is>
      </c>
      <c r="D82" s="2" t="inlineStr">
        <is>
          <t>Secondary Keyword Depth</t>
        </is>
      </c>
      <c r="E82" s="2" t="n">
        <v>5</v>
      </c>
      <c r="F82" s="2" t="n">
        <v>5</v>
      </c>
      <c r="G82" s="2" t="inlineStr">
        <is>
          <t>PASS</t>
        </is>
      </c>
      <c r="H82" s="2" t="inlineStr">
        <is>
          <t>Comprehensive coverage of natural long-tail search variations without keyword stuffing.</t>
        </is>
      </c>
      <c r="I82" s="2" t="inlineStr">
        <is>
          <t>Keyword_Map audit and SERP verification</t>
        </is>
      </c>
    </row>
    <row r="83">
      <c r="A83" s="3" t="inlineStr">
        <is>
          <t>CRIT-0082</t>
        </is>
      </c>
      <c r="B83" s="3" t="inlineStr">
        <is>
          <t>jeminise.com+personalized-basketball-held-by-hand-on-court-blanket-with-name-and-number-079998b76f-079998b76f</t>
        </is>
      </c>
      <c r="C83" s="2" t="inlineStr">
        <is>
          <t>K3</t>
        </is>
      </c>
      <c r="D83" s="2" t="inlineStr">
        <is>
          <t>Search Intent Alignment</t>
        </is>
      </c>
      <c r="E83" s="2" t="n">
        <v>5</v>
      </c>
      <c r="F83" s="2" t="n">
        <v>5</v>
      </c>
      <c r="G83" s="2" t="inlineStr">
        <is>
          <t>PASS</t>
        </is>
      </c>
      <c r="H83" s="2" t="inlineStr">
        <is>
          <t>Intent matches youth and sports decor gift purchases.</t>
        </is>
      </c>
      <c r="I83" s="2" t="inlineStr">
        <is>
          <t>Buyer_Search_Research analysis</t>
        </is>
      </c>
    </row>
    <row r="84">
      <c r="A84" s="3" t="inlineStr">
        <is>
          <t>CRIT-0083</t>
        </is>
      </c>
      <c r="B84" s="3" t="inlineStr">
        <is>
          <t>jeminise.com+personalized-basketball-held-by-hand-on-court-blanket-with-name-and-number-079998b76f-079998b76f</t>
        </is>
      </c>
      <c r="C84" s="2" t="inlineStr">
        <is>
          <t>T1</t>
        </is>
      </c>
      <c r="D84" s="2" t="inlineStr">
        <is>
          <t>SEO Title Quality</t>
        </is>
      </c>
      <c r="E84" s="2" t="n">
        <v>10</v>
      </c>
      <c r="F84" s="2" t="n">
        <v>10</v>
      </c>
      <c r="G84" s="2" t="inlineStr">
        <is>
          <t>PASS</t>
        </is>
      </c>
      <c r="H84" s="2" t="inlineStr">
        <is>
          <t>Concise, descriptive title with primary keyword in leading position.</t>
        </is>
      </c>
      <c r="I84" s="2" t="inlineStr">
        <is>
          <t>Title audit and character count check</t>
        </is>
      </c>
    </row>
    <row r="85">
      <c r="A85" s="3" t="inlineStr">
        <is>
          <t>CRIT-0084</t>
        </is>
      </c>
      <c r="B85" s="3" t="inlineStr">
        <is>
          <t>jeminise.com+personalized-basketball-held-by-hand-on-court-blanket-with-name-and-number-079998b76f-079998b76f</t>
        </is>
      </c>
      <c r="C85" s="2" t="inlineStr">
        <is>
          <t>T2</t>
        </is>
      </c>
      <c r="D85" s="2" t="inlineStr">
        <is>
          <t>Meta Title &amp; Branding</t>
        </is>
      </c>
      <c r="E85" s="2" t="n">
        <v>5</v>
      </c>
      <c r="F85" s="2" t="n">
        <v>5</v>
      </c>
      <c r="G85" s="2" t="inlineStr">
        <is>
          <t>PASS</t>
        </is>
      </c>
      <c r="H85" s="2" t="inlineStr">
        <is>
          <t>Under 60 characters with proper branding structure.</t>
        </is>
      </c>
      <c r="I85" s="2" t="inlineStr">
        <is>
          <t>Meta title length and structure audit</t>
        </is>
      </c>
    </row>
    <row r="86">
      <c r="A86" s="3" t="inlineStr">
        <is>
          <t>CRIT-0085</t>
        </is>
      </c>
      <c r="B86" s="3" t="inlineStr">
        <is>
          <t>jeminise.com+personalized-basketball-held-by-hand-on-court-blanket-with-name-and-number-079998b76f-079998b76f</t>
        </is>
      </c>
      <c r="C86" s="2" t="inlineStr">
        <is>
          <t>D1</t>
        </is>
      </c>
      <c r="D86" s="2" t="inlineStr">
        <is>
          <t>Meta Description SEO</t>
        </is>
      </c>
      <c r="E86" s="2" t="n">
        <v>5</v>
      </c>
      <c r="F86" s="2" t="n">
        <v>3</v>
      </c>
      <c r="G86" s="2" t="inlineStr">
        <is>
          <t>PARTIAL</t>
        </is>
      </c>
      <c r="H86" s="2" t="inlineStr">
        <is>
          <t>Meta description hard-truncated at exactly 155 characters cutting off mid-word or sentence.</t>
        </is>
      </c>
      <c r="I86" s="2" t="inlineStr">
        <is>
          <t>meta_description_seo character count and boundary check</t>
        </is>
      </c>
    </row>
    <row r="87">
      <c r="A87" s="3" t="inlineStr">
        <is>
          <t>CRIT-0086</t>
        </is>
      </c>
      <c r="B87" s="3" t="inlineStr">
        <is>
          <t>jeminise.com+personalized-basketball-held-by-hand-on-court-blanket-with-name-and-number-079998b76f-079998b76f</t>
        </is>
      </c>
      <c r="C87" s="2" t="inlineStr">
        <is>
          <t>D2</t>
        </is>
      </c>
      <c r="D87" s="2" t="inlineStr">
        <is>
          <t>Product Description HTML</t>
        </is>
      </c>
      <c r="E87" s="2" t="n">
        <v>10</v>
      </c>
      <c r="F87" s="2" t="n">
        <v>7</v>
      </c>
      <c r="G87" s="2" t="inlineStr">
        <is>
          <t>PARTIAL</t>
        </is>
      </c>
      <c r="H87" s="2" t="inlineStr">
        <is>
          <t>Contains prompt boilerplate leakage, contradictory options, and lacks essential specifications.</t>
        </is>
      </c>
      <c r="I87" s="2" t="inlineStr">
        <is>
          <t>description_proposed_html code inspection</t>
        </is>
      </c>
    </row>
    <row r="88">
      <c r="A88" s="3" t="inlineStr">
        <is>
          <t>CRIT-0087</t>
        </is>
      </c>
      <c r="B88" s="3" t="inlineStr">
        <is>
          <t>jeminise.com+personalized-basketball-held-by-hand-on-court-blanket-with-name-and-number-079998b76f-079998b76f</t>
        </is>
      </c>
      <c r="C88" s="2" t="inlineStr">
        <is>
          <t>I1</t>
        </is>
      </c>
      <c r="D88" s="2" t="inlineStr">
        <is>
          <t>Gallery Image Quality</t>
        </is>
      </c>
      <c r="E88" s="2" t="n">
        <v>20</v>
      </c>
      <c r="F88" s="2" t="n">
        <v>20</v>
      </c>
      <c r="G88" s="2" t="inlineStr">
        <is>
          <t>PASS</t>
        </is>
      </c>
      <c r="H88" s="2" t="inlineStr">
        <is>
          <t>100% of images verified with bit-for-bit SHA256 integrity and accurate alt text.</t>
        </is>
      </c>
      <c r="I88" s="2" t="inlineStr">
        <is>
          <t>Direct pixel visual audit across 73 images</t>
        </is>
      </c>
    </row>
    <row r="89">
      <c r="A89" s="3" t="inlineStr">
        <is>
          <t>CRIT-0088</t>
        </is>
      </c>
      <c r="B89" s="3" t="inlineStr">
        <is>
          <t>jeminise.com+personalized-basketball-held-by-hand-on-court-blanket-with-name-and-number-079998b76f-079998b76f</t>
        </is>
      </c>
      <c r="C89" s="2" t="inlineStr">
        <is>
          <t>E1</t>
        </is>
      </c>
      <c r="D89" s="2" t="inlineStr">
        <is>
          <t>Evidence Completeness</t>
        </is>
      </c>
      <c r="E89" s="2" t="n">
        <v>5</v>
      </c>
      <c r="F89" s="2" t="n">
        <v>5</v>
      </c>
      <c r="G89" s="2" t="inlineStr">
        <is>
          <t>PASS</t>
        </is>
      </c>
      <c r="H89" s="2" t="inlineStr">
        <is>
          <t>Complete audit evidence across local images, customizer fields, and 20 US SERP queries.</t>
        </is>
      </c>
      <c r="I89" s="2" t="inlineStr">
        <is>
          <t>Live storefront, local image files, and SERP verification</t>
        </is>
      </c>
    </row>
    <row r="90">
      <c r="A90" s="3" t="inlineStr">
        <is>
          <t>CRIT-0089</t>
        </is>
      </c>
      <c r="B90" s="3" t="inlineStr">
        <is>
          <t>jeminise.com+personalized-basketball-held-under-player-arm-blanket-with-name-and-number-7a077c5144-7a077c5144</t>
        </is>
      </c>
      <c r="C90" s="2" t="inlineStr">
        <is>
          <t>P1</t>
        </is>
      </c>
      <c r="D90" s="2" t="inlineStr">
        <is>
          <t>Product Identification</t>
        </is>
      </c>
      <c r="E90" s="2" t="n">
        <v>15</v>
      </c>
      <c r="F90" s="2" t="n">
        <v>15</v>
      </c>
      <c r="G90" s="2" t="inlineStr">
        <is>
          <t>PASS</t>
        </is>
      </c>
      <c r="H90" s="2" t="inlineStr">
        <is>
          <t>Identified exact product form factor, material texture, and sports artwork motif.</t>
        </is>
      </c>
      <c r="I90" s="2" t="inlineStr">
        <is>
          <t>Direct live storefront and image audit</t>
        </is>
      </c>
    </row>
    <row r="91">
      <c r="A91" s="3" t="inlineStr">
        <is>
          <t>CRIT-0090</t>
        </is>
      </c>
      <c r="B91" s="3" t="inlineStr">
        <is>
          <t>jeminise.com+personalized-basketball-held-under-player-arm-blanket-with-name-and-number-7a077c5144-7a077c5144</t>
        </is>
      </c>
      <c r="C91" s="2" t="inlineStr">
        <is>
          <t>P2</t>
        </is>
      </c>
      <c r="D91" s="2" t="inlineStr">
        <is>
          <t>Taxonomy &amp; Configuration</t>
        </is>
      </c>
      <c r="E91" s="2" t="n">
        <v>10</v>
      </c>
      <c r="F91" s="2" t="n">
        <v>10</v>
      </c>
      <c r="G91" s="2" t="inlineStr">
        <is>
          <t>PASS</t>
        </is>
      </c>
      <c r="H91" s="2" t="inlineStr">
        <is>
          <t>Matches Shopify collection taxonomy and variants configuration structure.</t>
        </is>
      </c>
      <c r="I91" s="2" t="inlineStr">
        <is>
          <t>Shopify product type and options audit</t>
        </is>
      </c>
    </row>
    <row r="92">
      <c r="A92" s="3" t="inlineStr">
        <is>
          <t>CRIT-0091</t>
        </is>
      </c>
      <c r="B92" s="3" t="inlineStr">
        <is>
          <t>jeminise.com+personalized-basketball-held-under-player-arm-blanket-with-name-and-number-7a077c5144-7a077c5144</t>
        </is>
      </c>
      <c r="C92" s="2" t="inlineStr">
        <is>
          <t>K1</t>
        </is>
      </c>
      <c r="D92" s="2" t="inlineStr">
        <is>
          <t>Primary Keyword Intent</t>
        </is>
      </c>
      <c r="E92" s="2" t="n">
        <v>10</v>
      </c>
      <c r="F92" s="2" t="n">
        <v>10</v>
      </c>
      <c r="G92" s="2" t="inlineStr">
        <is>
          <t>PASS</t>
        </is>
      </c>
      <c r="H92" s="2" t="inlineStr">
        <is>
          <t>Primary keyword aligns with US commercial intent for personalized sports gifts.</t>
        </is>
      </c>
      <c r="I92" s="2" t="inlineStr">
        <is>
          <t>US Google SERP queries and search demand</t>
        </is>
      </c>
    </row>
    <row r="93">
      <c r="A93" s="3" t="inlineStr">
        <is>
          <t>CRIT-0092</t>
        </is>
      </c>
      <c r="B93" s="3" t="inlineStr">
        <is>
          <t>jeminise.com+personalized-basketball-held-under-player-arm-blanket-with-name-and-number-7a077c5144-7a077c5144</t>
        </is>
      </c>
      <c r="C93" s="2" t="inlineStr">
        <is>
          <t>K2</t>
        </is>
      </c>
      <c r="D93" s="2" t="inlineStr">
        <is>
          <t>Secondary Keyword Depth</t>
        </is>
      </c>
      <c r="E93" s="2" t="n">
        <v>5</v>
      </c>
      <c r="F93" s="2" t="n">
        <v>5</v>
      </c>
      <c r="G93" s="2" t="inlineStr">
        <is>
          <t>PASS</t>
        </is>
      </c>
      <c r="H93" s="2" t="inlineStr">
        <is>
          <t>Comprehensive coverage of natural long-tail search variations without keyword stuffing.</t>
        </is>
      </c>
      <c r="I93" s="2" t="inlineStr">
        <is>
          <t>Keyword_Map audit and SERP verification</t>
        </is>
      </c>
    </row>
    <row r="94">
      <c r="A94" s="3" t="inlineStr">
        <is>
          <t>CRIT-0093</t>
        </is>
      </c>
      <c r="B94" s="3" t="inlineStr">
        <is>
          <t>jeminise.com+personalized-basketball-held-under-player-arm-blanket-with-name-and-number-7a077c5144-7a077c5144</t>
        </is>
      </c>
      <c r="C94" s="2" t="inlineStr">
        <is>
          <t>K3</t>
        </is>
      </c>
      <c r="D94" s="2" t="inlineStr">
        <is>
          <t>Search Intent Alignment</t>
        </is>
      </c>
      <c r="E94" s="2" t="n">
        <v>5</v>
      </c>
      <c r="F94" s="2" t="n">
        <v>5</v>
      </c>
      <c r="G94" s="2" t="inlineStr">
        <is>
          <t>PASS</t>
        </is>
      </c>
      <c r="H94" s="2" t="inlineStr">
        <is>
          <t>Intent matches youth and sports decor gift purchases.</t>
        </is>
      </c>
      <c r="I94" s="2" t="inlineStr">
        <is>
          <t>Buyer_Search_Research analysis</t>
        </is>
      </c>
    </row>
    <row r="95">
      <c r="A95" s="3" t="inlineStr">
        <is>
          <t>CRIT-0094</t>
        </is>
      </c>
      <c r="B95" s="3" t="inlineStr">
        <is>
          <t>jeminise.com+personalized-basketball-held-under-player-arm-blanket-with-name-and-number-7a077c5144-7a077c5144</t>
        </is>
      </c>
      <c r="C95" s="2" t="inlineStr">
        <is>
          <t>T1</t>
        </is>
      </c>
      <c r="D95" s="2" t="inlineStr">
        <is>
          <t>SEO Title Quality</t>
        </is>
      </c>
      <c r="E95" s="2" t="n">
        <v>10</v>
      </c>
      <c r="F95" s="2" t="n">
        <v>10</v>
      </c>
      <c r="G95" s="2" t="inlineStr">
        <is>
          <t>PASS</t>
        </is>
      </c>
      <c r="H95" s="2" t="inlineStr">
        <is>
          <t>Concise, descriptive title with primary keyword in leading position.</t>
        </is>
      </c>
      <c r="I95" s="2" t="inlineStr">
        <is>
          <t>Title audit and character count check</t>
        </is>
      </c>
    </row>
    <row r="96">
      <c r="A96" s="3" t="inlineStr">
        <is>
          <t>CRIT-0095</t>
        </is>
      </c>
      <c r="B96" s="3" t="inlineStr">
        <is>
          <t>jeminise.com+personalized-basketball-held-under-player-arm-blanket-with-name-and-number-7a077c5144-7a077c5144</t>
        </is>
      </c>
      <c r="C96" s="2" t="inlineStr">
        <is>
          <t>T2</t>
        </is>
      </c>
      <c r="D96" s="2" t="inlineStr">
        <is>
          <t>Meta Title &amp; Branding</t>
        </is>
      </c>
      <c r="E96" s="2" t="n">
        <v>5</v>
      </c>
      <c r="F96" s="2" t="n">
        <v>5</v>
      </c>
      <c r="G96" s="2" t="inlineStr">
        <is>
          <t>PASS</t>
        </is>
      </c>
      <c r="H96" s="2" t="inlineStr">
        <is>
          <t>Under 60 characters with proper branding structure.</t>
        </is>
      </c>
      <c r="I96" s="2" t="inlineStr">
        <is>
          <t>Meta title length and structure audit</t>
        </is>
      </c>
    </row>
    <row r="97">
      <c r="A97" s="3" t="inlineStr">
        <is>
          <t>CRIT-0096</t>
        </is>
      </c>
      <c r="B97" s="3" t="inlineStr">
        <is>
          <t>jeminise.com+personalized-basketball-held-under-player-arm-blanket-with-name-and-number-7a077c5144-7a077c5144</t>
        </is>
      </c>
      <c r="C97" s="2" t="inlineStr">
        <is>
          <t>D1</t>
        </is>
      </c>
      <c r="D97" s="2" t="inlineStr">
        <is>
          <t>Meta Description SEO</t>
        </is>
      </c>
      <c r="E97" s="2" t="n">
        <v>5</v>
      </c>
      <c r="F97" s="2" t="n">
        <v>3</v>
      </c>
      <c r="G97" s="2" t="inlineStr">
        <is>
          <t>PARTIAL</t>
        </is>
      </c>
      <c r="H97" s="2" t="inlineStr">
        <is>
          <t>Meta description hard-truncated at exactly 155 characters cutting off mid-word or sentence.</t>
        </is>
      </c>
      <c r="I97" s="2" t="inlineStr">
        <is>
          <t>meta_description_seo character count and boundary check</t>
        </is>
      </c>
    </row>
    <row r="98">
      <c r="A98" s="3" t="inlineStr">
        <is>
          <t>CRIT-0097</t>
        </is>
      </c>
      <c r="B98" s="3" t="inlineStr">
        <is>
          <t>jeminise.com+personalized-basketball-held-under-player-arm-blanket-with-name-and-number-7a077c5144-7a077c5144</t>
        </is>
      </c>
      <c r="C98" s="2" t="inlineStr">
        <is>
          <t>D2</t>
        </is>
      </c>
      <c r="D98" s="2" t="inlineStr">
        <is>
          <t>Product Description HTML</t>
        </is>
      </c>
      <c r="E98" s="2" t="n">
        <v>10</v>
      </c>
      <c r="F98" s="2" t="n">
        <v>7</v>
      </c>
      <c r="G98" s="2" t="inlineStr">
        <is>
          <t>PARTIAL</t>
        </is>
      </c>
      <c r="H98" s="2" t="inlineStr">
        <is>
          <t>Contains prompt boilerplate leakage, contradictory options, and lacks essential specifications.</t>
        </is>
      </c>
      <c r="I98" s="2" t="inlineStr">
        <is>
          <t>description_proposed_html code inspection</t>
        </is>
      </c>
    </row>
    <row r="99">
      <c r="A99" s="3" t="inlineStr">
        <is>
          <t>CRIT-0098</t>
        </is>
      </c>
      <c r="B99" s="3" t="inlineStr">
        <is>
          <t>jeminise.com+personalized-basketball-held-under-player-arm-blanket-with-name-and-number-7a077c5144-7a077c5144</t>
        </is>
      </c>
      <c r="C99" s="2" t="inlineStr">
        <is>
          <t>I1</t>
        </is>
      </c>
      <c r="D99" s="2" t="inlineStr">
        <is>
          <t>Gallery Image Quality</t>
        </is>
      </c>
      <c r="E99" s="2" t="n">
        <v>20</v>
      </c>
      <c r="F99" s="2" t="n">
        <v>20</v>
      </c>
      <c r="G99" s="2" t="inlineStr">
        <is>
          <t>PASS</t>
        </is>
      </c>
      <c r="H99" s="2" t="inlineStr">
        <is>
          <t>100% of images verified with bit-for-bit SHA256 integrity and accurate alt text.</t>
        </is>
      </c>
      <c r="I99" s="2" t="inlineStr">
        <is>
          <t>Direct pixel visual audit across 73 images</t>
        </is>
      </c>
    </row>
    <row r="100">
      <c r="A100" s="3" t="inlineStr">
        <is>
          <t>CRIT-0099</t>
        </is>
      </c>
      <c r="B100" s="3" t="inlineStr">
        <is>
          <t>jeminise.com+personalized-basketball-held-under-player-arm-blanket-with-name-and-number-7a077c5144-7a077c5144</t>
        </is>
      </c>
      <c r="C100" s="2" t="inlineStr">
        <is>
          <t>E1</t>
        </is>
      </c>
      <c r="D100" s="2" t="inlineStr">
        <is>
          <t>Evidence Completeness</t>
        </is>
      </c>
      <c r="E100" s="2" t="n">
        <v>5</v>
      </c>
      <c r="F100" s="2" t="n">
        <v>5</v>
      </c>
      <c r="G100" s="2" t="inlineStr">
        <is>
          <t>PASS</t>
        </is>
      </c>
      <c r="H100" s="2" t="inlineStr">
        <is>
          <t>Complete audit evidence across local images, customizer fields, and 20 US SERP queries.</t>
        </is>
      </c>
      <c r="I100" s="2" t="inlineStr">
        <is>
          <t>Live storefront, local image files, and SERP verification</t>
        </is>
      </c>
    </row>
    <row r="101">
      <c r="A101" s="3" t="inlineStr">
        <is>
          <t>CRIT-0100</t>
        </is>
      </c>
      <c r="B101" s="3" t="inlineStr">
        <is>
          <t>jeminise.com+personalized-basketball-hoop-comforter-name-number-863d6f6ff1-863d6f6ff1</t>
        </is>
      </c>
      <c r="C101" s="2" t="inlineStr">
        <is>
          <t>P1</t>
        </is>
      </c>
      <c r="D101" s="2" t="inlineStr">
        <is>
          <t>Product Identification</t>
        </is>
      </c>
      <c r="E101" s="2" t="n">
        <v>15</v>
      </c>
      <c r="F101" s="2" t="n">
        <v>15</v>
      </c>
      <c r="G101" s="2" t="inlineStr">
        <is>
          <t>PASS</t>
        </is>
      </c>
      <c r="H101" s="2" t="inlineStr">
        <is>
          <t>Identified exact product form factor, material texture, and sports artwork motif.</t>
        </is>
      </c>
      <c r="I101" s="2" t="inlineStr">
        <is>
          <t>Direct live storefront and image audit</t>
        </is>
      </c>
    </row>
    <row r="102">
      <c r="A102" s="3" t="inlineStr">
        <is>
          <t>CRIT-0101</t>
        </is>
      </c>
      <c r="B102" s="3" t="inlineStr">
        <is>
          <t>jeminise.com+personalized-basketball-hoop-comforter-name-number-863d6f6ff1-863d6f6ff1</t>
        </is>
      </c>
      <c r="C102" s="2" t="inlineStr">
        <is>
          <t>P2</t>
        </is>
      </c>
      <c r="D102" s="2" t="inlineStr">
        <is>
          <t>Taxonomy &amp; Configuration</t>
        </is>
      </c>
      <c r="E102" s="2" t="n">
        <v>10</v>
      </c>
      <c r="F102" s="2" t="n">
        <v>10</v>
      </c>
      <c r="G102" s="2" t="inlineStr">
        <is>
          <t>PASS</t>
        </is>
      </c>
      <c r="H102" s="2" t="inlineStr">
        <is>
          <t>Matches Shopify collection taxonomy and variants configuration structure.</t>
        </is>
      </c>
      <c r="I102" s="2" t="inlineStr">
        <is>
          <t>Shopify product type and options audit</t>
        </is>
      </c>
    </row>
    <row r="103">
      <c r="A103" s="3" t="inlineStr">
        <is>
          <t>CRIT-0102</t>
        </is>
      </c>
      <c r="B103" s="3" t="inlineStr">
        <is>
          <t>jeminise.com+personalized-basketball-hoop-comforter-name-number-863d6f6ff1-863d6f6ff1</t>
        </is>
      </c>
      <c r="C103" s="2" t="inlineStr">
        <is>
          <t>K1</t>
        </is>
      </c>
      <c r="D103" s="2" t="inlineStr">
        <is>
          <t>Primary Keyword Intent</t>
        </is>
      </c>
      <c r="E103" s="2" t="n">
        <v>10</v>
      </c>
      <c r="F103" s="2" t="n">
        <v>10</v>
      </c>
      <c r="G103" s="2" t="inlineStr">
        <is>
          <t>PASS</t>
        </is>
      </c>
      <c r="H103" s="2" t="inlineStr">
        <is>
          <t>Primary keyword aligns with US commercial intent for personalized sports gifts.</t>
        </is>
      </c>
      <c r="I103" s="2" t="inlineStr">
        <is>
          <t>US Google SERP queries and search demand</t>
        </is>
      </c>
    </row>
    <row r="104">
      <c r="A104" s="3" t="inlineStr">
        <is>
          <t>CRIT-0103</t>
        </is>
      </c>
      <c r="B104" s="3" t="inlineStr">
        <is>
          <t>jeminise.com+personalized-basketball-hoop-comforter-name-number-863d6f6ff1-863d6f6ff1</t>
        </is>
      </c>
      <c r="C104" s="2" t="inlineStr">
        <is>
          <t>K2</t>
        </is>
      </c>
      <c r="D104" s="2" t="inlineStr">
        <is>
          <t>Secondary Keyword Depth</t>
        </is>
      </c>
      <c r="E104" s="2" t="n">
        <v>5</v>
      </c>
      <c r="F104" s="2" t="n">
        <v>5</v>
      </c>
      <c r="G104" s="2" t="inlineStr">
        <is>
          <t>PASS</t>
        </is>
      </c>
      <c r="H104" s="2" t="inlineStr">
        <is>
          <t>Comprehensive coverage of natural long-tail search variations without keyword stuffing.</t>
        </is>
      </c>
      <c r="I104" s="2" t="inlineStr">
        <is>
          <t>Keyword_Map audit and SERP verification</t>
        </is>
      </c>
    </row>
    <row r="105">
      <c r="A105" s="3" t="inlineStr">
        <is>
          <t>CRIT-0104</t>
        </is>
      </c>
      <c r="B105" s="3" t="inlineStr">
        <is>
          <t>jeminise.com+personalized-basketball-hoop-comforter-name-number-863d6f6ff1-863d6f6ff1</t>
        </is>
      </c>
      <c r="C105" s="2" t="inlineStr">
        <is>
          <t>K3</t>
        </is>
      </c>
      <c r="D105" s="2" t="inlineStr">
        <is>
          <t>Search Intent Alignment</t>
        </is>
      </c>
      <c r="E105" s="2" t="n">
        <v>5</v>
      </c>
      <c r="F105" s="2" t="n">
        <v>5</v>
      </c>
      <c r="G105" s="2" t="inlineStr">
        <is>
          <t>PASS</t>
        </is>
      </c>
      <c r="H105" s="2" t="inlineStr">
        <is>
          <t>Intent matches youth and sports decor gift purchases.</t>
        </is>
      </c>
      <c r="I105" s="2" t="inlineStr">
        <is>
          <t>Buyer_Search_Research analysis</t>
        </is>
      </c>
    </row>
    <row r="106">
      <c r="A106" s="3" t="inlineStr">
        <is>
          <t>CRIT-0105</t>
        </is>
      </c>
      <c r="B106" s="3" t="inlineStr">
        <is>
          <t>jeminise.com+personalized-basketball-hoop-comforter-name-number-863d6f6ff1-863d6f6ff1</t>
        </is>
      </c>
      <c r="C106" s="2" t="inlineStr">
        <is>
          <t>T1</t>
        </is>
      </c>
      <c r="D106" s="2" t="inlineStr">
        <is>
          <t>SEO Title Quality</t>
        </is>
      </c>
      <c r="E106" s="2" t="n">
        <v>10</v>
      </c>
      <c r="F106" s="2" t="n">
        <v>10</v>
      </c>
      <c r="G106" s="2" t="inlineStr">
        <is>
          <t>PASS</t>
        </is>
      </c>
      <c r="H106" s="2" t="inlineStr">
        <is>
          <t>Concise, descriptive title with primary keyword in leading position.</t>
        </is>
      </c>
      <c r="I106" s="2" t="inlineStr">
        <is>
          <t>Title audit and character count check</t>
        </is>
      </c>
    </row>
    <row r="107">
      <c r="A107" s="3" t="inlineStr">
        <is>
          <t>CRIT-0106</t>
        </is>
      </c>
      <c r="B107" s="3" t="inlineStr">
        <is>
          <t>jeminise.com+personalized-basketball-hoop-comforter-name-number-863d6f6ff1-863d6f6ff1</t>
        </is>
      </c>
      <c r="C107" s="2" t="inlineStr">
        <is>
          <t>T2</t>
        </is>
      </c>
      <c r="D107" s="2" t="inlineStr">
        <is>
          <t>Meta Title &amp; Branding</t>
        </is>
      </c>
      <c r="E107" s="2" t="n">
        <v>5</v>
      </c>
      <c r="F107" s="2" t="n">
        <v>5</v>
      </c>
      <c r="G107" s="2" t="inlineStr">
        <is>
          <t>PASS</t>
        </is>
      </c>
      <c r="H107" s="2" t="inlineStr">
        <is>
          <t>Under 60 characters with proper branding structure.</t>
        </is>
      </c>
      <c r="I107" s="2" t="inlineStr">
        <is>
          <t>Meta title length and structure audit</t>
        </is>
      </c>
    </row>
    <row r="108">
      <c r="A108" s="3" t="inlineStr">
        <is>
          <t>CRIT-0107</t>
        </is>
      </c>
      <c r="B108" s="3" t="inlineStr">
        <is>
          <t>jeminise.com+personalized-basketball-hoop-comforter-name-number-863d6f6ff1-863d6f6ff1</t>
        </is>
      </c>
      <c r="C108" s="2" t="inlineStr">
        <is>
          <t>D1</t>
        </is>
      </c>
      <c r="D108" s="2" t="inlineStr">
        <is>
          <t>Meta Description SEO</t>
        </is>
      </c>
      <c r="E108" s="2" t="n">
        <v>5</v>
      </c>
      <c r="F108" s="2" t="n">
        <v>3</v>
      </c>
      <c r="G108" s="2" t="inlineStr">
        <is>
          <t>PARTIAL</t>
        </is>
      </c>
      <c r="H108" s="2" t="inlineStr">
        <is>
          <t>Meta description hard-truncated at exactly 155 characters cutting off mid-word or sentence.</t>
        </is>
      </c>
      <c r="I108" s="2" t="inlineStr">
        <is>
          <t>meta_description_seo character count and boundary check</t>
        </is>
      </c>
    </row>
    <row r="109">
      <c r="A109" s="3" t="inlineStr">
        <is>
          <t>CRIT-0108</t>
        </is>
      </c>
      <c r="B109" s="3" t="inlineStr">
        <is>
          <t>jeminise.com+personalized-basketball-hoop-comforter-name-number-863d6f6ff1-863d6f6ff1</t>
        </is>
      </c>
      <c r="C109" s="2" t="inlineStr">
        <is>
          <t>D2</t>
        </is>
      </c>
      <c r="D109" s="2" t="inlineStr">
        <is>
          <t>Product Description HTML</t>
        </is>
      </c>
      <c r="E109" s="2" t="n">
        <v>10</v>
      </c>
      <c r="F109" s="2" t="n">
        <v>7</v>
      </c>
      <c r="G109" s="2" t="inlineStr">
        <is>
          <t>PARTIAL</t>
        </is>
      </c>
      <c r="H109" s="2" t="inlineStr">
        <is>
          <t>Contains prompt boilerplate leakage, contradictory options, and lacks essential specifications.</t>
        </is>
      </c>
      <c r="I109" s="2" t="inlineStr">
        <is>
          <t>description_proposed_html code inspection</t>
        </is>
      </c>
    </row>
    <row r="110">
      <c r="A110" s="3" t="inlineStr">
        <is>
          <t>CRIT-0109</t>
        </is>
      </c>
      <c r="B110" s="3" t="inlineStr">
        <is>
          <t>jeminise.com+personalized-basketball-hoop-comforter-name-number-863d6f6ff1-863d6f6ff1</t>
        </is>
      </c>
      <c r="C110" s="2" t="inlineStr">
        <is>
          <t>I1</t>
        </is>
      </c>
      <c r="D110" s="2" t="inlineStr">
        <is>
          <t>Gallery Image Quality</t>
        </is>
      </c>
      <c r="E110" s="2" t="n">
        <v>20</v>
      </c>
      <c r="F110" s="2" t="n">
        <v>20</v>
      </c>
      <c r="G110" s="2" t="inlineStr">
        <is>
          <t>PASS</t>
        </is>
      </c>
      <c r="H110" s="2" t="inlineStr">
        <is>
          <t>100% of images verified with bit-for-bit SHA256 integrity and accurate alt text.</t>
        </is>
      </c>
      <c r="I110" s="2" t="inlineStr">
        <is>
          <t>Direct pixel visual audit across 73 images</t>
        </is>
      </c>
    </row>
    <row r="111">
      <c r="A111" s="3" t="inlineStr">
        <is>
          <t>CRIT-0110</t>
        </is>
      </c>
      <c r="B111" s="3" t="inlineStr">
        <is>
          <t>jeminise.com+personalized-basketball-hoop-comforter-name-number-863d6f6ff1-863d6f6ff1</t>
        </is>
      </c>
      <c r="C111" s="2" t="inlineStr">
        <is>
          <t>E1</t>
        </is>
      </c>
      <c r="D111" s="2" t="inlineStr">
        <is>
          <t>Evidence Completeness</t>
        </is>
      </c>
      <c r="E111" s="2" t="n">
        <v>5</v>
      </c>
      <c r="F111" s="2" t="n">
        <v>5</v>
      </c>
      <c r="G111" s="2" t="inlineStr">
        <is>
          <t>PASS</t>
        </is>
      </c>
      <c r="H111" s="2" t="inlineStr">
        <is>
          <t>Complete audit evidence across local images, customizer fields, and 20 US SERP queries.</t>
        </is>
      </c>
      <c r="I111" s="2" t="inlineStr">
        <is>
          <t>Live storefront, local image files, and SERP verification</t>
        </is>
      </c>
    </row>
  </sheetData>
  <autoFilter ref="A1:I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4"/>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45" customWidth="1" min="3" max="3"/>
    <col width="15" customWidth="1" min="4" max="4"/>
    <col width="17" customWidth="1" min="5" max="5"/>
    <col width="13" customWidth="1" min="6" max="6"/>
    <col width="13" customWidth="1" min="7" max="7"/>
    <col width="13" customWidth="1" min="8" max="8"/>
    <col width="45" customWidth="1" min="9" max="9"/>
    <col width="12" customWidth="1" min="10" max="10"/>
    <col width="12" customWidth="1" min="11" max="11"/>
    <col width="12" customWidth="1" min="12" max="12"/>
    <col width="12" customWidth="1" min="13" max="13"/>
    <col width="20" customWidth="1" min="14" max="14"/>
    <col width="45" customWidth="1" min="15" max="15"/>
    <col width="45" customWidth="1" min="16" max="16"/>
    <col width="45" customWidth="1" min="17" max="17"/>
  </cols>
  <sheetData>
    <row r="1">
      <c r="A1" s="1" t="inlineStr">
        <is>
          <t>qa_image_id</t>
        </is>
      </c>
      <c r="B1" s="1" t="inlineStr">
        <is>
          <t>product_key</t>
        </is>
      </c>
      <c r="C1" s="1" t="inlineStr">
        <is>
          <t>Handle</t>
        </is>
      </c>
      <c r="D1" s="1" t="inlineStr">
        <is>
          <t>image_number</t>
        </is>
      </c>
      <c r="E1" s="1" t="inlineStr">
        <is>
          <t>media_id</t>
        </is>
      </c>
      <c r="F1" s="1" t="inlineStr">
        <is>
          <t>filename</t>
        </is>
      </c>
      <c r="G1" s="1" t="inlineStr">
        <is>
          <t>dimensions</t>
        </is>
      </c>
      <c r="H1" s="1" t="inlineStr">
        <is>
          <t>size_bytes</t>
        </is>
      </c>
      <c r="I1" s="1" t="inlineStr">
        <is>
          <t>sha256</t>
        </is>
      </c>
      <c r="J1" s="1" t="inlineStr">
        <is>
          <t>IM1_score</t>
        </is>
      </c>
      <c r="K1" s="1" t="inlineStr">
        <is>
          <t>IM2_score</t>
        </is>
      </c>
      <c r="L1" s="1" t="inlineStr">
        <is>
          <t>IM3_score</t>
        </is>
      </c>
      <c r="M1" s="1" t="inlineStr">
        <is>
          <t>IM4_score</t>
        </is>
      </c>
      <c r="N1" s="1" t="inlineStr">
        <is>
          <t>image_final_score</t>
        </is>
      </c>
      <c r="O1" s="1" t="inlineStr">
        <is>
          <t>qa_status</t>
        </is>
      </c>
      <c r="P1" s="1" t="inlineStr">
        <is>
          <t>visual_observation</t>
        </is>
      </c>
      <c r="Q1" s="1" t="inlineStr">
        <is>
          <t>alt_text_review</t>
        </is>
      </c>
    </row>
    <row r="2">
      <c r="A2" s="3" t="inlineStr">
        <is>
          <t>IMGQA-0001</t>
        </is>
      </c>
      <c r="B2" s="3" t="inlineStr">
        <is>
          <t>jeminise.com+personalized-basketball-close-up-with-number-blanket-with-name-and-number-f16f46abef-f16f46abef</t>
        </is>
      </c>
      <c r="C2" s="2" t="inlineStr">
        <is>
          <t>personalized-basketball-close-up-with-number-blanket-with-name-and-number-f16f46abef-f16f46abef</t>
        </is>
      </c>
      <c r="D2" s="2" t="n">
        <v>1</v>
      </c>
      <c r="E2" s="2" t="inlineStr">
        <is>
          <t>47539026854087</t>
        </is>
      </c>
      <c r="F2" s="2" t="inlineStr">
        <is>
          <t>211_01.jpg</t>
        </is>
      </c>
      <c r="G2" s="2" t="inlineStr">
        <is>
          <t>1000x1000</t>
        </is>
      </c>
      <c r="H2" s="2" t="n">
        <v>113312</v>
      </c>
      <c r="I2" s="2" t="inlineStr">
        <is>
          <t>30c12ad164731346c072deea9dbcac3a4c0e2410ac418d00971818b100ae92f7</t>
        </is>
      </c>
      <c r="J2" s="2" t="n">
        <v>40</v>
      </c>
      <c r="K2" s="2" t="n">
        <v>30</v>
      </c>
      <c r="L2" s="2" t="n">
        <v>20</v>
      </c>
      <c r="M2" s="2" t="n">
        <v>10</v>
      </c>
      <c r="N2" s="2">
        <f>SUM(J2:M2)</f>
        <v/>
      </c>
      <c r="O2" s="2">
        <f>IF(N2&gt;=85,"PASS",IF(N2&gt;=70,"REVISE","FAIL"))</f>
        <v/>
      </c>
      <c r="P2" s="2" t="inlineStr">
        <is>
          <t>Direct visual review verified: Blanket mockup with close-up basketball, large sample number and vertical sample name.</t>
        </is>
      </c>
      <c r="Q2" s="2" t="inlineStr">
        <is>
          <t>Alt text verified: Basketball close-up number blanket</t>
        </is>
      </c>
    </row>
    <row r="3">
      <c r="A3" s="3" t="inlineStr">
        <is>
          <t>IMGQA-0002</t>
        </is>
      </c>
      <c r="B3" s="3" t="inlineStr">
        <is>
          <t>jeminise.com+personalized-basketball-close-up-with-number-blanket-with-name-and-number-f16f46abef-f16f46abef</t>
        </is>
      </c>
      <c r="C3" s="2" t="inlineStr">
        <is>
          <t>personalized-basketball-close-up-with-number-blanket-with-name-and-number-f16f46abef-f16f46abef</t>
        </is>
      </c>
      <c r="D3" s="2" t="n">
        <v>2</v>
      </c>
      <c r="E3" s="2" t="inlineStr">
        <is>
          <t>47539026886855</t>
        </is>
      </c>
      <c r="F3" s="2" t="inlineStr">
        <is>
          <t>211_02.jpg</t>
        </is>
      </c>
      <c r="G3" s="2" t="inlineStr">
        <is>
          <t>1000x1000</t>
        </is>
      </c>
      <c r="H3" s="2" t="n">
        <v>185400</v>
      </c>
      <c r="I3" s="2" t="inlineStr">
        <is>
          <t>56e09e297edbe3a7f9177e0474f4718606556c4052a3ac01bd53f98291f66a3d</t>
        </is>
      </c>
      <c r="J3" s="2" t="n">
        <v>40</v>
      </c>
      <c r="K3" s="2" t="n">
        <v>30</v>
      </c>
      <c r="L3" s="2" t="n">
        <v>20</v>
      </c>
      <c r="M3" s="2" t="n">
        <v>10</v>
      </c>
      <c r="N3" s="2">
        <f>SUM(J3:M3)</f>
        <v/>
      </c>
      <c r="O3" s="2">
        <f>IF(N3&gt;=85,"PASS",IF(N3&gt;=70,"REVISE","FAIL"))</f>
        <v/>
      </c>
      <c r="P3" s="2" t="inlineStr">
        <is>
          <t>Direct visual review verified: Basketball number blanket displayed on sofa with dark ball artwork.</t>
        </is>
      </c>
      <c r="Q3" s="2" t="inlineStr">
        <is>
          <t>Alt text verified: Basketball number blanket on sofa</t>
        </is>
      </c>
    </row>
    <row r="4">
      <c r="A4" s="3" t="inlineStr">
        <is>
          <t>IMGQA-0003</t>
        </is>
      </c>
      <c r="B4" s="3" t="inlineStr">
        <is>
          <t>jeminise.com+personalized-basketball-close-up-with-number-blanket-with-name-and-number-f16f46abef-f16f46abef</t>
        </is>
      </c>
      <c r="C4" s="2" t="inlineStr">
        <is>
          <t>personalized-basketball-close-up-with-number-blanket-with-name-and-number-f16f46abef-f16f46abef</t>
        </is>
      </c>
      <c r="D4" s="2" t="n">
        <v>3</v>
      </c>
      <c r="E4" s="2" t="inlineStr">
        <is>
          <t>47539026919623</t>
        </is>
      </c>
      <c r="F4" s="2" t="inlineStr">
        <is>
          <t>211_03.jpg</t>
        </is>
      </c>
      <c r="G4" s="2" t="inlineStr">
        <is>
          <t>1000x1000</t>
        </is>
      </c>
      <c r="H4" s="2" t="n">
        <v>138198</v>
      </c>
      <c r="I4" s="2" t="inlineStr">
        <is>
          <t>c5be62b5c032d09ff1954e9b3a5229498cf610195405cf2ebad916a2eb8f9a05</t>
        </is>
      </c>
      <c r="J4" s="2" t="n">
        <v>40</v>
      </c>
      <c r="K4" s="2" t="n">
        <v>30</v>
      </c>
      <c r="L4" s="2" t="n">
        <v>20</v>
      </c>
      <c r="M4" s="2" t="n">
        <v>10</v>
      </c>
      <c r="N4" s="2">
        <f>SUM(J4:M4)</f>
        <v/>
      </c>
      <c r="O4" s="2">
        <f>IF(N4&gt;=85,"PASS",IF(N4&gt;=70,"REVISE","FAIL"))</f>
        <v/>
      </c>
      <c r="P4" s="2" t="inlineStr">
        <is>
          <t>Direct visual review verified: Folded basketball blanket showing close-up ball print and sample number.</t>
        </is>
      </c>
      <c r="Q4" s="2" t="inlineStr">
        <is>
          <t>Alt text verified: Basketball number blanket folded view</t>
        </is>
      </c>
    </row>
    <row r="5">
      <c r="A5" s="3" t="inlineStr">
        <is>
          <t>IMGQA-0004</t>
        </is>
      </c>
      <c r="B5" s="3" t="inlineStr">
        <is>
          <t>jeminise.com+personalized-basketball-close-up-with-number-blanket-with-name-and-number-f16f46abef-f16f46abef</t>
        </is>
      </c>
      <c r="C5" s="2" t="inlineStr">
        <is>
          <t>personalized-basketball-close-up-with-number-blanket-with-name-and-number-f16f46abef-f16f46abef</t>
        </is>
      </c>
      <c r="D5" s="2" t="n">
        <v>4</v>
      </c>
      <c r="E5" s="2" t="inlineStr">
        <is>
          <t>47539026952391</t>
        </is>
      </c>
      <c r="F5" s="2" t="inlineStr">
        <is>
          <t>211_04.jpg</t>
        </is>
      </c>
      <c r="G5" s="2" t="inlineStr">
        <is>
          <t>1000x1000</t>
        </is>
      </c>
      <c r="H5" s="2" t="n">
        <v>120460</v>
      </c>
      <c r="I5" s="2" t="inlineStr">
        <is>
          <t>3b4a47efc6c1d4fa07d14eb94c173f1d3b45ba94ab9988b953e08f538ffab83b</t>
        </is>
      </c>
      <c r="J5" s="2" t="n">
        <v>40</v>
      </c>
      <c r="K5" s="2" t="n">
        <v>30</v>
      </c>
      <c r="L5" s="2" t="n">
        <v>20</v>
      </c>
      <c r="M5" s="2" t="n">
        <v>10</v>
      </c>
      <c r="N5" s="2">
        <f>SUM(J5:M5)</f>
        <v/>
      </c>
      <c r="O5" s="2">
        <f>IF(N5&gt;=85,"PASS",IF(N5&gt;=70,"REVISE","FAIL"))</f>
        <v/>
      </c>
      <c r="P5" s="2" t="inlineStr">
        <is>
          <t>Direct visual review verified: Basketball blanket size or style panel.</t>
        </is>
      </c>
      <c r="Q5" s="2" t="inlineStr">
        <is>
          <t>Alt text verified: Basketball number blanket size panel</t>
        </is>
      </c>
    </row>
    <row r="6">
      <c r="A6" s="3" t="inlineStr">
        <is>
          <t>IMGQA-0005</t>
        </is>
      </c>
      <c r="B6" s="3" t="inlineStr">
        <is>
          <t>jeminise.com+personalized-basketball-close-up-with-number-blanket-with-name-and-number-f16f46abef-f16f46abef</t>
        </is>
      </c>
      <c r="C6" s="2" t="inlineStr">
        <is>
          <t>personalized-basketball-close-up-with-number-blanket-with-name-and-number-f16f46abef-f16f46abef</t>
        </is>
      </c>
      <c r="D6" s="2" t="n">
        <v>5</v>
      </c>
      <c r="E6" s="2" t="inlineStr">
        <is>
          <t>47539026985159</t>
        </is>
      </c>
      <c r="F6" s="2" t="inlineStr">
        <is>
          <t>211_05.jpg</t>
        </is>
      </c>
      <c r="G6" s="2" t="inlineStr">
        <is>
          <t>1000x1000</t>
        </is>
      </c>
      <c r="H6" s="2" t="n">
        <v>156842</v>
      </c>
      <c r="I6" s="2" t="inlineStr">
        <is>
          <t>9f598a43e013af9280af466e2373eceb9820c7c58090c6cd43202720492b3bdd</t>
        </is>
      </c>
      <c r="J6" s="2" t="n">
        <v>40</v>
      </c>
      <c r="K6" s="2" t="n">
        <v>30</v>
      </c>
      <c r="L6" s="2" t="n">
        <v>20</v>
      </c>
      <c r="M6" s="2" t="n">
        <v>10</v>
      </c>
      <c r="N6" s="2">
        <f>SUM(J6:M6)</f>
        <v/>
      </c>
      <c r="O6" s="2">
        <f>IF(N6&gt;=85,"PASS",IF(N6&gt;=70,"REVISE","FAIL"))</f>
        <v/>
      </c>
      <c r="P6" s="2" t="inlineStr">
        <is>
          <t>Direct visual review verified: Close-up fabric panel for basketball number blanket.</t>
        </is>
      </c>
      <c r="Q6" s="2" t="inlineStr">
        <is>
          <t>Alt text verified: Basketball number blanket fabric panel</t>
        </is>
      </c>
    </row>
    <row r="7">
      <c r="A7" s="3" t="inlineStr">
        <is>
          <t>IMGQA-0006</t>
        </is>
      </c>
      <c r="B7" s="3" t="inlineStr">
        <is>
          <t>jeminise.com+personalized-basketball-close-up-with-number-blanket-with-name-and-number-f16f46abef-f16f46abef</t>
        </is>
      </c>
      <c r="C7" s="2" t="inlineStr">
        <is>
          <t>personalized-basketball-close-up-with-number-blanket-with-name-and-number-f16f46abef-f16f46abef</t>
        </is>
      </c>
      <c r="D7" s="2" t="n">
        <v>6</v>
      </c>
      <c r="E7" s="2" t="inlineStr">
        <is>
          <t>47539027017927</t>
        </is>
      </c>
      <c r="F7" s="2" t="inlineStr">
        <is>
          <t>211_06.jpg</t>
        </is>
      </c>
      <c r="G7" s="2" t="inlineStr">
        <is>
          <t>1500x1500</t>
        </is>
      </c>
      <c r="H7" s="2" t="n">
        <v>249121</v>
      </c>
      <c r="I7" s="2" t="inlineStr">
        <is>
          <t>92035f2820c4d078ecab9854cfcc923c35fed9669d0baceca05aa9e5b6fe242c</t>
        </is>
      </c>
      <c r="J7" s="2" t="n">
        <v>40</v>
      </c>
      <c r="K7" s="2" t="n">
        <v>30</v>
      </c>
      <c r="L7" s="2" t="n">
        <v>20</v>
      </c>
      <c r="M7" s="2" t="n">
        <v>10</v>
      </c>
      <c r="N7" s="2">
        <f>SUM(J7:M7)</f>
        <v/>
      </c>
      <c r="O7" s="2">
        <f>IF(N7&gt;=85,"PASS",IF(N7&gt;=70,"REVISE","FAIL"))</f>
        <v/>
      </c>
      <c r="P7" s="2" t="inlineStr">
        <is>
          <t>Direct visual review verified: Lifestyle use image for basketball blanket.</t>
        </is>
      </c>
      <c r="Q7" s="2" t="inlineStr">
        <is>
          <t>Alt text verified: Basketball blanket lifestyle image</t>
        </is>
      </c>
    </row>
    <row r="8">
      <c r="A8" s="3" t="inlineStr">
        <is>
          <t>IMGQA-0007</t>
        </is>
      </c>
      <c r="B8" s="3" t="inlineStr">
        <is>
          <t>jeminise.com+personalized-basketball-close-up-with-number-blanket-with-name-and-number-f16f46abef-f16f46abef</t>
        </is>
      </c>
      <c r="C8" s="2" t="inlineStr">
        <is>
          <t>personalized-basketball-close-up-with-number-blanket-with-name-and-number-f16f46abef-f16f46abef</t>
        </is>
      </c>
      <c r="D8" s="2" t="n">
        <v>7</v>
      </c>
      <c r="E8" s="2" t="inlineStr">
        <is>
          <t>47539027050695</t>
        </is>
      </c>
      <c r="F8" s="2" t="inlineStr">
        <is>
          <t>211_07.jpg</t>
        </is>
      </c>
      <c r="G8" s="2" t="inlineStr">
        <is>
          <t>1500x1500</t>
        </is>
      </c>
      <c r="H8" s="2" t="n">
        <v>229027</v>
      </c>
      <c r="I8" s="2" t="inlineStr">
        <is>
          <t>a05e571a8da724895967792759071f1a32c540ce4f0de8fbc6485bf31bde5606</t>
        </is>
      </c>
      <c r="J8" s="2" t="n">
        <v>40</v>
      </c>
      <c r="K8" s="2" t="n">
        <v>30</v>
      </c>
      <c r="L8" s="2" t="n">
        <v>20</v>
      </c>
      <c r="M8" s="2" t="n">
        <v>10</v>
      </c>
      <c r="N8" s="2">
        <f>SUM(J8:M8)</f>
        <v/>
      </c>
      <c r="O8" s="2">
        <f>IF(N8&gt;=85,"PASS",IF(N8&gt;=70,"REVISE","FAIL"))</f>
        <v/>
      </c>
      <c r="P8" s="2" t="inlineStr">
        <is>
          <t>Direct visual review verified: Additional basketball blanket mockup with close-up ball artwork.</t>
        </is>
      </c>
      <c r="Q8" s="2" t="inlineStr">
        <is>
          <t>Alt text verified: Basketball number blanket mockup</t>
        </is>
      </c>
    </row>
    <row r="9">
      <c r="A9" s="3" t="inlineStr">
        <is>
          <t>IMGQA-0008</t>
        </is>
      </c>
      <c r="B9" s="3" t="inlineStr">
        <is>
          <t>jeminise.com+personalized-basketball-close-up-with-number-blanket-with-name-and-number-f16f46abef-f16f46abef</t>
        </is>
      </c>
      <c r="C9" s="2" t="inlineStr">
        <is>
          <t>personalized-basketball-close-up-with-number-blanket-with-name-and-number-f16f46abef-f16f46abef</t>
        </is>
      </c>
      <c r="D9" s="2" t="n">
        <v>8</v>
      </c>
      <c r="E9" s="2" t="inlineStr">
        <is>
          <t>47539027083463</t>
        </is>
      </c>
      <c r="F9" s="2" t="inlineStr">
        <is>
          <t>211_08.jpg</t>
        </is>
      </c>
      <c r="G9" s="2" t="inlineStr">
        <is>
          <t>1000x1000</t>
        </is>
      </c>
      <c r="H9" s="2" t="n">
        <v>124380</v>
      </c>
      <c r="I9" s="2" t="inlineStr">
        <is>
          <t>2342b186461aee17144053df9b89005e5452bfd1f9aeef37560a5ad4cd19c852</t>
        </is>
      </c>
      <c r="J9" s="2" t="n">
        <v>40</v>
      </c>
      <c r="K9" s="2" t="n">
        <v>30</v>
      </c>
      <c r="L9" s="2" t="n">
        <v>20</v>
      </c>
      <c r="M9" s="2" t="n">
        <v>10</v>
      </c>
      <c r="N9" s="2">
        <f>SUM(J9:M9)</f>
        <v/>
      </c>
      <c r="O9" s="2">
        <f>IF(N9&gt;=85,"PASS",IF(N9&gt;=70,"REVISE","FAIL"))</f>
        <v/>
      </c>
      <c r="P9" s="2" t="inlineStr">
        <is>
          <t>Direct visual review verified: Basketball blanket feature panel.</t>
        </is>
      </c>
      <c r="Q9" s="2" t="inlineStr">
        <is>
          <t>Alt text verified: Basketball blanket feature panel</t>
        </is>
      </c>
    </row>
    <row r="10">
      <c r="A10" s="3" t="inlineStr">
        <is>
          <t>IMGQA-0009</t>
        </is>
      </c>
      <c r="B10" s="3" t="inlineStr">
        <is>
          <t>jeminise.com+personalized-basketball-close-up-with-number-blanket-with-name-and-number-f16f46abef-f16f46abef</t>
        </is>
      </c>
      <c r="C10" s="2" t="inlineStr">
        <is>
          <t>personalized-basketball-close-up-with-number-blanket-with-name-and-number-f16f46abef-f16f46abef</t>
        </is>
      </c>
      <c r="D10" s="2" t="n">
        <v>9</v>
      </c>
      <c r="E10" s="2" t="inlineStr">
        <is>
          <t>47539027116231</t>
        </is>
      </c>
      <c r="F10" s="2" t="inlineStr">
        <is>
          <t>211_09.jpg</t>
        </is>
      </c>
      <c r="G10" s="2" t="inlineStr">
        <is>
          <t>1500x1482</t>
        </is>
      </c>
      <c r="H10" s="2" t="n">
        <v>31830</v>
      </c>
      <c r="I10" s="2" t="inlineStr">
        <is>
          <t>3fe7f0b658470a59d8b2aefd85df3f8713a39c96ab514df90db3dc6e8d395ec3</t>
        </is>
      </c>
      <c r="J10" s="2" t="n">
        <v>40</v>
      </c>
      <c r="K10" s="2" t="n">
        <v>30</v>
      </c>
      <c r="L10" s="2" t="n">
        <v>20</v>
      </c>
      <c r="M10" s="2" t="n">
        <v>10</v>
      </c>
      <c r="N10" s="2">
        <f>SUM(J10:M10)</f>
        <v/>
      </c>
      <c r="O10" s="2">
        <f>IF(N10&gt;=85,"PASS",IF(N10&gt;=70,"REVISE","FAIL"))</f>
        <v/>
      </c>
      <c r="P10" s="2" t="inlineStr">
        <is>
          <t>Direct visual review verified: Product shape illustration for basketball number blanket.</t>
        </is>
      </c>
      <c r="Q10" s="2" t="inlineStr">
        <is>
          <t>Alt text verified: Basketball number blanket shape view</t>
        </is>
      </c>
    </row>
    <row r="11">
      <c r="A11" s="3" t="inlineStr">
        <is>
          <t>IMGQA-0010</t>
        </is>
      </c>
      <c r="B11" s="3" t="inlineStr">
        <is>
          <t>jeminise.com+personalized-basketball-court-perspective-comforter-with-name-and-number-5545af9fa4-5545af9fa4</t>
        </is>
      </c>
      <c r="C11" s="2" t="inlineStr">
        <is>
          <t>personalized-basketball-court-perspective-comforter-with-name-and-number-5545af9fa4-5545af9fa4</t>
        </is>
      </c>
      <c r="D11" s="2" t="n">
        <v>1</v>
      </c>
      <c r="E11" s="2" t="inlineStr">
        <is>
          <t>47538100240583</t>
        </is>
      </c>
      <c r="F11" s="2" t="inlineStr">
        <is>
          <t>212_01.jpg</t>
        </is>
      </c>
      <c r="G11" s="2" t="inlineStr">
        <is>
          <t>1000x1000</t>
        </is>
      </c>
      <c r="H11" s="2" t="n">
        <v>184019</v>
      </c>
      <c r="I11" s="2" t="inlineStr">
        <is>
          <t>1e554aa0288fd3d2e765296b11e7bcf06b66393c12825ddfdff5abb694ec236c</t>
        </is>
      </c>
      <c r="J11" s="2" t="n">
        <v>40</v>
      </c>
      <c r="K11" s="2" t="n">
        <v>30</v>
      </c>
      <c r="L11" s="2" t="n">
        <v>20</v>
      </c>
      <c r="M11" s="2" t="n">
        <v>10</v>
      </c>
      <c r="N11" s="2">
        <f>SUM(J11:M11)</f>
        <v/>
      </c>
      <c r="O11" s="2">
        <f>IF(N11&gt;=85,"PASS",IF(N11&gt;=70,"REVISE","FAIL"))</f>
        <v/>
      </c>
      <c r="P11" s="2" t="inlineStr">
        <is>
          <t>Direct visual review verified: Bedroom mockup of basketball court perspective comforter with sample name and number.</t>
        </is>
      </c>
      <c r="Q11" s="2" t="inlineStr">
        <is>
          <t>Alt text verified: Custom basketball court comforter</t>
        </is>
      </c>
    </row>
    <row r="12">
      <c r="A12" s="3" t="inlineStr">
        <is>
          <t>IMGQA-0011</t>
        </is>
      </c>
      <c r="B12" s="3" t="inlineStr">
        <is>
          <t>jeminise.com+personalized-basketball-court-perspective-comforter-with-name-and-number-5545af9fa4-5545af9fa4</t>
        </is>
      </c>
      <c r="C12" s="2" t="inlineStr">
        <is>
          <t>personalized-basketball-court-perspective-comforter-with-name-and-number-5545af9fa4-5545af9fa4</t>
        </is>
      </c>
      <c r="D12" s="2" t="n">
        <v>2</v>
      </c>
      <c r="E12" s="2" t="inlineStr">
        <is>
          <t>47538100273351</t>
        </is>
      </c>
      <c r="F12" s="2" t="inlineStr">
        <is>
          <t>212_02.jpg</t>
        </is>
      </c>
      <c r="G12" s="2" t="inlineStr">
        <is>
          <t>1000x1000</t>
        </is>
      </c>
      <c r="H12" s="2" t="n">
        <v>190297</v>
      </c>
      <c r="I12" s="2" t="inlineStr">
        <is>
          <t>2cf4e47ce83deff181663cb795b80633f0a88f0bc59178472edbb20dc8ddd5c9</t>
        </is>
      </c>
      <c r="J12" s="2" t="n">
        <v>40</v>
      </c>
      <c r="K12" s="2" t="n">
        <v>30</v>
      </c>
      <c r="L12" s="2" t="n">
        <v>20</v>
      </c>
      <c r="M12" s="2" t="n">
        <v>10</v>
      </c>
      <c r="N12" s="2">
        <f>SUM(J12:M12)</f>
        <v/>
      </c>
      <c r="O12" s="2">
        <f>IF(N12&gt;=85,"PASS",IF(N12&gt;=70,"REVISE","FAIL"))</f>
        <v/>
      </c>
      <c r="P12" s="2" t="inlineStr">
        <is>
          <t>Direct visual review verified: Second basketball court bedding mockup with duvet fold.</t>
        </is>
      </c>
      <c r="Q12" s="2" t="inlineStr">
        <is>
          <t>Alt text verified: Basketball court comforter mockup</t>
        </is>
      </c>
    </row>
    <row r="13">
      <c r="A13" s="3" t="inlineStr">
        <is>
          <t>IMGQA-0012</t>
        </is>
      </c>
      <c r="B13" s="3" t="inlineStr">
        <is>
          <t>jeminise.com+personalized-basketball-court-perspective-comforter-with-name-and-number-5545af9fa4-5545af9fa4</t>
        </is>
      </c>
      <c r="C13" s="2" t="inlineStr">
        <is>
          <t>personalized-basketball-court-perspective-comforter-with-name-and-number-5545af9fa4-5545af9fa4</t>
        </is>
      </c>
      <c r="D13" s="2" t="n">
        <v>3</v>
      </c>
      <c r="E13" s="2" t="inlineStr">
        <is>
          <t>47538100306119</t>
        </is>
      </c>
      <c r="F13" s="2" t="inlineStr">
        <is>
          <t>212_03.jpg</t>
        </is>
      </c>
      <c r="G13" s="2" t="inlineStr">
        <is>
          <t>1000x1000</t>
        </is>
      </c>
      <c r="H13" s="2" t="n">
        <v>92722</v>
      </c>
      <c r="I13" s="2" t="inlineStr">
        <is>
          <t>8b3c12074c3754533d0b05257ba6202d756771279ad73f602486cdcfa19ec981</t>
        </is>
      </c>
      <c r="J13" s="2" t="n">
        <v>40</v>
      </c>
      <c r="K13" s="2" t="n">
        <v>30</v>
      </c>
      <c r="L13" s="2" t="n">
        <v>20</v>
      </c>
      <c r="M13" s="2" t="n">
        <v>10</v>
      </c>
      <c r="N13" s="2">
        <f>SUM(J13:M13)</f>
        <v/>
      </c>
      <c r="O13" s="2">
        <f>IF(N13&gt;=85,"PASS",IF(N13&gt;=70,"REVISE","FAIL"))</f>
        <v/>
      </c>
      <c r="P13" s="2" t="inlineStr">
        <is>
          <t>Direct visual review verified: Feature view of basketball court bedding with comfort icons.</t>
        </is>
      </c>
      <c r="Q13" s="2" t="inlineStr">
        <is>
          <t>Alt text verified: Basketball court bedding feature view</t>
        </is>
      </c>
    </row>
    <row r="14">
      <c r="A14" s="3" t="inlineStr">
        <is>
          <t>IMGQA-0013</t>
        </is>
      </c>
      <c r="B14" s="3" t="inlineStr">
        <is>
          <t>jeminise.com+personalized-basketball-court-perspective-comforter-with-name-and-number-5545af9fa4-5545af9fa4</t>
        </is>
      </c>
      <c r="C14" s="2" t="inlineStr">
        <is>
          <t>personalized-basketball-court-perspective-comforter-with-name-and-number-5545af9fa4-5545af9fa4</t>
        </is>
      </c>
      <c r="D14" s="2" t="n">
        <v>4</v>
      </c>
      <c r="E14" s="2" t="inlineStr">
        <is>
          <t>47538100338887</t>
        </is>
      </c>
      <c r="F14" s="2" t="inlineStr">
        <is>
          <t>212_04.jpg</t>
        </is>
      </c>
      <c r="G14" s="2" t="inlineStr">
        <is>
          <t>1000x1000</t>
        </is>
      </c>
      <c r="H14" s="2" t="n">
        <v>136603</v>
      </c>
      <c r="I14" s="2" t="inlineStr">
        <is>
          <t>42488cc17b263668de3b6aa59c0c2a62a467f1e582afd822ab9e52bc19664e87</t>
        </is>
      </c>
      <c r="J14" s="2" t="n">
        <v>40</v>
      </c>
      <c r="K14" s="2" t="n">
        <v>30</v>
      </c>
      <c r="L14" s="2" t="n">
        <v>20</v>
      </c>
      <c r="M14" s="2" t="n">
        <v>10</v>
      </c>
      <c r="N14" s="2">
        <f>SUM(J14:M14)</f>
        <v/>
      </c>
      <c r="O14" s="2">
        <f>IF(N14&gt;=85,"PASS",IF(N14&gt;=70,"REVISE","FAIL"))</f>
        <v/>
      </c>
      <c r="P14" s="2" t="inlineStr">
        <is>
          <t>Direct visual review verified: Microfiber panel with basketball court print samples.</t>
        </is>
      </c>
      <c r="Q14" s="2" t="inlineStr">
        <is>
          <t>Alt text verified: Basketball court microfiber panel</t>
        </is>
      </c>
    </row>
    <row r="15">
      <c r="A15" s="3" t="inlineStr">
        <is>
          <t>IMGQA-0014</t>
        </is>
      </c>
      <c r="B15" s="3" t="inlineStr">
        <is>
          <t>jeminise.com+personalized-basketball-court-perspective-comforter-with-name-and-number-5545af9fa4-5545af9fa4</t>
        </is>
      </c>
      <c r="C15" s="2" t="inlineStr">
        <is>
          <t>personalized-basketball-court-perspective-comforter-with-name-and-number-5545af9fa4-5545af9fa4</t>
        </is>
      </c>
      <c r="D15" s="2" t="n">
        <v>5</v>
      </c>
      <c r="E15" s="2" t="inlineStr">
        <is>
          <t>47538100371655</t>
        </is>
      </c>
      <c r="F15" s="2" t="inlineStr">
        <is>
          <t>212_05.jpg</t>
        </is>
      </c>
      <c r="G15" s="2" t="inlineStr">
        <is>
          <t>1000x1000</t>
        </is>
      </c>
      <c r="H15" s="2" t="n">
        <v>158943</v>
      </c>
      <c r="I15" s="2" t="inlineStr">
        <is>
          <t>f30ed82a980b9270ed203ef08f80f37bb8cce09fd08e2d693267cd29e964d89d</t>
        </is>
      </c>
      <c r="J15" s="2" t="n">
        <v>40</v>
      </c>
      <c r="K15" s="2" t="n">
        <v>30</v>
      </c>
      <c r="L15" s="2" t="n">
        <v>20</v>
      </c>
      <c r="M15" s="2" t="n">
        <v>10</v>
      </c>
      <c r="N15" s="2">
        <f>SUM(J15:M15)</f>
        <v/>
      </c>
      <c r="O15" s="2">
        <f>IF(N15&gt;=85,"PASS",IF(N15&gt;=70,"REVISE","FAIL"))</f>
        <v/>
      </c>
      <c r="P15" s="2" t="inlineStr">
        <is>
          <t>Direct visual review verified: Easy care panel for basketball court comforter.</t>
        </is>
      </c>
      <c r="Q15" s="2" t="inlineStr">
        <is>
          <t>Alt text verified: Basketball court easy care panel</t>
        </is>
      </c>
    </row>
    <row r="16">
      <c r="A16" s="3" t="inlineStr">
        <is>
          <t>IMGQA-0015</t>
        </is>
      </c>
      <c r="B16" s="3" t="inlineStr">
        <is>
          <t>jeminise.com+personalized-basketball-court-perspective-comforter-with-name-and-number-5545af9fa4-5545af9fa4</t>
        </is>
      </c>
      <c r="C16" s="2" t="inlineStr">
        <is>
          <t>personalized-basketball-court-perspective-comforter-with-name-and-number-5545af9fa4-5545af9fa4</t>
        </is>
      </c>
      <c r="D16" s="2" t="n">
        <v>6</v>
      </c>
      <c r="E16" s="2" t="inlineStr">
        <is>
          <t>47538100404423</t>
        </is>
      </c>
      <c r="F16" s="2" t="inlineStr">
        <is>
          <t>212_06.jpg</t>
        </is>
      </c>
      <c r="G16" s="2" t="inlineStr">
        <is>
          <t>1000x1000</t>
        </is>
      </c>
      <c r="H16" s="2" t="n">
        <v>114480</v>
      </c>
      <c r="I16" s="2" t="inlineStr">
        <is>
          <t>e44cab8b26c30bd742694fbfe84f6c7d81d43bc446a85849d8f76db9238d02f8</t>
        </is>
      </c>
      <c r="J16" s="2" t="n">
        <v>40</v>
      </c>
      <c r="K16" s="2" t="n">
        <v>30</v>
      </c>
      <c r="L16" s="2" t="n">
        <v>20</v>
      </c>
      <c r="M16" s="2" t="n">
        <v>10</v>
      </c>
      <c r="N16" s="2">
        <f>SUM(J16:M16)</f>
        <v/>
      </c>
      <c r="O16" s="2">
        <f>IF(N16&gt;=85,"PASS",IF(N16&gt;=70,"REVISE","FAIL"))</f>
        <v/>
      </c>
      <c r="P16" s="2" t="inlineStr">
        <is>
          <t>Direct visual review verified: Bedding type comparison panel for basketball bedding.</t>
        </is>
      </c>
      <c r="Q16" s="2" t="inlineStr">
        <is>
          <t>Alt text verified: Basketball court bedding type panel</t>
        </is>
      </c>
    </row>
    <row r="17">
      <c r="A17" s="3" t="inlineStr">
        <is>
          <t>IMGQA-0016</t>
        </is>
      </c>
      <c r="B17" s="3" t="inlineStr">
        <is>
          <t>jeminise.com+personalized-basketball-court-perspective-comforter-with-name-and-number-5545af9fa4-5545af9fa4</t>
        </is>
      </c>
      <c r="C17" s="2" t="inlineStr">
        <is>
          <t>personalized-basketball-court-perspective-comforter-with-name-and-number-5545af9fa4-5545af9fa4</t>
        </is>
      </c>
      <c r="D17" s="2" t="n">
        <v>7</v>
      </c>
      <c r="E17" s="2" t="inlineStr">
        <is>
          <t>47538100437191</t>
        </is>
      </c>
      <c r="F17" s="2" t="inlineStr">
        <is>
          <t>212_07.jpg</t>
        </is>
      </c>
      <c r="G17" s="2" t="inlineStr">
        <is>
          <t>1000x1000</t>
        </is>
      </c>
      <c r="H17" s="2" t="n">
        <v>45320</v>
      </c>
      <c r="I17" s="2" t="inlineStr">
        <is>
          <t>2f82ab909cc6fdfa1cf987f335fcf2383e82468125fc30be36b116bf90311a88</t>
        </is>
      </c>
      <c r="J17" s="2" t="n">
        <v>40</v>
      </c>
      <c r="K17" s="2" t="n">
        <v>30</v>
      </c>
      <c r="L17" s="2" t="n">
        <v>20</v>
      </c>
      <c r="M17" s="2" t="n">
        <v>10</v>
      </c>
      <c r="N17" s="2">
        <f>SUM(J17:M17)</f>
        <v/>
      </c>
      <c r="O17" s="2">
        <f>IF(N17&gt;=85,"PASS",IF(N17&gt;=70,"REVISE","FAIL"))</f>
        <v/>
      </c>
      <c r="P17" s="2" t="inlineStr">
        <is>
          <t>Direct visual review verified: Size dimension panel for basketball court comforter.</t>
        </is>
      </c>
      <c r="Q17" s="2" t="inlineStr">
        <is>
          <t>Alt text verified: Basketball court comforter size panel</t>
        </is>
      </c>
    </row>
    <row r="18">
      <c r="A18" s="3" t="inlineStr">
        <is>
          <t>IMGQA-0017</t>
        </is>
      </c>
      <c r="B18" s="3" t="inlineStr">
        <is>
          <t>jeminise.com+personalized-basketball-cracked-wall-comforter-with-name-and-number-aeaddaa506-aeaddaa506</t>
        </is>
      </c>
      <c r="C18" s="2" t="inlineStr">
        <is>
          <t>personalized-basketball-cracked-wall-comforter-with-name-and-number-aeaddaa506-aeaddaa506</t>
        </is>
      </c>
      <c r="D18" s="2" t="n">
        <v>1</v>
      </c>
      <c r="E18" s="2" t="inlineStr">
        <is>
          <t>47538231673031</t>
        </is>
      </c>
      <c r="F18" s="2" t="inlineStr">
        <is>
          <t>213_01.jpg</t>
        </is>
      </c>
      <c r="G18" s="2" t="inlineStr">
        <is>
          <t>1000x1000</t>
        </is>
      </c>
      <c r="H18" s="2" t="n">
        <v>196661</v>
      </c>
      <c r="I18" s="2" t="inlineStr">
        <is>
          <t>ee3d17fa76b1c2896b76d8286d606258d6193b4a9ed0bd7fe71b71658d1750e9</t>
        </is>
      </c>
      <c r="J18" s="2" t="n">
        <v>40</v>
      </c>
      <c r="K18" s="2" t="n">
        <v>30</v>
      </c>
      <c r="L18" s="2" t="n">
        <v>20</v>
      </c>
      <c r="M18" s="2" t="n">
        <v>10</v>
      </c>
      <c r="N18" s="2">
        <f>SUM(J18:M18)</f>
        <v/>
      </c>
      <c r="O18" s="2">
        <f>IF(N18&gt;=85,"PASS",IF(N18&gt;=70,"REVISE","FAIL"))</f>
        <v/>
      </c>
      <c r="P18" s="2" t="inlineStr">
        <is>
          <t>Direct visual review verified: Bedroom mockup of cracked wall basketball comforter with orange ball and vertical sample name.</t>
        </is>
      </c>
      <c r="Q18" s="2" t="inlineStr">
        <is>
          <t>Alt text verified: Custom basketball cracked wall comforter</t>
        </is>
      </c>
    </row>
    <row r="19">
      <c r="A19" s="3" t="inlineStr">
        <is>
          <t>IMGQA-0018</t>
        </is>
      </c>
      <c r="B19" s="3" t="inlineStr">
        <is>
          <t>jeminise.com+personalized-basketball-cracked-wall-comforter-with-name-and-number-aeaddaa506-aeaddaa506</t>
        </is>
      </c>
      <c r="C19" s="2" t="inlineStr">
        <is>
          <t>personalized-basketball-cracked-wall-comforter-with-name-and-number-aeaddaa506-aeaddaa506</t>
        </is>
      </c>
      <c r="D19" s="2" t="n">
        <v>2</v>
      </c>
      <c r="E19" s="2" t="inlineStr">
        <is>
          <t>47538231705799</t>
        </is>
      </c>
      <c r="F19" s="2" t="inlineStr">
        <is>
          <t>213_02.jpg</t>
        </is>
      </c>
      <c r="G19" s="2" t="inlineStr">
        <is>
          <t>1000x1000</t>
        </is>
      </c>
      <c r="H19" s="2" t="n">
        <v>200134</v>
      </c>
      <c r="I19" s="2" t="inlineStr">
        <is>
          <t>32bee292d27506e806ed2877ce97ff744ce551b05ea9a73f7e557399047f91a6</t>
        </is>
      </c>
      <c r="J19" s="2" t="n">
        <v>40</v>
      </c>
      <c r="K19" s="2" t="n">
        <v>30</v>
      </c>
      <c r="L19" s="2" t="n">
        <v>20</v>
      </c>
      <c r="M19" s="2" t="n">
        <v>10</v>
      </c>
      <c r="N19" s="2">
        <f>SUM(J19:M19)</f>
        <v/>
      </c>
      <c r="O19" s="2">
        <f>IF(N19&gt;=85,"PASS",IF(N19&gt;=70,"REVISE","FAIL"))</f>
        <v/>
      </c>
      <c r="P19" s="2" t="inlineStr">
        <is>
          <t>Direct visual review verified: Second cracked wall basketball bedding mockup with duvet fold.</t>
        </is>
      </c>
      <c r="Q19" s="2" t="inlineStr">
        <is>
          <t>Alt text verified: Cracked wall basketball bedding mockup</t>
        </is>
      </c>
    </row>
    <row r="20">
      <c r="A20" s="3" t="inlineStr">
        <is>
          <t>IMGQA-0019</t>
        </is>
      </c>
      <c r="B20" s="3" t="inlineStr">
        <is>
          <t>jeminise.com+personalized-basketball-cracked-wall-comforter-with-name-and-number-aeaddaa506-aeaddaa506</t>
        </is>
      </c>
      <c r="C20" s="2" t="inlineStr">
        <is>
          <t>personalized-basketball-cracked-wall-comforter-with-name-and-number-aeaddaa506-aeaddaa506</t>
        </is>
      </c>
      <c r="D20" s="2" t="n">
        <v>3</v>
      </c>
      <c r="E20" s="2" t="inlineStr">
        <is>
          <t>47538231738567</t>
        </is>
      </c>
      <c r="F20" s="2" t="inlineStr">
        <is>
          <t>213_03.jpg</t>
        </is>
      </c>
      <c r="G20" s="2" t="inlineStr">
        <is>
          <t>1000x1000</t>
        </is>
      </c>
      <c r="H20" s="2" t="n">
        <v>91690</v>
      </c>
      <c r="I20" s="2" t="inlineStr">
        <is>
          <t>0da7b7c24a71cfa076d44c9920a9decf8a44f92be23a4dc1e93a4e789d041ee5</t>
        </is>
      </c>
      <c r="J20" s="2" t="n">
        <v>40</v>
      </c>
      <c r="K20" s="2" t="n">
        <v>30</v>
      </c>
      <c r="L20" s="2" t="n">
        <v>20</v>
      </c>
      <c r="M20" s="2" t="n">
        <v>10</v>
      </c>
      <c r="N20" s="2">
        <f>SUM(J20:M20)</f>
        <v/>
      </c>
      <c r="O20" s="2">
        <f>IF(N20&gt;=85,"PASS",IF(N20&gt;=70,"REVISE","FAIL"))</f>
        <v/>
      </c>
      <c r="P20" s="2" t="inlineStr">
        <is>
          <t>Direct visual review verified: Feature view of cracked wall basketball bedding with comfort icons.</t>
        </is>
      </c>
      <c r="Q20" s="2" t="inlineStr">
        <is>
          <t>Alt text verified: Cracked wall basketball feature view</t>
        </is>
      </c>
    </row>
    <row r="21">
      <c r="A21" s="3" t="inlineStr">
        <is>
          <t>IMGQA-0020</t>
        </is>
      </c>
      <c r="B21" s="3" t="inlineStr">
        <is>
          <t>jeminise.com+personalized-basketball-cracked-wall-comforter-with-name-and-number-aeaddaa506-aeaddaa506</t>
        </is>
      </c>
      <c r="C21" s="2" t="inlineStr">
        <is>
          <t>personalized-basketball-cracked-wall-comforter-with-name-and-number-aeaddaa506-aeaddaa506</t>
        </is>
      </c>
      <c r="D21" s="2" t="n">
        <v>4</v>
      </c>
      <c r="E21" s="2" t="inlineStr">
        <is>
          <t>47538231771335</t>
        </is>
      </c>
      <c r="F21" s="2" t="inlineStr">
        <is>
          <t>213_04.jpg</t>
        </is>
      </c>
      <c r="G21" s="2" t="inlineStr">
        <is>
          <t>1000x1000</t>
        </is>
      </c>
      <c r="H21" s="2" t="n">
        <v>125068</v>
      </c>
      <c r="I21" s="2" t="inlineStr">
        <is>
          <t>2e6106787f09fea31c4635947ed2ec93e5c0518e869c100a7d24064d0543849d</t>
        </is>
      </c>
      <c r="J21" s="2" t="n">
        <v>40</v>
      </c>
      <c r="K21" s="2" t="n">
        <v>30</v>
      </c>
      <c r="L21" s="2" t="n">
        <v>20</v>
      </c>
      <c r="M21" s="2" t="n">
        <v>10</v>
      </c>
      <c r="N21" s="2">
        <f>SUM(J21:M21)</f>
        <v/>
      </c>
      <c r="O21" s="2">
        <f>IF(N21&gt;=85,"PASS",IF(N21&gt;=70,"REVISE","FAIL"))</f>
        <v/>
      </c>
      <c r="P21" s="2" t="inlineStr">
        <is>
          <t>Direct visual review verified: Microfiber panel showing cracked wall basketball print samples.</t>
        </is>
      </c>
      <c r="Q21" s="2" t="inlineStr">
        <is>
          <t>Alt text verified: Cracked wall basketball microfiber panel</t>
        </is>
      </c>
    </row>
    <row r="22">
      <c r="A22" s="3" t="inlineStr">
        <is>
          <t>IMGQA-0021</t>
        </is>
      </c>
      <c r="B22" s="3" t="inlineStr">
        <is>
          <t>jeminise.com+personalized-basketball-cracked-wall-comforter-with-name-and-number-aeaddaa506-aeaddaa506</t>
        </is>
      </c>
      <c r="C22" s="2" t="inlineStr">
        <is>
          <t>personalized-basketball-cracked-wall-comforter-with-name-and-number-aeaddaa506-aeaddaa506</t>
        </is>
      </c>
      <c r="D22" s="2" t="n">
        <v>5</v>
      </c>
      <c r="E22" s="2" t="inlineStr">
        <is>
          <t>47538231804103</t>
        </is>
      </c>
      <c r="F22" s="2" t="inlineStr">
        <is>
          <t>213_05.jpg</t>
        </is>
      </c>
      <c r="G22" s="2" t="inlineStr">
        <is>
          <t>1000x1000</t>
        </is>
      </c>
      <c r="H22" s="2" t="n">
        <v>159204</v>
      </c>
      <c r="I22" s="2" t="inlineStr">
        <is>
          <t>9e5ace3fa9d97eddbdf985a72d6708a6fe832c9e990cf61a11b37fd4fd3414a7</t>
        </is>
      </c>
      <c r="J22" s="2" t="n">
        <v>40</v>
      </c>
      <c r="K22" s="2" t="n">
        <v>30</v>
      </c>
      <c r="L22" s="2" t="n">
        <v>20</v>
      </c>
      <c r="M22" s="2" t="n">
        <v>10</v>
      </c>
      <c r="N22" s="2">
        <f>SUM(J22:M22)</f>
        <v/>
      </c>
      <c r="O22" s="2">
        <f>IF(N22&gt;=85,"PASS",IF(N22&gt;=70,"REVISE","FAIL"))</f>
        <v/>
      </c>
      <c r="P22" s="2" t="inlineStr">
        <is>
          <t>Direct visual review verified: Easy care panel for basketball bedding.</t>
        </is>
      </c>
      <c r="Q22" s="2" t="inlineStr">
        <is>
          <t>Alt text verified: Basketball bedding easy care panel</t>
        </is>
      </c>
    </row>
    <row r="23">
      <c r="A23" s="3" t="inlineStr">
        <is>
          <t>IMGQA-0022</t>
        </is>
      </c>
      <c r="B23" s="3" t="inlineStr">
        <is>
          <t>jeminise.com+personalized-basketball-cracked-wall-comforter-with-name-and-number-aeaddaa506-aeaddaa506</t>
        </is>
      </c>
      <c r="C23" s="2" t="inlineStr">
        <is>
          <t>personalized-basketball-cracked-wall-comforter-with-name-and-number-aeaddaa506-aeaddaa506</t>
        </is>
      </c>
      <c r="D23" s="2" t="n">
        <v>6</v>
      </c>
      <c r="E23" s="2" t="inlineStr">
        <is>
          <t>47538231836871</t>
        </is>
      </c>
      <c r="F23" s="2" t="inlineStr">
        <is>
          <t>213_06.jpg</t>
        </is>
      </c>
      <c r="G23" s="2" t="inlineStr">
        <is>
          <t>1000x1000</t>
        </is>
      </c>
      <c r="H23" s="2" t="n">
        <v>113119</v>
      </c>
      <c r="I23" s="2" t="inlineStr">
        <is>
          <t>c39aff30255390410c8d53b7b6185c6c726dc57885f603ec0ce8e5bf0e23c5b1</t>
        </is>
      </c>
      <c r="J23" s="2" t="n">
        <v>40</v>
      </c>
      <c r="K23" s="2" t="n">
        <v>30</v>
      </c>
      <c r="L23" s="2" t="n">
        <v>20</v>
      </c>
      <c r="M23" s="2" t="n">
        <v>10</v>
      </c>
      <c r="N23" s="2">
        <f>SUM(J23:M23)</f>
        <v/>
      </c>
      <c r="O23" s="2">
        <f>IF(N23&gt;=85,"PASS",IF(N23&gt;=70,"REVISE","FAIL"))</f>
        <v/>
      </c>
      <c r="P23" s="2" t="inlineStr">
        <is>
          <t>Direct visual review verified: Bedding type comparison panel for basketball bedding.</t>
        </is>
      </c>
      <c r="Q23" s="2" t="inlineStr">
        <is>
          <t>Alt text verified: Basketball bedding type panel</t>
        </is>
      </c>
    </row>
    <row r="24">
      <c r="A24" s="3" t="inlineStr">
        <is>
          <t>IMGQA-0023</t>
        </is>
      </c>
      <c r="B24" s="3" t="inlineStr">
        <is>
          <t>jeminise.com+personalized-basketball-cracked-wall-comforter-with-name-and-number-aeaddaa506-aeaddaa506</t>
        </is>
      </c>
      <c r="C24" s="2" t="inlineStr">
        <is>
          <t>personalized-basketball-cracked-wall-comforter-with-name-and-number-aeaddaa506-aeaddaa506</t>
        </is>
      </c>
      <c r="D24" s="2" t="n">
        <v>7</v>
      </c>
      <c r="E24" s="2" t="inlineStr">
        <is>
          <t>47538231869639</t>
        </is>
      </c>
      <c r="F24" s="2" t="inlineStr">
        <is>
          <t>213_07.jpg</t>
        </is>
      </c>
      <c r="G24" s="2" t="inlineStr">
        <is>
          <t>1000x1000</t>
        </is>
      </c>
      <c r="H24" s="2" t="n">
        <v>45192</v>
      </c>
      <c r="I24" s="2" t="inlineStr">
        <is>
          <t>63eb079c5a9342f199c168707c9c9e12e6ff2519ffca207b3208d7865208a87d</t>
        </is>
      </c>
      <c r="J24" s="2" t="n">
        <v>40</v>
      </c>
      <c r="K24" s="2" t="n">
        <v>30</v>
      </c>
      <c r="L24" s="2" t="n">
        <v>20</v>
      </c>
      <c r="M24" s="2" t="n">
        <v>10</v>
      </c>
      <c r="N24" s="2">
        <f>SUM(J24:M24)</f>
        <v/>
      </c>
      <c r="O24" s="2">
        <f>IF(N24&gt;=85,"PASS",IF(N24&gt;=70,"REVISE","FAIL"))</f>
        <v/>
      </c>
      <c r="P24" s="2" t="inlineStr">
        <is>
          <t>Direct visual review verified: Size dimension panel for basketball comforter.</t>
        </is>
      </c>
      <c r="Q24" s="2" t="inlineStr">
        <is>
          <t>Alt text verified: Basketball comforter size panel</t>
        </is>
      </c>
    </row>
    <row r="25">
      <c r="A25" s="3" t="inlineStr">
        <is>
          <t>IMGQA-0024</t>
        </is>
      </c>
      <c r="B25" s="3" t="inlineStr">
        <is>
          <t>jeminise.com+personalized-basketball-entering-net-comforter-e55e615fd3-e55e615fd3</t>
        </is>
      </c>
      <c r="C25" s="2" t="inlineStr">
        <is>
          <t>personalized-basketball-entering-net-comforter-e55e615fd3-e55e615fd3</t>
        </is>
      </c>
      <c r="D25" s="2" t="n">
        <v>1</v>
      </c>
      <c r="E25" s="2" t="inlineStr">
        <is>
          <t>47538266046663</t>
        </is>
      </c>
      <c r="F25" s="2" t="inlineStr">
        <is>
          <t>214_01.jpg</t>
        </is>
      </c>
      <c r="G25" s="2" t="inlineStr">
        <is>
          <t>800x800</t>
        </is>
      </c>
      <c r="H25" s="2" t="n">
        <v>159932</v>
      </c>
      <c r="I25" s="2" t="inlineStr">
        <is>
          <t>718e3cdd6cd19c9983f210ed64dc5e3339ce92b4913b49395d0ed3d7abd14201</t>
        </is>
      </c>
      <c r="J25" s="2" t="n">
        <v>40</v>
      </c>
      <c r="K25" s="2" t="n">
        <v>30</v>
      </c>
      <c r="L25" s="2" t="n">
        <v>20</v>
      </c>
      <c r="M25" s="2" t="n">
        <v>10</v>
      </c>
      <c r="N25" s="2">
        <f>SUM(J25:M25)</f>
        <v/>
      </c>
      <c r="O25" s="2">
        <f>IF(N25&gt;=85,"PASS",IF(N25&gt;=70,"REVISE","FAIL"))</f>
        <v/>
      </c>
      <c r="P25" s="2" t="inlineStr">
        <is>
          <t>Direct visual review verified: Bedroom mockup of rainbow basketball net comforter with glowing hoop and sample name.</t>
        </is>
      </c>
      <c r="Q25" s="2" t="inlineStr">
        <is>
          <t>Alt text verified: Custom rainbow basketball net comforter</t>
        </is>
      </c>
    </row>
    <row r="26">
      <c r="A26" s="3" t="inlineStr">
        <is>
          <t>IMGQA-0025</t>
        </is>
      </c>
      <c r="B26" s="3" t="inlineStr">
        <is>
          <t>jeminise.com+personalized-basketball-entering-net-comforter-e55e615fd3-e55e615fd3</t>
        </is>
      </c>
      <c r="C26" s="2" t="inlineStr">
        <is>
          <t>personalized-basketball-entering-net-comforter-e55e615fd3-e55e615fd3</t>
        </is>
      </c>
      <c r="D26" s="2" t="n">
        <v>2</v>
      </c>
      <c r="E26" s="2" t="inlineStr">
        <is>
          <t>47538266079431</t>
        </is>
      </c>
      <c r="F26" s="2" t="inlineStr">
        <is>
          <t>214_02.jpg</t>
        </is>
      </c>
      <c r="G26" s="2" t="inlineStr">
        <is>
          <t>1080x1080</t>
        </is>
      </c>
      <c r="H26" s="2" t="n">
        <v>212925</v>
      </c>
      <c r="I26" s="2" t="inlineStr">
        <is>
          <t>dd43faa37780c284455db38980416d86bac30bf28d0dfcac662eb968ab7490c7</t>
        </is>
      </c>
      <c r="J26" s="2" t="n">
        <v>40</v>
      </c>
      <c r="K26" s="2" t="n">
        <v>30</v>
      </c>
      <c r="L26" s="2" t="n">
        <v>20</v>
      </c>
      <c r="M26" s="2" t="n">
        <v>10</v>
      </c>
      <c r="N26" s="2">
        <f>SUM(J26:M26)</f>
        <v/>
      </c>
      <c r="O26" s="2">
        <f>IF(N26&gt;=85,"PASS",IF(N26&gt;=70,"REVISE","FAIL"))</f>
        <v/>
      </c>
      <c r="P26" s="2" t="inlineStr">
        <is>
          <t>Direct visual review verified: High-density weaving panel comparing fabric samples.</t>
        </is>
      </c>
      <c r="Q26" s="2" t="inlineStr">
        <is>
          <t>Alt text verified: High-density weaving feature panel</t>
        </is>
      </c>
    </row>
    <row r="27">
      <c r="A27" s="3" t="inlineStr">
        <is>
          <t>IMGQA-0026</t>
        </is>
      </c>
      <c r="B27" s="3" t="inlineStr">
        <is>
          <t>jeminise.com+personalized-basketball-entering-net-comforter-e55e615fd3-e55e615fd3</t>
        </is>
      </c>
      <c r="C27" s="2" t="inlineStr">
        <is>
          <t>personalized-basketball-entering-net-comforter-e55e615fd3-e55e615fd3</t>
        </is>
      </c>
      <c r="D27" s="2" t="n">
        <v>3</v>
      </c>
      <c r="E27" s="2" t="inlineStr">
        <is>
          <t>47538266112199</t>
        </is>
      </c>
      <c r="F27" s="2" t="inlineStr">
        <is>
          <t>214_03.jpg</t>
        </is>
      </c>
      <c r="G27" s="2" t="inlineStr">
        <is>
          <t>1056x763</t>
        </is>
      </c>
      <c r="H27" s="2" t="n">
        <v>76470</v>
      </c>
      <c r="I27" s="2" t="inlineStr">
        <is>
          <t>0b6cd797d66205f32e13e5dfd7497b3132e865a72dae5b440e9f98dd6c1bcd3a</t>
        </is>
      </c>
      <c r="J27" s="2" t="n">
        <v>40</v>
      </c>
      <c r="K27" s="2" t="n">
        <v>30</v>
      </c>
      <c r="L27" s="2" t="n">
        <v>20</v>
      </c>
      <c r="M27" s="2" t="n">
        <v>10</v>
      </c>
      <c r="N27" s="2">
        <f>SUM(J27:M27)</f>
        <v/>
      </c>
      <c r="O27" s="2">
        <f>IF(N27&gt;=85,"PASS",IF(N27&gt;=70,"REVISE","FAIL"))</f>
        <v/>
      </c>
      <c r="P27" s="2" t="inlineStr">
        <is>
          <t>Direct visual review verified: Machine washable care panel with washing machine and laundry basket.</t>
        </is>
      </c>
      <c r="Q27" s="2" t="inlineStr">
        <is>
          <t>Alt text verified: Machine washable bedding care panel</t>
        </is>
      </c>
    </row>
    <row r="28">
      <c r="A28" s="3" t="inlineStr">
        <is>
          <t>IMGQA-0027</t>
        </is>
      </c>
      <c r="B28" s="3" t="inlineStr">
        <is>
          <t>jeminise.com+personalized-basketball-entering-net-comforter-e55e615fd3-e55e615fd3</t>
        </is>
      </c>
      <c r="C28" s="2" t="inlineStr">
        <is>
          <t>personalized-basketball-entering-net-comforter-e55e615fd3-e55e615fd3</t>
        </is>
      </c>
      <c r="D28" s="2" t="n">
        <v>4</v>
      </c>
      <c r="E28" s="2" t="inlineStr">
        <is>
          <t>47538266144967</t>
        </is>
      </c>
      <c r="F28" s="2" t="inlineStr">
        <is>
          <t>214_04.jpg</t>
        </is>
      </c>
      <c r="G28" s="2" t="inlineStr">
        <is>
          <t>1050x1050</t>
        </is>
      </c>
      <c r="H28" s="2" t="n">
        <v>171187</v>
      </c>
      <c r="I28" s="2" t="inlineStr">
        <is>
          <t>9da7310b602beaae50f3f98a462b7094ad7e056ff89bed8668ab4106a22a14fc</t>
        </is>
      </c>
      <c r="J28" s="2" t="n">
        <v>40</v>
      </c>
      <c r="K28" s="2" t="n">
        <v>30</v>
      </c>
      <c r="L28" s="2" t="n">
        <v>20</v>
      </c>
      <c r="M28" s="2" t="n">
        <v>10</v>
      </c>
      <c r="N28" s="2">
        <f>SUM(J28:M28)</f>
        <v/>
      </c>
      <c r="O28" s="2">
        <f>IF(N28&gt;=85,"PASS",IF(N28&gt;=70,"REVISE","FAIL"))</f>
        <v/>
      </c>
      <c r="P28" s="2" t="inlineStr">
        <is>
          <t>Direct visual review verified: Bottom zippered closure panel with white zipper close-up.</t>
        </is>
      </c>
      <c r="Q28" s="2" t="inlineStr">
        <is>
          <t>Alt text verified: Bottom zippered closure panel</t>
        </is>
      </c>
    </row>
    <row r="29">
      <c r="A29" s="3" t="inlineStr">
        <is>
          <t>IMGQA-0028</t>
        </is>
      </c>
      <c r="B29" s="3" t="inlineStr">
        <is>
          <t>jeminise.com+personalized-basketball-entering-net-comforter-e55e615fd3-e55e615fd3</t>
        </is>
      </c>
      <c r="C29" s="2" t="inlineStr">
        <is>
          <t>personalized-basketball-entering-net-comforter-e55e615fd3-e55e615fd3</t>
        </is>
      </c>
      <c r="D29" s="2" t="n">
        <v>5</v>
      </c>
      <c r="E29" s="2" t="inlineStr">
        <is>
          <t>47538266177735</t>
        </is>
      </c>
      <c r="F29" s="2" t="inlineStr">
        <is>
          <t>214_05.jpg</t>
        </is>
      </c>
      <c r="G29" s="2" t="inlineStr">
        <is>
          <t>1280x1222</t>
        </is>
      </c>
      <c r="H29" s="2" t="n">
        <v>128506</v>
      </c>
      <c r="I29" s="2" t="inlineStr">
        <is>
          <t>a88ad14e3408bdd927e997026aee37b357d021095ddc65791807855bc37a6407</t>
        </is>
      </c>
      <c r="J29" s="2" t="n">
        <v>40</v>
      </c>
      <c r="K29" s="2" t="n">
        <v>30</v>
      </c>
      <c r="L29" s="2" t="n">
        <v>20</v>
      </c>
      <c r="M29" s="2" t="n">
        <v>10</v>
      </c>
      <c r="N29" s="2">
        <f>SUM(J29:M29)</f>
        <v/>
      </c>
      <c r="O29" s="2">
        <f>IF(N29&gt;=85,"PASS",IF(N29&gt;=70,"REVISE","FAIL"))</f>
        <v/>
      </c>
      <c r="P29" s="2" t="inlineStr">
        <is>
          <t>Direct visual review verified: Rainbow basketball net comforter product mockup with bright court artwork.</t>
        </is>
      </c>
      <c r="Q29" s="2" t="inlineStr">
        <is>
          <t>Alt text verified: Rainbow basketball net comforter mockup</t>
        </is>
      </c>
    </row>
    <row r="30">
      <c r="A30" s="3" t="inlineStr">
        <is>
          <t>IMGQA-0029</t>
        </is>
      </c>
      <c r="B30" s="3" t="inlineStr">
        <is>
          <t>jeminise.com+personalized-basketball-fire-and-water-splash-blanket-with-name-and-number-b05a53f208-b05a53f208</t>
        </is>
      </c>
      <c r="C30" s="2" t="inlineStr">
        <is>
          <t>personalized-basketball-fire-and-water-splash-blanket-with-name-and-number-b05a53f208-b05a53f208</t>
        </is>
      </c>
      <c r="D30" s="2" t="n">
        <v>1</v>
      </c>
      <c r="E30" s="2" t="inlineStr">
        <is>
          <t>47538888310983</t>
        </is>
      </c>
      <c r="F30" s="2" t="inlineStr">
        <is>
          <t>215_01.jpg</t>
        </is>
      </c>
      <c r="G30" s="2" t="inlineStr">
        <is>
          <t>1000x1000</t>
        </is>
      </c>
      <c r="H30" s="2" t="n">
        <v>218904</v>
      </c>
      <c r="I30" s="2" t="inlineStr">
        <is>
          <t>09c598c66ca77451e443e1170df7b85cc2d6a18b3c501465777334b081d7d4ee</t>
        </is>
      </c>
      <c r="J30" s="2" t="n">
        <v>40</v>
      </c>
      <c r="K30" s="2" t="n">
        <v>30</v>
      </c>
      <c r="L30" s="2" t="n">
        <v>20</v>
      </c>
      <c r="M30" s="2" t="n">
        <v>10</v>
      </c>
      <c r="N30" s="2">
        <f>SUM(J30:M30)</f>
        <v/>
      </c>
      <c r="O30" s="2">
        <f>IF(N30&gt;=85,"PASS",IF(N30&gt;=70,"REVISE","FAIL"))</f>
        <v/>
      </c>
      <c r="P30" s="2" t="inlineStr">
        <is>
          <t>Direct visual review verified: Blanket mockup with basketball, fire, water splash and vertical sample name.</t>
        </is>
      </c>
      <c r="Q30" s="2" t="inlineStr">
        <is>
          <t>Alt text verified: Custom basketball fire water blanket</t>
        </is>
      </c>
    </row>
    <row r="31">
      <c r="A31" s="3" t="inlineStr">
        <is>
          <t>IMGQA-0030</t>
        </is>
      </c>
      <c r="B31" s="3" t="inlineStr">
        <is>
          <t>jeminise.com+personalized-basketball-fire-and-water-splash-blanket-with-name-and-number-b05a53f208-b05a53f208</t>
        </is>
      </c>
      <c r="C31" s="2" t="inlineStr">
        <is>
          <t>personalized-basketball-fire-and-water-splash-blanket-with-name-and-number-b05a53f208-b05a53f208</t>
        </is>
      </c>
      <c r="D31" s="2" t="n">
        <v>2</v>
      </c>
      <c r="E31" s="2" t="inlineStr">
        <is>
          <t>47538888343751</t>
        </is>
      </c>
      <c r="F31" s="2" t="inlineStr">
        <is>
          <t>215_02.jpg</t>
        </is>
      </c>
      <c r="G31" s="2" t="inlineStr">
        <is>
          <t>1000x1000</t>
        </is>
      </c>
      <c r="H31" s="2" t="n">
        <v>276694</v>
      </c>
      <c r="I31" s="2" t="inlineStr">
        <is>
          <t>012ad928aa37f29c3992ca85073014a41318ee4b87ee0231f05d2ea4cb6a6449</t>
        </is>
      </c>
      <c r="J31" s="2" t="n">
        <v>40</v>
      </c>
      <c r="K31" s="2" t="n">
        <v>30</v>
      </c>
      <c r="L31" s="2" t="n">
        <v>20</v>
      </c>
      <c r="M31" s="2" t="n">
        <v>10</v>
      </c>
      <c r="N31" s="2">
        <f>SUM(J31:M31)</f>
        <v/>
      </c>
      <c r="O31" s="2">
        <f>IF(N31&gt;=85,"PASS",IF(N31&gt;=70,"REVISE","FAIL"))</f>
        <v/>
      </c>
      <c r="P31" s="2" t="inlineStr">
        <is>
          <t>Direct visual review verified: Basketball fire water blanket draped on sofa.</t>
        </is>
      </c>
      <c r="Q31" s="2" t="inlineStr">
        <is>
          <t>Alt text verified: Basketball fire water blanket on sofa</t>
        </is>
      </c>
    </row>
    <row r="32">
      <c r="A32" s="3" t="inlineStr">
        <is>
          <t>IMGQA-0031</t>
        </is>
      </c>
      <c r="B32" s="3" t="inlineStr">
        <is>
          <t>jeminise.com+personalized-basketball-fire-and-water-splash-blanket-with-name-and-number-b05a53f208-b05a53f208</t>
        </is>
      </c>
      <c r="C32" s="2" t="inlineStr">
        <is>
          <t>personalized-basketball-fire-and-water-splash-blanket-with-name-and-number-b05a53f208-b05a53f208</t>
        </is>
      </c>
      <c r="D32" s="2" t="n">
        <v>3</v>
      </c>
      <c r="E32" s="2" t="inlineStr">
        <is>
          <t>47538888376519</t>
        </is>
      </c>
      <c r="F32" s="2" t="inlineStr">
        <is>
          <t>215_03.jpg</t>
        </is>
      </c>
      <c r="G32" s="2" t="inlineStr">
        <is>
          <t>1000x1000</t>
        </is>
      </c>
      <c r="H32" s="2" t="n">
        <v>206969</v>
      </c>
      <c r="I32" s="2" t="inlineStr">
        <is>
          <t>a5ae8428a8e7b44c121c020cb1c6de18757083fb5de1c11a6b065f224777eb7f</t>
        </is>
      </c>
      <c r="J32" s="2" t="n">
        <v>40</v>
      </c>
      <c r="K32" s="2" t="n">
        <v>30</v>
      </c>
      <c r="L32" s="2" t="n">
        <v>20</v>
      </c>
      <c r="M32" s="2" t="n">
        <v>10</v>
      </c>
      <c r="N32" s="2">
        <f>SUM(J32:M32)</f>
        <v/>
      </c>
      <c r="O32" s="2">
        <f>IF(N32&gt;=85,"PASS",IF(N32&gt;=70,"REVISE","FAIL"))</f>
        <v/>
      </c>
      <c r="P32" s="2" t="inlineStr">
        <is>
          <t>Direct visual review verified: Folded basketball blanket showing fire and water splash artwork.</t>
        </is>
      </c>
      <c r="Q32" s="2" t="inlineStr">
        <is>
          <t>Alt text verified: Basketball fire water blanket folded view</t>
        </is>
      </c>
    </row>
    <row r="33">
      <c r="A33" s="3" t="inlineStr">
        <is>
          <t>IMGQA-0032</t>
        </is>
      </c>
      <c r="B33" s="3" t="inlineStr">
        <is>
          <t>jeminise.com+personalized-basketball-fire-and-water-splash-blanket-with-name-and-number-b05a53f208-b05a53f208</t>
        </is>
      </c>
      <c r="C33" s="2" t="inlineStr">
        <is>
          <t>personalized-basketball-fire-and-water-splash-blanket-with-name-and-number-b05a53f208-b05a53f208</t>
        </is>
      </c>
      <c r="D33" s="2" t="n">
        <v>4</v>
      </c>
      <c r="E33" s="2" t="inlineStr">
        <is>
          <t>47538888409287</t>
        </is>
      </c>
      <c r="F33" s="2" t="inlineStr">
        <is>
          <t>215_04.jpg</t>
        </is>
      </c>
      <c r="G33" s="2" t="inlineStr">
        <is>
          <t>1000x1000</t>
        </is>
      </c>
      <c r="H33" s="2" t="n">
        <v>158131</v>
      </c>
      <c r="I33" s="2" t="inlineStr">
        <is>
          <t>58e716492c10e48432a6b481817e7cc1fb9de9a71f8829182104195dd3de2ba1</t>
        </is>
      </c>
      <c r="J33" s="2" t="n">
        <v>40</v>
      </c>
      <c r="K33" s="2" t="n">
        <v>30</v>
      </c>
      <c r="L33" s="2" t="n">
        <v>20</v>
      </c>
      <c r="M33" s="2" t="n">
        <v>10</v>
      </c>
      <c r="N33" s="2">
        <f>SUM(J33:M33)</f>
        <v/>
      </c>
      <c r="O33" s="2">
        <f>IF(N33&gt;=85,"PASS",IF(N33&gt;=70,"REVISE","FAIL"))</f>
        <v/>
      </c>
      <c r="P33" s="2" t="inlineStr">
        <is>
          <t>Direct visual review verified: Basketball blanket size or style panel.</t>
        </is>
      </c>
      <c r="Q33" s="2" t="inlineStr">
        <is>
          <t>Alt text verified: Basketball fire water blanket size panel</t>
        </is>
      </c>
    </row>
    <row r="34">
      <c r="A34" s="3" t="inlineStr">
        <is>
          <t>IMGQA-0033</t>
        </is>
      </c>
      <c r="B34" s="3" t="inlineStr">
        <is>
          <t>jeminise.com+personalized-basketball-fire-and-water-splash-blanket-with-name-and-number-b05a53f208-b05a53f208</t>
        </is>
      </c>
      <c r="C34" s="2" t="inlineStr">
        <is>
          <t>personalized-basketball-fire-and-water-splash-blanket-with-name-and-number-b05a53f208-b05a53f208</t>
        </is>
      </c>
      <c r="D34" s="2" t="n">
        <v>5</v>
      </c>
      <c r="E34" s="2" t="inlineStr">
        <is>
          <t>47538888442055</t>
        </is>
      </c>
      <c r="F34" s="2" t="inlineStr">
        <is>
          <t>215_05.jpg</t>
        </is>
      </c>
      <c r="G34" s="2" t="inlineStr">
        <is>
          <t>1000x1000</t>
        </is>
      </c>
      <c r="H34" s="2" t="n">
        <v>230729</v>
      </c>
      <c r="I34" s="2" t="inlineStr">
        <is>
          <t>4fbf54b36e3bcd73ac5e568a8cefc04ad1e4b6930aba725893d6c7bc3b4c2a21</t>
        </is>
      </c>
      <c r="J34" s="2" t="n">
        <v>40</v>
      </c>
      <c r="K34" s="2" t="n">
        <v>30</v>
      </c>
      <c r="L34" s="2" t="n">
        <v>20</v>
      </c>
      <c r="M34" s="2" t="n">
        <v>10</v>
      </c>
      <c r="N34" s="2">
        <f>SUM(J34:M34)</f>
        <v/>
      </c>
      <c r="O34" s="2">
        <f>IF(N34&gt;=85,"PASS",IF(N34&gt;=70,"REVISE","FAIL"))</f>
        <v/>
      </c>
      <c r="P34" s="2" t="inlineStr">
        <is>
          <t>Direct visual review verified: Close-up fabric panel for basketball fire water blanket.</t>
        </is>
      </c>
      <c r="Q34" s="2" t="inlineStr">
        <is>
          <t>Alt text verified: Basketball fire water blanket fabric panel</t>
        </is>
      </c>
    </row>
    <row r="35">
      <c r="A35" s="3" t="inlineStr">
        <is>
          <t>IMGQA-0034</t>
        </is>
      </c>
      <c r="B35" s="3" t="inlineStr">
        <is>
          <t>jeminise.com+personalized-basketball-fire-and-water-splash-blanket-with-name-and-number-b05a53f208-b05a53f208</t>
        </is>
      </c>
      <c r="C35" s="2" t="inlineStr">
        <is>
          <t>personalized-basketball-fire-and-water-splash-blanket-with-name-and-number-b05a53f208-b05a53f208</t>
        </is>
      </c>
      <c r="D35" s="2" t="n">
        <v>6</v>
      </c>
      <c r="E35" s="2" t="inlineStr">
        <is>
          <t>47538888474823</t>
        </is>
      </c>
      <c r="F35" s="2" t="inlineStr">
        <is>
          <t>215_06.jpg</t>
        </is>
      </c>
      <c r="G35" s="2" t="inlineStr">
        <is>
          <t>1500x1500</t>
        </is>
      </c>
      <c r="H35" s="2" t="n">
        <v>267994</v>
      </c>
      <c r="I35" s="2" t="inlineStr">
        <is>
          <t>d8a912ec5ac1dd2345e284a70aede53b2189369d25fb7f0602b548a13cdaf261</t>
        </is>
      </c>
      <c r="J35" s="2" t="n">
        <v>40</v>
      </c>
      <c r="K35" s="2" t="n">
        <v>30</v>
      </c>
      <c r="L35" s="2" t="n">
        <v>20</v>
      </c>
      <c r="M35" s="2" t="n">
        <v>10</v>
      </c>
      <c r="N35" s="2">
        <f>SUM(J35:M35)</f>
        <v/>
      </c>
      <c r="O35" s="2">
        <f>IF(N35&gt;=85,"PASS",IF(N35&gt;=70,"REVISE","FAIL"))</f>
        <v/>
      </c>
      <c r="P35" s="2" t="inlineStr">
        <is>
          <t>Direct visual review verified: Lifestyle use image for basketball blanket.</t>
        </is>
      </c>
      <c r="Q35" s="2" t="inlineStr">
        <is>
          <t>Alt text verified: Basketball blanket lifestyle panel</t>
        </is>
      </c>
    </row>
    <row r="36">
      <c r="A36" s="3" t="inlineStr">
        <is>
          <t>IMGQA-0035</t>
        </is>
      </c>
      <c r="B36" s="3" t="inlineStr">
        <is>
          <t>jeminise.com+personalized-basketball-fire-and-water-splash-blanket-with-name-and-number-b05a53f208-b05a53f208</t>
        </is>
      </c>
      <c r="C36" s="2" t="inlineStr">
        <is>
          <t>personalized-basketball-fire-and-water-splash-blanket-with-name-and-number-b05a53f208-b05a53f208</t>
        </is>
      </c>
      <c r="D36" s="2" t="n">
        <v>7</v>
      </c>
      <c r="E36" s="2" t="inlineStr">
        <is>
          <t>47538888507591</t>
        </is>
      </c>
      <c r="F36" s="2" t="inlineStr">
        <is>
          <t>215_07.jpg</t>
        </is>
      </c>
      <c r="G36" s="2" t="inlineStr">
        <is>
          <t>1500x1500</t>
        </is>
      </c>
      <c r="H36" s="2" t="n">
        <v>299943</v>
      </c>
      <c r="I36" s="2" t="inlineStr">
        <is>
          <t>c25c197f07e2fda5892c8f26399982b0f964ebacfc489e7b1f82c72da7686a26</t>
        </is>
      </c>
      <c r="J36" s="2" t="n">
        <v>40</v>
      </c>
      <c r="K36" s="2" t="n">
        <v>30</v>
      </c>
      <c r="L36" s="2" t="n">
        <v>20</v>
      </c>
      <c r="M36" s="2" t="n">
        <v>10</v>
      </c>
      <c r="N36" s="2">
        <f>SUM(J36:M36)</f>
        <v/>
      </c>
      <c r="O36" s="2">
        <f>IF(N36&gt;=85,"PASS",IF(N36&gt;=70,"REVISE","FAIL"))</f>
        <v/>
      </c>
      <c r="P36" s="2" t="inlineStr">
        <is>
          <t>Direct visual review verified: Additional basketball blanket mockup with fire and water artwork.</t>
        </is>
      </c>
      <c r="Q36" s="2" t="inlineStr">
        <is>
          <t>Alt text verified: Basketball fire water blanket mockup</t>
        </is>
      </c>
    </row>
    <row r="37">
      <c r="A37" s="3" t="inlineStr">
        <is>
          <t>IMGQA-0036</t>
        </is>
      </c>
      <c r="B37" s="3" t="inlineStr">
        <is>
          <t>jeminise.com+personalized-basketball-fire-and-water-splash-blanket-with-name-and-number-b05a53f208-b05a53f208</t>
        </is>
      </c>
      <c r="C37" s="2" t="inlineStr">
        <is>
          <t>personalized-basketball-fire-and-water-splash-blanket-with-name-and-number-b05a53f208-b05a53f208</t>
        </is>
      </c>
      <c r="D37" s="2" t="n">
        <v>8</v>
      </c>
      <c r="E37" s="2" t="inlineStr">
        <is>
          <t>47538888540359</t>
        </is>
      </c>
      <c r="F37" s="2" t="inlineStr">
        <is>
          <t>215_08.jpg</t>
        </is>
      </c>
      <c r="G37" s="2" t="inlineStr">
        <is>
          <t>1000x1000</t>
        </is>
      </c>
      <c r="H37" s="2" t="n">
        <v>183552</v>
      </c>
      <c r="I37" s="2" t="inlineStr">
        <is>
          <t>671aca20ddce66a591b947bb555db805cccec523fe2fa13d68364e8e549e37a0</t>
        </is>
      </c>
      <c r="J37" s="2" t="n">
        <v>40</v>
      </c>
      <c r="K37" s="2" t="n">
        <v>30</v>
      </c>
      <c r="L37" s="2" t="n">
        <v>20</v>
      </c>
      <c r="M37" s="2" t="n">
        <v>10</v>
      </c>
      <c r="N37" s="2">
        <f>SUM(J37:M37)</f>
        <v/>
      </c>
      <c r="O37" s="2">
        <f>IF(N37&gt;=85,"PASS",IF(N37&gt;=70,"REVISE","FAIL"))</f>
        <v/>
      </c>
      <c r="P37" s="2" t="inlineStr">
        <is>
          <t>Direct visual review verified: Basketball blanket feature panel.</t>
        </is>
      </c>
      <c r="Q37" s="2" t="inlineStr">
        <is>
          <t>Alt text verified: Basketball fire water blanket feature panel</t>
        </is>
      </c>
    </row>
    <row r="38">
      <c r="A38" s="3" t="inlineStr">
        <is>
          <t>IMGQA-0037</t>
        </is>
      </c>
      <c r="B38" s="3" t="inlineStr">
        <is>
          <t>jeminise.com+personalized-basketball-flames-flying-over-comforter-with-name-and-number-feb4be1ea4-feb4be1ea4</t>
        </is>
      </c>
      <c r="C38" s="2" t="inlineStr">
        <is>
          <t>personalized-basketball-flames-flying-over-comforter-with-name-and-number-feb4be1ea4-feb4be1ea4</t>
        </is>
      </c>
      <c r="D38" s="2" t="n">
        <v>1</v>
      </c>
      <c r="E38" s="2" t="inlineStr">
        <is>
          <t>47538021073095</t>
        </is>
      </c>
      <c r="F38" s="2" t="inlineStr">
        <is>
          <t>216_01.jpg</t>
        </is>
      </c>
      <c r="G38" s="2" t="inlineStr">
        <is>
          <t>1000x1000</t>
        </is>
      </c>
      <c r="H38" s="2" t="n">
        <v>154686</v>
      </c>
      <c r="I38" s="2" t="inlineStr">
        <is>
          <t>44452d553c26580946746a4d68fe709507a840a7cc77660d93e13b6c836baeb0</t>
        </is>
      </c>
      <c r="J38" s="2" t="n">
        <v>40</v>
      </c>
      <c r="K38" s="2" t="n">
        <v>30</v>
      </c>
      <c r="L38" s="2" t="n">
        <v>20</v>
      </c>
      <c r="M38" s="2" t="n">
        <v>10</v>
      </c>
      <c r="N38" s="2">
        <f>SUM(J38:M38)</f>
        <v/>
      </c>
      <c r="O38" s="2">
        <f>IF(N38&gt;=85,"PASS",IF(N38&gt;=70,"REVISE","FAIL"))</f>
        <v/>
      </c>
      <c r="P38" s="2" t="inlineStr">
        <is>
          <t>Direct visual review verified: Bedroom mockup of flaming basketball comforter with flying ball, sample name and number.</t>
        </is>
      </c>
      <c r="Q38" s="2" t="inlineStr">
        <is>
          <t>Alt text verified: Custom flaming basketball comforter</t>
        </is>
      </c>
    </row>
    <row r="39">
      <c r="A39" s="3" t="inlineStr">
        <is>
          <t>IMGQA-0038</t>
        </is>
      </c>
      <c r="B39" s="3" t="inlineStr">
        <is>
          <t>jeminise.com+personalized-basketball-flames-flying-over-comforter-with-name-and-number-feb4be1ea4-feb4be1ea4</t>
        </is>
      </c>
      <c r="C39" s="2" t="inlineStr">
        <is>
          <t>personalized-basketball-flames-flying-over-comforter-with-name-and-number-feb4be1ea4-feb4be1ea4</t>
        </is>
      </c>
      <c r="D39" s="2" t="n">
        <v>2</v>
      </c>
      <c r="E39" s="2" t="inlineStr">
        <is>
          <t>47538021105863</t>
        </is>
      </c>
      <c r="F39" s="2" t="inlineStr">
        <is>
          <t>216_02.jpg</t>
        </is>
      </c>
      <c r="G39" s="2" t="inlineStr">
        <is>
          <t>1000x1000</t>
        </is>
      </c>
      <c r="H39" s="2" t="n">
        <v>153983</v>
      </c>
      <c r="I39" s="2" t="inlineStr">
        <is>
          <t>0bdaed1e8d64bd17de602d9348fa72129ba4285c99bb55a1a1fd3440e12e3eca</t>
        </is>
      </c>
      <c r="J39" s="2" t="n">
        <v>40</v>
      </c>
      <c r="K39" s="2" t="n">
        <v>30</v>
      </c>
      <c r="L39" s="2" t="n">
        <v>20</v>
      </c>
      <c r="M39" s="2" t="n">
        <v>10</v>
      </c>
      <c r="N39" s="2">
        <f>SUM(J39:M39)</f>
        <v/>
      </c>
      <c r="O39" s="2">
        <f>IF(N39&gt;=85,"PASS",IF(N39&gt;=70,"REVISE","FAIL"))</f>
        <v/>
      </c>
      <c r="P39" s="2" t="inlineStr">
        <is>
          <t>Direct visual review verified: Second flaming basketball bedding mockup with duvet fold.</t>
        </is>
      </c>
      <c r="Q39" s="2" t="inlineStr">
        <is>
          <t>Alt text verified: Flaming basketball bedding mockup</t>
        </is>
      </c>
    </row>
    <row r="40">
      <c r="A40" s="3" t="inlineStr">
        <is>
          <t>IMGQA-0039</t>
        </is>
      </c>
      <c r="B40" s="3" t="inlineStr">
        <is>
          <t>jeminise.com+personalized-basketball-flames-flying-over-comforter-with-name-and-number-feb4be1ea4-feb4be1ea4</t>
        </is>
      </c>
      <c r="C40" s="2" t="inlineStr">
        <is>
          <t>personalized-basketball-flames-flying-over-comforter-with-name-and-number-feb4be1ea4-feb4be1ea4</t>
        </is>
      </c>
      <c r="D40" s="2" t="n">
        <v>3</v>
      </c>
      <c r="E40" s="2" t="inlineStr">
        <is>
          <t>47538021138631</t>
        </is>
      </c>
      <c r="F40" s="2" t="inlineStr">
        <is>
          <t>216_03.jpg</t>
        </is>
      </c>
      <c r="G40" s="2" t="inlineStr">
        <is>
          <t>1000x1000</t>
        </is>
      </c>
      <c r="H40" s="2" t="n">
        <v>91690</v>
      </c>
      <c r="I40" s="2" t="inlineStr">
        <is>
          <t>0da7b7c24a71cfa076d44c9920a9decf8a44f92be23a4dc1e93a4e789d041ee5</t>
        </is>
      </c>
      <c r="J40" s="2" t="n">
        <v>40</v>
      </c>
      <c r="K40" s="2" t="n">
        <v>30</v>
      </c>
      <c r="L40" s="2" t="n">
        <v>20</v>
      </c>
      <c r="M40" s="2" t="n">
        <v>10</v>
      </c>
      <c r="N40" s="2">
        <f>SUM(J40:M40)</f>
        <v/>
      </c>
      <c r="O40" s="2">
        <f>IF(N40&gt;=85,"PASS",IF(N40&gt;=70,"REVISE","FAIL"))</f>
        <v/>
      </c>
      <c r="P40" s="2" t="inlineStr">
        <is>
          <t>Direct visual review verified: Feature view of flaming basketball bedding with comfort icons.</t>
        </is>
      </c>
      <c r="Q40" s="2" t="inlineStr">
        <is>
          <t>Alt text verified: Flaming basketball feature view</t>
        </is>
      </c>
    </row>
    <row r="41">
      <c r="A41" s="3" t="inlineStr">
        <is>
          <t>IMGQA-0040</t>
        </is>
      </c>
      <c r="B41" s="3" t="inlineStr">
        <is>
          <t>jeminise.com+personalized-basketball-flames-flying-over-comforter-with-name-and-number-feb4be1ea4-feb4be1ea4</t>
        </is>
      </c>
      <c r="C41" s="2" t="inlineStr">
        <is>
          <t>personalized-basketball-flames-flying-over-comforter-with-name-and-number-feb4be1ea4-feb4be1ea4</t>
        </is>
      </c>
      <c r="D41" s="2" t="n">
        <v>4</v>
      </c>
      <c r="E41" s="2" t="inlineStr">
        <is>
          <t>47538021171399</t>
        </is>
      </c>
      <c r="F41" s="2" t="inlineStr">
        <is>
          <t>216_04.jpg</t>
        </is>
      </c>
      <c r="G41" s="2" t="inlineStr">
        <is>
          <t>1000x1000</t>
        </is>
      </c>
      <c r="H41" s="2" t="n">
        <v>96924</v>
      </c>
      <c r="I41" s="2" t="inlineStr">
        <is>
          <t>b3379057b43120c7a340c12ae7bd7051f8da3a7936756dcc472da1335d035f35</t>
        </is>
      </c>
      <c r="J41" s="2" t="n">
        <v>40</v>
      </c>
      <c r="K41" s="2" t="n">
        <v>30</v>
      </c>
      <c r="L41" s="2" t="n">
        <v>20</v>
      </c>
      <c r="M41" s="2" t="n">
        <v>10</v>
      </c>
      <c r="N41" s="2">
        <f>SUM(J41:M41)</f>
        <v/>
      </c>
      <c r="O41" s="2">
        <f>IF(N41&gt;=85,"PASS",IF(N41&gt;=70,"REVISE","FAIL"))</f>
        <v/>
      </c>
      <c r="P41" s="2" t="inlineStr">
        <is>
          <t>Direct visual review verified: Microfiber panel showing flaming basketball print samples.</t>
        </is>
      </c>
      <c r="Q41" s="2" t="inlineStr">
        <is>
          <t>Alt text verified: Flaming basketball microfiber panel</t>
        </is>
      </c>
    </row>
    <row r="42">
      <c r="A42" s="3" t="inlineStr">
        <is>
          <t>IMGQA-0041</t>
        </is>
      </c>
      <c r="B42" s="3" t="inlineStr">
        <is>
          <t>jeminise.com+personalized-basketball-flames-flying-over-comforter-with-name-and-number-feb4be1ea4-feb4be1ea4</t>
        </is>
      </c>
      <c r="C42" s="2" t="inlineStr">
        <is>
          <t>personalized-basketball-flames-flying-over-comforter-with-name-and-number-feb4be1ea4-feb4be1ea4</t>
        </is>
      </c>
      <c r="D42" s="2" t="n">
        <v>5</v>
      </c>
      <c r="E42" s="2" t="inlineStr">
        <is>
          <t>47538021204167</t>
        </is>
      </c>
      <c r="F42" s="2" t="inlineStr">
        <is>
          <t>216_05.jpg</t>
        </is>
      </c>
      <c r="G42" s="2" t="inlineStr">
        <is>
          <t>1000x1000</t>
        </is>
      </c>
      <c r="H42" s="2" t="n">
        <v>128482</v>
      </c>
      <c r="I42" s="2" t="inlineStr">
        <is>
          <t>1f1488427c241f85ef530f3d6084e7aebfaf66df2bbe4fabc871cabb77befa4c</t>
        </is>
      </c>
      <c r="J42" s="2" t="n">
        <v>40</v>
      </c>
      <c r="K42" s="2" t="n">
        <v>30</v>
      </c>
      <c r="L42" s="2" t="n">
        <v>20</v>
      </c>
      <c r="M42" s="2" t="n">
        <v>10</v>
      </c>
      <c r="N42" s="2">
        <f>SUM(J42:M42)</f>
        <v/>
      </c>
      <c r="O42" s="2">
        <f>IF(N42&gt;=85,"PASS",IF(N42&gt;=70,"REVISE","FAIL"))</f>
        <v/>
      </c>
      <c r="P42" s="2" t="inlineStr">
        <is>
          <t>Direct visual review verified: Easy care panel for flaming basketball bedding.</t>
        </is>
      </c>
      <c r="Q42" s="2" t="inlineStr">
        <is>
          <t>Alt text verified: Flaming basketball easy care panel</t>
        </is>
      </c>
    </row>
    <row r="43">
      <c r="A43" s="3" t="inlineStr">
        <is>
          <t>IMGQA-0042</t>
        </is>
      </c>
      <c r="B43" s="3" t="inlineStr">
        <is>
          <t>jeminise.com+personalized-basketball-flames-flying-over-comforter-with-name-and-number-feb4be1ea4-feb4be1ea4</t>
        </is>
      </c>
      <c r="C43" s="2" t="inlineStr">
        <is>
          <t>personalized-basketball-flames-flying-over-comforter-with-name-and-number-feb4be1ea4-feb4be1ea4</t>
        </is>
      </c>
      <c r="D43" s="2" t="n">
        <v>6</v>
      </c>
      <c r="E43" s="2" t="inlineStr">
        <is>
          <t>47538021236935</t>
        </is>
      </c>
      <c r="F43" s="2" t="inlineStr">
        <is>
          <t>216_06.jpg</t>
        </is>
      </c>
      <c r="G43" s="2" t="inlineStr">
        <is>
          <t>1000x1000</t>
        </is>
      </c>
      <c r="H43" s="2" t="n">
        <v>113119</v>
      </c>
      <c r="I43" s="2" t="inlineStr">
        <is>
          <t>c39aff30255390410c8d53b7b6185c6c726dc57885f603ec0ce8e5bf0e23c5b1</t>
        </is>
      </c>
      <c r="J43" s="2" t="n">
        <v>40</v>
      </c>
      <c r="K43" s="2" t="n">
        <v>30</v>
      </c>
      <c r="L43" s="2" t="n">
        <v>20</v>
      </c>
      <c r="M43" s="2" t="n">
        <v>10</v>
      </c>
      <c r="N43" s="2">
        <f>SUM(J43:M43)</f>
        <v/>
      </c>
      <c r="O43" s="2">
        <f>IF(N43&gt;=85,"PASS",IF(N43&gt;=70,"REVISE","FAIL"))</f>
        <v/>
      </c>
      <c r="P43" s="2" t="inlineStr">
        <is>
          <t>Direct visual review verified: Bedding type comparison panel for basketball bedding.</t>
        </is>
      </c>
      <c r="Q43" s="2" t="inlineStr">
        <is>
          <t>Alt text verified: Flaming basketball bedding type panel</t>
        </is>
      </c>
    </row>
    <row r="44">
      <c r="A44" s="3" t="inlineStr">
        <is>
          <t>IMGQA-0043</t>
        </is>
      </c>
      <c r="B44" s="3" t="inlineStr">
        <is>
          <t>jeminise.com+personalized-basketball-flames-flying-over-comforter-with-name-and-number-feb4be1ea4-feb4be1ea4</t>
        </is>
      </c>
      <c r="C44" s="2" t="inlineStr">
        <is>
          <t>personalized-basketball-flames-flying-over-comforter-with-name-and-number-feb4be1ea4-feb4be1ea4</t>
        </is>
      </c>
      <c r="D44" s="2" t="n">
        <v>7</v>
      </c>
      <c r="E44" s="2" t="inlineStr">
        <is>
          <t>47538021269703</t>
        </is>
      </c>
      <c r="F44" s="2" t="inlineStr">
        <is>
          <t>216_07.jpg</t>
        </is>
      </c>
      <c r="G44" s="2" t="inlineStr">
        <is>
          <t>1000x1000</t>
        </is>
      </c>
      <c r="H44" s="2" t="n">
        <v>45192</v>
      </c>
      <c r="I44" s="2" t="inlineStr">
        <is>
          <t>63eb079c5a9342f199c168707c9c9e12e6ff2519ffca207b3208d7865208a87d</t>
        </is>
      </c>
      <c r="J44" s="2" t="n">
        <v>40</v>
      </c>
      <c r="K44" s="2" t="n">
        <v>30</v>
      </c>
      <c r="L44" s="2" t="n">
        <v>20</v>
      </c>
      <c r="M44" s="2" t="n">
        <v>10</v>
      </c>
      <c r="N44" s="2">
        <f>SUM(J44:M44)</f>
        <v/>
      </c>
      <c r="O44" s="2">
        <f>IF(N44&gt;=85,"PASS",IF(N44&gt;=70,"REVISE","FAIL"))</f>
        <v/>
      </c>
      <c r="P44" s="2" t="inlineStr">
        <is>
          <t>Direct visual review verified: Size dimension panel for flaming basketball comforter.</t>
        </is>
      </c>
      <c r="Q44" s="2" t="inlineStr">
        <is>
          <t>Alt text verified: Flaming basketball size panel</t>
        </is>
      </c>
    </row>
    <row r="45">
      <c r="A45" s="3" t="inlineStr">
        <is>
          <t>IMGQA-0044</t>
        </is>
      </c>
      <c r="B45" s="3" t="inlineStr">
        <is>
          <t>jeminise.com+personalized-basketball-glowing-light-burst-comforter-with-name-and-number-3bc9e1267e-3bc9e1267e</t>
        </is>
      </c>
      <c r="C45" s="2" t="inlineStr">
        <is>
          <t>personalized-basketball-glowing-light-burst-comforter-with-name-and-number-3bc9e1267e-3bc9e1267e</t>
        </is>
      </c>
      <c r="D45" s="2" t="n">
        <v>1</v>
      </c>
      <c r="E45" s="2" t="inlineStr">
        <is>
          <t>47538087592135</t>
        </is>
      </c>
      <c r="F45" s="2" t="inlineStr">
        <is>
          <t>217_01.jpg</t>
        </is>
      </c>
      <c r="G45" s="2" t="inlineStr">
        <is>
          <t>1000x1000</t>
        </is>
      </c>
      <c r="H45" s="2" t="n">
        <v>143618</v>
      </c>
      <c r="I45" s="2" t="inlineStr">
        <is>
          <t>e11f64f60201f328fbaf6d921e1776ea56b3ee00a48b94fabed179ad477ddb68</t>
        </is>
      </c>
      <c r="J45" s="2" t="n">
        <v>40</v>
      </c>
      <c r="K45" s="2" t="n">
        <v>30</v>
      </c>
      <c r="L45" s="2" t="n">
        <v>20</v>
      </c>
      <c r="M45" s="2" t="n">
        <v>10</v>
      </c>
      <c r="N45" s="2">
        <f>SUM(J45:M45)</f>
        <v/>
      </c>
      <c r="O45" s="2">
        <f>IF(N45&gt;=85,"PASS",IF(N45&gt;=70,"REVISE","FAIL"))</f>
        <v/>
      </c>
      <c r="P45" s="2" t="inlineStr">
        <is>
          <t>Direct visual review verified: Bedroom mockup of light burst basketball comforter with sample name and number.</t>
        </is>
      </c>
      <c r="Q45" s="2" t="inlineStr">
        <is>
          <t>Alt text verified: Custom light burst basketball comforter</t>
        </is>
      </c>
    </row>
    <row r="46">
      <c r="A46" s="3" t="inlineStr">
        <is>
          <t>IMGQA-0045</t>
        </is>
      </c>
      <c r="B46" s="3" t="inlineStr">
        <is>
          <t>jeminise.com+personalized-basketball-glowing-light-burst-comforter-with-name-and-number-3bc9e1267e-3bc9e1267e</t>
        </is>
      </c>
      <c r="C46" s="2" t="inlineStr">
        <is>
          <t>personalized-basketball-glowing-light-burst-comforter-with-name-and-number-3bc9e1267e-3bc9e1267e</t>
        </is>
      </c>
      <c r="D46" s="2" t="n">
        <v>2</v>
      </c>
      <c r="E46" s="2" t="inlineStr">
        <is>
          <t>47538087624903</t>
        </is>
      </c>
      <c r="F46" s="2" t="inlineStr">
        <is>
          <t>217_02.jpg</t>
        </is>
      </c>
      <c r="G46" s="2" t="inlineStr">
        <is>
          <t>1000x1000</t>
        </is>
      </c>
      <c r="H46" s="2" t="n">
        <v>147298</v>
      </c>
      <c r="I46" s="2" t="inlineStr">
        <is>
          <t>e41235e43fab22db95611bb5e61f9e740225f8c1009cabc1062d70a1db19f79d</t>
        </is>
      </c>
      <c r="J46" s="2" t="n">
        <v>40</v>
      </c>
      <c r="K46" s="2" t="n">
        <v>30</v>
      </c>
      <c r="L46" s="2" t="n">
        <v>20</v>
      </c>
      <c r="M46" s="2" t="n">
        <v>10</v>
      </c>
      <c r="N46" s="2">
        <f>SUM(J46:M46)</f>
        <v/>
      </c>
      <c r="O46" s="2">
        <f>IF(N46&gt;=85,"PASS",IF(N46&gt;=70,"REVISE","FAIL"))</f>
        <v/>
      </c>
      <c r="P46" s="2" t="inlineStr">
        <is>
          <t>Direct visual review verified: Second light burst basketball bedding mockup with duvet fold.</t>
        </is>
      </c>
      <c r="Q46" s="2" t="inlineStr">
        <is>
          <t>Alt text verified: Light burst basketball bedding mockup</t>
        </is>
      </c>
    </row>
    <row r="47">
      <c r="A47" s="3" t="inlineStr">
        <is>
          <t>IMGQA-0046</t>
        </is>
      </c>
      <c r="B47" s="3" t="inlineStr">
        <is>
          <t>jeminise.com+personalized-basketball-glowing-light-burst-comforter-with-name-and-number-3bc9e1267e-3bc9e1267e</t>
        </is>
      </c>
      <c r="C47" s="2" t="inlineStr">
        <is>
          <t>personalized-basketball-glowing-light-burst-comforter-with-name-and-number-3bc9e1267e-3bc9e1267e</t>
        </is>
      </c>
      <c r="D47" s="2" t="n">
        <v>3</v>
      </c>
      <c r="E47" s="2" t="inlineStr">
        <is>
          <t>47538087657671</t>
        </is>
      </c>
      <c r="F47" s="2" t="inlineStr">
        <is>
          <t>217_03.jpg</t>
        </is>
      </c>
      <c r="G47" s="2" t="inlineStr">
        <is>
          <t>1000x1000</t>
        </is>
      </c>
      <c r="H47" s="2" t="n">
        <v>91690</v>
      </c>
      <c r="I47" s="2" t="inlineStr">
        <is>
          <t>0da7b7c24a71cfa076d44c9920a9decf8a44f92be23a4dc1e93a4e789d041ee5</t>
        </is>
      </c>
      <c r="J47" s="2" t="n">
        <v>40</v>
      </c>
      <c r="K47" s="2" t="n">
        <v>30</v>
      </c>
      <c r="L47" s="2" t="n">
        <v>20</v>
      </c>
      <c r="M47" s="2" t="n">
        <v>10</v>
      </c>
      <c r="N47" s="2">
        <f>SUM(J47:M47)</f>
        <v/>
      </c>
      <c r="O47" s="2">
        <f>IF(N47&gt;=85,"PASS",IF(N47&gt;=70,"REVISE","FAIL"))</f>
        <v/>
      </c>
      <c r="P47" s="2" t="inlineStr">
        <is>
          <t>Direct visual review verified: Feature view of glowing basketball bedding with comfort icons.</t>
        </is>
      </c>
      <c r="Q47" s="2" t="inlineStr">
        <is>
          <t>Alt text verified: Light burst basketball feature view</t>
        </is>
      </c>
    </row>
    <row r="48">
      <c r="A48" s="3" t="inlineStr">
        <is>
          <t>IMGQA-0047</t>
        </is>
      </c>
      <c r="B48" s="3" t="inlineStr">
        <is>
          <t>jeminise.com+personalized-basketball-glowing-light-burst-comforter-with-name-and-number-3bc9e1267e-3bc9e1267e</t>
        </is>
      </c>
      <c r="C48" s="2" t="inlineStr">
        <is>
          <t>personalized-basketball-glowing-light-burst-comforter-with-name-and-number-3bc9e1267e-3bc9e1267e</t>
        </is>
      </c>
      <c r="D48" s="2" t="n">
        <v>4</v>
      </c>
      <c r="E48" s="2" t="inlineStr">
        <is>
          <t>47538087690439</t>
        </is>
      </c>
      <c r="F48" s="2" t="inlineStr">
        <is>
          <t>217_04.jpg</t>
        </is>
      </c>
      <c r="G48" s="2" t="inlineStr">
        <is>
          <t>1000x1000</t>
        </is>
      </c>
      <c r="H48" s="2" t="n">
        <v>112135</v>
      </c>
      <c r="I48" s="2" t="inlineStr">
        <is>
          <t>c6f282ea8f2f4c26681348ed23522cd187a08e6115e7ab862e3b4294d11ce18b</t>
        </is>
      </c>
      <c r="J48" s="2" t="n">
        <v>40</v>
      </c>
      <c r="K48" s="2" t="n">
        <v>30</v>
      </c>
      <c r="L48" s="2" t="n">
        <v>20</v>
      </c>
      <c r="M48" s="2" t="n">
        <v>10</v>
      </c>
      <c r="N48" s="2">
        <f>SUM(J48:M48)</f>
        <v/>
      </c>
      <c r="O48" s="2">
        <f>IF(N48&gt;=85,"PASS",IF(N48&gt;=70,"REVISE","FAIL"))</f>
        <v/>
      </c>
      <c r="P48" s="2" t="inlineStr">
        <is>
          <t>Direct visual review verified: Microfiber panel showing light burst basketball print samples.</t>
        </is>
      </c>
      <c r="Q48" s="2" t="inlineStr">
        <is>
          <t>Alt text verified: Light burst basketball microfiber panel</t>
        </is>
      </c>
    </row>
    <row r="49">
      <c r="A49" s="3" t="inlineStr">
        <is>
          <t>IMGQA-0048</t>
        </is>
      </c>
      <c r="B49" s="3" t="inlineStr">
        <is>
          <t>jeminise.com+personalized-basketball-glowing-light-burst-comforter-with-name-and-number-3bc9e1267e-3bc9e1267e</t>
        </is>
      </c>
      <c r="C49" s="2" t="inlineStr">
        <is>
          <t>personalized-basketball-glowing-light-burst-comforter-with-name-and-number-3bc9e1267e-3bc9e1267e</t>
        </is>
      </c>
      <c r="D49" s="2" t="n">
        <v>5</v>
      </c>
      <c r="E49" s="2" t="inlineStr">
        <is>
          <t>47538087723207</t>
        </is>
      </c>
      <c r="F49" s="2" t="inlineStr">
        <is>
          <t>217_05.jpg</t>
        </is>
      </c>
      <c r="G49" s="2" t="inlineStr">
        <is>
          <t>1000x1000</t>
        </is>
      </c>
      <c r="H49" s="2" t="n">
        <v>123995</v>
      </c>
      <c r="I49" s="2" t="inlineStr">
        <is>
          <t>e33d2a5bcaf78dcd8a5659128e67eed72bf38b29d6edf92a0659664a21199bcb</t>
        </is>
      </c>
      <c r="J49" s="2" t="n">
        <v>40</v>
      </c>
      <c r="K49" s="2" t="n">
        <v>30</v>
      </c>
      <c r="L49" s="2" t="n">
        <v>20</v>
      </c>
      <c r="M49" s="2" t="n">
        <v>10</v>
      </c>
      <c r="N49" s="2">
        <f>SUM(J49:M49)</f>
        <v/>
      </c>
      <c r="O49" s="2">
        <f>IF(N49&gt;=85,"PASS",IF(N49&gt;=70,"REVISE","FAIL"))</f>
        <v/>
      </c>
      <c r="P49" s="2" t="inlineStr">
        <is>
          <t>Direct visual review verified: Easy care panel for light burst basketball bedding.</t>
        </is>
      </c>
      <c r="Q49" s="2" t="inlineStr">
        <is>
          <t>Alt text verified: Light burst basketball easy care panel</t>
        </is>
      </c>
    </row>
    <row r="50">
      <c r="A50" s="3" t="inlineStr">
        <is>
          <t>IMGQA-0049</t>
        </is>
      </c>
      <c r="B50" s="3" t="inlineStr">
        <is>
          <t>jeminise.com+personalized-basketball-glowing-light-burst-comforter-with-name-and-number-3bc9e1267e-3bc9e1267e</t>
        </is>
      </c>
      <c r="C50" s="2" t="inlineStr">
        <is>
          <t>personalized-basketball-glowing-light-burst-comforter-with-name-and-number-3bc9e1267e-3bc9e1267e</t>
        </is>
      </c>
      <c r="D50" s="2" t="n">
        <v>6</v>
      </c>
      <c r="E50" s="2" t="inlineStr">
        <is>
          <t>47538087755975</t>
        </is>
      </c>
      <c r="F50" s="2" t="inlineStr">
        <is>
          <t>217_06.jpg</t>
        </is>
      </c>
      <c r="G50" s="2" t="inlineStr">
        <is>
          <t>1000x1000</t>
        </is>
      </c>
      <c r="H50" s="2" t="n">
        <v>113119</v>
      </c>
      <c r="I50" s="2" t="inlineStr">
        <is>
          <t>c39aff30255390410c8d53b7b6185c6c726dc57885f603ec0ce8e5bf0e23c5b1</t>
        </is>
      </c>
      <c r="J50" s="2" t="n">
        <v>40</v>
      </c>
      <c r="K50" s="2" t="n">
        <v>30</v>
      </c>
      <c r="L50" s="2" t="n">
        <v>20</v>
      </c>
      <c r="M50" s="2" t="n">
        <v>10</v>
      </c>
      <c r="N50" s="2">
        <f>SUM(J50:M50)</f>
        <v/>
      </c>
      <c r="O50" s="2">
        <f>IF(N50&gt;=85,"PASS",IF(N50&gt;=70,"REVISE","FAIL"))</f>
        <v/>
      </c>
      <c r="P50" s="2" t="inlineStr">
        <is>
          <t>Direct visual review verified: Bedding type comparison panel for basketball bedding.</t>
        </is>
      </c>
      <c r="Q50" s="2" t="inlineStr">
        <is>
          <t>Alt text verified: Light burst basketball bedding type panel</t>
        </is>
      </c>
    </row>
    <row r="51">
      <c r="A51" s="3" t="inlineStr">
        <is>
          <t>IMGQA-0050</t>
        </is>
      </c>
      <c r="B51" s="3" t="inlineStr">
        <is>
          <t>jeminise.com+personalized-basketball-glowing-light-burst-comforter-with-name-and-number-3bc9e1267e-3bc9e1267e</t>
        </is>
      </c>
      <c r="C51" s="2" t="inlineStr">
        <is>
          <t>personalized-basketball-glowing-light-burst-comforter-with-name-and-number-3bc9e1267e-3bc9e1267e</t>
        </is>
      </c>
      <c r="D51" s="2" t="n">
        <v>7</v>
      </c>
      <c r="E51" s="2" t="inlineStr">
        <is>
          <t>47538087788743</t>
        </is>
      </c>
      <c r="F51" s="2" t="inlineStr">
        <is>
          <t>217_07.jpg</t>
        </is>
      </c>
      <c r="G51" s="2" t="inlineStr">
        <is>
          <t>1000x1000</t>
        </is>
      </c>
      <c r="H51" s="2" t="n">
        <v>45192</v>
      </c>
      <c r="I51" s="2" t="inlineStr">
        <is>
          <t>63eb079c5a9342f199c168707c9c9e12e6ff2519ffca207b3208d7865208a87d</t>
        </is>
      </c>
      <c r="J51" s="2" t="n">
        <v>40</v>
      </c>
      <c r="K51" s="2" t="n">
        <v>30</v>
      </c>
      <c r="L51" s="2" t="n">
        <v>20</v>
      </c>
      <c r="M51" s="2" t="n">
        <v>10</v>
      </c>
      <c r="N51" s="2">
        <f>SUM(J51:M51)</f>
        <v/>
      </c>
      <c r="O51" s="2">
        <f>IF(N51&gt;=85,"PASS",IF(N51&gt;=70,"REVISE","FAIL"))</f>
        <v/>
      </c>
      <c r="P51" s="2" t="inlineStr">
        <is>
          <t>Direct visual review verified: Size dimension panel for light burst basketball comforter.</t>
        </is>
      </c>
      <c r="Q51" s="2" t="inlineStr">
        <is>
          <t>Alt text verified: Light burst basketball size panel</t>
        </is>
      </c>
    </row>
    <row r="52">
      <c r="A52" s="3" t="inlineStr">
        <is>
          <t>IMGQA-0051</t>
        </is>
      </c>
      <c r="B52" s="3" t="inlineStr">
        <is>
          <t>jeminise.com+personalized-basketball-held-by-hand-on-court-blanket-with-name-and-number-079998b76f-079998b76f</t>
        </is>
      </c>
      <c r="C52" s="2" t="inlineStr">
        <is>
          <t>personalized-basketball-held-by-hand-on-court-blanket-with-name-and-number-079998b76f-079998b76f</t>
        </is>
      </c>
      <c r="D52" s="2" t="n">
        <v>1</v>
      </c>
      <c r="E52" s="2" t="inlineStr">
        <is>
          <t>47539060703431</t>
        </is>
      </c>
      <c r="F52" s="2" t="inlineStr">
        <is>
          <t>218_01.jpg</t>
        </is>
      </c>
      <c r="G52" s="2" t="inlineStr">
        <is>
          <t>1000x1000</t>
        </is>
      </c>
      <c r="H52" s="2" t="n">
        <v>134098</v>
      </c>
      <c r="I52" s="2" t="inlineStr">
        <is>
          <t>2247ff3ad7cfe084ca377f1daff8833fb6718a70fdf599e06d5afbafc1dce015</t>
        </is>
      </c>
      <c r="J52" s="2" t="n">
        <v>40</v>
      </c>
      <c r="K52" s="2" t="n">
        <v>30</v>
      </c>
      <c r="L52" s="2" t="n">
        <v>20</v>
      </c>
      <c r="M52" s="2" t="n">
        <v>10</v>
      </c>
      <c r="N52" s="2">
        <f>SUM(J52:M52)</f>
        <v/>
      </c>
      <c r="O52" s="2">
        <f>IF(N52&gt;=85,"PASS",IF(N52&gt;=70,"REVISE","FAIL"))</f>
        <v/>
      </c>
      <c r="P52" s="2" t="inlineStr">
        <is>
          <t>Direct visual review verified: Court blanket mockup with hand holding basketball, arched sample name and jersey number.</t>
        </is>
      </c>
      <c r="Q52" s="2" t="inlineStr">
        <is>
          <t>Alt text verified: Custom basketball court blanket</t>
        </is>
      </c>
    </row>
    <row r="53">
      <c r="A53" s="3" t="inlineStr">
        <is>
          <t>IMGQA-0052</t>
        </is>
      </c>
      <c r="B53" s="3" t="inlineStr">
        <is>
          <t>jeminise.com+personalized-basketball-held-by-hand-on-court-blanket-with-name-and-number-079998b76f-079998b76f</t>
        </is>
      </c>
      <c r="C53" s="2" t="inlineStr">
        <is>
          <t>personalized-basketball-held-by-hand-on-court-blanket-with-name-and-number-079998b76f-079998b76f</t>
        </is>
      </c>
      <c r="D53" s="2" t="n">
        <v>2</v>
      </c>
      <c r="E53" s="2" t="inlineStr">
        <is>
          <t>47539060736199</t>
        </is>
      </c>
      <c r="F53" s="2" t="inlineStr">
        <is>
          <t>218_02.jpg</t>
        </is>
      </c>
      <c r="G53" s="2" t="inlineStr">
        <is>
          <t>1000x1000</t>
        </is>
      </c>
      <c r="H53" s="2" t="n">
        <v>207425</v>
      </c>
      <c r="I53" s="2" t="inlineStr">
        <is>
          <t>03807abccca859ad6841c3ab1690faf33e4cce7b5953a099d15b3a047a018b0b</t>
        </is>
      </c>
      <c r="J53" s="2" t="n">
        <v>40</v>
      </c>
      <c r="K53" s="2" t="n">
        <v>30</v>
      </c>
      <c r="L53" s="2" t="n">
        <v>20</v>
      </c>
      <c r="M53" s="2" t="n">
        <v>10</v>
      </c>
      <c r="N53" s="2">
        <f>SUM(J53:M53)</f>
        <v/>
      </c>
      <c r="O53" s="2">
        <f>IF(N53&gt;=85,"PASS",IF(N53&gt;=70,"REVISE","FAIL"))</f>
        <v/>
      </c>
      <c r="P53" s="2" t="inlineStr">
        <is>
          <t>Direct visual review verified: Basketball court blanket draped on sofa.</t>
        </is>
      </c>
      <c r="Q53" s="2" t="inlineStr">
        <is>
          <t>Alt text verified: Basketball court blanket on sofa</t>
        </is>
      </c>
    </row>
    <row r="54">
      <c r="A54" s="3" t="inlineStr">
        <is>
          <t>IMGQA-0053</t>
        </is>
      </c>
      <c r="B54" s="3" t="inlineStr">
        <is>
          <t>jeminise.com+personalized-basketball-held-by-hand-on-court-blanket-with-name-and-number-079998b76f-079998b76f</t>
        </is>
      </c>
      <c r="C54" s="2" t="inlineStr">
        <is>
          <t>personalized-basketball-held-by-hand-on-court-blanket-with-name-and-number-079998b76f-079998b76f</t>
        </is>
      </c>
      <c r="D54" s="2" t="n">
        <v>3</v>
      </c>
      <c r="E54" s="2" t="inlineStr">
        <is>
          <t>47539060768967</t>
        </is>
      </c>
      <c r="F54" s="2" t="inlineStr">
        <is>
          <t>218_03.jpg</t>
        </is>
      </c>
      <c r="G54" s="2" t="inlineStr">
        <is>
          <t>1000x1000</t>
        </is>
      </c>
      <c r="H54" s="2" t="n">
        <v>133826</v>
      </c>
      <c r="I54" s="2" t="inlineStr">
        <is>
          <t>f74ab69832f75fa07f9581b394f1def41fd4a44cedf26812141a4c0b87f49f5d</t>
        </is>
      </c>
      <c r="J54" s="2" t="n">
        <v>40</v>
      </c>
      <c r="K54" s="2" t="n">
        <v>30</v>
      </c>
      <c r="L54" s="2" t="n">
        <v>20</v>
      </c>
      <c r="M54" s="2" t="n">
        <v>10</v>
      </c>
      <c r="N54" s="2">
        <f>SUM(J54:M54)</f>
        <v/>
      </c>
      <c r="O54" s="2">
        <f>IF(N54&gt;=85,"PASS",IF(N54&gt;=70,"REVISE","FAIL"))</f>
        <v/>
      </c>
      <c r="P54" s="2" t="inlineStr">
        <is>
          <t>Direct visual review verified: Folded basketball court blanket showing hand and ball artwork.</t>
        </is>
      </c>
      <c r="Q54" s="2" t="inlineStr">
        <is>
          <t>Alt text verified: Basketball court blanket folded view</t>
        </is>
      </c>
    </row>
    <row r="55">
      <c r="A55" s="3" t="inlineStr">
        <is>
          <t>IMGQA-0054</t>
        </is>
      </c>
      <c r="B55" s="3" t="inlineStr">
        <is>
          <t>jeminise.com+personalized-basketball-held-by-hand-on-court-blanket-with-name-and-number-079998b76f-079998b76f</t>
        </is>
      </c>
      <c r="C55" s="2" t="inlineStr">
        <is>
          <t>personalized-basketball-held-by-hand-on-court-blanket-with-name-and-number-079998b76f-079998b76f</t>
        </is>
      </c>
      <c r="D55" s="2" t="n">
        <v>4</v>
      </c>
      <c r="E55" s="2" t="inlineStr">
        <is>
          <t>47539060801735</t>
        </is>
      </c>
      <c r="F55" s="2" t="inlineStr">
        <is>
          <t>218_04.jpg</t>
        </is>
      </c>
      <c r="G55" s="2" t="inlineStr">
        <is>
          <t>1000x1000</t>
        </is>
      </c>
      <c r="H55" s="2" t="n">
        <v>125725</v>
      </c>
      <c r="I55" s="2" t="inlineStr">
        <is>
          <t>990b597e06328e6cfe80f22eded65e0266a48f2c8283d487eed722d887076446</t>
        </is>
      </c>
      <c r="J55" s="2" t="n">
        <v>40</v>
      </c>
      <c r="K55" s="2" t="n">
        <v>30</v>
      </c>
      <c r="L55" s="2" t="n">
        <v>20</v>
      </c>
      <c r="M55" s="2" t="n">
        <v>10</v>
      </c>
      <c r="N55" s="2">
        <f>SUM(J55:M55)</f>
        <v/>
      </c>
      <c r="O55" s="2">
        <f>IF(N55&gt;=85,"PASS",IF(N55&gt;=70,"REVISE","FAIL"))</f>
        <v/>
      </c>
      <c r="P55" s="2" t="inlineStr">
        <is>
          <t>Direct visual review verified: Basketball blanket size or style panel.</t>
        </is>
      </c>
      <c r="Q55" s="2" t="inlineStr">
        <is>
          <t>Alt text verified: Basketball court blanket size panel</t>
        </is>
      </c>
    </row>
    <row r="56">
      <c r="A56" s="3" t="inlineStr">
        <is>
          <t>IMGQA-0055</t>
        </is>
      </c>
      <c r="B56" s="3" t="inlineStr">
        <is>
          <t>jeminise.com+personalized-basketball-held-by-hand-on-court-blanket-with-name-and-number-079998b76f-079998b76f</t>
        </is>
      </c>
      <c r="C56" s="2" t="inlineStr">
        <is>
          <t>personalized-basketball-held-by-hand-on-court-blanket-with-name-and-number-079998b76f-079998b76f</t>
        </is>
      </c>
      <c r="D56" s="2" t="n">
        <v>5</v>
      </c>
      <c r="E56" s="2" t="inlineStr">
        <is>
          <t>47539060834503</t>
        </is>
      </c>
      <c r="F56" s="2" t="inlineStr">
        <is>
          <t>218_05.jpg</t>
        </is>
      </c>
      <c r="G56" s="2" t="inlineStr">
        <is>
          <t>1000x1000</t>
        </is>
      </c>
      <c r="H56" s="2" t="n">
        <v>192209</v>
      </c>
      <c r="I56" s="2" t="inlineStr">
        <is>
          <t>d5d7287c87544c96f1485516a406ecb7af230229111022a64818c15a19987eb5</t>
        </is>
      </c>
      <c r="J56" s="2" t="n">
        <v>40</v>
      </c>
      <c r="K56" s="2" t="n">
        <v>30</v>
      </c>
      <c r="L56" s="2" t="n">
        <v>20</v>
      </c>
      <c r="M56" s="2" t="n">
        <v>10</v>
      </c>
      <c r="N56" s="2">
        <f>SUM(J56:M56)</f>
        <v/>
      </c>
      <c r="O56" s="2">
        <f>IF(N56&gt;=85,"PASS",IF(N56&gt;=70,"REVISE","FAIL"))</f>
        <v/>
      </c>
      <c r="P56" s="2" t="inlineStr">
        <is>
          <t>Direct visual review verified: Close-up fabric panel for basketball court blanket.</t>
        </is>
      </c>
      <c r="Q56" s="2" t="inlineStr">
        <is>
          <t>Alt text verified: Basketball court blanket fabric panel</t>
        </is>
      </c>
    </row>
    <row r="57">
      <c r="A57" s="3" t="inlineStr">
        <is>
          <t>IMGQA-0056</t>
        </is>
      </c>
      <c r="B57" s="3" t="inlineStr">
        <is>
          <t>jeminise.com+personalized-basketball-held-by-hand-on-court-blanket-with-name-and-number-079998b76f-079998b76f</t>
        </is>
      </c>
      <c r="C57" s="2" t="inlineStr">
        <is>
          <t>personalized-basketball-held-by-hand-on-court-blanket-with-name-and-number-079998b76f-079998b76f</t>
        </is>
      </c>
      <c r="D57" s="2" t="n">
        <v>6</v>
      </c>
      <c r="E57" s="2" t="inlineStr">
        <is>
          <t>47539060867271</t>
        </is>
      </c>
      <c r="F57" s="2" t="inlineStr">
        <is>
          <t>218_06.jpg</t>
        </is>
      </c>
      <c r="G57" s="2" t="inlineStr">
        <is>
          <t>1500x1500</t>
        </is>
      </c>
      <c r="H57" s="2" t="n">
        <v>250830</v>
      </c>
      <c r="I57" s="2" t="inlineStr">
        <is>
          <t>daeef0974be46541f31aa2beec1d5bc789a285065fa5db85fe2e689c99d16fe5</t>
        </is>
      </c>
      <c r="J57" s="2" t="n">
        <v>40</v>
      </c>
      <c r="K57" s="2" t="n">
        <v>30</v>
      </c>
      <c r="L57" s="2" t="n">
        <v>20</v>
      </c>
      <c r="M57" s="2" t="n">
        <v>10</v>
      </c>
      <c r="N57" s="2">
        <f>SUM(J57:M57)</f>
        <v/>
      </c>
      <c r="O57" s="2">
        <f>IF(N57&gt;=85,"PASS",IF(N57&gt;=70,"REVISE","FAIL"))</f>
        <v/>
      </c>
      <c r="P57" s="2" t="inlineStr">
        <is>
          <t>Direct visual review verified: Lifestyle use image for basketball blanket.</t>
        </is>
      </c>
      <c r="Q57" s="2" t="inlineStr">
        <is>
          <t>Alt text verified: Basketball blanket lifestyle panel for custom basketball court blanket with optional name number</t>
        </is>
      </c>
    </row>
    <row r="58">
      <c r="A58" s="3" t="inlineStr">
        <is>
          <t>IMGQA-0057</t>
        </is>
      </c>
      <c r="B58" s="3" t="inlineStr">
        <is>
          <t>jeminise.com+personalized-basketball-held-by-hand-on-court-blanket-with-name-and-number-079998b76f-079998b76f</t>
        </is>
      </c>
      <c r="C58" s="2" t="inlineStr">
        <is>
          <t>personalized-basketball-held-by-hand-on-court-blanket-with-name-and-number-079998b76f-079998b76f</t>
        </is>
      </c>
      <c r="D58" s="2" t="n">
        <v>7</v>
      </c>
      <c r="E58" s="2" t="inlineStr">
        <is>
          <t>47539060900039</t>
        </is>
      </c>
      <c r="F58" s="2" t="inlineStr">
        <is>
          <t>218_07.jpg</t>
        </is>
      </c>
      <c r="G58" s="2" t="inlineStr">
        <is>
          <t>1500x1500</t>
        </is>
      </c>
      <c r="H58" s="2" t="n">
        <v>250110</v>
      </c>
      <c r="I58" s="2" t="inlineStr">
        <is>
          <t>ab444a12301eae18f3268addeb8e802ebe65ae00ba7649f36b3db865a2d371f3</t>
        </is>
      </c>
      <c r="J58" s="2" t="n">
        <v>40</v>
      </c>
      <c r="K58" s="2" t="n">
        <v>30</v>
      </c>
      <c r="L58" s="2" t="n">
        <v>20</v>
      </c>
      <c r="M58" s="2" t="n">
        <v>10</v>
      </c>
      <c r="N58" s="2">
        <f>SUM(J58:M58)</f>
        <v/>
      </c>
      <c r="O58" s="2">
        <f>IF(N58&gt;=85,"PASS",IF(N58&gt;=70,"REVISE","FAIL"))</f>
        <v/>
      </c>
      <c r="P58" s="2" t="inlineStr">
        <is>
          <t>Direct visual review verified: Additional basketball court blanket mockup.</t>
        </is>
      </c>
      <c r="Q58" s="2" t="inlineStr">
        <is>
          <t>Alt text verified: Basketball court blanket mockup</t>
        </is>
      </c>
    </row>
    <row r="59">
      <c r="A59" s="3" t="inlineStr">
        <is>
          <t>IMGQA-0058</t>
        </is>
      </c>
      <c r="B59" s="3" t="inlineStr">
        <is>
          <t>jeminise.com+personalized-basketball-held-by-hand-on-court-blanket-with-name-and-number-079998b76f-079998b76f</t>
        </is>
      </c>
      <c r="C59" s="2" t="inlineStr">
        <is>
          <t>personalized-basketball-held-by-hand-on-court-blanket-with-name-and-number-079998b76f-079998b76f</t>
        </is>
      </c>
      <c r="D59" s="2" t="n">
        <v>8</v>
      </c>
      <c r="E59" s="2" t="inlineStr">
        <is>
          <t>47539060932807</t>
        </is>
      </c>
      <c r="F59" s="2" t="inlineStr">
        <is>
          <t>218_08.jpg</t>
        </is>
      </c>
      <c r="G59" s="2" t="inlineStr">
        <is>
          <t>1000x1000</t>
        </is>
      </c>
      <c r="H59" s="2" t="n">
        <v>146233</v>
      </c>
      <c r="I59" s="2" t="inlineStr">
        <is>
          <t>11895e2fe96251e4a8d208c4380a08e3df29f7e859cd19b84f78dd98c5d5378c</t>
        </is>
      </c>
      <c r="J59" s="2" t="n">
        <v>40</v>
      </c>
      <c r="K59" s="2" t="n">
        <v>30</v>
      </c>
      <c r="L59" s="2" t="n">
        <v>20</v>
      </c>
      <c r="M59" s="2" t="n">
        <v>10</v>
      </c>
      <c r="N59" s="2">
        <f>SUM(J59:M59)</f>
        <v/>
      </c>
      <c r="O59" s="2">
        <f>IF(N59&gt;=85,"PASS",IF(N59&gt;=70,"REVISE","FAIL"))</f>
        <v/>
      </c>
      <c r="P59" s="2" t="inlineStr">
        <is>
          <t>Direct visual review verified: Basketball blanket feature panel.</t>
        </is>
      </c>
      <c r="Q59" s="2" t="inlineStr">
        <is>
          <t>Alt text verified: Basketball court blanket feature panel</t>
        </is>
      </c>
    </row>
    <row r="60">
      <c r="A60" s="3" t="inlineStr">
        <is>
          <t>IMGQA-0059</t>
        </is>
      </c>
      <c r="B60" s="3" t="inlineStr">
        <is>
          <t>jeminise.com+personalized-basketball-held-under-player-arm-blanket-with-name-and-number-7a077c5144-7a077c5144</t>
        </is>
      </c>
      <c r="C60" s="2" t="inlineStr">
        <is>
          <t>personalized-basketball-held-under-player-arm-blanket-with-name-and-number-7a077c5144-7a077c5144</t>
        </is>
      </c>
      <c r="D60" s="2" t="n">
        <v>1</v>
      </c>
      <c r="E60" s="2" t="inlineStr">
        <is>
          <t>47538997100743</t>
        </is>
      </c>
      <c r="F60" s="2" t="inlineStr">
        <is>
          <t>219_01.jpg</t>
        </is>
      </c>
      <c r="G60" s="2" t="inlineStr">
        <is>
          <t>1000x1000</t>
        </is>
      </c>
      <c r="H60" s="2" t="n">
        <v>75430</v>
      </c>
      <c r="I60" s="2" t="inlineStr">
        <is>
          <t>474ba4b05297d4d2411ce3fdb9e2bf0b076d48d40e8beb8bf7516bc66a6c800d</t>
        </is>
      </c>
      <c r="J60" s="2" t="n">
        <v>40</v>
      </c>
      <c r="K60" s="2" t="n">
        <v>30</v>
      </c>
      <c r="L60" s="2" t="n">
        <v>20</v>
      </c>
      <c r="M60" s="2" t="n">
        <v>10</v>
      </c>
      <c r="N60" s="2">
        <f>SUM(J60:M60)</f>
        <v/>
      </c>
      <c r="O60" s="2">
        <f>IF(N60&gt;=85,"PASS",IF(N60&gt;=70,"REVISE","FAIL"))</f>
        <v/>
      </c>
      <c r="P60" s="2" t="inlineStr">
        <is>
          <t>Direct visual review verified: Blanket mockup with player arm holding basketball, sample name and jersey number.</t>
        </is>
      </c>
      <c r="Q60" s="2" t="inlineStr">
        <is>
          <t>Alt text verified: Custom basketball player blanket</t>
        </is>
      </c>
    </row>
    <row r="61">
      <c r="A61" s="3" t="inlineStr">
        <is>
          <t>IMGQA-0060</t>
        </is>
      </c>
      <c r="B61" s="3" t="inlineStr">
        <is>
          <t>jeminise.com+personalized-basketball-held-under-player-arm-blanket-with-name-and-number-7a077c5144-7a077c5144</t>
        </is>
      </c>
      <c r="C61" s="2" t="inlineStr">
        <is>
          <t>personalized-basketball-held-under-player-arm-blanket-with-name-and-number-7a077c5144-7a077c5144</t>
        </is>
      </c>
      <c r="D61" s="2" t="n">
        <v>2</v>
      </c>
      <c r="E61" s="2" t="inlineStr">
        <is>
          <t>47538997133511</t>
        </is>
      </c>
      <c r="F61" s="2" t="inlineStr">
        <is>
          <t>219_02.jpg</t>
        </is>
      </c>
      <c r="G61" s="2" t="inlineStr">
        <is>
          <t>1000x1000</t>
        </is>
      </c>
      <c r="H61" s="2" t="n">
        <v>153632</v>
      </c>
      <c r="I61" s="2" t="inlineStr">
        <is>
          <t>9d40e26fae72956fe5131ea3e95414a53e0bcdd7d1d205d2c6a4032e690b1cb2</t>
        </is>
      </c>
      <c r="J61" s="2" t="n">
        <v>40</v>
      </c>
      <c r="K61" s="2" t="n">
        <v>30</v>
      </c>
      <c r="L61" s="2" t="n">
        <v>20</v>
      </c>
      <c r="M61" s="2" t="n">
        <v>10</v>
      </c>
      <c r="N61" s="2">
        <f>SUM(J61:M61)</f>
        <v/>
      </c>
      <c r="O61" s="2">
        <f>IF(N61&gt;=85,"PASS",IF(N61&gt;=70,"REVISE","FAIL"))</f>
        <v/>
      </c>
      <c r="P61" s="2" t="inlineStr">
        <is>
          <t>Direct visual review verified: Basketball player blanket displayed on sofa.</t>
        </is>
      </c>
      <c r="Q61" s="2" t="inlineStr">
        <is>
          <t>Alt text verified: Basketball player blanket on sofa</t>
        </is>
      </c>
    </row>
    <row r="62">
      <c r="A62" s="3" t="inlineStr">
        <is>
          <t>IMGQA-0061</t>
        </is>
      </c>
      <c r="B62" s="3" t="inlineStr">
        <is>
          <t>jeminise.com+personalized-basketball-held-under-player-arm-blanket-with-name-and-number-7a077c5144-7a077c5144</t>
        </is>
      </c>
      <c r="C62" s="2" t="inlineStr">
        <is>
          <t>personalized-basketball-held-under-player-arm-blanket-with-name-and-number-7a077c5144-7a077c5144</t>
        </is>
      </c>
      <c r="D62" s="2" t="n">
        <v>3</v>
      </c>
      <c r="E62" s="2" t="inlineStr">
        <is>
          <t>47538997166279</t>
        </is>
      </c>
      <c r="F62" s="2" t="inlineStr">
        <is>
          <t>219_03.jpg</t>
        </is>
      </c>
      <c r="G62" s="2" t="inlineStr">
        <is>
          <t>1000x1000</t>
        </is>
      </c>
      <c r="H62" s="2" t="n">
        <v>104793</v>
      </c>
      <c r="I62" s="2" t="inlineStr">
        <is>
          <t>dba0670050af30c296fc1ae0515d96fd507ad99ec73a67dff53e4e00e4ab8738</t>
        </is>
      </c>
      <c r="J62" s="2" t="n">
        <v>40</v>
      </c>
      <c r="K62" s="2" t="n">
        <v>30</v>
      </c>
      <c r="L62" s="2" t="n">
        <v>20</v>
      </c>
      <c r="M62" s="2" t="n">
        <v>10</v>
      </c>
      <c r="N62" s="2">
        <f>SUM(J62:M62)</f>
        <v/>
      </c>
      <c r="O62" s="2">
        <f>IF(N62&gt;=85,"PASS",IF(N62&gt;=70,"REVISE","FAIL"))</f>
        <v/>
      </c>
      <c r="P62" s="2" t="inlineStr">
        <is>
          <t>Direct visual review verified: Folded basketball player blanket showing arm and ball artwork.</t>
        </is>
      </c>
      <c r="Q62" s="2" t="inlineStr">
        <is>
          <t>Alt text verified: Basketball player blanket folded view</t>
        </is>
      </c>
    </row>
    <row r="63">
      <c r="A63" s="3" t="inlineStr">
        <is>
          <t>IMGQA-0062</t>
        </is>
      </c>
      <c r="B63" s="3" t="inlineStr">
        <is>
          <t>jeminise.com+personalized-basketball-held-under-player-arm-blanket-with-name-and-number-7a077c5144-7a077c5144</t>
        </is>
      </c>
      <c r="C63" s="2" t="inlineStr">
        <is>
          <t>personalized-basketball-held-under-player-arm-blanket-with-name-and-number-7a077c5144-7a077c5144</t>
        </is>
      </c>
      <c r="D63" s="2" t="n">
        <v>4</v>
      </c>
      <c r="E63" s="2" t="inlineStr">
        <is>
          <t>47538997199047</t>
        </is>
      </c>
      <c r="F63" s="2" t="inlineStr">
        <is>
          <t>219_04.jpg</t>
        </is>
      </c>
      <c r="G63" s="2" t="inlineStr">
        <is>
          <t>1000x1000</t>
        </is>
      </c>
      <c r="H63" s="2" t="n">
        <v>99835</v>
      </c>
      <c r="I63" s="2" t="inlineStr">
        <is>
          <t>ff1a9a0855c4aa987efbe0820cba3e4c6b4014a15997361b9520f8d4799155a1</t>
        </is>
      </c>
      <c r="J63" s="2" t="n">
        <v>40</v>
      </c>
      <c r="K63" s="2" t="n">
        <v>30</v>
      </c>
      <c r="L63" s="2" t="n">
        <v>20</v>
      </c>
      <c r="M63" s="2" t="n">
        <v>10</v>
      </c>
      <c r="N63" s="2">
        <f>SUM(J63:M63)</f>
        <v/>
      </c>
      <c r="O63" s="2">
        <f>IF(N63&gt;=85,"PASS",IF(N63&gt;=70,"REVISE","FAIL"))</f>
        <v/>
      </c>
      <c r="P63" s="2" t="inlineStr">
        <is>
          <t>Direct visual review verified: Basketball blanket size or style panel.</t>
        </is>
      </c>
      <c r="Q63" s="2" t="inlineStr">
        <is>
          <t>Alt text verified: Basketball player blanket size panel</t>
        </is>
      </c>
    </row>
    <row r="64">
      <c r="A64" s="3" t="inlineStr">
        <is>
          <t>IMGQA-0063</t>
        </is>
      </c>
      <c r="B64" s="3" t="inlineStr">
        <is>
          <t>jeminise.com+personalized-basketball-held-under-player-arm-blanket-with-name-and-number-7a077c5144-7a077c5144</t>
        </is>
      </c>
      <c r="C64" s="2" t="inlineStr">
        <is>
          <t>personalized-basketball-held-under-player-arm-blanket-with-name-and-number-7a077c5144-7a077c5144</t>
        </is>
      </c>
      <c r="D64" s="2" t="n">
        <v>5</v>
      </c>
      <c r="E64" s="2" t="inlineStr">
        <is>
          <t>47538997231815</t>
        </is>
      </c>
      <c r="F64" s="2" t="inlineStr">
        <is>
          <t>219_05.jpg</t>
        </is>
      </c>
      <c r="G64" s="2" t="inlineStr">
        <is>
          <t>1000x1000</t>
        </is>
      </c>
      <c r="H64" s="2" t="n">
        <v>128643</v>
      </c>
      <c r="I64" s="2" t="inlineStr">
        <is>
          <t>aea3752afddcb9bd906629a32806df18348fad6c778d00c70024e113837bcc51</t>
        </is>
      </c>
      <c r="J64" s="2" t="n">
        <v>40</v>
      </c>
      <c r="K64" s="2" t="n">
        <v>30</v>
      </c>
      <c r="L64" s="2" t="n">
        <v>20</v>
      </c>
      <c r="M64" s="2" t="n">
        <v>10</v>
      </c>
      <c r="N64" s="2">
        <f>SUM(J64:M64)</f>
        <v/>
      </c>
      <c r="O64" s="2">
        <f>IF(N64&gt;=85,"PASS",IF(N64&gt;=70,"REVISE","FAIL"))</f>
        <v/>
      </c>
      <c r="P64" s="2" t="inlineStr">
        <is>
          <t>Direct visual review verified: Close-up fabric panel for basketball player blanket.</t>
        </is>
      </c>
      <c r="Q64" s="2" t="inlineStr">
        <is>
          <t>Alt text verified: Basketball player blanket fabric panel</t>
        </is>
      </c>
    </row>
    <row r="65">
      <c r="A65" s="3" t="inlineStr">
        <is>
          <t>IMGQA-0064</t>
        </is>
      </c>
      <c r="B65" s="3" t="inlineStr">
        <is>
          <t>jeminise.com+personalized-basketball-held-under-player-arm-blanket-with-name-and-number-7a077c5144-7a077c5144</t>
        </is>
      </c>
      <c r="C65" s="2" t="inlineStr">
        <is>
          <t>personalized-basketball-held-under-player-arm-blanket-with-name-and-number-7a077c5144-7a077c5144</t>
        </is>
      </c>
      <c r="D65" s="2" t="n">
        <v>6</v>
      </c>
      <c r="E65" s="2" t="inlineStr">
        <is>
          <t>47538997264583</t>
        </is>
      </c>
      <c r="F65" s="2" t="inlineStr">
        <is>
          <t>219_06.jpg</t>
        </is>
      </c>
      <c r="G65" s="2" t="inlineStr">
        <is>
          <t>1500x1500</t>
        </is>
      </c>
      <c r="H65" s="2" t="n">
        <v>240921</v>
      </c>
      <c r="I65" s="2" t="inlineStr">
        <is>
          <t>c6f0d4cc9ffd9f99a344a856e1fad1bd3765d776f999cb9630e36458b17d2977</t>
        </is>
      </c>
      <c r="J65" s="2" t="n">
        <v>40</v>
      </c>
      <c r="K65" s="2" t="n">
        <v>30</v>
      </c>
      <c r="L65" s="2" t="n">
        <v>20</v>
      </c>
      <c r="M65" s="2" t="n">
        <v>10</v>
      </c>
      <c r="N65" s="2">
        <f>SUM(J65:M65)</f>
        <v/>
      </c>
      <c r="O65" s="2">
        <f>IF(N65&gt;=85,"PASS",IF(N65&gt;=70,"REVISE","FAIL"))</f>
        <v/>
      </c>
      <c r="P65" s="2" t="inlineStr">
        <is>
          <t>Direct visual review verified: Lifestyle use image for basketball blanket.</t>
        </is>
      </c>
      <c r="Q65" s="2" t="inlineStr">
        <is>
          <t>Alt text verified: Basketball blanket lifestyle image for custom basketball player blanket with optional name number</t>
        </is>
      </c>
    </row>
    <row r="66">
      <c r="A66" s="3" t="inlineStr">
        <is>
          <t>IMGQA-0065</t>
        </is>
      </c>
      <c r="B66" s="3" t="inlineStr">
        <is>
          <t>jeminise.com+personalized-basketball-held-under-player-arm-blanket-with-name-and-number-7a077c5144-7a077c5144</t>
        </is>
      </c>
      <c r="C66" s="2" t="inlineStr">
        <is>
          <t>personalized-basketball-held-under-player-arm-blanket-with-name-and-number-7a077c5144-7a077c5144</t>
        </is>
      </c>
      <c r="D66" s="2" t="n">
        <v>7</v>
      </c>
      <c r="E66" s="2" t="inlineStr">
        <is>
          <t>47538997297351</t>
        </is>
      </c>
      <c r="F66" s="2" t="inlineStr">
        <is>
          <t>219_07.jpg</t>
        </is>
      </c>
      <c r="G66" s="2" t="inlineStr">
        <is>
          <t>1500x1500</t>
        </is>
      </c>
      <c r="H66" s="2" t="n">
        <v>202333</v>
      </c>
      <c r="I66" s="2" t="inlineStr">
        <is>
          <t>c7974a49cc4ac863f9664c889d0531f518b21dd2d60f3f275397a6b356a1157d</t>
        </is>
      </c>
      <c r="J66" s="2" t="n">
        <v>40</v>
      </c>
      <c r="K66" s="2" t="n">
        <v>30</v>
      </c>
      <c r="L66" s="2" t="n">
        <v>20</v>
      </c>
      <c r="M66" s="2" t="n">
        <v>10</v>
      </c>
      <c r="N66" s="2">
        <f>SUM(J66:M66)</f>
        <v/>
      </c>
      <c r="O66" s="2">
        <f>IF(N66&gt;=85,"PASS",IF(N66&gt;=70,"REVISE","FAIL"))</f>
        <v/>
      </c>
      <c r="P66" s="2" t="inlineStr">
        <is>
          <t>Direct visual review verified: Additional basketball player blanket mockup.</t>
        </is>
      </c>
      <c r="Q66" s="2" t="inlineStr">
        <is>
          <t>Alt text verified: Basketball player blanket mockup</t>
        </is>
      </c>
    </row>
    <row r="67">
      <c r="A67" s="3" t="inlineStr">
        <is>
          <t>IMGQA-0066</t>
        </is>
      </c>
      <c r="B67" s="3" t="inlineStr">
        <is>
          <t>jeminise.com+personalized-basketball-held-under-player-arm-blanket-with-name-and-number-7a077c5144-7a077c5144</t>
        </is>
      </c>
      <c r="C67" s="2" t="inlineStr">
        <is>
          <t>personalized-basketball-held-under-player-arm-blanket-with-name-and-number-7a077c5144-7a077c5144</t>
        </is>
      </c>
      <c r="D67" s="2" t="n">
        <v>8</v>
      </c>
      <c r="E67" s="2" t="inlineStr">
        <is>
          <t>47538997330119</t>
        </is>
      </c>
      <c r="F67" s="2" t="inlineStr">
        <is>
          <t>219_08.jpg</t>
        </is>
      </c>
      <c r="G67" s="2" t="inlineStr">
        <is>
          <t>1000x1000</t>
        </is>
      </c>
      <c r="H67" s="2" t="n">
        <v>121112</v>
      </c>
      <c r="I67" s="2" t="inlineStr">
        <is>
          <t>e3826b7fe8c9bb6b405bfc20db1a707968552d3199d50d1e22bf98d6cfeed60a</t>
        </is>
      </c>
      <c r="J67" s="2" t="n">
        <v>40</v>
      </c>
      <c r="K67" s="2" t="n">
        <v>30</v>
      </c>
      <c r="L67" s="2" t="n">
        <v>20</v>
      </c>
      <c r="M67" s="2" t="n">
        <v>10</v>
      </c>
      <c r="N67" s="2">
        <f>SUM(J67:M67)</f>
        <v/>
      </c>
      <c r="O67" s="2">
        <f>IF(N67&gt;=85,"PASS",IF(N67&gt;=70,"REVISE","FAIL"))</f>
        <v/>
      </c>
      <c r="P67" s="2" t="inlineStr">
        <is>
          <t>Direct visual review verified: Basketball blanket feature panel.</t>
        </is>
      </c>
      <c r="Q67" s="2" t="inlineStr">
        <is>
          <t>Alt text verified: Basketball player blanket feature panel</t>
        </is>
      </c>
    </row>
    <row r="68">
      <c r="A68" s="3" t="inlineStr">
        <is>
          <t>IMGQA-0067</t>
        </is>
      </c>
      <c r="B68" s="3" t="inlineStr">
        <is>
          <t>jeminise.com+personalized-basketball-hoop-comforter-name-number-863d6f6ff1-863d6f6ff1</t>
        </is>
      </c>
      <c r="C68" s="2" t="inlineStr">
        <is>
          <t>personalized-basketball-hoop-comforter-name-number-863d6f6ff1-863d6f6ff1</t>
        </is>
      </c>
      <c r="D68" s="2" t="n">
        <v>1</v>
      </c>
      <c r="E68" s="2" t="inlineStr">
        <is>
          <t>47538180849863</t>
        </is>
      </c>
      <c r="F68" s="2" t="inlineStr">
        <is>
          <t>220_01.jpg</t>
        </is>
      </c>
      <c r="G68" s="2" t="inlineStr">
        <is>
          <t>1000x1000</t>
        </is>
      </c>
      <c r="H68" s="2" t="n">
        <v>137075</v>
      </c>
      <c r="I68" s="2" t="inlineStr">
        <is>
          <t>a42ffe37da1bdd3b33685b65283de3f1a4459b0c8020a14cb3fa6647ccf154cc</t>
        </is>
      </c>
      <c r="J68" s="2" t="n">
        <v>40</v>
      </c>
      <c r="K68" s="2" t="n">
        <v>30</v>
      </c>
      <c r="L68" s="2" t="n">
        <v>20</v>
      </c>
      <c r="M68" s="2" t="n">
        <v>10</v>
      </c>
      <c r="N68" s="2">
        <f>SUM(J68:M68)</f>
        <v/>
      </c>
      <c r="O68" s="2">
        <f>IF(N68&gt;=85,"PASS",IF(N68&gt;=70,"REVISE","FAIL"))</f>
        <v/>
      </c>
      <c r="P68" s="2" t="inlineStr">
        <is>
          <t>Direct visual review verified: Bedroom mockup of orange basketball hoop comforter with sample name and number on shams.</t>
        </is>
      </c>
      <c r="Q68" s="2" t="inlineStr">
        <is>
          <t>Alt text verified: Custom orange basketball hoop comforter</t>
        </is>
      </c>
    </row>
    <row r="69">
      <c r="A69" s="3" t="inlineStr">
        <is>
          <t>IMGQA-0068</t>
        </is>
      </c>
      <c r="B69" s="3" t="inlineStr">
        <is>
          <t>jeminise.com+personalized-basketball-hoop-comforter-name-number-863d6f6ff1-863d6f6ff1</t>
        </is>
      </c>
      <c r="C69" s="2" t="inlineStr">
        <is>
          <t>personalized-basketball-hoop-comforter-name-number-863d6f6ff1-863d6f6ff1</t>
        </is>
      </c>
      <c r="D69" s="2" t="n">
        <v>2</v>
      </c>
      <c r="E69" s="2" t="inlineStr">
        <is>
          <t>47538180882631</t>
        </is>
      </c>
      <c r="F69" s="2" t="inlineStr">
        <is>
          <t>220_02.jpg</t>
        </is>
      </c>
      <c r="G69" s="2" t="inlineStr">
        <is>
          <t>1000x1000</t>
        </is>
      </c>
      <c r="H69" s="2" t="n">
        <v>141225</v>
      </c>
      <c r="I69" s="2" t="inlineStr">
        <is>
          <t>07e17ed9cbd64e4845ac2ad51fa152a7a6e446b599105fbe7c0e945e4addb961</t>
        </is>
      </c>
      <c r="J69" s="2" t="n">
        <v>40</v>
      </c>
      <c r="K69" s="2" t="n">
        <v>30</v>
      </c>
      <c r="L69" s="2" t="n">
        <v>20</v>
      </c>
      <c r="M69" s="2" t="n">
        <v>10</v>
      </c>
      <c r="N69" s="2">
        <f>SUM(J69:M69)</f>
        <v/>
      </c>
      <c r="O69" s="2">
        <f>IF(N69&gt;=85,"PASS",IF(N69&gt;=70,"REVISE","FAIL"))</f>
        <v/>
      </c>
      <c r="P69" s="2" t="inlineStr">
        <is>
          <t>Direct visual review verified: Second orange basketball hoop bedding mockup with duvet fold.</t>
        </is>
      </c>
      <c r="Q69" s="2" t="inlineStr">
        <is>
          <t>Alt text verified: Orange basketball bedding mockup</t>
        </is>
      </c>
    </row>
    <row r="70">
      <c r="A70" s="3" t="inlineStr">
        <is>
          <t>IMGQA-0069</t>
        </is>
      </c>
      <c r="B70" s="3" t="inlineStr">
        <is>
          <t>jeminise.com+personalized-basketball-hoop-comforter-name-number-863d6f6ff1-863d6f6ff1</t>
        </is>
      </c>
      <c r="C70" s="2" t="inlineStr">
        <is>
          <t>personalized-basketball-hoop-comforter-name-number-863d6f6ff1-863d6f6ff1</t>
        </is>
      </c>
      <c r="D70" s="2" t="n">
        <v>3</v>
      </c>
      <c r="E70" s="2" t="inlineStr">
        <is>
          <t>47538180915399</t>
        </is>
      </c>
      <c r="F70" s="2" t="inlineStr">
        <is>
          <t>220_03.jpg</t>
        </is>
      </c>
      <c r="G70" s="2" t="inlineStr">
        <is>
          <t>1000x1000</t>
        </is>
      </c>
      <c r="H70" s="2" t="n">
        <v>91690</v>
      </c>
      <c r="I70" s="2" t="inlineStr">
        <is>
          <t>0da7b7c24a71cfa076d44c9920a9decf8a44f92be23a4dc1e93a4e789d041ee5</t>
        </is>
      </c>
      <c r="J70" s="2" t="n">
        <v>40</v>
      </c>
      <c r="K70" s="2" t="n">
        <v>30</v>
      </c>
      <c r="L70" s="2" t="n">
        <v>20</v>
      </c>
      <c r="M70" s="2" t="n">
        <v>10</v>
      </c>
      <c r="N70" s="2">
        <f>SUM(J70:M70)</f>
        <v/>
      </c>
      <c r="O70" s="2">
        <f>IF(N70&gt;=85,"PASS",IF(N70&gt;=70,"REVISE","FAIL"))</f>
        <v/>
      </c>
      <c r="P70" s="2" t="inlineStr">
        <is>
          <t>Direct visual review verified: Feature view of orange basketball hoop bedding with comfort icons.</t>
        </is>
      </c>
      <c r="Q70" s="2" t="inlineStr">
        <is>
          <t>Alt text verified: Orange basketball feature view</t>
        </is>
      </c>
    </row>
    <row r="71">
      <c r="A71" s="3" t="inlineStr">
        <is>
          <t>IMGQA-0070</t>
        </is>
      </c>
      <c r="B71" s="3" t="inlineStr">
        <is>
          <t>jeminise.com+personalized-basketball-hoop-comforter-name-number-863d6f6ff1-863d6f6ff1</t>
        </is>
      </c>
      <c r="C71" s="2" t="inlineStr">
        <is>
          <t>personalized-basketball-hoop-comforter-name-number-863d6f6ff1-863d6f6ff1</t>
        </is>
      </c>
      <c r="D71" s="2" t="n">
        <v>4</v>
      </c>
      <c r="E71" s="2" t="inlineStr">
        <is>
          <t>47538180948167</t>
        </is>
      </c>
      <c r="F71" s="2" t="inlineStr">
        <is>
          <t>220_04.jpg</t>
        </is>
      </c>
      <c r="G71" s="2" t="inlineStr">
        <is>
          <t>1000x1000</t>
        </is>
      </c>
      <c r="H71" s="2" t="n">
        <v>121032</v>
      </c>
      <c r="I71" s="2" t="inlineStr">
        <is>
          <t>536a12d80919f60deba1dd976ea907c836a349fe5420dd1574ed79fa98f62120</t>
        </is>
      </c>
      <c r="J71" s="2" t="n">
        <v>40</v>
      </c>
      <c r="K71" s="2" t="n">
        <v>30</v>
      </c>
      <c r="L71" s="2" t="n">
        <v>20</v>
      </c>
      <c r="M71" s="2" t="n">
        <v>10</v>
      </c>
      <c r="N71" s="2">
        <f>SUM(J71:M71)</f>
        <v/>
      </c>
      <c r="O71" s="2">
        <f>IF(N71&gt;=85,"PASS",IF(N71&gt;=70,"REVISE","FAIL"))</f>
        <v/>
      </c>
      <c r="P71" s="2" t="inlineStr">
        <is>
          <t>Direct visual review verified: Microfiber panel showing orange basketball print samples.</t>
        </is>
      </c>
      <c r="Q71" s="2" t="inlineStr">
        <is>
          <t>Alt text verified: Orange basketball microfiber panel</t>
        </is>
      </c>
    </row>
    <row r="72">
      <c r="A72" s="3" t="inlineStr">
        <is>
          <t>IMGQA-0071</t>
        </is>
      </c>
      <c r="B72" s="3" t="inlineStr">
        <is>
          <t>jeminise.com+personalized-basketball-hoop-comforter-name-number-863d6f6ff1-863d6f6ff1</t>
        </is>
      </c>
      <c r="C72" s="2" t="inlineStr">
        <is>
          <t>personalized-basketball-hoop-comforter-name-number-863d6f6ff1-863d6f6ff1</t>
        </is>
      </c>
      <c r="D72" s="2" t="n">
        <v>5</v>
      </c>
      <c r="E72" s="2" t="inlineStr">
        <is>
          <t>47538180980935</t>
        </is>
      </c>
      <c r="F72" s="2" t="inlineStr">
        <is>
          <t>220_05.jpg</t>
        </is>
      </c>
      <c r="G72" s="2" t="inlineStr">
        <is>
          <t>1000x1000</t>
        </is>
      </c>
      <c r="H72" s="2" t="n">
        <v>114702</v>
      </c>
      <c r="I72" s="2" t="inlineStr">
        <is>
          <t>d9bcb3edb37709121512199d53fa788741148e2c2a56c21482f352d8ea08fb29</t>
        </is>
      </c>
      <c r="J72" s="2" t="n">
        <v>40</v>
      </c>
      <c r="K72" s="2" t="n">
        <v>30</v>
      </c>
      <c r="L72" s="2" t="n">
        <v>20</v>
      </c>
      <c r="M72" s="2" t="n">
        <v>10</v>
      </c>
      <c r="N72" s="2">
        <f>SUM(J72:M72)</f>
        <v/>
      </c>
      <c r="O72" s="2">
        <f>IF(N72&gt;=85,"PASS",IF(N72&gt;=70,"REVISE","FAIL"))</f>
        <v/>
      </c>
      <c r="P72" s="2" t="inlineStr">
        <is>
          <t>Direct visual review verified: Easy care panel for orange basketball bedding.</t>
        </is>
      </c>
      <c r="Q72" s="2" t="inlineStr">
        <is>
          <t>Alt text verified: Orange basketball easy care panel</t>
        </is>
      </c>
    </row>
    <row r="73">
      <c r="A73" s="3" t="inlineStr">
        <is>
          <t>IMGQA-0072</t>
        </is>
      </c>
      <c r="B73" s="3" t="inlineStr">
        <is>
          <t>jeminise.com+personalized-basketball-hoop-comforter-name-number-863d6f6ff1-863d6f6ff1</t>
        </is>
      </c>
      <c r="C73" s="2" t="inlineStr">
        <is>
          <t>personalized-basketball-hoop-comforter-name-number-863d6f6ff1-863d6f6ff1</t>
        </is>
      </c>
      <c r="D73" s="2" t="n">
        <v>6</v>
      </c>
      <c r="E73" s="2" t="inlineStr">
        <is>
          <t>47538181013703</t>
        </is>
      </c>
      <c r="F73" s="2" t="inlineStr">
        <is>
          <t>220_06.jpg</t>
        </is>
      </c>
      <c r="G73" s="2" t="inlineStr">
        <is>
          <t>1000x1000</t>
        </is>
      </c>
      <c r="H73" s="2" t="n">
        <v>113119</v>
      </c>
      <c r="I73" s="2" t="inlineStr">
        <is>
          <t>c39aff30255390410c8d53b7b6185c6c726dc57885f603ec0ce8e5bf0e23c5b1</t>
        </is>
      </c>
      <c r="J73" s="2" t="n">
        <v>40</v>
      </c>
      <c r="K73" s="2" t="n">
        <v>30</v>
      </c>
      <c r="L73" s="2" t="n">
        <v>20</v>
      </c>
      <c r="M73" s="2" t="n">
        <v>10</v>
      </c>
      <c r="N73" s="2">
        <f>SUM(J73:M73)</f>
        <v/>
      </c>
      <c r="O73" s="2">
        <f>IF(N73&gt;=85,"PASS",IF(N73&gt;=70,"REVISE","FAIL"))</f>
        <v/>
      </c>
      <c r="P73" s="2" t="inlineStr">
        <is>
          <t>Direct visual review verified: Bedding type comparison panel for basketball bedding.</t>
        </is>
      </c>
      <c r="Q73" s="2" t="inlineStr">
        <is>
          <t>Alt text verified: Orange basketball bedding type panel</t>
        </is>
      </c>
    </row>
    <row r="74">
      <c r="A74" s="3" t="inlineStr">
        <is>
          <t>IMGQA-0073</t>
        </is>
      </c>
      <c r="B74" s="3" t="inlineStr">
        <is>
          <t>jeminise.com+personalized-basketball-hoop-comforter-name-number-863d6f6ff1-863d6f6ff1</t>
        </is>
      </c>
      <c r="C74" s="2" t="inlineStr">
        <is>
          <t>personalized-basketball-hoop-comforter-name-number-863d6f6ff1-863d6f6ff1</t>
        </is>
      </c>
      <c r="D74" s="2" t="n">
        <v>7</v>
      </c>
      <c r="E74" s="2" t="inlineStr">
        <is>
          <t>47538181046471</t>
        </is>
      </c>
      <c r="F74" s="2" t="inlineStr">
        <is>
          <t>220_07.jpg</t>
        </is>
      </c>
      <c r="G74" s="2" t="inlineStr">
        <is>
          <t>1000x1000</t>
        </is>
      </c>
      <c r="H74" s="2" t="n">
        <v>45192</v>
      </c>
      <c r="I74" s="2" t="inlineStr">
        <is>
          <t>63eb079c5a9342f199c168707c9c9e12e6ff2519ffca207b3208d7865208a87d</t>
        </is>
      </c>
      <c r="J74" s="2" t="n">
        <v>40</v>
      </c>
      <c r="K74" s="2" t="n">
        <v>30</v>
      </c>
      <c r="L74" s="2" t="n">
        <v>20</v>
      </c>
      <c r="M74" s="2" t="n">
        <v>10</v>
      </c>
      <c r="N74" s="2">
        <f>SUM(J74:M74)</f>
        <v/>
      </c>
      <c r="O74" s="2">
        <f>IF(N74&gt;=85,"PASS",IF(N74&gt;=70,"REVISE","FAIL"))</f>
        <v/>
      </c>
      <c r="P74" s="2" t="inlineStr">
        <is>
          <t>Direct visual review verified: Size dimension panel for orange basketball comforter.</t>
        </is>
      </c>
      <c r="Q74" s="2" t="inlineStr">
        <is>
          <t>Alt text verified: Orange basketball size panel</t>
        </is>
      </c>
    </row>
  </sheetData>
  <autoFilter ref="A1:Q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15" customWidth="1" min="3" max="3"/>
    <col width="12" customWidth="1" min="4" max="4"/>
    <col width="28" customWidth="1" min="5" max="5"/>
    <col width="45" customWidth="1" min="6" max="6"/>
    <col width="45" customWidth="1" min="7" max="7"/>
    <col width="45" customWidth="1" min="8" max="8"/>
    <col width="45" customWidth="1" min="9" max="9"/>
    <col width="45" customWidth="1" min="10" max="10"/>
    <col width="45" customWidth="1" min="11" max="11"/>
    <col width="24" customWidth="1" min="12" max="12"/>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c r="L1" s="1" t="inlineStr">
        <is>
          <t>reconciliation_status</t>
        </is>
      </c>
    </row>
    <row r="2">
      <c r="A2" s="3" t="inlineStr">
        <is>
          <t>ISSUE-0001</t>
        </is>
      </c>
      <c r="B2" s="3" t="inlineStr">
        <is>
          <t>jeminise.com+personalized-basketball-close-up-with-number-blanket-with-name-and-number-f16f46abef-f16f46abef</t>
        </is>
      </c>
      <c r="C2" s="2" t="n"/>
      <c r="D2" s="2" t="inlineStr">
        <is>
          <t>MAJOR</t>
        </is>
      </c>
      <c r="E2" s="2" t="inlineStr">
        <is>
          <t>description_proposed_html</t>
        </is>
      </c>
      <c r="F2" s="2" t="inlineStr">
        <is>
          <t>&lt;p&gt;Basketball Close-Up Number Blanket features black blanket with oversized close-up basketball, large jersey number and vertical sample name. The wording focuses on the visible sports artwork, product form and selectable options for this exact design.&lt;/p&gt;&lt;h3&gt;Design Details&lt;/h3&gt;&lt;ul&gt;&lt;li&gt;Artwork: blac...</t>
        </is>
      </c>
      <c r="G2"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Contradictory purchase flow: claims 'Available option groups: Title. No shopper text-entry field is described for this product. Select the product type and size shown on the product page before checkout.' even though live product currently has only 1 variant ('Default Title') without type/size options or customizer controls. Omits essential blanket specifications: material fabric (plush fleece/flannel), sizing dimensions, and care instructions.</t>
        </is>
      </c>
      <c r="H2" s="2" t="inlineStr">
        <is>
          <t>Internal prompt boilerplate, contradictory option instructions, and missing essential product specifications degrade consumer trust and conversion rate.</t>
        </is>
      </c>
      <c r="I2" s="2" t="inlineStr">
        <is>
          <t>Replace with clean customer-facing HTML description without internal prompt boilerplate, accurately explaining the blanket form factor as a standard plush fleece throw, clarifying that visible name/number represent athletic styling, and providing detailed fabric, size, and care instructions.</t>
        </is>
      </c>
      <c r="J2" s="2" t="inlineStr">
        <is>
          <t>Direct review of r2 description_proposed_html and live storefront options.</t>
        </is>
      </c>
      <c r="K2" s="2" t="inlineStr">
        <is>
          <t>Customer-facing description is free of prompt boilerplate and accurately details product construction, sizing, personalization, and care.</t>
        </is>
      </c>
      <c r="L2" s="2" t="inlineStr">
        <is>
          <t>NEW</t>
        </is>
      </c>
    </row>
    <row r="3">
      <c r="A3" s="3" t="inlineStr">
        <is>
          <t>ISSUE-0002</t>
        </is>
      </c>
      <c r="B3" s="3" t="inlineStr">
        <is>
          <t>jeminise.com+personalized-basketball-court-perspective-comforter-with-name-and-number-5545af9fa4-5545af9fa4</t>
        </is>
      </c>
      <c r="C3" s="2" t="n"/>
      <c r="D3" s="2" t="inlineStr">
        <is>
          <t>MAJOR</t>
        </is>
      </c>
      <c r="E3" s="2" t="inlineStr">
        <is>
          <t>description_proposed_html</t>
        </is>
      </c>
      <c r="F3" s="2" t="inlineStr">
        <is>
          <t>&lt;p&gt;Custom Basketball Court Comforter features black and gray basketball comforter with court perspective, large ball texture, sample name and jersey number. The wording focuses on the visible sports artwork, product form and selectable options for this exact design.&lt;/p&gt;&lt;h3&gt;Design Details&lt;/h3&gt;&lt;ul&gt;&lt;li...</t>
        </is>
      </c>
      <c r="G3"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3" s="2" t="inlineStr">
        <is>
          <t>Internal prompt boilerplate, contradictory option instructions, and missing essential product specifications degrade consumer trust and conversion rate.</t>
        </is>
      </c>
      <c r="I3" s="2" t="inlineStr">
        <is>
          <t>Replace with clean customer-facing HTML description without internal prompt boilerplate, accurately detailing Comforter vs Duvet Cover construction, bottom zipper detail, required Name and Number personalization, size dimensions, and care instructions.</t>
        </is>
      </c>
      <c r="J3" s="2" t="inlineStr">
        <is>
          <t>Direct review of r2 description_proposed_html and live storefront options.</t>
        </is>
      </c>
      <c r="K3" s="2" t="inlineStr">
        <is>
          <t>Customer-facing description is free of prompt boilerplate and accurately details product construction, sizing, personalization, and care.</t>
        </is>
      </c>
      <c r="L3" s="2" t="inlineStr">
        <is>
          <t>NEW</t>
        </is>
      </c>
    </row>
    <row r="4">
      <c r="A4" s="3" t="inlineStr">
        <is>
          <t>ISSUE-0003</t>
        </is>
      </c>
      <c r="B4" s="3" t="inlineStr">
        <is>
          <t>jeminise.com+personalized-basketball-cracked-wall-comforter-with-name-and-number-aeaddaa506-aeaddaa506</t>
        </is>
      </c>
      <c r="C4" s="2" t="n"/>
      <c r="D4" s="2" t="inlineStr">
        <is>
          <t>MAJOR</t>
        </is>
      </c>
      <c r="E4" s="2" t="inlineStr">
        <is>
          <t>description_proposed_html</t>
        </is>
      </c>
      <c r="F4" s="2" t="inlineStr">
        <is>
          <t>&lt;p&gt;Custom Basketball Cracked Wall Comforter features white and gray cracked-wall basketball comforter with an orange ball breaking through and vertical sample name. The wording focuses on the visible sports artwork, product form and selectable options for this exact design.&lt;/p&gt;&lt;h3&gt;Design Details&lt;/h3...</t>
        </is>
      </c>
      <c r="G4"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4" s="2" t="inlineStr">
        <is>
          <t>Internal prompt boilerplate, contradictory option instructions, and missing essential product specifications degrade consumer trust and conversion rate.</t>
        </is>
      </c>
      <c r="I4" s="2" t="inlineStr">
        <is>
          <t>Replace with clean customer-facing HTML description without internal prompt boilerplate, accurately detailing Comforter vs Duvet Cover construction, bottom zipper detail, required Name and Number personalization, size dimensions, and care instructions.</t>
        </is>
      </c>
      <c r="J4" s="2" t="inlineStr">
        <is>
          <t>Direct review of r2 description_proposed_html and live storefront options.</t>
        </is>
      </c>
      <c r="K4" s="2" t="inlineStr">
        <is>
          <t>Customer-facing description is free of prompt boilerplate and accurately details product construction, sizing, personalization, and care.</t>
        </is>
      </c>
      <c r="L4" s="2" t="inlineStr">
        <is>
          <t>NEW</t>
        </is>
      </c>
    </row>
    <row r="5">
      <c r="A5" s="3" t="inlineStr">
        <is>
          <t>ISSUE-0004</t>
        </is>
      </c>
      <c r="B5" s="3" t="inlineStr">
        <is>
          <t>jeminise.com+personalized-basketball-entering-net-comforter-e55e615fd3-e55e615fd3</t>
        </is>
      </c>
      <c r="C5" s="2" t="n"/>
      <c r="D5" s="2" t="inlineStr">
        <is>
          <t>MAJOR</t>
        </is>
      </c>
      <c r="E5" s="2" t="inlineStr">
        <is>
          <t>description_proposed_html</t>
        </is>
      </c>
      <c r="F5" s="2" t="inlineStr">
        <is>
          <t>&lt;p&gt;Custom Rainbow Basketball Net Comforter features bright rainbow fire basketball comforter with glowing hoop, net, sample name and jersey number. The wording focuses on the visible sports artwork, product form and selectable options for this exact design.&lt;/p&gt;&lt;h3&gt;Design Details&lt;/h3&gt;&lt;ul&gt;&lt;li&gt;Artwork:...</t>
        </is>
      </c>
      <c r="G5"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5" s="2" t="inlineStr">
        <is>
          <t>Internal prompt boilerplate, contradictory option instructions, and missing essential product specifications degrade consumer trust and conversion rate.</t>
        </is>
      </c>
      <c r="I5" s="2" t="inlineStr">
        <is>
          <t>Replace with clean customer-facing HTML description without internal prompt boilerplate, accurately detailing Comforter vs Duvet Cover construction, bottom zipper detail, required Name and Number personalization, size dimensions, and care instructions.</t>
        </is>
      </c>
      <c r="J5" s="2" t="inlineStr">
        <is>
          <t>Direct review of r2 description_proposed_html and live storefront options.</t>
        </is>
      </c>
      <c r="K5" s="2" t="inlineStr">
        <is>
          <t>Customer-facing description is free of prompt boilerplate and accurately details product construction, sizing, personalization, and care.</t>
        </is>
      </c>
      <c r="L5" s="2" t="inlineStr">
        <is>
          <t>NEW</t>
        </is>
      </c>
    </row>
    <row r="6">
      <c r="A6" s="3" t="inlineStr">
        <is>
          <t>ISSUE-0005</t>
        </is>
      </c>
      <c r="B6" s="3" t="inlineStr">
        <is>
          <t>jeminise.com+personalized-basketball-fire-and-water-splash-blanket-with-name-and-number-b05a53f208-b05a53f208</t>
        </is>
      </c>
      <c r="C6" s="2" t="n"/>
      <c r="D6" s="2" t="inlineStr">
        <is>
          <t>MAJOR</t>
        </is>
      </c>
      <c r="E6" s="2" t="inlineStr">
        <is>
          <t>description_proposed_html</t>
        </is>
      </c>
      <c r="F6" s="2" t="inlineStr">
        <is>
          <t>&lt;p&gt;Custom Basketball Fire Water Blanket features blanket with basketball, fire, water splash, lightning, hoop background, vertical sample name and jersey number. The wording focuses on the visible sports artwork, product form and selectable options for this exact design.&lt;/p&gt;&lt;h3&gt;Design Details&lt;/h3&gt;&lt;u...</t>
        </is>
      </c>
      <c r="G6"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blanket specifications: material fabric (ultra-soft plush fleece/flannel), sizing dimensions (Small 40x50, Medium 50x60, Large 60x80 in), care instructions, and clear guidance on optional Custom Name (1-200 chars) and Custom Number (1-20 chars) fields.</t>
        </is>
      </c>
      <c r="H6" s="2" t="inlineStr">
        <is>
          <t>Internal prompt boilerplate, contradictory option instructions, and missing essential product specifications degrade consumer trust and conversion rate.</t>
        </is>
      </c>
      <c r="I6" s="2" t="inlineStr">
        <is>
          <t>Replace with clean customer-facing HTML description without internal prompt boilerplate, correctly explaining blanket form factor, available sizes, optional name and number customization, and fabric care instructions.</t>
        </is>
      </c>
      <c r="J6" s="2" t="inlineStr">
        <is>
          <t>Direct review of r2 description_proposed_html and live storefront options.</t>
        </is>
      </c>
      <c r="K6" s="2" t="inlineStr">
        <is>
          <t>Customer-facing description is free of prompt boilerplate and accurately details product construction, sizing, personalization, and care.</t>
        </is>
      </c>
      <c r="L6" s="2" t="inlineStr">
        <is>
          <t>NEW</t>
        </is>
      </c>
    </row>
    <row r="7">
      <c r="A7" s="3" t="inlineStr">
        <is>
          <t>ISSUE-0006</t>
        </is>
      </c>
      <c r="B7" s="3" t="inlineStr">
        <is>
          <t>jeminise.com+personalized-basketball-flames-flying-over-comforter-with-name-and-number-feb4be1ea4-feb4be1ea4</t>
        </is>
      </c>
      <c r="C7" s="2" t="n"/>
      <c r="D7" s="2" t="inlineStr">
        <is>
          <t>MAJOR</t>
        </is>
      </c>
      <c r="E7" s="2" t="inlineStr">
        <is>
          <t>description_proposed_html</t>
        </is>
      </c>
      <c r="F7" s="2" t="inlineStr">
        <is>
          <t>&lt;p&gt;Custom Flaming Basketball Comforter features black comforter with a flaming basketball flying across a smoky court, vertical sample name and jersey number. The wording focuses on the visible sports artwork, product form and selectable options for this exact design.&lt;/p&gt;&lt;h3&gt;Design Details&lt;/h3&gt;&lt;ul&gt;&lt;...</t>
        </is>
      </c>
      <c r="G7"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7" s="2" t="inlineStr">
        <is>
          <t>Internal prompt boilerplate, contradictory option instructions, and missing essential product specifications degrade consumer trust and conversion rate.</t>
        </is>
      </c>
      <c r="I7" s="2" t="inlineStr">
        <is>
          <t>Replace with clean customer-facing HTML description without internal prompt boilerplate, accurately detailing Comforter vs Duvet Cover construction, bottom zipper detail, required Name and Number personalization, size dimensions, and care instructions.</t>
        </is>
      </c>
      <c r="J7" s="2" t="inlineStr">
        <is>
          <t>Direct review of r2 description_proposed_html and live storefront options.</t>
        </is>
      </c>
      <c r="K7" s="2" t="inlineStr">
        <is>
          <t>Customer-facing description is free of prompt boilerplate and accurately details product construction, sizing, personalization, and care.</t>
        </is>
      </c>
      <c r="L7" s="2" t="inlineStr">
        <is>
          <t>NEW</t>
        </is>
      </c>
    </row>
    <row r="8">
      <c r="A8" s="3" t="inlineStr">
        <is>
          <t>ISSUE-0007</t>
        </is>
      </c>
      <c r="B8" s="3" t="inlineStr">
        <is>
          <t>jeminise.com+personalized-basketball-glowing-light-burst-comforter-with-name-and-number-3bc9e1267e-3bc9e1267e</t>
        </is>
      </c>
      <c r="C8" s="2" t="n"/>
      <c r="D8" s="2" t="inlineStr">
        <is>
          <t>MAJOR</t>
        </is>
      </c>
      <c r="E8" s="2" t="inlineStr">
        <is>
          <t>description_proposed_html</t>
        </is>
      </c>
      <c r="F8" s="2" t="inlineStr">
        <is>
          <t>&lt;p&gt;Custom Light Burst Basketball Comforter features gold and orange basketball comforter with glowing light burst, sample name and jersey number. The wording focuses on the visible sports artwork, product form and selectable options for this exact design.&lt;/p&gt;&lt;h3&gt;Design Details&lt;/h3&gt;&lt;ul&gt;&lt;li&gt;Artwork: g...</t>
        </is>
      </c>
      <c r="G8"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8" s="2" t="inlineStr">
        <is>
          <t>Internal prompt boilerplate, contradictory option instructions, and missing essential product specifications degrade consumer trust and conversion rate.</t>
        </is>
      </c>
      <c r="I8" s="2" t="inlineStr">
        <is>
          <t>Replace with clean customer-facing HTML description without internal prompt boilerplate, accurately detailing Comforter vs Duvet Cover construction, bottom zipper detail, required Name and Number personalization, size dimensions, and care instructions.</t>
        </is>
      </c>
      <c r="J8" s="2" t="inlineStr">
        <is>
          <t>Direct review of r2 description_proposed_html and live storefront options.</t>
        </is>
      </c>
      <c r="K8" s="2" t="inlineStr">
        <is>
          <t>Customer-facing description is free of prompt boilerplate and accurately details product construction, sizing, personalization, and care.</t>
        </is>
      </c>
      <c r="L8" s="2" t="inlineStr">
        <is>
          <t>NEW</t>
        </is>
      </c>
    </row>
    <row r="9">
      <c r="A9" s="3" t="inlineStr">
        <is>
          <t>ISSUE-0008</t>
        </is>
      </c>
      <c r="B9" s="3" t="inlineStr">
        <is>
          <t>jeminise.com+personalized-basketball-held-by-hand-on-court-blanket-with-name-and-number-079998b76f-079998b76f</t>
        </is>
      </c>
      <c r="C9" s="2" t="n"/>
      <c r="D9" s="2" t="inlineStr">
        <is>
          <t>MAJOR</t>
        </is>
      </c>
      <c r="E9" s="2" t="inlineStr">
        <is>
          <t>description_proposed_html</t>
        </is>
      </c>
      <c r="F9" s="2" t="inlineStr">
        <is>
          <t>&lt;p&gt;Custom Basketball Court Blanket features stadium court blanket with a hand holding a basketball, sample name arched over the ball and jersey number. The wording focuses on the visible sports artwork, product form and selectable options for this exact design.&lt;/p&gt;&lt;h3&gt;Design Details&lt;/h3&gt;&lt;ul&gt;&lt;li&gt;Artw...</t>
        </is>
      </c>
      <c r="G9"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blanket specifications: material fabric (ultra-soft plush fleece/flannel), sizing dimensions (Small 40x50, Medium 50x60, Large 60x80 in), care instructions, and clear guidance on optional Custom Name (1-200 chars) and Custom Number (1-20 chars) fields.</t>
        </is>
      </c>
      <c r="H9" s="2" t="inlineStr">
        <is>
          <t>Internal prompt boilerplate, contradictory option instructions, and missing essential product specifications degrade consumer trust and conversion rate.</t>
        </is>
      </c>
      <c r="I9" s="2" t="inlineStr">
        <is>
          <t>Replace with clean customer-facing HTML description without internal prompt boilerplate, correctly explaining blanket form factor, available sizes, optional name and number customization, and fabric care instructions.</t>
        </is>
      </c>
      <c r="J9" s="2" t="inlineStr">
        <is>
          <t>Direct review of r2 description_proposed_html and live storefront options.</t>
        </is>
      </c>
      <c r="K9" s="2" t="inlineStr">
        <is>
          <t>Customer-facing description is free of prompt boilerplate and accurately details product construction, sizing, personalization, and care.</t>
        </is>
      </c>
      <c r="L9" s="2" t="inlineStr">
        <is>
          <t>NEW</t>
        </is>
      </c>
    </row>
    <row r="10">
      <c r="A10" s="3" t="inlineStr">
        <is>
          <t>ISSUE-0009</t>
        </is>
      </c>
      <c r="B10" s="3" t="inlineStr">
        <is>
          <t>jeminise.com+personalized-basketball-held-under-player-arm-blanket-with-name-and-number-7a077c5144-7a077c5144</t>
        </is>
      </c>
      <c r="C10" s="2" t="n"/>
      <c r="D10" s="2" t="inlineStr">
        <is>
          <t>MAJOR</t>
        </is>
      </c>
      <c r="E10" s="2" t="inlineStr">
        <is>
          <t>description_proposed_html</t>
        </is>
      </c>
      <c r="F10" s="2" t="inlineStr">
        <is>
          <t>&lt;p&gt;Custom Basketball Player Blanket features black blanket with player arm holding a basketball, vertical sample name and jersey number on the ball. The wording focuses on the visible sports artwork, product form and selectable options for this exact design.&lt;/p&gt;&lt;h3&gt;Design Details&lt;/h3&gt;&lt;ul&gt;&lt;li&gt;Artwork...</t>
        </is>
      </c>
      <c r="G10"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blanket specifications: material fabric (ultra-soft plush fleece/flannel), sizing dimensions (Small 40x50, Medium 50x60, Large 60x80 in), care instructions, and clear guidance on optional Custom Name (1-200 chars) and Custom Number (1-20 chars) fields.</t>
        </is>
      </c>
      <c r="H10" s="2" t="inlineStr">
        <is>
          <t>Internal prompt boilerplate, contradictory option instructions, and missing essential product specifications degrade consumer trust and conversion rate.</t>
        </is>
      </c>
      <c r="I10" s="2" t="inlineStr">
        <is>
          <t>Replace with clean customer-facing HTML description without internal prompt boilerplate, correctly explaining blanket form factor, available sizes, optional name and number customization, and fabric care instructions.</t>
        </is>
      </c>
      <c r="J10" s="2" t="inlineStr">
        <is>
          <t>Direct review of r2 description_proposed_html and live storefront options.</t>
        </is>
      </c>
      <c r="K10" s="2" t="inlineStr">
        <is>
          <t>Customer-facing description is free of prompt boilerplate and accurately details product construction, sizing, personalization, and care.</t>
        </is>
      </c>
      <c r="L10" s="2" t="inlineStr">
        <is>
          <t>NEW</t>
        </is>
      </c>
    </row>
    <row r="11">
      <c r="A11" s="3" t="inlineStr">
        <is>
          <t>ISSUE-0010</t>
        </is>
      </c>
      <c r="B11" s="3" t="inlineStr">
        <is>
          <t>jeminise.com+personalized-basketball-hoop-comforter-name-number-863d6f6ff1-863d6f6ff1</t>
        </is>
      </c>
      <c r="C11" s="2" t="n"/>
      <c r="D11" s="2" t="inlineStr">
        <is>
          <t>MAJOR</t>
        </is>
      </c>
      <c r="E11" s="2" t="inlineStr">
        <is>
          <t>description_proposed_html</t>
        </is>
      </c>
      <c r="F11" s="2" t="inlineStr">
        <is>
          <t>&lt;p&gt;Custom Orange Basketball Hoop Comforter features black and orange basketball comforter with glowing hoop, sample name and jersey number on pillow shams. The wording focuses on the visible sports artwork, product form and selectable options for this exact design.&lt;/p&gt;&lt;h3&gt;Design Details&lt;/h3&gt;&lt;ul&gt;&lt;li&gt;...</t>
        </is>
      </c>
      <c r="G11"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Fails to clearly specify that pillow shams featuring customized name and number are an optional selectable add-on ('Choose Pillowcases' option group) rather than automatically included. Omits Comforter vs Duvet Cover construction breakdown, hidden bottom zipper closure, sizing chart, and fabric care instructions.</t>
        </is>
      </c>
      <c r="H11" s="2" t="inlineStr">
        <is>
          <t>Internal prompt boilerplate, contradictory option instructions, and missing essential product specifications degrade consumer trust and conversion rate.</t>
        </is>
      </c>
      <c r="I11" s="2" t="inlineStr">
        <is>
          <t>Replace with clean customer-facing HTML description without internal prompt boilerplate, detailing Comforter vs Duvet Cover construction, required Name and Number personalization, clarifying that pillowcases/shams are selectable add-ons, and providing size dimensions and care instructions.</t>
        </is>
      </c>
      <c r="J11" s="2" t="inlineStr">
        <is>
          <t>Direct review of r2 description_proposed_html and live storefront options.</t>
        </is>
      </c>
      <c r="K11" s="2" t="inlineStr">
        <is>
          <t>Customer-facing description is free of prompt boilerplate and accurately details product construction, sizing, personalization, and care.</t>
        </is>
      </c>
      <c r="L11" s="2" t="inlineStr">
        <is>
          <t>NEW</t>
        </is>
      </c>
    </row>
    <row r="12">
      <c r="A12" s="3" t="inlineStr">
        <is>
          <t>ISSUE-0011</t>
        </is>
      </c>
      <c r="B12" s="3" t="inlineStr">
        <is>
          <t>jeminise.com+personalized-basketball-close-up-with-number-blanket-with-name-and-number-f16f46abef-f16f46abef</t>
        </is>
      </c>
      <c r="C12" s="2" t="n"/>
      <c r="D12" s="2" t="inlineStr">
        <is>
          <t>MINOR</t>
        </is>
      </c>
      <c r="E12" s="2" t="inlineStr">
        <is>
          <t>meta_description_seo</t>
        </is>
      </c>
      <c r="F12" s="2" t="inlineStr">
        <is>
          <t>Shop basketball close-up number blanket with black blanket with oversized close-up basketball, large jersey number and vertical sample name, visible basket</t>
        </is>
      </c>
      <c r="G12" s="2" t="inlineStr">
        <is>
          <t>Meta description is hard-truncated at exactly 155 characters, cutting off abruptly mid-word or mid-sentence ('...mple name, visible basket').</t>
        </is>
      </c>
      <c r="H12" s="2" t="inlineStr">
        <is>
          <t>Abrupt truncation mid-word damages brand professionalism on search engine results pages and harms click-through rate.</t>
        </is>
      </c>
      <c r="I12" s="2" t="inlineStr">
        <is>
          <t>Rewrite meta description into complete, grammatically sound sentences within 100-150 characters with proper ending punctuation.</t>
        </is>
      </c>
      <c r="J12" s="2" t="inlineStr">
        <is>
          <t>Direct character count and sentence boundary audit of meta_description_seo column.</t>
        </is>
      </c>
      <c r="K12" s="2" t="inlineStr">
        <is>
          <t>Meta description concludes with complete words and punctuation within search snippet limits.</t>
        </is>
      </c>
      <c r="L12" s="2" t="inlineStr">
        <is>
          <t>NEW</t>
        </is>
      </c>
    </row>
    <row r="13">
      <c r="A13" s="3" t="inlineStr">
        <is>
          <t>ISSUE-0012</t>
        </is>
      </c>
      <c r="B13" s="3" t="inlineStr">
        <is>
          <t>jeminise.com+personalized-basketball-court-perspective-comforter-with-name-and-number-5545af9fa4-5545af9fa4</t>
        </is>
      </c>
      <c r="C13" s="2" t="n"/>
      <c r="D13" s="2" t="inlineStr">
        <is>
          <t>MINOR</t>
        </is>
      </c>
      <c r="E13" s="2" t="inlineStr">
        <is>
          <t>meta_description_seo</t>
        </is>
      </c>
      <c r="F13" s="2" t="inlineStr">
        <is>
          <t xml:space="preserve">Shop custom basketball court comforter with black and gray basketball comforter with court perspective, large ball texture, sample name and jersey number, </t>
        </is>
      </c>
      <c r="G13" s="2" t="inlineStr">
        <is>
          <t>Meta description is hard-truncated at exactly 155 characters, cutting off abruptly mid-word or mid-sentence ('... name and jersey number, ').</t>
        </is>
      </c>
      <c r="H13" s="2" t="inlineStr">
        <is>
          <t>Abrupt truncation mid-word damages brand professionalism on search engine results pages and harms click-through rate.</t>
        </is>
      </c>
      <c r="I13" s="2" t="inlineStr">
        <is>
          <t>Rewrite meta description into complete, grammatically sound sentences within 100-150 characters with proper ending punctuation.</t>
        </is>
      </c>
      <c r="J13" s="2" t="inlineStr">
        <is>
          <t>Direct character count and sentence boundary audit of meta_description_seo column.</t>
        </is>
      </c>
      <c r="K13" s="2" t="inlineStr">
        <is>
          <t>Meta description concludes with complete words and punctuation within search snippet limits.</t>
        </is>
      </c>
      <c r="L13" s="2" t="inlineStr">
        <is>
          <t>NEW</t>
        </is>
      </c>
    </row>
    <row r="14">
      <c r="A14" s="3" t="inlineStr">
        <is>
          <t>ISSUE-0013</t>
        </is>
      </c>
      <c r="B14" s="3" t="inlineStr">
        <is>
          <t>jeminise.com+personalized-basketball-cracked-wall-comforter-with-name-and-number-aeaddaa506-aeaddaa506</t>
        </is>
      </c>
      <c r="C14" s="2" t="n"/>
      <c r="D14" s="2" t="inlineStr">
        <is>
          <t>MINOR</t>
        </is>
      </c>
      <c r="E14" s="2" t="inlineStr">
        <is>
          <t>meta_description_seo</t>
        </is>
      </c>
      <c r="F14" s="2" t="inlineStr">
        <is>
          <t>Shop custom basketball cracked wall comforter with white and gray cracked-wall basketball comforter with an orange ball breaking through and vertical sampl</t>
        </is>
      </c>
      <c r="G14" s="2" t="inlineStr">
        <is>
          <t>Meta description is hard-truncated at exactly 155 characters, cutting off abruptly mid-word or mid-sentence ('...hrough and vertical sampl').</t>
        </is>
      </c>
      <c r="H14" s="2" t="inlineStr">
        <is>
          <t>Abrupt truncation mid-word damages brand professionalism on search engine results pages and harms click-through rate.</t>
        </is>
      </c>
      <c r="I14" s="2" t="inlineStr">
        <is>
          <t>Rewrite meta description into complete, grammatically sound sentences within 100-150 characters with proper ending punctuation.</t>
        </is>
      </c>
      <c r="J14" s="2" t="inlineStr">
        <is>
          <t>Direct character count and sentence boundary audit of meta_description_seo column.</t>
        </is>
      </c>
      <c r="K14" s="2" t="inlineStr">
        <is>
          <t>Meta description concludes with complete words and punctuation within search snippet limits.</t>
        </is>
      </c>
      <c r="L14" s="2" t="inlineStr">
        <is>
          <t>NEW</t>
        </is>
      </c>
    </row>
    <row r="15">
      <c r="A15" s="3" t="inlineStr">
        <is>
          <t>ISSUE-0014</t>
        </is>
      </c>
      <c r="B15" s="3" t="inlineStr">
        <is>
          <t>jeminise.com+personalized-basketball-entering-net-comforter-e55e615fd3-e55e615fd3</t>
        </is>
      </c>
      <c r="C15" s="2" t="n"/>
      <c r="D15" s="2" t="inlineStr">
        <is>
          <t>MINOR</t>
        </is>
      </c>
      <c r="E15" s="2" t="inlineStr">
        <is>
          <t>meta_description_seo</t>
        </is>
      </c>
      <c r="F15" s="2" t="inlineStr">
        <is>
          <t>Shop custom rainbow basketball net comforter with bright rainbow fire basketball comforter with glowing hoop, net, sample name and jersey number, selectabl</t>
        </is>
      </c>
      <c r="G15" s="2" t="inlineStr">
        <is>
          <t>Meta description is hard-truncated at exactly 155 characters, cutting off abruptly mid-word or mid-sentence ('... jersey number, selectabl').</t>
        </is>
      </c>
      <c r="H15" s="2" t="inlineStr">
        <is>
          <t>Abrupt truncation mid-word damages brand professionalism on search engine results pages and harms click-through rate.</t>
        </is>
      </c>
      <c r="I15" s="2" t="inlineStr">
        <is>
          <t>Rewrite meta description into complete, grammatically sound sentences within 100-150 characters with proper ending punctuation.</t>
        </is>
      </c>
      <c r="J15" s="2" t="inlineStr">
        <is>
          <t>Direct character count and sentence boundary audit of meta_description_seo column.</t>
        </is>
      </c>
      <c r="K15" s="2" t="inlineStr">
        <is>
          <t>Meta description concludes with complete words and punctuation within search snippet limits.</t>
        </is>
      </c>
      <c r="L15" s="2" t="inlineStr">
        <is>
          <t>NEW</t>
        </is>
      </c>
    </row>
    <row r="16">
      <c r="A16" s="3" t="inlineStr">
        <is>
          <t>ISSUE-0015</t>
        </is>
      </c>
      <c r="B16" s="3" t="inlineStr">
        <is>
          <t>jeminise.com+personalized-basketball-fire-and-water-splash-blanket-with-name-and-number-b05a53f208-b05a53f208</t>
        </is>
      </c>
      <c r="C16" s="2" t="n"/>
      <c r="D16" s="2" t="inlineStr">
        <is>
          <t>MINOR</t>
        </is>
      </c>
      <c r="E16" s="2" t="inlineStr">
        <is>
          <t>meta_description_seo</t>
        </is>
      </c>
      <c r="F16" s="2" t="inlineStr">
        <is>
          <t>Shop custom basketball fire water blanket with blanket with basketball, fire, water splash, lightning, hoop background, vertical sample name and jersey num</t>
        </is>
      </c>
      <c r="G16" s="2" t="inlineStr">
        <is>
          <t>Meta description is hard-truncated at exactly 155 characters, cutting off abruptly mid-word or mid-sentence ('...ample name and jersey num').</t>
        </is>
      </c>
      <c r="H16" s="2" t="inlineStr">
        <is>
          <t>Abrupt truncation mid-word damages brand professionalism on search engine results pages and harms click-through rate.</t>
        </is>
      </c>
      <c r="I16" s="2" t="inlineStr">
        <is>
          <t>Rewrite meta description into complete, grammatically sound sentences within 100-150 characters with proper ending punctuation.</t>
        </is>
      </c>
      <c r="J16" s="2" t="inlineStr">
        <is>
          <t>Direct character count and sentence boundary audit of meta_description_seo column.</t>
        </is>
      </c>
      <c r="K16" s="2" t="inlineStr">
        <is>
          <t>Meta description concludes with complete words and punctuation within search snippet limits.</t>
        </is>
      </c>
      <c r="L16" s="2" t="inlineStr">
        <is>
          <t>NEW</t>
        </is>
      </c>
    </row>
    <row r="17">
      <c r="A17" s="3" t="inlineStr">
        <is>
          <t>ISSUE-0016</t>
        </is>
      </c>
      <c r="B17" s="3" t="inlineStr">
        <is>
          <t>jeminise.com+personalized-basketball-flames-flying-over-comforter-with-name-and-number-feb4be1ea4-feb4be1ea4</t>
        </is>
      </c>
      <c r="C17" s="2" t="n"/>
      <c r="D17" s="2" t="inlineStr">
        <is>
          <t>MINOR</t>
        </is>
      </c>
      <c r="E17" s="2" t="inlineStr">
        <is>
          <t>meta_description_seo</t>
        </is>
      </c>
      <c r="F17" s="2" t="inlineStr">
        <is>
          <t>Shop custom flaming basketball comforter with black comforter with a flaming basketball flying across a smoky court, vertical sample name and jersey number</t>
        </is>
      </c>
      <c r="G17" s="2" t="inlineStr">
        <is>
          <t>Meta description is hard-truncated at exactly 155 characters, cutting off abruptly mid-word or mid-sentence ('...le name and jersey number').</t>
        </is>
      </c>
      <c r="H17" s="2" t="inlineStr">
        <is>
          <t>Abrupt truncation mid-word damages brand professionalism on search engine results pages and harms click-through rate.</t>
        </is>
      </c>
      <c r="I17" s="2" t="inlineStr">
        <is>
          <t>Rewrite meta description into complete, grammatically sound sentences within 100-150 characters with proper ending punctuation.</t>
        </is>
      </c>
      <c r="J17" s="2" t="inlineStr">
        <is>
          <t>Direct character count and sentence boundary audit of meta_description_seo column.</t>
        </is>
      </c>
      <c r="K17" s="2" t="inlineStr">
        <is>
          <t>Meta description concludes with complete words and punctuation within search snippet limits.</t>
        </is>
      </c>
      <c r="L17" s="2" t="inlineStr">
        <is>
          <t>NEW</t>
        </is>
      </c>
    </row>
    <row r="18">
      <c r="A18" s="3" t="inlineStr">
        <is>
          <t>ISSUE-0017</t>
        </is>
      </c>
      <c r="B18" s="3" t="inlineStr">
        <is>
          <t>jeminise.com+personalized-basketball-glowing-light-burst-comforter-with-name-and-number-3bc9e1267e-3bc9e1267e</t>
        </is>
      </c>
      <c r="C18" s="2" t="n"/>
      <c r="D18" s="2" t="inlineStr">
        <is>
          <t>MINOR</t>
        </is>
      </c>
      <c r="E18" s="2" t="inlineStr">
        <is>
          <t>meta_description_seo</t>
        </is>
      </c>
      <c r="F18" s="2" t="inlineStr">
        <is>
          <t xml:space="preserve">Shop custom light burst basketball comforter with gold and orange basketball comforter with glowing light burst, sample name and jersey number, selectable </t>
        </is>
      </c>
      <c r="G18" s="2" t="inlineStr">
        <is>
          <t>Meta description is hard-truncated at exactly 155 characters, cutting off abruptly mid-word or mid-sentence ('...ersey number, selectable ').</t>
        </is>
      </c>
      <c r="H18" s="2" t="inlineStr">
        <is>
          <t>Abrupt truncation mid-word damages brand professionalism on search engine results pages and harms click-through rate.</t>
        </is>
      </c>
      <c r="I18" s="2" t="inlineStr">
        <is>
          <t>Rewrite meta description into complete, grammatically sound sentences within 100-150 characters with proper ending punctuation.</t>
        </is>
      </c>
      <c r="J18" s="2" t="inlineStr">
        <is>
          <t>Direct character count and sentence boundary audit of meta_description_seo column.</t>
        </is>
      </c>
      <c r="K18" s="2" t="inlineStr">
        <is>
          <t>Meta description concludes with complete words and punctuation within search snippet limits.</t>
        </is>
      </c>
      <c r="L18" s="2" t="inlineStr">
        <is>
          <t>NEW</t>
        </is>
      </c>
    </row>
    <row r="19">
      <c r="A19" s="3" t="inlineStr">
        <is>
          <t>ISSUE-0018</t>
        </is>
      </c>
      <c r="B19" s="3" t="inlineStr">
        <is>
          <t>jeminise.com+personalized-basketball-held-by-hand-on-court-blanket-with-name-and-number-079998b76f-079998b76f</t>
        </is>
      </c>
      <c r="C19" s="2" t="n"/>
      <c r="D19" s="2" t="inlineStr">
        <is>
          <t>MINOR</t>
        </is>
      </c>
      <c r="E19" s="2" t="inlineStr">
        <is>
          <t>meta_description_seo</t>
        </is>
      </c>
      <c r="F19" s="2" t="inlineStr">
        <is>
          <t>Shop custom basketball court blanket with stadium court blanket with a hand holding a basketball, sample name arched over the ball and jersey number, selec</t>
        </is>
      </c>
      <c r="G19" s="2" t="inlineStr">
        <is>
          <t>Meta description is hard-truncated at exactly 155 characters, cutting off abruptly mid-word or mid-sentence ('... and jersey number, selec').</t>
        </is>
      </c>
      <c r="H19" s="2" t="inlineStr">
        <is>
          <t>Abrupt truncation mid-word damages brand professionalism on search engine results pages and harms click-through rate.</t>
        </is>
      </c>
      <c r="I19" s="2" t="inlineStr">
        <is>
          <t>Rewrite meta description into complete, grammatically sound sentences within 100-150 characters with proper ending punctuation.</t>
        </is>
      </c>
      <c r="J19" s="2" t="inlineStr">
        <is>
          <t>Direct character count and sentence boundary audit of meta_description_seo column.</t>
        </is>
      </c>
      <c r="K19" s="2" t="inlineStr">
        <is>
          <t>Meta description concludes with complete words and punctuation within search snippet limits.</t>
        </is>
      </c>
      <c r="L19" s="2" t="inlineStr">
        <is>
          <t>NEW</t>
        </is>
      </c>
    </row>
    <row r="20">
      <c r="A20" s="3" t="inlineStr">
        <is>
          <t>ISSUE-0019</t>
        </is>
      </c>
      <c r="B20" s="3" t="inlineStr">
        <is>
          <t>jeminise.com+personalized-basketball-held-under-player-arm-blanket-with-name-and-number-7a077c5144-7a077c5144</t>
        </is>
      </c>
      <c r="C20" s="2" t="n"/>
      <c r="D20" s="2" t="inlineStr">
        <is>
          <t>MINOR</t>
        </is>
      </c>
      <c r="E20" s="2" t="inlineStr">
        <is>
          <t>meta_description_seo</t>
        </is>
      </c>
      <c r="F20" s="2" t="inlineStr">
        <is>
          <t>Shop custom basketball player blanket with black blanket with player arm holding a basketball, vertical sample name and jersey number on the ball, selectab</t>
        </is>
      </c>
      <c r="G20" s="2" t="inlineStr">
        <is>
          <t>Meta description is hard-truncated at exactly 155 characters, cutting off abruptly mid-word or mid-sentence ('...ber on the ball, selectab').</t>
        </is>
      </c>
      <c r="H20" s="2" t="inlineStr">
        <is>
          <t>Abrupt truncation mid-word damages brand professionalism on search engine results pages and harms click-through rate.</t>
        </is>
      </c>
      <c r="I20" s="2" t="inlineStr">
        <is>
          <t>Rewrite meta description into complete, grammatically sound sentences within 100-150 characters with proper ending punctuation.</t>
        </is>
      </c>
      <c r="J20" s="2" t="inlineStr">
        <is>
          <t>Direct character count and sentence boundary audit of meta_description_seo column.</t>
        </is>
      </c>
      <c r="K20" s="2" t="inlineStr">
        <is>
          <t>Meta description concludes with complete words and punctuation within search snippet limits.</t>
        </is>
      </c>
      <c r="L20" s="2" t="inlineStr">
        <is>
          <t>NEW</t>
        </is>
      </c>
    </row>
    <row r="21">
      <c r="A21" s="3" t="inlineStr">
        <is>
          <t>ISSUE-0020</t>
        </is>
      </c>
      <c r="B21" s="3" t="inlineStr">
        <is>
          <t>jeminise.com+personalized-basketball-hoop-comforter-name-number-863d6f6ff1-863d6f6ff1</t>
        </is>
      </c>
      <c r="C21" s="2" t="n"/>
      <c r="D21" s="2" t="inlineStr">
        <is>
          <t>MINOR</t>
        </is>
      </c>
      <c r="E21" s="2" t="inlineStr">
        <is>
          <t>meta_description_seo</t>
        </is>
      </c>
      <c r="F21" s="2" t="inlineStr">
        <is>
          <t>Shop custom orange basketball hoop comforter with black and orange basketball comforter with glowing hoop, sample name and jersey number on pillow shams, s</t>
        </is>
      </c>
      <c r="G21" s="2" t="inlineStr">
        <is>
          <t>Meta description is hard-truncated at exactly 155 characters, cutting off abruptly mid-word or mid-sentence ('...number on pillow shams, s').</t>
        </is>
      </c>
      <c r="H21" s="2" t="inlineStr">
        <is>
          <t>Abrupt truncation mid-word damages brand professionalism on search engine results pages and harms click-through rate.</t>
        </is>
      </c>
      <c r="I21" s="2" t="inlineStr">
        <is>
          <t>Rewrite meta description into complete, grammatically sound sentences within 100-150 characters with proper ending punctuation.</t>
        </is>
      </c>
      <c r="J21" s="2" t="inlineStr">
        <is>
          <t>Direct character count and sentence boundary audit of meta_description_seo column.</t>
        </is>
      </c>
      <c r="K21" s="2" t="inlineStr">
        <is>
          <t>Meta description concludes with complete words and punctuation within search snippet limits.</t>
        </is>
      </c>
      <c r="L21" s="2" t="inlineStr">
        <is>
          <t>NEW</t>
        </is>
      </c>
    </row>
    <row r="22">
      <c r="A22" s="3" t="inlineStr">
        <is>
          <t>ISSUE-0021</t>
        </is>
      </c>
      <c r="B22" s="3" t="inlineStr">
        <is>
          <t>jeminise.com+personalized-basketball-close-up-with-number-blanket-with-name-and-number-f16f46abef-f16f46abef</t>
        </is>
      </c>
      <c r="C22" s="2" t="n"/>
      <c r="D22" s="2" t="inlineStr">
        <is>
          <t>LIMITATION</t>
        </is>
      </c>
      <c r="E22" s="2" t="inlineStr">
        <is>
          <t>keyword_evidence_level</t>
        </is>
      </c>
      <c r="F22" s="2" t="inlineStr">
        <is>
          <t>SERP_ONLY</t>
        </is>
      </c>
      <c r="G22" s="2" t="inlineStr">
        <is>
          <t>Keyword evidence level is SERP_ONLY due to offline QA environment without direct Google Search Console or Analytics API access.</t>
        </is>
      </c>
      <c r="H22" s="2" t="inlineStr">
        <is>
          <t>Standard operational boundary of offline SEO audits.</t>
        </is>
      </c>
      <c r="I22" s="2" t="inlineStr">
        <is>
          <t>Maintain keyword evidence with multi-domain US SERP verification and comparator analysis until live GSC access is integrated.</t>
        </is>
      </c>
      <c r="J22" s="2" t="inlineStr">
        <is>
          <t>Offline QA operational environment; supported by 20 live SERP queries.</t>
        </is>
      </c>
      <c r="K22" s="2" t="inlineStr">
        <is>
          <t>Logged as ongoing limitation; compensated by independent SERP validation.</t>
        </is>
      </c>
      <c r="L22" s="2" t="inlineStr">
        <is>
          <t>NEW</t>
        </is>
      </c>
    </row>
    <row r="23">
      <c r="A23" s="3" t="inlineStr">
        <is>
          <t>ISSUE-0022</t>
        </is>
      </c>
      <c r="B23" s="3" t="inlineStr">
        <is>
          <t>jeminise.com+personalized-basketball-court-perspective-comforter-with-name-and-number-5545af9fa4-5545af9fa4</t>
        </is>
      </c>
      <c r="C23" s="2" t="n"/>
      <c r="D23" s="2" t="inlineStr">
        <is>
          <t>LIMITATION</t>
        </is>
      </c>
      <c r="E23" s="2" t="inlineStr">
        <is>
          <t>keyword_evidence_level</t>
        </is>
      </c>
      <c r="F23" s="2" t="inlineStr">
        <is>
          <t>SERP_ONLY</t>
        </is>
      </c>
      <c r="G23" s="2" t="inlineStr">
        <is>
          <t>Keyword evidence level is SERP_ONLY due to offline QA environment without direct Google Search Console or Analytics API access.</t>
        </is>
      </c>
      <c r="H23" s="2" t="inlineStr">
        <is>
          <t>Standard operational boundary of offline SEO audits.</t>
        </is>
      </c>
      <c r="I23" s="2" t="inlineStr">
        <is>
          <t>Maintain keyword evidence with multi-domain US SERP verification and comparator analysis until live GSC access is integrated.</t>
        </is>
      </c>
      <c r="J23" s="2" t="inlineStr">
        <is>
          <t>Offline QA operational environment; supported by 20 live SERP queries.</t>
        </is>
      </c>
      <c r="K23" s="2" t="inlineStr">
        <is>
          <t>Logged as ongoing limitation; compensated by independent SERP validation.</t>
        </is>
      </c>
      <c r="L23" s="2" t="inlineStr">
        <is>
          <t>NEW</t>
        </is>
      </c>
    </row>
    <row r="24">
      <c r="A24" s="3" t="inlineStr">
        <is>
          <t>ISSUE-0023</t>
        </is>
      </c>
      <c r="B24" s="3" t="inlineStr">
        <is>
          <t>jeminise.com+personalized-basketball-cracked-wall-comforter-with-name-and-number-aeaddaa506-aeaddaa506</t>
        </is>
      </c>
      <c r="C24" s="2" t="n"/>
      <c r="D24" s="2" t="inlineStr">
        <is>
          <t>LIMITATION</t>
        </is>
      </c>
      <c r="E24" s="2" t="inlineStr">
        <is>
          <t>keyword_evidence_level</t>
        </is>
      </c>
      <c r="F24" s="2" t="inlineStr">
        <is>
          <t>SERP_ONLY</t>
        </is>
      </c>
      <c r="G24" s="2" t="inlineStr">
        <is>
          <t>Keyword evidence level is SERP_ONLY due to offline QA environment without direct Google Search Console or Analytics API access.</t>
        </is>
      </c>
      <c r="H24" s="2" t="inlineStr">
        <is>
          <t>Standard operational boundary of offline SEO audits.</t>
        </is>
      </c>
      <c r="I24" s="2" t="inlineStr">
        <is>
          <t>Maintain keyword evidence with multi-domain US SERP verification and comparator analysis until live GSC access is integrated.</t>
        </is>
      </c>
      <c r="J24" s="2" t="inlineStr">
        <is>
          <t>Offline QA operational environment; supported by 20 live SERP queries.</t>
        </is>
      </c>
      <c r="K24" s="2" t="inlineStr">
        <is>
          <t>Logged as ongoing limitation; compensated by independent SERP validation.</t>
        </is>
      </c>
      <c r="L24" s="2" t="inlineStr">
        <is>
          <t>NEW</t>
        </is>
      </c>
    </row>
    <row r="25">
      <c r="A25" s="3" t="inlineStr">
        <is>
          <t>ISSUE-0024</t>
        </is>
      </c>
      <c r="B25" s="3" t="inlineStr">
        <is>
          <t>jeminise.com+personalized-basketball-entering-net-comforter-e55e615fd3-e55e615fd3</t>
        </is>
      </c>
      <c r="C25" s="2" t="n"/>
      <c r="D25" s="2" t="inlineStr">
        <is>
          <t>LIMITATION</t>
        </is>
      </c>
      <c r="E25" s="2" t="inlineStr">
        <is>
          <t>keyword_evidence_level</t>
        </is>
      </c>
      <c r="F25" s="2" t="inlineStr">
        <is>
          <t>SERP_ONLY</t>
        </is>
      </c>
      <c r="G25" s="2" t="inlineStr">
        <is>
          <t>Keyword evidence level is SERP_ONLY due to offline QA environment without direct Google Search Console or Analytics API access.</t>
        </is>
      </c>
      <c r="H25" s="2" t="inlineStr">
        <is>
          <t>Standard operational boundary of offline SEO audits.</t>
        </is>
      </c>
      <c r="I25" s="2" t="inlineStr">
        <is>
          <t>Maintain keyword evidence with multi-domain US SERP verification and comparator analysis until live GSC access is integrated.</t>
        </is>
      </c>
      <c r="J25" s="2" t="inlineStr">
        <is>
          <t>Offline QA operational environment; supported by 20 live SERP queries.</t>
        </is>
      </c>
      <c r="K25" s="2" t="inlineStr">
        <is>
          <t>Logged as ongoing limitation; compensated by independent SERP validation.</t>
        </is>
      </c>
      <c r="L25" s="2" t="inlineStr">
        <is>
          <t>NEW</t>
        </is>
      </c>
    </row>
    <row r="26">
      <c r="A26" s="3" t="inlineStr">
        <is>
          <t>ISSUE-0025</t>
        </is>
      </c>
      <c r="B26" s="3" t="inlineStr">
        <is>
          <t>jeminise.com+personalized-basketball-fire-and-water-splash-blanket-with-name-and-number-b05a53f208-b05a53f208</t>
        </is>
      </c>
      <c r="C26" s="2" t="n"/>
      <c r="D26" s="2" t="inlineStr">
        <is>
          <t>LIMITATION</t>
        </is>
      </c>
      <c r="E26" s="2" t="inlineStr">
        <is>
          <t>keyword_evidence_level</t>
        </is>
      </c>
      <c r="F26" s="2" t="inlineStr">
        <is>
          <t>SERP_ONLY</t>
        </is>
      </c>
      <c r="G26" s="2" t="inlineStr">
        <is>
          <t>Keyword evidence level is SERP_ONLY due to offline QA environment without direct Google Search Console or Analytics API access.</t>
        </is>
      </c>
      <c r="H26" s="2" t="inlineStr">
        <is>
          <t>Standard operational boundary of offline SEO audits.</t>
        </is>
      </c>
      <c r="I26" s="2" t="inlineStr">
        <is>
          <t>Maintain keyword evidence with multi-domain US SERP verification and comparator analysis until live GSC access is integrated.</t>
        </is>
      </c>
      <c r="J26" s="2" t="inlineStr">
        <is>
          <t>Offline QA operational environment; supported by 20 live SERP queries.</t>
        </is>
      </c>
      <c r="K26" s="2" t="inlineStr">
        <is>
          <t>Logged as ongoing limitation; compensated by independent SERP validation.</t>
        </is>
      </c>
      <c r="L26" s="2" t="inlineStr">
        <is>
          <t>NEW</t>
        </is>
      </c>
    </row>
    <row r="27">
      <c r="A27" s="3" t="inlineStr">
        <is>
          <t>ISSUE-0026</t>
        </is>
      </c>
      <c r="B27" s="3" t="inlineStr">
        <is>
          <t>jeminise.com+personalized-basketball-flames-flying-over-comforter-with-name-and-number-feb4be1ea4-feb4be1ea4</t>
        </is>
      </c>
      <c r="C27" s="2" t="n"/>
      <c r="D27" s="2" t="inlineStr">
        <is>
          <t>LIMITATION</t>
        </is>
      </c>
      <c r="E27" s="2" t="inlineStr">
        <is>
          <t>keyword_evidence_level</t>
        </is>
      </c>
      <c r="F27" s="2" t="inlineStr">
        <is>
          <t>SERP_ONLY</t>
        </is>
      </c>
      <c r="G27" s="2" t="inlineStr">
        <is>
          <t>Keyword evidence level is SERP_ONLY due to offline QA environment without direct Google Search Console or Analytics API access.</t>
        </is>
      </c>
      <c r="H27" s="2" t="inlineStr">
        <is>
          <t>Standard operational boundary of offline SEO audits.</t>
        </is>
      </c>
      <c r="I27" s="2" t="inlineStr">
        <is>
          <t>Maintain keyword evidence with multi-domain US SERP verification and comparator analysis until live GSC access is integrated.</t>
        </is>
      </c>
      <c r="J27" s="2" t="inlineStr">
        <is>
          <t>Offline QA operational environment; supported by 20 live SERP queries.</t>
        </is>
      </c>
      <c r="K27" s="2" t="inlineStr">
        <is>
          <t>Logged as ongoing limitation; compensated by independent SERP validation.</t>
        </is>
      </c>
      <c r="L27" s="2" t="inlineStr">
        <is>
          <t>NEW</t>
        </is>
      </c>
    </row>
    <row r="28">
      <c r="A28" s="3" t="inlineStr">
        <is>
          <t>ISSUE-0027</t>
        </is>
      </c>
      <c r="B28" s="3" t="inlineStr">
        <is>
          <t>jeminise.com+personalized-basketball-glowing-light-burst-comforter-with-name-and-number-3bc9e1267e-3bc9e1267e</t>
        </is>
      </c>
      <c r="C28" s="2" t="n"/>
      <c r="D28" s="2" t="inlineStr">
        <is>
          <t>LIMITATION</t>
        </is>
      </c>
      <c r="E28" s="2" t="inlineStr">
        <is>
          <t>keyword_evidence_level</t>
        </is>
      </c>
      <c r="F28" s="2" t="inlineStr">
        <is>
          <t>SERP_ONLY</t>
        </is>
      </c>
      <c r="G28" s="2" t="inlineStr">
        <is>
          <t>Keyword evidence level is SERP_ONLY due to offline QA environment without direct Google Search Console or Analytics API access.</t>
        </is>
      </c>
      <c r="H28" s="2" t="inlineStr">
        <is>
          <t>Standard operational boundary of offline SEO audits.</t>
        </is>
      </c>
      <c r="I28" s="2" t="inlineStr">
        <is>
          <t>Maintain keyword evidence with multi-domain US SERP verification and comparator analysis until live GSC access is integrated.</t>
        </is>
      </c>
      <c r="J28" s="2" t="inlineStr">
        <is>
          <t>Offline QA operational environment; supported by 20 live SERP queries.</t>
        </is>
      </c>
      <c r="K28" s="2" t="inlineStr">
        <is>
          <t>Logged as ongoing limitation; compensated by independent SERP validation.</t>
        </is>
      </c>
      <c r="L28" s="2" t="inlineStr">
        <is>
          <t>NEW</t>
        </is>
      </c>
    </row>
    <row r="29">
      <c r="A29" s="3" t="inlineStr">
        <is>
          <t>ISSUE-0028</t>
        </is>
      </c>
      <c r="B29" s="3" t="inlineStr">
        <is>
          <t>jeminise.com+personalized-basketball-held-by-hand-on-court-blanket-with-name-and-number-079998b76f-079998b76f</t>
        </is>
      </c>
      <c r="C29" s="2" t="n"/>
      <c r="D29" s="2" t="inlineStr">
        <is>
          <t>LIMITATION</t>
        </is>
      </c>
      <c r="E29" s="2" t="inlineStr">
        <is>
          <t>keyword_evidence_level</t>
        </is>
      </c>
      <c r="F29" s="2" t="inlineStr">
        <is>
          <t>SERP_ONLY</t>
        </is>
      </c>
      <c r="G29" s="2" t="inlineStr">
        <is>
          <t>Keyword evidence level is SERP_ONLY due to offline QA environment without direct Google Search Console or Analytics API access.</t>
        </is>
      </c>
      <c r="H29" s="2" t="inlineStr">
        <is>
          <t>Standard operational boundary of offline SEO audits.</t>
        </is>
      </c>
      <c r="I29" s="2" t="inlineStr">
        <is>
          <t>Maintain keyword evidence with multi-domain US SERP verification and comparator analysis until live GSC access is integrated.</t>
        </is>
      </c>
      <c r="J29" s="2" t="inlineStr">
        <is>
          <t>Offline QA operational environment; supported by 20 live SERP queries.</t>
        </is>
      </c>
      <c r="K29" s="2" t="inlineStr">
        <is>
          <t>Logged as ongoing limitation; compensated by independent SERP validation.</t>
        </is>
      </c>
      <c r="L29" s="2" t="inlineStr">
        <is>
          <t>NEW</t>
        </is>
      </c>
    </row>
    <row r="30">
      <c r="A30" s="3" t="inlineStr">
        <is>
          <t>ISSUE-0029</t>
        </is>
      </c>
      <c r="B30" s="3" t="inlineStr">
        <is>
          <t>jeminise.com+personalized-basketball-held-under-player-arm-blanket-with-name-and-number-7a077c5144-7a077c5144</t>
        </is>
      </c>
      <c r="C30" s="2" t="n"/>
      <c r="D30" s="2" t="inlineStr">
        <is>
          <t>LIMITATION</t>
        </is>
      </c>
      <c r="E30" s="2" t="inlineStr">
        <is>
          <t>keyword_evidence_level</t>
        </is>
      </c>
      <c r="F30" s="2" t="inlineStr">
        <is>
          <t>SERP_ONLY</t>
        </is>
      </c>
      <c r="G30" s="2" t="inlineStr">
        <is>
          <t>Keyword evidence level is SERP_ONLY due to offline QA environment without direct Google Search Console or Analytics API access.</t>
        </is>
      </c>
      <c r="H30" s="2" t="inlineStr">
        <is>
          <t>Standard operational boundary of offline SEO audits.</t>
        </is>
      </c>
      <c r="I30" s="2" t="inlineStr">
        <is>
          <t>Maintain keyword evidence with multi-domain US SERP verification and comparator analysis until live GSC access is integrated.</t>
        </is>
      </c>
      <c r="J30" s="2" t="inlineStr">
        <is>
          <t>Offline QA operational environment; supported by 20 live SERP queries.</t>
        </is>
      </c>
      <c r="K30" s="2" t="inlineStr">
        <is>
          <t>Logged as ongoing limitation; compensated by independent SERP validation.</t>
        </is>
      </c>
      <c r="L30" s="2" t="inlineStr">
        <is>
          <t>NEW</t>
        </is>
      </c>
    </row>
    <row r="31">
      <c r="A31" s="3" t="inlineStr">
        <is>
          <t>ISSUE-0030</t>
        </is>
      </c>
      <c r="B31" s="3" t="inlineStr">
        <is>
          <t>jeminise.com+personalized-basketball-hoop-comforter-name-number-863d6f6ff1-863d6f6ff1</t>
        </is>
      </c>
      <c r="C31" s="2" t="n"/>
      <c r="D31" s="2" t="inlineStr">
        <is>
          <t>LIMITATION</t>
        </is>
      </c>
      <c r="E31" s="2" t="inlineStr">
        <is>
          <t>keyword_evidence_level</t>
        </is>
      </c>
      <c r="F31" s="2" t="inlineStr">
        <is>
          <t>SERP_ONLY</t>
        </is>
      </c>
      <c r="G31" s="2" t="inlineStr">
        <is>
          <t>Keyword evidence level is SERP_ONLY due to offline QA environment without direct Google Search Console or Analytics API access.</t>
        </is>
      </c>
      <c r="H31" s="2" t="inlineStr">
        <is>
          <t>Standard operational boundary of offline SEO audits.</t>
        </is>
      </c>
      <c r="I31" s="2" t="inlineStr">
        <is>
          <t>Maintain keyword evidence with multi-domain US SERP verification and comparator analysis until live GSC access is integrated.</t>
        </is>
      </c>
      <c r="J31" s="2" t="inlineStr">
        <is>
          <t>Offline QA operational environment; supported by 20 live SERP queries.</t>
        </is>
      </c>
      <c r="K31" s="2" t="inlineStr">
        <is>
          <t>Logged as ongoing limitation; compensated by independent SERP validation.</t>
        </is>
      </c>
      <c r="L31" s="2" t="inlineStr">
        <is>
          <t>NEW</t>
        </is>
      </c>
    </row>
  </sheetData>
  <autoFilter ref="A1:L3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2026-09-08T06:48:25Z</dcterms:created>
  <dcterms:modified xmlns:dcterms="http://purl.org/dc/terms/" xmlns:xsi="http://www.w3.org/2001/XMLSchema-instance" xsi:type="dcterms:W3CDTF">2026-09-08T06:48:25Z</dcterms:modified>
</cp:coreProperties>
</file>