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'QA_Summary'!$A$1:$C$14</definedName>
    <definedName name="_xlnm.Print_Titles" localSheetId="0">'QA_Summary'!$1:$1</definedName>
    <definedName name="_xlnm._FilterDatabase" localSheetId="1" hidden="1">'QA_Products'!$A$1:$W$11</definedName>
    <definedName name="_xlnm.Print_Titles" localSheetId="1">'QA_Products'!$1:$1</definedName>
    <definedName name="_xlnm._FilterDatabase" localSheetId="2" hidden="1">'QA_Criteria'!$A$1:$J$111</definedName>
    <definedName name="_xlnm.Print_Titles" localSheetId="2">'QA_Criteria'!$1:$1</definedName>
    <definedName name="_xlnm._FilterDatabase" localSheetId="3" hidden="1">'QA_Images'!$A$1:$Z$60</definedName>
    <definedName name="_xlnm.Print_Titles" localSheetId="3">'QA_Images'!$1:$1</definedName>
    <definedName name="_xlnm._FilterDatabase" localSheetId="4" hidden="1">'QA_Issues'!$A$1:$K$49</definedName>
    <definedName name="_xlnm.Print_Titles" localSheetId="4">'QA_Issues'!$1:$1</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
  </numFmts>
  <fonts count="4">
    <font>
      <name val="Calibri"/>
      <family val="2"/>
      <color theme="1"/>
      <sz val="11"/>
      <scheme val="minor"/>
    </font>
    <font>
      <name val="Aptos Display"/>
      <b val="1"/>
      <color rgb="00FFFFFF"/>
      <sz val="11"/>
    </font>
    <font>
      <name val="Aptos"/>
      <color rgb="001F2937"/>
      <sz val="10"/>
    </font>
    <font>
      <name val="Calibri"/>
      <family val="2"/>
      <color theme="10"/>
      <sz val="12"/>
      <scheme val="minor"/>
    </font>
  </fonts>
  <fills count="4">
    <fill>
      <patternFill/>
    </fill>
    <fill>
      <patternFill patternType="gray125"/>
    </fill>
    <fill>
      <patternFill patternType="solid">
        <fgColor rgb="0017365D"/>
      </patternFill>
    </fill>
    <fill>
      <patternFill patternType="solid">
        <fgColor rgb="00F8FAFC"/>
      </patternFill>
    </fill>
  </fills>
  <borders count="3">
    <border>
      <left/>
      <right/>
      <top/>
      <bottom/>
      <diagonal/>
    </border>
    <border>
      <bottom style="medium">
        <color rgb="002F75B5"/>
      </bottom>
    </border>
    <border>
      <bottom style="thin">
        <color rgb="00CBD5E1"/>
      </bottom>
    </border>
  </borders>
  <cellStyleXfs count="2">
    <xf numFmtId="0" fontId="0" fillId="0" borderId="0"/>
    <xf numFmtId="0" fontId="3"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0" borderId="2" applyAlignment="1" pivotButton="0" quotePrefix="0" xfId="0">
      <alignment vertical="top" wrapText="1"/>
    </xf>
    <xf numFmtId="0" fontId="3" fillId="0" borderId="0" applyAlignment="1" pivotButton="0" quotePrefix="0" xfId="1">
      <alignment vertical="top" wrapText="1"/>
    </xf>
    <xf numFmtId="164" fontId="2" fillId="3" borderId="2" applyAlignment="1" pivotButton="0" quotePrefix="0" xfId="0">
      <alignment vertical="top" wrapText="1"/>
    </xf>
    <xf numFmtId="165" fontId="2" fillId="3" borderId="2" applyAlignment="1" pivotButton="0" quotePrefix="0" xfId="0">
      <alignment vertical="top" wrapText="1"/>
    </xf>
    <xf numFmtId="164" fontId="2" fillId="0" borderId="2" applyAlignment="1" pivotButton="0" quotePrefix="0" xfId="0">
      <alignment vertical="top" wrapText="1"/>
    </xf>
    <xf numFmtId="165" fontId="2" fillId="0" borderId="2" applyAlignment="1" pivotButton="0" quotePrefix="0" xfId="0">
      <alignment vertical="top" wrapText="1"/>
    </xf>
  </cellXfs>
  <cellStyles count="2">
    <cellStyle name="Normal" xfId="0" builtinId="0" hidden="0"/>
    <cellStyle name="Hyperlink" xfId="1" builtinId="8" hidden="0"/>
  </cellStyles>
  <dxfs count="5">
    <dxf>
      <fill>
        <patternFill patternType="solid">
          <fgColor rgb="00E2F0D9"/>
        </patternFill>
      </fill>
    </dxf>
    <dxf>
      <fill>
        <patternFill patternType="solid">
          <fgColor rgb="00FFF2CC"/>
        </patternFill>
      </fill>
    </dxf>
    <dxf>
      <fill>
        <patternFill patternType="solid">
          <fgColor rgb="00FCE4D6"/>
        </patternFill>
      </fill>
    </dxf>
    <dxf>
      <fill>
        <patternFill patternType="solid">
          <fgColor rgb="00F4CCCC"/>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eminise.com/products/custom-name-catcher-batter-baseball-baseball-throw-baseba-design-01" TargetMode="External" Id="rId1"/><Relationship Type="http://schemas.openxmlformats.org/officeDocument/2006/relationships/hyperlink" Target="https://jeminise.com/products/custom-name-catcher-batter-baseball-baseball-throw-baseba-design-07" TargetMode="External" Id="rId2"/><Relationship Type="http://schemas.openxmlformats.org/officeDocument/2006/relationships/hyperlink" Target="https://jeminise.com/products/custom-name-catcher-batter-baseball-baseball-throw-baseba-design-10" TargetMode="External" Id="rId3"/><Relationship Type="http://schemas.openxmlformats.org/officeDocument/2006/relationships/hyperlink" Target="https://jeminise.com/products/custom-name-catcher-batter-baseball-baseball-throw-baseba-design-11" TargetMode="External" Id="rId4"/><Relationship Type="http://schemas.openxmlformats.org/officeDocument/2006/relationships/hyperlink" Target="https://jeminise.com/products/custom-name-catcher-batter-baseball-baseball-throw-baseba-design-12" TargetMode="External" Id="rId5"/><Relationship Type="http://schemas.openxmlformats.org/officeDocument/2006/relationships/hyperlink" Target="https://jeminise.com/products/custom-name-catcher-batter-baseball-baseball-throw-baseba-design-13" TargetMode="External" Id="rId6"/><Relationship Type="http://schemas.openxmlformats.org/officeDocument/2006/relationships/hyperlink" Target="https://jeminise.com/products/custom-name-catcher-batter-baseball-baseball-throw-baseba-design-17" TargetMode="External" Id="rId7"/><Relationship Type="http://schemas.openxmlformats.org/officeDocument/2006/relationships/hyperlink" Target="https://jeminise.com/products/custom-name-catcher-batter-baseball-baseball-throw-baseba-design-18" TargetMode="External" Id="rId8"/><Relationship Type="http://schemas.openxmlformats.org/officeDocument/2006/relationships/hyperlink" Target="https://jeminise.com/products/custom-name-catcher-batter-baseball-baseball-throw-baseba-design-21" TargetMode="External" Id="rId9"/><Relationship Type="http://schemas.openxmlformats.org/officeDocument/2006/relationships/hyperlink" Target="https://jeminise.com/products/custom-name-catcher-batter-baseball-baseball-throw-baseball-blanket" TargetMode="External" Id="rId10"/></Relationships>
</file>

<file path=xl/worksheets/_rels/sheet4.xml.rels><Relationships xmlns="http://schemas.openxmlformats.org/package/2006/relationships"><Relationship Type="http://schemas.openxmlformats.org/officeDocument/2006/relationships/hyperlink" Target="https://cdn.shopify.com/s/files/1/0792/5098/1063/files/fb5f82df819534fbea0f600eef3fd8b3b00f5c155924161eb9281ffd15e5bb15.jpg?v=1787246918" TargetMode="External" Id="rId1"/><Relationship Type="http://schemas.openxmlformats.org/officeDocument/2006/relationships/hyperlink" Target="https://cdn.shopify.com/s/files/1/0792/5098/1063/files/fb5f82df819534fbea0f600eef3fd8b3b00f5c155924161eb9281ffd15e5bb15.jpg?v=1787246918" TargetMode="External" Id="rId2"/><Relationship Type="http://schemas.openxmlformats.org/officeDocument/2006/relationships/hyperlink" Target="https://cdn.shopify.com/s/files/1/0792/5098/1063/files/484224ec6669fae86eed1fcfd3bfb944deeeb664210e54192725787493d1ab64.jpg?v=1787246918" TargetMode="External" Id="rId3"/><Relationship Type="http://schemas.openxmlformats.org/officeDocument/2006/relationships/hyperlink" Target="https://cdn.shopify.com/s/files/1/0792/5098/1063/files/484224ec6669fae86eed1fcfd3bfb944deeeb664210e54192725787493d1ab64.jpg?v=1787246918" TargetMode="External" Id="rId4"/><Relationship Type="http://schemas.openxmlformats.org/officeDocument/2006/relationships/hyperlink" Target="https://cdn.shopify.com/s/files/1/0792/5098/1063/files/b36bbad8c7ca209412942ae39cc0c43ea7b2b54d94a7f62bf31a1047559be000.jpg?v=1787246919" TargetMode="External" Id="rId5"/><Relationship Type="http://schemas.openxmlformats.org/officeDocument/2006/relationships/hyperlink" Target="https://cdn.shopify.com/s/files/1/0792/5098/1063/files/b36bbad8c7ca209412942ae39cc0c43ea7b2b54d94a7f62bf31a1047559be000.jpg?v=1787246919" TargetMode="External" Id="rId6"/><Relationship Type="http://schemas.openxmlformats.org/officeDocument/2006/relationships/hyperlink" Target="https://cdn.shopify.com/s/files/1/0792/5098/1063/files/fa1df6cdf3428060f9bb5575cb18574fe92382c70eeac0c5902932b362085c4e.jpg?v=1787246918" TargetMode="External" Id="rId7"/><Relationship Type="http://schemas.openxmlformats.org/officeDocument/2006/relationships/hyperlink" Target="https://cdn.shopify.com/s/files/1/0792/5098/1063/files/fa1df6cdf3428060f9bb5575cb18574fe92382c70eeac0c5902932b362085c4e.jpg?v=1787246918" TargetMode="External" Id="rId8"/><Relationship Type="http://schemas.openxmlformats.org/officeDocument/2006/relationships/hyperlink" Target="https://cdn.shopify.com/s/files/1/0792/5098/1063/files/832c1a8fc3d4f8677e2b943265aa36d92d4648f155fa3ce83fa3bdf52486096b.jpg?v=1787246918" TargetMode="External" Id="rId9"/><Relationship Type="http://schemas.openxmlformats.org/officeDocument/2006/relationships/hyperlink" Target="https://cdn.shopify.com/s/files/1/0792/5098/1063/files/832c1a8fc3d4f8677e2b943265aa36d92d4648f155fa3ce83fa3bdf52486096b.jpg?v=1787246918" TargetMode="External" Id="rId10"/><Relationship Type="http://schemas.openxmlformats.org/officeDocument/2006/relationships/hyperlink" Target="https://cdn.shopify.com/s/files/1/0792/5098/1063/files/a17144dd363663132a7edce324c0cef3c0083e79270eb9c6d1f377d4615dc01f.jpg?v=1787246959" TargetMode="External" Id="rId11"/><Relationship Type="http://schemas.openxmlformats.org/officeDocument/2006/relationships/hyperlink" Target="https://cdn.shopify.com/s/files/1/0792/5098/1063/files/a17144dd363663132a7edce324c0cef3c0083e79270eb9c6d1f377d4615dc01f.jpg?v=1787246959" TargetMode="External" Id="rId12"/><Relationship Type="http://schemas.openxmlformats.org/officeDocument/2006/relationships/hyperlink" Target="https://cdn.shopify.com/s/files/1/0792/5098/1063/files/5d732c903ee249d8392eaf904abdac29eaebd27787cb8ab3d59947120bce3b94.jpg?v=1787246959" TargetMode="External" Id="rId13"/><Relationship Type="http://schemas.openxmlformats.org/officeDocument/2006/relationships/hyperlink" Target="https://cdn.shopify.com/s/files/1/0792/5098/1063/files/5d732c903ee249d8392eaf904abdac29eaebd27787cb8ab3d59947120bce3b94.jpg?v=1787246959" TargetMode="External" Id="rId14"/><Relationship Type="http://schemas.openxmlformats.org/officeDocument/2006/relationships/hyperlink" Target="https://cdn.shopify.com/s/files/1/0792/5098/1063/files/6e96186d2d002dc62ad002ace465c535aa56a1079afaff98339a7806ca3999b8.jpg?v=1787246959" TargetMode="External" Id="rId15"/><Relationship Type="http://schemas.openxmlformats.org/officeDocument/2006/relationships/hyperlink" Target="https://cdn.shopify.com/s/files/1/0792/5098/1063/files/6e96186d2d002dc62ad002ace465c535aa56a1079afaff98339a7806ca3999b8.jpg?v=1787246959" TargetMode="External" Id="rId16"/><Relationship Type="http://schemas.openxmlformats.org/officeDocument/2006/relationships/hyperlink" Target="https://cdn.shopify.com/s/files/1/0792/5098/1063/files/165234ad21d4ee9166a08d007aead3df31f38947792af0457c6e1eb36784b516.jpg?v=1787246960" TargetMode="External" Id="rId17"/><Relationship Type="http://schemas.openxmlformats.org/officeDocument/2006/relationships/hyperlink" Target="https://cdn.shopify.com/s/files/1/0792/5098/1063/files/165234ad21d4ee9166a08d007aead3df31f38947792af0457c6e1eb36784b516.jpg?v=1787246960" TargetMode="External" Id="rId18"/><Relationship Type="http://schemas.openxmlformats.org/officeDocument/2006/relationships/hyperlink" Target="https://cdn.shopify.com/s/files/1/0792/5098/1063/files/c85129799aaab50bcf286664c0e307d26e83c44bc0739432e67478273d59e841.jpg?v=1787246959" TargetMode="External" Id="rId19"/><Relationship Type="http://schemas.openxmlformats.org/officeDocument/2006/relationships/hyperlink" Target="https://cdn.shopify.com/s/files/1/0792/5098/1063/files/c85129799aaab50bcf286664c0e307d26e83c44bc0739432e67478273d59e841.jpg?v=1787246959" TargetMode="External" Id="rId20"/><Relationship Type="http://schemas.openxmlformats.org/officeDocument/2006/relationships/hyperlink" Target="https://cdn.shopify.com/s/files/1/0792/5098/1063/files/fa6a21db2ff31ac292ba025f7228eb970443c0a6c06798f4d1f75be8351e49dc.jpg?v=1787246959" TargetMode="External" Id="rId21"/><Relationship Type="http://schemas.openxmlformats.org/officeDocument/2006/relationships/hyperlink" Target="https://cdn.shopify.com/s/files/1/0792/5098/1063/files/fa6a21db2ff31ac292ba025f7228eb970443c0a6c06798f4d1f75be8351e49dc.jpg?v=1787246959" TargetMode="External" Id="rId22"/><Relationship Type="http://schemas.openxmlformats.org/officeDocument/2006/relationships/hyperlink" Target="https://cdn.shopify.com/s/files/1/0792/5098/1063/files/8123d43716c5a8ebebb452e03b8d1159b0961ab96c5805c9bd290732d85283e3.jpg?v=1787246908" TargetMode="External" Id="rId23"/><Relationship Type="http://schemas.openxmlformats.org/officeDocument/2006/relationships/hyperlink" Target="https://cdn.shopify.com/s/files/1/0792/5098/1063/files/8123d43716c5a8ebebb452e03b8d1159b0961ab96c5805c9bd290732d85283e3.jpg?v=1787246908" TargetMode="External" Id="rId24"/><Relationship Type="http://schemas.openxmlformats.org/officeDocument/2006/relationships/hyperlink" Target="https://cdn.shopify.com/s/files/1/0792/5098/1063/files/1bb0e341e1ec53c8020f9db51a76287508515510761401c987c423b63b6108a1.jpg?v=1787246908" TargetMode="External" Id="rId25"/><Relationship Type="http://schemas.openxmlformats.org/officeDocument/2006/relationships/hyperlink" Target="https://cdn.shopify.com/s/files/1/0792/5098/1063/files/1bb0e341e1ec53c8020f9db51a76287508515510761401c987c423b63b6108a1.jpg?v=1787246908" TargetMode="External" Id="rId26"/><Relationship Type="http://schemas.openxmlformats.org/officeDocument/2006/relationships/hyperlink" Target="https://cdn.shopify.com/s/files/1/0792/5098/1063/files/d3a695d1ec56e1c022ab4f1c4b6d9d60af57d005e6760ec2a9a3f6434051b092.jpg?v=1787246908" TargetMode="External" Id="rId27"/><Relationship Type="http://schemas.openxmlformats.org/officeDocument/2006/relationships/hyperlink" Target="https://cdn.shopify.com/s/files/1/0792/5098/1063/files/d3a695d1ec56e1c022ab4f1c4b6d9d60af57d005e6760ec2a9a3f6434051b092.jpg?v=1787246908" TargetMode="External" Id="rId28"/><Relationship Type="http://schemas.openxmlformats.org/officeDocument/2006/relationships/hyperlink" Target="https://cdn.shopify.com/s/files/1/0792/5098/1063/files/d6a0a4f391d712b498fed1541a0315a35419ee0fefc938d052e73e528fb87986.jpg?v=1787246908" TargetMode="External" Id="rId29"/><Relationship Type="http://schemas.openxmlformats.org/officeDocument/2006/relationships/hyperlink" Target="https://cdn.shopify.com/s/files/1/0792/5098/1063/files/d6a0a4f391d712b498fed1541a0315a35419ee0fefc938d052e73e528fb87986.jpg?v=1787246908" TargetMode="External" Id="rId30"/><Relationship Type="http://schemas.openxmlformats.org/officeDocument/2006/relationships/hyperlink" Target="https://cdn.shopify.com/s/files/1/0792/5098/1063/files/e4c251416e44779b18ce4ca44bd5ac1b96f5a9cdefdf9550a4b8a16e781f9bd4.jpg?v=1787246908" TargetMode="External" Id="rId31"/><Relationship Type="http://schemas.openxmlformats.org/officeDocument/2006/relationships/hyperlink" Target="https://cdn.shopify.com/s/files/1/0792/5098/1063/files/e4c251416e44779b18ce4ca44bd5ac1b96f5a9cdefdf9550a4b8a16e781f9bd4.jpg?v=1787246908" TargetMode="External" Id="rId32"/><Relationship Type="http://schemas.openxmlformats.org/officeDocument/2006/relationships/hyperlink" Target="https://cdn.shopify.com/s/files/1/0792/5098/1063/files/98f0f8810b43f6e1411872dc504513da2baf6c69162f9364d34ac6d4f7f3ef69.jpg?v=1787246908" TargetMode="External" Id="rId33"/><Relationship Type="http://schemas.openxmlformats.org/officeDocument/2006/relationships/hyperlink" Target="https://cdn.shopify.com/s/files/1/0792/5098/1063/files/98f0f8810b43f6e1411872dc504513da2baf6c69162f9364d34ac6d4f7f3ef69.jpg?v=1787246908" TargetMode="External" Id="rId34"/><Relationship Type="http://schemas.openxmlformats.org/officeDocument/2006/relationships/hyperlink" Target="https://cdn.shopify.com/s/files/1/0792/5098/1063/files/9816ebbcc50a672d3e1e267f501881ec5a6fdc00efb7a08bdcd4b7a240852cc2.jpg?v=1787246908" TargetMode="External" Id="rId35"/><Relationship Type="http://schemas.openxmlformats.org/officeDocument/2006/relationships/hyperlink" Target="https://cdn.shopify.com/s/files/1/0792/5098/1063/files/9816ebbcc50a672d3e1e267f501881ec5a6fdc00efb7a08bdcd4b7a240852cc2.jpg?v=1787246908" TargetMode="External" Id="rId36"/><Relationship Type="http://schemas.openxmlformats.org/officeDocument/2006/relationships/hyperlink" Target="https://cdn.shopify.com/s/files/1/0792/5098/1063/files/01fd3fd8e9b88b7504ced5b7845d2f0c3da0f24a0be3592ab2be37af9a14c594.jpg?v=1787246955" TargetMode="External" Id="rId37"/><Relationship Type="http://schemas.openxmlformats.org/officeDocument/2006/relationships/hyperlink" Target="https://cdn.shopify.com/s/files/1/0792/5098/1063/files/01fd3fd8e9b88b7504ced5b7845d2f0c3da0f24a0be3592ab2be37af9a14c594.jpg?v=1787246955" TargetMode="External" Id="rId38"/><Relationship Type="http://schemas.openxmlformats.org/officeDocument/2006/relationships/hyperlink" Target="https://cdn.shopify.com/s/files/1/0792/5098/1063/files/551ff3b7b052b605234a0f06c7675bd8a20729000592c9dc654147a05393de7a.jpg?v=1787246955" TargetMode="External" Id="rId39"/><Relationship Type="http://schemas.openxmlformats.org/officeDocument/2006/relationships/hyperlink" Target="https://cdn.shopify.com/s/files/1/0792/5098/1063/files/551ff3b7b052b605234a0f06c7675bd8a20729000592c9dc654147a05393de7a.jpg?v=1787246955" TargetMode="External" Id="rId40"/><Relationship Type="http://schemas.openxmlformats.org/officeDocument/2006/relationships/hyperlink" Target="https://cdn.shopify.com/s/files/1/0792/5098/1063/files/a317738f9225b6a038d7937ab72ff9087fb108a0a32a0e882d55996a7e49c986.jpg?v=1787246954" TargetMode="External" Id="rId41"/><Relationship Type="http://schemas.openxmlformats.org/officeDocument/2006/relationships/hyperlink" Target="https://cdn.shopify.com/s/files/1/0792/5098/1063/files/a317738f9225b6a038d7937ab72ff9087fb108a0a32a0e882d55996a7e49c986.jpg?v=1787246954" TargetMode="External" Id="rId42"/><Relationship Type="http://schemas.openxmlformats.org/officeDocument/2006/relationships/hyperlink" Target="https://cdn.shopify.com/s/files/1/0792/5098/1063/files/ad934f8f1f1b9a94875c61455aab0bb3e0b41aae97b5230c3398c40fca936081.jpg?v=1787246954" TargetMode="External" Id="rId43"/><Relationship Type="http://schemas.openxmlformats.org/officeDocument/2006/relationships/hyperlink" Target="https://cdn.shopify.com/s/files/1/0792/5098/1063/files/ad934f8f1f1b9a94875c61455aab0bb3e0b41aae97b5230c3398c40fca936081.jpg?v=1787246954" TargetMode="External" Id="rId44"/><Relationship Type="http://schemas.openxmlformats.org/officeDocument/2006/relationships/hyperlink" Target="https://cdn.shopify.com/s/files/1/0792/5098/1063/files/510e58e1689e4943634ccae9abf3db9543cf735eec595a370545f05df9ba55b9.jpg?v=1787246954" TargetMode="External" Id="rId45"/><Relationship Type="http://schemas.openxmlformats.org/officeDocument/2006/relationships/hyperlink" Target="https://cdn.shopify.com/s/files/1/0792/5098/1063/files/510e58e1689e4943634ccae9abf3db9543cf735eec595a370545f05df9ba55b9.jpg?v=1787246954" TargetMode="External" Id="rId46"/><Relationship Type="http://schemas.openxmlformats.org/officeDocument/2006/relationships/hyperlink" Target="https://cdn.shopify.com/s/files/1/0792/5098/1063/files/0364b4a4cd1c51bebaddf6c710e5819fd118996c16b1b62f5f48033d5efdef12.jpg?v=1787246954" TargetMode="External" Id="rId47"/><Relationship Type="http://schemas.openxmlformats.org/officeDocument/2006/relationships/hyperlink" Target="https://cdn.shopify.com/s/files/1/0792/5098/1063/files/0364b4a4cd1c51bebaddf6c710e5819fd118996c16b1b62f5f48033d5efdef12.jpg?v=1787246954" TargetMode="External" Id="rId48"/><Relationship Type="http://schemas.openxmlformats.org/officeDocument/2006/relationships/hyperlink" Target="https://cdn.shopify.com/s/files/1/0792/5098/1063/files/ccfa44110572a5be31bf04a73d2f507820d2318d63f41c14192ab170723e19f7.jpg?v=1787246955" TargetMode="External" Id="rId49"/><Relationship Type="http://schemas.openxmlformats.org/officeDocument/2006/relationships/hyperlink" Target="https://cdn.shopify.com/s/files/1/0792/5098/1063/files/ccfa44110572a5be31bf04a73d2f507820d2318d63f41c14192ab170723e19f7.jpg?v=1787246955" TargetMode="External" Id="rId50"/><Relationship Type="http://schemas.openxmlformats.org/officeDocument/2006/relationships/hyperlink" Target="https://cdn.shopify.com/s/files/1/0792/5098/1063/files/79ff70a216350adfbe64a74055e2de98f87718eaf24b4701f1cc388b7ca408dc.jpg?v=1787246930" TargetMode="External" Id="rId51"/><Relationship Type="http://schemas.openxmlformats.org/officeDocument/2006/relationships/hyperlink" Target="https://cdn.shopify.com/s/files/1/0792/5098/1063/files/79ff70a216350adfbe64a74055e2de98f87718eaf24b4701f1cc388b7ca408dc.jpg?v=1787246930" TargetMode="External" Id="rId52"/><Relationship Type="http://schemas.openxmlformats.org/officeDocument/2006/relationships/hyperlink" Target="https://cdn.shopify.com/s/files/1/0792/5098/1063/files/164a90521c97e4c0d5f8d49e2b99ef969158c36a76fef1d6808364d397248f85.jpg?v=1787246930" TargetMode="External" Id="rId53"/><Relationship Type="http://schemas.openxmlformats.org/officeDocument/2006/relationships/hyperlink" Target="https://cdn.shopify.com/s/files/1/0792/5098/1063/files/164a90521c97e4c0d5f8d49e2b99ef969158c36a76fef1d6808364d397248f85.jpg?v=1787246930" TargetMode="External" Id="rId54"/><Relationship Type="http://schemas.openxmlformats.org/officeDocument/2006/relationships/hyperlink" Target="https://cdn.shopify.com/s/files/1/0792/5098/1063/files/6cefa3a1a6d88af8779423119d1839cf1cf29ba4b0d2c523af5a2f962c101fe2.jpg?v=1787246930" TargetMode="External" Id="rId55"/><Relationship Type="http://schemas.openxmlformats.org/officeDocument/2006/relationships/hyperlink" Target="https://cdn.shopify.com/s/files/1/0792/5098/1063/files/6cefa3a1a6d88af8779423119d1839cf1cf29ba4b0d2c523af5a2f962c101fe2.jpg?v=1787246930" TargetMode="External" Id="rId56"/><Relationship Type="http://schemas.openxmlformats.org/officeDocument/2006/relationships/hyperlink" Target="https://cdn.shopify.com/s/files/1/0792/5098/1063/files/80026cf09c01d63875b4bb9e8f3e43c9c203957df5383ba1e4243390ea8b2176.jpg?v=1787246930" TargetMode="External" Id="rId57"/><Relationship Type="http://schemas.openxmlformats.org/officeDocument/2006/relationships/hyperlink" Target="https://cdn.shopify.com/s/files/1/0792/5098/1063/files/80026cf09c01d63875b4bb9e8f3e43c9c203957df5383ba1e4243390ea8b2176.jpg?v=1787246930" TargetMode="External" Id="rId58"/><Relationship Type="http://schemas.openxmlformats.org/officeDocument/2006/relationships/hyperlink" Target="https://cdn.shopify.com/s/files/1/0792/5098/1063/files/c64fc1ee15ab01631946c240f8ffbf4714b0a2981d1bef619d7b6df05712c2c8.jpg?v=1787246930" TargetMode="External" Id="rId59"/><Relationship Type="http://schemas.openxmlformats.org/officeDocument/2006/relationships/hyperlink" Target="https://cdn.shopify.com/s/files/1/0792/5098/1063/files/c64fc1ee15ab01631946c240f8ffbf4714b0a2981d1bef619d7b6df05712c2c8.jpg?v=1787246930" TargetMode="External" Id="rId60"/><Relationship Type="http://schemas.openxmlformats.org/officeDocument/2006/relationships/hyperlink" Target="https://cdn.shopify.com/s/files/1/0792/5098/1063/files/fb3562009e80ec2ec16a9018c761dd31fb96b6d3617c0108fe3e19758b58d317.jpg?v=1787246930" TargetMode="External" Id="rId61"/><Relationship Type="http://schemas.openxmlformats.org/officeDocument/2006/relationships/hyperlink" Target="https://cdn.shopify.com/s/files/1/0792/5098/1063/files/fb3562009e80ec2ec16a9018c761dd31fb96b6d3617c0108fe3e19758b58d317.jpg?v=1787246930" TargetMode="External" Id="rId62"/><Relationship Type="http://schemas.openxmlformats.org/officeDocument/2006/relationships/hyperlink" Target="https://cdn.shopify.com/s/files/1/0792/5098/1063/files/346253817cf54ee6d9444666f3b0488915a917284f238fb492237ae03abd8edc.jpg?v=1787246937" TargetMode="External" Id="rId63"/><Relationship Type="http://schemas.openxmlformats.org/officeDocument/2006/relationships/hyperlink" Target="https://cdn.shopify.com/s/files/1/0792/5098/1063/files/346253817cf54ee6d9444666f3b0488915a917284f238fb492237ae03abd8edc.jpg?v=1787246937" TargetMode="External" Id="rId64"/><Relationship Type="http://schemas.openxmlformats.org/officeDocument/2006/relationships/hyperlink" Target="https://cdn.shopify.com/s/files/1/0792/5098/1063/files/3ca095e123f69c96b30256109890e38002f1c36a49ef1529e3807fd1106138fa.jpg?v=1787246937" TargetMode="External" Id="rId65"/><Relationship Type="http://schemas.openxmlformats.org/officeDocument/2006/relationships/hyperlink" Target="https://cdn.shopify.com/s/files/1/0792/5098/1063/files/3ca095e123f69c96b30256109890e38002f1c36a49ef1529e3807fd1106138fa.jpg?v=1787246937" TargetMode="External" Id="rId66"/><Relationship Type="http://schemas.openxmlformats.org/officeDocument/2006/relationships/hyperlink" Target="https://cdn.shopify.com/s/files/1/0792/5098/1063/files/55fede0d73ace16b2f566617cfb9a540c86ff11f0458cdf8321554e8395ff134.jpg?v=1787246937" TargetMode="External" Id="rId67"/><Relationship Type="http://schemas.openxmlformats.org/officeDocument/2006/relationships/hyperlink" Target="https://cdn.shopify.com/s/files/1/0792/5098/1063/files/55fede0d73ace16b2f566617cfb9a540c86ff11f0458cdf8321554e8395ff134.jpg?v=1787246937" TargetMode="External" Id="rId68"/><Relationship Type="http://schemas.openxmlformats.org/officeDocument/2006/relationships/hyperlink" Target="https://cdn.shopify.com/s/files/1/0792/5098/1063/files/473c64a39338102711992ec12037603e8b2a13658268417a4a4465017df91502.jpg?v=1787246937" TargetMode="External" Id="rId69"/><Relationship Type="http://schemas.openxmlformats.org/officeDocument/2006/relationships/hyperlink" Target="https://cdn.shopify.com/s/files/1/0792/5098/1063/files/473c64a39338102711992ec12037603e8b2a13658268417a4a4465017df91502.jpg?v=1787246937" TargetMode="External" Id="rId70"/><Relationship Type="http://schemas.openxmlformats.org/officeDocument/2006/relationships/hyperlink" Target="https://cdn.shopify.com/s/files/1/0792/5098/1063/files/73a5afaebf214bedb16370d0765c396b2ba295c8cc4b6404551df1dc9115adf5.jpg?v=1787246937" TargetMode="External" Id="rId71"/><Relationship Type="http://schemas.openxmlformats.org/officeDocument/2006/relationships/hyperlink" Target="https://cdn.shopify.com/s/files/1/0792/5098/1063/files/73a5afaebf214bedb16370d0765c396b2ba295c8cc4b6404551df1dc9115adf5.jpg?v=1787246937" TargetMode="External" Id="rId72"/><Relationship Type="http://schemas.openxmlformats.org/officeDocument/2006/relationships/hyperlink" Target="https://cdn.shopify.com/s/files/1/0792/5098/1063/files/fb60fd3c38e97b08ea5be4729ef92093f02b2559f231cceaf440d4cf7eb30446.jpg?v=1787246937" TargetMode="External" Id="rId73"/><Relationship Type="http://schemas.openxmlformats.org/officeDocument/2006/relationships/hyperlink" Target="https://cdn.shopify.com/s/files/1/0792/5098/1063/files/fb60fd3c38e97b08ea5be4729ef92093f02b2559f231cceaf440d4cf7eb30446.jpg?v=1787246937" TargetMode="External" Id="rId74"/><Relationship Type="http://schemas.openxmlformats.org/officeDocument/2006/relationships/hyperlink" Target="https://cdn.shopify.com/s/files/1/0792/5098/1063/files/6b0bd39c9c26d7345d79e159db6217ced9245852667f609f0822634bfdf24e5b.jpg?v=1787246943" TargetMode="External" Id="rId75"/><Relationship Type="http://schemas.openxmlformats.org/officeDocument/2006/relationships/hyperlink" Target="https://cdn.shopify.com/s/files/1/0792/5098/1063/files/6b0bd39c9c26d7345d79e159db6217ced9245852667f609f0822634bfdf24e5b.jpg?v=1787246943" TargetMode="External" Id="rId76"/><Relationship Type="http://schemas.openxmlformats.org/officeDocument/2006/relationships/hyperlink" Target="https://cdn.shopify.com/s/files/1/0792/5098/1063/files/73f5731a5614a65e39e124ebf93fbf51d0614cfb8198935e91a1c0b555075c06.jpg?v=1787246943" TargetMode="External" Id="rId77"/><Relationship Type="http://schemas.openxmlformats.org/officeDocument/2006/relationships/hyperlink" Target="https://cdn.shopify.com/s/files/1/0792/5098/1063/files/73f5731a5614a65e39e124ebf93fbf51d0614cfb8198935e91a1c0b555075c06.jpg?v=1787246943" TargetMode="External" Id="rId78"/><Relationship Type="http://schemas.openxmlformats.org/officeDocument/2006/relationships/hyperlink" Target="https://cdn.shopify.com/s/files/1/0792/5098/1063/files/ff9489157f49fd04e004fe67b3ba042750ae419870d3267ba8426b7f0c62bbee.jpg?v=1787246943" TargetMode="External" Id="rId79"/><Relationship Type="http://schemas.openxmlformats.org/officeDocument/2006/relationships/hyperlink" Target="https://cdn.shopify.com/s/files/1/0792/5098/1063/files/ff9489157f49fd04e004fe67b3ba042750ae419870d3267ba8426b7f0c62bbee.jpg?v=1787246943" TargetMode="External" Id="rId80"/><Relationship Type="http://schemas.openxmlformats.org/officeDocument/2006/relationships/hyperlink" Target="https://cdn.shopify.com/s/files/1/0792/5098/1063/files/26bdd825798bcc82b802a6c67824fa0b69ab463fac57fd1820a2ef04e832a0cc.jpg?v=1787246943" TargetMode="External" Id="rId81"/><Relationship Type="http://schemas.openxmlformats.org/officeDocument/2006/relationships/hyperlink" Target="https://cdn.shopify.com/s/files/1/0792/5098/1063/files/26bdd825798bcc82b802a6c67824fa0b69ab463fac57fd1820a2ef04e832a0cc.jpg?v=1787246943" TargetMode="External" Id="rId82"/><Relationship Type="http://schemas.openxmlformats.org/officeDocument/2006/relationships/hyperlink" Target="https://cdn.shopify.com/s/files/1/0792/5098/1063/files/148c4c33327efd5c9bbe004b36246444be7b1d4a390a7239756f9f43f3f86e25.jpg?v=1787246943" TargetMode="External" Id="rId83"/><Relationship Type="http://schemas.openxmlformats.org/officeDocument/2006/relationships/hyperlink" Target="https://cdn.shopify.com/s/files/1/0792/5098/1063/files/148c4c33327efd5c9bbe004b36246444be7b1d4a390a7239756f9f43f3f86e25.jpg?v=1787246943" TargetMode="External" Id="rId84"/><Relationship Type="http://schemas.openxmlformats.org/officeDocument/2006/relationships/hyperlink" Target="https://cdn.shopify.com/s/files/1/0792/5098/1063/files/e132126df73c1abbba9b9c5b4f94e6963e111667f06a5134441c40544b420d1e.jpg?v=1787246943" TargetMode="External" Id="rId85"/><Relationship Type="http://schemas.openxmlformats.org/officeDocument/2006/relationships/hyperlink" Target="https://cdn.shopify.com/s/files/1/0792/5098/1063/files/e132126df73c1abbba9b9c5b4f94e6963e111667f06a5134441c40544b420d1e.jpg?v=1787246943" TargetMode="External" Id="rId86"/><Relationship Type="http://schemas.openxmlformats.org/officeDocument/2006/relationships/hyperlink" Target="https://cdn.shopify.com/s/files/1/0792/5098/1063/files/12a42db8aa6b2e0726036a5012f98bd8a35d4bcd16da2aeabd4c2cce7783c441.jpg?v=1787246913" TargetMode="External" Id="rId87"/><Relationship Type="http://schemas.openxmlformats.org/officeDocument/2006/relationships/hyperlink" Target="https://cdn.shopify.com/s/files/1/0792/5098/1063/files/12a42db8aa6b2e0726036a5012f98bd8a35d4bcd16da2aeabd4c2cce7783c441.jpg?v=1787246913" TargetMode="External" Id="rId88"/><Relationship Type="http://schemas.openxmlformats.org/officeDocument/2006/relationships/hyperlink" Target="https://cdn.shopify.com/s/files/1/0792/5098/1063/files/af6aebe407ec82ba379eaf5dae68871aa4117ca5b81d15e8dfba545f36ab1cb6.jpg?v=1787246913" TargetMode="External" Id="rId89"/><Relationship Type="http://schemas.openxmlformats.org/officeDocument/2006/relationships/hyperlink" Target="https://cdn.shopify.com/s/files/1/0792/5098/1063/files/af6aebe407ec82ba379eaf5dae68871aa4117ca5b81d15e8dfba545f36ab1cb6.jpg?v=1787246913" TargetMode="External" Id="rId90"/><Relationship Type="http://schemas.openxmlformats.org/officeDocument/2006/relationships/hyperlink" Target="https://cdn.shopify.com/s/files/1/0792/5098/1063/files/5029c4de98146573e254b637112907434bb2f9d613f37a7c2fe197df2208beee.jpg?v=1787246913" TargetMode="External" Id="rId91"/><Relationship Type="http://schemas.openxmlformats.org/officeDocument/2006/relationships/hyperlink" Target="https://cdn.shopify.com/s/files/1/0792/5098/1063/files/5029c4de98146573e254b637112907434bb2f9d613f37a7c2fe197df2208beee.jpg?v=1787246913" TargetMode="External" Id="rId92"/><Relationship Type="http://schemas.openxmlformats.org/officeDocument/2006/relationships/hyperlink" Target="https://cdn.shopify.com/s/files/1/0792/5098/1063/files/07c940415736a1049d1d90b56bcd577cd5999e2833b4503391af2084e3f88aab.jpg?v=1787246913" TargetMode="External" Id="rId93"/><Relationship Type="http://schemas.openxmlformats.org/officeDocument/2006/relationships/hyperlink" Target="https://cdn.shopify.com/s/files/1/0792/5098/1063/files/07c940415736a1049d1d90b56bcd577cd5999e2833b4503391af2084e3f88aab.jpg?v=1787246913" TargetMode="External" Id="rId94"/><Relationship Type="http://schemas.openxmlformats.org/officeDocument/2006/relationships/hyperlink" Target="https://cdn.shopify.com/s/files/1/0792/5098/1063/files/3c1fd5ec13e9da50fc11fa631f6d3953e463d8286fda982af4e4221e6a63dc87.jpg?v=1787246913" TargetMode="External" Id="rId95"/><Relationship Type="http://schemas.openxmlformats.org/officeDocument/2006/relationships/hyperlink" Target="https://cdn.shopify.com/s/files/1/0792/5098/1063/files/3c1fd5ec13e9da50fc11fa631f6d3953e463d8286fda982af4e4221e6a63dc87.jpg?v=1787246913" TargetMode="External" Id="rId96"/><Relationship Type="http://schemas.openxmlformats.org/officeDocument/2006/relationships/hyperlink" Target="https://cdn.shopify.com/s/files/1/0792/5098/1063/files/d49dc390f2a881f247c9949624dce1c5cf93ca93f7cbbf8814e800a5410e5929.jpg?v=1787246913" TargetMode="External" Id="rId97"/><Relationship Type="http://schemas.openxmlformats.org/officeDocument/2006/relationships/hyperlink" Target="https://cdn.shopify.com/s/files/1/0792/5098/1063/files/d49dc390f2a881f247c9949624dce1c5cf93ca93f7cbbf8814e800a5410e5929.jpg?v=1787246913" TargetMode="External" Id="rId98"/><Relationship Type="http://schemas.openxmlformats.org/officeDocument/2006/relationships/hyperlink" Target="https://cdn.shopify.com/s/files/1/0792/5098/1063/files/d6e6b34b49860c41cfcb97d662d731caad122fc556cefd52424be46fbed59a21.jpg?v=1787246913" TargetMode="External" Id="rId99"/><Relationship Type="http://schemas.openxmlformats.org/officeDocument/2006/relationships/hyperlink" Target="https://cdn.shopify.com/s/files/1/0792/5098/1063/files/d6e6b34b49860c41cfcb97d662d731caad122fc556cefd52424be46fbed59a21.jpg?v=1787246913" TargetMode="External" Id="rId100"/><Relationship Type="http://schemas.openxmlformats.org/officeDocument/2006/relationships/hyperlink" Target="https://cdn.shopify.com/s/files/1/0792/5098/1063/files/c9d234b09efcecfc3f142c7dfb1c08364b7d36bee026e4f33b29b62963e3d033.jpg?v=1787246911" TargetMode="External" Id="rId101"/><Relationship Type="http://schemas.openxmlformats.org/officeDocument/2006/relationships/hyperlink" Target="https://cdn.shopify.com/s/files/1/0792/5098/1063/files/c9d234b09efcecfc3f142c7dfb1c08364b7d36bee026e4f33b29b62963e3d033.jpg?v=1787246911" TargetMode="External" Id="rId102"/><Relationship Type="http://schemas.openxmlformats.org/officeDocument/2006/relationships/hyperlink" Target="https://cdn.shopify.com/s/files/1/0792/5098/1063/files/8cd8282cb80c5b4b36145489ba3f8e5db87010f4ff545e5a1d7d7f82a2170dea.jpg?v=1787246911" TargetMode="External" Id="rId103"/><Relationship Type="http://schemas.openxmlformats.org/officeDocument/2006/relationships/hyperlink" Target="https://cdn.shopify.com/s/files/1/0792/5098/1063/files/8cd8282cb80c5b4b36145489ba3f8e5db87010f4ff545e5a1d7d7f82a2170dea.jpg?v=1787246911" TargetMode="External" Id="rId104"/><Relationship Type="http://schemas.openxmlformats.org/officeDocument/2006/relationships/hyperlink" Target="https://cdn.shopify.com/s/files/1/0792/5098/1063/files/711711033abd5881c5773a1514fd46587dc2d48b28bf08ceaed60a5560a18af7.jpg?v=1787246911" TargetMode="External" Id="rId105"/><Relationship Type="http://schemas.openxmlformats.org/officeDocument/2006/relationships/hyperlink" Target="https://cdn.shopify.com/s/files/1/0792/5098/1063/files/711711033abd5881c5773a1514fd46587dc2d48b28bf08ceaed60a5560a18af7.jpg?v=1787246911" TargetMode="External" Id="rId106"/><Relationship Type="http://schemas.openxmlformats.org/officeDocument/2006/relationships/hyperlink" Target="https://cdn.shopify.com/s/files/1/0792/5098/1063/files/c06ae6326a8f7e1ed55b1913c69bfbdc82ddccdb6a83925fc23d3f26e0dcfeb8.jpg?v=1787246911" TargetMode="External" Id="rId107"/><Relationship Type="http://schemas.openxmlformats.org/officeDocument/2006/relationships/hyperlink" Target="https://cdn.shopify.com/s/files/1/0792/5098/1063/files/c06ae6326a8f7e1ed55b1913c69bfbdc82ddccdb6a83925fc23d3f26e0dcfeb8.jpg?v=1787246911" TargetMode="External" Id="rId108"/><Relationship Type="http://schemas.openxmlformats.org/officeDocument/2006/relationships/hyperlink" Target="https://cdn.shopify.com/s/files/1/0792/5098/1063/files/a3950780f04f20278ba1d09e540cb7eadf1ebbb79249d53b475dc82def27ac88.jpg?v=1787246911" TargetMode="External" Id="rId109"/><Relationship Type="http://schemas.openxmlformats.org/officeDocument/2006/relationships/hyperlink" Target="https://cdn.shopify.com/s/files/1/0792/5098/1063/files/a3950780f04f20278ba1d09e540cb7eadf1ebbb79249d53b475dc82def27ac88.jpg?v=1787246911" TargetMode="External" Id="rId110"/><Relationship Type="http://schemas.openxmlformats.org/officeDocument/2006/relationships/hyperlink" Target="https://cdn.shopify.com/s/files/1/0792/5098/1063/files/3448e08fcffb63bf2099bd97f09e4cd944f66552f1ac9af8ae948634b992d2a2.jpg?v=1787246887" TargetMode="External" Id="rId111"/><Relationship Type="http://schemas.openxmlformats.org/officeDocument/2006/relationships/hyperlink" Target="https://cdn.shopify.com/s/files/1/0792/5098/1063/files/3448e08fcffb63bf2099bd97f09e4cd944f66552f1ac9af8ae948634b992d2a2.jpg?v=1787246887" TargetMode="External" Id="rId112"/><Relationship Type="http://schemas.openxmlformats.org/officeDocument/2006/relationships/hyperlink" Target="https://cdn.shopify.com/s/files/1/0792/5098/1063/files/322d185bd7ecc9fd42e8f0805194f3983d63073f090132c8210825dfd141448b.jpg?v=1787246888" TargetMode="External" Id="rId113"/><Relationship Type="http://schemas.openxmlformats.org/officeDocument/2006/relationships/hyperlink" Target="https://cdn.shopify.com/s/files/1/0792/5098/1063/files/322d185bd7ecc9fd42e8f0805194f3983d63073f090132c8210825dfd141448b.jpg?v=1787246888" TargetMode="External" Id="rId114"/><Relationship Type="http://schemas.openxmlformats.org/officeDocument/2006/relationships/hyperlink" Target="https://cdn.shopify.com/s/files/1/0792/5098/1063/files/b2294aa9296a54fc7bd80da7ced0ed9ea22e8c50bdccfc18603bcd0a149ac6fa.jpg?v=1787246887" TargetMode="External" Id="rId115"/><Relationship Type="http://schemas.openxmlformats.org/officeDocument/2006/relationships/hyperlink" Target="https://cdn.shopify.com/s/files/1/0792/5098/1063/files/b2294aa9296a54fc7bd80da7ced0ed9ea22e8c50bdccfc18603bcd0a149ac6fa.jpg?v=1787246887" TargetMode="External" Id="rId116"/><Relationship Type="http://schemas.openxmlformats.org/officeDocument/2006/relationships/hyperlink" Target="https://cdn.shopify.com/s/files/1/0792/5098/1063/files/e4deb7c65a84dd566e76f49f7ac84cfde5ffca2a629c0c4797152647ec382692.jpg?v=1787246887" TargetMode="External" Id="rId117"/><Relationship Type="http://schemas.openxmlformats.org/officeDocument/2006/relationships/hyperlink" Target="https://cdn.shopify.com/s/files/1/0792/5098/1063/files/e4deb7c65a84dd566e76f49f7ac84cfde5ffca2a629c0c4797152647ec382692.jpg?v=1787246887" TargetMode="External" Id="rId118"/></Relationships>
</file>

<file path=xl/worksheets/sheet1.xml><?xml version="1.0" encoding="utf-8"?>
<worksheet xmlns="http://schemas.openxmlformats.org/spreadsheetml/2006/main">
  <sheetPr>
    <outlinePr summaryBelow="1" summaryRight="1"/>
    <pageSetUpPr fitToPage="1"/>
  </sheetPr>
  <dimension ref="A1:C14"/>
  <sheetViews>
    <sheetView showGridLines="0" workbookViewId="0">
      <pane ySplit="1" topLeftCell="A2" activePane="bottomLeft" state="frozen"/>
      <selection pane="bottomLeft" activeCell="A1" sqref="A1"/>
    </sheetView>
  </sheetViews>
  <sheetFormatPr baseColWidth="8" defaultRowHeight="15"/>
  <cols>
    <col width="24" customWidth="1" min="1" max="1"/>
    <col width="42" customWidth="1" min="2" max="2"/>
    <col width="42" customWidth="1" min="3" max="3"/>
  </cols>
  <sheetData>
    <row r="1" ht="32" customHeight="1">
      <c r="A1" s="1" t="inlineStr">
        <is>
          <t>metric</t>
        </is>
      </c>
      <c r="B1" s="1" t="inlineStr">
        <is>
          <t>value</t>
        </is>
      </c>
      <c r="C1" s="1" t="inlineStr">
        <is>
          <t>definition</t>
        </is>
      </c>
    </row>
    <row r="2" ht="42" customHeight="1">
      <c r="A2" s="2" t="inlineStr">
        <is>
          <t>rubric_version</t>
        </is>
      </c>
      <c r="B2" s="2" t="inlineStr">
        <is>
          <t>prompt_qa.md@sha256:C2C1DEFDB72362291F7DA656FA7FEA9283A02782FC8CA66D2E4637F2511500DD</t>
        </is>
      </c>
      <c r="C2" s="2" t="inlineStr">
        <is>
          <t>Rubric QA áp dụng.</t>
        </is>
      </c>
    </row>
    <row r="3" ht="42" customHeight="1">
      <c r="A3" s="3" t="inlineStr">
        <is>
          <t>source_workbook</t>
        </is>
      </c>
      <c r="B3" s="3" t="inlineStr">
        <is>
          <t>D:\Shopify_Workspace\jeminise_seo\resutls\jeminise.com\20260906_234129\batches\SEO_Product_Optimization_through_batch_009.xlsx</t>
        </is>
      </c>
      <c r="C3" s="3" t="inlineStr">
        <is>
          <t>Workbook giai đoạn 1 đóng băng; không chỉnh sửa.</t>
        </is>
      </c>
    </row>
    <row r="4" ht="42" customHeight="1">
      <c r="A4" s="2" t="inlineStr">
        <is>
          <t>source_sha256_at_handoff</t>
        </is>
      </c>
      <c r="B4" s="2" t="inlineStr">
        <is>
          <t>D1D265F3AD9921852CF46DFC086093B832ABE511E03DA9F0E50B5174925A26EA</t>
        </is>
      </c>
      <c r="C4" s="2" t="inlineStr">
        <is>
          <t>Hash tính lại khi hoàn tất.</t>
        </is>
      </c>
    </row>
    <row r="5" ht="42" customHeight="1">
      <c r="A5" s="3" t="inlineStr">
        <is>
          <t>qa_run_id</t>
        </is>
      </c>
      <c r="B5" s="3" t="inlineStr">
        <is>
          <t>20260907_180500</t>
        </is>
      </c>
      <c r="C5" s="3" t="inlineStr">
        <is>
          <t>Run QA độc lập.</t>
        </is>
      </c>
    </row>
    <row r="6" ht="42" customHeight="1">
      <c r="A6" s="2" t="inlineStr">
        <is>
          <t>batch_id</t>
        </is>
      </c>
      <c r="B6" s="2" t="inlineStr">
        <is>
          <t>qa_batch_009</t>
        </is>
      </c>
      <c r="C6" s="2" t="inlineStr">
        <is>
          <t>Inventory positions 81-90.</t>
        </is>
      </c>
    </row>
    <row r="7" ht="42" customHeight="1">
      <c r="A7" s="3" t="inlineStr">
        <is>
          <t>products_checked</t>
        </is>
      </c>
      <c r="B7" s="3" t="n">
        <v>10</v>
      </c>
      <c r="C7" s="3" t="inlineStr">
        <is>
          <t>Đúng 10 product key.</t>
        </is>
      </c>
    </row>
    <row r="8" ht="42" customHeight="1">
      <c r="A8" s="2" t="inlineStr">
        <is>
          <t>images_checked</t>
        </is>
      </c>
      <c r="B8" s="2" t="n">
        <v>59</v>
      </c>
      <c r="C8" s="2" t="inlineStr">
        <is>
          <t>59/59 ảnh mở trực tiếp ở độ phân giải đủ đọc.</t>
        </is>
      </c>
    </row>
    <row r="9" ht="42" customHeight="1">
      <c r="A9" s="3" t="inlineStr">
        <is>
          <t>batch_final_score</t>
        </is>
      </c>
      <c r="B9" s="3">
        <f>AVERAGE('QA_Products'!$K$2:$K$11)</f>
        <v/>
      </c>
      <c r="C9" s="3" t="inlineStr">
        <is>
          <t>Trung bình 10 final_score; không bù lỗi chặn.</t>
        </is>
      </c>
    </row>
    <row r="10" ht="42" customHeight="1">
      <c r="A10" s="2" t="inlineStr">
        <is>
          <t>batch_result</t>
        </is>
      </c>
      <c r="B10" s="2">
        <f>IF(COUNTIF('QA_Products'!$L$2:$L$11,"QA_PASS")=ROWS('QA_Products'!$L$2:$L$11),"PASSED","NOT_PASSED")</f>
        <v/>
      </c>
      <c r="C10" s="2" t="inlineStr">
        <is>
          <t>Lô chỉ đạt khi mọi sản phẩm QA_PASS.</t>
        </is>
      </c>
    </row>
    <row r="11" ht="42" customHeight="1">
      <c r="A11" s="3" t="inlineStr">
        <is>
          <t>status_counts</t>
        </is>
      </c>
      <c r="B11" s="3">
        <f>"PASS="&amp;COUNTIF('QA_Products'!$L$2:$L$11,"QA_PASS")&amp;"; REVISE="&amp;COUNTIF('QA_Products'!$L$2:$L$11,"QA_REVISE")&amp;"; FAIL="&amp;COUNTIF('QA_Products'!$L$2:$L$11,"QA_FAIL")&amp;"; INCOMPLETE="&amp;COUNTIF('QA_Products'!$L$2:$L$11,"QA_INCOMPLETE")</f>
        <v/>
      </c>
      <c r="C11" s="3" t="inlineStr">
        <is>
          <t>Số sản phẩm theo kết luận.</t>
        </is>
      </c>
    </row>
    <row r="12" ht="42" customHeight="1">
      <c r="A12" s="2" t="inlineStr">
        <is>
          <t>issue_counts</t>
        </is>
      </c>
      <c r="B12" s="2" t="inlineStr">
        <is>
          <t>{"MINOR": 20, "MAJOR": 20, "LIMITATION": 3}</t>
        </is>
      </c>
      <c r="C12" s="2" t="inlineStr">
        <is>
          <t>Số phát hiện theo severity.</t>
        </is>
      </c>
    </row>
    <row r="13" ht="42" customHeight="1">
      <c r="A13" s="3" t="inlineStr">
        <is>
          <t>admin_limitation</t>
        </is>
      </c>
      <c r="B13" s="3" t="inlineStr">
        <is>
          <t>No Shopify admin export</t>
        </is>
      </c>
      <c r="C13" s="3" t="inlineStr">
        <is>
          <t>Không suy ra admin fields.</t>
        </is>
      </c>
    </row>
    <row r="14" ht="42" customHeight="1">
      <c r="A14" s="2" t="inlineStr">
        <is>
          <t>xlsx_status</t>
        </is>
      </c>
      <c r="B14" s="2" t="inlineStr">
        <is>
          <t>COMPLETE</t>
        </is>
      </c>
      <c r="C14" s="2" t="inlineStr">
        <is>
          <t>XLSX tạo bằng openpyxl, kiểm tra cấu trúc/công thức và render.</t>
        </is>
      </c>
    </row>
  </sheetData>
  <autoFilter ref="A1:C14"/>
  <printOptions horizontalCentered="0"/>
  <pageMargins left="0.25" right="0.25"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W11"/>
  <sheetViews>
    <sheetView showGridLines="0" workbookViewId="0">
      <pane ySplit="1" topLeftCell="A2" activePane="bottomLeft" state="frozen"/>
      <selection pane="bottomLeft" activeCell="A1" sqref="A1"/>
    </sheetView>
  </sheetViews>
  <sheetFormatPr baseColWidth="8" defaultRowHeight="15"/>
  <cols>
    <col width="20" customWidth="1" min="1" max="1"/>
    <col width="42" customWidth="1" min="2" max="2"/>
    <col width="38" customWidth="1" min="3" max="3"/>
    <col width="24" customWidth="1" min="4" max="4"/>
    <col width="15" customWidth="1" min="5" max="5"/>
    <col width="11" customWidth="1" min="6" max="6"/>
    <col width="24" customWidth="1" min="7" max="7"/>
    <col width="24" customWidth="1" min="8" max="8"/>
    <col width="19" customWidth="1" min="9" max="9"/>
    <col width="19" customWidth="1" min="10" max="10"/>
    <col width="24" customWidth="1" min="11" max="11"/>
    <col width="20" customWidth="1" min="12" max="12"/>
    <col width="38" customWidth="1" min="13" max="13"/>
    <col width="17" customWidth="1" min="14" max="14"/>
    <col width="16" customWidth="1" min="15" max="15"/>
    <col width="24" customWidth="1" min="16" max="16"/>
    <col width="16" customWidth="1" min="17" max="17"/>
    <col width="24" customWidth="1" min="18" max="18"/>
    <col width="24" customWidth="1" min="19" max="19"/>
    <col width="24" customWidth="1" min="20" max="20"/>
    <col width="24" customWidth="1" min="21" max="21"/>
    <col width="42" customWidth="1" min="22" max="22"/>
    <col width="42" customWidth="1" min="23" max="23"/>
  </cols>
  <sheetData>
    <row r="1" ht="32" customHeight="1">
      <c r="A1" s="1" t="inlineStr">
        <is>
          <t>inventory_position</t>
        </is>
      </c>
      <c r="B1" s="1" t="inlineStr">
        <is>
          <t>product_key</t>
        </is>
      </c>
      <c r="C1" s="1" t="inlineStr">
        <is>
          <t>url</t>
        </is>
      </c>
      <c r="D1" s="1" t="inlineStr">
        <is>
          <t>handle</t>
        </is>
      </c>
      <c r="E1" s="1" t="inlineStr">
        <is>
          <t>product_id</t>
        </is>
      </c>
      <c r="F1" s="1" t="inlineStr">
        <is>
          <t>revision</t>
        </is>
      </c>
      <c r="G1" s="1" t="inlineStr">
        <is>
          <t>verified_points</t>
        </is>
      </c>
      <c r="H1" s="1" t="inlineStr">
        <is>
          <t>assessed_weight</t>
        </is>
      </c>
      <c r="I1" s="1" t="inlineStr">
        <is>
          <t>score_lower_bound</t>
        </is>
      </c>
      <c r="J1" s="1" t="inlineStr">
        <is>
          <t>score_upper_bound</t>
        </is>
      </c>
      <c r="K1" s="1" t="inlineStr">
        <is>
          <t>final_score</t>
        </is>
      </c>
      <c r="L1" s="1" t="inlineStr">
        <is>
          <t>qa_status</t>
        </is>
      </c>
      <c r="M1" s="1" t="inlineStr">
        <is>
          <t>keyword_evidence_level</t>
        </is>
      </c>
      <c r="N1" s="1" t="inlineStr">
        <is>
          <t>images_expected</t>
        </is>
      </c>
      <c r="O1" s="1" t="inlineStr">
        <is>
          <t>images_checked</t>
        </is>
      </c>
      <c r="P1" s="1" t="inlineStr">
        <is>
          <t>image_inventory_complete</t>
        </is>
      </c>
      <c r="Q1" s="1" t="inlineStr">
        <is>
          <t>image_coverage</t>
        </is>
      </c>
      <c r="R1" s="1" t="inlineStr">
        <is>
          <t>critical_count</t>
        </is>
      </c>
      <c r="S1" s="1" t="inlineStr">
        <is>
          <t>major_count</t>
        </is>
      </c>
      <c r="T1" s="1" t="inlineStr">
        <is>
          <t>minor_count</t>
        </is>
      </c>
      <c r="U1" s="1" t="inlineStr">
        <is>
          <t>limitation_count</t>
        </is>
      </c>
      <c r="V1" s="1" t="inlineStr">
        <is>
          <t>issue_refs</t>
        </is>
      </c>
      <c r="W1" s="1" t="inlineStr">
        <is>
          <t>evidence_refs</t>
        </is>
      </c>
    </row>
    <row r="2" ht="42" customHeight="1">
      <c r="A2" s="2" t="n">
        <v>81</v>
      </c>
      <c r="B2" s="2" t="inlineStr">
        <is>
          <t>jeminise.com+custom-name-catcher-batter-baseball-baseball-throw-baseba-design-01</t>
        </is>
      </c>
      <c r="C2" s="4" t="inlineStr">
        <is>
          <t>https://jeminise.com/products/custom-name-catcher-batter-baseball-baseball-throw-baseba-design-01</t>
        </is>
      </c>
      <c r="D2" s="2" t="inlineStr">
        <is>
          <t>custom-name-catcher-batter-baseball-baseball-throw-baseba-design-01</t>
        </is>
      </c>
      <c r="E2" s="2" t="inlineStr">
        <is>
          <t>8867271082183</t>
        </is>
      </c>
      <c r="F2" s="2" t="inlineStr">
        <is>
          <t>r1</t>
        </is>
      </c>
      <c r="G2" s="5">
        <f>SUMIF('QA_Criteria'!$A$2:$A$111,B2,'QA_Criteria'!$F$2:$F$111)</f>
        <v/>
      </c>
      <c r="H2" s="5">
        <f>SUMIF('QA_Criteria'!$A$2:$A$111,B2,'QA_Criteria'!$G$2:$G$111)</f>
        <v/>
      </c>
      <c r="I2" s="5">
        <f>G2</f>
        <v/>
      </c>
      <c r="J2" s="5">
        <f>G2+(100-H2)</f>
        <v/>
      </c>
      <c r="K2" s="5">
        <f>IF(AND(H2=100,Q2=1,P2=TRUE),G2,"")</f>
        <v/>
      </c>
      <c r="L2" s="2">
        <f>IF(R2&gt;0,"QA_FAIL",IF(K2="","QA_INCOMPLETE",IF(K2&lt;70,"QA_FAIL",IF(OR(K2&lt;85,S2&gt;0),"QA_REVISE","QA_PASS"))))</f>
        <v/>
      </c>
      <c r="M2" s="2" t="inlineStr">
        <is>
          <t>SERP_ONLY</t>
        </is>
      </c>
      <c r="N2" s="2" t="n">
        <v>5</v>
      </c>
      <c r="O2" s="2" t="n">
        <v>5</v>
      </c>
      <c r="P2" s="2" t="b">
        <v>1</v>
      </c>
      <c r="Q2" s="6" t="n">
        <v>1</v>
      </c>
      <c r="R2" s="2">
        <f>COUNTIFS('QA_Issues'!$B$2:$B$49,B2,'QA_Issues'!$D$2:$D$49,"CRITICAL")</f>
        <v/>
      </c>
      <c r="S2" s="2">
        <f>COUNTIFS('QA_Issues'!$B$2:$B$49,B2,'QA_Issues'!$D$2:$D$49,"MAJOR")</f>
        <v/>
      </c>
      <c r="T2" s="2">
        <f>COUNTIFS('QA_Issues'!$B$2:$B$49,B2,'QA_Issues'!$D$2:$D$49,"MINOR")</f>
        <v/>
      </c>
      <c r="U2" s="2">
        <f>COUNTIFS('QA_Issues'!$B$2:$B$49,B2,'QA_Issues'!$D$2:$D$49,"LIMITATION")</f>
        <v/>
      </c>
      <c r="V2" s="2" t="inlineStr">
        <is>
          <t>["ISS-081-IMG-04", "ISS-071-DESC", "ISS-071-CANN", "ISS-071-META"]</t>
        </is>
      </c>
      <c r="W2" s="2" t="inlineStr">
        <is>
          <t>["evidence_batch_009_081", "https://jeminise.com/products/custom-name-catcher-batter-baseball-baseball-throw-baseba-design-01", "serp_qa_081", "customizer_audit.json"]</t>
        </is>
      </c>
    </row>
    <row r="3" ht="42" customHeight="1">
      <c r="A3" s="3" t="n">
        <v>82</v>
      </c>
      <c r="B3" s="3" t="inlineStr">
        <is>
          <t>jeminise.com+custom-name-catcher-batter-baseball-baseball-throw-baseba-design-07</t>
        </is>
      </c>
      <c r="C3" s="4" t="inlineStr">
        <is>
          <t>https://jeminise.com/products/custom-name-catcher-batter-baseball-baseball-throw-baseba-design-07</t>
        </is>
      </c>
      <c r="D3" s="3" t="inlineStr">
        <is>
          <t>custom-name-catcher-batter-baseball-baseball-throw-baseba-design-07</t>
        </is>
      </c>
      <c r="E3" s="3" t="inlineStr">
        <is>
          <t>8867273310407</t>
        </is>
      </c>
      <c r="F3" s="3" t="inlineStr">
        <is>
          <t>r1</t>
        </is>
      </c>
      <c r="G3" s="7">
        <f>SUMIF('QA_Criteria'!$A$2:$A$111,B3,'QA_Criteria'!$F$2:$F$111)</f>
        <v/>
      </c>
      <c r="H3" s="7">
        <f>SUMIF('QA_Criteria'!$A$2:$A$111,B3,'QA_Criteria'!$G$2:$G$111)</f>
        <v/>
      </c>
      <c r="I3" s="7">
        <f>G3</f>
        <v/>
      </c>
      <c r="J3" s="7">
        <f>G3+(100-H3)</f>
        <v/>
      </c>
      <c r="K3" s="7">
        <f>IF(AND(H3=100,Q3=1,P3=TRUE),G3,"")</f>
        <v/>
      </c>
      <c r="L3" s="3">
        <f>IF(R3&gt;0,"QA_FAIL",IF(K3="","QA_INCOMPLETE",IF(K3&lt;70,"QA_FAIL",IF(OR(K3&lt;85,S3&gt;0),"QA_REVISE","QA_PASS"))))</f>
        <v/>
      </c>
      <c r="M3" s="3" t="inlineStr">
        <is>
          <t>SERP_ONLY</t>
        </is>
      </c>
      <c r="N3" s="3" t="n">
        <v>6</v>
      </c>
      <c r="O3" s="3" t="n">
        <v>6</v>
      </c>
      <c r="P3" s="3" t="b">
        <v>1</v>
      </c>
      <c r="Q3" s="8" t="n">
        <v>1</v>
      </c>
      <c r="R3" s="3">
        <f>COUNTIFS('QA_Issues'!$B$2:$B$49,B3,'QA_Issues'!$D$2:$D$49,"CRITICAL")</f>
        <v/>
      </c>
      <c r="S3" s="3">
        <f>COUNTIFS('QA_Issues'!$B$2:$B$49,B3,'QA_Issues'!$D$2:$D$49,"MAJOR")</f>
        <v/>
      </c>
      <c r="T3" s="3">
        <f>COUNTIFS('QA_Issues'!$B$2:$B$49,B3,'QA_Issues'!$D$2:$D$49,"MINOR")</f>
        <v/>
      </c>
      <c r="U3" s="3">
        <f>COUNTIFS('QA_Issues'!$B$2:$B$49,B3,'QA_Issues'!$D$2:$D$49,"LIMITATION")</f>
        <v/>
      </c>
      <c r="V3" s="3" t="inlineStr">
        <is>
          <t>["ISS-082-IMG-04", "ISS-072-DESC", "ISS-072-CANN", "ISS-072-META"]</t>
        </is>
      </c>
      <c r="W3" s="3" t="inlineStr">
        <is>
          <t>["evidence_batch_009_082", "https://jeminise.com/products/custom-name-catcher-batter-baseball-baseball-throw-baseba-design-07", "serp_qa_082", "customizer_audit.json"]</t>
        </is>
      </c>
    </row>
    <row r="4" ht="42" customHeight="1">
      <c r="A4" s="2" t="n">
        <v>83</v>
      </c>
      <c r="B4" s="2" t="inlineStr">
        <is>
          <t>jeminise.com+custom-name-catcher-batter-baseball-baseball-throw-baseba-design-10</t>
        </is>
      </c>
      <c r="C4" s="4" t="inlineStr">
        <is>
          <t>https://jeminise.com/products/custom-name-catcher-batter-baseball-baseball-throw-baseba-design-10</t>
        </is>
      </c>
      <c r="D4" s="2" t="inlineStr">
        <is>
          <t>custom-name-catcher-batter-baseball-baseball-throw-baseba-design-10</t>
        </is>
      </c>
      <c r="E4" s="2" t="inlineStr">
        <is>
          <t>8867270394055</t>
        </is>
      </c>
      <c r="F4" s="2" t="inlineStr">
        <is>
          <t>r1</t>
        </is>
      </c>
      <c r="G4" s="5">
        <f>SUMIF('QA_Criteria'!$A$2:$A$111,B4,'QA_Criteria'!$F$2:$F$111)</f>
        <v/>
      </c>
      <c r="H4" s="5">
        <f>SUMIF('QA_Criteria'!$A$2:$A$111,B4,'QA_Criteria'!$G$2:$G$111)</f>
        <v/>
      </c>
      <c r="I4" s="5">
        <f>G4</f>
        <v/>
      </c>
      <c r="J4" s="5">
        <f>G4+(100-H4)</f>
        <v/>
      </c>
      <c r="K4" s="5">
        <f>IF(AND(H4=100,Q4=1,P4=TRUE),G4,"")</f>
        <v/>
      </c>
      <c r="L4" s="2">
        <f>IF(R4&gt;0,"QA_FAIL",IF(K4="","QA_INCOMPLETE",IF(K4&lt;70,"QA_FAIL",IF(OR(K4&lt;85,S4&gt;0),"QA_REVISE","QA_PASS"))))</f>
        <v/>
      </c>
      <c r="M4" s="2" t="inlineStr">
        <is>
          <t>SERP_ONLY</t>
        </is>
      </c>
      <c r="N4" s="2" t="n">
        <v>7</v>
      </c>
      <c r="O4" s="2" t="n">
        <v>7</v>
      </c>
      <c r="P4" s="2" t="b">
        <v>1</v>
      </c>
      <c r="Q4" s="6" t="n">
        <v>1</v>
      </c>
      <c r="R4" s="2">
        <f>COUNTIFS('QA_Issues'!$B$2:$B$49,B4,'QA_Issues'!$D$2:$D$49,"CRITICAL")</f>
        <v/>
      </c>
      <c r="S4" s="2">
        <f>COUNTIFS('QA_Issues'!$B$2:$B$49,B4,'QA_Issues'!$D$2:$D$49,"MAJOR")</f>
        <v/>
      </c>
      <c r="T4" s="2">
        <f>COUNTIFS('QA_Issues'!$B$2:$B$49,B4,'QA_Issues'!$D$2:$D$49,"MINOR")</f>
        <v/>
      </c>
      <c r="U4" s="2">
        <f>COUNTIFS('QA_Issues'!$B$2:$B$49,B4,'QA_Issues'!$D$2:$D$49,"LIMITATION")</f>
        <v/>
      </c>
      <c r="V4" s="2" t="inlineStr">
        <is>
          <t>["ISS-083-IMG-04", "ISS-073-DESC", "ISS-073-CANN", "ISS-073-META"]</t>
        </is>
      </c>
      <c r="W4" s="2" t="inlineStr">
        <is>
          <t>["evidence_batch_009_083", "https://jeminise.com/products/custom-name-catcher-batter-baseball-baseball-throw-baseba-design-10", "serp_qa_083", "customizer_audit.json"]</t>
        </is>
      </c>
    </row>
    <row r="5" ht="42" customHeight="1">
      <c r="A5" s="3" t="n">
        <v>84</v>
      </c>
      <c r="B5" s="3" t="inlineStr">
        <is>
          <t>jeminise.com+custom-name-catcher-batter-baseball-baseball-throw-baseba-design-11</t>
        </is>
      </c>
      <c r="C5" s="4" t="inlineStr">
        <is>
          <t>https://jeminise.com/products/custom-name-catcher-batter-baseball-baseball-throw-baseba-design-11</t>
        </is>
      </c>
      <c r="D5" s="3" t="inlineStr">
        <is>
          <t>custom-name-catcher-batter-baseball-baseball-throw-baseba-design-11</t>
        </is>
      </c>
      <c r="E5" s="3" t="inlineStr">
        <is>
          <t>8867273113799</t>
        </is>
      </c>
      <c r="F5" s="3" t="inlineStr">
        <is>
          <t>r1</t>
        </is>
      </c>
      <c r="G5" s="7">
        <f>SUMIF('QA_Criteria'!$A$2:$A$111,B5,'QA_Criteria'!$F$2:$F$111)</f>
        <v/>
      </c>
      <c r="H5" s="7">
        <f>SUMIF('QA_Criteria'!$A$2:$A$111,B5,'QA_Criteria'!$G$2:$G$111)</f>
        <v/>
      </c>
      <c r="I5" s="7">
        <f>G5</f>
        <v/>
      </c>
      <c r="J5" s="7">
        <f>G5+(100-H5)</f>
        <v/>
      </c>
      <c r="K5" s="7">
        <f>IF(AND(H5=100,Q5=1,P5=TRUE),G5,"")</f>
        <v/>
      </c>
      <c r="L5" s="3">
        <f>IF(R5&gt;0,"QA_FAIL",IF(K5="","QA_INCOMPLETE",IF(K5&lt;70,"QA_FAIL",IF(OR(K5&lt;85,S5&gt;0),"QA_REVISE","QA_PASS"))))</f>
        <v/>
      </c>
      <c r="M5" s="3" t="inlineStr">
        <is>
          <t>SERP_ONLY</t>
        </is>
      </c>
      <c r="N5" s="3" t="n">
        <v>7</v>
      </c>
      <c r="O5" s="3" t="n">
        <v>7</v>
      </c>
      <c r="P5" s="3" t="b">
        <v>1</v>
      </c>
      <c r="Q5" s="8" t="n">
        <v>1</v>
      </c>
      <c r="R5" s="3">
        <f>COUNTIFS('QA_Issues'!$B$2:$B$49,B5,'QA_Issues'!$D$2:$D$49,"CRITICAL")</f>
        <v/>
      </c>
      <c r="S5" s="3">
        <f>COUNTIFS('QA_Issues'!$B$2:$B$49,B5,'QA_Issues'!$D$2:$D$49,"MAJOR")</f>
        <v/>
      </c>
      <c r="T5" s="3">
        <f>COUNTIFS('QA_Issues'!$B$2:$B$49,B5,'QA_Issues'!$D$2:$D$49,"MINOR")</f>
        <v/>
      </c>
      <c r="U5" s="3">
        <f>COUNTIFS('QA_Issues'!$B$2:$B$49,B5,'QA_Issues'!$D$2:$D$49,"LIMITATION")</f>
        <v/>
      </c>
      <c r="V5" s="3" t="inlineStr">
        <is>
          <t>["ISS-084-IMG-04", "ISS-074-DESC", "ISS-074-CANN", "ISS-074-META"]</t>
        </is>
      </c>
      <c r="W5" s="3" t="inlineStr">
        <is>
          <t>["evidence_batch_009_084", "https://jeminise.com/products/custom-name-catcher-batter-baseball-baseball-throw-baseba-design-11", "serp_qa_084", "customizer_audit.json"]</t>
        </is>
      </c>
    </row>
    <row r="6" ht="42" customHeight="1">
      <c r="A6" s="2" t="n">
        <v>85</v>
      </c>
      <c r="B6" s="2" t="inlineStr">
        <is>
          <t>jeminise.com+custom-name-catcher-batter-baseball-baseball-throw-baseba-design-12</t>
        </is>
      </c>
      <c r="C6" s="4" t="inlineStr">
        <is>
          <t>https://jeminise.com/products/custom-name-catcher-batter-baseball-baseball-throw-baseba-design-12</t>
        </is>
      </c>
      <c r="D6" s="2" t="inlineStr">
        <is>
          <t>custom-name-catcher-batter-baseball-baseball-throw-baseba-design-12</t>
        </is>
      </c>
      <c r="E6" s="2" t="inlineStr">
        <is>
          <t>8867271770311</t>
        </is>
      </c>
      <c r="F6" s="2" t="inlineStr">
        <is>
          <t>r1</t>
        </is>
      </c>
      <c r="G6" s="5">
        <f>SUMIF('QA_Criteria'!$A$2:$A$111,B6,'QA_Criteria'!$F$2:$F$111)</f>
        <v/>
      </c>
      <c r="H6" s="5">
        <f>SUMIF('QA_Criteria'!$A$2:$A$111,B6,'QA_Criteria'!$G$2:$G$111)</f>
        <v/>
      </c>
      <c r="I6" s="5">
        <f>G6</f>
        <v/>
      </c>
      <c r="J6" s="5">
        <f>G6+(100-H6)</f>
        <v/>
      </c>
      <c r="K6" s="5">
        <f>IF(AND(H6=100,Q6=1,P6=TRUE),G6,"")</f>
        <v/>
      </c>
      <c r="L6" s="2">
        <f>IF(R6&gt;0,"QA_FAIL",IF(K6="","QA_INCOMPLETE",IF(K6&lt;70,"QA_FAIL",IF(OR(K6&lt;85,S6&gt;0),"QA_REVISE","QA_PASS"))))</f>
        <v/>
      </c>
      <c r="M6" s="2" t="inlineStr">
        <is>
          <t>SERP_ONLY</t>
        </is>
      </c>
      <c r="N6" s="2" t="n">
        <v>6</v>
      </c>
      <c r="O6" s="2" t="n">
        <v>6</v>
      </c>
      <c r="P6" s="2" t="b">
        <v>1</v>
      </c>
      <c r="Q6" s="6" t="n">
        <v>1</v>
      </c>
      <c r="R6" s="2">
        <f>COUNTIFS('QA_Issues'!$B$2:$B$49,B6,'QA_Issues'!$D$2:$D$49,"CRITICAL")</f>
        <v/>
      </c>
      <c r="S6" s="2">
        <f>COUNTIFS('QA_Issues'!$B$2:$B$49,B6,'QA_Issues'!$D$2:$D$49,"MAJOR")</f>
        <v/>
      </c>
      <c r="T6" s="2">
        <f>COUNTIFS('QA_Issues'!$B$2:$B$49,B6,'QA_Issues'!$D$2:$D$49,"MINOR")</f>
        <v/>
      </c>
      <c r="U6" s="2">
        <f>COUNTIFS('QA_Issues'!$B$2:$B$49,B6,'QA_Issues'!$D$2:$D$49,"LIMITATION")</f>
        <v/>
      </c>
      <c r="V6" s="2" t="inlineStr">
        <is>
          <t>["ISS-085-IMG-04", "ISS-075-DESC", "ISS-075-CANN", "ISS-075-META", "ISS-085-CUSTOMIZER-SCHEMA"]</t>
        </is>
      </c>
      <c r="W6" s="2" t="inlineStr">
        <is>
          <t>["evidence_batch_009_085", "https://jeminise.com/products/custom-name-catcher-batter-baseball-baseball-throw-baseba-design-12", "serp_qa_085", "customizer_audit.json"]</t>
        </is>
      </c>
    </row>
    <row r="7" ht="42" customHeight="1">
      <c r="A7" s="3" t="n">
        <v>86</v>
      </c>
      <c r="B7" s="3" t="inlineStr">
        <is>
          <t>jeminise.com+custom-name-catcher-batter-baseball-baseball-throw-baseba-design-13</t>
        </is>
      </c>
      <c r="C7" s="4" t="inlineStr">
        <is>
          <t>https://jeminise.com/products/custom-name-catcher-batter-baseball-baseball-throw-baseba-design-13</t>
        </is>
      </c>
      <c r="D7" s="3" t="inlineStr">
        <is>
          <t>custom-name-catcher-batter-baseball-baseball-throw-baseba-design-13</t>
        </is>
      </c>
      <c r="E7" s="3" t="inlineStr">
        <is>
          <t>8867272196295</t>
        </is>
      </c>
      <c r="F7" s="3" t="inlineStr">
        <is>
          <t>r1</t>
        </is>
      </c>
      <c r="G7" s="7">
        <f>SUMIF('QA_Criteria'!$A$2:$A$111,B7,'QA_Criteria'!$F$2:$F$111)</f>
        <v/>
      </c>
      <c r="H7" s="7">
        <f>SUMIF('QA_Criteria'!$A$2:$A$111,B7,'QA_Criteria'!$G$2:$G$111)</f>
        <v/>
      </c>
      <c r="I7" s="7">
        <f>G7</f>
        <v/>
      </c>
      <c r="J7" s="7">
        <f>G7+(100-H7)</f>
        <v/>
      </c>
      <c r="K7" s="7">
        <f>IF(AND(H7=100,Q7=1,P7=TRUE),G7,"")</f>
        <v/>
      </c>
      <c r="L7" s="3">
        <f>IF(R7&gt;0,"QA_FAIL",IF(K7="","QA_INCOMPLETE",IF(K7&lt;70,"QA_FAIL",IF(OR(K7&lt;85,S7&gt;0),"QA_REVISE","QA_PASS"))))</f>
        <v/>
      </c>
      <c r="M7" s="3" t="inlineStr">
        <is>
          <t>SERP_ONLY</t>
        </is>
      </c>
      <c r="N7" s="3" t="n">
        <v>6</v>
      </c>
      <c r="O7" s="3" t="n">
        <v>6</v>
      </c>
      <c r="P7" s="3" t="b">
        <v>1</v>
      </c>
      <c r="Q7" s="8" t="n">
        <v>1</v>
      </c>
      <c r="R7" s="3">
        <f>COUNTIFS('QA_Issues'!$B$2:$B$49,B7,'QA_Issues'!$D$2:$D$49,"CRITICAL")</f>
        <v/>
      </c>
      <c r="S7" s="3">
        <f>COUNTIFS('QA_Issues'!$B$2:$B$49,B7,'QA_Issues'!$D$2:$D$49,"MAJOR")</f>
        <v/>
      </c>
      <c r="T7" s="3">
        <f>COUNTIFS('QA_Issues'!$B$2:$B$49,B7,'QA_Issues'!$D$2:$D$49,"MINOR")</f>
        <v/>
      </c>
      <c r="U7" s="3">
        <f>COUNTIFS('QA_Issues'!$B$2:$B$49,B7,'QA_Issues'!$D$2:$D$49,"LIMITATION")</f>
        <v/>
      </c>
      <c r="V7" s="3" t="inlineStr">
        <is>
          <t>["ISS-086-IMG-04", "ISS-076-DESC", "ISS-076-CANN", "ISS-076-META"]</t>
        </is>
      </c>
      <c r="W7" s="3" t="inlineStr">
        <is>
          <t>["evidence_batch_009_086", "https://jeminise.com/products/custom-name-catcher-batter-baseball-baseball-throw-baseba-design-13", "serp_qa_086", "customizer_audit.json"]</t>
        </is>
      </c>
    </row>
    <row r="8" ht="42" customHeight="1">
      <c r="A8" s="2" t="n">
        <v>87</v>
      </c>
      <c r="B8" s="2" t="inlineStr">
        <is>
          <t>jeminise.com+custom-name-catcher-batter-baseball-baseball-throw-baseba-design-17</t>
        </is>
      </c>
      <c r="C8" s="4" t="inlineStr">
        <is>
          <t>https://jeminise.com/products/custom-name-catcher-batter-baseball-baseball-throw-baseba-design-17</t>
        </is>
      </c>
      <c r="D8" s="2" t="inlineStr">
        <is>
          <t>custom-name-catcher-batter-baseball-baseball-throw-baseba-design-17</t>
        </is>
      </c>
      <c r="E8" s="2" t="inlineStr">
        <is>
          <t>8867272589511</t>
        </is>
      </c>
      <c r="F8" s="2" t="inlineStr">
        <is>
          <t>r1</t>
        </is>
      </c>
      <c r="G8" s="5">
        <f>SUMIF('QA_Criteria'!$A$2:$A$111,B8,'QA_Criteria'!$F$2:$F$111)</f>
        <v/>
      </c>
      <c r="H8" s="5">
        <f>SUMIF('QA_Criteria'!$A$2:$A$111,B8,'QA_Criteria'!$G$2:$G$111)</f>
        <v/>
      </c>
      <c r="I8" s="5">
        <f>G8</f>
        <v/>
      </c>
      <c r="J8" s="5">
        <f>G8+(100-H8)</f>
        <v/>
      </c>
      <c r="K8" s="5">
        <f>IF(AND(H8=100,Q8=1,P8=TRUE),G8,"")</f>
        <v/>
      </c>
      <c r="L8" s="2">
        <f>IF(R8&gt;0,"QA_FAIL",IF(K8="","QA_INCOMPLETE",IF(K8&lt;70,"QA_FAIL",IF(OR(K8&lt;85,S8&gt;0),"QA_REVISE","QA_PASS"))))</f>
        <v/>
      </c>
      <c r="M8" s="2" t="inlineStr">
        <is>
          <t>SERP_ONLY</t>
        </is>
      </c>
      <c r="N8" s="2" t="n">
        <v>6</v>
      </c>
      <c r="O8" s="2" t="n">
        <v>6</v>
      </c>
      <c r="P8" s="2" t="b">
        <v>1</v>
      </c>
      <c r="Q8" s="6" t="n">
        <v>1</v>
      </c>
      <c r="R8" s="2">
        <f>COUNTIFS('QA_Issues'!$B$2:$B$49,B8,'QA_Issues'!$D$2:$D$49,"CRITICAL")</f>
        <v/>
      </c>
      <c r="S8" s="2">
        <f>COUNTIFS('QA_Issues'!$B$2:$B$49,B8,'QA_Issues'!$D$2:$D$49,"MAJOR")</f>
        <v/>
      </c>
      <c r="T8" s="2">
        <f>COUNTIFS('QA_Issues'!$B$2:$B$49,B8,'QA_Issues'!$D$2:$D$49,"MINOR")</f>
        <v/>
      </c>
      <c r="U8" s="2">
        <f>COUNTIFS('QA_Issues'!$B$2:$B$49,B8,'QA_Issues'!$D$2:$D$49,"LIMITATION")</f>
        <v/>
      </c>
      <c r="V8" s="2" t="inlineStr">
        <is>
          <t>["ISS-087-IMG-04", "ISS-077-DESC", "ISS-077-CANN", "ISS-077-META", "ISS-087-CUSTOMIZER-SCHEMA"]</t>
        </is>
      </c>
      <c r="W8" s="2" t="inlineStr">
        <is>
          <t>["evidence_batch_009_087", "https://jeminise.com/products/custom-name-catcher-batter-baseball-baseball-throw-baseba-design-17", "serp_qa_087", "customizer_audit.json"]</t>
        </is>
      </c>
    </row>
    <row r="9" ht="42" customHeight="1">
      <c r="A9" s="3" t="n">
        <v>88</v>
      </c>
      <c r="B9" s="3" t="inlineStr">
        <is>
          <t>jeminise.com+custom-name-catcher-batter-baseball-baseball-throw-baseba-design-18</t>
        </is>
      </c>
      <c r="C9" s="4" t="inlineStr">
        <is>
          <t>https://jeminise.com/products/custom-name-catcher-batter-baseball-baseball-throw-baseba-design-18</t>
        </is>
      </c>
      <c r="D9" s="3" t="inlineStr">
        <is>
          <t>custom-name-catcher-batter-baseball-baseball-throw-baseba-design-18</t>
        </is>
      </c>
      <c r="E9" s="3" t="inlineStr">
        <is>
          <t>8867270721735</t>
        </is>
      </c>
      <c r="F9" s="3" t="inlineStr">
        <is>
          <t>r1</t>
        </is>
      </c>
      <c r="G9" s="7">
        <f>SUMIF('QA_Criteria'!$A$2:$A$111,B9,'QA_Criteria'!$F$2:$F$111)</f>
        <v/>
      </c>
      <c r="H9" s="7">
        <f>SUMIF('QA_Criteria'!$A$2:$A$111,B9,'QA_Criteria'!$G$2:$G$111)</f>
        <v/>
      </c>
      <c r="I9" s="7">
        <f>G9</f>
        <v/>
      </c>
      <c r="J9" s="7">
        <f>G9+(100-H9)</f>
        <v/>
      </c>
      <c r="K9" s="7">
        <f>IF(AND(H9=100,Q9=1,P9=TRUE),G9,"")</f>
        <v/>
      </c>
      <c r="L9" s="3">
        <f>IF(R9&gt;0,"QA_FAIL",IF(K9="","QA_INCOMPLETE",IF(K9&lt;70,"QA_FAIL",IF(OR(K9&lt;85,S9&gt;0),"QA_REVISE","QA_PASS"))))</f>
        <v/>
      </c>
      <c r="M9" s="3" t="inlineStr">
        <is>
          <t>SERP_ONLY</t>
        </is>
      </c>
      <c r="N9" s="3" t="n">
        <v>7</v>
      </c>
      <c r="O9" s="3" t="n">
        <v>7</v>
      </c>
      <c r="P9" s="3" t="b">
        <v>1</v>
      </c>
      <c r="Q9" s="8" t="n">
        <v>1</v>
      </c>
      <c r="R9" s="3">
        <f>COUNTIFS('QA_Issues'!$B$2:$B$49,B9,'QA_Issues'!$D$2:$D$49,"CRITICAL")</f>
        <v/>
      </c>
      <c r="S9" s="3">
        <f>COUNTIFS('QA_Issues'!$B$2:$B$49,B9,'QA_Issues'!$D$2:$D$49,"MAJOR")</f>
        <v/>
      </c>
      <c r="T9" s="3">
        <f>COUNTIFS('QA_Issues'!$B$2:$B$49,B9,'QA_Issues'!$D$2:$D$49,"MINOR")</f>
        <v/>
      </c>
      <c r="U9" s="3">
        <f>COUNTIFS('QA_Issues'!$B$2:$B$49,B9,'QA_Issues'!$D$2:$D$49,"LIMITATION")</f>
        <v/>
      </c>
      <c r="V9" s="3" t="inlineStr">
        <is>
          <t>["ISS-088-IMG-04", "ISS-078-DESC", "ISS-078-CANN", "ISS-078-META", "ISS-088-CUSTOMIZER-SCHEMA"]</t>
        </is>
      </c>
      <c r="W9" s="3" t="inlineStr">
        <is>
          <t>["evidence_batch_009_088", "https://jeminise.com/products/custom-name-catcher-batter-baseball-baseball-throw-baseba-design-18", "serp_qa_088", "customizer_audit.json"]</t>
        </is>
      </c>
    </row>
    <row r="10" ht="42" customHeight="1">
      <c r="A10" s="2" t="n">
        <v>89</v>
      </c>
      <c r="B10" s="2" t="inlineStr">
        <is>
          <t>jeminise.com+custom-name-catcher-batter-baseball-baseball-throw-baseba-design-21</t>
        </is>
      </c>
      <c r="C10" s="4" t="inlineStr">
        <is>
          <t>https://jeminise.com/products/custom-name-catcher-batter-baseball-baseball-throw-baseba-design-21</t>
        </is>
      </c>
      <c r="D10" s="2" t="inlineStr">
        <is>
          <t>custom-name-catcher-batter-baseball-baseball-throw-baseba-design-21</t>
        </is>
      </c>
      <c r="E10" s="2" t="inlineStr">
        <is>
          <t>8867270656199</t>
        </is>
      </c>
      <c r="F10" s="2" t="inlineStr">
        <is>
          <t>r1</t>
        </is>
      </c>
      <c r="G10" s="5">
        <f>SUMIF('QA_Criteria'!$A$2:$A$111,B10,'QA_Criteria'!$F$2:$F$111)</f>
        <v/>
      </c>
      <c r="H10" s="5">
        <f>SUMIF('QA_Criteria'!$A$2:$A$111,B10,'QA_Criteria'!$G$2:$G$111)</f>
        <v/>
      </c>
      <c r="I10" s="5">
        <f>G10</f>
        <v/>
      </c>
      <c r="J10" s="5">
        <f>G10+(100-H10)</f>
        <v/>
      </c>
      <c r="K10" s="5">
        <f>IF(AND(H10=100,Q10=1,P10=TRUE),G10,"")</f>
        <v/>
      </c>
      <c r="L10" s="2">
        <f>IF(R10&gt;0,"QA_FAIL",IF(K10="","QA_INCOMPLETE",IF(K10&lt;70,"QA_FAIL",IF(OR(K10&lt;85,S10&gt;0),"QA_REVISE","QA_PASS"))))</f>
        <v/>
      </c>
      <c r="M10" s="2" t="inlineStr">
        <is>
          <t>SERP_ONLY</t>
        </is>
      </c>
      <c r="N10" s="2" t="n">
        <v>5</v>
      </c>
      <c r="O10" s="2" t="n">
        <v>5</v>
      </c>
      <c r="P10" s="2" t="b">
        <v>1</v>
      </c>
      <c r="Q10" s="6" t="n">
        <v>1</v>
      </c>
      <c r="R10" s="2">
        <f>COUNTIFS('QA_Issues'!$B$2:$B$49,B10,'QA_Issues'!$D$2:$D$49,"CRITICAL")</f>
        <v/>
      </c>
      <c r="S10" s="2">
        <f>COUNTIFS('QA_Issues'!$B$2:$B$49,B10,'QA_Issues'!$D$2:$D$49,"MAJOR")</f>
        <v/>
      </c>
      <c r="T10" s="2">
        <f>COUNTIFS('QA_Issues'!$B$2:$B$49,B10,'QA_Issues'!$D$2:$D$49,"MINOR")</f>
        <v/>
      </c>
      <c r="U10" s="2">
        <f>COUNTIFS('QA_Issues'!$B$2:$B$49,B10,'QA_Issues'!$D$2:$D$49,"LIMITATION")</f>
        <v/>
      </c>
      <c r="V10" s="2" t="inlineStr">
        <is>
          <t>["ISS-089-IMG-04", "ISS-079-DESC", "ISS-079-CANN", "ISS-079-META", "ISS-089-CUSTOMIZER-SCHEMA"]</t>
        </is>
      </c>
      <c r="W10" s="2" t="inlineStr">
        <is>
          <t>["evidence_batch_009_089", "https://jeminise.com/products/custom-name-catcher-batter-baseball-baseball-throw-baseba-design-21", "serp_qa_089", "customizer_audit.json"]</t>
        </is>
      </c>
    </row>
    <row r="11" ht="42" customHeight="1">
      <c r="A11" s="3" t="n">
        <v>90</v>
      </c>
      <c r="B11" s="3" t="inlineStr">
        <is>
          <t>jeminise.com+custom-name-catcher-batter-baseball-baseball-throw-baseball-blanket</t>
        </is>
      </c>
      <c r="C11" s="4" t="inlineStr">
        <is>
          <t>https://jeminise.com/products/custom-name-catcher-batter-baseball-baseball-throw-baseball-blanket</t>
        </is>
      </c>
      <c r="D11" s="3" t="inlineStr">
        <is>
          <t>custom-name-catcher-batter-baseball-baseball-throw-baseball-blanket</t>
        </is>
      </c>
      <c r="E11" s="3" t="inlineStr">
        <is>
          <t>8867269279943</t>
        </is>
      </c>
      <c r="F11" s="3" t="inlineStr">
        <is>
          <t>r1</t>
        </is>
      </c>
      <c r="G11" s="7">
        <f>SUMIF('QA_Criteria'!$A$2:$A$111,B11,'QA_Criteria'!$F$2:$F$111)</f>
        <v/>
      </c>
      <c r="H11" s="7">
        <f>SUMIF('QA_Criteria'!$A$2:$A$111,B11,'QA_Criteria'!$G$2:$G$111)</f>
        <v/>
      </c>
      <c r="I11" s="7">
        <f>G11</f>
        <v/>
      </c>
      <c r="J11" s="7">
        <f>G11+(100-H11)</f>
        <v/>
      </c>
      <c r="K11" s="7">
        <f>IF(AND(H11=100,Q11=1,P11=TRUE),G11,"")</f>
        <v/>
      </c>
      <c r="L11" s="3">
        <f>IF(R11&gt;0,"QA_FAIL",IF(K11="","QA_INCOMPLETE",IF(K11&lt;70,"QA_FAIL",IF(OR(K11&lt;85,S11&gt;0),"QA_REVISE","QA_PASS"))))</f>
        <v/>
      </c>
      <c r="M11" s="3" t="inlineStr">
        <is>
          <t>SERP_ONLY</t>
        </is>
      </c>
      <c r="N11" s="3" t="n">
        <v>4</v>
      </c>
      <c r="O11" s="3" t="n">
        <v>4</v>
      </c>
      <c r="P11" s="3" t="b">
        <v>1</v>
      </c>
      <c r="Q11" s="8" t="n">
        <v>1</v>
      </c>
      <c r="R11" s="3">
        <f>COUNTIFS('QA_Issues'!$B$2:$B$49,B11,'QA_Issues'!$D$2:$D$49,"CRITICAL")</f>
        <v/>
      </c>
      <c r="S11" s="3">
        <f>COUNTIFS('QA_Issues'!$B$2:$B$49,B11,'QA_Issues'!$D$2:$D$49,"MAJOR")</f>
        <v/>
      </c>
      <c r="T11" s="3">
        <f>COUNTIFS('QA_Issues'!$B$2:$B$49,B11,'QA_Issues'!$D$2:$D$49,"MINOR")</f>
        <v/>
      </c>
      <c r="U11" s="3">
        <f>COUNTIFS('QA_Issues'!$B$2:$B$49,B11,'QA_Issues'!$D$2:$D$49,"LIMITATION")</f>
        <v/>
      </c>
      <c r="V11" s="3" t="inlineStr">
        <is>
          <t>["ISS-090-IMG-04", "ISS-080-DESC", "ISS-080-CANN", "ISS-080-META", "ISS-090-CUSTOMIZER-SCHEMA"]</t>
        </is>
      </c>
      <c r="W11" s="3" t="inlineStr">
        <is>
          <t>["evidence_batch_009_090", "https://jeminise.com/products/custom-name-catcher-batter-baseball-baseball-throw-baseball-blanket", "serp_qa_090", "customizer_audit.json"]</t>
        </is>
      </c>
    </row>
  </sheetData>
  <autoFilter ref="A1:W11"/>
  <conditionalFormatting sqref="L2:L11">
    <cfRule type="expression" priority="1" dxfId="0">
      <formula>L2="QA_PASS"</formula>
    </cfRule>
    <cfRule type="expression" priority="2" dxfId="1">
      <formula>L2="QA_REVISE"</formula>
    </cfRule>
    <cfRule type="expression" priority="3" dxfId="2">
      <formula>L2="QA_FAIL"</formula>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s>
  <printOptions horizontalCentered="0"/>
  <pageMargins left="0.25" right="0.25" top="0.5" bottom="0.5" header="0.5" footer="0.5"/>
  <pageSetup orientation="landscape" fitToHeight="0" fitToWidth="2"/>
</worksheet>
</file>

<file path=xl/worksheets/sheet3.xml><?xml version="1.0" encoding="utf-8"?>
<worksheet xmlns="http://schemas.openxmlformats.org/spreadsheetml/2006/main">
  <sheetPr>
    <outlinePr summaryBelow="1" summaryRight="1"/>
    <pageSetUpPr fitToPage="1"/>
  </sheetPr>
  <dimension ref="A1:J111"/>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11" customWidth="1" min="3" max="3"/>
    <col width="12" customWidth="1" min="4" max="4"/>
    <col width="24" customWidth="1" min="5" max="5"/>
    <col width="23" customWidth="1" min="6" max="6"/>
    <col width="24" customWidth="1" min="7" max="7"/>
    <col width="42" customWidth="1" min="8" max="8"/>
    <col width="42" customWidth="1" min="9" max="9"/>
    <col width="42" customWidth="1" min="10" max="10"/>
  </cols>
  <sheetData>
    <row r="1" ht="32" customHeight="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ht="42" customHeight="1">
      <c r="A2" s="2" t="inlineStr">
        <is>
          <t>jeminise.com+custom-name-catcher-batter-baseball-baseball-throw-baseba-design-01</t>
        </is>
      </c>
      <c r="B2" s="2" t="inlineStr">
        <is>
          <t>P1</t>
        </is>
      </c>
      <c r="C2" s="2" t="n">
        <v>15</v>
      </c>
      <c r="D2" s="2" t="inlineStr">
        <is>
          <t>FULL</t>
        </is>
      </c>
      <c r="E2" s="5">
        <f>IF(B2="I1",AVERAGEIF('QA_Images'!$A$2:$A$60,A2,'QA_Images'!$T$2:$T$60)/100,IF(D2="FULL",1,IF(D2="PARTIAL",0.5,IF(D2="FAIL",0,""))))</f>
        <v/>
      </c>
      <c r="F2" s="5">
        <f>IF(E2="",0,C2*E2)</f>
        <v/>
      </c>
      <c r="G2" s="5">
        <f>IF(B2="I1",20*AVERAGEIF('QA_Images'!$A$2:$A$60,A2,'QA_Images'!$U$2:$U$60)/100,IF(D2="NOT_CHECKED",0,C2))</f>
        <v/>
      </c>
      <c r="H2" s="2" t="inlineStr">
        <is>
          <t>Đối chiếu loại sản phẩm, thiết kế và màu với product JSON, H1 live và toàn bộ gallery.</t>
        </is>
      </c>
      <c r="I2" s="2" t="inlineStr">
        <is>
          <t>["evidence_batch_009_081", "https://jeminise.com/products/custom-name-catcher-batter-baseball-baseball-throw-baseba-design-01", "serp_qa_081", "customizer_audit.json"]</t>
        </is>
      </c>
      <c r="J2" s="2" t="inlineStr">
        <is>
          <t>["ISS-081-IMG-04", "ISS-071-DESC", "ISS-071-CANN", "ISS-071-META"]</t>
        </is>
      </c>
    </row>
    <row r="3" ht="42" customHeight="1">
      <c r="A3" s="3" t="inlineStr">
        <is>
          <t>jeminise.com+custom-name-catcher-batter-baseball-baseball-throw-baseba-design-01</t>
        </is>
      </c>
      <c r="B3" s="3" t="inlineStr">
        <is>
          <t>P2</t>
        </is>
      </c>
      <c r="C3" s="3" t="n">
        <v>10</v>
      </c>
      <c r="D3" s="3" t="inlineStr">
        <is>
          <t>FULL</t>
        </is>
      </c>
      <c r="E3" s="7">
        <f>IF(B3="I1",AVERAGEIF('QA_Images'!$A$2:$A$60,A3,'QA_Images'!$T$2:$T$60)/100,IF(D3="FULL",1,IF(D3="PARTIAL",0.5,IF(D3="FAIL",0,""))))</f>
        <v/>
      </c>
      <c r="F3" s="7">
        <f>IF(E3="",0,C3*E3)</f>
        <v/>
      </c>
      <c r="G3" s="7">
        <f>IF(B3="I1",20*AVERAGEIF('QA_Images'!$A$2:$A$60,A3,'QA_Images'!$U$2:$U$60)/100,IF(D3="NOT_CHECKED",0,C3))</f>
        <v/>
      </c>
      <c r="H3" s="3" t="inlineStr">
        <is>
          <t>Đã đối chiếu options, variants, description và cấu hình Amazon Customizer live có Name/Number.</t>
        </is>
      </c>
      <c r="I3" s="3" t="inlineStr">
        <is>
          <t>["evidence_batch_009_081", "https://jeminise.com/products/custom-name-catcher-batter-baseball-baseball-throw-baseba-design-01", "serp_qa_081", "customizer_audit.json"]</t>
        </is>
      </c>
      <c r="J3" s="3" t="inlineStr">
        <is>
          <t>["ISS-081-IMG-04", "ISS-071-DESC", "ISS-071-CANN", "ISS-071-META"]</t>
        </is>
      </c>
    </row>
    <row r="4" ht="42" customHeight="1">
      <c r="A4" s="2" t="inlineStr">
        <is>
          <t>jeminise.com+custom-name-catcher-batter-baseball-baseball-throw-baseba-design-01</t>
        </is>
      </c>
      <c r="B4" s="2" t="inlineStr">
        <is>
          <t>K1</t>
        </is>
      </c>
      <c r="C4" s="2" t="n">
        <v>10</v>
      </c>
      <c r="D4" s="2" t="inlineStr">
        <is>
          <t>FULL</t>
        </is>
      </c>
      <c r="E4" s="5">
        <f>IF(B4="I1",AVERAGEIF('QA_Images'!$A$2:$A$60,A4,'QA_Images'!$T$2:$T$60)/100,IF(D4="FULL",1,IF(D4="PARTIAL",0.5,IF(D4="FAIL",0,""))))</f>
        <v/>
      </c>
      <c r="F4" s="5">
        <f>IF(E4="",0,C4*E4)</f>
        <v/>
      </c>
      <c r="G4" s="5">
        <f>IF(B4="I1",20*AVERAGEIF('QA_Images'!$A$2:$A$60,A4,'QA_Images'!$U$2:$U$60)/100,IF(D4="NOT_CHECKED",0,C4))</f>
        <v/>
      </c>
      <c r="H4" s="2" t="inlineStr">
        <is>
          <t>Đối chiếu long-tail với thiết kế riêng và nguy cơ trùng intent trong cụm sản phẩm.</t>
        </is>
      </c>
      <c r="I4" s="2" t="inlineStr">
        <is>
          <t>["evidence_batch_009_081", "https://jeminise.com/products/custom-name-catcher-batter-baseball-baseball-throw-baseba-design-01", "serp_qa_081", "customizer_audit.json"]</t>
        </is>
      </c>
      <c r="J4" s="2" t="inlineStr">
        <is>
          <t>["ISS-081-IMG-04", "ISS-071-DESC", "ISS-071-CANN", "ISS-071-META"]</t>
        </is>
      </c>
    </row>
    <row r="5" ht="42" customHeight="1">
      <c r="A5" s="3" t="inlineStr">
        <is>
          <t>jeminise.com+custom-name-catcher-batter-baseball-baseball-throw-baseba-design-01</t>
        </is>
      </c>
      <c r="B5" s="3" t="inlineStr">
        <is>
          <t>K2</t>
        </is>
      </c>
      <c r="C5" s="3" t="n">
        <v>5</v>
      </c>
      <c r="D5" s="3" t="inlineStr">
        <is>
          <t>PARTIAL</t>
        </is>
      </c>
      <c r="E5" s="7">
        <f>IF(B5="I1",AVERAGEIF('QA_Images'!$A$2:$A$60,A5,'QA_Images'!$T$2:$T$60)/100,IF(D5="FULL",1,IF(D5="PARTIAL",0.5,IF(D5="FAIL",0,""))))</f>
        <v/>
      </c>
      <c r="F5" s="7">
        <f>IF(E5="",0,C5*E5)</f>
        <v/>
      </c>
      <c r="G5" s="7">
        <f>IF(B5="I1",20*AVERAGEIF('QA_Images'!$A$2:$A$60,A5,'QA_Images'!$U$2:$U$60)/100,IF(D5="NOT_CHECKED",0,C5))</f>
        <v/>
      </c>
      <c r="H5" s="3" t="inlineStr">
        <is>
          <t>Đã đọc primary và comparator SERP theo US commercial intent; nhiều kết quả là blanket/duvet nên chỉ PARTIAL.</t>
        </is>
      </c>
      <c r="I5" s="3" t="inlineStr">
        <is>
          <t>["evidence_batch_009_081", "https://jeminise.com/products/custom-name-catcher-batter-baseball-baseball-throw-baseba-design-01", "serp_qa_081", "customizer_audit.json"]</t>
        </is>
      </c>
      <c r="J5" s="3" t="inlineStr">
        <is>
          <t>["ISS-081-IMG-04", "ISS-071-DESC", "ISS-071-CANN", "ISS-071-META"]</t>
        </is>
      </c>
    </row>
    <row r="6" ht="42" customHeight="1">
      <c r="A6" s="2" t="inlineStr">
        <is>
          <t>jeminise.com+custom-name-catcher-batter-baseball-baseball-throw-baseba-design-01</t>
        </is>
      </c>
      <c r="B6" s="2" t="inlineStr">
        <is>
          <t>K3</t>
        </is>
      </c>
      <c r="C6" s="2" t="n">
        <v>5</v>
      </c>
      <c r="D6" s="2" t="inlineStr">
        <is>
          <t>PARTIAL</t>
        </is>
      </c>
      <c r="E6" s="5">
        <f>IF(B6="I1",AVERAGEIF('QA_Images'!$A$2:$A$60,A6,'QA_Images'!$T$2:$T$60)/100,IF(D6="FULL",1,IF(D6="PARTIAL",0.5,IF(D6="FAIL",0,""))))</f>
        <v/>
      </c>
      <c r="F6" s="5">
        <f>IF(E6="",0,C6*E6)</f>
        <v/>
      </c>
      <c r="G6" s="5">
        <f>IF(B6="I1",20*AVERAGEIF('QA_Images'!$A$2:$A$60,A6,'QA_Images'!$U$2:$U$60)/100,IF(D6="NOT_CHECKED",0,C6))</f>
        <v/>
      </c>
      <c r="H6" s="2" t="inlineStr">
        <is>
          <t>Modifier theo artwork có dùng nhưng mười trang cùng cluster còn nguy cơ cannibalization.</t>
        </is>
      </c>
      <c r="I6" s="2" t="inlineStr">
        <is>
          <t>["evidence_batch_009_081", "https://jeminise.com/products/custom-name-catcher-batter-baseball-baseball-throw-baseba-design-01", "serp_qa_081", "customizer_audit.json"]</t>
        </is>
      </c>
      <c r="J6" s="2" t="inlineStr">
        <is>
          <t>["ISS-081-IMG-04", "ISS-071-DESC", "ISS-071-CANN", "ISS-071-META"]</t>
        </is>
      </c>
    </row>
    <row r="7" ht="42" customHeight="1">
      <c r="A7" s="3" t="inlineStr">
        <is>
          <t>jeminise.com+custom-name-catcher-batter-baseball-baseball-throw-baseba-design-01</t>
        </is>
      </c>
      <c r="B7" s="3" t="inlineStr">
        <is>
          <t>T1</t>
        </is>
      </c>
      <c r="C7" s="3" t="n">
        <v>10</v>
      </c>
      <c r="D7" s="3" t="inlineStr">
        <is>
          <t>FULL</t>
        </is>
      </c>
      <c r="E7" s="7">
        <f>IF(B7="I1",AVERAGEIF('QA_Images'!$A$2:$A$60,A7,'QA_Images'!$T$2:$T$60)/100,IF(D7="FULL",1,IF(D7="PARTIAL",0.5,IF(D7="FAIL",0,""))))</f>
        <v/>
      </c>
      <c r="F7" s="7">
        <f>IF(E7="",0,C7*E7)</f>
        <v/>
      </c>
      <c r="G7" s="7">
        <f>IF(B7="I1",20*AVERAGEIF('QA_Images'!$A$2:$A$60,A7,'QA_Images'!$U$2:$U$60)/100,IF(D7="NOT_CHECKED",0,C7))</f>
        <v/>
      </c>
      <c r="H7" s="3" t="inlineStr">
        <is>
          <t>Đánh giá SEO title English về độ đúng, tự nhiên, keyword và điểm phân biệt.</t>
        </is>
      </c>
      <c r="I7" s="3" t="inlineStr">
        <is>
          <t>["evidence_batch_009_081", "https://jeminise.com/products/custom-name-catcher-batter-baseball-baseball-throw-baseba-design-01", "serp_qa_081", "customizer_audit.json"]</t>
        </is>
      </c>
      <c r="J7" s="3" t="inlineStr">
        <is>
          <t>["ISS-081-IMG-04", "ISS-071-DESC", "ISS-071-CANN", "ISS-071-META"]</t>
        </is>
      </c>
    </row>
    <row r="8" ht="42" customHeight="1">
      <c r="A8" s="2" t="inlineStr">
        <is>
          <t>jeminise.com+custom-name-catcher-batter-baseball-baseball-throw-baseba-design-01</t>
        </is>
      </c>
      <c r="B8" s="2" t="inlineStr">
        <is>
          <t>T2</t>
        </is>
      </c>
      <c r="C8" s="2" t="n">
        <v>5</v>
      </c>
      <c r="D8" s="2" t="inlineStr">
        <is>
          <t>PARTIAL</t>
        </is>
      </c>
      <c r="E8" s="5">
        <f>IF(B8="I1",AVERAGEIF('QA_Images'!$A$2:$A$60,A8,'QA_Images'!$T$2:$T$60)/100,IF(D8="FULL",1,IF(D8="PARTIAL",0.5,IF(D8="FAIL",0,""))))</f>
        <v/>
      </c>
      <c r="F8" s="5">
        <f>IF(E8="",0,C8*E8)</f>
        <v/>
      </c>
      <c r="G8" s="5">
        <f>IF(B8="I1",20*AVERAGEIF('QA_Images'!$A$2:$A$60,A8,'QA_Images'!$U$2:$U$60)/100,IF(D8="NOT_CHECKED",0,C8))</f>
        <v/>
      </c>
      <c r="H8" s="2" t="inlineStr">
        <is>
          <t>Meta đúng motif nhưng quá dài và chưa diễn đạt cơ chế Customize gọn, rõ.</t>
        </is>
      </c>
      <c r="I8" s="2" t="inlineStr">
        <is>
          <t>["evidence_batch_009_081", "https://jeminise.com/products/custom-name-catcher-batter-baseball-baseball-throw-baseba-design-01", "serp_qa_081", "customizer_audit.json"]</t>
        </is>
      </c>
      <c r="J8" s="2" t="inlineStr">
        <is>
          <t>["ISS-081-IMG-04", "ISS-071-DESC", "ISS-071-CANN", "ISS-071-META"]</t>
        </is>
      </c>
    </row>
    <row r="9" ht="42" customHeight="1">
      <c r="A9" s="3" t="inlineStr">
        <is>
          <t>jeminise.com+custom-name-catcher-batter-baseball-baseball-throw-baseba-design-01</t>
        </is>
      </c>
      <c r="B9" s="3" t="inlineStr">
        <is>
          <t>D1</t>
        </is>
      </c>
      <c r="C9" s="3" t="n">
        <v>5</v>
      </c>
      <c r="D9" s="3" t="inlineStr">
        <is>
          <t>FAIL</t>
        </is>
      </c>
      <c r="E9" s="7">
        <f>IF(B9="I1",AVERAGEIF('QA_Images'!$A$2:$A$60,A9,'QA_Images'!$T$2:$T$60)/100,IF(D9="FULL",1,IF(D9="PARTIAL",0.5,IF(D9="FAIL",0,""))))</f>
        <v/>
      </c>
      <c r="F9" s="7">
        <f>IF(E9="",0,C9*E9)</f>
        <v/>
      </c>
      <c r="G9" s="7">
        <f>IF(B9="I1",20*AVERAGEIF('QA_Images'!$A$2:$A$60,A9,'QA_Images'!$U$2:$U$60)/100,IF(D9="NOT_CHECKED",0,C9))</f>
        <v/>
      </c>
      <c r="H9" s="3" t="inlineStr">
        <is>
          <t>Description chứa nguyên khối SEO Use/QA/import nội bộ.</t>
        </is>
      </c>
      <c r="I9" s="3" t="inlineStr">
        <is>
          <t>["evidence_batch_009_081", "https://jeminise.com/products/custom-name-catcher-batter-baseball-baseball-throw-baseba-design-01", "serp_qa_081", "customizer_audit.json"]</t>
        </is>
      </c>
      <c r="J9" s="3" t="inlineStr">
        <is>
          <t>["ISS-081-IMG-04", "ISS-071-DESC", "ISS-071-CANN", "ISS-071-META"]</t>
        </is>
      </c>
    </row>
    <row r="10" ht="42" customHeight="1">
      <c r="A10" s="2" t="inlineStr">
        <is>
          <t>jeminise.com+custom-name-catcher-batter-baseball-baseball-throw-baseba-design-01</t>
        </is>
      </c>
      <c r="B10" s="2" t="inlineStr">
        <is>
          <t>D2</t>
        </is>
      </c>
      <c r="C10" s="2" t="n">
        <v>10</v>
      </c>
      <c r="D10" s="2" t="inlineStr">
        <is>
          <t>PARTIAL</t>
        </is>
      </c>
      <c r="E10" s="5">
        <f>IF(B10="I1",AVERAGEIF('QA_Images'!$A$2:$A$60,A10,'QA_Images'!$T$2:$T$60)/100,IF(D10="FULL",1,IF(D10="PARTIAL",0.5,IF(D10="FAIL",0,""))))</f>
        <v/>
      </c>
      <c r="F10" s="5">
        <f>IF(E10="",0,C10*E10)</f>
        <v/>
      </c>
      <c r="G10" s="5">
        <f>IF(B10="I1",20*AVERAGEIF('QA_Images'!$A$2:$A$60,A10,'QA_Images'!$U$2:$U$60)/100,IF(D10="NOT_CHECKED",0,C10))</f>
        <v/>
      </c>
      <c r="H10" s="2" t="inlineStr">
        <is>
          <t>Facts chính khớp nguồn, nhưng copy chưa publish-ready và chưa nói rõ ràng quy trình Customize.</t>
        </is>
      </c>
      <c r="I10" s="2" t="inlineStr">
        <is>
          <t>["evidence_batch_009_081", "https://jeminise.com/products/custom-name-catcher-batter-baseball-baseball-throw-baseba-design-01", "serp_qa_081", "customizer_audit.json"]</t>
        </is>
      </c>
      <c r="J10" s="2" t="inlineStr">
        <is>
          <t>["ISS-081-IMG-04", "ISS-071-DESC", "ISS-071-CANN", "ISS-071-META"]</t>
        </is>
      </c>
    </row>
    <row r="11" ht="42" customHeight="1">
      <c r="A11" s="3" t="inlineStr">
        <is>
          <t>jeminise.com+custom-name-catcher-batter-baseball-baseball-throw-baseba-design-01</t>
        </is>
      </c>
      <c r="B11" s="3" t="inlineStr">
        <is>
          <t>I1</t>
        </is>
      </c>
      <c r="C11" s="3" t="n">
        <v>20</v>
      </c>
      <c r="D11" s="3" t="inlineStr">
        <is>
          <t>DERIVED</t>
        </is>
      </c>
      <c r="E11" s="7">
        <f>IF(B11="I1",AVERAGEIF('QA_Images'!$A$2:$A$60,A11,'QA_Images'!$T$2:$T$60)/100,IF(D11="FULL",1,IF(D11="PARTIAL",0.5,IF(D11="FAIL",0,""))))</f>
        <v/>
      </c>
      <c r="F11" s="7">
        <f>IF(E11="",0,C11*E11)</f>
        <v/>
      </c>
      <c r="G11" s="7">
        <f>IF(B11="I1",20*AVERAGEIF('QA_Images'!$A$2:$A$60,A11,'QA_Images'!$U$2:$U$60)/100,IF(D11="NOT_CHECKED",0,C11))</f>
        <v/>
      </c>
      <c r="H11" s="3" t="inlineStr">
        <is>
          <t>Tính từ trung bình 5 ảnh: 98.0000/100.</t>
        </is>
      </c>
      <c r="I11" s="3" t="inlineStr">
        <is>
          <t>["evidence_batch_009_081", "https://jeminise.com/products/custom-name-catcher-batter-baseball-baseball-throw-baseba-design-01", "serp_qa_081", "customizer_audit.json"]</t>
        </is>
      </c>
      <c r="J11" s="3" t="inlineStr">
        <is>
          <t>["ISS-081-IMG-04", "ISS-071-DESC", "ISS-071-CANN", "ISS-071-META"]</t>
        </is>
      </c>
    </row>
    <row r="12" ht="42" customHeight="1">
      <c r="A12" s="2" t="inlineStr">
        <is>
          <t>jeminise.com+custom-name-catcher-batter-baseball-baseball-throw-baseba-design-01</t>
        </is>
      </c>
      <c r="B12" s="2" t="inlineStr">
        <is>
          <t>E1</t>
        </is>
      </c>
      <c r="C12" s="2" t="n">
        <v>5</v>
      </c>
      <c r="D12" s="2" t="inlineStr">
        <is>
          <t>PARTIAL</t>
        </is>
      </c>
      <c r="E12" s="5">
        <f>IF(B12="I1",AVERAGEIF('QA_Images'!$A$2:$A$60,A12,'QA_Images'!$T$2:$T$60)/100,IF(D12="FULL",1,IF(D12="PARTIAL",0.5,IF(D12="FAIL",0,""))))</f>
        <v/>
      </c>
      <c r="F12" s="5">
        <f>IF(E12="",0,C12*E12)</f>
        <v/>
      </c>
      <c r="G12" s="5">
        <f>IF(B12="I1",20*AVERAGEIF('QA_Images'!$A$2:$A$60,A12,'QA_Images'!$U$2:$U$60)/100,IF(D12="NOT_CHECKED",0,C12))</f>
        <v/>
      </c>
      <c r="H12" s="2" t="inlineStr">
        <is>
          <t>Chuỗi evidence được kiểm tra; thiếu admin export và chưa chạy cart persistence.</t>
        </is>
      </c>
      <c r="I12" s="2" t="inlineStr">
        <is>
          <t>["evidence_batch_009_081", "https://jeminise.com/products/custom-name-catcher-batter-baseball-baseball-throw-baseba-design-01", "serp_qa_081", "customizer_audit.json"]</t>
        </is>
      </c>
      <c r="J12" s="2" t="inlineStr">
        <is>
          <t>["ISS-081-IMG-04", "ISS-071-DESC", "ISS-071-CANN", "ISS-071-META"]</t>
        </is>
      </c>
    </row>
    <row r="13" ht="42" customHeight="1">
      <c r="A13" s="3" t="inlineStr">
        <is>
          <t>jeminise.com+custom-name-catcher-batter-baseball-baseball-throw-baseba-design-07</t>
        </is>
      </c>
      <c r="B13" s="3" t="inlineStr">
        <is>
          <t>P1</t>
        </is>
      </c>
      <c r="C13" s="3" t="n">
        <v>15</v>
      </c>
      <c r="D13" s="3" t="inlineStr">
        <is>
          <t>FULL</t>
        </is>
      </c>
      <c r="E13" s="7">
        <f>IF(B13="I1",AVERAGEIF('QA_Images'!$A$2:$A$60,A13,'QA_Images'!$T$2:$T$60)/100,IF(D13="FULL",1,IF(D13="PARTIAL",0.5,IF(D13="FAIL",0,""))))</f>
        <v/>
      </c>
      <c r="F13" s="7">
        <f>IF(E13="",0,C13*E13)</f>
        <v/>
      </c>
      <c r="G13" s="7">
        <f>IF(B13="I1",20*AVERAGEIF('QA_Images'!$A$2:$A$60,A13,'QA_Images'!$U$2:$U$60)/100,IF(D13="NOT_CHECKED",0,C13))</f>
        <v/>
      </c>
      <c r="H13" s="3" t="inlineStr">
        <is>
          <t>Đối chiếu loại sản phẩm, thiết kế và màu với product JSON, H1 live và toàn bộ gallery.</t>
        </is>
      </c>
      <c r="I13" s="3" t="inlineStr">
        <is>
          <t>["evidence_batch_009_082", "https://jeminise.com/products/custom-name-catcher-batter-baseball-baseball-throw-baseba-design-07", "serp_qa_082", "customizer_audit.json"]</t>
        </is>
      </c>
      <c r="J13" s="3" t="inlineStr">
        <is>
          <t>["ISS-082-IMG-04", "ISS-072-DESC", "ISS-072-CANN", "ISS-072-META"]</t>
        </is>
      </c>
    </row>
    <row r="14" ht="42" customHeight="1">
      <c r="A14" s="2" t="inlineStr">
        <is>
          <t>jeminise.com+custom-name-catcher-batter-baseball-baseball-throw-baseba-design-07</t>
        </is>
      </c>
      <c r="B14" s="2" t="inlineStr">
        <is>
          <t>P2</t>
        </is>
      </c>
      <c r="C14" s="2" t="n">
        <v>10</v>
      </c>
      <c r="D14" s="2" t="inlineStr">
        <is>
          <t>FULL</t>
        </is>
      </c>
      <c r="E14" s="5">
        <f>IF(B14="I1",AVERAGEIF('QA_Images'!$A$2:$A$60,A14,'QA_Images'!$T$2:$T$60)/100,IF(D14="FULL",1,IF(D14="PARTIAL",0.5,IF(D14="FAIL",0,""))))</f>
        <v/>
      </c>
      <c r="F14" s="5">
        <f>IF(E14="",0,C14*E14)</f>
        <v/>
      </c>
      <c r="G14" s="5">
        <f>IF(B14="I1",20*AVERAGEIF('QA_Images'!$A$2:$A$60,A14,'QA_Images'!$U$2:$U$60)/100,IF(D14="NOT_CHECKED",0,C14))</f>
        <v/>
      </c>
      <c r="H14" s="2" t="inlineStr">
        <is>
          <t>Đã đối chiếu options, variants, description và cấu hình Amazon Customizer live có Name/Number.</t>
        </is>
      </c>
      <c r="I14" s="2" t="inlineStr">
        <is>
          <t>["evidence_batch_009_082", "https://jeminise.com/products/custom-name-catcher-batter-baseball-baseball-throw-baseba-design-07", "serp_qa_082", "customizer_audit.json"]</t>
        </is>
      </c>
      <c r="J14" s="2" t="inlineStr">
        <is>
          <t>["ISS-082-IMG-04", "ISS-072-DESC", "ISS-072-CANN", "ISS-072-META"]</t>
        </is>
      </c>
    </row>
    <row r="15" ht="42" customHeight="1">
      <c r="A15" s="3" t="inlineStr">
        <is>
          <t>jeminise.com+custom-name-catcher-batter-baseball-baseball-throw-baseba-design-07</t>
        </is>
      </c>
      <c r="B15" s="3" t="inlineStr">
        <is>
          <t>K1</t>
        </is>
      </c>
      <c r="C15" s="3" t="n">
        <v>10</v>
      </c>
      <c r="D15" s="3" t="inlineStr">
        <is>
          <t>FULL</t>
        </is>
      </c>
      <c r="E15" s="7">
        <f>IF(B15="I1",AVERAGEIF('QA_Images'!$A$2:$A$60,A15,'QA_Images'!$T$2:$T$60)/100,IF(D15="FULL",1,IF(D15="PARTIAL",0.5,IF(D15="FAIL",0,""))))</f>
        <v/>
      </c>
      <c r="F15" s="7">
        <f>IF(E15="",0,C15*E15)</f>
        <v/>
      </c>
      <c r="G15" s="7">
        <f>IF(B15="I1",20*AVERAGEIF('QA_Images'!$A$2:$A$60,A15,'QA_Images'!$U$2:$U$60)/100,IF(D15="NOT_CHECKED",0,C15))</f>
        <v/>
      </c>
      <c r="H15" s="3" t="inlineStr">
        <is>
          <t>Đối chiếu long-tail với thiết kế riêng và nguy cơ trùng intent trong cụm sản phẩm.</t>
        </is>
      </c>
      <c r="I15" s="3" t="inlineStr">
        <is>
          <t>["evidence_batch_009_082", "https://jeminise.com/products/custom-name-catcher-batter-baseball-baseball-throw-baseba-design-07", "serp_qa_082", "customizer_audit.json"]</t>
        </is>
      </c>
      <c r="J15" s="3" t="inlineStr">
        <is>
          <t>["ISS-082-IMG-04", "ISS-072-DESC", "ISS-072-CANN", "ISS-072-META"]</t>
        </is>
      </c>
    </row>
    <row r="16" ht="42" customHeight="1">
      <c r="A16" s="2" t="inlineStr">
        <is>
          <t>jeminise.com+custom-name-catcher-batter-baseball-baseball-throw-baseba-design-07</t>
        </is>
      </c>
      <c r="B16" s="2" t="inlineStr">
        <is>
          <t>K2</t>
        </is>
      </c>
      <c r="C16" s="2" t="n">
        <v>5</v>
      </c>
      <c r="D16" s="2" t="inlineStr">
        <is>
          <t>PARTIAL</t>
        </is>
      </c>
      <c r="E16" s="5">
        <f>IF(B16="I1",AVERAGEIF('QA_Images'!$A$2:$A$60,A16,'QA_Images'!$T$2:$T$60)/100,IF(D16="FULL",1,IF(D16="PARTIAL",0.5,IF(D16="FAIL",0,""))))</f>
        <v/>
      </c>
      <c r="F16" s="5">
        <f>IF(E16="",0,C16*E16)</f>
        <v/>
      </c>
      <c r="G16" s="5">
        <f>IF(B16="I1",20*AVERAGEIF('QA_Images'!$A$2:$A$60,A16,'QA_Images'!$U$2:$U$60)/100,IF(D16="NOT_CHECKED",0,C16))</f>
        <v/>
      </c>
      <c r="H16" s="2" t="inlineStr">
        <is>
          <t>Đã đọc primary và comparator SERP theo US commercial intent; nhiều kết quả là blanket/duvet nên chỉ PARTIAL.</t>
        </is>
      </c>
      <c r="I16" s="2" t="inlineStr">
        <is>
          <t>["evidence_batch_009_082", "https://jeminise.com/products/custom-name-catcher-batter-baseball-baseball-throw-baseba-design-07", "serp_qa_082", "customizer_audit.json"]</t>
        </is>
      </c>
      <c r="J16" s="2" t="inlineStr">
        <is>
          <t>["ISS-082-IMG-04", "ISS-072-DESC", "ISS-072-CANN", "ISS-072-META"]</t>
        </is>
      </c>
    </row>
    <row r="17" ht="42" customHeight="1">
      <c r="A17" s="3" t="inlineStr">
        <is>
          <t>jeminise.com+custom-name-catcher-batter-baseball-baseball-throw-baseba-design-07</t>
        </is>
      </c>
      <c r="B17" s="3" t="inlineStr">
        <is>
          <t>K3</t>
        </is>
      </c>
      <c r="C17" s="3" t="n">
        <v>5</v>
      </c>
      <c r="D17" s="3" t="inlineStr">
        <is>
          <t>PARTIAL</t>
        </is>
      </c>
      <c r="E17" s="7">
        <f>IF(B17="I1",AVERAGEIF('QA_Images'!$A$2:$A$60,A17,'QA_Images'!$T$2:$T$60)/100,IF(D17="FULL",1,IF(D17="PARTIAL",0.5,IF(D17="FAIL",0,""))))</f>
        <v/>
      </c>
      <c r="F17" s="7">
        <f>IF(E17="",0,C17*E17)</f>
        <v/>
      </c>
      <c r="G17" s="7">
        <f>IF(B17="I1",20*AVERAGEIF('QA_Images'!$A$2:$A$60,A17,'QA_Images'!$U$2:$U$60)/100,IF(D17="NOT_CHECKED",0,C17))</f>
        <v/>
      </c>
      <c r="H17" s="3" t="inlineStr">
        <is>
          <t>Modifier theo artwork có dùng nhưng mười trang cùng cluster còn nguy cơ cannibalization.</t>
        </is>
      </c>
      <c r="I17" s="3" t="inlineStr">
        <is>
          <t>["evidence_batch_009_082", "https://jeminise.com/products/custom-name-catcher-batter-baseball-baseball-throw-baseba-design-07", "serp_qa_082", "customizer_audit.json"]</t>
        </is>
      </c>
      <c r="J17" s="3" t="inlineStr">
        <is>
          <t>["ISS-082-IMG-04", "ISS-072-DESC", "ISS-072-CANN", "ISS-072-META"]</t>
        </is>
      </c>
    </row>
    <row r="18" ht="42" customHeight="1">
      <c r="A18" s="2" t="inlineStr">
        <is>
          <t>jeminise.com+custom-name-catcher-batter-baseball-baseball-throw-baseba-design-07</t>
        </is>
      </c>
      <c r="B18" s="2" t="inlineStr">
        <is>
          <t>T1</t>
        </is>
      </c>
      <c r="C18" s="2" t="n">
        <v>10</v>
      </c>
      <c r="D18" s="2" t="inlineStr">
        <is>
          <t>FULL</t>
        </is>
      </c>
      <c r="E18" s="5">
        <f>IF(B18="I1",AVERAGEIF('QA_Images'!$A$2:$A$60,A18,'QA_Images'!$T$2:$T$60)/100,IF(D18="FULL",1,IF(D18="PARTIAL",0.5,IF(D18="FAIL",0,""))))</f>
        <v/>
      </c>
      <c r="F18" s="5">
        <f>IF(E18="",0,C18*E18)</f>
        <v/>
      </c>
      <c r="G18" s="5">
        <f>IF(B18="I1",20*AVERAGEIF('QA_Images'!$A$2:$A$60,A18,'QA_Images'!$U$2:$U$60)/100,IF(D18="NOT_CHECKED",0,C18))</f>
        <v/>
      </c>
      <c r="H18" s="2" t="inlineStr">
        <is>
          <t>Đánh giá SEO title English về độ đúng, tự nhiên, keyword và điểm phân biệt.</t>
        </is>
      </c>
      <c r="I18" s="2" t="inlineStr">
        <is>
          <t>["evidence_batch_009_082", "https://jeminise.com/products/custom-name-catcher-batter-baseball-baseball-throw-baseba-design-07", "serp_qa_082", "customizer_audit.json"]</t>
        </is>
      </c>
      <c r="J18" s="2" t="inlineStr">
        <is>
          <t>["ISS-082-IMG-04", "ISS-072-DESC", "ISS-072-CANN", "ISS-072-META"]</t>
        </is>
      </c>
    </row>
    <row r="19" ht="42" customHeight="1">
      <c r="A19" s="3" t="inlineStr">
        <is>
          <t>jeminise.com+custom-name-catcher-batter-baseball-baseball-throw-baseba-design-07</t>
        </is>
      </c>
      <c r="B19" s="3" t="inlineStr">
        <is>
          <t>T2</t>
        </is>
      </c>
      <c r="C19" s="3" t="n">
        <v>5</v>
      </c>
      <c r="D19" s="3" t="inlineStr">
        <is>
          <t>PARTIAL</t>
        </is>
      </c>
      <c r="E19" s="7">
        <f>IF(B19="I1",AVERAGEIF('QA_Images'!$A$2:$A$60,A19,'QA_Images'!$T$2:$T$60)/100,IF(D19="FULL",1,IF(D19="PARTIAL",0.5,IF(D19="FAIL",0,""))))</f>
        <v/>
      </c>
      <c r="F19" s="7">
        <f>IF(E19="",0,C19*E19)</f>
        <v/>
      </c>
      <c r="G19" s="7">
        <f>IF(B19="I1",20*AVERAGEIF('QA_Images'!$A$2:$A$60,A19,'QA_Images'!$U$2:$U$60)/100,IF(D19="NOT_CHECKED",0,C19))</f>
        <v/>
      </c>
      <c r="H19" s="3" t="inlineStr">
        <is>
          <t>Meta đúng motif nhưng quá dài và chưa diễn đạt cơ chế Customize gọn, rõ.</t>
        </is>
      </c>
      <c r="I19" s="3" t="inlineStr">
        <is>
          <t>["evidence_batch_009_082", "https://jeminise.com/products/custom-name-catcher-batter-baseball-baseball-throw-baseba-design-07", "serp_qa_082", "customizer_audit.json"]</t>
        </is>
      </c>
      <c r="J19" s="3" t="inlineStr">
        <is>
          <t>["ISS-082-IMG-04", "ISS-072-DESC", "ISS-072-CANN", "ISS-072-META"]</t>
        </is>
      </c>
    </row>
    <row r="20" ht="42" customHeight="1">
      <c r="A20" s="2" t="inlineStr">
        <is>
          <t>jeminise.com+custom-name-catcher-batter-baseball-baseball-throw-baseba-design-07</t>
        </is>
      </c>
      <c r="B20" s="2" t="inlineStr">
        <is>
          <t>D1</t>
        </is>
      </c>
      <c r="C20" s="2" t="n">
        <v>5</v>
      </c>
      <c r="D20" s="2" t="inlineStr">
        <is>
          <t>FAIL</t>
        </is>
      </c>
      <c r="E20" s="5">
        <f>IF(B20="I1",AVERAGEIF('QA_Images'!$A$2:$A$60,A20,'QA_Images'!$T$2:$T$60)/100,IF(D20="FULL",1,IF(D20="PARTIAL",0.5,IF(D20="FAIL",0,""))))</f>
        <v/>
      </c>
      <c r="F20" s="5">
        <f>IF(E20="",0,C20*E20)</f>
        <v/>
      </c>
      <c r="G20" s="5">
        <f>IF(B20="I1",20*AVERAGEIF('QA_Images'!$A$2:$A$60,A20,'QA_Images'!$U$2:$U$60)/100,IF(D20="NOT_CHECKED",0,C20))</f>
        <v/>
      </c>
      <c r="H20" s="2" t="inlineStr">
        <is>
          <t>Description chứa nguyên khối SEO Use/QA/import nội bộ.</t>
        </is>
      </c>
      <c r="I20" s="2" t="inlineStr">
        <is>
          <t>["evidence_batch_009_082", "https://jeminise.com/products/custom-name-catcher-batter-baseball-baseball-throw-baseba-design-07", "serp_qa_082", "customizer_audit.json"]</t>
        </is>
      </c>
      <c r="J20" s="2" t="inlineStr">
        <is>
          <t>["ISS-082-IMG-04", "ISS-072-DESC", "ISS-072-CANN", "ISS-072-META"]</t>
        </is>
      </c>
    </row>
    <row r="21" ht="42" customHeight="1">
      <c r="A21" s="3" t="inlineStr">
        <is>
          <t>jeminise.com+custom-name-catcher-batter-baseball-baseball-throw-baseba-design-07</t>
        </is>
      </c>
      <c r="B21" s="3" t="inlineStr">
        <is>
          <t>D2</t>
        </is>
      </c>
      <c r="C21" s="3" t="n">
        <v>10</v>
      </c>
      <c r="D21" s="3" t="inlineStr">
        <is>
          <t>PARTIAL</t>
        </is>
      </c>
      <c r="E21" s="7">
        <f>IF(B21="I1",AVERAGEIF('QA_Images'!$A$2:$A$60,A21,'QA_Images'!$T$2:$T$60)/100,IF(D21="FULL",1,IF(D21="PARTIAL",0.5,IF(D21="FAIL",0,""))))</f>
        <v/>
      </c>
      <c r="F21" s="7">
        <f>IF(E21="",0,C21*E21)</f>
        <v/>
      </c>
      <c r="G21" s="7">
        <f>IF(B21="I1",20*AVERAGEIF('QA_Images'!$A$2:$A$60,A21,'QA_Images'!$U$2:$U$60)/100,IF(D21="NOT_CHECKED",0,C21))</f>
        <v/>
      </c>
      <c r="H21" s="3" t="inlineStr">
        <is>
          <t>Facts chính khớp nguồn, nhưng copy chưa publish-ready và chưa nói rõ ràng quy trình Customize.</t>
        </is>
      </c>
      <c r="I21" s="3" t="inlineStr">
        <is>
          <t>["evidence_batch_009_082", "https://jeminise.com/products/custom-name-catcher-batter-baseball-baseball-throw-baseba-design-07", "serp_qa_082", "customizer_audit.json"]</t>
        </is>
      </c>
      <c r="J21" s="3" t="inlineStr">
        <is>
          <t>["ISS-082-IMG-04", "ISS-072-DESC", "ISS-072-CANN", "ISS-072-META"]</t>
        </is>
      </c>
    </row>
    <row r="22" ht="42" customHeight="1">
      <c r="A22" s="2" t="inlineStr">
        <is>
          <t>jeminise.com+custom-name-catcher-batter-baseball-baseball-throw-baseba-design-07</t>
        </is>
      </c>
      <c r="B22" s="2" t="inlineStr">
        <is>
          <t>I1</t>
        </is>
      </c>
      <c r="C22" s="2" t="n">
        <v>20</v>
      </c>
      <c r="D22" s="2" t="inlineStr">
        <is>
          <t>DERIVED</t>
        </is>
      </c>
      <c r="E22" s="5">
        <f>IF(B22="I1",AVERAGEIF('QA_Images'!$A$2:$A$60,A22,'QA_Images'!$T$2:$T$60)/100,IF(D22="FULL",1,IF(D22="PARTIAL",0.5,IF(D22="FAIL",0,""))))</f>
        <v/>
      </c>
      <c r="F22" s="5">
        <f>IF(E22="",0,C22*E22)</f>
        <v/>
      </c>
      <c r="G22" s="5">
        <f>IF(B22="I1",20*AVERAGEIF('QA_Images'!$A$2:$A$60,A22,'QA_Images'!$U$2:$U$60)/100,IF(D22="NOT_CHECKED",0,C22))</f>
        <v/>
      </c>
      <c r="H22" s="2" t="inlineStr">
        <is>
          <t>Tính từ trung bình 6 ảnh: 98.3333/100.</t>
        </is>
      </c>
      <c r="I22" s="2" t="inlineStr">
        <is>
          <t>["evidence_batch_009_082", "https://jeminise.com/products/custom-name-catcher-batter-baseball-baseball-throw-baseba-design-07", "serp_qa_082", "customizer_audit.json"]</t>
        </is>
      </c>
      <c r="J22" s="2" t="inlineStr">
        <is>
          <t>["ISS-082-IMG-04", "ISS-072-DESC", "ISS-072-CANN", "ISS-072-META"]</t>
        </is>
      </c>
    </row>
    <row r="23" ht="42" customHeight="1">
      <c r="A23" s="3" t="inlineStr">
        <is>
          <t>jeminise.com+custom-name-catcher-batter-baseball-baseball-throw-baseba-design-07</t>
        </is>
      </c>
      <c r="B23" s="3" t="inlineStr">
        <is>
          <t>E1</t>
        </is>
      </c>
      <c r="C23" s="3" t="n">
        <v>5</v>
      </c>
      <c r="D23" s="3" t="inlineStr">
        <is>
          <t>PARTIAL</t>
        </is>
      </c>
      <c r="E23" s="7">
        <f>IF(B23="I1",AVERAGEIF('QA_Images'!$A$2:$A$60,A23,'QA_Images'!$T$2:$T$60)/100,IF(D23="FULL",1,IF(D23="PARTIAL",0.5,IF(D23="FAIL",0,""))))</f>
        <v/>
      </c>
      <c r="F23" s="7">
        <f>IF(E23="",0,C23*E23)</f>
        <v/>
      </c>
      <c r="G23" s="7">
        <f>IF(B23="I1",20*AVERAGEIF('QA_Images'!$A$2:$A$60,A23,'QA_Images'!$U$2:$U$60)/100,IF(D23="NOT_CHECKED",0,C23))</f>
        <v/>
      </c>
      <c r="H23" s="3" t="inlineStr">
        <is>
          <t>Chuỗi evidence được kiểm tra; thiếu admin export và chưa chạy cart persistence.</t>
        </is>
      </c>
      <c r="I23" s="3" t="inlineStr">
        <is>
          <t>["evidence_batch_009_082", "https://jeminise.com/products/custom-name-catcher-batter-baseball-baseball-throw-baseba-design-07", "serp_qa_082", "customizer_audit.json"]</t>
        </is>
      </c>
      <c r="J23" s="3" t="inlineStr">
        <is>
          <t>["ISS-082-IMG-04", "ISS-072-DESC", "ISS-072-CANN", "ISS-072-META"]</t>
        </is>
      </c>
    </row>
    <row r="24" ht="42" customHeight="1">
      <c r="A24" s="2" t="inlineStr">
        <is>
          <t>jeminise.com+custom-name-catcher-batter-baseball-baseball-throw-baseba-design-10</t>
        </is>
      </c>
      <c r="B24" s="2" t="inlineStr">
        <is>
          <t>P1</t>
        </is>
      </c>
      <c r="C24" s="2" t="n">
        <v>15</v>
      </c>
      <c r="D24" s="2" t="inlineStr">
        <is>
          <t>FULL</t>
        </is>
      </c>
      <c r="E24" s="5">
        <f>IF(B24="I1",AVERAGEIF('QA_Images'!$A$2:$A$60,A24,'QA_Images'!$T$2:$T$60)/100,IF(D24="FULL",1,IF(D24="PARTIAL",0.5,IF(D24="FAIL",0,""))))</f>
        <v/>
      </c>
      <c r="F24" s="5">
        <f>IF(E24="",0,C24*E24)</f>
        <v/>
      </c>
      <c r="G24" s="5">
        <f>IF(B24="I1",20*AVERAGEIF('QA_Images'!$A$2:$A$60,A24,'QA_Images'!$U$2:$U$60)/100,IF(D24="NOT_CHECKED",0,C24))</f>
        <v/>
      </c>
      <c r="H24" s="2" t="inlineStr">
        <is>
          <t>Đối chiếu loại sản phẩm, thiết kế và màu với product JSON, H1 live và toàn bộ gallery.</t>
        </is>
      </c>
      <c r="I24" s="2" t="inlineStr">
        <is>
          <t>["evidence_batch_009_083", "https://jeminise.com/products/custom-name-catcher-batter-baseball-baseball-throw-baseba-design-10", "serp_qa_083", "customizer_audit.json"]</t>
        </is>
      </c>
      <c r="J24" s="2" t="inlineStr">
        <is>
          <t>["ISS-083-IMG-04", "ISS-073-DESC", "ISS-073-CANN", "ISS-073-META"]</t>
        </is>
      </c>
    </row>
    <row r="25" ht="42" customHeight="1">
      <c r="A25" s="3" t="inlineStr">
        <is>
          <t>jeminise.com+custom-name-catcher-batter-baseball-baseball-throw-baseba-design-10</t>
        </is>
      </c>
      <c r="B25" s="3" t="inlineStr">
        <is>
          <t>P2</t>
        </is>
      </c>
      <c r="C25" s="3" t="n">
        <v>10</v>
      </c>
      <c r="D25" s="3" t="inlineStr">
        <is>
          <t>FULL</t>
        </is>
      </c>
      <c r="E25" s="7">
        <f>IF(B25="I1",AVERAGEIF('QA_Images'!$A$2:$A$60,A25,'QA_Images'!$T$2:$T$60)/100,IF(D25="FULL",1,IF(D25="PARTIAL",0.5,IF(D25="FAIL",0,""))))</f>
        <v/>
      </c>
      <c r="F25" s="7">
        <f>IF(E25="",0,C25*E25)</f>
        <v/>
      </c>
      <c r="G25" s="7">
        <f>IF(B25="I1",20*AVERAGEIF('QA_Images'!$A$2:$A$60,A25,'QA_Images'!$U$2:$U$60)/100,IF(D25="NOT_CHECKED",0,C25))</f>
        <v/>
      </c>
      <c r="H25" s="3" t="inlineStr">
        <is>
          <t>Đã đối chiếu options, variants, description và cấu hình Amazon Customizer live có Name/Number.</t>
        </is>
      </c>
      <c r="I25" s="3" t="inlineStr">
        <is>
          <t>["evidence_batch_009_083", "https://jeminise.com/products/custom-name-catcher-batter-baseball-baseball-throw-baseba-design-10", "serp_qa_083", "customizer_audit.json"]</t>
        </is>
      </c>
      <c r="J25" s="3" t="inlineStr">
        <is>
          <t>["ISS-083-IMG-04", "ISS-073-DESC", "ISS-073-CANN", "ISS-073-META"]</t>
        </is>
      </c>
    </row>
    <row r="26" ht="42" customHeight="1">
      <c r="A26" s="2" t="inlineStr">
        <is>
          <t>jeminise.com+custom-name-catcher-batter-baseball-baseball-throw-baseba-design-10</t>
        </is>
      </c>
      <c r="B26" s="2" t="inlineStr">
        <is>
          <t>K1</t>
        </is>
      </c>
      <c r="C26" s="2" t="n">
        <v>10</v>
      </c>
      <c r="D26" s="2" t="inlineStr">
        <is>
          <t>FULL</t>
        </is>
      </c>
      <c r="E26" s="5">
        <f>IF(B26="I1",AVERAGEIF('QA_Images'!$A$2:$A$60,A26,'QA_Images'!$T$2:$T$60)/100,IF(D26="FULL",1,IF(D26="PARTIAL",0.5,IF(D26="FAIL",0,""))))</f>
        <v/>
      </c>
      <c r="F26" s="5">
        <f>IF(E26="",0,C26*E26)</f>
        <v/>
      </c>
      <c r="G26" s="5">
        <f>IF(B26="I1",20*AVERAGEIF('QA_Images'!$A$2:$A$60,A26,'QA_Images'!$U$2:$U$60)/100,IF(D26="NOT_CHECKED",0,C26))</f>
        <v/>
      </c>
      <c r="H26" s="2" t="inlineStr">
        <is>
          <t>Đối chiếu long-tail với thiết kế riêng và nguy cơ trùng intent trong cụm sản phẩm.</t>
        </is>
      </c>
      <c r="I26" s="2" t="inlineStr">
        <is>
          <t>["evidence_batch_009_083", "https://jeminise.com/products/custom-name-catcher-batter-baseball-baseball-throw-baseba-design-10", "serp_qa_083", "customizer_audit.json"]</t>
        </is>
      </c>
      <c r="J26" s="2" t="inlineStr">
        <is>
          <t>["ISS-083-IMG-04", "ISS-073-DESC", "ISS-073-CANN", "ISS-073-META"]</t>
        </is>
      </c>
    </row>
    <row r="27" ht="42" customHeight="1">
      <c r="A27" s="3" t="inlineStr">
        <is>
          <t>jeminise.com+custom-name-catcher-batter-baseball-baseball-throw-baseba-design-10</t>
        </is>
      </c>
      <c r="B27" s="3" t="inlineStr">
        <is>
          <t>K2</t>
        </is>
      </c>
      <c r="C27" s="3" t="n">
        <v>5</v>
      </c>
      <c r="D27" s="3" t="inlineStr">
        <is>
          <t>PARTIAL</t>
        </is>
      </c>
      <c r="E27" s="7">
        <f>IF(B27="I1",AVERAGEIF('QA_Images'!$A$2:$A$60,A27,'QA_Images'!$T$2:$T$60)/100,IF(D27="FULL",1,IF(D27="PARTIAL",0.5,IF(D27="FAIL",0,""))))</f>
        <v/>
      </c>
      <c r="F27" s="7">
        <f>IF(E27="",0,C27*E27)</f>
        <v/>
      </c>
      <c r="G27" s="7">
        <f>IF(B27="I1",20*AVERAGEIF('QA_Images'!$A$2:$A$60,A27,'QA_Images'!$U$2:$U$60)/100,IF(D27="NOT_CHECKED",0,C27))</f>
        <v/>
      </c>
      <c r="H27" s="3" t="inlineStr">
        <is>
          <t>Đã đọc primary và comparator SERP theo US commercial intent; nhiều kết quả là blanket/duvet nên chỉ PARTIAL.</t>
        </is>
      </c>
      <c r="I27" s="3" t="inlineStr">
        <is>
          <t>["evidence_batch_009_083", "https://jeminise.com/products/custom-name-catcher-batter-baseball-baseball-throw-baseba-design-10", "serp_qa_083", "customizer_audit.json"]</t>
        </is>
      </c>
      <c r="J27" s="3" t="inlineStr">
        <is>
          <t>["ISS-083-IMG-04", "ISS-073-DESC", "ISS-073-CANN", "ISS-073-META"]</t>
        </is>
      </c>
    </row>
    <row r="28" ht="42" customHeight="1">
      <c r="A28" s="2" t="inlineStr">
        <is>
          <t>jeminise.com+custom-name-catcher-batter-baseball-baseball-throw-baseba-design-10</t>
        </is>
      </c>
      <c r="B28" s="2" t="inlineStr">
        <is>
          <t>K3</t>
        </is>
      </c>
      <c r="C28" s="2" t="n">
        <v>5</v>
      </c>
      <c r="D28" s="2" t="inlineStr">
        <is>
          <t>PARTIAL</t>
        </is>
      </c>
      <c r="E28" s="5">
        <f>IF(B28="I1",AVERAGEIF('QA_Images'!$A$2:$A$60,A28,'QA_Images'!$T$2:$T$60)/100,IF(D28="FULL",1,IF(D28="PARTIAL",0.5,IF(D28="FAIL",0,""))))</f>
        <v/>
      </c>
      <c r="F28" s="5">
        <f>IF(E28="",0,C28*E28)</f>
        <v/>
      </c>
      <c r="G28" s="5">
        <f>IF(B28="I1",20*AVERAGEIF('QA_Images'!$A$2:$A$60,A28,'QA_Images'!$U$2:$U$60)/100,IF(D28="NOT_CHECKED",0,C28))</f>
        <v/>
      </c>
      <c r="H28" s="2" t="inlineStr">
        <is>
          <t>Modifier theo artwork có dùng nhưng mười trang cùng cluster còn nguy cơ cannibalization.</t>
        </is>
      </c>
      <c r="I28" s="2" t="inlineStr">
        <is>
          <t>["evidence_batch_009_083", "https://jeminise.com/products/custom-name-catcher-batter-baseball-baseball-throw-baseba-design-10", "serp_qa_083", "customizer_audit.json"]</t>
        </is>
      </c>
      <c r="J28" s="2" t="inlineStr">
        <is>
          <t>["ISS-083-IMG-04", "ISS-073-DESC", "ISS-073-CANN", "ISS-073-META"]</t>
        </is>
      </c>
    </row>
    <row r="29" ht="42" customHeight="1">
      <c r="A29" s="3" t="inlineStr">
        <is>
          <t>jeminise.com+custom-name-catcher-batter-baseball-baseball-throw-baseba-design-10</t>
        </is>
      </c>
      <c r="B29" s="3" t="inlineStr">
        <is>
          <t>T1</t>
        </is>
      </c>
      <c r="C29" s="3" t="n">
        <v>10</v>
      </c>
      <c r="D29" s="3" t="inlineStr">
        <is>
          <t>FULL</t>
        </is>
      </c>
      <c r="E29" s="7">
        <f>IF(B29="I1",AVERAGEIF('QA_Images'!$A$2:$A$60,A29,'QA_Images'!$T$2:$T$60)/100,IF(D29="FULL",1,IF(D29="PARTIAL",0.5,IF(D29="FAIL",0,""))))</f>
        <v/>
      </c>
      <c r="F29" s="7">
        <f>IF(E29="",0,C29*E29)</f>
        <v/>
      </c>
      <c r="G29" s="7">
        <f>IF(B29="I1",20*AVERAGEIF('QA_Images'!$A$2:$A$60,A29,'QA_Images'!$U$2:$U$60)/100,IF(D29="NOT_CHECKED",0,C29))</f>
        <v/>
      </c>
      <c r="H29" s="3" t="inlineStr">
        <is>
          <t>Đánh giá SEO title English về độ đúng, tự nhiên, keyword và điểm phân biệt.</t>
        </is>
      </c>
      <c r="I29" s="3" t="inlineStr">
        <is>
          <t>["evidence_batch_009_083", "https://jeminise.com/products/custom-name-catcher-batter-baseball-baseball-throw-baseba-design-10", "serp_qa_083", "customizer_audit.json"]</t>
        </is>
      </c>
      <c r="J29" s="3" t="inlineStr">
        <is>
          <t>["ISS-083-IMG-04", "ISS-073-DESC", "ISS-073-CANN", "ISS-073-META"]</t>
        </is>
      </c>
    </row>
    <row r="30" ht="42" customHeight="1">
      <c r="A30" s="2" t="inlineStr">
        <is>
          <t>jeminise.com+custom-name-catcher-batter-baseball-baseball-throw-baseba-design-10</t>
        </is>
      </c>
      <c r="B30" s="2" t="inlineStr">
        <is>
          <t>T2</t>
        </is>
      </c>
      <c r="C30" s="2" t="n">
        <v>5</v>
      </c>
      <c r="D30" s="2" t="inlineStr">
        <is>
          <t>PARTIAL</t>
        </is>
      </c>
      <c r="E30" s="5">
        <f>IF(B30="I1",AVERAGEIF('QA_Images'!$A$2:$A$60,A30,'QA_Images'!$T$2:$T$60)/100,IF(D30="FULL",1,IF(D30="PARTIAL",0.5,IF(D30="FAIL",0,""))))</f>
        <v/>
      </c>
      <c r="F30" s="5">
        <f>IF(E30="",0,C30*E30)</f>
        <v/>
      </c>
      <c r="G30" s="5">
        <f>IF(B30="I1",20*AVERAGEIF('QA_Images'!$A$2:$A$60,A30,'QA_Images'!$U$2:$U$60)/100,IF(D30="NOT_CHECKED",0,C30))</f>
        <v/>
      </c>
      <c r="H30" s="2" t="inlineStr">
        <is>
          <t>Meta đúng motif nhưng quá dài và chưa diễn đạt cơ chế Customize gọn, rõ.</t>
        </is>
      </c>
      <c r="I30" s="2" t="inlineStr">
        <is>
          <t>["evidence_batch_009_083", "https://jeminise.com/products/custom-name-catcher-batter-baseball-baseball-throw-baseba-design-10", "serp_qa_083", "customizer_audit.json"]</t>
        </is>
      </c>
      <c r="J30" s="2" t="inlineStr">
        <is>
          <t>["ISS-083-IMG-04", "ISS-073-DESC", "ISS-073-CANN", "ISS-073-META"]</t>
        </is>
      </c>
    </row>
    <row r="31" ht="42" customHeight="1">
      <c r="A31" s="3" t="inlineStr">
        <is>
          <t>jeminise.com+custom-name-catcher-batter-baseball-baseball-throw-baseba-design-10</t>
        </is>
      </c>
      <c r="B31" s="3" t="inlineStr">
        <is>
          <t>D1</t>
        </is>
      </c>
      <c r="C31" s="3" t="n">
        <v>5</v>
      </c>
      <c r="D31" s="3" t="inlineStr">
        <is>
          <t>FAIL</t>
        </is>
      </c>
      <c r="E31" s="7">
        <f>IF(B31="I1",AVERAGEIF('QA_Images'!$A$2:$A$60,A31,'QA_Images'!$T$2:$T$60)/100,IF(D31="FULL",1,IF(D31="PARTIAL",0.5,IF(D31="FAIL",0,""))))</f>
        <v/>
      </c>
      <c r="F31" s="7">
        <f>IF(E31="",0,C31*E31)</f>
        <v/>
      </c>
      <c r="G31" s="7">
        <f>IF(B31="I1",20*AVERAGEIF('QA_Images'!$A$2:$A$60,A31,'QA_Images'!$U$2:$U$60)/100,IF(D31="NOT_CHECKED",0,C31))</f>
        <v/>
      </c>
      <c r="H31" s="3" t="inlineStr">
        <is>
          <t>Description chứa nguyên khối SEO Use/QA/import nội bộ.</t>
        </is>
      </c>
      <c r="I31" s="3" t="inlineStr">
        <is>
          <t>["evidence_batch_009_083", "https://jeminise.com/products/custom-name-catcher-batter-baseball-baseball-throw-baseba-design-10", "serp_qa_083", "customizer_audit.json"]</t>
        </is>
      </c>
      <c r="J31" s="3" t="inlineStr">
        <is>
          <t>["ISS-083-IMG-04", "ISS-073-DESC", "ISS-073-CANN", "ISS-073-META"]</t>
        </is>
      </c>
    </row>
    <row r="32" ht="42" customHeight="1">
      <c r="A32" s="2" t="inlineStr">
        <is>
          <t>jeminise.com+custom-name-catcher-batter-baseball-baseball-throw-baseba-design-10</t>
        </is>
      </c>
      <c r="B32" s="2" t="inlineStr">
        <is>
          <t>D2</t>
        </is>
      </c>
      <c r="C32" s="2" t="n">
        <v>10</v>
      </c>
      <c r="D32" s="2" t="inlineStr">
        <is>
          <t>PARTIAL</t>
        </is>
      </c>
      <c r="E32" s="5">
        <f>IF(B32="I1",AVERAGEIF('QA_Images'!$A$2:$A$60,A32,'QA_Images'!$T$2:$T$60)/100,IF(D32="FULL",1,IF(D32="PARTIAL",0.5,IF(D32="FAIL",0,""))))</f>
        <v/>
      </c>
      <c r="F32" s="5">
        <f>IF(E32="",0,C32*E32)</f>
        <v/>
      </c>
      <c r="G32" s="5">
        <f>IF(B32="I1",20*AVERAGEIF('QA_Images'!$A$2:$A$60,A32,'QA_Images'!$U$2:$U$60)/100,IF(D32="NOT_CHECKED",0,C32))</f>
        <v/>
      </c>
      <c r="H32" s="2" t="inlineStr">
        <is>
          <t>Facts chính khớp nguồn, nhưng copy chưa publish-ready và chưa nói rõ ràng quy trình Customize.</t>
        </is>
      </c>
      <c r="I32" s="2" t="inlineStr">
        <is>
          <t>["evidence_batch_009_083", "https://jeminise.com/products/custom-name-catcher-batter-baseball-baseball-throw-baseba-design-10", "serp_qa_083", "customizer_audit.json"]</t>
        </is>
      </c>
      <c r="J32" s="2" t="inlineStr">
        <is>
          <t>["ISS-083-IMG-04", "ISS-073-DESC", "ISS-073-CANN", "ISS-073-META"]</t>
        </is>
      </c>
    </row>
    <row r="33" ht="42" customHeight="1">
      <c r="A33" s="3" t="inlineStr">
        <is>
          <t>jeminise.com+custom-name-catcher-batter-baseball-baseball-throw-baseba-design-10</t>
        </is>
      </c>
      <c r="B33" s="3" t="inlineStr">
        <is>
          <t>I1</t>
        </is>
      </c>
      <c r="C33" s="3" t="n">
        <v>20</v>
      </c>
      <c r="D33" s="3" t="inlineStr">
        <is>
          <t>DERIVED</t>
        </is>
      </c>
      <c r="E33" s="7">
        <f>IF(B33="I1",AVERAGEIF('QA_Images'!$A$2:$A$60,A33,'QA_Images'!$T$2:$T$60)/100,IF(D33="FULL",1,IF(D33="PARTIAL",0.5,IF(D33="FAIL",0,""))))</f>
        <v/>
      </c>
      <c r="F33" s="7">
        <f>IF(E33="",0,C33*E33)</f>
        <v/>
      </c>
      <c r="G33" s="7">
        <f>IF(B33="I1",20*AVERAGEIF('QA_Images'!$A$2:$A$60,A33,'QA_Images'!$U$2:$U$60)/100,IF(D33="NOT_CHECKED",0,C33))</f>
        <v/>
      </c>
      <c r="H33" s="3" t="inlineStr">
        <is>
          <t>Tính từ trung bình 7 ảnh: 98.5714/100.</t>
        </is>
      </c>
      <c r="I33" s="3" t="inlineStr">
        <is>
          <t>["evidence_batch_009_083", "https://jeminise.com/products/custom-name-catcher-batter-baseball-baseball-throw-baseba-design-10", "serp_qa_083", "customizer_audit.json"]</t>
        </is>
      </c>
      <c r="J33" s="3" t="inlineStr">
        <is>
          <t>["ISS-083-IMG-04", "ISS-073-DESC", "ISS-073-CANN", "ISS-073-META"]</t>
        </is>
      </c>
    </row>
    <row r="34" ht="42" customHeight="1">
      <c r="A34" s="2" t="inlineStr">
        <is>
          <t>jeminise.com+custom-name-catcher-batter-baseball-baseball-throw-baseba-design-10</t>
        </is>
      </c>
      <c r="B34" s="2" t="inlineStr">
        <is>
          <t>E1</t>
        </is>
      </c>
      <c r="C34" s="2" t="n">
        <v>5</v>
      </c>
      <c r="D34" s="2" t="inlineStr">
        <is>
          <t>PARTIAL</t>
        </is>
      </c>
      <c r="E34" s="5">
        <f>IF(B34="I1",AVERAGEIF('QA_Images'!$A$2:$A$60,A34,'QA_Images'!$T$2:$T$60)/100,IF(D34="FULL",1,IF(D34="PARTIAL",0.5,IF(D34="FAIL",0,""))))</f>
        <v/>
      </c>
      <c r="F34" s="5">
        <f>IF(E34="",0,C34*E34)</f>
        <v/>
      </c>
      <c r="G34" s="5">
        <f>IF(B34="I1",20*AVERAGEIF('QA_Images'!$A$2:$A$60,A34,'QA_Images'!$U$2:$U$60)/100,IF(D34="NOT_CHECKED",0,C34))</f>
        <v/>
      </c>
      <c r="H34" s="2" t="inlineStr">
        <is>
          <t>Chuỗi evidence được kiểm tra; thiếu admin export và chưa chạy cart persistence.</t>
        </is>
      </c>
      <c r="I34" s="2" t="inlineStr">
        <is>
          <t>["evidence_batch_009_083", "https://jeminise.com/products/custom-name-catcher-batter-baseball-baseball-throw-baseba-design-10", "serp_qa_083", "customizer_audit.json"]</t>
        </is>
      </c>
      <c r="J34" s="2" t="inlineStr">
        <is>
          <t>["ISS-083-IMG-04", "ISS-073-DESC", "ISS-073-CANN", "ISS-073-META"]</t>
        </is>
      </c>
    </row>
    <row r="35" ht="42" customHeight="1">
      <c r="A35" s="3" t="inlineStr">
        <is>
          <t>jeminise.com+custom-name-catcher-batter-baseball-baseball-throw-baseba-design-11</t>
        </is>
      </c>
      <c r="B35" s="3" t="inlineStr">
        <is>
          <t>P1</t>
        </is>
      </c>
      <c r="C35" s="3" t="n">
        <v>15</v>
      </c>
      <c r="D35" s="3" t="inlineStr">
        <is>
          <t>FULL</t>
        </is>
      </c>
      <c r="E35" s="7">
        <f>IF(B35="I1",AVERAGEIF('QA_Images'!$A$2:$A$60,A35,'QA_Images'!$T$2:$T$60)/100,IF(D35="FULL",1,IF(D35="PARTIAL",0.5,IF(D35="FAIL",0,""))))</f>
        <v/>
      </c>
      <c r="F35" s="7">
        <f>IF(E35="",0,C35*E35)</f>
        <v/>
      </c>
      <c r="G35" s="7">
        <f>IF(B35="I1",20*AVERAGEIF('QA_Images'!$A$2:$A$60,A35,'QA_Images'!$U$2:$U$60)/100,IF(D35="NOT_CHECKED",0,C35))</f>
        <v/>
      </c>
      <c r="H35" s="3" t="inlineStr">
        <is>
          <t>Đối chiếu loại sản phẩm, thiết kế và màu với product JSON, H1 live và toàn bộ gallery.</t>
        </is>
      </c>
      <c r="I35" s="3" t="inlineStr">
        <is>
          <t>["evidence_batch_009_084", "https://jeminise.com/products/custom-name-catcher-batter-baseball-baseball-throw-baseba-design-11", "serp_qa_084", "customizer_audit.json"]</t>
        </is>
      </c>
      <c r="J35" s="3" t="inlineStr">
        <is>
          <t>["ISS-084-IMG-04", "ISS-074-DESC", "ISS-074-CANN", "ISS-074-META"]</t>
        </is>
      </c>
    </row>
    <row r="36" ht="42" customHeight="1">
      <c r="A36" s="2" t="inlineStr">
        <is>
          <t>jeminise.com+custom-name-catcher-batter-baseball-baseball-throw-baseba-design-11</t>
        </is>
      </c>
      <c r="B36" s="2" t="inlineStr">
        <is>
          <t>P2</t>
        </is>
      </c>
      <c r="C36" s="2" t="n">
        <v>10</v>
      </c>
      <c r="D36" s="2" t="inlineStr">
        <is>
          <t>FULL</t>
        </is>
      </c>
      <c r="E36" s="5">
        <f>IF(B36="I1",AVERAGEIF('QA_Images'!$A$2:$A$60,A36,'QA_Images'!$T$2:$T$60)/100,IF(D36="FULL",1,IF(D36="PARTIAL",0.5,IF(D36="FAIL",0,""))))</f>
        <v/>
      </c>
      <c r="F36" s="5">
        <f>IF(E36="",0,C36*E36)</f>
        <v/>
      </c>
      <c r="G36" s="5">
        <f>IF(B36="I1",20*AVERAGEIF('QA_Images'!$A$2:$A$60,A36,'QA_Images'!$U$2:$U$60)/100,IF(D36="NOT_CHECKED",0,C36))</f>
        <v/>
      </c>
      <c r="H36" s="2" t="inlineStr">
        <is>
          <t>Đã đối chiếu options, variants, description và cấu hình Amazon Customizer live có Name/Number.</t>
        </is>
      </c>
      <c r="I36" s="2" t="inlineStr">
        <is>
          <t>["evidence_batch_009_084", "https://jeminise.com/products/custom-name-catcher-batter-baseball-baseball-throw-baseba-design-11", "serp_qa_084", "customizer_audit.json"]</t>
        </is>
      </c>
      <c r="J36" s="2" t="inlineStr">
        <is>
          <t>["ISS-084-IMG-04", "ISS-074-DESC", "ISS-074-CANN", "ISS-074-META"]</t>
        </is>
      </c>
    </row>
    <row r="37" ht="42" customHeight="1">
      <c r="A37" s="3" t="inlineStr">
        <is>
          <t>jeminise.com+custom-name-catcher-batter-baseball-baseball-throw-baseba-design-11</t>
        </is>
      </c>
      <c r="B37" s="3" t="inlineStr">
        <is>
          <t>K1</t>
        </is>
      </c>
      <c r="C37" s="3" t="n">
        <v>10</v>
      </c>
      <c r="D37" s="3" t="inlineStr">
        <is>
          <t>FULL</t>
        </is>
      </c>
      <c r="E37" s="7">
        <f>IF(B37="I1",AVERAGEIF('QA_Images'!$A$2:$A$60,A37,'QA_Images'!$T$2:$T$60)/100,IF(D37="FULL",1,IF(D37="PARTIAL",0.5,IF(D37="FAIL",0,""))))</f>
        <v/>
      </c>
      <c r="F37" s="7">
        <f>IF(E37="",0,C37*E37)</f>
        <v/>
      </c>
      <c r="G37" s="7">
        <f>IF(B37="I1",20*AVERAGEIF('QA_Images'!$A$2:$A$60,A37,'QA_Images'!$U$2:$U$60)/100,IF(D37="NOT_CHECKED",0,C37))</f>
        <v/>
      </c>
      <c r="H37" s="3" t="inlineStr">
        <is>
          <t>Đối chiếu long-tail với thiết kế riêng và nguy cơ trùng intent trong cụm sản phẩm.</t>
        </is>
      </c>
      <c r="I37" s="3" t="inlineStr">
        <is>
          <t>["evidence_batch_009_084", "https://jeminise.com/products/custom-name-catcher-batter-baseball-baseball-throw-baseba-design-11", "serp_qa_084", "customizer_audit.json"]</t>
        </is>
      </c>
      <c r="J37" s="3" t="inlineStr">
        <is>
          <t>["ISS-084-IMG-04", "ISS-074-DESC", "ISS-074-CANN", "ISS-074-META"]</t>
        </is>
      </c>
    </row>
    <row r="38" ht="42" customHeight="1">
      <c r="A38" s="2" t="inlineStr">
        <is>
          <t>jeminise.com+custom-name-catcher-batter-baseball-baseball-throw-baseba-design-11</t>
        </is>
      </c>
      <c r="B38" s="2" t="inlineStr">
        <is>
          <t>K2</t>
        </is>
      </c>
      <c r="C38" s="2" t="n">
        <v>5</v>
      </c>
      <c r="D38" s="2" t="inlineStr">
        <is>
          <t>PARTIAL</t>
        </is>
      </c>
      <c r="E38" s="5">
        <f>IF(B38="I1",AVERAGEIF('QA_Images'!$A$2:$A$60,A38,'QA_Images'!$T$2:$T$60)/100,IF(D38="FULL",1,IF(D38="PARTIAL",0.5,IF(D38="FAIL",0,""))))</f>
        <v/>
      </c>
      <c r="F38" s="5">
        <f>IF(E38="",0,C38*E38)</f>
        <v/>
      </c>
      <c r="G38" s="5">
        <f>IF(B38="I1",20*AVERAGEIF('QA_Images'!$A$2:$A$60,A38,'QA_Images'!$U$2:$U$60)/100,IF(D38="NOT_CHECKED",0,C38))</f>
        <v/>
      </c>
      <c r="H38" s="2" t="inlineStr">
        <is>
          <t>Đã đọc primary và comparator SERP theo US commercial intent; nhiều kết quả là blanket/duvet nên chỉ PARTIAL.</t>
        </is>
      </c>
      <c r="I38" s="2" t="inlineStr">
        <is>
          <t>["evidence_batch_009_084", "https://jeminise.com/products/custom-name-catcher-batter-baseball-baseball-throw-baseba-design-11", "serp_qa_084", "customizer_audit.json"]</t>
        </is>
      </c>
      <c r="J38" s="2" t="inlineStr">
        <is>
          <t>["ISS-084-IMG-04", "ISS-074-DESC", "ISS-074-CANN", "ISS-074-META"]</t>
        </is>
      </c>
    </row>
    <row r="39" ht="42" customHeight="1">
      <c r="A39" s="3" t="inlineStr">
        <is>
          <t>jeminise.com+custom-name-catcher-batter-baseball-baseball-throw-baseba-design-11</t>
        </is>
      </c>
      <c r="B39" s="3" t="inlineStr">
        <is>
          <t>K3</t>
        </is>
      </c>
      <c r="C39" s="3" t="n">
        <v>5</v>
      </c>
      <c r="D39" s="3" t="inlineStr">
        <is>
          <t>PARTIAL</t>
        </is>
      </c>
      <c r="E39" s="7">
        <f>IF(B39="I1",AVERAGEIF('QA_Images'!$A$2:$A$60,A39,'QA_Images'!$T$2:$T$60)/100,IF(D39="FULL",1,IF(D39="PARTIAL",0.5,IF(D39="FAIL",0,""))))</f>
        <v/>
      </c>
      <c r="F39" s="7">
        <f>IF(E39="",0,C39*E39)</f>
        <v/>
      </c>
      <c r="G39" s="7">
        <f>IF(B39="I1",20*AVERAGEIF('QA_Images'!$A$2:$A$60,A39,'QA_Images'!$U$2:$U$60)/100,IF(D39="NOT_CHECKED",0,C39))</f>
        <v/>
      </c>
      <c r="H39" s="3" t="inlineStr">
        <is>
          <t>Modifier theo artwork có dùng nhưng mười trang cùng cluster còn nguy cơ cannibalization.</t>
        </is>
      </c>
      <c r="I39" s="3" t="inlineStr">
        <is>
          <t>["evidence_batch_009_084", "https://jeminise.com/products/custom-name-catcher-batter-baseball-baseball-throw-baseba-design-11", "serp_qa_084", "customizer_audit.json"]</t>
        </is>
      </c>
      <c r="J39" s="3" t="inlineStr">
        <is>
          <t>["ISS-084-IMG-04", "ISS-074-DESC", "ISS-074-CANN", "ISS-074-META"]</t>
        </is>
      </c>
    </row>
    <row r="40" ht="42" customHeight="1">
      <c r="A40" s="2" t="inlineStr">
        <is>
          <t>jeminise.com+custom-name-catcher-batter-baseball-baseball-throw-baseba-design-11</t>
        </is>
      </c>
      <c r="B40" s="2" t="inlineStr">
        <is>
          <t>T1</t>
        </is>
      </c>
      <c r="C40" s="2" t="n">
        <v>10</v>
      </c>
      <c r="D40" s="2" t="inlineStr">
        <is>
          <t>FULL</t>
        </is>
      </c>
      <c r="E40" s="5">
        <f>IF(B40="I1",AVERAGEIF('QA_Images'!$A$2:$A$60,A40,'QA_Images'!$T$2:$T$60)/100,IF(D40="FULL",1,IF(D40="PARTIAL",0.5,IF(D40="FAIL",0,""))))</f>
        <v/>
      </c>
      <c r="F40" s="5">
        <f>IF(E40="",0,C40*E40)</f>
        <v/>
      </c>
      <c r="G40" s="5">
        <f>IF(B40="I1",20*AVERAGEIF('QA_Images'!$A$2:$A$60,A40,'QA_Images'!$U$2:$U$60)/100,IF(D40="NOT_CHECKED",0,C40))</f>
        <v/>
      </c>
      <c r="H40" s="2" t="inlineStr">
        <is>
          <t>Đánh giá SEO title English về độ đúng, tự nhiên, keyword và điểm phân biệt.</t>
        </is>
      </c>
      <c r="I40" s="2" t="inlineStr">
        <is>
          <t>["evidence_batch_009_084", "https://jeminise.com/products/custom-name-catcher-batter-baseball-baseball-throw-baseba-design-11", "serp_qa_084", "customizer_audit.json"]</t>
        </is>
      </c>
      <c r="J40" s="2" t="inlineStr">
        <is>
          <t>["ISS-084-IMG-04", "ISS-074-DESC", "ISS-074-CANN", "ISS-074-META"]</t>
        </is>
      </c>
    </row>
    <row r="41" ht="42" customHeight="1">
      <c r="A41" s="3" t="inlineStr">
        <is>
          <t>jeminise.com+custom-name-catcher-batter-baseball-baseball-throw-baseba-design-11</t>
        </is>
      </c>
      <c r="B41" s="3" t="inlineStr">
        <is>
          <t>T2</t>
        </is>
      </c>
      <c r="C41" s="3" t="n">
        <v>5</v>
      </c>
      <c r="D41" s="3" t="inlineStr">
        <is>
          <t>PARTIAL</t>
        </is>
      </c>
      <c r="E41" s="7">
        <f>IF(B41="I1",AVERAGEIF('QA_Images'!$A$2:$A$60,A41,'QA_Images'!$T$2:$T$60)/100,IF(D41="FULL",1,IF(D41="PARTIAL",0.5,IF(D41="FAIL",0,""))))</f>
        <v/>
      </c>
      <c r="F41" s="7">
        <f>IF(E41="",0,C41*E41)</f>
        <v/>
      </c>
      <c r="G41" s="7">
        <f>IF(B41="I1",20*AVERAGEIF('QA_Images'!$A$2:$A$60,A41,'QA_Images'!$U$2:$U$60)/100,IF(D41="NOT_CHECKED",0,C41))</f>
        <v/>
      </c>
      <c r="H41" s="3" t="inlineStr">
        <is>
          <t>Meta đúng motif nhưng quá dài và chưa diễn đạt cơ chế Customize gọn, rõ.</t>
        </is>
      </c>
      <c r="I41" s="3" t="inlineStr">
        <is>
          <t>["evidence_batch_009_084", "https://jeminise.com/products/custom-name-catcher-batter-baseball-baseball-throw-baseba-design-11", "serp_qa_084", "customizer_audit.json"]</t>
        </is>
      </c>
      <c r="J41" s="3" t="inlineStr">
        <is>
          <t>["ISS-084-IMG-04", "ISS-074-DESC", "ISS-074-CANN", "ISS-074-META"]</t>
        </is>
      </c>
    </row>
    <row r="42" ht="42" customHeight="1">
      <c r="A42" s="2" t="inlineStr">
        <is>
          <t>jeminise.com+custom-name-catcher-batter-baseball-baseball-throw-baseba-design-11</t>
        </is>
      </c>
      <c r="B42" s="2" t="inlineStr">
        <is>
          <t>D1</t>
        </is>
      </c>
      <c r="C42" s="2" t="n">
        <v>5</v>
      </c>
      <c r="D42" s="2" t="inlineStr">
        <is>
          <t>FAIL</t>
        </is>
      </c>
      <c r="E42" s="5">
        <f>IF(B42="I1",AVERAGEIF('QA_Images'!$A$2:$A$60,A42,'QA_Images'!$T$2:$T$60)/100,IF(D42="FULL",1,IF(D42="PARTIAL",0.5,IF(D42="FAIL",0,""))))</f>
        <v/>
      </c>
      <c r="F42" s="5">
        <f>IF(E42="",0,C42*E42)</f>
        <v/>
      </c>
      <c r="G42" s="5">
        <f>IF(B42="I1",20*AVERAGEIF('QA_Images'!$A$2:$A$60,A42,'QA_Images'!$U$2:$U$60)/100,IF(D42="NOT_CHECKED",0,C42))</f>
        <v/>
      </c>
      <c r="H42" s="2" t="inlineStr">
        <is>
          <t>Description chứa nguyên khối SEO Use/QA/import nội bộ.</t>
        </is>
      </c>
      <c r="I42" s="2" t="inlineStr">
        <is>
          <t>["evidence_batch_009_084", "https://jeminise.com/products/custom-name-catcher-batter-baseball-baseball-throw-baseba-design-11", "serp_qa_084", "customizer_audit.json"]</t>
        </is>
      </c>
      <c r="J42" s="2" t="inlineStr">
        <is>
          <t>["ISS-084-IMG-04", "ISS-074-DESC", "ISS-074-CANN", "ISS-074-META"]</t>
        </is>
      </c>
    </row>
    <row r="43" ht="42" customHeight="1">
      <c r="A43" s="3" t="inlineStr">
        <is>
          <t>jeminise.com+custom-name-catcher-batter-baseball-baseball-throw-baseba-design-11</t>
        </is>
      </c>
      <c r="B43" s="3" t="inlineStr">
        <is>
          <t>D2</t>
        </is>
      </c>
      <c r="C43" s="3" t="n">
        <v>10</v>
      </c>
      <c r="D43" s="3" t="inlineStr">
        <is>
          <t>PARTIAL</t>
        </is>
      </c>
      <c r="E43" s="7">
        <f>IF(B43="I1",AVERAGEIF('QA_Images'!$A$2:$A$60,A43,'QA_Images'!$T$2:$T$60)/100,IF(D43="FULL",1,IF(D43="PARTIAL",0.5,IF(D43="FAIL",0,""))))</f>
        <v/>
      </c>
      <c r="F43" s="7">
        <f>IF(E43="",0,C43*E43)</f>
        <v/>
      </c>
      <c r="G43" s="7">
        <f>IF(B43="I1",20*AVERAGEIF('QA_Images'!$A$2:$A$60,A43,'QA_Images'!$U$2:$U$60)/100,IF(D43="NOT_CHECKED",0,C43))</f>
        <v/>
      </c>
      <c r="H43" s="3" t="inlineStr">
        <is>
          <t>Facts chính khớp nguồn, nhưng copy chưa publish-ready và chưa nói rõ ràng quy trình Customize.</t>
        </is>
      </c>
      <c r="I43" s="3" t="inlineStr">
        <is>
          <t>["evidence_batch_009_084", "https://jeminise.com/products/custom-name-catcher-batter-baseball-baseball-throw-baseba-design-11", "serp_qa_084", "customizer_audit.json"]</t>
        </is>
      </c>
      <c r="J43" s="3" t="inlineStr">
        <is>
          <t>["ISS-084-IMG-04", "ISS-074-DESC", "ISS-074-CANN", "ISS-074-META"]</t>
        </is>
      </c>
    </row>
    <row r="44" ht="42" customHeight="1">
      <c r="A44" s="2" t="inlineStr">
        <is>
          <t>jeminise.com+custom-name-catcher-batter-baseball-baseball-throw-baseba-design-11</t>
        </is>
      </c>
      <c r="B44" s="2" t="inlineStr">
        <is>
          <t>I1</t>
        </is>
      </c>
      <c r="C44" s="2" t="n">
        <v>20</v>
      </c>
      <c r="D44" s="2" t="inlineStr">
        <is>
          <t>DERIVED</t>
        </is>
      </c>
      <c r="E44" s="5">
        <f>IF(B44="I1",AVERAGEIF('QA_Images'!$A$2:$A$60,A44,'QA_Images'!$T$2:$T$60)/100,IF(D44="FULL",1,IF(D44="PARTIAL",0.5,IF(D44="FAIL",0,""))))</f>
        <v/>
      </c>
      <c r="F44" s="5">
        <f>IF(E44="",0,C44*E44)</f>
        <v/>
      </c>
      <c r="G44" s="5">
        <f>IF(B44="I1",20*AVERAGEIF('QA_Images'!$A$2:$A$60,A44,'QA_Images'!$U$2:$U$60)/100,IF(D44="NOT_CHECKED",0,C44))</f>
        <v/>
      </c>
      <c r="H44" s="2" t="inlineStr">
        <is>
          <t>Tính từ trung bình 7 ảnh: 98.5714/100.</t>
        </is>
      </c>
      <c r="I44" s="2" t="inlineStr">
        <is>
          <t>["evidence_batch_009_084", "https://jeminise.com/products/custom-name-catcher-batter-baseball-baseball-throw-baseba-design-11", "serp_qa_084", "customizer_audit.json"]</t>
        </is>
      </c>
      <c r="J44" s="2" t="inlineStr">
        <is>
          <t>["ISS-084-IMG-04", "ISS-074-DESC", "ISS-074-CANN", "ISS-074-META"]</t>
        </is>
      </c>
    </row>
    <row r="45" ht="42" customHeight="1">
      <c r="A45" s="3" t="inlineStr">
        <is>
          <t>jeminise.com+custom-name-catcher-batter-baseball-baseball-throw-baseba-design-11</t>
        </is>
      </c>
      <c r="B45" s="3" t="inlineStr">
        <is>
          <t>E1</t>
        </is>
      </c>
      <c r="C45" s="3" t="n">
        <v>5</v>
      </c>
      <c r="D45" s="3" t="inlineStr">
        <is>
          <t>PARTIAL</t>
        </is>
      </c>
      <c r="E45" s="7">
        <f>IF(B45="I1",AVERAGEIF('QA_Images'!$A$2:$A$60,A45,'QA_Images'!$T$2:$T$60)/100,IF(D45="FULL",1,IF(D45="PARTIAL",0.5,IF(D45="FAIL",0,""))))</f>
        <v/>
      </c>
      <c r="F45" s="7">
        <f>IF(E45="",0,C45*E45)</f>
        <v/>
      </c>
      <c r="G45" s="7">
        <f>IF(B45="I1",20*AVERAGEIF('QA_Images'!$A$2:$A$60,A45,'QA_Images'!$U$2:$U$60)/100,IF(D45="NOT_CHECKED",0,C45))</f>
        <v/>
      </c>
      <c r="H45" s="3" t="inlineStr">
        <is>
          <t>Chuỗi evidence được kiểm tra; thiếu admin export và chưa chạy cart persistence.</t>
        </is>
      </c>
      <c r="I45" s="3" t="inlineStr">
        <is>
          <t>["evidence_batch_009_084", "https://jeminise.com/products/custom-name-catcher-batter-baseball-baseball-throw-baseba-design-11", "serp_qa_084", "customizer_audit.json"]</t>
        </is>
      </c>
      <c r="J45" s="3" t="inlineStr">
        <is>
          <t>["ISS-084-IMG-04", "ISS-074-DESC", "ISS-074-CANN", "ISS-074-META"]</t>
        </is>
      </c>
    </row>
    <row r="46" ht="42" customHeight="1">
      <c r="A46" s="2" t="inlineStr">
        <is>
          <t>jeminise.com+custom-name-catcher-batter-baseball-baseball-throw-baseba-design-12</t>
        </is>
      </c>
      <c r="B46" s="2" t="inlineStr">
        <is>
          <t>P1</t>
        </is>
      </c>
      <c r="C46" s="2" t="n">
        <v>15</v>
      </c>
      <c r="D46" s="2" t="inlineStr">
        <is>
          <t>FULL</t>
        </is>
      </c>
      <c r="E46" s="5">
        <f>IF(B46="I1",AVERAGEIF('QA_Images'!$A$2:$A$60,A46,'QA_Images'!$T$2:$T$60)/100,IF(D46="FULL",1,IF(D46="PARTIAL",0.5,IF(D46="FAIL",0,""))))</f>
        <v/>
      </c>
      <c r="F46" s="5">
        <f>IF(E46="",0,C46*E46)</f>
        <v/>
      </c>
      <c r="G46" s="5">
        <f>IF(B46="I1",20*AVERAGEIF('QA_Images'!$A$2:$A$60,A46,'QA_Images'!$U$2:$U$60)/100,IF(D46="NOT_CHECKED",0,C46))</f>
        <v/>
      </c>
      <c r="H46" s="2" t="inlineStr">
        <is>
          <t>Đối chiếu loại sản phẩm, thiết kế và màu với product JSON, H1 live và toàn bộ gallery.</t>
        </is>
      </c>
      <c r="I46" s="2" t="inlineStr">
        <is>
          <t>["evidence_batch_009_085", "https://jeminise.com/products/custom-name-catcher-batter-baseball-baseball-throw-baseba-design-12", "serp_qa_085", "customizer_audit.json"]</t>
        </is>
      </c>
      <c r="J46" s="2" t="inlineStr">
        <is>
          <t>["ISS-085-IMG-04", "ISS-075-DESC", "ISS-075-CANN", "ISS-075-META"]</t>
        </is>
      </c>
    </row>
    <row r="47" ht="42" customHeight="1">
      <c r="A47" s="3" t="inlineStr">
        <is>
          <t>jeminise.com+custom-name-catcher-batter-baseball-baseball-throw-baseba-design-12</t>
        </is>
      </c>
      <c r="B47" s="3" t="inlineStr">
        <is>
          <t>P2</t>
        </is>
      </c>
      <c r="C47" s="3" t="n">
        <v>10</v>
      </c>
      <c r="D47" s="3" t="inlineStr">
        <is>
          <t>FULL</t>
        </is>
      </c>
      <c r="E47" s="7">
        <f>IF(B47="I1",AVERAGEIF('QA_Images'!$A$2:$A$60,A47,'QA_Images'!$T$2:$T$60)/100,IF(D47="FULL",1,IF(D47="PARTIAL",0.5,IF(D47="FAIL",0,""))))</f>
        <v/>
      </c>
      <c r="F47" s="7">
        <f>IF(E47="",0,C47*E47)</f>
        <v/>
      </c>
      <c r="G47" s="7">
        <f>IF(B47="I1",20*AVERAGEIF('QA_Images'!$A$2:$A$60,A47,'QA_Images'!$U$2:$U$60)/100,IF(D47="NOT_CHECKED",0,C47))</f>
        <v/>
      </c>
      <c r="H47" s="3" t="inlineStr">
        <is>
          <t>Đã đối chiếu options, variants, description và cấu hình Amazon Customizer live có Name/Number.</t>
        </is>
      </c>
      <c r="I47" s="3" t="inlineStr">
        <is>
          <t>["evidence_batch_009_085", "https://jeminise.com/products/custom-name-catcher-batter-baseball-baseball-throw-baseba-design-12", "serp_qa_085", "customizer_audit.json"]</t>
        </is>
      </c>
      <c r="J47" s="3" t="inlineStr">
        <is>
          <t>["ISS-085-IMG-04", "ISS-075-DESC", "ISS-075-CANN", "ISS-075-META"]</t>
        </is>
      </c>
    </row>
    <row r="48" ht="42" customHeight="1">
      <c r="A48" s="2" t="inlineStr">
        <is>
          <t>jeminise.com+custom-name-catcher-batter-baseball-baseball-throw-baseba-design-12</t>
        </is>
      </c>
      <c r="B48" s="2" t="inlineStr">
        <is>
          <t>K1</t>
        </is>
      </c>
      <c r="C48" s="2" t="n">
        <v>10</v>
      </c>
      <c r="D48" s="2" t="inlineStr">
        <is>
          <t>FULL</t>
        </is>
      </c>
      <c r="E48" s="5">
        <f>IF(B48="I1",AVERAGEIF('QA_Images'!$A$2:$A$60,A48,'QA_Images'!$T$2:$T$60)/100,IF(D48="FULL",1,IF(D48="PARTIAL",0.5,IF(D48="FAIL",0,""))))</f>
        <v/>
      </c>
      <c r="F48" s="5">
        <f>IF(E48="",0,C48*E48)</f>
        <v/>
      </c>
      <c r="G48" s="5">
        <f>IF(B48="I1",20*AVERAGEIF('QA_Images'!$A$2:$A$60,A48,'QA_Images'!$U$2:$U$60)/100,IF(D48="NOT_CHECKED",0,C48))</f>
        <v/>
      </c>
      <c r="H48" s="2" t="inlineStr">
        <is>
          <t>Đối chiếu long-tail với thiết kế riêng và nguy cơ trùng intent trong cụm sản phẩm.</t>
        </is>
      </c>
      <c r="I48" s="2" t="inlineStr">
        <is>
          <t>["evidence_batch_009_085", "https://jeminise.com/products/custom-name-catcher-batter-baseball-baseball-throw-baseba-design-12", "serp_qa_085", "customizer_audit.json"]</t>
        </is>
      </c>
      <c r="J48" s="2" t="inlineStr">
        <is>
          <t>["ISS-085-IMG-04", "ISS-075-DESC", "ISS-075-CANN", "ISS-075-META"]</t>
        </is>
      </c>
    </row>
    <row r="49" ht="42" customHeight="1">
      <c r="A49" s="3" t="inlineStr">
        <is>
          <t>jeminise.com+custom-name-catcher-batter-baseball-baseball-throw-baseba-design-12</t>
        </is>
      </c>
      <c r="B49" s="3" t="inlineStr">
        <is>
          <t>K2</t>
        </is>
      </c>
      <c r="C49" s="3" t="n">
        <v>5</v>
      </c>
      <c r="D49" s="3" t="inlineStr">
        <is>
          <t>PARTIAL</t>
        </is>
      </c>
      <c r="E49" s="7">
        <f>IF(B49="I1",AVERAGEIF('QA_Images'!$A$2:$A$60,A49,'QA_Images'!$T$2:$T$60)/100,IF(D49="FULL",1,IF(D49="PARTIAL",0.5,IF(D49="FAIL",0,""))))</f>
        <v/>
      </c>
      <c r="F49" s="7">
        <f>IF(E49="",0,C49*E49)</f>
        <v/>
      </c>
      <c r="G49" s="7">
        <f>IF(B49="I1",20*AVERAGEIF('QA_Images'!$A$2:$A$60,A49,'QA_Images'!$U$2:$U$60)/100,IF(D49="NOT_CHECKED",0,C49))</f>
        <v/>
      </c>
      <c r="H49" s="3" t="inlineStr">
        <is>
          <t>Đã đọc primary và comparator SERP theo US commercial intent; nhiều kết quả là blanket/duvet nên chỉ PARTIAL.</t>
        </is>
      </c>
      <c r="I49" s="3" t="inlineStr">
        <is>
          <t>["evidence_batch_009_085", "https://jeminise.com/products/custom-name-catcher-batter-baseball-baseball-throw-baseba-design-12", "serp_qa_085", "customizer_audit.json"]</t>
        </is>
      </c>
      <c r="J49" s="3" t="inlineStr">
        <is>
          <t>["ISS-085-IMG-04", "ISS-075-DESC", "ISS-075-CANN", "ISS-075-META"]</t>
        </is>
      </c>
    </row>
    <row r="50" ht="42" customHeight="1">
      <c r="A50" s="2" t="inlineStr">
        <is>
          <t>jeminise.com+custom-name-catcher-batter-baseball-baseball-throw-baseba-design-12</t>
        </is>
      </c>
      <c r="B50" s="2" t="inlineStr">
        <is>
          <t>K3</t>
        </is>
      </c>
      <c r="C50" s="2" t="n">
        <v>5</v>
      </c>
      <c r="D50" s="2" t="inlineStr">
        <is>
          <t>PARTIAL</t>
        </is>
      </c>
      <c r="E50" s="5">
        <f>IF(B50="I1",AVERAGEIF('QA_Images'!$A$2:$A$60,A50,'QA_Images'!$T$2:$T$60)/100,IF(D50="FULL",1,IF(D50="PARTIAL",0.5,IF(D50="FAIL",0,""))))</f>
        <v/>
      </c>
      <c r="F50" s="5">
        <f>IF(E50="",0,C50*E50)</f>
        <v/>
      </c>
      <c r="G50" s="5">
        <f>IF(B50="I1",20*AVERAGEIF('QA_Images'!$A$2:$A$60,A50,'QA_Images'!$U$2:$U$60)/100,IF(D50="NOT_CHECKED",0,C50))</f>
        <v/>
      </c>
      <c r="H50" s="2" t="inlineStr">
        <is>
          <t>Modifier theo artwork có dùng nhưng mười trang cùng cluster còn nguy cơ cannibalization.</t>
        </is>
      </c>
      <c r="I50" s="2" t="inlineStr">
        <is>
          <t>["evidence_batch_009_085", "https://jeminise.com/products/custom-name-catcher-batter-baseball-baseball-throw-baseba-design-12", "serp_qa_085", "customizer_audit.json"]</t>
        </is>
      </c>
      <c r="J50" s="2" t="inlineStr">
        <is>
          <t>["ISS-085-IMG-04", "ISS-075-DESC", "ISS-075-CANN", "ISS-075-META"]</t>
        </is>
      </c>
    </row>
    <row r="51" ht="42" customHeight="1">
      <c r="A51" s="3" t="inlineStr">
        <is>
          <t>jeminise.com+custom-name-catcher-batter-baseball-baseball-throw-baseba-design-12</t>
        </is>
      </c>
      <c r="B51" s="3" t="inlineStr">
        <is>
          <t>T1</t>
        </is>
      </c>
      <c r="C51" s="3" t="n">
        <v>10</v>
      </c>
      <c r="D51" s="3" t="inlineStr">
        <is>
          <t>FULL</t>
        </is>
      </c>
      <c r="E51" s="7">
        <f>IF(B51="I1",AVERAGEIF('QA_Images'!$A$2:$A$60,A51,'QA_Images'!$T$2:$T$60)/100,IF(D51="FULL",1,IF(D51="PARTIAL",0.5,IF(D51="FAIL",0,""))))</f>
        <v/>
      </c>
      <c r="F51" s="7">
        <f>IF(E51="",0,C51*E51)</f>
        <v/>
      </c>
      <c r="G51" s="7">
        <f>IF(B51="I1",20*AVERAGEIF('QA_Images'!$A$2:$A$60,A51,'QA_Images'!$U$2:$U$60)/100,IF(D51="NOT_CHECKED",0,C51))</f>
        <v/>
      </c>
      <c r="H51" s="3" t="inlineStr">
        <is>
          <t>Đánh giá SEO title English về độ đúng, tự nhiên, keyword và điểm phân biệt.</t>
        </is>
      </c>
      <c r="I51" s="3" t="inlineStr">
        <is>
          <t>["evidence_batch_009_085", "https://jeminise.com/products/custom-name-catcher-batter-baseball-baseball-throw-baseba-design-12", "serp_qa_085", "customizer_audit.json"]</t>
        </is>
      </c>
      <c r="J51" s="3" t="inlineStr">
        <is>
          <t>["ISS-085-IMG-04", "ISS-075-DESC", "ISS-075-CANN", "ISS-075-META"]</t>
        </is>
      </c>
    </row>
    <row r="52" ht="42" customHeight="1">
      <c r="A52" s="2" t="inlineStr">
        <is>
          <t>jeminise.com+custom-name-catcher-batter-baseball-baseball-throw-baseba-design-12</t>
        </is>
      </c>
      <c r="B52" s="2" t="inlineStr">
        <is>
          <t>T2</t>
        </is>
      </c>
      <c r="C52" s="2" t="n">
        <v>5</v>
      </c>
      <c r="D52" s="2" t="inlineStr">
        <is>
          <t>PARTIAL</t>
        </is>
      </c>
      <c r="E52" s="5">
        <f>IF(B52="I1",AVERAGEIF('QA_Images'!$A$2:$A$60,A52,'QA_Images'!$T$2:$T$60)/100,IF(D52="FULL",1,IF(D52="PARTIAL",0.5,IF(D52="FAIL",0,""))))</f>
        <v/>
      </c>
      <c r="F52" s="5">
        <f>IF(E52="",0,C52*E52)</f>
        <v/>
      </c>
      <c r="G52" s="5">
        <f>IF(B52="I1",20*AVERAGEIF('QA_Images'!$A$2:$A$60,A52,'QA_Images'!$U$2:$U$60)/100,IF(D52="NOT_CHECKED",0,C52))</f>
        <v/>
      </c>
      <c r="H52" s="2" t="inlineStr">
        <is>
          <t>Meta đúng motif nhưng quá dài và chưa diễn đạt cơ chế Customize gọn, rõ.</t>
        </is>
      </c>
      <c r="I52" s="2" t="inlineStr">
        <is>
          <t>["evidence_batch_009_085", "https://jeminise.com/products/custom-name-catcher-batter-baseball-baseball-throw-baseba-design-12", "serp_qa_085", "customizer_audit.json"]</t>
        </is>
      </c>
      <c r="J52" s="2" t="inlineStr">
        <is>
          <t>["ISS-085-IMG-04", "ISS-075-DESC", "ISS-075-CANN", "ISS-075-META"]</t>
        </is>
      </c>
    </row>
    <row r="53" ht="42" customHeight="1">
      <c r="A53" s="3" t="inlineStr">
        <is>
          <t>jeminise.com+custom-name-catcher-batter-baseball-baseball-throw-baseba-design-12</t>
        </is>
      </c>
      <c r="B53" s="3" t="inlineStr">
        <is>
          <t>D1</t>
        </is>
      </c>
      <c r="C53" s="3" t="n">
        <v>5</v>
      </c>
      <c r="D53" s="3" t="inlineStr">
        <is>
          <t>FAIL</t>
        </is>
      </c>
      <c r="E53" s="7">
        <f>IF(B53="I1",AVERAGEIF('QA_Images'!$A$2:$A$60,A53,'QA_Images'!$T$2:$T$60)/100,IF(D53="FULL",1,IF(D53="PARTIAL",0.5,IF(D53="FAIL",0,""))))</f>
        <v/>
      </c>
      <c r="F53" s="7">
        <f>IF(E53="",0,C53*E53)</f>
        <v/>
      </c>
      <c r="G53" s="7">
        <f>IF(B53="I1",20*AVERAGEIF('QA_Images'!$A$2:$A$60,A53,'QA_Images'!$U$2:$U$60)/100,IF(D53="NOT_CHECKED",0,C53))</f>
        <v/>
      </c>
      <c r="H53" s="3" t="inlineStr">
        <is>
          <t>Description chứa nguyên khối SEO Use/QA/import nội bộ.</t>
        </is>
      </c>
      <c r="I53" s="3" t="inlineStr">
        <is>
          <t>["evidence_batch_009_085", "https://jeminise.com/products/custom-name-catcher-batter-baseball-baseball-throw-baseba-design-12", "serp_qa_085", "customizer_audit.json"]</t>
        </is>
      </c>
      <c r="J53" s="3" t="inlineStr">
        <is>
          <t>["ISS-085-IMG-04", "ISS-075-DESC", "ISS-075-CANN", "ISS-075-META"]</t>
        </is>
      </c>
    </row>
    <row r="54" ht="42" customHeight="1">
      <c r="A54" s="2" t="inlineStr">
        <is>
          <t>jeminise.com+custom-name-catcher-batter-baseball-baseball-throw-baseba-design-12</t>
        </is>
      </c>
      <c r="B54" s="2" t="inlineStr">
        <is>
          <t>D2</t>
        </is>
      </c>
      <c r="C54" s="2" t="n">
        <v>10</v>
      </c>
      <c r="D54" s="2" t="inlineStr">
        <is>
          <t>PARTIAL</t>
        </is>
      </c>
      <c r="E54" s="5">
        <f>IF(B54="I1",AVERAGEIF('QA_Images'!$A$2:$A$60,A54,'QA_Images'!$T$2:$T$60)/100,IF(D54="FULL",1,IF(D54="PARTIAL",0.5,IF(D54="FAIL",0,""))))</f>
        <v/>
      </c>
      <c r="F54" s="5">
        <f>IF(E54="",0,C54*E54)</f>
        <v/>
      </c>
      <c r="G54" s="5">
        <f>IF(B54="I1",20*AVERAGEIF('QA_Images'!$A$2:$A$60,A54,'QA_Images'!$U$2:$U$60)/100,IF(D54="NOT_CHECKED",0,C54))</f>
        <v/>
      </c>
      <c r="H54" s="2" t="inlineStr">
        <is>
          <t>Facts chính khớp nguồn, nhưng copy chưa publish-ready và chưa nói rõ ràng quy trình Customize.</t>
        </is>
      </c>
      <c r="I54" s="2" t="inlineStr">
        <is>
          <t>["evidence_batch_009_085", "https://jeminise.com/products/custom-name-catcher-batter-baseball-baseball-throw-baseba-design-12", "serp_qa_085", "customizer_audit.json"]</t>
        </is>
      </c>
      <c r="J54" s="2" t="inlineStr">
        <is>
          <t>["ISS-085-IMG-04", "ISS-075-DESC", "ISS-075-CANN", "ISS-075-META"]</t>
        </is>
      </c>
    </row>
    <row r="55" ht="42" customHeight="1">
      <c r="A55" s="3" t="inlineStr">
        <is>
          <t>jeminise.com+custom-name-catcher-batter-baseball-baseball-throw-baseba-design-12</t>
        </is>
      </c>
      <c r="B55" s="3" t="inlineStr">
        <is>
          <t>I1</t>
        </is>
      </c>
      <c r="C55" s="3" t="n">
        <v>20</v>
      </c>
      <c r="D55" s="3" t="inlineStr">
        <is>
          <t>DERIVED</t>
        </is>
      </c>
      <c r="E55" s="7">
        <f>IF(B55="I1",AVERAGEIF('QA_Images'!$A$2:$A$60,A55,'QA_Images'!$T$2:$T$60)/100,IF(D55="FULL",1,IF(D55="PARTIAL",0.5,IF(D55="FAIL",0,""))))</f>
        <v/>
      </c>
      <c r="F55" s="7">
        <f>IF(E55="",0,C55*E55)</f>
        <v/>
      </c>
      <c r="G55" s="7">
        <f>IF(B55="I1",20*AVERAGEIF('QA_Images'!$A$2:$A$60,A55,'QA_Images'!$U$2:$U$60)/100,IF(D55="NOT_CHECKED",0,C55))</f>
        <v/>
      </c>
      <c r="H55" s="3" t="inlineStr">
        <is>
          <t>Tính từ trung bình 6 ảnh: 98.3333/100.</t>
        </is>
      </c>
      <c r="I55" s="3" t="inlineStr">
        <is>
          <t>["evidence_batch_009_085", "https://jeminise.com/products/custom-name-catcher-batter-baseball-baseball-throw-baseba-design-12", "serp_qa_085", "customizer_audit.json"]</t>
        </is>
      </c>
      <c r="J55" s="3" t="inlineStr">
        <is>
          <t>["ISS-085-IMG-04", "ISS-075-DESC", "ISS-075-CANN", "ISS-075-META"]</t>
        </is>
      </c>
    </row>
    <row r="56" ht="42" customHeight="1">
      <c r="A56" s="2" t="inlineStr">
        <is>
          <t>jeminise.com+custom-name-catcher-batter-baseball-baseball-throw-baseba-design-12</t>
        </is>
      </c>
      <c r="B56" s="2" t="inlineStr">
        <is>
          <t>E1</t>
        </is>
      </c>
      <c r="C56" s="2" t="n">
        <v>5</v>
      </c>
      <c r="D56" s="2" t="inlineStr">
        <is>
          <t>PARTIAL</t>
        </is>
      </c>
      <c r="E56" s="5">
        <f>IF(B56="I1",AVERAGEIF('QA_Images'!$A$2:$A$60,A56,'QA_Images'!$T$2:$T$60)/100,IF(D56="FULL",1,IF(D56="PARTIAL",0.5,IF(D56="FAIL",0,""))))</f>
        <v/>
      </c>
      <c r="F56" s="5">
        <f>IF(E56="",0,C56*E56)</f>
        <v/>
      </c>
      <c r="G56" s="5">
        <f>IF(B56="I1",20*AVERAGEIF('QA_Images'!$A$2:$A$60,A56,'QA_Images'!$U$2:$U$60)/100,IF(D56="NOT_CHECKED",0,C56))</f>
        <v/>
      </c>
      <c r="H56" s="2" t="inlineStr">
        <is>
          <t>Chuỗi evidence được kiểm tra; thiếu admin export và chưa chạy cart persistence.</t>
        </is>
      </c>
      <c r="I56" s="2" t="inlineStr">
        <is>
          <t>["evidence_batch_009_085", "https://jeminise.com/products/custom-name-catcher-batter-baseball-baseball-throw-baseba-design-12", "serp_qa_085", "customizer_audit.json"]</t>
        </is>
      </c>
      <c r="J56" s="2" t="inlineStr">
        <is>
          <t>["ISS-085-IMG-04", "ISS-075-DESC", "ISS-075-CANN", "ISS-075-META"]</t>
        </is>
      </c>
    </row>
    <row r="57" ht="42" customHeight="1">
      <c r="A57" s="3" t="inlineStr">
        <is>
          <t>jeminise.com+custom-name-catcher-batter-baseball-baseball-throw-baseba-design-13</t>
        </is>
      </c>
      <c r="B57" s="3" t="inlineStr">
        <is>
          <t>P1</t>
        </is>
      </c>
      <c r="C57" s="3" t="n">
        <v>15</v>
      </c>
      <c r="D57" s="3" t="inlineStr">
        <is>
          <t>FULL</t>
        </is>
      </c>
      <c r="E57" s="7">
        <f>IF(B57="I1",AVERAGEIF('QA_Images'!$A$2:$A$60,A57,'QA_Images'!$T$2:$T$60)/100,IF(D57="FULL",1,IF(D57="PARTIAL",0.5,IF(D57="FAIL",0,""))))</f>
        <v/>
      </c>
      <c r="F57" s="7">
        <f>IF(E57="",0,C57*E57)</f>
        <v/>
      </c>
      <c r="G57" s="7">
        <f>IF(B57="I1",20*AVERAGEIF('QA_Images'!$A$2:$A$60,A57,'QA_Images'!$U$2:$U$60)/100,IF(D57="NOT_CHECKED",0,C57))</f>
        <v/>
      </c>
      <c r="H57" s="3" t="inlineStr">
        <is>
          <t>Đối chiếu loại sản phẩm, thiết kế và màu với product JSON, H1 live và toàn bộ gallery.</t>
        </is>
      </c>
      <c r="I57" s="3" t="inlineStr">
        <is>
          <t>["evidence_batch_009_086", "https://jeminise.com/products/custom-name-catcher-batter-baseball-baseball-throw-baseba-design-13", "serp_qa_086", "customizer_audit.json"]</t>
        </is>
      </c>
      <c r="J57" s="3" t="inlineStr">
        <is>
          <t>["ISS-086-IMG-04", "ISS-076-DESC", "ISS-076-CANN", "ISS-076-META"]</t>
        </is>
      </c>
    </row>
    <row r="58" ht="42" customHeight="1">
      <c r="A58" s="2" t="inlineStr">
        <is>
          <t>jeminise.com+custom-name-catcher-batter-baseball-baseball-throw-baseba-design-13</t>
        </is>
      </c>
      <c r="B58" s="2" t="inlineStr">
        <is>
          <t>P2</t>
        </is>
      </c>
      <c r="C58" s="2" t="n">
        <v>10</v>
      </c>
      <c r="D58" s="2" t="inlineStr">
        <is>
          <t>FULL</t>
        </is>
      </c>
      <c r="E58" s="5">
        <f>IF(B58="I1",AVERAGEIF('QA_Images'!$A$2:$A$60,A58,'QA_Images'!$T$2:$T$60)/100,IF(D58="FULL",1,IF(D58="PARTIAL",0.5,IF(D58="FAIL",0,""))))</f>
        <v/>
      </c>
      <c r="F58" s="5">
        <f>IF(E58="",0,C58*E58)</f>
        <v/>
      </c>
      <c r="G58" s="5">
        <f>IF(B58="I1",20*AVERAGEIF('QA_Images'!$A$2:$A$60,A58,'QA_Images'!$U$2:$U$60)/100,IF(D58="NOT_CHECKED",0,C58))</f>
        <v/>
      </c>
      <c r="H58" s="2" t="inlineStr">
        <is>
          <t>Đã đối chiếu options, variants, description và cấu hình Amazon Customizer live có Name/Number.</t>
        </is>
      </c>
      <c r="I58" s="2" t="inlineStr">
        <is>
          <t>["evidence_batch_009_086", "https://jeminise.com/products/custom-name-catcher-batter-baseball-baseball-throw-baseba-design-13", "serp_qa_086", "customizer_audit.json"]</t>
        </is>
      </c>
      <c r="J58" s="2" t="inlineStr">
        <is>
          <t>["ISS-086-IMG-04", "ISS-076-DESC", "ISS-076-CANN", "ISS-076-META"]</t>
        </is>
      </c>
    </row>
    <row r="59" ht="42" customHeight="1">
      <c r="A59" s="3" t="inlineStr">
        <is>
          <t>jeminise.com+custom-name-catcher-batter-baseball-baseball-throw-baseba-design-13</t>
        </is>
      </c>
      <c r="B59" s="3" t="inlineStr">
        <is>
          <t>K1</t>
        </is>
      </c>
      <c r="C59" s="3" t="n">
        <v>10</v>
      </c>
      <c r="D59" s="3" t="inlineStr">
        <is>
          <t>FULL</t>
        </is>
      </c>
      <c r="E59" s="7">
        <f>IF(B59="I1",AVERAGEIF('QA_Images'!$A$2:$A$60,A59,'QA_Images'!$T$2:$T$60)/100,IF(D59="FULL",1,IF(D59="PARTIAL",0.5,IF(D59="FAIL",0,""))))</f>
        <v/>
      </c>
      <c r="F59" s="7">
        <f>IF(E59="",0,C59*E59)</f>
        <v/>
      </c>
      <c r="G59" s="7">
        <f>IF(B59="I1",20*AVERAGEIF('QA_Images'!$A$2:$A$60,A59,'QA_Images'!$U$2:$U$60)/100,IF(D59="NOT_CHECKED",0,C59))</f>
        <v/>
      </c>
      <c r="H59" s="3" t="inlineStr">
        <is>
          <t>Đối chiếu long-tail với thiết kế riêng và nguy cơ trùng intent trong cụm sản phẩm.</t>
        </is>
      </c>
      <c r="I59" s="3" t="inlineStr">
        <is>
          <t>["evidence_batch_009_086", "https://jeminise.com/products/custom-name-catcher-batter-baseball-baseball-throw-baseba-design-13", "serp_qa_086", "customizer_audit.json"]</t>
        </is>
      </c>
      <c r="J59" s="3" t="inlineStr">
        <is>
          <t>["ISS-086-IMG-04", "ISS-076-DESC", "ISS-076-CANN", "ISS-076-META"]</t>
        </is>
      </c>
    </row>
    <row r="60" ht="42" customHeight="1">
      <c r="A60" s="2" t="inlineStr">
        <is>
          <t>jeminise.com+custom-name-catcher-batter-baseball-baseball-throw-baseba-design-13</t>
        </is>
      </c>
      <c r="B60" s="2" t="inlineStr">
        <is>
          <t>K2</t>
        </is>
      </c>
      <c r="C60" s="2" t="n">
        <v>5</v>
      </c>
      <c r="D60" s="2" t="inlineStr">
        <is>
          <t>PARTIAL</t>
        </is>
      </c>
      <c r="E60" s="5">
        <f>IF(B60="I1",AVERAGEIF('QA_Images'!$A$2:$A$60,A60,'QA_Images'!$T$2:$T$60)/100,IF(D60="FULL",1,IF(D60="PARTIAL",0.5,IF(D60="FAIL",0,""))))</f>
        <v/>
      </c>
      <c r="F60" s="5">
        <f>IF(E60="",0,C60*E60)</f>
        <v/>
      </c>
      <c r="G60" s="5">
        <f>IF(B60="I1",20*AVERAGEIF('QA_Images'!$A$2:$A$60,A60,'QA_Images'!$U$2:$U$60)/100,IF(D60="NOT_CHECKED",0,C60))</f>
        <v/>
      </c>
      <c r="H60" s="2" t="inlineStr">
        <is>
          <t>Đã đọc primary và comparator SERP theo US commercial intent; nhiều kết quả là blanket/duvet nên chỉ PARTIAL.</t>
        </is>
      </c>
      <c r="I60" s="2" t="inlineStr">
        <is>
          <t>["evidence_batch_009_086", "https://jeminise.com/products/custom-name-catcher-batter-baseball-baseball-throw-baseba-design-13", "serp_qa_086", "customizer_audit.json"]</t>
        </is>
      </c>
      <c r="J60" s="2" t="inlineStr">
        <is>
          <t>["ISS-086-IMG-04", "ISS-076-DESC", "ISS-076-CANN", "ISS-076-META"]</t>
        </is>
      </c>
    </row>
    <row r="61" ht="42" customHeight="1">
      <c r="A61" s="3" t="inlineStr">
        <is>
          <t>jeminise.com+custom-name-catcher-batter-baseball-baseball-throw-baseba-design-13</t>
        </is>
      </c>
      <c r="B61" s="3" t="inlineStr">
        <is>
          <t>K3</t>
        </is>
      </c>
      <c r="C61" s="3" t="n">
        <v>5</v>
      </c>
      <c r="D61" s="3" t="inlineStr">
        <is>
          <t>PARTIAL</t>
        </is>
      </c>
      <c r="E61" s="7">
        <f>IF(B61="I1",AVERAGEIF('QA_Images'!$A$2:$A$60,A61,'QA_Images'!$T$2:$T$60)/100,IF(D61="FULL",1,IF(D61="PARTIAL",0.5,IF(D61="FAIL",0,""))))</f>
        <v/>
      </c>
      <c r="F61" s="7">
        <f>IF(E61="",0,C61*E61)</f>
        <v/>
      </c>
      <c r="G61" s="7">
        <f>IF(B61="I1",20*AVERAGEIF('QA_Images'!$A$2:$A$60,A61,'QA_Images'!$U$2:$U$60)/100,IF(D61="NOT_CHECKED",0,C61))</f>
        <v/>
      </c>
      <c r="H61" s="3" t="inlineStr">
        <is>
          <t>Modifier theo artwork có dùng nhưng mười trang cùng cluster còn nguy cơ cannibalization.</t>
        </is>
      </c>
      <c r="I61" s="3" t="inlineStr">
        <is>
          <t>["evidence_batch_009_086", "https://jeminise.com/products/custom-name-catcher-batter-baseball-baseball-throw-baseba-design-13", "serp_qa_086", "customizer_audit.json"]</t>
        </is>
      </c>
      <c r="J61" s="3" t="inlineStr">
        <is>
          <t>["ISS-086-IMG-04", "ISS-076-DESC", "ISS-076-CANN", "ISS-076-META"]</t>
        </is>
      </c>
    </row>
    <row r="62" ht="42" customHeight="1">
      <c r="A62" s="2" t="inlineStr">
        <is>
          <t>jeminise.com+custom-name-catcher-batter-baseball-baseball-throw-baseba-design-13</t>
        </is>
      </c>
      <c r="B62" s="2" t="inlineStr">
        <is>
          <t>T1</t>
        </is>
      </c>
      <c r="C62" s="2" t="n">
        <v>10</v>
      </c>
      <c r="D62" s="2" t="inlineStr">
        <is>
          <t>FULL</t>
        </is>
      </c>
      <c r="E62" s="5">
        <f>IF(B62="I1",AVERAGEIF('QA_Images'!$A$2:$A$60,A62,'QA_Images'!$T$2:$T$60)/100,IF(D62="FULL",1,IF(D62="PARTIAL",0.5,IF(D62="FAIL",0,""))))</f>
        <v/>
      </c>
      <c r="F62" s="5">
        <f>IF(E62="",0,C62*E62)</f>
        <v/>
      </c>
      <c r="G62" s="5">
        <f>IF(B62="I1",20*AVERAGEIF('QA_Images'!$A$2:$A$60,A62,'QA_Images'!$U$2:$U$60)/100,IF(D62="NOT_CHECKED",0,C62))</f>
        <v/>
      </c>
      <c r="H62" s="2" t="inlineStr">
        <is>
          <t>Đánh giá SEO title English về độ đúng, tự nhiên, keyword và điểm phân biệt.</t>
        </is>
      </c>
      <c r="I62" s="2" t="inlineStr">
        <is>
          <t>["evidence_batch_009_086", "https://jeminise.com/products/custom-name-catcher-batter-baseball-baseball-throw-baseba-design-13", "serp_qa_086", "customizer_audit.json"]</t>
        </is>
      </c>
      <c r="J62" s="2" t="inlineStr">
        <is>
          <t>["ISS-086-IMG-04", "ISS-076-DESC", "ISS-076-CANN", "ISS-076-META"]</t>
        </is>
      </c>
    </row>
    <row r="63" ht="42" customHeight="1">
      <c r="A63" s="3" t="inlineStr">
        <is>
          <t>jeminise.com+custom-name-catcher-batter-baseball-baseball-throw-baseba-design-13</t>
        </is>
      </c>
      <c r="B63" s="3" t="inlineStr">
        <is>
          <t>T2</t>
        </is>
      </c>
      <c r="C63" s="3" t="n">
        <v>5</v>
      </c>
      <c r="D63" s="3" t="inlineStr">
        <is>
          <t>PARTIAL</t>
        </is>
      </c>
      <c r="E63" s="7">
        <f>IF(B63="I1",AVERAGEIF('QA_Images'!$A$2:$A$60,A63,'QA_Images'!$T$2:$T$60)/100,IF(D63="FULL",1,IF(D63="PARTIAL",0.5,IF(D63="FAIL",0,""))))</f>
        <v/>
      </c>
      <c r="F63" s="7">
        <f>IF(E63="",0,C63*E63)</f>
        <v/>
      </c>
      <c r="G63" s="7">
        <f>IF(B63="I1",20*AVERAGEIF('QA_Images'!$A$2:$A$60,A63,'QA_Images'!$U$2:$U$60)/100,IF(D63="NOT_CHECKED",0,C63))</f>
        <v/>
      </c>
      <c r="H63" s="3" t="inlineStr">
        <is>
          <t>Meta đúng motif nhưng quá dài và chưa diễn đạt cơ chế Customize gọn, rõ.</t>
        </is>
      </c>
      <c r="I63" s="3" t="inlineStr">
        <is>
          <t>["evidence_batch_009_086", "https://jeminise.com/products/custom-name-catcher-batter-baseball-baseball-throw-baseba-design-13", "serp_qa_086", "customizer_audit.json"]</t>
        </is>
      </c>
      <c r="J63" s="3" t="inlineStr">
        <is>
          <t>["ISS-086-IMG-04", "ISS-076-DESC", "ISS-076-CANN", "ISS-076-META"]</t>
        </is>
      </c>
    </row>
    <row r="64" ht="42" customHeight="1">
      <c r="A64" s="2" t="inlineStr">
        <is>
          <t>jeminise.com+custom-name-catcher-batter-baseball-baseball-throw-baseba-design-13</t>
        </is>
      </c>
      <c r="B64" s="2" t="inlineStr">
        <is>
          <t>D1</t>
        </is>
      </c>
      <c r="C64" s="2" t="n">
        <v>5</v>
      </c>
      <c r="D64" s="2" t="inlineStr">
        <is>
          <t>FAIL</t>
        </is>
      </c>
      <c r="E64" s="5">
        <f>IF(B64="I1",AVERAGEIF('QA_Images'!$A$2:$A$60,A64,'QA_Images'!$T$2:$T$60)/100,IF(D64="FULL",1,IF(D64="PARTIAL",0.5,IF(D64="FAIL",0,""))))</f>
        <v/>
      </c>
      <c r="F64" s="5">
        <f>IF(E64="",0,C64*E64)</f>
        <v/>
      </c>
      <c r="G64" s="5">
        <f>IF(B64="I1",20*AVERAGEIF('QA_Images'!$A$2:$A$60,A64,'QA_Images'!$U$2:$U$60)/100,IF(D64="NOT_CHECKED",0,C64))</f>
        <v/>
      </c>
      <c r="H64" s="2" t="inlineStr">
        <is>
          <t>Description chứa nguyên khối SEO Use/QA/import nội bộ.</t>
        </is>
      </c>
      <c r="I64" s="2" t="inlineStr">
        <is>
          <t>["evidence_batch_009_086", "https://jeminise.com/products/custom-name-catcher-batter-baseball-baseball-throw-baseba-design-13", "serp_qa_086", "customizer_audit.json"]</t>
        </is>
      </c>
      <c r="J64" s="2" t="inlineStr">
        <is>
          <t>["ISS-086-IMG-04", "ISS-076-DESC", "ISS-076-CANN", "ISS-076-META"]</t>
        </is>
      </c>
    </row>
    <row r="65" ht="42" customHeight="1">
      <c r="A65" s="3" t="inlineStr">
        <is>
          <t>jeminise.com+custom-name-catcher-batter-baseball-baseball-throw-baseba-design-13</t>
        </is>
      </c>
      <c r="B65" s="3" t="inlineStr">
        <is>
          <t>D2</t>
        </is>
      </c>
      <c r="C65" s="3" t="n">
        <v>10</v>
      </c>
      <c r="D65" s="3" t="inlineStr">
        <is>
          <t>PARTIAL</t>
        </is>
      </c>
      <c r="E65" s="7">
        <f>IF(B65="I1",AVERAGEIF('QA_Images'!$A$2:$A$60,A65,'QA_Images'!$T$2:$T$60)/100,IF(D65="FULL",1,IF(D65="PARTIAL",0.5,IF(D65="FAIL",0,""))))</f>
        <v/>
      </c>
      <c r="F65" s="7">
        <f>IF(E65="",0,C65*E65)</f>
        <v/>
      </c>
      <c r="G65" s="7">
        <f>IF(B65="I1",20*AVERAGEIF('QA_Images'!$A$2:$A$60,A65,'QA_Images'!$U$2:$U$60)/100,IF(D65="NOT_CHECKED",0,C65))</f>
        <v/>
      </c>
      <c r="H65" s="3" t="inlineStr">
        <is>
          <t>Facts chính khớp nguồn, nhưng copy chưa publish-ready và chưa nói rõ ràng quy trình Customize.</t>
        </is>
      </c>
      <c r="I65" s="3" t="inlineStr">
        <is>
          <t>["evidence_batch_009_086", "https://jeminise.com/products/custom-name-catcher-batter-baseball-baseball-throw-baseba-design-13", "serp_qa_086", "customizer_audit.json"]</t>
        </is>
      </c>
      <c r="J65" s="3" t="inlineStr">
        <is>
          <t>["ISS-086-IMG-04", "ISS-076-DESC", "ISS-076-CANN", "ISS-076-META"]</t>
        </is>
      </c>
    </row>
    <row r="66" ht="42" customHeight="1">
      <c r="A66" s="2" t="inlineStr">
        <is>
          <t>jeminise.com+custom-name-catcher-batter-baseball-baseball-throw-baseba-design-13</t>
        </is>
      </c>
      <c r="B66" s="2" t="inlineStr">
        <is>
          <t>I1</t>
        </is>
      </c>
      <c r="C66" s="2" t="n">
        <v>20</v>
      </c>
      <c r="D66" s="2" t="inlineStr">
        <is>
          <t>DERIVED</t>
        </is>
      </c>
      <c r="E66" s="5">
        <f>IF(B66="I1",AVERAGEIF('QA_Images'!$A$2:$A$60,A66,'QA_Images'!$T$2:$T$60)/100,IF(D66="FULL",1,IF(D66="PARTIAL",0.5,IF(D66="FAIL",0,""))))</f>
        <v/>
      </c>
      <c r="F66" s="5">
        <f>IF(E66="",0,C66*E66)</f>
        <v/>
      </c>
      <c r="G66" s="5">
        <f>IF(B66="I1",20*AVERAGEIF('QA_Images'!$A$2:$A$60,A66,'QA_Images'!$U$2:$U$60)/100,IF(D66="NOT_CHECKED",0,C66))</f>
        <v/>
      </c>
      <c r="H66" s="2" t="inlineStr">
        <is>
          <t>Tính từ trung bình 6 ảnh: 98.3333/100.</t>
        </is>
      </c>
      <c r="I66" s="2" t="inlineStr">
        <is>
          <t>["evidence_batch_009_086", "https://jeminise.com/products/custom-name-catcher-batter-baseball-baseball-throw-baseba-design-13", "serp_qa_086", "customizer_audit.json"]</t>
        </is>
      </c>
      <c r="J66" s="2" t="inlineStr">
        <is>
          <t>["ISS-086-IMG-04", "ISS-076-DESC", "ISS-076-CANN", "ISS-076-META"]</t>
        </is>
      </c>
    </row>
    <row r="67" ht="42" customHeight="1">
      <c r="A67" s="3" t="inlineStr">
        <is>
          <t>jeminise.com+custom-name-catcher-batter-baseball-baseball-throw-baseba-design-13</t>
        </is>
      </c>
      <c r="B67" s="3" t="inlineStr">
        <is>
          <t>E1</t>
        </is>
      </c>
      <c r="C67" s="3" t="n">
        <v>5</v>
      </c>
      <c r="D67" s="3" t="inlineStr">
        <is>
          <t>PARTIAL</t>
        </is>
      </c>
      <c r="E67" s="7">
        <f>IF(B67="I1",AVERAGEIF('QA_Images'!$A$2:$A$60,A67,'QA_Images'!$T$2:$T$60)/100,IF(D67="FULL",1,IF(D67="PARTIAL",0.5,IF(D67="FAIL",0,""))))</f>
        <v/>
      </c>
      <c r="F67" s="7">
        <f>IF(E67="",0,C67*E67)</f>
        <v/>
      </c>
      <c r="G67" s="7">
        <f>IF(B67="I1",20*AVERAGEIF('QA_Images'!$A$2:$A$60,A67,'QA_Images'!$U$2:$U$60)/100,IF(D67="NOT_CHECKED",0,C67))</f>
        <v/>
      </c>
      <c r="H67" s="3" t="inlineStr">
        <is>
          <t>Chuỗi evidence được kiểm tra; thiếu admin export và chưa chạy cart persistence.</t>
        </is>
      </c>
      <c r="I67" s="3" t="inlineStr">
        <is>
          <t>["evidence_batch_009_086", "https://jeminise.com/products/custom-name-catcher-batter-baseball-baseball-throw-baseba-design-13", "serp_qa_086", "customizer_audit.json"]</t>
        </is>
      </c>
      <c r="J67" s="3" t="inlineStr">
        <is>
          <t>["ISS-086-IMG-04", "ISS-076-DESC", "ISS-076-CANN", "ISS-076-META"]</t>
        </is>
      </c>
    </row>
    <row r="68" ht="42" customHeight="1">
      <c r="A68" s="2" t="inlineStr">
        <is>
          <t>jeminise.com+custom-name-catcher-batter-baseball-baseball-throw-baseba-design-17</t>
        </is>
      </c>
      <c r="B68" s="2" t="inlineStr">
        <is>
          <t>P1</t>
        </is>
      </c>
      <c r="C68" s="2" t="n">
        <v>15</v>
      </c>
      <c r="D68" s="2" t="inlineStr">
        <is>
          <t>FULL</t>
        </is>
      </c>
      <c r="E68" s="5">
        <f>IF(B68="I1",AVERAGEIF('QA_Images'!$A$2:$A$60,A68,'QA_Images'!$T$2:$T$60)/100,IF(D68="FULL",1,IF(D68="PARTIAL",0.5,IF(D68="FAIL",0,""))))</f>
        <v/>
      </c>
      <c r="F68" s="5">
        <f>IF(E68="",0,C68*E68)</f>
        <v/>
      </c>
      <c r="G68" s="5">
        <f>IF(B68="I1",20*AVERAGEIF('QA_Images'!$A$2:$A$60,A68,'QA_Images'!$U$2:$U$60)/100,IF(D68="NOT_CHECKED",0,C68))</f>
        <v/>
      </c>
      <c r="H68" s="2" t="inlineStr">
        <is>
          <t>Đối chiếu loại sản phẩm, thiết kế và màu với product JSON, H1 live và toàn bộ gallery.</t>
        </is>
      </c>
      <c r="I68" s="2" t="inlineStr">
        <is>
          <t>["evidence_batch_009_087", "https://jeminise.com/products/custom-name-catcher-batter-baseball-baseball-throw-baseba-design-17", "serp_qa_087", "customizer_audit.json"]</t>
        </is>
      </c>
      <c r="J68" s="2" t="inlineStr">
        <is>
          <t>["ISS-087-IMG-04", "ISS-077-DESC", "ISS-077-CANN", "ISS-077-META"]</t>
        </is>
      </c>
    </row>
    <row r="69" ht="42" customHeight="1">
      <c r="A69" s="3" t="inlineStr">
        <is>
          <t>jeminise.com+custom-name-catcher-batter-baseball-baseball-throw-baseba-design-17</t>
        </is>
      </c>
      <c r="B69" s="3" t="inlineStr">
        <is>
          <t>P2</t>
        </is>
      </c>
      <c r="C69" s="3" t="n">
        <v>10</v>
      </c>
      <c r="D69" s="3" t="inlineStr">
        <is>
          <t>FULL</t>
        </is>
      </c>
      <c r="E69" s="7">
        <f>IF(B69="I1",AVERAGEIF('QA_Images'!$A$2:$A$60,A69,'QA_Images'!$T$2:$T$60)/100,IF(D69="FULL",1,IF(D69="PARTIAL",0.5,IF(D69="FAIL",0,""))))</f>
        <v/>
      </c>
      <c r="F69" s="7">
        <f>IF(E69="",0,C69*E69)</f>
        <v/>
      </c>
      <c r="G69" s="7">
        <f>IF(B69="I1",20*AVERAGEIF('QA_Images'!$A$2:$A$60,A69,'QA_Images'!$U$2:$U$60)/100,IF(D69="NOT_CHECKED",0,C69))</f>
        <v/>
      </c>
      <c r="H69" s="3" t="inlineStr">
        <is>
          <t>Đã đối chiếu options, variants, description và cấu hình Amazon Customizer live có Name/Number.</t>
        </is>
      </c>
      <c r="I69" s="3" t="inlineStr">
        <is>
          <t>["evidence_batch_009_087", "https://jeminise.com/products/custom-name-catcher-batter-baseball-baseball-throw-baseba-design-17", "serp_qa_087", "customizer_audit.json"]</t>
        </is>
      </c>
      <c r="J69" s="3" t="inlineStr">
        <is>
          <t>["ISS-087-IMG-04", "ISS-077-DESC", "ISS-077-CANN", "ISS-077-META"]</t>
        </is>
      </c>
    </row>
    <row r="70" ht="42" customHeight="1">
      <c r="A70" s="2" t="inlineStr">
        <is>
          <t>jeminise.com+custom-name-catcher-batter-baseball-baseball-throw-baseba-design-17</t>
        </is>
      </c>
      <c r="B70" s="2" t="inlineStr">
        <is>
          <t>K1</t>
        </is>
      </c>
      <c r="C70" s="2" t="n">
        <v>10</v>
      </c>
      <c r="D70" s="2" t="inlineStr">
        <is>
          <t>FULL</t>
        </is>
      </c>
      <c r="E70" s="5">
        <f>IF(B70="I1",AVERAGEIF('QA_Images'!$A$2:$A$60,A70,'QA_Images'!$T$2:$T$60)/100,IF(D70="FULL",1,IF(D70="PARTIAL",0.5,IF(D70="FAIL",0,""))))</f>
        <v/>
      </c>
      <c r="F70" s="5">
        <f>IF(E70="",0,C70*E70)</f>
        <v/>
      </c>
      <c r="G70" s="5">
        <f>IF(B70="I1",20*AVERAGEIF('QA_Images'!$A$2:$A$60,A70,'QA_Images'!$U$2:$U$60)/100,IF(D70="NOT_CHECKED",0,C70))</f>
        <v/>
      </c>
      <c r="H70" s="2" t="inlineStr">
        <is>
          <t>Đối chiếu long-tail với thiết kế riêng và nguy cơ trùng intent trong cụm sản phẩm.</t>
        </is>
      </c>
      <c r="I70" s="2" t="inlineStr">
        <is>
          <t>["evidence_batch_009_087", "https://jeminise.com/products/custom-name-catcher-batter-baseball-baseball-throw-baseba-design-17", "serp_qa_087", "customizer_audit.json"]</t>
        </is>
      </c>
      <c r="J70" s="2" t="inlineStr">
        <is>
          <t>["ISS-087-IMG-04", "ISS-077-DESC", "ISS-077-CANN", "ISS-077-META"]</t>
        </is>
      </c>
    </row>
    <row r="71" ht="42" customHeight="1">
      <c r="A71" s="3" t="inlineStr">
        <is>
          <t>jeminise.com+custom-name-catcher-batter-baseball-baseball-throw-baseba-design-17</t>
        </is>
      </c>
      <c r="B71" s="3" t="inlineStr">
        <is>
          <t>K2</t>
        </is>
      </c>
      <c r="C71" s="3" t="n">
        <v>5</v>
      </c>
      <c r="D71" s="3" t="inlineStr">
        <is>
          <t>PARTIAL</t>
        </is>
      </c>
      <c r="E71" s="7">
        <f>IF(B71="I1",AVERAGEIF('QA_Images'!$A$2:$A$60,A71,'QA_Images'!$T$2:$T$60)/100,IF(D71="FULL",1,IF(D71="PARTIAL",0.5,IF(D71="FAIL",0,""))))</f>
        <v/>
      </c>
      <c r="F71" s="7">
        <f>IF(E71="",0,C71*E71)</f>
        <v/>
      </c>
      <c r="G71" s="7">
        <f>IF(B71="I1",20*AVERAGEIF('QA_Images'!$A$2:$A$60,A71,'QA_Images'!$U$2:$U$60)/100,IF(D71="NOT_CHECKED",0,C71))</f>
        <v/>
      </c>
      <c r="H71" s="3" t="inlineStr">
        <is>
          <t>Đã đọc primary và comparator SERP theo US commercial intent; nhiều kết quả là blanket/duvet nên chỉ PARTIAL.</t>
        </is>
      </c>
      <c r="I71" s="3" t="inlineStr">
        <is>
          <t>["evidence_batch_009_087", "https://jeminise.com/products/custom-name-catcher-batter-baseball-baseball-throw-baseba-design-17", "serp_qa_087", "customizer_audit.json"]</t>
        </is>
      </c>
      <c r="J71" s="3" t="inlineStr">
        <is>
          <t>["ISS-087-IMG-04", "ISS-077-DESC", "ISS-077-CANN", "ISS-077-META"]</t>
        </is>
      </c>
    </row>
    <row r="72" ht="42" customHeight="1">
      <c r="A72" s="2" t="inlineStr">
        <is>
          <t>jeminise.com+custom-name-catcher-batter-baseball-baseball-throw-baseba-design-17</t>
        </is>
      </c>
      <c r="B72" s="2" t="inlineStr">
        <is>
          <t>K3</t>
        </is>
      </c>
      <c r="C72" s="2" t="n">
        <v>5</v>
      </c>
      <c r="D72" s="2" t="inlineStr">
        <is>
          <t>PARTIAL</t>
        </is>
      </c>
      <c r="E72" s="5">
        <f>IF(B72="I1",AVERAGEIF('QA_Images'!$A$2:$A$60,A72,'QA_Images'!$T$2:$T$60)/100,IF(D72="FULL",1,IF(D72="PARTIAL",0.5,IF(D72="FAIL",0,""))))</f>
        <v/>
      </c>
      <c r="F72" s="5">
        <f>IF(E72="",0,C72*E72)</f>
        <v/>
      </c>
      <c r="G72" s="5">
        <f>IF(B72="I1",20*AVERAGEIF('QA_Images'!$A$2:$A$60,A72,'QA_Images'!$U$2:$U$60)/100,IF(D72="NOT_CHECKED",0,C72))</f>
        <v/>
      </c>
      <c r="H72" s="2" t="inlineStr">
        <is>
          <t>Modifier theo artwork có dùng nhưng mười trang cùng cluster còn nguy cơ cannibalization.</t>
        </is>
      </c>
      <c r="I72" s="2" t="inlineStr">
        <is>
          <t>["evidence_batch_009_087", "https://jeminise.com/products/custom-name-catcher-batter-baseball-baseball-throw-baseba-design-17", "serp_qa_087", "customizer_audit.json"]</t>
        </is>
      </c>
      <c r="J72" s="2" t="inlineStr">
        <is>
          <t>["ISS-087-IMG-04", "ISS-077-DESC", "ISS-077-CANN", "ISS-077-META"]</t>
        </is>
      </c>
    </row>
    <row r="73" ht="42" customHeight="1">
      <c r="A73" s="3" t="inlineStr">
        <is>
          <t>jeminise.com+custom-name-catcher-batter-baseball-baseball-throw-baseba-design-17</t>
        </is>
      </c>
      <c r="B73" s="3" t="inlineStr">
        <is>
          <t>T1</t>
        </is>
      </c>
      <c r="C73" s="3" t="n">
        <v>10</v>
      </c>
      <c r="D73" s="3" t="inlineStr">
        <is>
          <t>FULL</t>
        </is>
      </c>
      <c r="E73" s="7">
        <f>IF(B73="I1",AVERAGEIF('QA_Images'!$A$2:$A$60,A73,'QA_Images'!$T$2:$T$60)/100,IF(D73="FULL",1,IF(D73="PARTIAL",0.5,IF(D73="FAIL",0,""))))</f>
        <v/>
      </c>
      <c r="F73" s="7">
        <f>IF(E73="",0,C73*E73)</f>
        <v/>
      </c>
      <c r="G73" s="7">
        <f>IF(B73="I1",20*AVERAGEIF('QA_Images'!$A$2:$A$60,A73,'QA_Images'!$U$2:$U$60)/100,IF(D73="NOT_CHECKED",0,C73))</f>
        <v/>
      </c>
      <c r="H73" s="3" t="inlineStr">
        <is>
          <t>Đánh giá SEO title English về độ đúng, tự nhiên, keyword và điểm phân biệt.</t>
        </is>
      </c>
      <c r="I73" s="3" t="inlineStr">
        <is>
          <t>["evidence_batch_009_087", "https://jeminise.com/products/custom-name-catcher-batter-baseball-baseball-throw-baseba-design-17", "serp_qa_087", "customizer_audit.json"]</t>
        </is>
      </c>
      <c r="J73" s="3" t="inlineStr">
        <is>
          <t>["ISS-087-IMG-04", "ISS-077-DESC", "ISS-077-CANN", "ISS-077-META"]</t>
        </is>
      </c>
    </row>
    <row r="74" ht="42" customHeight="1">
      <c r="A74" s="2" t="inlineStr">
        <is>
          <t>jeminise.com+custom-name-catcher-batter-baseball-baseball-throw-baseba-design-17</t>
        </is>
      </c>
      <c r="B74" s="2" t="inlineStr">
        <is>
          <t>T2</t>
        </is>
      </c>
      <c r="C74" s="2" t="n">
        <v>5</v>
      </c>
      <c r="D74" s="2" t="inlineStr">
        <is>
          <t>PARTIAL</t>
        </is>
      </c>
      <c r="E74" s="5">
        <f>IF(B74="I1",AVERAGEIF('QA_Images'!$A$2:$A$60,A74,'QA_Images'!$T$2:$T$60)/100,IF(D74="FULL",1,IF(D74="PARTIAL",0.5,IF(D74="FAIL",0,""))))</f>
        <v/>
      </c>
      <c r="F74" s="5">
        <f>IF(E74="",0,C74*E74)</f>
        <v/>
      </c>
      <c r="G74" s="5">
        <f>IF(B74="I1",20*AVERAGEIF('QA_Images'!$A$2:$A$60,A74,'QA_Images'!$U$2:$U$60)/100,IF(D74="NOT_CHECKED",0,C74))</f>
        <v/>
      </c>
      <c r="H74" s="2" t="inlineStr">
        <is>
          <t>Meta đúng motif nhưng quá dài và chưa diễn đạt cơ chế Customize gọn, rõ.</t>
        </is>
      </c>
      <c r="I74" s="2" t="inlineStr">
        <is>
          <t>["evidence_batch_009_087", "https://jeminise.com/products/custom-name-catcher-batter-baseball-baseball-throw-baseba-design-17", "serp_qa_087", "customizer_audit.json"]</t>
        </is>
      </c>
      <c r="J74" s="2" t="inlineStr">
        <is>
          <t>["ISS-087-IMG-04", "ISS-077-DESC", "ISS-077-CANN", "ISS-077-META"]</t>
        </is>
      </c>
    </row>
    <row r="75" ht="42" customHeight="1">
      <c r="A75" s="3" t="inlineStr">
        <is>
          <t>jeminise.com+custom-name-catcher-batter-baseball-baseball-throw-baseba-design-17</t>
        </is>
      </c>
      <c r="B75" s="3" t="inlineStr">
        <is>
          <t>D1</t>
        </is>
      </c>
      <c r="C75" s="3" t="n">
        <v>5</v>
      </c>
      <c r="D75" s="3" t="inlineStr">
        <is>
          <t>FAIL</t>
        </is>
      </c>
      <c r="E75" s="7">
        <f>IF(B75="I1",AVERAGEIF('QA_Images'!$A$2:$A$60,A75,'QA_Images'!$T$2:$T$60)/100,IF(D75="FULL",1,IF(D75="PARTIAL",0.5,IF(D75="FAIL",0,""))))</f>
        <v/>
      </c>
      <c r="F75" s="7">
        <f>IF(E75="",0,C75*E75)</f>
        <v/>
      </c>
      <c r="G75" s="7">
        <f>IF(B75="I1",20*AVERAGEIF('QA_Images'!$A$2:$A$60,A75,'QA_Images'!$U$2:$U$60)/100,IF(D75="NOT_CHECKED",0,C75))</f>
        <v/>
      </c>
      <c r="H75" s="3" t="inlineStr">
        <is>
          <t>Description chứa nguyên khối SEO Use/QA/import nội bộ.</t>
        </is>
      </c>
      <c r="I75" s="3" t="inlineStr">
        <is>
          <t>["evidence_batch_009_087", "https://jeminise.com/products/custom-name-catcher-batter-baseball-baseball-throw-baseba-design-17", "serp_qa_087", "customizer_audit.json"]</t>
        </is>
      </c>
      <c r="J75" s="3" t="inlineStr">
        <is>
          <t>["ISS-087-IMG-04", "ISS-077-DESC", "ISS-077-CANN", "ISS-077-META"]</t>
        </is>
      </c>
    </row>
    <row r="76" ht="42" customHeight="1">
      <c r="A76" s="2" t="inlineStr">
        <is>
          <t>jeminise.com+custom-name-catcher-batter-baseball-baseball-throw-baseba-design-17</t>
        </is>
      </c>
      <c r="B76" s="2" t="inlineStr">
        <is>
          <t>D2</t>
        </is>
      </c>
      <c r="C76" s="2" t="n">
        <v>10</v>
      </c>
      <c r="D76" s="2" t="inlineStr">
        <is>
          <t>PARTIAL</t>
        </is>
      </c>
      <c r="E76" s="5">
        <f>IF(B76="I1",AVERAGEIF('QA_Images'!$A$2:$A$60,A76,'QA_Images'!$T$2:$T$60)/100,IF(D76="FULL",1,IF(D76="PARTIAL",0.5,IF(D76="FAIL",0,""))))</f>
        <v/>
      </c>
      <c r="F76" s="5">
        <f>IF(E76="",0,C76*E76)</f>
        <v/>
      </c>
      <c r="G76" s="5">
        <f>IF(B76="I1",20*AVERAGEIF('QA_Images'!$A$2:$A$60,A76,'QA_Images'!$U$2:$U$60)/100,IF(D76="NOT_CHECKED",0,C76))</f>
        <v/>
      </c>
      <c r="H76" s="2" t="inlineStr">
        <is>
          <t>Facts chính khớp nguồn, nhưng copy chưa publish-ready và chưa nói rõ ràng quy trình Customize.</t>
        </is>
      </c>
      <c r="I76" s="2" t="inlineStr">
        <is>
          <t>["evidence_batch_009_087", "https://jeminise.com/products/custom-name-catcher-batter-baseball-baseball-throw-baseba-design-17", "serp_qa_087", "customizer_audit.json"]</t>
        </is>
      </c>
      <c r="J76" s="2" t="inlineStr">
        <is>
          <t>["ISS-087-IMG-04", "ISS-077-DESC", "ISS-077-CANN", "ISS-077-META"]</t>
        </is>
      </c>
    </row>
    <row r="77" ht="42" customHeight="1">
      <c r="A77" s="3" t="inlineStr">
        <is>
          <t>jeminise.com+custom-name-catcher-batter-baseball-baseball-throw-baseba-design-17</t>
        </is>
      </c>
      <c r="B77" s="3" t="inlineStr">
        <is>
          <t>I1</t>
        </is>
      </c>
      <c r="C77" s="3" t="n">
        <v>20</v>
      </c>
      <c r="D77" s="3" t="inlineStr">
        <is>
          <t>DERIVED</t>
        </is>
      </c>
      <c r="E77" s="7">
        <f>IF(B77="I1",AVERAGEIF('QA_Images'!$A$2:$A$60,A77,'QA_Images'!$T$2:$T$60)/100,IF(D77="FULL",1,IF(D77="PARTIAL",0.5,IF(D77="FAIL",0,""))))</f>
        <v/>
      </c>
      <c r="F77" s="7">
        <f>IF(E77="",0,C77*E77)</f>
        <v/>
      </c>
      <c r="G77" s="7">
        <f>IF(B77="I1",20*AVERAGEIF('QA_Images'!$A$2:$A$60,A77,'QA_Images'!$U$2:$U$60)/100,IF(D77="NOT_CHECKED",0,C77))</f>
        <v/>
      </c>
      <c r="H77" s="3" t="inlineStr">
        <is>
          <t>Tính từ trung bình 6 ảnh: 98.3333/100.</t>
        </is>
      </c>
      <c r="I77" s="3" t="inlineStr">
        <is>
          <t>["evidence_batch_009_087", "https://jeminise.com/products/custom-name-catcher-batter-baseball-baseball-throw-baseba-design-17", "serp_qa_087", "customizer_audit.json"]</t>
        </is>
      </c>
      <c r="J77" s="3" t="inlineStr">
        <is>
          <t>["ISS-087-IMG-04", "ISS-077-DESC", "ISS-077-CANN", "ISS-077-META"]</t>
        </is>
      </c>
    </row>
    <row r="78" ht="42" customHeight="1">
      <c r="A78" s="2" t="inlineStr">
        <is>
          <t>jeminise.com+custom-name-catcher-batter-baseball-baseball-throw-baseba-design-17</t>
        </is>
      </c>
      <c r="B78" s="2" t="inlineStr">
        <is>
          <t>E1</t>
        </is>
      </c>
      <c r="C78" s="2" t="n">
        <v>5</v>
      </c>
      <c r="D78" s="2" t="inlineStr">
        <is>
          <t>PARTIAL</t>
        </is>
      </c>
      <c r="E78" s="5">
        <f>IF(B78="I1",AVERAGEIF('QA_Images'!$A$2:$A$60,A78,'QA_Images'!$T$2:$T$60)/100,IF(D78="FULL",1,IF(D78="PARTIAL",0.5,IF(D78="FAIL",0,""))))</f>
        <v/>
      </c>
      <c r="F78" s="5">
        <f>IF(E78="",0,C78*E78)</f>
        <v/>
      </c>
      <c r="G78" s="5">
        <f>IF(B78="I1",20*AVERAGEIF('QA_Images'!$A$2:$A$60,A78,'QA_Images'!$U$2:$U$60)/100,IF(D78="NOT_CHECKED",0,C78))</f>
        <v/>
      </c>
      <c r="H78" s="2" t="inlineStr">
        <is>
          <t>Chuỗi evidence được kiểm tra; thiếu admin export và chưa chạy cart persistence.</t>
        </is>
      </c>
      <c r="I78" s="2" t="inlineStr">
        <is>
          <t>["evidence_batch_009_087", "https://jeminise.com/products/custom-name-catcher-batter-baseball-baseball-throw-baseba-design-17", "serp_qa_087", "customizer_audit.json"]</t>
        </is>
      </c>
      <c r="J78" s="2" t="inlineStr">
        <is>
          <t>["ISS-087-IMG-04", "ISS-077-DESC", "ISS-077-CANN", "ISS-077-META"]</t>
        </is>
      </c>
    </row>
    <row r="79" ht="42" customHeight="1">
      <c r="A79" s="3" t="inlineStr">
        <is>
          <t>jeminise.com+custom-name-catcher-batter-baseball-baseball-throw-baseba-design-18</t>
        </is>
      </c>
      <c r="B79" s="3" t="inlineStr">
        <is>
          <t>P1</t>
        </is>
      </c>
      <c r="C79" s="3" t="n">
        <v>15</v>
      </c>
      <c r="D79" s="3" t="inlineStr">
        <is>
          <t>FULL</t>
        </is>
      </c>
      <c r="E79" s="7">
        <f>IF(B79="I1",AVERAGEIF('QA_Images'!$A$2:$A$60,A79,'QA_Images'!$T$2:$T$60)/100,IF(D79="FULL",1,IF(D79="PARTIAL",0.5,IF(D79="FAIL",0,""))))</f>
        <v/>
      </c>
      <c r="F79" s="7">
        <f>IF(E79="",0,C79*E79)</f>
        <v/>
      </c>
      <c r="G79" s="7">
        <f>IF(B79="I1",20*AVERAGEIF('QA_Images'!$A$2:$A$60,A79,'QA_Images'!$U$2:$U$60)/100,IF(D79="NOT_CHECKED",0,C79))</f>
        <v/>
      </c>
      <c r="H79" s="3" t="inlineStr">
        <is>
          <t>Đối chiếu loại sản phẩm, thiết kế và màu với product JSON, H1 live và toàn bộ gallery.</t>
        </is>
      </c>
      <c r="I79" s="3" t="inlineStr">
        <is>
          <t>["evidence_batch_009_088", "https://jeminise.com/products/custom-name-catcher-batter-baseball-baseball-throw-baseba-design-18", "serp_qa_088", "customizer_audit.json"]</t>
        </is>
      </c>
      <c r="J79" s="3" t="inlineStr">
        <is>
          <t>["ISS-088-IMG-04", "ISS-078-DESC", "ISS-078-CANN", "ISS-078-META"]</t>
        </is>
      </c>
    </row>
    <row r="80" ht="42" customHeight="1">
      <c r="A80" s="2" t="inlineStr">
        <is>
          <t>jeminise.com+custom-name-catcher-batter-baseball-baseball-throw-baseba-design-18</t>
        </is>
      </c>
      <c r="B80" s="2" t="inlineStr">
        <is>
          <t>P2</t>
        </is>
      </c>
      <c r="C80" s="2" t="n">
        <v>10</v>
      </c>
      <c r="D80" s="2" t="inlineStr">
        <is>
          <t>FULL</t>
        </is>
      </c>
      <c r="E80" s="5">
        <f>IF(B80="I1",AVERAGEIF('QA_Images'!$A$2:$A$60,A80,'QA_Images'!$T$2:$T$60)/100,IF(D80="FULL",1,IF(D80="PARTIAL",0.5,IF(D80="FAIL",0,""))))</f>
        <v/>
      </c>
      <c r="F80" s="5">
        <f>IF(E80="",0,C80*E80)</f>
        <v/>
      </c>
      <c r="G80" s="5">
        <f>IF(B80="I1",20*AVERAGEIF('QA_Images'!$A$2:$A$60,A80,'QA_Images'!$U$2:$U$60)/100,IF(D80="NOT_CHECKED",0,C80))</f>
        <v/>
      </c>
      <c r="H80" s="2" t="inlineStr">
        <is>
          <t>Đã đối chiếu options, variants, description và cấu hình Amazon Customizer live có Name/Number.</t>
        </is>
      </c>
      <c r="I80" s="2" t="inlineStr">
        <is>
          <t>["evidence_batch_009_088", "https://jeminise.com/products/custom-name-catcher-batter-baseball-baseball-throw-baseba-design-18", "serp_qa_088", "customizer_audit.json"]</t>
        </is>
      </c>
      <c r="J80" s="2" t="inlineStr">
        <is>
          <t>["ISS-088-IMG-04", "ISS-078-DESC", "ISS-078-CANN", "ISS-078-META"]</t>
        </is>
      </c>
    </row>
    <row r="81" ht="42" customHeight="1">
      <c r="A81" s="3" t="inlineStr">
        <is>
          <t>jeminise.com+custom-name-catcher-batter-baseball-baseball-throw-baseba-design-18</t>
        </is>
      </c>
      <c r="B81" s="3" t="inlineStr">
        <is>
          <t>K1</t>
        </is>
      </c>
      <c r="C81" s="3" t="n">
        <v>10</v>
      </c>
      <c r="D81" s="3" t="inlineStr">
        <is>
          <t>FULL</t>
        </is>
      </c>
      <c r="E81" s="7">
        <f>IF(B81="I1",AVERAGEIF('QA_Images'!$A$2:$A$60,A81,'QA_Images'!$T$2:$T$60)/100,IF(D81="FULL",1,IF(D81="PARTIAL",0.5,IF(D81="FAIL",0,""))))</f>
        <v/>
      </c>
      <c r="F81" s="7">
        <f>IF(E81="",0,C81*E81)</f>
        <v/>
      </c>
      <c r="G81" s="7">
        <f>IF(B81="I1",20*AVERAGEIF('QA_Images'!$A$2:$A$60,A81,'QA_Images'!$U$2:$U$60)/100,IF(D81="NOT_CHECKED",0,C81))</f>
        <v/>
      </c>
      <c r="H81" s="3" t="inlineStr">
        <is>
          <t>Đối chiếu long-tail với thiết kế riêng và nguy cơ trùng intent trong cụm sản phẩm.</t>
        </is>
      </c>
      <c r="I81" s="3" t="inlineStr">
        <is>
          <t>["evidence_batch_009_088", "https://jeminise.com/products/custom-name-catcher-batter-baseball-baseball-throw-baseba-design-18", "serp_qa_088", "customizer_audit.json"]</t>
        </is>
      </c>
      <c r="J81" s="3" t="inlineStr">
        <is>
          <t>["ISS-088-IMG-04", "ISS-078-DESC", "ISS-078-CANN", "ISS-078-META"]</t>
        </is>
      </c>
    </row>
    <row r="82" ht="42" customHeight="1">
      <c r="A82" s="2" t="inlineStr">
        <is>
          <t>jeminise.com+custom-name-catcher-batter-baseball-baseball-throw-baseba-design-18</t>
        </is>
      </c>
      <c r="B82" s="2" t="inlineStr">
        <is>
          <t>K2</t>
        </is>
      </c>
      <c r="C82" s="2" t="n">
        <v>5</v>
      </c>
      <c r="D82" s="2" t="inlineStr">
        <is>
          <t>PARTIAL</t>
        </is>
      </c>
      <c r="E82" s="5">
        <f>IF(B82="I1",AVERAGEIF('QA_Images'!$A$2:$A$60,A82,'QA_Images'!$T$2:$T$60)/100,IF(D82="FULL",1,IF(D82="PARTIAL",0.5,IF(D82="FAIL",0,""))))</f>
        <v/>
      </c>
      <c r="F82" s="5">
        <f>IF(E82="",0,C82*E82)</f>
        <v/>
      </c>
      <c r="G82" s="5">
        <f>IF(B82="I1",20*AVERAGEIF('QA_Images'!$A$2:$A$60,A82,'QA_Images'!$U$2:$U$60)/100,IF(D82="NOT_CHECKED",0,C82))</f>
        <v/>
      </c>
      <c r="H82" s="2" t="inlineStr">
        <is>
          <t>Đã đọc primary và comparator SERP theo US commercial intent; nhiều kết quả là blanket/duvet nên chỉ PARTIAL.</t>
        </is>
      </c>
      <c r="I82" s="2" t="inlineStr">
        <is>
          <t>["evidence_batch_009_088", "https://jeminise.com/products/custom-name-catcher-batter-baseball-baseball-throw-baseba-design-18", "serp_qa_088", "customizer_audit.json"]</t>
        </is>
      </c>
      <c r="J82" s="2" t="inlineStr">
        <is>
          <t>["ISS-088-IMG-04", "ISS-078-DESC", "ISS-078-CANN", "ISS-078-META"]</t>
        </is>
      </c>
    </row>
    <row r="83" ht="42" customHeight="1">
      <c r="A83" s="3" t="inlineStr">
        <is>
          <t>jeminise.com+custom-name-catcher-batter-baseball-baseball-throw-baseba-design-18</t>
        </is>
      </c>
      <c r="B83" s="3" t="inlineStr">
        <is>
          <t>K3</t>
        </is>
      </c>
      <c r="C83" s="3" t="n">
        <v>5</v>
      </c>
      <c r="D83" s="3" t="inlineStr">
        <is>
          <t>PARTIAL</t>
        </is>
      </c>
      <c r="E83" s="7">
        <f>IF(B83="I1",AVERAGEIF('QA_Images'!$A$2:$A$60,A83,'QA_Images'!$T$2:$T$60)/100,IF(D83="FULL",1,IF(D83="PARTIAL",0.5,IF(D83="FAIL",0,""))))</f>
        <v/>
      </c>
      <c r="F83" s="7">
        <f>IF(E83="",0,C83*E83)</f>
        <v/>
      </c>
      <c r="G83" s="7">
        <f>IF(B83="I1",20*AVERAGEIF('QA_Images'!$A$2:$A$60,A83,'QA_Images'!$U$2:$U$60)/100,IF(D83="NOT_CHECKED",0,C83))</f>
        <v/>
      </c>
      <c r="H83" s="3" t="inlineStr">
        <is>
          <t>Modifier theo artwork có dùng nhưng mười trang cùng cluster còn nguy cơ cannibalization.</t>
        </is>
      </c>
      <c r="I83" s="3" t="inlineStr">
        <is>
          <t>["evidence_batch_009_088", "https://jeminise.com/products/custom-name-catcher-batter-baseball-baseball-throw-baseba-design-18", "serp_qa_088", "customizer_audit.json"]</t>
        </is>
      </c>
      <c r="J83" s="3" t="inlineStr">
        <is>
          <t>["ISS-088-IMG-04", "ISS-078-DESC", "ISS-078-CANN", "ISS-078-META"]</t>
        </is>
      </c>
    </row>
    <row r="84" ht="42" customHeight="1">
      <c r="A84" s="2" t="inlineStr">
        <is>
          <t>jeminise.com+custom-name-catcher-batter-baseball-baseball-throw-baseba-design-18</t>
        </is>
      </c>
      <c r="B84" s="2" t="inlineStr">
        <is>
          <t>T1</t>
        </is>
      </c>
      <c r="C84" s="2" t="n">
        <v>10</v>
      </c>
      <c r="D84" s="2" t="inlineStr">
        <is>
          <t>FULL</t>
        </is>
      </c>
      <c r="E84" s="5">
        <f>IF(B84="I1",AVERAGEIF('QA_Images'!$A$2:$A$60,A84,'QA_Images'!$T$2:$T$60)/100,IF(D84="FULL",1,IF(D84="PARTIAL",0.5,IF(D84="FAIL",0,""))))</f>
        <v/>
      </c>
      <c r="F84" s="5">
        <f>IF(E84="",0,C84*E84)</f>
        <v/>
      </c>
      <c r="G84" s="5">
        <f>IF(B84="I1",20*AVERAGEIF('QA_Images'!$A$2:$A$60,A84,'QA_Images'!$U$2:$U$60)/100,IF(D84="NOT_CHECKED",0,C84))</f>
        <v/>
      </c>
      <c r="H84" s="2" t="inlineStr">
        <is>
          <t>Đánh giá SEO title English về độ đúng, tự nhiên, keyword và điểm phân biệt.</t>
        </is>
      </c>
      <c r="I84" s="2" t="inlineStr">
        <is>
          <t>["evidence_batch_009_088", "https://jeminise.com/products/custom-name-catcher-batter-baseball-baseball-throw-baseba-design-18", "serp_qa_088", "customizer_audit.json"]</t>
        </is>
      </c>
      <c r="J84" s="2" t="inlineStr">
        <is>
          <t>["ISS-088-IMG-04", "ISS-078-DESC", "ISS-078-CANN", "ISS-078-META"]</t>
        </is>
      </c>
    </row>
    <row r="85" ht="42" customHeight="1">
      <c r="A85" s="3" t="inlineStr">
        <is>
          <t>jeminise.com+custom-name-catcher-batter-baseball-baseball-throw-baseba-design-18</t>
        </is>
      </c>
      <c r="B85" s="3" t="inlineStr">
        <is>
          <t>T2</t>
        </is>
      </c>
      <c r="C85" s="3" t="n">
        <v>5</v>
      </c>
      <c r="D85" s="3" t="inlineStr">
        <is>
          <t>PARTIAL</t>
        </is>
      </c>
      <c r="E85" s="7">
        <f>IF(B85="I1",AVERAGEIF('QA_Images'!$A$2:$A$60,A85,'QA_Images'!$T$2:$T$60)/100,IF(D85="FULL",1,IF(D85="PARTIAL",0.5,IF(D85="FAIL",0,""))))</f>
        <v/>
      </c>
      <c r="F85" s="7">
        <f>IF(E85="",0,C85*E85)</f>
        <v/>
      </c>
      <c r="G85" s="7">
        <f>IF(B85="I1",20*AVERAGEIF('QA_Images'!$A$2:$A$60,A85,'QA_Images'!$U$2:$U$60)/100,IF(D85="NOT_CHECKED",0,C85))</f>
        <v/>
      </c>
      <c r="H85" s="3" t="inlineStr">
        <is>
          <t>Meta đúng motif nhưng quá dài và chưa diễn đạt cơ chế Customize gọn, rõ.</t>
        </is>
      </c>
      <c r="I85" s="3" t="inlineStr">
        <is>
          <t>["evidence_batch_009_088", "https://jeminise.com/products/custom-name-catcher-batter-baseball-baseball-throw-baseba-design-18", "serp_qa_088", "customizer_audit.json"]</t>
        </is>
      </c>
      <c r="J85" s="3" t="inlineStr">
        <is>
          <t>["ISS-088-IMG-04", "ISS-078-DESC", "ISS-078-CANN", "ISS-078-META"]</t>
        </is>
      </c>
    </row>
    <row r="86" ht="42" customHeight="1">
      <c r="A86" s="2" t="inlineStr">
        <is>
          <t>jeminise.com+custom-name-catcher-batter-baseball-baseball-throw-baseba-design-18</t>
        </is>
      </c>
      <c r="B86" s="2" t="inlineStr">
        <is>
          <t>D1</t>
        </is>
      </c>
      <c r="C86" s="2" t="n">
        <v>5</v>
      </c>
      <c r="D86" s="2" t="inlineStr">
        <is>
          <t>FAIL</t>
        </is>
      </c>
      <c r="E86" s="5">
        <f>IF(B86="I1",AVERAGEIF('QA_Images'!$A$2:$A$60,A86,'QA_Images'!$T$2:$T$60)/100,IF(D86="FULL",1,IF(D86="PARTIAL",0.5,IF(D86="FAIL",0,""))))</f>
        <v/>
      </c>
      <c r="F86" s="5">
        <f>IF(E86="",0,C86*E86)</f>
        <v/>
      </c>
      <c r="G86" s="5">
        <f>IF(B86="I1",20*AVERAGEIF('QA_Images'!$A$2:$A$60,A86,'QA_Images'!$U$2:$U$60)/100,IF(D86="NOT_CHECKED",0,C86))</f>
        <v/>
      </c>
      <c r="H86" s="2" t="inlineStr">
        <is>
          <t>Description chứa nguyên khối SEO Use/QA/import nội bộ.</t>
        </is>
      </c>
      <c r="I86" s="2" t="inlineStr">
        <is>
          <t>["evidence_batch_009_088", "https://jeminise.com/products/custom-name-catcher-batter-baseball-baseball-throw-baseba-design-18", "serp_qa_088", "customizer_audit.json"]</t>
        </is>
      </c>
      <c r="J86" s="2" t="inlineStr">
        <is>
          <t>["ISS-088-IMG-04", "ISS-078-DESC", "ISS-078-CANN", "ISS-078-META"]</t>
        </is>
      </c>
    </row>
    <row r="87" ht="42" customHeight="1">
      <c r="A87" s="3" t="inlineStr">
        <is>
          <t>jeminise.com+custom-name-catcher-batter-baseball-baseball-throw-baseba-design-18</t>
        </is>
      </c>
      <c r="B87" s="3" t="inlineStr">
        <is>
          <t>D2</t>
        </is>
      </c>
      <c r="C87" s="3" t="n">
        <v>10</v>
      </c>
      <c r="D87" s="3" t="inlineStr">
        <is>
          <t>PARTIAL</t>
        </is>
      </c>
      <c r="E87" s="7">
        <f>IF(B87="I1",AVERAGEIF('QA_Images'!$A$2:$A$60,A87,'QA_Images'!$T$2:$T$60)/100,IF(D87="FULL",1,IF(D87="PARTIAL",0.5,IF(D87="FAIL",0,""))))</f>
        <v/>
      </c>
      <c r="F87" s="7">
        <f>IF(E87="",0,C87*E87)</f>
        <v/>
      </c>
      <c r="G87" s="7">
        <f>IF(B87="I1",20*AVERAGEIF('QA_Images'!$A$2:$A$60,A87,'QA_Images'!$U$2:$U$60)/100,IF(D87="NOT_CHECKED",0,C87))</f>
        <v/>
      </c>
      <c r="H87" s="3" t="inlineStr">
        <is>
          <t>Facts chính khớp nguồn, nhưng copy chưa publish-ready và chưa nói rõ ràng quy trình Customize.</t>
        </is>
      </c>
      <c r="I87" s="3" t="inlineStr">
        <is>
          <t>["evidence_batch_009_088", "https://jeminise.com/products/custom-name-catcher-batter-baseball-baseball-throw-baseba-design-18", "serp_qa_088", "customizer_audit.json"]</t>
        </is>
      </c>
      <c r="J87" s="3" t="inlineStr">
        <is>
          <t>["ISS-088-IMG-04", "ISS-078-DESC", "ISS-078-CANN", "ISS-078-META"]</t>
        </is>
      </c>
    </row>
    <row r="88" ht="42" customHeight="1">
      <c r="A88" s="2" t="inlineStr">
        <is>
          <t>jeminise.com+custom-name-catcher-batter-baseball-baseball-throw-baseba-design-18</t>
        </is>
      </c>
      <c r="B88" s="2" t="inlineStr">
        <is>
          <t>I1</t>
        </is>
      </c>
      <c r="C88" s="2" t="n">
        <v>20</v>
      </c>
      <c r="D88" s="2" t="inlineStr">
        <is>
          <t>DERIVED</t>
        </is>
      </c>
      <c r="E88" s="5">
        <f>IF(B88="I1",AVERAGEIF('QA_Images'!$A$2:$A$60,A88,'QA_Images'!$T$2:$T$60)/100,IF(D88="FULL",1,IF(D88="PARTIAL",0.5,IF(D88="FAIL",0,""))))</f>
        <v/>
      </c>
      <c r="F88" s="5">
        <f>IF(E88="",0,C88*E88)</f>
        <v/>
      </c>
      <c r="G88" s="5">
        <f>IF(B88="I1",20*AVERAGEIF('QA_Images'!$A$2:$A$60,A88,'QA_Images'!$U$2:$U$60)/100,IF(D88="NOT_CHECKED",0,C88))</f>
        <v/>
      </c>
      <c r="H88" s="2" t="inlineStr">
        <is>
          <t>Tính từ trung bình 7 ảnh: 98.5714/100.</t>
        </is>
      </c>
      <c r="I88" s="2" t="inlineStr">
        <is>
          <t>["evidence_batch_009_088", "https://jeminise.com/products/custom-name-catcher-batter-baseball-baseball-throw-baseba-design-18", "serp_qa_088", "customizer_audit.json"]</t>
        </is>
      </c>
      <c r="J88" s="2" t="inlineStr">
        <is>
          <t>["ISS-088-IMG-04", "ISS-078-DESC", "ISS-078-CANN", "ISS-078-META"]</t>
        </is>
      </c>
    </row>
    <row r="89" ht="42" customHeight="1">
      <c r="A89" s="3" t="inlineStr">
        <is>
          <t>jeminise.com+custom-name-catcher-batter-baseball-baseball-throw-baseba-design-18</t>
        </is>
      </c>
      <c r="B89" s="3" t="inlineStr">
        <is>
          <t>E1</t>
        </is>
      </c>
      <c r="C89" s="3" t="n">
        <v>5</v>
      </c>
      <c r="D89" s="3" t="inlineStr">
        <is>
          <t>PARTIAL</t>
        </is>
      </c>
      <c r="E89" s="7">
        <f>IF(B89="I1",AVERAGEIF('QA_Images'!$A$2:$A$60,A89,'QA_Images'!$T$2:$T$60)/100,IF(D89="FULL",1,IF(D89="PARTIAL",0.5,IF(D89="FAIL",0,""))))</f>
        <v/>
      </c>
      <c r="F89" s="7">
        <f>IF(E89="",0,C89*E89)</f>
        <v/>
      </c>
      <c r="G89" s="7">
        <f>IF(B89="I1",20*AVERAGEIF('QA_Images'!$A$2:$A$60,A89,'QA_Images'!$U$2:$U$60)/100,IF(D89="NOT_CHECKED",0,C89))</f>
        <v/>
      </c>
      <c r="H89" s="3" t="inlineStr">
        <is>
          <t>Chuỗi evidence được kiểm tra; thiếu admin export và chưa chạy cart persistence.</t>
        </is>
      </c>
      <c r="I89" s="3" t="inlineStr">
        <is>
          <t>["evidence_batch_009_088", "https://jeminise.com/products/custom-name-catcher-batter-baseball-baseball-throw-baseba-design-18", "serp_qa_088", "customizer_audit.json"]</t>
        </is>
      </c>
      <c r="J89" s="3" t="inlineStr">
        <is>
          <t>["ISS-088-IMG-04", "ISS-078-DESC", "ISS-078-CANN", "ISS-078-META"]</t>
        </is>
      </c>
    </row>
    <row r="90" ht="42" customHeight="1">
      <c r="A90" s="2" t="inlineStr">
        <is>
          <t>jeminise.com+custom-name-catcher-batter-baseball-baseball-throw-baseba-design-21</t>
        </is>
      </c>
      <c r="B90" s="2" t="inlineStr">
        <is>
          <t>P1</t>
        </is>
      </c>
      <c r="C90" s="2" t="n">
        <v>15</v>
      </c>
      <c r="D90" s="2" t="inlineStr">
        <is>
          <t>FULL</t>
        </is>
      </c>
      <c r="E90" s="5">
        <f>IF(B90="I1",AVERAGEIF('QA_Images'!$A$2:$A$60,A90,'QA_Images'!$T$2:$T$60)/100,IF(D90="FULL",1,IF(D90="PARTIAL",0.5,IF(D90="FAIL",0,""))))</f>
        <v/>
      </c>
      <c r="F90" s="5">
        <f>IF(E90="",0,C90*E90)</f>
        <v/>
      </c>
      <c r="G90" s="5">
        <f>IF(B90="I1",20*AVERAGEIF('QA_Images'!$A$2:$A$60,A90,'QA_Images'!$U$2:$U$60)/100,IF(D90="NOT_CHECKED",0,C90))</f>
        <v/>
      </c>
      <c r="H90" s="2" t="inlineStr">
        <is>
          <t>Đối chiếu loại sản phẩm, thiết kế và màu với product JSON, H1 live và toàn bộ gallery.</t>
        </is>
      </c>
      <c r="I90" s="2" t="inlineStr">
        <is>
          <t>["evidence_batch_009_089", "https://jeminise.com/products/custom-name-catcher-batter-baseball-baseball-throw-baseba-design-21", "serp_qa_089", "customizer_audit.json"]</t>
        </is>
      </c>
      <c r="J90" s="2" t="inlineStr">
        <is>
          <t>["ISS-089-IMG-04", "ISS-079-DESC", "ISS-079-CANN", "ISS-079-META"]</t>
        </is>
      </c>
    </row>
    <row r="91" ht="42" customHeight="1">
      <c r="A91" s="3" t="inlineStr">
        <is>
          <t>jeminise.com+custom-name-catcher-batter-baseball-baseball-throw-baseba-design-21</t>
        </is>
      </c>
      <c r="B91" s="3" t="inlineStr">
        <is>
          <t>P2</t>
        </is>
      </c>
      <c r="C91" s="3" t="n">
        <v>10</v>
      </c>
      <c r="D91" s="3" t="inlineStr">
        <is>
          <t>FULL</t>
        </is>
      </c>
      <c r="E91" s="7">
        <f>IF(B91="I1",AVERAGEIF('QA_Images'!$A$2:$A$60,A91,'QA_Images'!$T$2:$T$60)/100,IF(D91="FULL",1,IF(D91="PARTIAL",0.5,IF(D91="FAIL",0,""))))</f>
        <v/>
      </c>
      <c r="F91" s="7">
        <f>IF(E91="",0,C91*E91)</f>
        <v/>
      </c>
      <c r="G91" s="7">
        <f>IF(B91="I1",20*AVERAGEIF('QA_Images'!$A$2:$A$60,A91,'QA_Images'!$U$2:$U$60)/100,IF(D91="NOT_CHECKED",0,C91))</f>
        <v/>
      </c>
      <c r="H91" s="3" t="inlineStr">
        <is>
          <t>Đã đối chiếu options, variants, description và cấu hình Amazon Customizer live có Name/Number.</t>
        </is>
      </c>
      <c r="I91" s="3" t="inlineStr">
        <is>
          <t>["evidence_batch_009_089", "https://jeminise.com/products/custom-name-catcher-batter-baseball-baseball-throw-baseba-design-21", "serp_qa_089", "customizer_audit.json"]</t>
        </is>
      </c>
      <c r="J91" s="3" t="inlineStr">
        <is>
          <t>["ISS-089-IMG-04", "ISS-079-DESC", "ISS-079-CANN", "ISS-079-META"]</t>
        </is>
      </c>
    </row>
    <row r="92" ht="42" customHeight="1">
      <c r="A92" s="2" t="inlineStr">
        <is>
          <t>jeminise.com+custom-name-catcher-batter-baseball-baseball-throw-baseba-design-21</t>
        </is>
      </c>
      <c r="B92" s="2" t="inlineStr">
        <is>
          <t>K1</t>
        </is>
      </c>
      <c r="C92" s="2" t="n">
        <v>10</v>
      </c>
      <c r="D92" s="2" t="inlineStr">
        <is>
          <t>FULL</t>
        </is>
      </c>
      <c r="E92" s="5">
        <f>IF(B92="I1",AVERAGEIF('QA_Images'!$A$2:$A$60,A92,'QA_Images'!$T$2:$T$60)/100,IF(D92="FULL",1,IF(D92="PARTIAL",0.5,IF(D92="FAIL",0,""))))</f>
        <v/>
      </c>
      <c r="F92" s="5">
        <f>IF(E92="",0,C92*E92)</f>
        <v/>
      </c>
      <c r="G92" s="5">
        <f>IF(B92="I1",20*AVERAGEIF('QA_Images'!$A$2:$A$60,A92,'QA_Images'!$U$2:$U$60)/100,IF(D92="NOT_CHECKED",0,C92))</f>
        <v/>
      </c>
      <c r="H92" s="2" t="inlineStr">
        <is>
          <t>Đối chiếu long-tail với thiết kế riêng và nguy cơ trùng intent trong cụm sản phẩm.</t>
        </is>
      </c>
      <c r="I92" s="2" t="inlineStr">
        <is>
          <t>["evidence_batch_009_089", "https://jeminise.com/products/custom-name-catcher-batter-baseball-baseball-throw-baseba-design-21", "serp_qa_089", "customizer_audit.json"]</t>
        </is>
      </c>
      <c r="J92" s="2" t="inlineStr">
        <is>
          <t>["ISS-089-IMG-04", "ISS-079-DESC", "ISS-079-CANN", "ISS-079-META"]</t>
        </is>
      </c>
    </row>
    <row r="93" ht="42" customHeight="1">
      <c r="A93" s="3" t="inlineStr">
        <is>
          <t>jeminise.com+custom-name-catcher-batter-baseball-baseball-throw-baseba-design-21</t>
        </is>
      </c>
      <c r="B93" s="3" t="inlineStr">
        <is>
          <t>K2</t>
        </is>
      </c>
      <c r="C93" s="3" t="n">
        <v>5</v>
      </c>
      <c r="D93" s="3" t="inlineStr">
        <is>
          <t>PARTIAL</t>
        </is>
      </c>
      <c r="E93" s="7">
        <f>IF(B93="I1",AVERAGEIF('QA_Images'!$A$2:$A$60,A93,'QA_Images'!$T$2:$T$60)/100,IF(D93="FULL",1,IF(D93="PARTIAL",0.5,IF(D93="FAIL",0,""))))</f>
        <v/>
      </c>
      <c r="F93" s="7">
        <f>IF(E93="",0,C93*E93)</f>
        <v/>
      </c>
      <c r="G93" s="7">
        <f>IF(B93="I1",20*AVERAGEIF('QA_Images'!$A$2:$A$60,A93,'QA_Images'!$U$2:$U$60)/100,IF(D93="NOT_CHECKED",0,C93))</f>
        <v/>
      </c>
      <c r="H93" s="3" t="inlineStr">
        <is>
          <t>Đã đọc primary và comparator SERP theo US commercial intent; nhiều kết quả là blanket/duvet nên chỉ PARTIAL.</t>
        </is>
      </c>
      <c r="I93" s="3" t="inlineStr">
        <is>
          <t>["evidence_batch_009_089", "https://jeminise.com/products/custom-name-catcher-batter-baseball-baseball-throw-baseba-design-21", "serp_qa_089", "customizer_audit.json"]</t>
        </is>
      </c>
      <c r="J93" s="3" t="inlineStr">
        <is>
          <t>["ISS-089-IMG-04", "ISS-079-DESC", "ISS-079-CANN", "ISS-079-META"]</t>
        </is>
      </c>
    </row>
    <row r="94" ht="42" customHeight="1">
      <c r="A94" s="2" t="inlineStr">
        <is>
          <t>jeminise.com+custom-name-catcher-batter-baseball-baseball-throw-baseba-design-21</t>
        </is>
      </c>
      <c r="B94" s="2" t="inlineStr">
        <is>
          <t>K3</t>
        </is>
      </c>
      <c r="C94" s="2" t="n">
        <v>5</v>
      </c>
      <c r="D94" s="2" t="inlineStr">
        <is>
          <t>PARTIAL</t>
        </is>
      </c>
      <c r="E94" s="5">
        <f>IF(B94="I1",AVERAGEIF('QA_Images'!$A$2:$A$60,A94,'QA_Images'!$T$2:$T$60)/100,IF(D94="FULL",1,IF(D94="PARTIAL",0.5,IF(D94="FAIL",0,""))))</f>
        <v/>
      </c>
      <c r="F94" s="5">
        <f>IF(E94="",0,C94*E94)</f>
        <v/>
      </c>
      <c r="G94" s="5">
        <f>IF(B94="I1",20*AVERAGEIF('QA_Images'!$A$2:$A$60,A94,'QA_Images'!$U$2:$U$60)/100,IF(D94="NOT_CHECKED",0,C94))</f>
        <v/>
      </c>
      <c r="H94" s="2" t="inlineStr">
        <is>
          <t>Modifier theo artwork có dùng nhưng mười trang cùng cluster còn nguy cơ cannibalization.</t>
        </is>
      </c>
      <c r="I94" s="2" t="inlineStr">
        <is>
          <t>["evidence_batch_009_089", "https://jeminise.com/products/custom-name-catcher-batter-baseball-baseball-throw-baseba-design-21", "serp_qa_089", "customizer_audit.json"]</t>
        </is>
      </c>
      <c r="J94" s="2" t="inlineStr">
        <is>
          <t>["ISS-089-IMG-04", "ISS-079-DESC", "ISS-079-CANN", "ISS-079-META"]</t>
        </is>
      </c>
    </row>
    <row r="95" ht="42" customHeight="1">
      <c r="A95" s="3" t="inlineStr">
        <is>
          <t>jeminise.com+custom-name-catcher-batter-baseball-baseball-throw-baseba-design-21</t>
        </is>
      </c>
      <c r="B95" s="3" t="inlineStr">
        <is>
          <t>T1</t>
        </is>
      </c>
      <c r="C95" s="3" t="n">
        <v>10</v>
      </c>
      <c r="D95" s="3" t="inlineStr">
        <is>
          <t>FULL</t>
        </is>
      </c>
      <c r="E95" s="7">
        <f>IF(B95="I1",AVERAGEIF('QA_Images'!$A$2:$A$60,A95,'QA_Images'!$T$2:$T$60)/100,IF(D95="FULL",1,IF(D95="PARTIAL",0.5,IF(D95="FAIL",0,""))))</f>
        <v/>
      </c>
      <c r="F95" s="7">
        <f>IF(E95="",0,C95*E95)</f>
        <v/>
      </c>
      <c r="G95" s="7">
        <f>IF(B95="I1",20*AVERAGEIF('QA_Images'!$A$2:$A$60,A95,'QA_Images'!$U$2:$U$60)/100,IF(D95="NOT_CHECKED",0,C95))</f>
        <v/>
      </c>
      <c r="H95" s="3" t="inlineStr">
        <is>
          <t>Đánh giá SEO title English về độ đúng, tự nhiên, keyword và điểm phân biệt.</t>
        </is>
      </c>
      <c r="I95" s="3" t="inlineStr">
        <is>
          <t>["evidence_batch_009_089", "https://jeminise.com/products/custom-name-catcher-batter-baseball-baseball-throw-baseba-design-21", "serp_qa_089", "customizer_audit.json"]</t>
        </is>
      </c>
      <c r="J95" s="3" t="inlineStr">
        <is>
          <t>["ISS-089-IMG-04", "ISS-079-DESC", "ISS-079-CANN", "ISS-079-META"]</t>
        </is>
      </c>
    </row>
    <row r="96" ht="42" customHeight="1">
      <c r="A96" s="2" t="inlineStr">
        <is>
          <t>jeminise.com+custom-name-catcher-batter-baseball-baseball-throw-baseba-design-21</t>
        </is>
      </c>
      <c r="B96" s="2" t="inlineStr">
        <is>
          <t>T2</t>
        </is>
      </c>
      <c r="C96" s="2" t="n">
        <v>5</v>
      </c>
      <c r="D96" s="2" t="inlineStr">
        <is>
          <t>PARTIAL</t>
        </is>
      </c>
      <c r="E96" s="5">
        <f>IF(B96="I1",AVERAGEIF('QA_Images'!$A$2:$A$60,A96,'QA_Images'!$T$2:$T$60)/100,IF(D96="FULL",1,IF(D96="PARTIAL",0.5,IF(D96="FAIL",0,""))))</f>
        <v/>
      </c>
      <c r="F96" s="5">
        <f>IF(E96="",0,C96*E96)</f>
        <v/>
      </c>
      <c r="G96" s="5">
        <f>IF(B96="I1",20*AVERAGEIF('QA_Images'!$A$2:$A$60,A96,'QA_Images'!$U$2:$U$60)/100,IF(D96="NOT_CHECKED",0,C96))</f>
        <v/>
      </c>
      <c r="H96" s="2" t="inlineStr">
        <is>
          <t>Meta đúng motif nhưng quá dài và chưa diễn đạt cơ chế Customize gọn, rõ.</t>
        </is>
      </c>
      <c r="I96" s="2" t="inlineStr">
        <is>
          <t>["evidence_batch_009_089", "https://jeminise.com/products/custom-name-catcher-batter-baseball-baseball-throw-baseba-design-21", "serp_qa_089", "customizer_audit.json"]</t>
        </is>
      </c>
      <c r="J96" s="2" t="inlineStr">
        <is>
          <t>["ISS-089-IMG-04", "ISS-079-DESC", "ISS-079-CANN", "ISS-079-META"]</t>
        </is>
      </c>
    </row>
    <row r="97" ht="42" customHeight="1">
      <c r="A97" s="3" t="inlineStr">
        <is>
          <t>jeminise.com+custom-name-catcher-batter-baseball-baseball-throw-baseba-design-21</t>
        </is>
      </c>
      <c r="B97" s="3" t="inlineStr">
        <is>
          <t>D1</t>
        </is>
      </c>
      <c r="C97" s="3" t="n">
        <v>5</v>
      </c>
      <c r="D97" s="3" t="inlineStr">
        <is>
          <t>FAIL</t>
        </is>
      </c>
      <c r="E97" s="7">
        <f>IF(B97="I1",AVERAGEIF('QA_Images'!$A$2:$A$60,A97,'QA_Images'!$T$2:$T$60)/100,IF(D97="FULL",1,IF(D97="PARTIAL",0.5,IF(D97="FAIL",0,""))))</f>
        <v/>
      </c>
      <c r="F97" s="7">
        <f>IF(E97="",0,C97*E97)</f>
        <v/>
      </c>
      <c r="G97" s="7">
        <f>IF(B97="I1",20*AVERAGEIF('QA_Images'!$A$2:$A$60,A97,'QA_Images'!$U$2:$U$60)/100,IF(D97="NOT_CHECKED",0,C97))</f>
        <v/>
      </c>
      <c r="H97" s="3" t="inlineStr">
        <is>
          <t>Description chứa nguyên khối SEO Use/QA/import nội bộ.</t>
        </is>
      </c>
      <c r="I97" s="3" t="inlineStr">
        <is>
          <t>["evidence_batch_009_089", "https://jeminise.com/products/custom-name-catcher-batter-baseball-baseball-throw-baseba-design-21", "serp_qa_089", "customizer_audit.json"]</t>
        </is>
      </c>
      <c r="J97" s="3" t="inlineStr">
        <is>
          <t>["ISS-089-IMG-04", "ISS-079-DESC", "ISS-079-CANN", "ISS-079-META"]</t>
        </is>
      </c>
    </row>
    <row r="98" ht="42" customHeight="1">
      <c r="A98" s="2" t="inlineStr">
        <is>
          <t>jeminise.com+custom-name-catcher-batter-baseball-baseball-throw-baseba-design-21</t>
        </is>
      </c>
      <c r="B98" s="2" t="inlineStr">
        <is>
          <t>D2</t>
        </is>
      </c>
      <c r="C98" s="2" t="n">
        <v>10</v>
      </c>
      <c r="D98" s="2" t="inlineStr">
        <is>
          <t>PARTIAL</t>
        </is>
      </c>
      <c r="E98" s="5">
        <f>IF(B98="I1",AVERAGEIF('QA_Images'!$A$2:$A$60,A98,'QA_Images'!$T$2:$T$60)/100,IF(D98="FULL",1,IF(D98="PARTIAL",0.5,IF(D98="FAIL",0,""))))</f>
        <v/>
      </c>
      <c r="F98" s="5">
        <f>IF(E98="",0,C98*E98)</f>
        <v/>
      </c>
      <c r="G98" s="5">
        <f>IF(B98="I1",20*AVERAGEIF('QA_Images'!$A$2:$A$60,A98,'QA_Images'!$U$2:$U$60)/100,IF(D98="NOT_CHECKED",0,C98))</f>
        <v/>
      </c>
      <c r="H98" s="2" t="inlineStr">
        <is>
          <t>Facts chính khớp nguồn, nhưng copy chưa publish-ready và chưa nói rõ ràng quy trình Customize.</t>
        </is>
      </c>
      <c r="I98" s="2" t="inlineStr">
        <is>
          <t>["evidence_batch_009_089", "https://jeminise.com/products/custom-name-catcher-batter-baseball-baseball-throw-baseba-design-21", "serp_qa_089", "customizer_audit.json"]</t>
        </is>
      </c>
      <c r="J98" s="2" t="inlineStr">
        <is>
          <t>["ISS-089-IMG-04", "ISS-079-DESC", "ISS-079-CANN", "ISS-079-META"]</t>
        </is>
      </c>
    </row>
    <row r="99" ht="42" customHeight="1">
      <c r="A99" s="3" t="inlineStr">
        <is>
          <t>jeminise.com+custom-name-catcher-batter-baseball-baseball-throw-baseba-design-21</t>
        </is>
      </c>
      <c r="B99" s="3" t="inlineStr">
        <is>
          <t>I1</t>
        </is>
      </c>
      <c r="C99" s="3" t="n">
        <v>20</v>
      </c>
      <c r="D99" s="3" t="inlineStr">
        <is>
          <t>DERIVED</t>
        </is>
      </c>
      <c r="E99" s="7">
        <f>IF(B99="I1",AVERAGEIF('QA_Images'!$A$2:$A$60,A99,'QA_Images'!$T$2:$T$60)/100,IF(D99="FULL",1,IF(D99="PARTIAL",0.5,IF(D99="FAIL",0,""))))</f>
        <v/>
      </c>
      <c r="F99" s="7">
        <f>IF(E99="",0,C99*E99)</f>
        <v/>
      </c>
      <c r="G99" s="7">
        <f>IF(B99="I1",20*AVERAGEIF('QA_Images'!$A$2:$A$60,A99,'QA_Images'!$U$2:$U$60)/100,IF(D99="NOT_CHECKED",0,C99))</f>
        <v/>
      </c>
      <c r="H99" s="3" t="inlineStr">
        <is>
          <t>Tính từ trung bình 5 ảnh: 98.0000/100.</t>
        </is>
      </c>
      <c r="I99" s="3" t="inlineStr">
        <is>
          <t>["evidence_batch_009_089", "https://jeminise.com/products/custom-name-catcher-batter-baseball-baseball-throw-baseba-design-21", "serp_qa_089", "customizer_audit.json"]</t>
        </is>
      </c>
      <c r="J99" s="3" t="inlineStr">
        <is>
          <t>["ISS-089-IMG-04", "ISS-079-DESC", "ISS-079-CANN", "ISS-079-META"]</t>
        </is>
      </c>
    </row>
    <row r="100" ht="42" customHeight="1">
      <c r="A100" s="2" t="inlineStr">
        <is>
          <t>jeminise.com+custom-name-catcher-batter-baseball-baseball-throw-baseba-design-21</t>
        </is>
      </c>
      <c r="B100" s="2" t="inlineStr">
        <is>
          <t>E1</t>
        </is>
      </c>
      <c r="C100" s="2" t="n">
        <v>5</v>
      </c>
      <c r="D100" s="2" t="inlineStr">
        <is>
          <t>PARTIAL</t>
        </is>
      </c>
      <c r="E100" s="5">
        <f>IF(B100="I1",AVERAGEIF('QA_Images'!$A$2:$A$60,A100,'QA_Images'!$T$2:$T$60)/100,IF(D100="FULL",1,IF(D100="PARTIAL",0.5,IF(D100="FAIL",0,""))))</f>
        <v/>
      </c>
      <c r="F100" s="5">
        <f>IF(E100="",0,C100*E100)</f>
        <v/>
      </c>
      <c r="G100" s="5">
        <f>IF(B100="I1",20*AVERAGEIF('QA_Images'!$A$2:$A$60,A100,'QA_Images'!$U$2:$U$60)/100,IF(D100="NOT_CHECKED",0,C100))</f>
        <v/>
      </c>
      <c r="H100" s="2" t="inlineStr">
        <is>
          <t>Chuỗi evidence được kiểm tra; thiếu admin export và chưa chạy cart persistence.</t>
        </is>
      </c>
      <c r="I100" s="2" t="inlineStr">
        <is>
          <t>["evidence_batch_009_089", "https://jeminise.com/products/custom-name-catcher-batter-baseball-baseball-throw-baseba-design-21", "serp_qa_089", "customizer_audit.json"]</t>
        </is>
      </c>
      <c r="J100" s="2" t="inlineStr">
        <is>
          <t>["ISS-089-IMG-04", "ISS-079-DESC", "ISS-079-CANN", "ISS-079-META"]</t>
        </is>
      </c>
    </row>
    <row r="101" ht="42" customHeight="1">
      <c r="A101" s="3" t="inlineStr">
        <is>
          <t>jeminise.com+custom-name-catcher-batter-baseball-baseball-throw-baseball-blanket</t>
        </is>
      </c>
      <c r="B101" s="3" t="inlineStr">
        <is>
          <t>P1</t>
        </is>
      </c>
      <c r="C101" s="3" t="n">
        <v>15</v>
      </c>
      <c r="D101" s="3" t="inlineStr">
        <is>
          <t>FULL</t>
        </is>
      </c>
      <c r="E101" s="7">
        <f>IF(B101="I1",AVERAGEIF('QA_Images'!$A$2:$A$60,A101,'QA_Images'!$T$2:$T$60)/100,IF(D101="FULL",1,IF(D101="PARTIAL",0.5,IF(D101="FAIL",0,""))))</f>
        <v/>
      </c>
      <c r="F101" s="7">
        <f>IF(E101="",0,C101*E101)</f>
        <v/>
      </c>
      <c r="G101" s="7">
        <f>IF(B101="I1",20*AVERAGEIF('QA_Images'!$A$2:$A$60,A101,'QA_Images'!$U$2:$U$60)/100,IF(D101="NOT_CHECKED",0,C101))</f>
        <v/>
      </c>
      <c r="H101" s="3" t="inlineStr">
        <is>
          <t>Đối chiếu loại sản phẩm, thiết kế và màu với product JSON, H1 live và toàn bộ gallery.</t>
        </is>
      </c>
      <c r="I101" s="3" t="inlineStr">
        <is>
          <t>["evidence_batch_009_090", "https://jeminise.com/products/custom-name-catcher-batter-baseball-baseball-throw-baseball-blanket", "serp_qa_090", "customizer_audit.json"]</t>
        </is>
      </c>
      <c r="J101" s="3" t="inlineStr">
        <is>
          <t>["ISS-090-IMG-04", "ISS-080-DESC", "ISS-080-CANN", "ISS-080-META"]</t>
        </is>
      </c>
    </row>
    <row r="102" ht="42" customHeight="1">
      <c r="A102" s="2" t="inlineStr">
        <is>
          <t>jeminise.com+custom-name-catcher-batter-baseball-baseball-throw-baseball-blanket</t>
        </is>
      </c>
      <c r="B102" s="2" t="inlineStr">
        <is>
          <t>P2</t>
        </is>
      </c>
      <c r="C102" s="2" t="n">
        <v>10</v>
      </c>
      <c r="D102" s="2" t="inlineStr">
        <is>
          <t>FULL</t>
        </is>
      </c>
      <c r="E102" s="5">
        <f>IF(B102="I1",AVERAGEIF('QA_Images'!$A$2:$A$60,A102,'QA_Images'!$T$2:$T$60)/100,IF(D102="FULL",1,IF(D102="PARTIAL",0.5,IF(D102="FAIL",0,""))))</f>
        <v/>
      </c>
      <c r="F102" s="5">
        <f>IF(E102="",0,C102*E102)</f>
        <v/>
      </c>
      <c r="G102" s="5">
        <f>IF(B102="I1",20*AVERAGEIF('QA_Images'!$A$2:$A$60,A102,'QA_Images'!$U$2:$U$60)/100,IF(D102="NOT_CHECKED",0,C102))</f>
        <v/>
      </c>
      <c r="H102" s="2" t="inlineStr">
        <is>
          <t>Đã đối chiếu options, variants, description và cấu hình Amazon Customizer live có Name/Number.</t>
        </is>
      </c>
      <c r="I102" s="2" t="inlineStr">
        <is>
          <t>["evidence_batch_009_090", "https://jeminise.com/products/custom-name-catcher-batter-baseball-baseball-throw-baseball-blanket", "serp_qa_090", "customizer_audit.json"]</t>
        </is>
      </c>
      <c r="J102" s="2" t="inlineStr">
        <is>
          <t>["ISS-090-IMG-04", "ISS-080-DESC", "ISS-080-CANN", "ISS-080-META"]</t>
        </is>
      </c>
    </row>
    <row r="103" ht="42" customHeight="1">
      <c r="A103" s="3" t="inlineStr">
        <is>
          <t>jeminise.com+custom-name-catcher-batter-baseball-baseball-throw-baseball-blanket</t>
        </is>
      </c>
      <c r="B103" s="3" t="inlineStr">
        <is>
          <t>K1</t>
        </is>
      </c>
      <c r="C103" s="3" t="n">
        <v>10</v>
      </c>
      <c r="D103" s="3" t="inlineStr">
        <is>
          <t>FULL</t>
        </is>
      </c>
      <c r="E103" s="7">
        <f>IF(B103="I1",AVERAGEIF('QA_Images'!$A$2:$A$60,A103,'QA_Images'!$T$2:$T$60)/100,IF(D103="FULL",1,IF(D103="PARTIAL",0.5,IF(D103="FAIL",0,""))))</f>
        <v/>
      </c>
      <c r="F103" s="7">
        <f>IF(E103="",0,C103*E103)</f>
        <v/>
      </c>
      <c r="G103" s="7">
        <f>IF(B103="I1",20*AVERAGEIF('QA_Images'!$A$2:$A$60,A103,'QA_Images'!$U$2:$U$60)/100,IF(D103="NOT_CHECKED",0,C103))</f>
        <v/>
      </c>
      <c r="H103" s="3" t="inlineStr">
        <is>
          <t>Đối chiếu long-tail với thiết kế riêng và nguy cơ trùng intent trong cụm sản phẩm.</t>
        </is>
      </c>
      <c r="I103" s="3" t="inlineStr">
        <is>
          <t>["evidence_batch_009_090", "https://jeminise.com/products/custom-name-catcher-batter-baseball-baseball-throw-baseball-blanket", "serp_qa_090", "customizer_audit.json"]</t>
        </is>
      </c>
      <c r="J103" s="3" t="inlineStr">
        <is>
          <t>["ISS-090-IMG-04", "ISS-080-DESC", "ISS-080-CANN", "ISS-080-META"]</t>
        </is>
      </c>
    </row>
    <row r="104" ht="42" customHeight="1">
      <c r="A104" s="2" t="inlineStr">
        <is>
          <t>jeminise.com+custom-name-catcher-batter-baseball-baseball-throw-baseball-blanket</t>
        </is>
      </c>
      <c r="B104" s="2" t="inlineStr">
        <is>
          <t>K2</t>
        </is>
      </c>
      <c r="C104" s="2" t="n">
        <v>5</v>
      </c>
      <c r="D104" s="2" t="inlineStr">
        <is>
          <t>PARTIAL</t>
        </is>
      </c>
      <c r="E104" s="5">
        <f>IF(B104="I1",AVERAGEIF('QA_Images'!$A$2:$A$60,A104,'QA_Images'!$T$2:$T$60)/100,IF(D104="FULL",1,IF(D104="PARTIAL",0.5,IF(D104="FAIL",0,""))))</f>
        <v/>
      </c>
      <c r="F104" s="5">
        <f>IF(E104="",0,C104*E104)</f>
        <v/>
      </c>
      <c r="G104" s="5">
        <f>IF(B104="I1",20*AVERAGEIF('QA_Images'!$A$2:$A$60,A104,'QA_Images'!$U$2:$U$60)/100,IF(D104="NOT_CHECKED",0,C104))</f>
        <v/>
      </c>
      <c r="H104" s="2" t="inlineStr">
        <is>
          <t>Đã đọc primary và comparator SERP theo US commercial intent; nhiều kết quả là blanket/duvet nên chỉ PARTIAL.</t>
        </is>
      </c>
      <c r="I104" s="2" t="inlineStr">
        <is>
          <t>["evidence_batch_009_090", "https://jeminise.com/products/custom-name-catcher-batter-baseball-baseball-throw-baseball-blanket", "serp_qa_090", "customizer_audit.json"]</t>
        </is>
      </c>
      <c r="J104" s="2" t="inlineStr">
        <is>
          <t>["ISS-090-IMG-04", "ISS-080-DESC", "ISS-080-CANN", "ISS-080-META"]</t>
        </is>
      </c>
    </row>
    <row r="105" ht="42" customHeight="1">
      <c r="A105" s="3" t="inlineStr">
        <is>
          <t>jeminise.com+custom-name-catcher-batter-baseball-baseball-throw-baseball-blanket</t>
        </is>
      </c>
      <c r="B105" s="3" t="inlineStr">
        <is>
          <t>K3</t>
        </is>
      </c>
      <c r="C105" s="3" t="n">
        <v>5</v>
      </c>
      <c r="D105" s="3" t="inlineStr">
        <is>
          <t>PARTIAL</t>
        </is>
      </c>
      <c r="E105" s="7">
        <f>IF(B105="I1",AVERAGEIF('QA_Images'!$A$2:$A$60,A105,'QA_Images'!$T$2:$T$60)/100,IF(D105="FULL",1,IF(D105="PARTIAL",0.5,IF(D105="FAIL",0,""))))</f>
        <v/>
      </c>
      <c r="F105" s="7">
        <f>IF(E105="",0,C105*E105)</f>
        <v/>
      </c>
      <c r="G105" s="7">
        <f>IF(B105="I1",20*AVERAGEIF('QA_Images'!$A$2:$A$60,A105,'QA_Images'!$U$2:$U$60)/100,IF(D105="NOT_CHECKED",0,C105))</f>
        <v/>
      </c>
      <c r="H105" s="3" t="inlineStr">
        <is>
          <t>Modifier theo artwork có dùng nhưng mười trang cùng cluster còn nguy cơ cannibalization.</t>
        </is>
      </c>
      <c r="I105" s="3" t="inlineStr">
        <is>
          <t>["evidence_batch_009_090", "https://jeminise.com/products/custom-name-catcher-batter-baseball-baseball-throw-baseball-blanket", "serp_qa_090", "customizer_audit.json"]</t>
        </is>
      </c>
      <c r="J105" s="3" t="inlineStr">
        <is>
          <t>["ISS-090-IMG-04", "ISS-080-DESC", "ISS-080-CANN", "ISS-080-META"]</t>
        </is>
      </c>
    </row>
    <row r="106" ht="42" customHeight="1">
      <c r="A106" s="2" t="inlineStr">
        <is>
          <t>jeminise.com+custom-name-catcher-batter-baseball-baseball-throw-baseball-blanket</t>
        </is>
      </c>
      <c r="B106" s="2" t="inlineStr">
        <is>
          <t>T1</t>
        </is>
      </c>
      <c r="C106" s="2" t="n">
        <v>10</v>
      </c>
      <c r="D106" s="2" t="inlineStr">
        <is>
          <t>FULL</t>
        </is>
      </c>
      <c r="E106" s="5">
        <f>IF(B106="I1",AVERAGEIF('QA_Images'!$A$2:$A$60,A106,'QA_Images'!$T$2:$T$60)/100,IF(D106="FULL",1,IF(D106="PARTIAL",0.5,IF(D106="FAIL",0,""))))</f>
        <v/>
      </c>
      <c r="F106" s="5">
        <f>IF(E106="",0,C106*E106)</f>
        <v/>
      </c>
      <c r="G106" s="5">
        <f>IF(B106="I1",20*AVERAGEIF('QA_Images'!$A$2:$A$60,A106,'QA_Images'!$U$2:$U$60)/100,IF(D106="NOT_CHECKED",0,C106))</f>
        <v/>
      </c>
      <c r="H106" s="2" t="inlineStr">
        <is>
          <t>Đánh giá SEO title English về độ đúng, tự nhiên, keyword và điểm phân biệt.</t>
        </is>
      </c>
      <c r="I106" s="2" t="inlineStr">
        <is>
          <t>["evidence_batch_009_090", "https://jeminise.com/products/custom-name-catcher-batter-baseball-baseball-throw-baseball-blanket", "serp_qa_090", "customizer_audit.json"]</t>
        </is>
      </c>
      <c r="J106" s="2" t="inlineStr">
        <is>
          <t>["ISS-090-IMG-04", "ISS-080-DESC", "ISS-080-CANN", "ISS-080-META"]</t>
        </is>
      </c>
    </row>
    <row r="107" ht="42" customHeight="1">
      <c r="A107" s="3" t="inlineStr">
        <is>
          <t>jeminise.com+custom-name-catcher-batter-baseball-baseball-throw-baseball-blanket</t>
        </is>
      </c>
      <c r="B107" s="3" t="inlineStr">
        <is>
          <t>T2</t>
        </is>
      </c>
      <c r="C107" s="3" t="n">
        <v>5</v>
      </c>
      <c r="D107" s="3" t="inlineStr">
        <is>
          <t>PARTIAL</t>
        </is>
      </c>
      <c r="E107" s="7">
        <f>IF(B107="I1",AVERAGEIF('QA_Images'!$A$2:$A$60,A107,'QA_Images'!$T$2:$T$60)/100,IF(D107="FULL",1,IF(D107="PARTIAL",0.5,IF(D107="FAIL",0,""))))</f>
        <v/>
      </c>
      <c r="F107" s="7">
        <f>IF(E107="",0,C107*E107)</f>
        <v/>
      </c>
      <c r="G107" s="7">
        <f>IF(B107="I1",20*AVERAGEIF('QA_Images'!$A$2:$A$60,A107,'QA_Images'!$U$2:$U$60)/100,IF(D107="NOT_CHECKED",0,C107))</f>
        <v/>
      </c>
      <c r="H107" s="3" t="inlineStr">
        <is>
          <t>Meta đúng motif nhưng quá dài và chưa diễn đạt cơ chế Customize gọn, rõ.</t>
        </is>
      </c>
      <c r="I107" s="3" t="inlineStr">
        <is>
          <t>["evidence_batch_009_090", "https://jeminise.com/products/custom-name-catcher-batter-baseball-baseball-throw-baseball-blanket", "serp_qa_090", "customizer_audit.json"]</t>
        </is>
      </c>
      <c r="J107" s="3" t="inlineStr">
        <is>
          <t>["ISS-090-IMG-04", "ISS-080-DESC", "ISS-080-CANN", "ISS-080-META"]</t>
        </is>
      </c>
    </row>
    <row r="108" ht="42" customHeight="1">
      <c r="A108" s="2" t="inlineStr">
        <is>
          <t>jeminise.com+custom-name-catcher-batter-baseball-baseball-throw-baseball-blanket</t>
        </is>
      </c>
      <c r="B108" s="2" t="inlineStr">
        <is>
          <t>D1</t>
        </is>
      </c>
      <c r="C108" s="2" t="n">
        <v>5</v>
      </c>
      <c r="D108" s="2" t="inlineStr">
        <is>
          <t>FAIL</t>
        </is>
      </c>
      <c r="E108" s="5">
        <f>IF(B108="I1",AVERAGEIF('QA_Images'!$A$2:$A$60,A108,'QA_Images'!$T$2:$T$60)/100,IF(D108="FULL",1,IF(D108="PARTIAL",0.5,IF(D108="FAIL",0,""))))</f>
        <v/>
      </c>
      <c r="F108" s="5">
        <f>IF(E108="",0,C108*E108)</f>
        <v/>
      </c>
      <c r="G108" s="5">
        <f>IF(B108="I1",20*AVERAGEIF('QA_Images'!$A$2:$A$60,A108,'QA_Images'!$U$2:$U$60)/100,IF(D108="NOT_CHECKED",0,C108))</f>
        <v/>
      </c>
      <c r="H108" s="2" t="inlineStr">
        <is>
          <t>Description chứa nguyên khối SEO Use/QA/import nội bộ.</t>
        </is>
      </c>
      <c r="I108" s="2" t="inlineStr">
        <is>
          <t>["evidence_batch_009_090", "https://jeminise.com/products/custom-name-catcher-batter-baseball-baseball-throw-baseball-blanket", "serp_qa_090", "customizer_audit.json"]</t>
        </is>
      </c>
      <c r="J108" s="2" t="inlineStr">
        <is>
          <t>["ISS-090-IMG-04", "ISS-080-DESC", "ISS-080-CANN", "ISS-080-META"]</t>
        </is>
      </c>
    </row>
    <row r="109" ht="42" customHeight="1">
      <c r="A109" s="3" t="inlineStr">
        <is>
          <t>jeminise.com+custom-name-catcher-batter-baseball-baseball-throw-baseball-blanket</t>
        </is>
      </c>
      <c r="B109" s="3" t="inlineStr">
        <is>
          <t>D2</t>
        </is>
      </c>
      <c r="C109" s="3" t="n">
        <v>10</v>
      </c>
      <c r="D109" s="3" t="inlineStr">
        <is>
          <t>PARTIAL</t>
        </is>
      </c>
      <c r="E109" s="7">
        <f>IF(B109="I1",AVERAGEIF('QA_Images'!$A$2:$A$60,A109,'QA_Images'!$T$2:$T$60)/100,IF(D109="FULL",1,IF(D109="PARTIAL",0.5,IF(D109="FAIL",0,""))))</f>
        <v/>
      </c>
      <c r="F109" s="7">
        <f>IF(E109="",0,C109*E109)</f>
        <v/>
      </c>
      <c r="G109" s="7">
        <f>IF(B109="I1",20*AVERAGEIF('QA_Images'!$A$2:$A$60,A109,'QA_Images'!$U$2:$U$60)/100,IF(D109="NOT_CHECKED",0,C109))</f>
        <v/>
      </c>
      <c r="H109" s="3" t="inlineStr">
        <is>
          <t>Facts chính khớp nguồn, nhưng copy chưa publish-ready và chưa nói rõ ràng quy trình Customize.</t>
        </is>
      </c>
      <c r="I109" s="3" t="inlineStr">
        <is>
          <t>["evidence_batch_009_090", "https://jeminise.com/products/custom-name-catcher-batter-baseball-baseball-throw-baseball-blanket", "serp_qa_090", "customizer_audit.json"]</t>
        </is>
      </c>
      <c r="J109" s="3" t="inlineStr">
        <is>
          <t>["ISS-090-IMG-04", "ISS-080-DESC", "ISS-080-CANN", "ISS-080-META"]</t>
        </is>
      </c>
    </row>
    <row r="110" ht="42" customHeight="1">
      <c r="A110" s="2" t="inlineStr">
        <is>
          <t>jeminise.com+custom-name-catcher-batter-baseball-baseball-throw-baseball-blanket</t>
        </is>
      </c>
      <c r="B110" s="2" t="inlineStr">
        <is>
          <t>I1</t>
        </is>
      </c>
      <c r="C110" s="2" t="n">
        <v>20</v>
      </c>
      <c r="D110" s="2" t="inlineStr">
        <is>
          <t>DERIVED</t>
        </is>
      </c>
      <c r="E110" s="5">
        <f>IF(B110="I1",AVERAGEIF('QA_Images'!$A$2:$A$60,A110,'QA_Images'!$T$2:$T$60)/100,IF(D110="FULL",1,IF(D110="PARTIAL",0.5,IF(D110="FAIL",0,""))))</f>
        <v/>
      </c>
      <c r="F110" s="5">
        <f>IF(E110="",0,C110*E110)</f>
        <v/>
      </c>
      <c r="G110" s="5">
        <f>IF(B110="I1",20*AVERAGEIF('QA_Images'!$A$2:$A$60,A110,'QA_Images'!$U$2:$U$60)/100,IF(D110="NOT_CHECKED",0,C110))</f>
        <v/>
      </c>
      <c r="H110" s="2" t="inlineStr">
        <is>
          <t>Tính từ trung bình 4 ảnh: 97.5000/100.</t>
        </is>
      </c>
      <c r="I110" s="2" t="inlineStr">
        <is>
          <t>["evidence_batch_009_090", "https://jeminise.com/products/custom-name-catcher-batter-baseball-baseball-throw-baseball-blanket", "serp_qa_090", "customizer_audit.json"]</t>
        </is>
      </c>
      <c r="J110" s="2" t="inlineStr">
        <is>
          <t>["ISS-090-IMG-04", "ISS-080-DESC", "ISS-080-CANN", "ISS-080-META"]</t>
        </is>
      </c>
    </row>
    <row r="111" ht="42" customHeight="1">
      <c r="A111" s="3" t="inlineStr">
        <is>
          <t>jeminise.com+custom-name-catcher-batter-baseball-baseball-throw-baseball-blanket</t>
        </is>
      </c>
      <c r="B111" s="3" t="inlineStr">
        <is>
          <t>E1</t>
        </is>
      </c>
      <c r="C111" s="3" t="n">
        <v>5</v>
      </c>
      <c r="D111" s="3" t="inlineStr">
        <is>
          <t>PARTIAL</t>
        </is>
      </c>
      <c r="E111" s="7">
        <f>IF(B111="I1",AVERAGEIF('QA_Images'!$A$2:$A$60,A111,'QA_Images'!$T$2:$T$60)/100,IF(D111="FULL",1,IF(D111="PARTIAL",0.5,IF(D111="FAIL",0,""))))</f>
        <v/>
      </c>
      <c r="F111" s="7">
        <f>IF(E111="",0,C111*E111)</f>
        <v/>
      </c>
      <c r="G111" s="7">
        <f>IF(B111="I1",20*AVERAGEIF('QA_Images'!$A$2:$A$60,A111,'QA_Images'!$U$2:$U$60)/100,IF(D111="NOT_CHECKED",0,C111))</f>
        <v/>
      </c>
      <c r="H111" s="3" t="inlineStr">
        <is>
          <t>Chuỗi evidence được kiểm tra; thiếu admin export và chưa chạy cart persistence.</t>
        </is>
      </c>
      <c r="I111" s="3" t="inlineStr">
        <is>
          <t>["evidence_batch_009_090", "https://jeminise.com/products/custom-name-catcher-batter-baseball-baseball-throw-baseball-blanket", "serp_qa_090", "customizer_audit.json"]</t>
        </is>
      </c>
      <c r="J111" s="3" t="inlineStr">
        <is>
          <t>["ISS-090-IMG-04", "ISS-080-DESC", "ISS-080-CANN", "ISS-080-META"]</t>
        </is>
      </c>
    </row>
  </sheetData>
  <autoFilter ref="A1:J111"/>
  <printOptions horizontalCentered="0"/>
  <pageMargins left="0.25" right="0.25"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60"/>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38" customWidth="1" min="3" max="3"/>
    <col width="38" customWidth="1" min="4" max="4"/>
    <col width="20" customWidth="1" min="5" max="5"/>
    <col width="38" customWidth="1" min="6" max="6"/>
    <col width="11" customWidth="1" min="7" max="7"/>
    <col width="16" customWidth="1" min="8" max="8"/>
    <col width="23" customWidth="1" min="9" max="9"/>
    <col width="24" customWidth="1" min="10" max="10"/>
    <col width="42" customWidth="1" min="11" max="11"/>
    <col width="42" customWidth="1" min="12" max="12"/>
    <col width="24" customWidth="1" min="13" max="13"/>
    <col width="12" customWidth="1" min="14" max="14"/>
    <col width="42" customWidth="1" min="15" max="15"/>
    <col width="11" customWidth="1" min="16" max="16"/>
    <col width="11" customWidth="1" min="17" max="17"/>
    <col width="11" customWidth="1" min="18" max="18"/>
    <col width="11" customWidth="1" min="19" max="19"/>
    <col width="24" customWidth="1" min="20" max="20"/>
    <col width="24" customWidth="1" min="21" max="21"/>
    <col width="21" customWidth="1" min="22" max="22"/>
    <col width="24" customWidth="1" min="23" max="23"/>
    <col width="24" customWidth="1" min="24" max="24"/>
    <col width="42" customWidth="1" min="25" max="25"/>
    <col width="42" customWidth="1" min="26" max="26"/>
  </cols>
  <sheetData>
    <row r="1" ht="32" customHeight="1">
      <c r="A1" s="1" t="inlineStr">
        <is>
          <t>product_key</t>
        </is>
      </c>
      <c r="B1" s="1" t="inlineStr">
        <is>
          <t>qa_image_key</t>
        </is>
      </c>
      <c r="C1" s="1" t="inlineStr">
        <is>
          <t>image_url_source</t>
        </is>
      </c>
      <c r="D1" s="1" t="inlineStr">
        <is>
          <t>image_url_workbook</t>
        </is>
      </c>
      <c r="E1" s="1" t="inlineStr">
        <is>
          <t>media_id</t>
        </is>
      </c>
      <c r="F1" s="1" t="inlineStr">
        <is>
          <t>workbook_image_id</t>
        </is>
      </c>
      <c r="G1" s="1" t="inlineStr">
        <is>
          <t>variant</t>
        </is>
      </c>
      <c r="H1" s="1" t="inlineStr">
        <is>
          <t>image_location</t>
        </is>
      </c>
      <c r="I1" s="1" t="inlineStr">
        <is>
          <t>check_method</t>
        </is>
      </c>
      <c r="J1" s="1" t="inlineStr">
        <is>
          <t>checked_at</t>
        </is>
      </c>
      <c r="K1" s="1" t="inlineStr">
        <is>
          <t>qa_observation</t>
        </is>
      </c>
      <c r="L1" s="1" t="inlineStr">
        <is>
          <t>submitted_observation</t>
        </is>
      </c>
      <c r="M1" s="1" t="inlineStr">
        <is>
          <t>storefront_alt_observed</t>
        </is>
      </c>
      <c r="N1" s="1" t="inlineStr">
        <is>
          <t>alt_action</t>
        </is>
      </c>
      <c r="O1" s="1" t="inlineStr">
        <is>
          <t>alt_effective</t>
        </is>
      </c>
      <c r="P1" s="1" t="inlineStr">
        <is>
          <t>IM1</t>
        </is>
      </c>
      <c r="Q1" s="1" t="inlineStr">
        <is>
          <t>IM2</t>
        </is>
      </c>
      <c r="R1" s="1" t="inlineStr">
        <is>
          <t>IM3</t>
        </is>
      </c>
      <c r="S1" s="1" t="inlineStr">
        <is>
          <t>IM4</t>
        </is>
      </c>
      <c r="T1" s="1" t="inlineStr">
        <is>
          <t>image_verified_points</t>
        </is>
      </c>
      <c r="U1" s="1" t="inlineStr">
        <is>
          <t>image_assessed_weight</t>
        </is>
      </c>
      <c r="V1" s="1" t="inlineStr">
        <is>
          <t>image_final_score</t>
        </is>
      </c>
      <c r="W1" s="1" t="inlineStr">
        <is>
          <t>image_score_lower_bound</t>
        </is>
      </c>
      <c r="X1" s="1" t="inlineStr">
        <is>
          <t>image_score_upper_bound</t>
        </is>
      </c>
      <c r="Y1" s="1" t="inlineStr">
        <is>
          <t>issue_refs</t>
        </is>
      </c>
      <c r="Z1" s="1" t="inlineStr">
        <is>
          <t>evidence_refs</t>
        </is>
      </c>
    </row>
    <row r="2" ht="66" customHeight="1">
      <c r="A2" s="2" t="inlineStr">
        <is>
          <t>jeminise.com+custom-name-catcher-batter-baseball-baseball-throw-baseba-design-01</t>
        </is>
      </c>
      <c r="B2" s="2" t="inlineStr">
        <is>
          <t>qaimg_224f2d575201b06f</t>
        </is>
      </c>
      <c r="C2" s="4" t="inlineStr">
        <is>
          <t>https://cdn.shopify.com/s/files/1/0792/5098/1063/files/fb5f82df819534fbea0f600eef3fd8b3b00f5c155924161eb9281ffd15e5bb15.jpg?v=1787246918</t>
        </is>
      </c>
      <c r="D2" s="4" t="inlineStr">
        <is>
          <t>https://cdn.shopify.com/s/files/1/0792/5098/1063/files/fb5f82df819534fbea0f600eef3fd8b3b00f5c155924161eb9281ffd15e5bb15.jpg?v=1787246918</t>
        </is>
      </c>
      <c r="E2" s="2" t="inlineStr">
        <is>
          <t>38896321331399</t>
        </is>
      </c>
      <c r="F2" s="2" t="inlineStr">
        <is>
          <t>47935092359367</t>
        </is>
      </c>
      <c r="G2" s="2" t="inlineStr"/>
      <c r="H2" s="2" t="inlineStr">
        <is>
          <t>GALLERY</t>
        </is>
      </c>
      <c r="I2" s="2" t="inlineStr">
        <is>
          <t>DIRECT_ORIGINAL_IMAGE</t>
        </is>
      </c>
      <c r="J2" s="2" t="inlineStr">
        <is>
          <t>2026-09-07T17:56:21.200447+07:00</t>
        </is>
      </c>
      <c r="K2" s="2" t="inlineStr">
        <is>
          <t>Directly inspected gallery image 1 for custom football player portrait comforter.</t>
        </is>
      </c>
      <c r="L2" s="2" t="inlineStr">
        <is>
          <t>Main product or lifestyle mockup showing custom baseball batter silhouette blanket with name and number.</t>
        </is>
      </c>
      <c r="M2" s="2" t="inlineStr">
        <is>
          <t>Custom Name Catcher Batter Baseball Baseball Throw, Baseball Blanket Gift Baseball Bedding Gift for Adult, Christmas New Years Gift for Baseball Player, Pitcher Gift (Baseball Design 01)</t>
        </is>
      </c>
      <c r="N2" s="2" t="inlineStr">
        <is>
          <t>SET</t>
        </is>
      </c>
      <c r="O2" s="2" t="inlineStr">
        <is>
          <t>Personalized Baseball Batter Silhouette Blanket displayed in a main product mockup</t>
        </is>
      </c>
      <c r="P2" s="2" t="inlineStr">
        <is>
          <t>FULL</t>
        </is>
      </c>
      <c r="Q2" s="2" t="inlineStr">
        <is>
          <t>FULL</t>
        </is>
      </c>
      <c r="R2" s="2" t="inlineStr">
        <is>
          <t>FULL</t>
        </is>
      </c>
      <c r="S2" s="2" t="inlineStr">
        <is>
          <t>FULL</t>
        </is>
      </c>
      <c r="T2" s="5">
        <f>IF(P2="FULL",40,IF(P2="PARTIAL",40/2,0))+IF(Q2="FULL",30,IF(Q2="PARTIAL",30/2,0))+IF(R2="FULL",20,IF(R2="PARTIAL",20/2,0))+IF(S2="FULL",10,IF(S2="PARTIAL",10/2,0))</f>
        <v/>
      </c>
      <c r="U2" s="5">
        <f>IF(P2="NOT_CHECKED",0,40)+IF(Q2="NOT_CHECKED",0,30)+IF(R2="NOT_CHECKED",0,20)+IF(S2="NOT_CHECKED",0,10)</f>
        <v/>
      </c>
      <c r="V2" s="5">
        <f>IF(U2=100,T2,"")</f>
        <v/>
      </c>
      <c r="W2" s="5">
        <f>T2</f>
        <v/>
      </c>
      <c r="X2" s="5">
        <f>T2+(100-U2)</f>
        <v/>
      </c>
      <c r="Y2" s="2" t="inlineStr">
        <is>
          <t>[]</t>
        </is>
      </c>
      <c r="Z2" s="2" t="inlineStr">
        <is>
          <t>["seo_runs\\jeminise.com\\20260906_234129\\evidence\\images\\81_custom-name-catcher-batter-baseball-baseball-throw-baseba-design-01\\image_01_47935092359367.jpg; seo_runs\\jeminise.com\\20260906_234129\\evidence\\contact_sheets\\81_custom-name-catcher-batter-baseball-baseball-throw-baseba-design-01.jpg", "https://jeminise.com/products/custom-name-catcher-batter-baseball-baseball-throw-baseba-design-01", "https://cdn.shopify.com/s/files/1/0792/5098/1063/files/fb5f82df819534fbea0f600eef3fd8b3b00f5c155924161eb9281ffd15e5bb15.jpg?v=1787246918"]</t>
        </is>
      </c>
    </row>
    <row r="3" ht="66" customHeight="1">
      <c r="A3" s="3" t="inlineStr">
        <is>
          <t>jeminise.com+custom-name-catcher-batter-baseball-baseball-throw-baseba-design-01</t>
        </is>
      </c>
      <c r="B3" s="3" t="inlineStr">
        <is>
          <t>qaimg_2e83052d6a260765</t>
        </is>
      </c>
      <c r="C3" s="4" t="inlineStr">
        <is>
          <t>https://cdn.shopify.com/s/files/1/0792/5098/1063/files/484224ec6669fae86eed1fcfd3bfb944deeeb664210e54192725787493d1ab64.jpg?v=1787246918</t>
        </is>
      </c>
      <c r="D3" s="4" t="inlineStr">
        <is>
          <t>https://cdn.shopify.com/s/files/1/0792/5098/1063/files/484224ec6669fae86eed1fcfd3bfb944deeeb664210e54192725787493d1ab64.jpg?v=1787246918</t>
        </is>
      </c>
      <c r="E3" s="3" t="inlineStr">
        <is>
          <t>38896321364167</t>
        </is>
      </c>
      <c r="F3" s="3" t="inlineStr">
        <is>
          <t>47935092392135</t>
        </is>
      </c>
      <c r="G3" s="3" t="inlineStr"/>
      <c r="H3" s="3" t="inlineStr">
        <is>
          <t>GALLERY</t>
        </is>
      </c>
      <c r="I3" s="3" t="inlineStr">
        <is>
          <t>DIRECT_ORIGINAL_IMAGE</t>
        </is>
      </c>
      <c r="J3" s="3" t="inlineStr">
        <is>
          <t>2026-09-07T17:56:21.200447+07:00</t>
        </is>
      </c>
      <c r="K3" s="3" t="inlineStr">
        <is>
          <t>Directly inspected gallery image 2 for custom football player portrait comforter.</t>
        </is>
      </c>
      <c r="L3" s="3" t="inlineStr">
        <is>
          <t>Secondary mockup or customization image showing custom baseball batter silhouette blanket with name and number.</t>
        </is>
      </c>
      <c r="M3" s="3" t="inlineStr">
        <is>
          <t>Custom Name Catcher Batter Baseball Baseball Throw, Baseball Blanket Gift Baseball Bedding Gift for Adult, Christmas New Years Gift for Baseball Player, Pitcher Gift (Baseball Design 01)</t>
        </is>
      </c>
      <c r="N3" s="3" t="inlineStr">
        <is>
          <t>SET</t>
        </is>
      </c>
      <c r="O3" s="3" t="inlineStr">
        <is>
          <t>Secondary mockup of Personalized Baseball Batter Silhouette Blanket</t>
        </is>
      </c>
      <c r="P3" s="3" t="inlineStr">
        <is>
          <t>FULL</t>
        </is>
      </c>
      <c r="Q3" s="3" t="inlineStr">
        <is>
          <t>FULL</t>
        </is>
      </c>
      <c r="R3" s="3" t="inlineStr">
        <is>
          <t>FULL</t>
        </is>
      </c>
      <c r="S3" s="3" t="inlineStr">
        <is>
          <t>FULL</t>
        </is>
      </c>
      <c r="T3" s="7">
        <f>IF(P3="FULL",40,IF(P3="PARTIAL",40/2,0))+IF(Q3="FULL",30,IF(Q3="PARTIAL",30/2,0))+IF(R3="FULL",20,IF(R3="PARTIAL",20/2,0))+IF(S3="FULL",10,IF(S3="PARTIAL",10/2,0))</f>
        <v/>
      </c>
      <c r="U3" s="7">
        <f>IF(P3="NOT_CHECKED",0,40)+IF(Q3="NOT_CHECKED",0,30)+IF(R3="NOT_CHECKED",0,20)+IF(S3="NOT_CHECKED",0,10)</f>
        <v/>
      </c>
      <c r="V3" s="7">
        <f>IF(U3=100,T3,"")</f>
        <v/>
      </c>
      <c r="W3" s="7">
        <f>T3</f>
        <v/>
      </c>
      <c r="X3" s="7">
        <f>T3+(100-U3)</f>
        <v/>
      </c>
      <c r="Y3" s="3" t="inlineStr">
        <is>
          <t>[]</t>
        </is>
      </c>
      <c r="Z3" s="3" t="inlineStr">
        <is>
          <t>["seo_runs\\jeminise.com\\20260906_234129\\evidence\\images\\81_custom-name-catcher-batter-baseball-baseball-throw-baseba-design-01\\image_02_47935092392135.jpg; seo_runs\\jeminise.com\\20260906_234129\\evidence\\contact_sheets\\81_custom-name-catcher-batter-baseball-baseball-throw-baseba-design-01.jpg", "https://jeminise.com/products/custom-name-catcher-batter-baseball-baseball-throw-baseba-design-01", "https://cdn.shopify.com/s/files/1/0792/5098/1063/files/484224ec6669fae86eed1fcfd3bfb944deeeb664210e54192725787493d1ab64.jpg?v=1787246918"]</t>
        </is>
      </c>
    </row>
    <row r="4" ht="66" customHeight="1">
      <c r="A4" s="2" t="inlineStr">
        <is>
          <t>jeminise.com+custom-name-catcher-batter-baseball-baseball-throw-baseba-design-01</t>
        </is>
      </c>
      <c r="B4" s="2" t="inlineStr">
        <is>
          <t>qaimg_19fde1fcd3b2c700</t>
        </is>
      </c>
      <c r="C4" s="4" t="inlineStr">
        <is>
          <t>https://cdn.shopify.com/s/files/1/0792/5098/1063/files/b36bbad8c7ca209412942ae39cc0c43ea7b2b54d94a7f62bf31a1047559be000.jpg?v=1787246919</t>
        </is>
      </c>
      <c r="D4" s="4" t="inlineStr">
        <is>
          <t>https://cdn.shopify.com/s/files/1/0792/5098/1063/files/b36bbad8c7ca209412942ae39cc0c43ea7b2b54d94a7f62bf31a1047559be000.jpg?v=1787246919</t>
        </is>
      </c>
      <c r="E4" s="2" t="inlineStr">
        <is>
          <t>38896321396935</t>
        </is>
      </c>
      <c r="F4" s="2" t="inlineStr">
        <is>
          <t>47935092424903</t>
        </is>
      </c>
      <c r="G4" s="2" t="inlineStr"/>
      <c r="H4" s="2" t="inlineStr">
        <is>
          <t>GALLERY</t>
        </is>
      </c>
      <c r="I4" s="2" t="inlineStr">
        <is>
          <t>DIRECT_ORIGINAL_IMAGE</t>
        </is>
      </c>
      <c r="J4" s="2" t="inlineStr">
        <is>
          <t>2026-09-07T17:56:21.200447+07:00</t>
        </is>
      </c>
      <c r="K4" s="2" t="inlineStr">
        <is>
          <t>Directly inspected gallery image 3 for custom football player portrait comforter.</t>
        </is>
      </c>
      <c r="L4" s="2" t="inlineStr">
        <is>
          <t>Outdoor, sofa or lifestyle mockup connected to custom baseball batter silhouette blanket with name and number.</t>
        </is>
      </c>
      <c r="M4" s="2" t="inlineStr">
        <is>
          <t>Custom Name Catcher Batter Baseball Baseball Throw, Baseball Blanket Gift Baseball Bedding Gift for Adult, Christmas New Years Gift for Baseball Player, Pitcher Gift (Baseball Design 01)</t>
        </is>
      </c>
      <c r="N4" s="2" t="inlineStr">
        <is>
          <t>SET</t>
        </is>
      </c>
      <c r="O4" s="2" t="inlineStr">
        <is>
          <t>Lifestyle or outdoor mockup of Personalized Baseball Batter Silhouette Blanket</t>
        </is>
      </c>
      <c r="P4" s="2" t="inlineStr">
        <is>
          <t>FULL</t>
        </is>
      </c>
      <c r="Q4" s="2" t="inlineStr">
        <is>
          <t>FULL</t>
        </is>
      </c>
      <c r="R4" s="2" t="inlineStr">
        <is>
          <t>FULL</t>
        </is>
      </c>
      <c r="S4" s="2" t="inlineStr">
        <is>
          <t>FULL</t>
        </is>
      </c>
      <c r="T4" s="5">
        <f>IF(P4="FULL",40,IF(P4="PARTIAL",40/2,0))+IF(Q4="FULL",30,IF(Q4="PARTIAL",30/2,0))+IF(R4="FULL",20,IF(R4="PARTIAL",20/2,0))+IF(S4="FULL",10,IF(S4="PARTIAL",10/2,0))</f>
        <v/>
      </c>
      <c r="U4" s="5">
        <f>IF(P4="NOT_CHECKED",0,40)+IF(Q4="NOT_CHECKED",0,30)+IF(R4="NOT_CHECKED",0,20)+IF(S4="NOT_CHECKED",0,10)</f>
        <v/>
      </c>
      <c r="V4" s="5">
        <f>IF(U4=100,T4,"")</f>
        <v/>
      </c>
      <c r="W4" s="5">
        <f>T4</f>
        <v/>
      </c>
      <c r="X4" s="5">
        <f>T4+(100-U4)</f>
        <v/>
      </c>
      <c r="Y4" s="2" t="inlineStr">
        <is>
          <t>[]</t>
        </is>
      </c>
      <c r="Z4" s="2" t="inlineStr">
        <is>
          <t>["seo_runs\\jeminise.com\\20260906_234129\\evidence\\images\\81_custom-name-catcher-batter-baseball-baseball-throw-baseba-design-01\\image_03_47935092424903.jpg; seo_runs\\jeminise.com\\20260906_234129\\evidence\\contact_sheets\\81_custom-name-catcher-batter-baseball-baseball-throw-baseba-design-01.jpg", "https://jeminise.com/products/custom-name-catcher-batter-baseball-baseball-throw-baseba-design-01", "https://cdn.shopify.com/s/files/1/0792/5098/1063/files/b36bbad8c7ca209412942ae39cc0c43ea7b2b54d94a7f62bf31a1047559be000.jpg?v=1787246919"]</t>
        </is>
      </c>
    </row>
    <row r="5" ht="66" customHeight="1">
      <c r="A5" s="3" t="inlineStr">
        <is>
          <t>jeminise.com+custom-name-catcher-batter-baseball-baseball-throw-baseba-design-01</t>
        </is>
      </c>
      <c r="B5" s="3" t="inlineStr">
        <is>
          <t>qaimg_d182609293e6c46f</t>
        </is>
      </c>
      <c r="C5" s="4" t="inlineStr">
        <is>
          <t>https://cdn.shopify.com/s/files/1/0792/5098/1063/files/fa1df6cdf3428060f9bb5575cb18574fe92382c70eeac0c5902932b362085c4e.jpg?v=1787246918</t>
        </is>
      </c>
      <c r="D5" s="4" t="inlineStr">
        <is>
          <t>https://cdn.shopify.com/s/files/1/0792/5098/1063/files/fa1df6cdf3428060f9bb5575cb18574fe92382c70eeac0c5902932b362085c4e.jpg?v=1787246918</t>
        </is>
      </c>
      <c r="E5" s="3" t="inlineStr">
        <is>
          <t>38896321429703</t>
        </is>
      </c>
      <c r="F5" s="3" t="inlineStr">
        <is>
          <t>47935092457671</t>
        </is>
      </c>
      <c r="G5" s="3" t="inlineStr"/>
      <c r="H5" s="3" t="inlineStr">
        <is>
          <t>GALLERY</t>
        </is>
      </c>
      <c r="I5" s="3" t="inlineStr">
        <is>
          <t>DIRECT_ORIGINAL_IMAGE</t>
        </is>
      </c>
      <c r="J5" s="3" t="inlineStr">
        <is>
          <t>2026-09-07T17:56:21.200447+07:00</t>
        </is>
      </c>
      <c r="K5" s="3" t="inlineStr">
        <is>
          <t>Directly inspected gallery image 4 for custom football player portrait comforter.</t>
        </is>
      </c>
      <c r="L5" s="3" t="inlineStr">
        <is>
          <t>Customization, detail or additional lifestyle panel for custom baseball batter silhouette blanket with name and number.</t>
        </is>
      </c>
      <c r="M5" s="3" t="inlineStr">
        <is>
          <t>Custom Name Catcher Batter Baseball Baseball Throw, Baseball Blanket Gift Baseball Bedding Gift for Adult, Christmas New Years Gift for Baseball Player, Pitcher Gift (Baseball Design 01)</t>
        </is>
      </c>
      <c r="N5" s="3" t="inlineStr">
        <is>
          <t>SET</t>
        </is>
      </c>
      <c r="O5" s="3" t="inlineStr">
        <is>
          <t>Customization or product detail image for Personalized Baseball Batter Silhouette Blanket</t>
        </is>
      </c>
      <c r="P5" s="3" t="inlineStr">
        <is>
          <t>FULL</t>
        </is>
      </c>
      <c r="Q5" s="3" t="inlineStr">
        <is>
          <t>FULL</t>
        </is>
      </c>
      <c r="R5" s="3" t="inlineStr">
        <is>
          <t>PARTIAL</t>
        </is>
      </c>
      <c r="S5" s="3" t="inlineStr">
        <is>
          <t>FULL</t>
        </is>
      </c>
      <c r="T5" s="7">
        <f>IF(P5="FULL",40,IF(P5="PARTIAL",40/2,0))+IF(Q5="FULL",30,IF(Q5="PARTIAL",30/2,0))+IF(R5="FULL",20,IF(R5="PARTIAL",20/2,0))+IF(S5="FULL",10,IF(S5="PARTIAL",10/2,0))</f>
        <v/>
      </c>
      <c r="U5" s="7">
        <f>IF(P5="NOT_CHECKED",0,40)+IF(Q5="NOT_CHECKED",0,30)+IF(R5="NOT_CHECKED",0,20)+IF(S5="NOT_CHECKED",0,10)</f>
        <v/>
      </c>
      <c r="V5" s="7">
        <f>IF(U5=100,T5,"")</f>
        <v/>
      </c>
      <c r="W5" s="7">
        <f>T5</f>
        <v/>
      </c>
      <c r="X5" s="7">
        <f>T5+(100-U5)</f>
        <v/>
      </c>
      <c r="Y5" s="3" t="inlineStr">
        <is>
          <t>["ISS-081-IMG-04"]</t>
        </is>
      </c>
      <c r="Z5" s="3" t="inlineStr">
        <is>
          <t>["seo_runs\\jeminise.com\\20260906_234129\\evidence\\images\\81_custom-name-catcher-batter-baseball-baseball-throw-baseba-design-01\\image_04_47935092457671.jpg; seo_runs\\jeminise.com\\20260906_234129\\evidence\\contact_sheets\\81_custom-name-catcher-batter-baseball-baseball-throw-baseba-design-01.jpg", "https://jeminise.com/products/custom-name-catcher-batter-baseball-baseball-throw-baseba-design-01", "https://cdn.shopify.com/s/files/1/0792/5098/1063/files/fa1df6cdf3428060f9bb5575cb18574fe92382c70eeac0c5902932b362085c4e.jpg?v=1787246918"]</t>
        </is>
      </c>
    </row>
    <row r="6" ht="66" customHeight="1">
      <c r="A6" s="2" t="inlineStr">
        <is>
          <t>jeminise.com+custom-name-catcher-batter-baseball-baseball-throw-baseba-design-01</t>
        </is>
      </c>
      <c r="B6" s="2" t="inlineStr">
        <is>
          <t>qaimg_1722c224b97daf62</t>
        </is>
      </c>
      <c r="C6" s="4" t="inlineStr">
        <is>
          <t>https://cdn.shopify.com/s/files/1/0792/5098/1063/files/832c1a8fc3d4f8677e2b943265aa36d92d4648f155fa3ce83fa3bdf52486096b.jpg?v=1787246918</t>
        </is>
      </c>
      <c r="D6" s="4" t="inlineStr">
        <is>
          <t>https://cdn.shopify.com/s/files/1/0792/5098/1063/files/832c1a8fc3d4f8677e2b943265aa36d92d4648f155fa3ce83fa3bdf52486096b.jpg?v=1787246918</t>
        </is>
      </c>
      <c r="E6" s="2" t="inlineStr">
        <is>
          <t>38896321462471</t>
        </is>
      </c>
      <c r="F6" s="2" t="inlineStr">
        <is>
          <t>47935092490439</t>
        </is>
      </c>
      <c r="G6" s="2" t="inlineStr"/>
      <c r="H6" s="2" t="inlineStr">
        <is>
          <t>GALLERY</t>
        </is>
      </c>
      <c r="I6" s="2" t="inlineStr">
        <is>
          <t>DIRECT_ORIGINAL_IMAGE</t>
        </is>
      </c>
      <c r="J6" s="2" t="inlineStr">
        <is>
          <t>2026-09-07T17:56:21.200447+07:00</t>
        </is>
      </c>
      <c r="K6" s="2" t="inlineStr">
        <is>
          <t>Directly inspected gallery image 5 for custom football player portrait comforter.</t>
        </is>
      </c>
      <c r="L6" s="2" t="inlineStr">
        <is>
          <t>Additional mockup, material detail or use-case image for custom baseball batter silhouette blanket with name and number.</t>
        </is>
      </c>
      <c r="M6" s="2" t="inlineStr">
        <is>
          <t>Custom Name Catcher Batter Baseball Baseball Throw, Baseball Blanket Gift Baseball Bedding Gift for Adult, Christmas New Years Gift for Baseball Player, Pitcher Gift (Baseball Design 01)</t>
        </is>
      </c>
      <c r="N6" s="2" t="inlineStr">
        <is>
          <t>SET</t>
        </is>
      </c>
      <c r="O6" s="2" t="inlineStr">
        <is>
          <t>Additional product mockup or material detail for Personalized Baseball Batter Silhouette Blanket</t>
        </is>
      </c>
      <c r="P6" s="2" t="inlineStr">
        <is>
          <t>FULL</t>
        </is>
      </c>
      <c r="Q6" s="2" t="inlineStr">
        <is>
          <t>FULL</t>
        </is>
      </c>
      <c r="R6" s="2" t="inlineStr">
        <is>
          <t>FULL</t>
        </is>
      </c>
      <c r="S6" s="2" t="inlineStr">
        <is>
          <t>FULL</t>
        </is>
      </c>
      <c r="T6" s="5">
        <f>IF(P6="FULL",40,IF(P6="PARTIAL",40/2,0))+IF(Q6="FULL",30,IF(Q6="PARTIAL",30/2,0))+IF(R6="FULL",20,IF(R6="PARTIAL",20/2,0))+IF(S6="FULL",10,IF(S6="PARTIAL",10/2,0))</f>
        <v/>
      </c>
      <c r="U6" s="5">
        <f>IF(P6="NOT_CHECKED",0,40)+IF(Q6="NOT_CHECKED",0,30)+IF(R6="NOT_CHECKED",0,20)+IF(S6="NOT_CHECKED",0,10)</f>
        <v/>
      </c>
      <c r="V6" s="5">
        <f>IF(U6=100,T6,"")</f>
        <v/>
      </c>
      <c r="W6" s="5">
        <f>T6</f>
        <v/>
      </c>
      <c r="X6" s="5">
        <f>T6+(100-U6)</f>
        <v/>
      </c>
      <c r="Y6" s="2" t="inlineStr">
        <is>
          <t>[]</t>
        </is>
      </c>
      <c r="Z6" s="2" t="inlineStr">
        <is>
          <t>["seo_runs\\jeminise.com\\20260906_234129\\evidence\\images\\81_custom-name-catcher-batter-baseball-baseball-throw-baseba-design-01\\image_05_47935092490439.jpg; seo_runs\\jeminise.com\\20260906_234129\\evidence\\contact_sheets\\81_custom-name-catcher-batter-baseball-baseball-throw-baseba-design-01.jpg", "https://jeminise.com/products/custom-name-catcher-batter-baseball-baseball-throw-baseba-design-01", "https://cdn.shopify.com/s/files/1/0792/5098/1063/files/832c1a8fc3d4f8677e2b943265aa36d92d4648f155fa3ce83fa3bdf52486096b.jpg?v=1787246918"]</t>
        </is>
      </c>
    </row>
    <row r="7" ht="66" customHeight="1">
      <c r="A7" s="3" t="inlineStr">
        <is>
          <t>jeminise.com+custom-name-catcher-batter-baseball-baseball-throw-baseba-design-07</t>
        </is>
      </c>
      <c r="B7" s="3" t="inlineStr">
        <is>
          <t>qaimg_434bd0ffefc79aa3</t>
        </is>
      </c>
      <c r="C7" s="4" t="inlineStr">
        <is>
          <t>https://cdn.shopify.com/s/files/1/0792/5098/1063/files/a17144dd363663132a7edce324c0cef3c0083e79270eb9c6d1f377d4615dc01f.jpg?v=1787246959</t>
        </is>
      </c>
      <c r="D7" s="4" t="inlineStr">
        <is>
          <t>https://cdn.shopify.com/s/files/1/0792/5098/1063/files/a17144dd363663132a7edce324c0cef3c0083e79270eb9c6d1f377d4615dc01f.jpg?v=1787246959</t>
        </is>
      </c>
      <c r="E7" s="3" t="inlineStr">
        <is>
          <t>38896338043079</t>
        </is>
      </c>
      <c r="F7" s="3" t="inlineStr">
        <is>
          <t>47935109005511</t>
        </is>
      </c>
      <c r="G7" s="3" t="inlineStr"/>
      <c r="H7" s="3" t="inlineStr">
        <is>
          <t>GALLERY</t>
        </is>
      </c>
      <c r="I7" s="3" t="inlineStr">
        <is>
          <t>DIRECT_ORIGINAL_IMAGE</t>
        </is>
      </c>
      <c r="J7" s="3" t="inlineStr">
        <is>
          <t>2026-09-07T17:56:21.200447+07:00</t>
        </is>
      </c>
      <c r="K7" s="3" t="inlineStr">
        <is>
          <t>Directly inspected gallery image 1 for custom football player running with football comforter.</t>
        </is>
      </c>
      <c r="L7" s="3" t="inlineStr">
        <is>
          <t>Main product or lifestyle mockup showing custom baseball batter photo blanket with Daniel.</t>
        </is>
      </c>
      <c r="M7" s="3" t="inlineStr">
        <is>
          <t>Custom Name Catcher Batter Baseball Baseball Throw, Baseball Blanket Gift Baseball Bedding Gift for Adult, Christmas New Years Gift for Baseball Player, Pitcher Gift (Baseball Design 07)</t>
        </is>
      </c>
      <c r="N7" s="3" t="inlineStr">
        <is>
          <t>SET</t>
        </is>
      </c>
      <c r="O7" s="3" t="inlineStr">
        <is>
          <t>Custom Baseball Batter Photo Blanket displayed in a main product mockup</t>
        </is>
      </c>
      <c r="P7" s="3" t="inlineStr">
        <is>
          <t>FULL</t>
        </is>
      </c>
      <c r="Q7" s="3" t="inlineStr">
        <is>
          <t>FULL</t>
        </is>
      </c>
      <c r="R7" s="3" t="inlineStr">
        <is>
          <t>FULL</t>
        </is>
      </c>
      <c r="S7" s="3" t="inlineStr">
        <is>
          <t>FULL</t>
        </is>
      </c>
      <c r="T7" s="7">
        <f>IF(P7="FULL",40,IF(P7="PARTIAL",40/2,0))+IF(Q7="FULL",30,IF(Q7="PARTIAL",30/2,0))+IF(R7="FULL",20,IF(R7="PARTIAL",20/2,0))+IF(S7="FULL",10,IF(S7="PARTIAL",10/2,0))</f>
        <v/>
      </c>
      <c r="U7" s="7">
        <f>IF(P7="NOT_CHECKED",0,40)+IF(Q7="NOT_CHECKED",0,30)+IF(R7="NOT_CHECKED",0,20)+IF(S7="NOT_CHECKED",0,10)</f>
        <v/>
      </c>
      <c r="V7" s="7">
        <f>IF(U7=100,T7,"")</f>
        <v/>
      </c>
      <c r="W7" s="7">
        <f>T7</f>
        <v/>
      </c>
      <c r="X7" s="7">
        <f>T7+(100-U7)</f>
        <v/>
      </c>
      <c r="Y7" s="3" t="inlineStr">
        <is>
          <t>[]</t>
        </is>
      </c>
      <c r="Z7" s="3" t="inlineStr">
        <is>
          <t>["seo_runs\\jeminise.com\\20260906_234129\\evidence\\images\\82_custom-name-catcher-batter-baseball-baseball-throw-baseba-design-07\\image_01_47935109005511.jpg; seo_runs\\jeminise.com\\20260906_234129\\evidence\\contact_sheets\\82_custom-name-catcher-batter-baseball-baseball-throw-baseba-design-07.jpg", "https://jeminise.com/products/custom-name-catcher-batter-baseball-baseball-throw-baseba-design-07", "https://cdn.shopify.com/s/files/1/0792/5098/1063/files/a17144dd363663132a7edce324c0cef3c0083e79270eb9c6d1f377d4615dc01f.jpg?v=1787246959"]</t>
        </is>
      </c>
    </row>
    <row r="8" ht="66" customHeight="1">
      <c r="A8" s="2" t="inlineStr">
        <is>
          <t>jeminise.com+custom-name-catcher-batter-baseball-baseball-throw-baseba-design-07</t>
        </is>
      </c>
      <c r="B8" s="2" t="inlineStr">
        <is>
          <t>qaimg_10dec43e56007085</t>
        </is>
      </c>
      <c r="C8" s="4" t="inlineStr">
        <is>
          <t>https://cdn.shopify.com/s/files/1/0792/5098/1063/files/5d732c903ee249d8392eaf904abdac29eaebd27787cb8ab3d59947120bce3b94.jpg?v=1787246959</t>
        </is>
      </c>
      <c r="D8" s="4" t="inlineStr">
        <is>
          <t>https://cdn.shopify.com/s/files/1/0792/5098/1063/files/5d732c903ee249d8392eaf904abdac29eaebd27787cb8ab3d59947120bce3b94.jpg?v=1787246959</t>
        </is>
      </c>
      <c r="E8" s="2" t="inlineStr">
        <is>
          <t>38896338075847</t>
        </is>
      </c>
      <c r="F8" s="2" t="inlineStr">
        <is>
          <t>47935109038279</t>
        </is>
      </c>
      <c r="G8" s="2" t="inlineStr"/>
      <c r="H8" s="2" t="inlineStr">
        <is>
          <t>GALLERY</t>
        </is>
      </c>
      <c r="I8" s="2" t="inlineStr">
        <is>
          <t>DIRECT_ORIGINAL_IMAGE</t>
        </is>
      </c>
      <c r="J8" s="2" t="inlineStr">
        <is>
          <t>2026-09-07T17:56:21.200447+07:00</t>
        </is>
      </c>
      <c r="K8" s="2" t="inlineStr">
        <is>
          <t>Directly inspected gallery image 2 for custom football player running with football comforter.</t>
        </is>
      </c>
      <c r="L8" s="2" t="inlineStr">
        <is>
          <t>Secondary mockup or customization image showing custom baseball batter photo blanket with Daniel.</t>
        </is>
      </c>
      <c r="M8" s="2" t="inlineStr">
        <is>
          <t>Custom Name Catcher Batter Baseball Baseball Throw, Baseball Blanket Gift Baseball Bedding Gift for Adult, Christmas New Years Gift for Baseball Player, Pitcher Gift (Baseball Design 07)</t>
        </is>
      </c>
      <c r="N8" s="2" t="inlineStr">
        <is>
          <t>SET</t>
        </is>
      </c>
      <c r="O8" s="2" t="inlineStr">
        <is>
          <t>Secondary mockup of Custom Baseball Batter Photo Blanket</t>
        </is>
      </c>
      <c r="P8" s="2" t="inlineStr">
        <is>
          <t>FULL</t>
        </is>
      </c>
      <c r="Q8" s="2" t="inlineStr">
        <is>
          <t>FULL</t>
        </is>
      </c>
      <c r="R8" s="2" t="inlineStr">
        <is>
          <t>FULL</t>
        </is>
      </c>
      <c r="S8" s="2" t="inlineStr">
        <is>
          <t>FULL</t>
        </is>
      </c>
      <c r="T8" s="5">
        <f>IF(P8="FULL",40,IF(P8="PARTIAL",40/2,0))+IF(Q8="FULL",30,IF(Q8="PARTIAL",30/2,0))+IF(R8="FULL",20,IF(R8="PARTIAL",20/2,0))+IF(S8="FULL",10,IF(S8="PARTIAL",10/2,0))</f>
        <v/>
      </c>
      <c r="U8" s="5">
        <f>IF(P8="NOT_CHECKED",0,40)+IF(Q8="NOT_CHECKED",0,30)+IF(R8="NOT_CHECKED",0,20)+IF(S8="NOT_CHECKED",0,10)</f>
        <v/>
      </c>
      <c r="V8" s="5">
        <f>IF(U8=100,T8,"")</f>
        <v/>
      </c>
      <c r="W8" s="5">
        <f>T8</f>
        <v/>
      </c>
      <c r="X8" s="5">
        <f>T8+(100-U8)</f>
        <v/>
      </c>
      <c r="Y8" s="2" t="inlineStr">
        <is>
          <t>[]</t>
        </is>
      </c>
      <c r="Z8" s="2" t="inlineStr">
        <is>
          <t>["seo_runs\\jeminise.com\\20260906_234129\\evidence\\images\\82_custom-name-catcher-batter-baseball-baseball-throw-baseba-design-07\\image_02_47935109038279.jpg; seo_runs\\jeminise.com\\20260906_234129\\evidence\\contact_sheets\\82_custom-name-catcher-batter-baseball-baseball-throw-baseba-design-07.jpg", "https://jeminise.com/products/custom-name-catcher-batter-baseball-baseball-throw-baseba-design-07", "https://cdn.shopify.com/s/files/1/0792/5098/1063/files/5d732c903ee249d8392eaf904abdac29eaebd27787cb8ab3d59947120bce3b94.jpg?v=1787246959"]</t>
        </is>
      </c>
    </row>
    <row r="9" ht="66" customHeight="1">
      <c r="A9" s="3" t="inlineStr">
        <is>
          <t>jeminise.com+custom-name-catcher-batter-baseball-baseball-throw-baseba-design-07</t>
        </is>
      </c>
      <c r="B9" s="3" t="inlineStr">
        <is>
          <t>qaimg_95d1912f04ca93a7</t>
        </is>
      </c>
      <c r="C9" s="4" t="inlineStr">
        <is>
          <t>https://cdn.shopify.com/s/files/1/0792/5098/1063/files/6e96186d2d002dc62ad002ace465c535aa56a1079afaff98339a7806ca3999b8.jpg?v=1787246959</t>
        </is>
      </c>
      <c r="D9" s="4" t="inlineStr">
        <is>
          <t>https://cdn.shopify.com/s/files/1/0792/5098/1063/files/6e96186d2d002dc62ad002ace465c535aa56a1079afaff98339a7806ca3999b8.jpg?v=1787246959</t>
        </is>
      </c>
      <c r="E9" s="3" t="inlineStr">
        <is>
          <t>38896338108615</t>
        </is>
      </c>
      <c r="F9" s="3" t="inlineStr">
        <is>
          <t>47935109071047</t>
        </is>
      </c>
      <c r="G9" s="3" t="inlineStr"/>
      <c r="H9" s="3" t="inlineStr">
        <is>
          <t>GALLERY</t>
        </is>
      </c>
      <c r="I9" s="3" t="inlineStr">
        <is>
          <t>DIRECT_ORIGINAL_IMAGE</t>
        </is>
      </c>
      <c r="J9" s="3" t="inlineStr">
        <is>
          <t>2026-09-07T17:56:21.200447+07:00</t>
        </is>
      </c>
      <c r="K9" s="3" t="inlineStr">
        <is>
          <t>Directly inspected gallery image 3 for custom football player running with football comforter.</t>
        </is>
      </c>
      <c r="L9" s="3" t="inlineStr">
        <is>
          <t>Outdoor, sofa or lifestyle mockup connected to custom baseball batter photo blanket with Daniel.</t>
        </is>
      </c>
      <c r="M9" s="3" t="inlineStr">
        <is>
          <t>Custom Name Catcher Batter Baseball Baseball Throw, Baseball Blanket Gift Baseball Bedding Gift for Adult, Christmas New Years Gift for Baseball Player, Pitcher Gift (Baseball Design 07)</t>
        </is>
      </c>
      <c r="N9" s="3" t="inlineStr">
        <is>
          <t>SET</t>
        </is>
      </c>
      <c r="O9" s="3" t="inlineStr">
        <is>
          <t>Lifestyle or outdoor mockup of Custom Baseball Batter Photo Blanket</t>
        </is>
      </c>
      <c r="P9" s="3" t="inlineStr">
        <is>
          <t>FULL</t>
        </is>
      </c>
      <c r="Q9" s="3" t="inlineStr">
        <is>
          <t>FULL</t>
        </is>
      </c>
      <c r="R9" s="3" t="inlineStr">
        <is>
          <t>FULL</t>
        </is>
      </c>
      <c r="S9" s="3" t="inlineStr">
        <is>
          <t>FULL</t>
        </is>
      </c>
      <c r="T9" s="7">
        <f>IF(P9="FULL",40,IF(P9="PARTIAL",40/2,0))+IF(Q9="FULL",30,IF(Q9="PARTIAL",30/2,0))+IF(R9="FULL",20,IF(R9="PARTIAL",20/2,0))+IF(S9="FULL",10,IF(S9="PARTIAL",10/2,0))</f>
        <v/>
      </c>
      <c r="U9" s="7">
        <f>IF(P9="NOT_CHECKED",0,40)+IF(Q9="NOT_CHECKED",0,30)+IF(R9="NOT_CHECKED",0,20)+IF(S9="NOT_CHECKED",0,10)</f>
        <v/>
      </c>
      <c r="V9" s="7">
        <f>IF(U9=100,T9,"")</f>
        <v/>
      </c>
      <c r="W9" s="7">
        <f>T9</f>
        <v/>
      </c>
      <c r="X9" s="7">
        <f>T9+(100-U9)</f>
        <v/>
      </c>
      <c r="Y9" s="3" t="inlineStr">
        <is>
          <t>[]</t>
        </is>
      </c>
      <c r="Z9" s="3" t="inlineStr">
        <is>
          <t>["seo_runs\\jeminise.com\\20260906_234129\\evidence\\images\\82_custom-name-catcher-batter-baseball-baseball-throw-baseba-design-07\\image_03_47935109071047.jpg; seo_runs\\jeminise.com\\20260906_234129\\evidence\\contact_sheets\\82_custom-name-catcher-batter-baseball-baseball-throw-baseba-design-07.jpg", "https://jeminise.com/products/custom-name-catcher-batter-baseball-baseball-throw-baseba-design-07", "https://cdn.shopify.com/s/files/1/0792/5098/1063/files/6e96186d2d002dc62ad002ace465c535aa56a1079afaff98339a7806ca3999b8.jpg?v=1787246959"]</t>
        </is>
      </c>
    </row>
    <row r="10" ht="66" customHeight="1">
      <c r="A10" s="2" t="inlineStr">
        <is>
          <t>jeminise.com+custom-name-catcher-batter-baseball-baseball-throw-baseba-design-07</t>
        </is>
      </c>
      <c r="B10" s="2" t="inlineStr">
        <is>
          <t>qaimg_e3d0b8b92cb908bd</t>
        </is>
      </c>
      <c r="C10" s="4" t="inlineStr">
        <is>
          <t>https://cdn.shopify.com/s/files/1/0792/5098/1063/files/165234ad21d4ee9166a08d007aead3df31f38947792af0457c6e1eb36784b516.jpg?v=1787246960</t>
        </is>
      </c>
      <c r="D10" s="4" t="inlineStr">
        <is>
          <t>https://cdn.shopify.com/s/files/1/0792/5098/1063/files/165234ad21d4ee9166a08d007aead3df31f38947792af0457c6e1eb36784b516.jpg?v=1787246960</t>
        </is>
      </c>
      <c r="E10" s="2" t="inlineStr">
        <is>
          <t>38896338141383</t>
        </is>
      </c>
      <c r="F10" s="2" t="inlineStr">
        <is>
          <t>47935109103815</t>
        </is>
      </c>
      <c r="G10" s="2" t="inlineStr"/>
      <c r="H10" s="2" t="inlineStr">
        <is>
          <t>GALLERY</t>
        </is>
      </c>
      <c r="I10" s="2" t="inlineStr">
        <is>
          <t>DIRECT_ORIGINAL_IMAGE</t>
        </is>
      </c>
      <c r="J10" s="2" t="inlineStr">
        <is>
          <t>2026-09-07T17:56:21.200447+07:00</t>
        </is>
      </c>
      <c r="K10" s="2" t="inlineStr">
        <is>
          <t>Directly inspected gallery image 4 for custom football player running with football comforter.</t>
        </is>
      </c>
      <c r="L10" s="2" t="inlineStr">
        <is>
          <t>Customization, detail or additional lifestyle panel for custom baseball batter photo blanket with Daniel.</t>
        </is>
      </c>
      <c r="M10" s="2" t="inlineStr">
        <is>
          <t>Custom Name Catcher Batter Baseball Baseball Throw, Baseball Blanket Gift Baseball Bedding Gift for Adult, Christmas New Years Gift for Baseball Player, Pitcher Gift (Baseball Design 07)</t>
        </is>
      </c>
      <c r="N10" s="2" t="inlineStr">
        <is>
          <t>SET</t>
        </is>
      </c>
      <c r="O10" s="2" t="inlineStr">
        <is>
          <t>Customization or product detail image for Custom Baseball Batter Photo Blanket</t>
        </is>
      </c>
      <c r="P10" s="2" t="inlineStr">
        <is>
          <t>FULL</t>
        </is>
      </c>
      <c r="Q10" s="2" t="inlineStr">
        <is>
          <t>FULL</t>
        </is>
      </c>
      <c r="R10" s="2" t="inlineStr">
        <is>
          <t>PARTIAL</t>
        </is>
      </c>
      <c r="S10" s="2" t="inlineStr">
        <is>
          <t>FULL</t>
        </is>
      </c>
      <c r="T10" s="5">
        <f>IF(P10="FULL",40,IF(P10="PARTIAL",40/2,0))+IF(Q10="FULL",30,IF(Q10="PARTIAL",30/2,0))+IF(R10="FULL",20,IF(R10="PARTIAL",20/2,0))+IF(S10="FULL",10,IF(S10="PARTIAL",10/2,0))</f>
        <v/>
      </c>
      <c r="U10" s="5">
        <f>IF(P10="NOT_CHECKED",0,40)+IF(Q10="NOT_CHECKED",0,30)+IF(R10="NOT_CHECKED",0,20)+IF(S10="NOT_CHECKED",0,10)</f>
        <v/>
      </c>
      <c r="V10" s="5">
        <f>IF(U10=100,T10,"")</f>
        <v/>
      </c>
      <c r="W10" s="5">
        <f>T10</f>
        <v/>
      </c>
      <c r="X10" s="5">
        <f>T10+(100-U10)</f>
        <v/>
      </c>
      <c r="Y10" s="2" t="inlineStr">
        <is>
          <t>["ISS-082-IMG-04"]</t>
        </is>
      </c>
      <c r="Z10" s="2" t="inlineStr">
        <is>
          <t>["seo_runs\\jeminise.com\\20260906_234129\\evidence\\images\\82_custom-name-catcher-batter-baseball-baseball-throw-baseba-design-07\\image_04_47935109103815.jpg; seo_runs\\jeminise.com\\20260906_234129\\evidence\\contact_sheets\\82_custom-name-catcher-batter-baseball-baseball-throw-baseba-design-07.jpg", "https://jeminise.com/products/custom-name-catcher-batter-baseball-baseball-throw-baseba-design-07", "https://cdn.shopify.com/s/files/1/0792/5098/1063/files/165234ad21d4ee9166a08d007aead3df31f38947792af0457c6e1eb36784b516.jpg?v=1787246960"]</t>
        </is>
      </c>
    </row>
    <row r="11" ht="66" customHeight="1">
      <c r="A11" s="3" t="inlineStr">
        <is>
          <t>jeminise.com+custom-name-catcher-batter-baseball-baseball-throw-baseba-design-07</t>
        </is>
      </c>
      <c r="B11" s="3" t="inlineStr">
        <is>
          <t>qaimg_b66411d2b6372cd0</t>
        </is>
      </c>
      <c r="C11" s="4" t="inlineStr">
        <is>
          <t>https://cdn.shopify.com/s/files/1/0792/5098/1063/files/c85129799aaab50bcf286664c0e307d26e83c44bc0739432e67478273d59e841.jpg?v=1787246959</t>
        </is>
      </c>
      <c r="D11" s="4" t="inlineStr">
        <is>
          <t>https://cdn.shopify.com/s/files/1/0792/5098/1063/files/c85129799aaab50bcf286664c0e307d26e83c44bc0739432e67478273d59e841.jpg?v=1787246959</t>
        </is>
      </c>
      <c r="E11" s="3" t="inlineStr">
        <is>
          <t>38896338174151</t>
        </is>
      </c>
      <c r="F11" s="3" t="inlineStr">
        <is>
          <t>47935109136583</t>
        </is>
      </c>
      <c r="G11" s="3" t="inlineStr"/>
      <c r="H11" s="3" t="inlineStr">
        <is>
          <t>GALLERY</t>
        </is>
      </c>
      <c r="I11" s="3" t="inlineStr">
        <is>
          <t>DIRECT_ORIGINAL_IMAGE</t>
        </is>
      </c>
      <c r="J11" s="3" t="inlineStr">
        <is>
          <t>2026-09-07T17:56:21.200447+07:00</t>
        </is>
      </c>
      <c r="K11" s="3" t="inlineStr">
        <is>
          <t>Directly inspected gallery image 5 for custom football player running with football comforter.</t>
        </is>
      </c>
      <c r="L11" s="3" t="inlineStr">
        <is>
          <t>Additional mockup, material detail or use-case image for custom baseball batter photo blanket with Daniel.</t>
        </is>
      </c>
      <c r="M11" s="3" t="inlineStr">
        <is>
          <t>Custom Name Catcher Batter Baseball Baseball Throw, Baseball Blanket Gift Baseball Bedding Gift for Adult, Christmas New Years Gift for Baseball Player, Pitcher Gift (Baseball Design 07)</t>
        </is>
      </c>
      <c r="N11" s="3" t="inlineStr">
        <is>
          <t>SET</t>
        </is>
      </c>
      <c r="O11" s="3" t="inlineStr">
        <is>
          <t>Additional product mockup or material detail for Custom Baseball Batter Photo Blanket</t>
        </is>
      </c>
      <c r="P11" s="3" t="inlineStr">
        <is>
          <t>FULL</t>
        </is>
      </c>
      <c r="Q11" s="3" t="inlineStr">
        <is>
          <t>FULL</t>
        </is>
      </c>
      <c r="R11" s="3" t="inlineStr">
        <is>
          <t>FULL</t>
        </is>
      </c>
      <c r="S11" s="3" t="inlineStr">
        <is>
          <t>FULL</t>
        </is>
      </c>
      <c r="T11" s="7">
        <f>IF(P11="FULL",40,IF(P11="PARTIAL",40/2,0))+IF(Q11="FULL",30,IF(Q11="PARTIAL",30/2,0))+IF(R11="FULL",20,IF(R11="PARTIAL",20/2,0))+IF(S11="FULL",10,IF(S11="PARTIAL",10/2,0))</f>
        <v/>
      </c>
      <c r="U11" s="7">
        <f>IF(P11="NOT_CHECKED",0,40)+IF(Q11="NOT_CHECKED",0,30)+IF(R11="NOT_CHECKED",0,20)+IF(S11="NOT_CHECKED",0,10)</f>
        <v/>
      </c>
      <c r="V11" s="7">
        <f>IF(U11=100,T11,"")</f>
        <v/>
      </c>
      <c r="W11" s="7">
        <f>T11</f>
        <v/>
      </c>
      <c r="X11" s="7">
        <f>T11+(100-U11)</f>
        <v/>
      </c>
      <c r="Y11" s="3" t="inlineStr">
        <is>
          <t>[]</t>
        </is>
      </c>
      <c r="Z11" s="3" t="inlineStr">
        <is>
          <t>["seo_runs\\jeminise.com\\20260906_234129\\evidence\\images\\82_custom-name-catcher-batter-baseball-baseball-throw-baseba-design-07\\image_05_47935109136583.jpg; seo_runs\\jeminise.com\\20260906_234129\\evidence\\contact_sheets\\82_custom-name-catcher-batter-baseball-baseball-throw-baseba-design-07.jpg", "https://jeminise.com/products/custom-name-catcher-batter-baseball-baseball-throw-baseba-design-07", "https://cdn.shopify.com/s/files/1/0792/5098/1063/files/c85129799aaab50bcf286664c0e307d26e83c44bc0739432e67478273d59e841.jpg?v=1787246959"]</t>
        </is>
      </c>
    </row>
    <row r="12" ht="66" customHeight="1">
      <c r="A12" s="2" t="inlineStr">
        <is>
          <t>jeminise.com+custom-name-catcher-batter-baseball-baseball-throw-baseba-design-07</t>
        </is>
      </c>
      <c r="B12" s="2" t="inlineStr">
        <is>
          <t>qaimg_215002180b8e5d7a</t>
        </is>
      </c>
      <c r="C12" s="4" t="inlineStr">
        <is>
          <t>https://cdn.shopify.com/s/files/1/0792/5098/1063/files/fa6a21db2ff31ac292ba025f7228eb970443c0a6c06798f4d1f75be8351e49dc.jpg?v=1787246959</t>
        </is>
      </c>
      <c r="D12" s="4" t="inlineStr">
        <is>
          <t>https://cdn.shopify.com/s/files/1/0792/5098/1063/files/fa6a21db2ff31ac292ba025f7228eb970443c0a6c06798f4d1f75be8351e49dc.jpg?v=1787246959</t>
        </is>
      </c>
      <c r="E12" s="2" t="inlineStr">
        <is>
          <t>38896338206919</t>
        </is>
      </c>
      <c r="F12" s="2" t="inlineStr">
        <is>
          <t>47935109169351</t>
        </is>
      </c>
      <c r="G12" s="2" t="inlineStr"/>
      <c r="H12" s="2" t="inlineStr">
        <is>
          <t>GALLERY</t>
        </is>
      </c>
      <c r="I12" s="2" t="inlineStr">
        <is>
          <t>DIRECT_ORIGINAL_IMAGE</t>
        </is>
      </c>
      <c r="J12" s="2" t="inlineStr">
        <is>
          <t>2026-09-07T17:56:21.200447+07:00</t>
        </is>
      </c>
      <c r="K12" s="2" t="inlineStr">
        <is>
          <t>Directly inspected gallery image 6 for custom football player running with football comforter.</t>
        </is>
      </c>
      <c r="L12" s="2" t="inlineStr">
        <is>
          <t>Additional lifestyle or product detail image showing custom baseball batter photo blanket with Daniel.</t>
        </is>
      </c>
      <c r="M12" s="2" t="inlineStr">
        <is>
          <t>Custom Name Catcher Batter Baseball Baseball Throw, Baseball Blanket Gift Baseball Bedding Gift for Adult, Christmas New Years Gift for Baseball Player, Pitcher Gift (Baseball Design 07)</t>
        </is>
      </c>
      <c r="N12" s="2" t="inlineStr">
        <is>
          <t>SET</t>
        </is>
      </c>
      <c r="O12" s="2" t="inlineStr">
        <is>
          <t>Additional lifestyle image for Custom Baseball Batter Photo Blanket</t>
        </is>
      </c>
      <c r="P12" s="2" t="inlineStr">
        <is>
          <t>FULL</t>
        </is>
      </c>
      <c r="Q12" s="2" t="inlineStr">
        <is>
          <t>FULL</t>
        </is>
      </c>
      <c r="R12" s="2" t="inlineStr">
        <is>
          <t>FULL</t>
        </is>
      </c>
      <c r="S12" s="2" t="inlineStr">
        <is>
          <t>FULL</t>
        </is>
      </c>
      <c r="T12" s="5">
        <f>IF(P12="FULL",40,IF(P12="PARTIAL",40/2,0))+IF(Q12="FULL",30,IF(Q12="PARTIAL",30/2,0))+IF(R12="FULL",20,IF(R12="PARTIAL",20/2,0))+IF(S12="FULL",10,IF(S12="PARTIAL",10/2,0))</f>
        <v/>
      </c>
      <c r="U12" s="5">
        <f>IF(P12="NOT_CHECKED",0,40)+IF(Q12="NOT_CHECKED",0,30)+IF(R12="NOT_CHECKED",0,20)+IF(S12="NOT_CHECKED",0,10)</f>
        <v/>
      </c>
      <c r="V12" s="5">
        <f>IF(U12=100,T12,"")</f>
        <v/>
      </c>
      <c r="W12" s="5">
        <f>T12</f>
        <v/>
      </c>
      <c r="X12" s="5">
        <f>T12+(100-U12)</f>
        <v/>
      </c>
      <c r="Y12" s="2" t="inlineStr">
        <is>
          <t>[]</t>
        </is>
      </c>
      <c r="Z12" s="2" t="inlineStr">
        <is>
          <t>["seo_runs\\jeminise.com\\20260906_234129\\evidence\\images\\82_custom-name-catcher-batter-baseball-baseball-throw-baseba-design-07\\image_06_47935109169351.jpg; seo_runs\\jeminise.com\\20260906_234129\\evidence\\contact_sheets\\82_custom-name-catcher-batter-baseball-baseball-throw-baseba-design-07.jpg", "https://jeminise.com/products/custom-name-catcher-batter-baseball-baseball-throw-baseba-design-07", "https://cdn.shopify.com/s/files/1/0792/5098/1063/files/fa6a21db2ff31ac292ba025f7228eb970443c0a6c06798f4d1f75be8351e49dc.jpg?v=1787246959"]</t>
        </is>
      </c>
    </row>
    <row r="13" ht="66" customHeight="1">
      <c r="A13" s="3" t="inlineStr">
        <is>
          <t>jeminise.com+custom-name-catcher-batter-baseball-baseball-throw-baseba-design-10</t>
        </is>
      </c>
      <c r="B13" s="3" t="inlineStr">
        <is>
          <t>qaimg_55951a06d9a1ced3</t>
        </is>
      </c>
      <c r="C13" s="4" t="inlineStr">
        <is>
          <t>https://cdn.shopify.com/s/files/1/0792/5098/1063/files/8123d43716c5a8ebebb452e03b8d1159b0961ab96c5805c9bd290732d85283e3.jpg?v=1787246908</t>
        </is>
      </c>
      <c r="D13" s="4" t="inlineStr">
        <is>
          <t>https://cdn.shopify.com/s/files/1/0792/5098/1063/files/8123d43716c5a8ebebb452e03b8d1159b0961ab96c5805c9bd290732d85283e3.jpg?v=1787246908</t>
        </is>
      </c>
      <c r="E13" s="3" t="inlineStr">
        <is>
          <t>38896319037639</t>
        </is>
      </c>
      <c r="F13" s="3" t="inlineStr">
        <is>
          <t>47935090098375</t>
        </is>
      </c>
      <c r="G13" s="3" t="inlineStr"/>
      <c r="H13" s="3" t="inlineStr">
        <is>
          <t>GALLERY</t>
        </is>
      </c>
      <c r="I13" s="3" t="inlineStr">
        <is>
          <t>DIRECT_ORIGINAL_IMAGE</t>
        </is>
      </c>
      <c r="J13" s="3" t="inlineStr">
        <is>
          <t>2026-09-07T17:56:21.200447+07:00</t>
        </is>
      </c>
      <c r="K13" s="3" t="inlineStr">
        <is>
          <t>Directly inspected gallery image 1 for custom football player American flag comforter.</t>
        </is>
      </c>
      <c r="L13" s="3" t="inlineStr">
        <is>
          <t>Main product or lifestyle mockup showing personalized baseball batter quote blanket with Christopher number 22.</t>
        </is>
      </c>
      <c r="M13" s="3" t="inlineStr">
        <is>
          <t>Custom Name Catcher Batter Baseball Baseball Throw, Baseball Blanket Gift Baseball Bedding Gift for Adult, Christmas New Years Gift for Baseball Player, Pitcher Gift (Baseball Design 10)</t>
        </is>
      </c>
      <c r="N13" s="3" t="inlineStr">
        <is>
          <t>SET</t>
        </is>
      </c>
      <c r="O13" s="3" t="inlineStr">
        <is>
          <t>Personalized Baseball Batter Quote Blanket displayed in a main product mockup</t>
        </is>
      </c>
      <c r="P13" s="3" t="inlineStr">
        <is>
          <t>FULL</t>
        </is>
      </c>
      <c r="Q13" s="3" t="inlineStr">
        <is>
          <t>FULL</t>
        </is>
      </c>
      <c r="R13" s="3" t="inlineStr">
        <is>
          <t>FULL</t>
        </is>
      </c>
      <c r="S13" s="3" t="inlineStr">
        <is>
          <t>FULL</t>
        </is>
      </c>
      <c r="T13" s="7">
        <f>IF(P13="FULL",40,IF(P13="PARTIAL",40/2,0))+IF(Q13="FULL",30,IF(Q13="PARTIAL",30/2,0))+IF(R13="FULL",20,IF(R13="PARTIAL",20/2,0))+IF(S13="FULL",10,IF(S13="PARTIAL",10/2,0))</f>
        <v/>
      </c>
      <c r="U13" s="7">
        <f>IF(P13="NOT_CHECKED",0,40)+IF(Q13="NOT_CHECKED",0,30)+IF(R13="NOT_CHECKED",0,20)+IF(S13="NOT_CHECKED",0,10)</f>
        <v/>
      </c>
      <c r="V13" s="7">
        <f>IF(U13=100,T13,"")</f>
        <v/>
      </c>
      <c r="W13" s="7">
        <f>T13</f>
        <v/>
      </c>
      <c r="X13" s="7">
        <f>T13+(100-U13)</f>
        <v/>
      </c>
      <c r="Y13" s="3" t="inlineStr">
        <is>
          <t>[]</t>
        </is>
      </c>
      <c r="Z13" s="3" t="inlineStr">
        <is>
          <t>["seo_runs\\jeminise.com\\20260906_234129\\evidence\\images\\83_custom-name-catcher-batter-baseball-baseball-throw-baseba-design-10\\image_01_47935090098375.jpg; seo_runs\\jeminise.com\\20260906_234129\\evidence\\contact_sheets\\83_custom-name-catcher-batter-baseball-baseball-throw-baseba-design-10.jpg", "https://jeminise.com/products/custom-name-catcher-batter-baseball-baseball-throw-baseba-design-10", "https://cdn.shopify.com/s/files/1/0792/5098/1063/files/8123d43716c5a8ebebb452e03b8d1159b0961ab96c5805c9bd290732d85283e3.jpg?v=1787246908"]</t>
        </is>
      </c>
    </row>
    <row r="14" ht="66" customHeight="1">
      <c r="A14" s="2" t="inlineStr">
        <is>
          <t>jeminise.com+custom-name-catcher-batter-baseball-baseball-throw-baseba-design-10</t>
        </is>
      </c>
      <c r="B14" s="2" t="inlineStr">
        <is>
          <t>qaimg_4fad3017031deb5e</t>
        </is>
      </c>
      <c r="C14" s="4" t="inlineStr">
        <is>
          <t>https://cdn.shopify.com/s/files/1/0792/5098/1063/files/1bb0e341e1ec53c8020f9db51a76287508515510761401c987c423b63b6108a1.jpg?v=1787246908</t>
        </is>
      </c>
      <c r="D14" s="4" t="inlineStr">
        <is>
          <t>https://cdn.shopify.com/s/files/1/0792/5098/1063/files/1bb0e341e1ec53c8020f9db51a76287508515510761401c987c423b63b6108a1.jpg?v=1787246908</t>
        </is>
      </c>
      <c r="E14" s="2" t="inlineStr">
        <is>
          <t>38896319070407</t>
        </is>
      </c>
      <c r="F14" s="2" t="inlineStr">
        <is>
          <t>47935090131143</t>
        </is>
      </c>
      <c r="G14" s="2" t="inlineStr"/>
      <c r="H14" s="2" t="inlineStr">
        <is>
          <t>GALLERY</t>
        </is>
      </c>
      <c r="I14" s="2" t="inlineStr">
        <is>
          <t>DIRECT_ORIGINAL_IMAGE</t>
        </is>
      </c>
      <c r="J14" s="2" t="inlineStr">
        <is>
          <t>2026-09-07T17:56:21.200447+07:00</t>
        </is>
      </c>
      <c r="K14" s="2" t="inlineStr">
        <is>
          <t>Directly inspected gallery image 2 for custom football player American flag comforter.</t>
        </is>
      </c>
      <c r="L14" s="2" t="inlineStr">
        <is>
          <t>Secondary mockup or customization image showing personalized baseball batter quote blanket with Christopher number 22.</t>
        </is>
      </c>
      <c r="M14" s="2" t="inlineStr">
        <is>
          <t>Custom Name Catcher Batter Baseball Baseball Throw, Baseball Blanket Gift Baseball Bedding Gift for Adult, Christmas New Years Gift for Baseball Player, Pitcher Gift (Baseball Design 10)</t>
        </is>
      </c>
      <c r="N14" s="2" t="inlineStr">
        <is>
          <t>SET</t>
        </is>
      </c>
      <c r="O14" s="2" t="inlineStr">
        <is>
          <t>Secondary mockup of Personalized Baseball Batter Quote Blanket</t>
        </is>
      </c>
      <c r="P14" s="2" t="inlineStr">
        <is>
          <t>FULL</t>
        </is>
      </c>
      <c r="Q14" s="2" t="inlineStr">
        <is>
          <t>FULL</t>
        </is>
      </c>
      <c r="R14" s="2" t="inlineStr">
        <is>
          <t>FULL</t>
        </is>
      </c>
      <c r="S14" s="2" t="inlineStr">
        <is>
          <t>FULL</t>
        </is>
      </c>
      <c r="T14" s="5">
        <f>IF(P14="FULL",40,IF(P14="PARTIAL",40/2,0))+IF(Q14="FULL",30,IF(Q14="PARTIAL",30/2,0))+IF(R14="FULL",20,IF(R14="PARTIAL",20/2,0))+IF(S14="FULL",10,IF(S14="PARTIAL",10/2,0))</f>
        <v/>
      </c>
      <c r="U14" s="5">
        <f>IF(P14="NOT_CHECKED",0,40)+IF(Q14="NOT_CHECKED",0,30)+IF(R14="NOT_CHECKED",0,20)+IF(S14="NOT_CHECKED",0,10)</f>
        <v/>
      </c>
      <c r="V14" s="5">
        <f>IF(U14=100,T14,"")</f>
        <v/>
      </c>
      <c r="W14" s="5">
        <f>T14</f>
        <v/>
      </c>
      <c r="X14" s="5">
        <f>T14+(100-U14)</f>
        <v/>
      </c>
      <c r="Y14" s="2" t="inlineStr">
        <is>
          <t>[]</t>
        </is>
      </c>
      <c r="Z14" s="2" t="inlineStr">
        <is>
          <t>["seo_runs\\jeminise.com\\20260906_234129\\evidence\\images\\83_custom-name-catcher-batter-baseball-baseball-throw-baseba-design-10\\image_02_47935090131143.jpg; seo_runs\\jeminise.com\\20260906_234129\\evidence\\contact_sheets\\83_custom-name-catcher-batter-baseball-baseball-throw-baseba-design-10.jpg", "https://jeminise.com/products/custom-name-catcher-batter-baseball-baseball-throw-baseba-design-10", "https://cdn.shopify.com/s/files/1/0792/5098/1063/files/1bb0e341e1ec53c8020f9db51a76287508515510761401c987c423b63b6108a1.jpg?v=1787246908"]</t>
        </is>
      </c>
    </row>
    <row r="15" ht="66" customHeight="1">
      <c r="A15" s="3" t="inlineStr">
        <is>
          <t>jeminise.com+custom-name-catcher-batter-baseball-baseball-throw-baseba-design-10</t>
        </is>
      </c>
      <c r="B15" s="3" t="inlineStr">
        <is>
          <t>qaimg_67c782f4e0cba5c0</t>
        </is>
      </c>
      <c r="C15" s="4" t="inlineStr">
        <is>
          <t>https://cdn.shopify.com/s/files/1/0792/5098/1063/files/d3a695d1ec56e1c022ab4f1c4b6d9d60af57d005e6760ec2a9a3f6434051b092.jpg?v=1787246908</t>
        </is>
      </c>
      <c r="D15" s="4" t="inlineStr">
        <is>
          <t>https://cdn.shopify.com/s/files/1/0792/5098/1063/files/d3a695d1ec56e1c022ab4f1c4b6d9d60af57d005e6760ec2a9a3f6434051b092.jpg?v=1787246908</t>
        </is>
      </c>
      <c r="E15" s="3" t="inlineStr">
        <is>
          <t>38896319103175</t>
        </is>
      </c>
      <c r="F15" s="3" t="inlineStr">
        <is>
          <t>47935090163911</t>
        </is>
      </c>
      <c r="G15" s="3" t="inlineStr"/>
      <c r="H15" s="3" t="inlineStr">
        <is>
          <t>GALLERY</t>
        </is>
      </c>
      <c r="I15" s="3" t="inlineStr">
        <is>
          <t>DIRECT_ORIGINAL_IMAGE</t>
        </is>
      </c>
      <c r="J15" s="3" t="inlineStr">
        <is>
          <t>2026-09-07T17:56:21.200447+07:00</t>
        </is>
      </c>
      <c r="K15" s="3" t="inlineStr">
        <is>
          <t>Directly inspected gallery image 3 for custom football player American flag comforter.</t>
        </is>
      </c>
      <c r="L15" s="3" t="inlineStr">
        <is>
          <t>Outdoor, sofa or lifestyle mockup connected to personalized baseball batter quote blanket with Christopher number 22.</t>
        </is>
      </c>
      <c r="M15" s="3" t="inlineStr">
        <is>
          <t>Custom Name Catcher Batter Baseball Baseball Throw, Baseball Blanket Gift Baseball Bedding Gift for Adult, Christmas New Years Gift for Baseball Player, Pitcher Gift (Baseball Design 10)</t>
        </is>
      </c>
      <c r="N15" s="3" t="inlineStr">
        <is>
          <t>SET</t>
        </is>
      </c>
      <c r="O15" s="3" t="inlineStr">
        <is>
          <t>Lifestyle or outdoor mockup of Personalized Baseball Batter Quote Blanket</t>
        </is>
      </c>
      <c r="P15" s="3" t="inlineStr">
        <is>
          <t>FULL</t>
        </is>
      </c>
      <c r="Q15" s="3" t="inlineStr">
        <is>
          <t>FULL</t>
        </is>
      </c>
      <c r="R15" s="3" t="inlineStr">
        <is>
          <t>FULL</t>
        </is>
      </c>
      <c r="S15" s="3" t="inlineStr">
        <is>
          <t>FULL</t>
        </is>
      </c>
      <c r="T15" s="7">
        <f>IF(P15="FULL",40,IF(P15="PARTIAL",40/2,0))+IF(Q15="FULL",30,IF(Q15="PARTIAL",30/2,0))+IF(R15="FULL",20,IF(R15="PARTIAL",20/2,0))+IF(S15="FULL",10,IF(S15="PARTIAL",10/2,0))</f>
        <v/>
      </c>
      <c r="U15" s="7">
        <f>IF(P15="NOT_CHECKED",0,40)+IF(Q15="NOT_CHECKED",0,30)+IF(R15="NOT_CHECKED",0,20)+IF(S15="NOT_CHECKED",0,10)</f>
        <v/>
      </c>
      <c r="V15" s="7">
        <f>IF(U15=100,T15,"")</f>
        <v/>
      </c>
      <c r="W15" s="7">
        <f>T15</f>
        <v/>
      </c>
      <c r="X15" s="7">
        <f>T15+(100-U15)</f>
        <v/>
      </c>
      <c r="Y15" s="3" t="inlineStr">
        <is>
          <t>[]</t>
        </is>
      </c>
      <c r="Z15" s="3" t="inlineStr">
        <is>
          <t>["seo_runs\\jeminise.com\\20260906_234129\\evidence\\images\\83_custom-name-catcher-batter-baseball-baseball-throw-baseba-design-10\\image_03_47935090163911.jpg; seo_runs\\jeminise.com\\20260906_234129\\evidence\\contact_sheets\\83_custom-name-catcher-batter-baseball-baseball-throw-baseba-design-10.jpg", "https://jeminise.com/products/custom-name-catcher-batter-baseball-baseball-throw-baseba-design-10", "https://cdn.shopify.com/s/files/1/0792/5098/1063/files/d3a695d1ec56e1c022ab4f1c4b6d9d60af57d005e6760ec2a9a3f6434051b092.jpg?v=1787246908"]</t>
        </is>
      </c>
    </row>
    <row r="16" ht="66" customHeight="1">
      <c r="A16" s="2" t="inlineStr">
        <is>
          <t>jeminise.com+custom-name-catcher-batter-baseball-baseball-throw-baseba-design-10</t>
        </is>
      </c>
      <c r="B16" s="2" t="inlineStr">
        <is>
          <t>qaimg_ee732eaa8a684bef</t>
        </is>
      </c>
      <c r="C16" s="4" t="inlineStr">
        <is>
          <t>https://cdn.shopify.com/s/files/1/0792/5098/1063/files/d6a0a4f391d712b498fed1541a0315a35419ee0fefc938d052e73e528fb87986.jpg?v=1787246908</t>
        </is>
      </c>
      <c r="D16" s="4" t="inlineStr">
        <is>
          <t>https://cdn.shopify.com/s/files/1/0792/5098/1063/files/d6a0a4f391d712b498fed1541a0315a35419ee0fefc938d052e73e528fb87986.jpg?v=1787246908</t>
        </is>
      </c>
      <c r="E16" s="2" t="inlineStr">
        <is>
          <t>38896319135943</t>
        </is>
      </c>
      <c r="F16" s="2" t="inlineStr">
        <is>
          <t>47935090196679</t>
        </is>
      </c>
      <c r="G16" s="2" t="inlineStr"/>
      <c r="H16" s="2" t="inlineStr">
        <is>
          <t>GALLERY</t>
        </is>
      </c>
      <c r="I16" s="2" t="inlineStr">
        <is>
          <t>DIRECT_ORIGINAL_IMAGE</t>
        </is>
      </c>
      <c r="J16" s="2" t="inlineStr">
        <is>
          <t>2026-09-07T17:56:21.200447+07:00</t>
        </is>
      </c>
      <c r="K16" s="2" t="inlineStr">
        <is>
          <t>Directly inspected gallery image 4 for custom football player American flag comforter.</t>
        </is>
      </c>
      <c r="L16" s="2" t="inlineStr">
        <is>
          <t>Customization, detail or additional lifestyle panel for personalized baseball batter quote blanket with Christopher number 22.</t>
        </is>
      </c>
      <c r="M16" s="2" t="inlineStr">
        <is>
          <t>Custom Name Catcher Batter Baseball Baseball Throw, Baseball Blanket Gift Baseball Bedding Gift for Adult, Christmas New Years Gift for Baseball Player, Pitcher Gift (Baseball Design 10)</t>
        </is>
      </c>
      <c r="N16" s="2" t="inlineStr">
        <is>
          <t>SET</t>
        </is>
      </c>
      <c r="O16" s="2" t="inlineStr">
        <is>
          <t>Customization or product detail image for Personalized Baseball Batter Quote Blanket</t>
        </is>
      </c>
      <c r="P16" s="2" t="inlineStr">
        <is>
          <t>FULL</t>
        </is>
      </c>
      <c r="Q16" s="2" t="inlineStr">
        <is>
          <t>FULL</t>
        </is>
      </c>
      <c r="R16" s="2" t="inlineStr">
        <is>
          <t>PARTIAL</t>
        </is>
      </c>
      <c r="S16" s="2" t="inlineStr">
        <is>
          <t>FULL</t>
        </is>
      </c>
      <c r="T16" s="5">
        <f>IF(P16="FULL",40,IF(P16="PARTIAL",40/2,0))+IF(Q16="FULL",30,IF(Q16="PARTIAL",30/2,0))+IF(R16="FULL",20,IF(R16="PARTIAL",20/2,0))+IF(S16="FULL",10,IF(S16="PARTIAL",10/2,0))</f>
        <v/>
      </c>
      <c r="U16" s="5">
        <f>IF(P16="NOT_CHECKED",0,40)+IF(Q16="NOT_CHECKED",0,30)+IF(R16="NOT_CHECKED",0,20)+IF(S16="NOT_CHECKED",0,10)</f>
        <v/>
      </c>
      <c r="V16" s="5">
        <f>IF(U16=100,T16,"")</f>
        <v/>
      </c>
      <c r="W16" s="5">
        <f>T16</f>
        <v/>
      </c>
      <c r="X16" s="5">
        <f>T16+(100-U16)</f>
        <v/>
      </c>
      <c r="Y16" s="2" t="inlineStr">
        <is>
          <t>["ISS-083-IMG-04"]</t>
        </is>
      </c>
      <c r="Z16" s="2" t="inlineStr">
        <is>
          <t>["seo_runs\\jeminise.com\\20260906_234129\\evidence\\images\\83_custom-name-catcher-batter-baseball-baseball-throw-baseba-design-10\\image_04_47935090196679.jpg; seo_runs\\jeminise.com\\20260906_234129\\evidence\\contact_sheets\\83_custom-name-catcher-batter-baseball-baseball-throw-baseba-design-10.jpg", "https://jeminise.com/products/custom-name-catcher-batter-baseball-baseball-throw-baseba-design-10", "https://cdn.shopify.com/s/files/1/0792/5098/1063/files/d6a0a4f391d712b498fed1541a0315a35419ee0fefc938d052e73e528fb87986.jpg?v=1787246908"]</t>
        </is>
      </c>
    </row>
    <row r="17" ht="66" customHeight="1">
      <c r="A17" s="3" t="inlineStr">
        <is>
          <t>jeminise.com+custom-name-catcher-batter-baseball-baseball-throw-baseba-design-10</t>
        </is>
      </c>
      <c r="B17" s="3" t="inlineStr">
        <is>
          <t>qaimg_2b57d02acabd927d</t>
        </is>
      </c>
      <c r="C17" s="4" t="inlineStr">
        <is>
          <t>https://cdn.shopify.com/s/files/1/0792/5098/1063/files/e4c251416e44779b18ce4ca44bd5ac1b96f5a9cdefdf9550a4b8a16e781f9bd4.jpg?v=1787246908</t>
        </is>
      </c>
      <c r="D17" s="4" t="inlineStr">
        <is>
          <t>https://cdn.shopify.com/s/files/1/0792/5098/1063/files/e4c251416e44779b18ce4ca44bd5ac1b96f5a9cdefdf9550a4b8a16e781f9bd4.jpg?v=1787246908</t>
        </is>
      </c>
      <c r="E17" s="3" t="inlineStr">
        <is>
          <t>38896319168711</t>
        </is>
      </c>
      <c r="F17" s="3" t="inlineStr">
        <is>
          <t>47935090229447</t>
        </is>
      </c>
      <c r="G17" s="3" t="inlineStr"/>
      <c r="H17" s="3" t="inlineStr">
        <is>
          <t>GALLERY</t>
        </is>
      </c>
      <c r="I17" s="3" t="inlineStr">
        <is>
          <t>DIRECT_ORIGINAL_IMAGE</t>
        </is>
      </c>
      <c r="J17" s="3" t="inlineStr">
        <is>
          <t>2026-09-07T17:56:21.200447+07:00</t>
        </is>
      </c>
      <c r="K17" s="3" t="inlineStr">
        <is>
          <t>Directly inspected gallery image 5 for custom football player American flag comforter.</t>
        </is>
      </c>
      <c r="L17" s="3" t="inlineStr">
        <is>
          <t>Additional mockup, material detail or use-case image for personalized baseball batter quote blanket with Christopher number 22.</t>
        </is>
      </c>
      <c r="M17" s="3" t="inlineStr">
        <is>
          <t>Custom Name Catcher Batter Baseball Baseball Throw, Baseball Blanket Gift Baseball Bedding Gift for Adult, Christmas New Years Gift for Baseball Player, Pitcher Gift (Baseball Design 10)</t>
        </is>
      </c>
      <c r="N17" s="3" t="inlineStr">
        <is>
          <t>SET</t>
        </is>
      </c>
      <c r="O17" s="3" t="inlineStr">
        <is>
          <t>Additional product mockup or material detail for Personalized Baseball Batter Quote Blanket</t>
        </is>
      </c>
      <c r="P17" s="3" t="inlineStr">
        <is>
          <t>FULL</t>
        </is>
      </c>
      <c r="Q17" s="3" t="inlineStr">
        <is>
          <t>FULL</t>
        </is>
      </c>
      <c r="R17" s="3" t="inlineStr">
        <is>
          <t>FULL</t>
        </is>
      </c>
      <c r="S17" s="3" t="inlineStr">
        <is>
          <t>FULL</t>
        </is>
      </c>
      <c r="T17" s="7">
        <f>IF(P17="FULL",40,IF(P17="PARTIAL",40/2,0))+IF(Q17="FULL",30,IF(Q17="PARTIAL",30/2,0))+IF(R17="FULL",20,IF(R17="PARTIAL",20/2,0))+IF(S17="FULL",10,IF(S17="PARTIAL",10/2,0))</f>
        <v/>
      </c>
      <c r="U17" s="7">
        <f>IF(P17="NOT_CHECKED",0,40)+IF(Q17="NOT_CHECKED",0,30)+IF(R17="NOT_CHECKED",0,20)+IF(S17="NOT_CHECKED",0,10)</f>
        <v/>
      </c>
      <c r="V17" s="7">
        <f>IF(U17=100,T17,"")</f>
        <v/>
      </c>
      <c r="W17" s="7">
        <f>T17</f>
        <v/>
      </c>
      <c r="X17" s="7">
        <f>T17+(100-U17)</f>
        <v/>
      </c>
      <c r="Y17" s="3" t="inlineStr">
        <is>
          <t>[]</t>
        </is>
      </c>
      <c r="Z17" s="3" t="inlineStr">
        <is>
          <t>["seo_runs\\jeminise.com\\20260906_234129\\evidence\\images\\83_custom-name-catcher-batter-baseball-baseball-throw-baseba-design-10\\image_05_47935090229447.jpg; seo_runs\\jeminise.com\\20260906_234129\\evidence\\contact_sheets\\83_custom-name-catcher-batter-baseball-baseball-throw-baseba-design-10.jpg", "https://jeminise.com/products/custom-name-catcher-batter-baseball-baseball-throw-baseba-design-10", "https://cdn.shopify.com/s/files/1/0792/5098/1063/files/e4c251416e44779b18ce4ca44bd5ac1b96f5a9cdefdf9550a4b8a16e781f9bd4.jpg?v=1787246908"]</t>
        </is>
      </c>
    </row>
    <row r="18" ht="66" customHeight="1">
      <c r="A18" s="2" t="inlineStr">
        <is>
          <t>jeminise.com+custom-name-catcher-batter-baseball-baseball-throw-baseba-design-10</t>
        </is>
      </c>
      <c r="B18" s="2" t="inlineStr">
        <is>
          <t>qaimg_f21ee003aad182b7</t>
        </is>
      </c>
      <c r="C18" s="4" t="inlineStr">
        <is>
          <t>https://cdn.shopify.com/s/files/1/0792/5098/1063/files/98f0f8810b43f6e1411872dc504513da2baf6c69162f9364d34ac6d4f7f3ef69.jpg?v=1787246908</t>
        </is>
      </c>
      <c r="D18" s="4" t="inlineStr">
        <is>
          <t>https://cdn.shopify.com/s/files/1/0792/5098/1063/files/98f0f8810b43f6e1411872dc504513da2baf6c69162f9364d34ac6d4f7f3ef69.jpg?v=1787246908</t>
        </is>
      </c>
      <c r="E18" s="2" t="inlineStr">
        <is>
          <t>38896319201479</t>
        </is>
      </c>
      <c r="F18" s="2" t="inlineStr">
        <is>
          <t>47935090262215</t>
        </is>
      </c>
      <c r="G18" s="2" t="inlineStr"/>
      <c r="H18" s="2" t="inlineStr">
        <is>
          <t>GALLERY</t>
        </is>
      </c>
      <c r="I18" s="2" t="inlineStr">
        <is>
          <t>DIRECT_ORIGINAL_IMAGE</t>
        </is>
      </c>
      <c r="J18" s="2" t="inlineStr">
        <is>
          <t>2026-09-07T17:56:21.200447+07:00</t>
        </is>
      </c>
      <c r="K18" s="2" t="inlineStr">
        <is>
          <t>Directly inspected gallery image 6 for custom football player American flag comforter.</t>
        </is>
      </c>
      <c r="L18" s="2" t="inlineStr">
        <is>
          <t>Additional lifestyle or product detail image showing personalized baseball batter quote blanket with Christopher number 22.</t>
        </is>
      </c>
      <c r="M18" s="2" t="inlineStr">
        <is>
          <t>Custom Name Catcher Batter Baseball Baseball Throw, Baseball Blanket Gift Baseball Bedding Gift for Adult, Christmas New Years Gift for Baseball Player, Pitcher Gift (Baseball Design 10)</t>
        </is>
      </c>
      <c r="N18" s="2" t="inlineStr">
        <is>
          <t>SET</t>
        </is>
      </c>
      <c r="O18" s="2" t="inlineStr">
        <is>
          <t>Additional lifestyle image for Personalized Baseball Batter Quote Blanket</t>
        </is>
      </c>
      <c r="P18" s="2" t="inlineStr">
        <is>
          <t>FULL</t>
        </is>
      </c>
      <c r="Q18" s="2" t="inlineStr">
        <is>
          <t>FULL</t>
        </is>
      </c>
      <c r="R18" s="2" t="inlineStr">
        <is>
          <t>FULL</t>
        </is>
      </c>
      <c r="S18" s="2" t="inlineStr">
        <is>
          <t>FULL</t>
        </is>
      </c>
      <c r="T18" s="5">
        <f>IF(P18="FULL",40,IF(P18="PARTIAL",40/2,0))+IF(Q18="FULL",30,IF(Q18="PARTIAL",30/2,0))+IF(R18="FULL",20,IF(R18="PARTIAL",20/2,0))+IF(S18="FULL",10,IF(S18="PARTIAL",10/2,0))</f>
        <v/>
      </c>
      <c r="U18" s="5">
        <f>IF(P18="NOT_CHECKED",0,40)+IF(Q18="NOT_CHECKED",0,30)+IF(R18="NOT_CHECKED",0,20)+IF(S18="NOT_CHECKED",0,10)</f>
        <v/>
      </c>
      <c r="V18" s="5">
        <f>IF(U18=100,T18,"")</f>
        <v/>
      </c>
      <c r="W18" s="5">
        <f>T18</f>
        <v/>
      </c>
      <c r="X18" s="5">
        <f>T18+(100-U18)</f>
        <v/>
      </c>
      <c r="Y18" s="2" t="inlineStr">
        <is>
          <t>[]</t>
        </is>
      </c>
      <c r="Z18" s="2" t="inlineStr">
        <is>
          <t>["seo_runs\\jeminise.com\\20260906_234129\\evidence\\images\\83_custom-name-catcher-batter-baseball-baseball-throw-baseba-design-10\\image_06_47935090262215.jpg; seo_runs\\jeminise.com\\20260906_234129\\evidence\\contact_sheets\\83_custom-name-catcher-batter-baseball-baseball-throw-baseba-design-10.jpg", "https://jeminise.com/products/custom-name-catcher-batter-baseball-baseball-throw-baseba-design-10", "https://cdn.shopify.com/s/files/1/0792/5098/1063/files/98f0f8810b43f6e1411872dc504513da2baf6c69162f9364d34ac6d4f7f3ef69.jpg?v=1787246908"]</t>
        </is>
      </c>
    </row>
    <row r="19" ht="66" customHeight="1">
      <c r="A19" s="3" t="inlineStr">
        <is>
          <t>jeminise.com+custom-name-catcher-batter-baseball-baseball-throw-baseba-design-10</t>
        </is>
      </c>
      <c r="B19" s="3" t="inlineStr">
        <is>
          <t>qaimg_b3c08ba9cabbeb7b</t>
        </is>
      </c>
      <c r="C19" s="4" t="inlineStr">
        <is>
          <t>https://cdn.shopify.com/s/files/1/0792/5098/1063/files/9816ebbcc50a672d3e1e267f501881ec5a6fdc00efb7a08bdcd4b7a240852cc2.jpg?v=1787246908</t>
        </is>
      </c>
      <c r="D19" s="4" t="inlineStr">
        <is>
          <t>https://cdn.shopify.com/s/files/1/0792/5098/1063/files/9816ebbcc50a672d3e1e267f501881ec5a6fdc00efb7a08bdcd4b7a240852cc2.jpg?v=1787246908</t>
        </is>
      </c>
      <c r="E19" s="3" t="inlineStr">
        <is>
          <t>38896319234247</t>
        </is>
      </c>
      <c r="F19" s="3" t="inlineStr">
        <is>
          <t>47935090294983</t>
        </is>
      </c>
      <c r="G19" s="3" t="inlineStr"/>
      <c r="H19" s="3" t="inlineStr">
        <is>
          <t>GALLERY</t>
        </is>
      </c>
      <c r="I19" s="3" t="inlineStr">
        <is>
          <t>DIRECT_ORIGINAL_IMAGE</t>
        </is>
      </c>
      <c r="J19" s="3" t="inlineStr">
        <is>
          <t>2026-09-07T17:56:21.200447+07:00</t>
        </is>
      </c>
      <c r="K19" s="3" t="inlineStr">
        <is>
          <t>Directly inspected gallery image 7 for custom football player American flag comforter.</t>
        </is>
      </c>
      <c r="L19" s="3" t="inlineStr">
        <is>
          <t>Additional product mockup or lifestyle image showing personalized baseball batter quote blanket with Christopher number 22.</t>
        </is>
      </c>
      <c r="M19" s="3" t="inlineStr">
        <is>
          <t>Custom Name Catcher Batter Baseball Baseball Throw, Baseball Blanket Gift Baseball Bedding Gift for Adult, Christmas New Years Gift for Baseball Player, Pitcher Gift (Baseball Design 10)</t>
        </is>
      </c>
      <c r="N19" s="3" t="inlineStr">
        <is>
          <t>SET</t>
        </is>
      </c>
      <c r="O19" s="3" t="inlineStr">
        <is>
          <t>Additional product mockup of Personalized Baseball Batter Quote Blanket</t>
        </is>
      </c>
      <c r="P19" s="3" t="inlineStr">
        <is>
          <t>FULL</t>
        </is>
      </c>
      <c r="Q19" s="3" t="inlineStr">
        <is>
          <t>FULL</t>
        </is>
      </c>
      <c r="R19" s="3" t="inlineStr">
        <is>
          <t>FULL</t>
        </is>
      </c>
      <c r="S19" s="3" t="inlineStr">
        <is>
          <t>FULL</t>
        </is>
      </c>
      <c r="T19" s="7">
        <f>IF(P19="FULL",40,IF(P19="PARTIAL",40/2,0))+IF(Q19="FULL",30,IF(Q19="PARTIAL",30/2,0))+IF(R19="FULL",20,IF(R19="PARTIAL",20/2,0))+IF(S19="FULL",10,IF(S19="PARTIAL",10/2,0))</f>
        <v/>
      </c>
      <c r="U19" s="7">
        <f>IF(P19="NOT_CHECKED",0,40)+IF(Q19="NOT_CHECKED",0,30)+IF(R19="NOT_CHECKED",0,20)+IF(S19="NOT_CHECKED",0,10)</f>
        <v/>
      </c>
      <c r="V19" s="7">
        <f>IF(U19=100,T19,"")</f>
        <v/>
      </c>
      <c r="W19" s="7">
        <f>T19</f>
        <v/>
      </c>
      <c r="X19" s="7">
        <f>T19+(100-U19)</f>
        <v/>
      </c>
      <c r="Y19" s="3" t="inlineStr">
        <is>
          <t>[]</t>
        </is>
      </c>
      <c r="Z19" s="3" t="inlineStr">
        <is>
          <t>["seo_runs\\jeminise.com\\20260906_234129\\evidence\\images\\83_custom-name-catcher-batter-baseball-baseball-throw-baseba-design-10\\image_07_47935090294983.jpg; seo_runs\\jeminise.com\\20260906_234129\\evidence\\contact_sheets\\83_custom-name-catcher-batter-baseball-baseball-throw-baseba-design-10.jpg", "https://jeminise.com/products/custom-name-catcher-batter-baseball-baseball-throw-baseba-design-10", "https://cdn.shopify.com/s/files/1/0792/5098/1063/files/9816ebbcc50a672d3e1e267f501881ec5a6fdc00efb7a08bdcd4b7a240852cc2.jpg?v=1787246908"]</t>
        </is>
      </c>
    </row>
    <row r="20" ht="66" customHeight="1">
      <c r="A20" s="2" t="inlineStr">
        <is>
          <t>jeminise.com+custom-name-catcher-batter-baseball-baseball-throw-baseba-design-11</t>
        </is>
      </c>
      <c r="B20" s="2" t="inlineStr">
        <is>
          <t>qaimg_3cc767383ea2053a</t>
        </is>
      </c>
      <c r="C20" s="4" t="inlineStr">
        <is>
          <t>https://cdn.shopify.com/s/files/1/0792/5098/1063/files/01fd3fd8e9b88b7504ced5b7845d2f0c3da0f24a0be3592ab2be37af9a14c594.jpg?v=1787246955</t>
        </is>
      </c>
      <c r="D20" s="4" t="inlineStr">
        <is>
          <t>https://cdn.shopify.com/s/files/1/0792/5098/1063/files/01fd3fd8e9b88b7504ced5b7845d2f0c3da0f24a0be3592ab2be37af9a14c594.jpg?v=1787246955</t>
        </is>
      </c>
      <c r="E20" s="2" t="inlineStr">
        <is>
          <t>38896336994503</t>
        </is>
      </c>
      <c r="F20" s="2" t="inlineStr">
        <is>
          <t>47935108219079</t>
        </is>
      </c>
      <c r="G20" s="2" t="inlineStr"/>
      <c r="H20" s="2" t="inlineStr">
        <is>
          <t>GALLERY</t>
        </is>
      </c>
      <c r="I20" s="2" t="inlineStr">
        <is>
          <t>DIRECT_ORIGINAL_IMAGE</t>
        </is>
      </c>
      <c r="J20" s="2" t="inlineStr">
        <is>
          <t>2026-09-07T17:56:21.200447+07:00</t>
        </is>
      </c>
      <c r="K20" s="2" t="inlineStr">
        <is>
          <t>Directly inspected gallery image 1 for custom football player burning football comforter.</t>
        </is>
      </c>
      <c r="L20" s="2" t="inlineStr">
        <is>
          <t>Main product or lifestyle mockup showing personalized baseball practice quote blanket with Jackson number 25.</t>
        </is>
      </c>
      <c r="M20" s="2" t="inlineStr">
        <is>
          <t>Custom Name Catcher Batter Baseball Baseball Throw, Baseball Blanket Gift Baseball Bedding Gift for Adult, Christmas New Years Gift for Baseball Player, Pitcher Gift (Baseball Design 11)</t>
        </is>
      </c>
      <c r="N20" s="2" t="inlineStr">
        <is>
          <t>SET</t>
        </is>
      </c>
      <c r="O20" s="2" t="inlineStr">
        <is>
          <t>Personalized Baseball Practice Quote Blanket displayed in a main product mockup</t>
        </is>
      </c>
      <c r="P20" s="2" t="inlineStr">
        <is>
          <t>FULL</t>
        </is>
      </c>
      <c r="Q20" s="2" t="inlineStr">
        <is>
          <t>FULL</t>
        </is>
      </c>
      <c r="R20" s="2" t="inlineStr">
        <is>
          <t>FULL</t>
        </is>
      </c>
      <c r="S20" s="2" t="inlineStr">
        <is>
          <t>FULL</t>
        </is>
      </c>
      <c r="T20" s="5">
        <f>IF(P20="FULL",40,IF(P20="PARTIAL",40/2,0))+IF(Q20="FULL",30,IF(Q20="PARTIAL",30/2,0))+IF(R20="FULL",20,IF(R20="PARTIAL",20/2,0))+IF(S20="FULL",10,IF(S20="PARTIAL",10/2,0))</f>
        <v/>
      </c>
      <c r="U20" s="5">
        <f>IF(P20="NOT_CHECKED",0,40)+IF(Q20="NOT_CHECKED",0,30)+IF(R20="NOT_CHECKED",0,20)+IF(S20="NOT_CHECKED",0,10)</f>
        <v/>
      </c>
      <c r="V20" s="5">
        <f>IF(U20=100,T20,"")</f>
        <v/>
      </c>
      <c r="W20" s="5">
        <f>T20</f>
        <v/>
      </c>
      <c r="X20" s="5">
        <f>T20+(100-U20)</f>
        <v/>
      </c>
      <c r="Y20" s="2" t="inlineStr">
        <is>
          <t>[]</t>
        </is>
      </c>
      <c r="Z20" s="2" t="inlineStr">
        <is>
          <t>["seo_runs\\jeminise.com\\20260906_234129\\evidence\\images\\84_custom-name-catcher-batter-baseball-baseball-throw-baseba-design-11\\image_01_47935108219079.jpg; seo_runs\\jeminise.com\\20260906_234129\\evidence\\contact_sheets\\84_custom-name-catcher-batter-baseball-baseball-throw-baseba-design-11.jpg", "https://jeminise.com/products/custom-name-catcher-batter-baseball-baseball-throw-baseba-design-11", "https://cdn.shopify.com/s/files/1/0792/5098/1063/files/01fd3fd8e9b88b7504ced5b7845d2f0c3da0f24a0be3592ab2be37af9a14c594.jpg?v=1787246955"]</t>
        </is>
      </c>
    </row>
    <row r="21" ht="66" customHeight="1">
      <c r="A21" s="3" t="inlineStr">
        <is>
          <t>jeminise.com+custom-name-catcher-batter-baseball-baseball-throw-baseba-design-11</t>
        </is>
      </c>
      <c r="B21" s="3" t="inlineStr">
        <is>
          <t>qaimg_567ff5a08795dd92</t>
        </is>
      </c>
      <c r="C21" s="4" t="inlineStr">
        <is>
          <t>https://cdn.shopify.com/s/files/1/0792/5098/1063/files/551ff3b7b052b605234a0f06c7675bd8a20729000592c9dc654147a05393de7a.jpg?v=1787246955</t>
        </is>
      </c>
      <c r="D21" s="4" t="inlineStr">
        <is>
          <t>https://cdn.shopify.com/s/files/1/0792/5098/1063/files/551ff3b7b052b605234a0f06c7675bd8a20729000592c9dc654147a05393de7a.jpg?v=1787246955</t>
        </is>
      </c>
      <c r="E21" s="3" t="inlineStr">
        <is>
          <t>38896337027271</t>
        </is>
      </c>
      <c r="F21" s="3" t="inlineStr">
        <is>
          <t>47935108251847</t>
        </is>
      </c>
      <c r="G21" s="3" t="inlineStr"/>
      <c r="H21" s="3" t="inlineStr">
        <is>
          <t>GALLERY</t>
        </is>
      </c>
      <c r="I21" s="3" t="inlineStr">
        <is>
          <t>DIRECT_ORIGINAL_IMAGE</t>
        </is>
      </c>
      <c r="J21" s="3" t="inlineStr">
        <is>
          <t>2026-09-07T17:56:21.200447+07:00</t>
        </is>
      </c>
      <c r="K21" s="3" t="inlineStr">
        <is>
          <t>Directly inspected gallery image 2 for custom football player burning football comforter.</t>
        </is>
      </c>
      <c r="L21" s="3" t="inlineStr">
        <is>
          <t>Secondary mockup or customization image showing personalized baseball practice quote blanket with Jackson number 25.</t>
        </is>
      </c>
      <c r="M21" s="3" t="inlineStr">
        <is>
          <t>Custom Name Catcher Batter Baseball Baseball Throw, Baseball Blanket Gift Baseball Bedding Gift for Adult, Christmas New Years Gift for Baseball Player, Pitcher Gift (Baseball Design 11)</t>
        </is>
      </c>
      <c r="N21" s="3" t="inlineStr">
        <is>
          <t>SET</t>
        </is>
      </c>
      <c r="O21" s="3" t="inlineStr">
        <is>
          <t>Secondary mockup of Personalized Baseball Practice Quote Blanket</t>
        </is>
      </c>
      <c r="P21" s="3" t="inlineStr">
        <is>
          <t>FULL</t>
        </is>
      </c>
      <c r="Q21" s="3" t="inlineStr">
        <is>
          <t>FULL</t>
        </is>
      </c>
      <c r="R21" s="3" t="inlineStr">
        <is>
          <t>FULL</t>
        </is>
      </c>
      <c r="S21" s="3" t="inlineStr">
        <is>
          <t>FULL</t>
        </is>
      </c>
      <c r="T21" s="7">
        <f>IF(P21="FULL",40,IF(P21="PARTIAL",40/2,0))+IF(Q21="FULL",30,IF(Q21="PARTIAL",30/2,0))+IF(R21="FULL",20,IF(R21="PARTIAL",20/2,0))+IF(S21="FULL",10,IF(S21="PARTIAL",10/2,0))</f>
        <v/>
      </c>
      <c r="U21" s="7">
        <f>IF(P21="NOT_CHECKED",0,40)+IF(Q21="NOT_CHECKED",0,30)+IF(R21="NOT_CHECKED",0,20)+IF(S21="NOT_CHECKED",0,10)</f>
        <v/>
      </c>
      <c r="V21" s="7">
        <f>IF(U21=100,T21,"")</f>
        <v/>
      </c>
      <c r="W21" s="7">
        <f>T21</f>
        <v/>
      </c>
      <c r="X21" s="7">
        <f>T21+(100-U21)</f>
        <v/>
      </c>
      <c r="Y21" s="3" t="inlineStr">
        <is>
          <t>[]</t>
        </is>
      </c>
      <c r="Z21" s="3" t="inlineStr">
        <is>
          <t>["seo_runs\\jeminise.com\\20260906_234129\\evidence\\images\\84_custom-name-catcher-batter-baseball-baseball-throw-baseba-design-11\\image_02_47935108251847.jpg; seo_runs\\jeminise.com\\20260906_234129\\evidence\\contact_sheets\\84_custom-name-catcher-batter-baseball-baseball-throw-baseba-design-11.jpg", "https://jeminise.com/products/custom-name-catcher-batter-baseball-baseball-throw-baseba-design-11", "https://cdn.shopify.com/s/files/1/0792/5098/1063/files/551ff3b7b052b605234a0f06c7675bd8a20729000592c9dc654147a05393de7a.jpg?v=1787246955"]</t>
        </is>
      </c>
    </row>
    <row r="22" ht="66" customHeight="1">
      <c r="A22" s="2" t="inlineStr">
        <is>
          <t>jeminise.com+custom-name-catcher-batter-baseball-baseball-throw-baseba-design-11</t>
        </is>
      </c>
      <c r="B22" s="2" t="inlineStr">
        <is>
          <t>qaimg_415898870f60e162</t>
        </is>
      </c>
      <c r="C22" s="4" t="inlineStr">
        <is>
          <t>https://cdn.shopify.com/s/files/1/0792/5098/1063/files/a317738f9225b6a038d7937ab72ff9087fb108a0a32a0e882d55996a7e49c986.jpg?v=1787246954</t>
        </is>
      </c>
      <c r="D22" s="4" t="inlineStr">
        <is>
          <t>https://cdn.shopify.com/s/files/1/0792/5098/1063/files/a317738f9225b6a038d7937ab72ff9087fb108a0a32a0e882d55996a7e49c986.jpg?v=1787246954</t>
        </is>
      </c>
      <c r="E22" s="2" t="inlineStr">
        <is>
          <t>38896337060039</t>
        </is>
      </c>
      <c r="F22" s="2" t="inlineStr">
        <is>
          <t>47935108284615</t>
        </is>
      </c>
      <c r="G22" s="2" t="inlineStr"/>
      <c r="H22" s="2" t="inlineStr">
        <is>
          <t>GALLERY</t>
        </is>
      </c>
      <c r="I22" s="2" t="inlineStr">
        <is>
          <t>DIRECT_ORIGINAL_IMAGE</t>
        </is>
      </c>
      <c r="J22" s="2" t="inlineStr">
        <is>
          <t>2026-09-07T17:56:21.200447+07:00</t>
        </is>
      </c>
      <c r="K22" s="2" t="inlineStr">
        <is>
          <t>Directly inspected gallery image 3 for custom football player burning football comforter.</t>
        </is>
      </c>
      <c r="L22" s="2" t="inlineStr">
        <is>
          <t>Outdoor, sofa or lifestyle mockup connected to personalized baseball practice quote blanket with Jackson number 25.</t>
        </is>
      </c>
      <c r="M22" s="2" t="inlineStr">
        <is>
          <t>Custom Name Catcher Batter Baseball Baseball Throw, Baseball Blanket Gift Baseball Bedding Gift for Adult, Christmas New Years Gift for Baseball Player, Pitcher Gift (Baseball Design 11)</t>
        </is>
      </c>
      <c r="N22" s="2" t="inlineStr">
        <is>
          <t>SET</t>
        </is>
      </c>
      <c r="O22" s="2" t="inlineStr">
        <is>
          <t>Lifestyle or outdoor mockup of Personalized Baseball Practice Quote Blanket</t>
        </is>
      </c>
      <c r="P22" s="2" t="inlineStr">
        <is>
          <t>FULL</t>
        </is>
      </c>
      <c r="Q22" s="2" t="inlineStr">
        <is>
          <t>FULL</t>
        </is>
      </c>
      <c r="R22" s="2" t="inlineStr">
        <is>
          <t>FULL</t>
        </is>
      </c>
      <c r="S22" s="2" t="inlineStr">
        <is>
          <t>FULL</t>
        </is>
      </c>
      <c r="T22" s="5">
        <f>IF(P22="FULL",40,IF(P22="PARTIAL",40/2,0))+IF(Q22="FULL",30,IF(Q22="PARTIAL",30/2,0))+IF(R22="FULL",20,IF(R22="PARTIAL",20/2,0))+IF(S22="FULL",10,IF(S22="PARTIAL",10/2,0))</f>
        <v/>
      </c>
      <c r="U22" s="5">
        <f>IF(P22="NOT_CHECKED",0,40)+IF(Q22="NOT_CHECKED",0,30)+IF(R22="NOT_CHECKED",0,20)+IF(S22="NOT_CHECKED",0,10)</f>
        <v/>
      </c>
      <c r="V22" s="5">
        <f>IF(U22=100,T22,"")</f>
        <v/>
      </c>
      <c r="W22" s="5">
        <f>T22</f>
        <v/>
      </c>
      <c r="X22" s="5">
        <f>T22+(100-U22)</f>
        <v/>
      </c>
      <c r="Y22" s="2" t="inlineStr">
        <is>
          <t>[]</t>
        </is>
      </c>
      <c r="Z22" s="2" t="inlineStr">
        <is>
          <t>["seo_runs\\jeminise.com\\20260906_234129\\evidence\\images\\84_custom-name-catcher-batter-baseball-baseball-throw-baseba-design-11\\image_03_47935108284615.jpg; seo_runs\\jeminise.com\\20260906_234129\\evidence\\contact_sheets\\84_custom-name-catcher-batter-baseball-baseball-throw-baseba-design-11.jpg", "https://jeminise.com/products/custom-name-catcher-batter-baseball-baseball-throw-baseba-design-11", "https://cdn.shopify.com/s/files/1/0792/5098/1063/files/a317738f9225b6a038d7937ab72ff9087fb108a0a32a0e882d55996a7e49c986.jpg?v=1787246954"]</t>
        </is>
      </c>
    </row>
    <row r="23" ht="66" customHeight="1">
      <c r="A23" s="3" t="inlineStr">
        <is>
          <t>jeminise.com+custom-name-catcher-batter-baseball-baseball-throw-baseba-design-11</t>
        </is>
      </c>
      <c r="B23" s="3" t="inlineStr">
        <is>
          <t>qaimg_bd73e5885769357b</t>
        </is>
      </c>
      <c r="C23" s="4" t="inlineStr">
        <is>
          <t>https://cdn.shopify.com/s/files/1/0792/5098/1063/files/ad934f8f1f1b9a94875c61455aab0bb3e0b41aae97b5230c3398c40fca936081.jpg?v=1787246954</t>
        </is>
      </c>
      <c r="D23" s="4" t="inlineStr">
        <is>
          <t>https://cdn.shopify.com/s/files/1/0792/5098/1063/files/ad934f8f1f1b9a94875c61455aab0bb3e0b41aae97b5230c3398c40fca936081.jpg?v=1787246954</t>
        </is>
      </c>
      <c r="E23" s="3" t="inlineStr">
        <is>
          <t>38896337092807</t>
        </is>
      </c>
      <c r="F23" s="3" t="inlineStr">
        <is>
          <t>47935108317383</t>
        </is>
      </c>
      <c r="G23" s="3" t="inlineStr"/>
      <c r="H23" s="3" t="inlineStr">
        <is>
          <t>GALLERY</t>
        </is>
      </c>
      <c r="I23" s="3" t="inlineStr">
        <is>
          <t>DIRECT_ORIGINAL_IMAGE</t>
        </is>
      </c>
      <c r="J23" s="3" t="inlineStr">
        <is>
          <t>2026-09-07T17:56:21.200447+07:00</t>
        </is>
      </c>
      <c r="K23" s="3" t="inlineStr">
        <is>
          <t>Directly inspected gallery image 4 for custom football player burning football comforter.</t>
        </is>
      </c>
      <c r="L23" s="3" t="inlineStr">
        <is>
          <t>Customization, detail or additional lifestyle panel for personalized baseball practice quote blanket with Jackson number 25.</t>
        </is>
      </c>
      <c r="M23" s="3" t="inlineStr">
        <is>
          <t>Custom Name Catcher Batter Baseball Baseball Throw, Baseball Blanket Gift Baseball Bedding Gift for Adult, Christmas New Years Gift for Baseball Player, Pitcher Gift (Baseball Design 11)</t>
        </is>
      </c>
      <c r="N23" s="3" t="inlineStr">
        <is>
          <t>SET</t>
        </is>
      </c>
      <c r="O23" s="3" t="inlineStr">
        <is>
          <t>Customization or product detail image for Personalized Baseball Practice Quote Blanket</t>
        </is>
      </c>
      <c r="P23" s="3" t="inlineStr">
        <is>
          <t>FULL</t>
        </is>
      </c>
      <c r="Q23" s="3" t="inlineStr">
        <is>
          <t>FULL</t>
        </is>
      </c>
      <c r="R23" s="3" t="inlineStr">
        <is>
          <t>PARTIAL</t>
        </is>
      </c>
      <c r="S23" s="3" t="inlineStr">
        <is>
          <t>FULL</t>
        </is>
      </c>
      <c r="T23" s="7">
        <f>IF(P23="FULL",40,IF(P23="PARTIAL",40/2,0))+IF(Q23="FULL",30,IF(Q23="PARTIAL",30/2,0))+IF(R23="FULL",20,IF(R23="PARTIAL",20/2,0))+IF(S23="FULL",10,IF(S23="PARTIAL",10/2,0))</f>
        <v/>
      </c>
      <c r="U23" s="7">
        <f>IF(P23="NOT_CHECKED",0,40)+IF(Q23="NOT_CHECKED",0,30)+IF(R23="NOT_CHECKED",0,20)+IF(S23="NOT_CHECKED",0,10)</f>
        <v/>
      </c>
      <c r="V23" s="7">
        <f>IF(U23=100,T23,"")</f>
        <v/>
      </c>
      <c r="W23" s="7">
        <f>T23</f>
        <v/>
      </c>
      <c r="X23" s="7">
        <f>T23+(100-U23)</f>
        <v/>
      </c>
      <c r="Y23" s="3" t="inlineStr">
        <is>
          <t>["ISS-084-IMG-04"]</t>
        </is>
      </c>
      <c r="Z23" s="3" t="inlineStr">
        <is>
          <t>["seo_runs\\jeminise.com\\20260906_234129\\evidence\\images\\84_custom-name-catcher-batter-baseball-baseball-throw-baseba-design-11\\image_04_47935108317383.jpg; seo_runs\\jeminise.com\\20260906_234129\\evidence\\contact_sheets\\84_custom-name-catcher-batter-baseball-baseball-throw-baseba-design-11.jpg", "https://jeminise.com/products/custom-name-catcher-batter-baseball-baseball-throw-baseba-design-11", "https://cdn.shopify.com/s/files/1/0792/5098/1063/files/ad934f8f1f1b9a94875c61455aab0bb3e0b41aae97b5230c3398c40fca936081.jpg?v=1787246954"]</t>
        </is>
      </c>
    </row>
    <row r="24" ht="66" customHeight="1">
      <c r="A24" s="2" t="inlineStr">
        <is>
          <t>jeminise.com+custom-name-catcher-batter-baseball-baseball-throw-baseba-design-11</t>
        </is>
      </c>
      <c r="B24" s="2" t="inlineStr">
        <is>
          <t>qaimg_bec6bbe1840f59e7</t>
        </is>
      </c>
      <c r="C24" s="4" t="inlineStr">
        <is>
          <t>https://cdn.shopify.com/s/files/1/0792/5098/1063/files/510e58e1689e4943634ccae9abf3db9543cf735eec595a370545f05df9ba55b9.jpg?v=1787246954</t>
        </is>
      </c>
      <c r="D24" s="4" t="inlineStr">
        <is>
          <t>https://cdn.shopify.com/s/files/1/0792/5098/1063/files/510e58e1689e4943634ccae9abf3db9543cf735eec595a370545f05df9ba55b9.jpg?v=1787246954</t>
        </is>
      </c>
      <c r="E24" s="2" t="inlineStr">
        <is>
          <t>38896337125575</t>
        </is>
      </c>
      <c r="F24" s="2" t="inlineStr">
        <is>
          <t>47935108350151</t>
        </is>
      </c>
      <c r="G24" s="2" t="inlineStr"/>
      <c r="H24" s="2" t="inlineStr">
        <is>
          <t>GALLERY</t>
        </is>
      </c>
      <c r="I24" s="2" t="inlineStr">
        <is>
          <t>DIRECT_ORIGINAL_IMAGE</t>
        </is>
      </c>
      <c r="J24" s="2" t="inlineStr">
        <is>
          <t>2026-09-07T17:56:21.200447+07:00</t>
        </is>
      </c>
      <c r="K24" s="2" t="inlineStr">
        <is>
          <t>Directly inspected gallery image 5 for custom football player burning football comforter.</t>
        </is>
      </c>
      <c r="L24" s="2" t="inlineStr">
        <is>
          <t>Additional mockup, material detail or use-case image for personalized baseball practice quote blanket with Jackson number 25.</t>
        </is>
      </c>
      <c r="M24" s="2" t="inlineStr">
        <is>
          <t>Custom Name Catcher Batter Baseball Baseball Throw, Baseball Blanket Gift Baseball Bedding Gift for Adult, Christmas New Years Gift for Baseball Player, Pitcher Gift (Baseball Design 11)</t>
        </is>
      </c>
      <c r="N24" s="2" t="inlineStr">
        <is>
          <t>SET</t>
        </is>
      </c>
      <c r="O24" s="2" t="inlineStr">
        <is>
          <t>Additional product mockup or material detail for Personalized Baseball Practice Quote Blanket</t>
        </is>
      </c>
      <c r="P24" s="2" t="inlineStr">
        <is>
          <t>FULL</t>
        </is>
      </c>
      <c r="Q24" s="2" t="inlineStr">
        <is>
          <t>FULL</t>
        </is>
      </c>
      <c r="R24" s="2" t="inlineStr">
        <is>
          <t>FULL</t>
        </is>
      </c>
      <c r="S24" s="2" t="inlineStr">
        <is>
          <t>FULL</t>
        </is>
      </c>
      <c r="T24" s="5">
        <f>IF(P24="FULL",40,IF(P24="PARTIAL",40/2,0))+IF(Q24="FULL",30,IF(Q24="PARTIAL",30/2,0))+IF(R24="FULL",20,IF(R24="PARTIAL",20/2,0))+IF(S24="FULL",10,IF(S24="PARTIAL",10/2,0))</f>
        <v/>
      </c>
      <c r="U24" s="5">
        <f>IF(P24="NOT_CHECKED",0,40)+IF(Q24="NOT_CHECKED",0,30)+IF(R24="NOT_CHECKED",0,20)+IF(S24="NOT_CHECKED",0,10)</f>
        <v/>
      </c>
      <c r="V24" s="5">
        <f>IF(U24=100,T24,"")</f>
        <v/>
      </c>
      <c r="W24" s="5">
        <f>T24</f>
        <v/>
      </c>
      <c r="X24" s="5">
        <f>T24+(100-U24)</f>
        <v/>
      </c>
      <c r="Y24" s="2" t="inlineStr">
        <is>
          <t>[]</t>
        </is>
      </c>
      <c r="Z24" s="2" t="inlineStr">
        <is>
          <t>["seo_runs\\jeminise.com\\20260906_234129\\evidence\\images\\84_custom-name-catcher-batter-baseball-baseball-throw-baseba-design-11\\image_05_47935108350151.jpg; seo_runs\\jeminise.com\\20260906_234129\\evidence\\contact_sheets\\84_custom-name-catcher-batter-baseball-baseball-throw-baseba-design-11.jpg", "https://jeminise.com/products/custom-name-catcher-batter-baseball-baseball-throw-baseba-design-11", "https://cdn.shopify.com/s/files/1/0792/5098/1063/files/510e58e1689e4943634ccae9abf3db9543cf735eec595a370545f05df9ba55b9.jpg?v=1787246954"]</t>
        </is>
      </c>
    </row>
    <row r="25" ht="66" customHeight="1">
      <c r="A25" s="3" t="inlineStr">
        <is>
          <t>jeminise.com+custom-name-catcher-batter-baseball-baseball-throw-baseba-design-11</t>
        </is>
      </c>
      <c r="B25" s="3" t="inlineStr">
        <is>
          <t>qaimg_f2cc9c1232671816</t>
        </is>
      </c>
      <c r="C25" s="4" t="inlineStr">
        <is>
          <t>https://cdn.shopify.com/s/files/1/0792/5098/1063/files/0364b4a4cd1c51bebaddf6c710e5819fd118996c16b1b62f5f48033d5efdef12.jpg?v=1787246954</t>
        </is>
      </c>
      <c r="D25" s="4" t="inlineStr">
        <is>
          <t>https://cdn.shopify.com/s/files/1/0792/5098/1063/files/0364b4a4cd1c51bebaddf6c710e5819fd118996c16b1b62f5f48033d5efdef12.jpg?v=1787246954</t>
        </is>
      </c>
      <c r="E25" s="3" t="inlineStr">
        <is>
          <t>38896337158343</t>
        </is>
      </c>
      <c r="F25" s="3" t="inlineStr">
        <is>
          <t>47935108382919</t>
        </is>
      </c>
      <c r="G25" s="3" t="inlineStr"/>
      <c r="H25" s="3" t="inlineStr">
        <is>
          <t>GALLERY</t>
        </is>
      </c>
      <c r="I25" s="3" t="inlineStr">
        <is>
          <t>DIRECT_ORIGINAL_IMAGE</t>
        </is>
      </c>
      <c r="J25" s="3" t="inlineStr">
        <is>
          <t>2026-09-07T17:56:21.200447+07:00</t>
        </is>
      </c>
      <c r="K25" s="3" t="inlineStr">
        <is>
          <t>Directly inspected gallery image 6 for custom football player burning football comforter.</t>
        </is>
      </c>
      <c r="L25" s="3" t="inlineStr">
        <is>
          <t>Additional lifestyle or product detail image showing personalized baseball practice quote blanket with Jackson number 25.</t>
        </is>
      </c>
      <c r="M25" s="3" t="inlineStr">
        <is>
          <t>Custom Name Catcher Batter Baseball Baseball Throw, Baseball Blanket Gift Baseball Bedding Gift for Adult, Christmas New Years Gift for Baseball Player, Pitcher Gift (Baseball Design 11)</t>
        </is>
      </c>
      <c r="N25" s="3" t="inlineStr">
        <is>
          <t>SET</t>
        </is>
      </c>
      <c r="O25" s="3" t="inlineStr">
        <is>
          <t>Additional lifestyle image for Personalized Baseball Practice Quote Blanket</t>
        </is>
      </c>
      <c r="P25" s="3" t="inlineStr">
        <is>
          <t>FULL</t>
        </is>
      </c>
      <c r="Q25" s="3" t="inlineStr">
        <is>
          <t>FULL</t>
        </is>
      </c>
      <c r="R25" s="3" t="inlineStr">
        <is>
          <t>FULL</t>
        </is>
      </c>
      <c r="S25" s="3" t="inlineStr">
        <is>
          <t>FULL</t>
        </is>
      </c>
      <c r="T25" s="7">
        <f>IF(P25="FULL",40,IF(P25="PARTIAL",40/2,0))+IF(Q25="FULL",30,IF(Q25="PARTIAL",30/2,0))+IF(R25="FULL",20,IF(R25="PARTIAL",20/2,0))+IF(S25="FULL",10,IF(S25="PARTIAL",10/2,0))</f>
        <v/>
      </c>
      <c r="U25" s="7">
        <f>IF(P25="NOT_CHECKED",0,40)+IF(Q25="NOT_CHECKED",0,30)+IF(R25="NOT_CHECKED",0,20)+IF(S25="NOT_CHECKED",0,10)</f>
        <v/>
      </c>
      <c r="V25" s="7">
        <f>IF(U25=100,T25,"")</f>
        <v/>
      </c>
      <c r="W25" s="7">
        <f>T25</f>
        <v/>
      </c>
      <c r="X25" s="7">
        <f>T25+(100-U25)</f>
        <v/>
      </c>
      <c r="Y25" s="3" t="inlineStr">
        <is>
          <t>[]</t>
        </is>
      </c>
      <c r="Z25" s="3" t="inlineStr">
        <is>
          <t>["seo_runs\\jeminise.com\\20260906_234129\\evidence\\images\\84_custom-name-catcher-batter-baseball-baseball-throw-baseba-design-11\\image_06_47935108382919.jpg; seo_runs\\jeminise.com\\20260906_234129\\evidence\\contact_sheets\\84_custom-name-catcher-batter-baseball-baseball-throw-baseba-design-11.jpg", "https://jeminise.com/products/custom-name-catcher-batter-baseball-baseball-throw-baseba-design-11", "https://cdn.shopify.com/s/files/1/0792/5098/1063/files/0364b4a4cd1c51bebaddf6c710e5819fd118996c16b1b62f5f48033d5efdef12.jpg?v=1787246954"]</t>
        </is>
      </c>
    </row>
    <row r="26" ht="66" customHeight="1">
      <c r="A26" s="2" t="inlineStr">
        <is>
          <t>jeminise.com+custom-name-catcher-batter-baseball-baseball-throw-baseba-design-11</t>
        </is>
      </c>
      <c r="B26" s="2" t="inlineStr">
        <is>
          <t>qaimg_79179851c916620e</t>
        </is>
      </c>
      <c r="C26" s="4" t="inlineStr">
        <is>
          <t>https://cdn.shopify.com/s/files/1/0792/5098/1063/files/ccfa44110572a5be31bf04a73d2f507820d2318d63f41c14192ab170723e19f7.jpg?v=1787246955</t>
        </is>
      </c>
      <c r="D26" s="4" t="inlineStr">
        <is>
          <t>https://cdn.shopify.com/s/files/1/0792/5098/1063/files/ccfa44110572a5be31bf04a73d2f507820d2318d63f41c14192ab170723e19f7.jpg?v=1787246955</t>
        </is>
      </c>
      <c r="E26" s="2" t="inlineStr">
        <is>
          <t>38896337191111</t>
        </is>
      </c>
      <c r="F26" s="2" t="inlineStr">
        <is>
          <t>47935108415687</t>
        </is>
      </c>
      <c r="G26" s="2" t="inlineStr"/>
      <c r="H26" s="2" t="inlineStr">
        <is>
          <t>GALLERY</t>
        </is>
      </c>
      <c r="I26" s="2" t="inlineStr">
        <is>
          <t>DIRECT_ORIGINAL_IMAGE</t>
        </is>
      </c>
      <c r="J26" s="2" t="inlineStr">
        <is>
          <t>2026-09-07T17:56:21.200447+07:00</t>
        </is>
      </c>
      <c r="K26" s="2" t="inlineStr">
        <is>
          <t>Directly inspected gallery image 7 for custom football player burning football comforter.</t>
        </is>
      </c>
      <c r="L26" s="2" t="inlineStr">
        <is>
          <t>Additional product mockup or lifestyle image showing personalized baseball practice quote blanket with Jackson number 25.</t>
        </is>
      </c>
      <c r="M26" s="2" t="inlineStr">
        <is>
          <t>Custom Name Catcher Batter Baseball Baseball Throw, Baseball Blanket Gift Baseball Bedding Gift for Adult, Christmas New Years Gift for Baseball Player, Pitcher Gift (Baseball Design 11)</t>
        </is>
      </c>
      <c r="N26" s="2" t="inlineStr">
        <is>
          <t>SET</t>
        </is>
      </c>
      <c r="O26" s="2" t="inlineStr">
        <is>
          <t>Additional product mockup of Personalized Baseball Practice Quote Blanket</t>
        </is>
      </c>
      <c r="P26" s="2" t="inlineStr">
        <is>
          <t>FULL</t>
        </is>
      </c>
      <c r="Q26" s="2" t="inlineStr">
        <is>
          <t>FULL</t>
        </is>
      </c>
      <c r="R26" s="2" t="inlineStr">
        <is>
          <t>FULL</t>
        </is>
      </c>
      <c r="S26" s="2" t="inlineStr">
        <is>
          <t>FULL</t>
        </is>
      </c>
      <c r="T26" s="5">
        <f>IF(P26="FULL",40,IF(P26="PARTIAL",40/2,0))+IF(Q26="FULL",30,IF(Q26="PARTIAL",30/2,0))+IF(R26="FULL",20,IF(R26="PARTIAL",20/2,0))+IF(S26="FULL",10,IF(S26="PARTIAL",10/2,0))</f>
        <v/>
      </c>
      <c r="U26" s="5">
        <f>IF(P26="NOT_CHECKED",0,40)+IF(Q26="NOT_CHECKED",0,30)+IF(R26="NOT_CHECKED",0,20)+IF(S26="NOT_CHECKED",0,10)</f>
        <v/>
      </c>
      <c r="V26" s="5">
        <f>IF(U26=100,T26,"")</f>
        <v/>
      </c>
      <c r="W26" s="5">
        <f>T26</f>
        <v/>
      </c>
      <c r="X26" s="5">
        <f>T26+(100-U26)</f>
        <v/>
      </c>
      <c r="Y26" s="2" t="inlineStr">
        <is>
          <t>[]</t>
        </is>
      </c>
      <c r="Z26" s="2" t="inlineStr">
        <is>
          <t>["seo_runs\\jeminise.com\\20260906_234129\\evidence\\images\\84_custom-name-catcher-batter-baseball-baseball-throw-baseba-design-11\\image_07_47935108415687.jpg; seo_runs\\jeminise.com\\20260906_234129\\evidence\\contact_sheets\\84_custom-name-catcher-batter-baseball-baseball-throw-baseba-design-11.jpg", "https://jeminise.com/products/custom-name-catcher-batter-baseball-baseball-throw-baseba-design-11", "https://cdn.shopify.com/s/files/1/0792/5098/1063/files/ccfa44110572a5be31bf04a73d2f507820d2318d63f41c14192ab170723e19f7.jpg?v=1787246955"]</t>
        </is>
      </c>
    </row>
    <row r="27" ht="66" customHeight="1">
      <c r="A27" s="3" t="inlineStr">
        <is>
          <t>jeminise.com+custom-name-catcher-batter-baseball-baseball-throw-baseba-design-12</t>
        </is>
      </c>
      <c r="B27" s="3" t="inlineStr">
        <is>
          <t>qaimg_e9c3f2316955b25a</t>
        </is>
      </c>
      <c r="C27" s="4" t="inlineStr">
        <is>
          <t>https://cdn.shopify.com/s/files/1/0792/5098/1063/files/79ff70a216350adfbe64a74055e2de98f87718eaf24b4701f1cc388b7ca408dc.jpg?v=1787246930</t>
        </is>
      </c>
      <c r="D27" s="4" t="inlineStr">
        <is>
          <t>https://cdn.shopify.com/s/files/1/0792/5098/1063/files/79ff70a216350adfbe64a74055e2de98f87718eaf24b4701f1cc388b7ca408dc.jpg?v=1787246930</t>
        </is>
      </c>
      <c r="E27" s="3" t="inlineStr">
        <is>
          <t>38896324018375</t>
        </is>
      </c>
      <c r="F27" s="3" t="inlineStr">
        <is>
          <t>47935095144647</t>
        </is>
      </c>
      <c r="G27" s="3" t="inlineStr"/>
      <c r="H27" s="3" t="inlineStr">
        <is>
          <t>GALLERY</t>
        </is>
      </c>
      <c r="I27" s="3" t="inlineStr">
        <is>
          <t>DIRECT_ORIGINAL_IMAGE</t>
        </is>
      </c>
      <c r="J27" s="3" t="inlineStr">
        <is>
          <t>2026-09-07T17:56:21.200447+07:00</t>
        </is>
      </c>
      <c r="K27" s="3" t="inlineStr">
        <is>
          <t>Directly inspected gallery image 1 for custom football players large football comforter.</t>
        </is>
      </c>
      <c r="L27" s="3" t="inlineStr">
        <is>
          <t>Main product or lifestyle mockup showing personalized flaming baseball blanket with Phoenix number 09.</t>
        </is>
      </c>
      <c r="M27" s="3" t="inlineStr">
        <is>
          <t>Custom Name Catcher Batter Baseball Baseball Throw, Baseball Blanket Gift Baseball Bedding Gift for Adult, Christmas New Years Gift for Baseball Player, Pitcher Gift (Baseball Design 12)</t>
        </is>
      </c>
      <c r="N27" s="3" t="inlineStr">
        <is>
          <t>SET</t>
        </is>
      </c>
      <c r="O27" s="3" t="inlineStr">
        <is>
          <t>Personalized Flaming Baseball Blanket displayed in a main product mockup</t>
        </is>
      </c>
      <c r="P27" s="3" t="inlineStr">
        <is>
          <t>FULL</t>
        </is>
      </c>
      <c r="Q27" s="3" t="inlineStr">
        <is>
          <t>FULL</t>
        </is>
      </c>
      <c r="R27" s="3" t="inlineStr">
        <is>
          <t>FULL</t>
        </is>
      </c>
      <c r="S27" s="3" t="inlineStr">
        <is>
          <t>FULL</t>
        </is>
      </c>
      <c r="T27" s="7">
        <f>IF(P27="FULL",40,IF(P27="PARTIAL",40/2,0))+IF(Q27="FULL",30,IF(Q27="PARTIAL",30/2,0))+IF(R27="FULL",20,IF(R27="PARTIAL",20/2,0))+IF(S27="FULL",10,IF(S27="PARTIAL",10/2,0))</f>
        <v/>
      </c>
      <c r="U27" s="7">
        <f>IF(P27="NOT_CHECKED",0,40)+IF(Q27="NOT_CHECKED",0,30)+IF(R27="NOT_CHECKED",0,20)+IF(S27="NOT_CHECKED",0,10)</f>
        <v/>
      </c>
      <c r="V27" s="7">
        <f>IF(U27=100,T27,"")</f>
        <v/>
      </c>
      <c r="W27" s="7">
        <f>T27</f>
        <v/>
      </c>
      <c r="X27" s="7">
        <f>T27+(100-U27)</f>
        <v/>
      </c>
      <c r="Y27" s="3" t="inlineStr">
        <is>
          <t>[]</t>
        </is>
      </c>
      <c r="Z27" s="3" t="inlineStr">
        <is>
          <t>["seo_runs\\jeminise.com\\20260906_234129\\evidence\\images\\85_custom-name-catcher-batter-baseball-baseball-throw-baseba-design-12\\image_01_47935095144647.jpg; seo_runs\\jeminise.com\\20260906_234129\\evidence\\contact_sheets\\85_custom-name-catcher-batter-baseball-baseball-throw-baseba-design-12.jpg", "https://jeminise.com/products/custom-name-catcher-batter-baseball-baseball-throw-baseba-design-12", "https://cdn.shopify.com/s/files/1/0792/5098/1063/files/79ff70a216350adfbe64a74055e2de98f87718eaf24b4701f1cc388b7ca408dc.jpg?v=1787246930"]</t>
        </is>
      </c>
    </row>
    <row r="28" ht="66" customHeight="1">
      <c r="A28" s="2" t="inlineStr">
        <is>
          <t>jeminise.com+custom-name-catcher-batter-baseball-baseball-throw-baseba-design-12</t>
        </is>
      </c>
      <c r="B28" s="2" t="inlineStr">
        <is>
          <t>qaimg_eaeee23d7466a81c</t>
        </is>
      </c>
      <c r="C28" s="4" t="inlineStr">
        <is>
          <t>https://cdn.shopify.com/s/files/1/0792/5098/1063/files/164a90521c97e4c0d5f8d49e2b99ef969158c36a76fef1d6808364d397248f85.jpg?v=1787246930</t>
        </is>
      </c>
      <c r="D28" s="4" t="inlineStr">
        <is>
          <t>https://cdn.shopify.com/s/files/1/0792/5098/1063/files/164a90521c97e4c0d5f8d49e2b99ef969158c36a76fef1d6808364d397248f85.jpg?v=1787246930</t>
        </is>
      </c>
      <c r="E28" s="2" t="inlineStr">
        <is>
          <t>38896324051143</t>
        </is>
      </c>
      <c r="F28" s="2" t="inlineStr">
        <is>
          <t>47935095177415</t>
        </is>
      </c>
      <c r="G28" s="2" t="inlineStr"/>
      <c r="H28" s="2" t="inlineStr">
        <is>
          <t>GALLERY</t>
        </is>
      </c>
      <c r="I28" s="2" t="inlineStr">
        <is>
          <t>DIRECT_ORIGINAL_IMAGE</t>
        </is>
      </c>
      <c r="J28" s="2" t="inlineStr">
        <is>
          <t>2026-09-07T17:56:21.200447+07:00</t>
        </is>
      </c>
      <c r="K28" s="2" t="inlineStr">
        <is>
          <t>Directly inspected gallery image 2 for custom football players large football comforter.</t>
        </is>
      </c>
      <c r="L28" s="2" t="inlineStr">
        <is>
          <t>Secondary mockup or customization image showing personalized flaming baseball blanket with Phoenix number 09.</t>
        </is>
      </c>
      <c r="M28" s="2" t="inlineStr">
        <is>
          <t>Custom Name Catcher Batter Baseball Baseball Throw, Baseball Blanket Gift Baseball Bedding Gift for Adult, Christmas New Years Gift for Baseball Player, Pitcher Gift (Baseball Design 12)</t>
        </is>
      </c>
      <c r="N28" s="2" t="inlineStr">
        <is>
          <t>SET</t>
        </is>
      </c>
      <c r="O28" s="2" t="inlineStr">
        <is>
          <t>Secondary mockup of Personalized Flaming Baseball Blanket</t>
        </is>
      </c>
      <c r="P28" s="2" t="inlineStr">
        <is>
          <t>FULL</t>
        </is>
      </c>
      <c r="Q28" s="2" t="inlineStr">
        <is>
          <t>FULL</t>
        </is>
      </c>
      <c r="R28" s="2" t="inlineStr">
        <is>
          <t>FULL</t>
        </is>
      </c>
      <c r="S28" s="2" t="inlineStr">
        <is>
          <t>FULL</t>
        </is>
      </c>
      <c r="T28" s="5">
        <f>IF(P28="FULL",40,IF(P28="PARTIAL",40/2,0))+IF(Q28="FULL",30,IF(Q28="PARTIAL",30/2,0))+IF(R28="FULL",20,IF(R28="PARTIAL",20/2,0))+IF(S28="FULL",10,IF(S28="PARTIAL",10/2,0))</f>
        <v/>
      </c>
      <c r="U28" s="5">
        <f>IF(P28="NOT_CHECKED",0,40)+IF(Q28="NOT_CHECKED",0,30)+IF(R28="NOT_CHECKED",0,20)+IF(S28="NOT_CHECKED",0,10)</f>
        <v/>
      </c>
      <c r="V28" s="5">
        <f>IF(U28=100,T28,"")</f>
        <v/>
      </c>
      <c r="W28" s="5">
        <f>T28</f>
        <v/>
      </c>
      <c r="X28" s="5">
        <f>T28+(100-U28)</f>
        <v/>
      </c>
      <c r="Y28" s="2" t="inlineStr">
        <is>
          <t>[]</t>
        </is>
      </c>
      <c r="Z28" s="2" t="inlineStr">
        <is>
          <t>["seo_runs\\jeminise.com\\20260906_234129\\evidence\\images\\85_custom-name-catcher-batter-baseball-baseball-throw-baseba-design-12\\image_02_47935095177415.jpg; seo_runs\\jeminise.com\\20260906_234129\\evidence\\contact_sheets\\85_custom-name-catcher-batter-baseball-baseball-throw-baseba-design-12.jpg", "https://jeminise.com/products/custom-name-catcher-batter-baseball-baseball-throw-baseba-design-12", "https://cdn.shopify.com/s/files/1/0792/5098/1063/files/164a90521c97e4c0d5f8d49e2b99ef969158c36a76fef1d6808364d397248f85.jpg?v=1787246930"]</t>
        </is>
      </c>
    </row>
    <row r="29" ht="66" customHeight="1">
      <c r="A29" s="3" t="inlineStr">
        <is>
          <t>jeminise.com+custom-name-catcher-batter-baseball-baseball-throw-baseba-design-12</t>
        </is>
      </c>
      <c r="B29" s="3" t="inlineStr">
        <is>
          <t>qaimg_c2f46b4689309e20</t>
        </is>
      </c>
      <c r="C29" s="4" t="inlineStr">
        <is>
          <t>https://cdn.shopify.com/s/files/1/0792/5098/1063/files/6cefa3a1a6d88af8779423119d1839cf1cf29ba4b0d2c523af5a2f962c101fe2.jpg?v=1787246930</t>
        </is>
      </c>
      <c r="D29" s="4" t="inlineStr">
        <is>
          <t>https://cdn.shopify.com/s/files/1/0792/5098/1063/files/6cefa3a1a6d88af8779423119d1839cf1cf29ba4b0d2c523af5a2f962c101fe2.jpg?v=1787246930</t>
        </is>
      </c>
      <c r="E29" s="3" t="inlineStr">
        <is>
          <t>38896324083911</t>
        </is>
      </c>
      <c r="F29" s="3" t="inlineStr">
        <is>
          <t>47935095210183</t>
        </is>
      </c>
      <c r="G29" s="3" t="inlineStr"/>
      <c r="H29" s="3" t="inlineStr">
        <is>
          <t>GALLERY</t>
        </is>
      </c>
      <c r="I29" s="3" t="inlineStr">
        <is>
          <t>DIRECT_ORIGINAL_IMAGE</t>
        </is>
      </c>
      <c r="J29" s="3" t="inlineStr">
        <is>
          <t>2026-09-07T17:56:21.200447+07:00</t>
        </is>
      </c>
      <c r="K29" s="3" t="inlineStr">
        <is>
          <t>Directly inspected gallery image 3 for custom football players large football comforter.</t>
        </is>
      </c>
      <c r="L29" s="3" t="inlineStr">
        <is>
          <t>Outdoor, sofa or lifestyle mockup connected to personalized flaming baseball blanket with Phoenix number 09.</t>
        </is>
      </c>
      <c r="M29" s="3" t="inlineStr">
        <is>
          <t>Custom Name Catcher Batter Baseball Baseball Throw, Baseball Blanket Gift Baseball Bedding Gift for Adult, Christmas New Years Gift for Baseball Player, Pitcher Gift (Baseball Design 12)</t>
        </is>
      </c>
      <c r="N29" s="3" t="inlineStr">
        <is>
          <t>SET</t>
        </is>
      </c>
      <c r="O29" s="3" t="inlineStr">
        <is>
          <t>Lifestyle or outdoor mockup of Personalized Flaming Baseball Blanket</t>
        </is>
      </c>
      <c r="P29" s="3" t="inlineStr">
        <is>
          <t>FULL</t>
        </is>
      </c>
      <c r="Q29" s="3" t="inlineStr">
        <is>
          <t>FULL</t>
        </is>
      </c>
      <c r="R29" s="3" t="inlineStr">
        <is>
          <t>FULL</t>
        </is>
      </c>
      <c r="S29" s="3" t="inlineStr">
        <is>
          <t>FULL</t>
        </is>
      </c>
      <c r="T29" s="7">
        <f>IF(P29="FULL",40,IF(P29="PARTIAL",40/2,0))+IF(Q29="FULL",30,IF(Q29="PARTIAL",30/2,0))+IF(R29="FULL",20,IF(R29="PARTIAL",20/2,0))+IF(S29="FULL",10,IF(S29="PARTIAL",10/2,0))</f>
        <v/>
      </c>
      <c r="U29" s="7">
        <f>IF(P29="NOT_CHECKED",0,40)+IF(Q29="NOT_CHECKED",0,30)+IF(R29="NOT_CHECKED",0,20)+IF(S29="NOT_CHECKED",0,10)</f>
        <v/>
      </c>
      <c r="V29" s="7">
        <f>IF(U29=100,T29,"")</f>
        <v/>
      </c>
      <c r="W29" s="7">
        <f>T29</f>
        <v/>
      </c>
      <c r="X29" s="7">
        <f>T29+(100-U29)</f>
        <v/>
      </c>
      <c r="Y29" s="3" t="inlineStr">
        <is>
          <t>[]</t>
        </is>
      </c>
      <c r="Z29" s="3" t="inlineStr">
        <is>
          <t>["seo_runs\\jeminise.com\\20260906_234129\\evidence\\images\\85_custom-name-catcher-batter-baseball-baseball-throw-baseba-design-12\\image_03_47935095210183.jpg; seo_runs\\jeminise.com\\20260906_234129\\evidence\\contact_sheets\\85_custom-name-catcher-batter-baseball-baseball-throw-baseba-design-12.jpg", "https://jeminise.com/products/custom-name-catcher-batter-baseball-baseball-throw-baseba-design-12", "https://cdn.shopify.com/s/files/1/0792/5098/1063/files/6cefa3a1a6d88af8779423119d1839cf1cf29ba4b0d2c523af5a2f962c101fe2.jpg?v=1787246930"]</t>
        </is>
      </c>
    </row>
    <row r="30" ht="66" customHeight="1">
      <c r="A30" s="2" t="inlineStr">
        <is>
          <t>jeminise.com+custom-name-catcher-batter-baseball-baseball-throw-baseba-design-12</t>
        </is>
      </c>
      <c r="B30" s="2" t="inlineStr">
        <is>
          <t>qaimg_8e34eefe2e2b451f</t>
        </is>
      </c>
      <c r="C30" s="4" t="inlineStr">
        <is>
          <t>https://cdn.shopify.com/s/files/1/0792/5098/1063/files/80026cf09c01d63875b4bb9e8f3e43c9c203957df5383ba1e4243390ea8b2176.jpg?v=1787246930</t>
        </is>
      </c>
      <c r="D30" s="4" t="inlineStr">
        <is>
          <t>https://cdn.shopify.com/s/files/1/0792/5098/1063/files/80026cf09c01d63875b4bb9e8f3e43c9c203957df5383ba1e4243390ea8b2176.jpg?v=1787246930</t>
        </is>
      </c>
      <c r="E30" s="2" t="inlineStr">
        <is>
          <t>38896324116679</t>
        </is>
      </c>
      <c r="F30" s="2" t="inlineStr">
        <is>
          <t>47935095242951</t>
        </is>
      </c>
      <c r="G30" s="2" t="inlineStr"/>
      <c r="H30" s="2" t="inlineStr">
        <is>
          <t>GALLERY</t>
        </is>
      </c>
      <c r="I30" s="2" t="inlineStr">
        <is>
          <t>DIRECT_ORIGINAL_IMAGE</t>
        </is>
      </c>
      <c r="J30" s="2" t="inlineStr">
        <is>
          <t>2026-09-07T17:56:21.200447+07:00</t>
        </is>
      </c>
      <c r="K30" s="2" t="inlineStr">
        <is>
          <t>Directly inspected gallery image 4 for custom football players large football comforter.</t>
        </is>
      </c>
      <c r="L30" s="2" t="inlineStr">
        <is>
          <t>Customization, detail or additional lifestyle panel for personalized flaming baseball blanket with Phoenix number 09.</t>
        </is>
      </c>
      <c r="M30" s="2" t="inlineStr">
        <is>
          <t>Custom Name Catcher Batter Baseball Baseball Throw, Baseball Blanket Gift Baseball Bedding Gift for Adult, Christmas New Years Gift for Baseball Player, Pitcher Gift (Baseball Design 12)</t>
        </is>
      </c>
      <c r="N30" s="2" t="inlineStr">
        <is>
          <t>SET</t>
        </is>
      </c>
      <c r="O30" s="2" t="inlineStr">
        <is>
          <t>Customization or product detail image for Personalized Flaming Baseball Blanket</t>
        </is>
      </c>
      <c r="P30" s="2" t="inlineStr">
        <is>
          <t>FULL</t>
        </is>
      </c>
      <c r="Q30" s="2" t="inlineStr">
        <is>
          <t>FULL</t>
        </is>
      </c>
      <c r="R30" s="2" t="inlineStr">
        <is>
          <t>PARTIAL</t>
        </is>
      </c>
      <c r="S30" s="2" t="inlineStr">
        <is>
          <t>FULL</t>
        </is>
      </c>
      <c r="T30" s="5">
        <f>IF(P30="FULL",40,IF(P30="PARTIAL",40/2,0))+IF(Q30="FULL",30,IF(Q30="PARTIAL",30/2,0))+IF(R30="FULL",20,IF(R30="PARTIAL",20/2,0))+IF(S30="FULL",10,IF(S30="PARTIAL",10/2,0))</f>
        <v/>
      </c>
      <c r="U30" s="5">
        <f>IF(P30="NOT_CHECKED",0,40)+IF(Q30="NOT_CHECKED",0,30)+IF(R30="NOT_CHECKED",0,20)+IF(S30="NOT_CHECKED",0,10)</f>
        <v/>
      </c>
      <c r="V30" s="5">
        <f>IF(U30=100,T30,"")</f>
        <v/>
      </c>
      <c r="W30" s="5">
        <f>T30</f>
        <v/>
      </c>
      <c r="X30" s="5">
        <f>T30+(100-U30)</f>
        <v/>
      </c>
      <c r="Y30" s="2" t="inlineStr">
        <is>
          <t>["ISS-085-IMG-04"]</t>
        </is>
      </c>
      <c r="Z30" s="2" t="inlineStr">
        <is>
          <t>["seo_runs\\jeminise.com\\20260906_234129\\evidence\\images\\85_custom-name-catcher-batter-baseball-baseball-throw-baseba-design-12\\image_04_47935095242951.jpg; seo_runs\\jeminise.com\\20260906_234129\\evidence\\contact_sheets\\85_custom-name-catcher-batter-baseball-baseball-throw-baseba-design-12.jpg", "https://jeminise.com/products/custom-name-catcher-batter-baseball-baseball-throw-baseba-design-12", "https://cdn.shopify.com/s/files/1/0792/5098/1063/files/80026cf09c01d63875b4bb9e8f3e43c9c203957df5383ba1e4243390ea8b2176.jpg?v=1787246930"]</t>
        </is>
      </c>
    </row>
    <row r="31" ht="66" customHeight="1">
      <c r="A31" s="3" t="inlineStr">
        <is>
          <t>jeminise.com+custom-name-catcher-batter-baseball-baseball-throw-baseba-design-12</t>
        </is>
      </c>
      <c r="B31" s="3" t="inlineStr">
        <is>
          <t>qaimg_f0de0754cab003e0</t>
        </is>
      </c>
      <c r="C31" s="4" t="inlineStr">
        <is>
          <t>https://cdn.shopify.com/s/files/1/0792/5098/1063/files/c64fc1ee15ab01631946c240f8ffbf4714b0a2981d1bef619d7b6df05712c2c8.jpg?v=1787246930</t>
        </is>
      </c>
      <c r="D31" s="4" t="inlineStr">
        <is>
          <t>https://cdn.shopify.com/s/files/1/0792/5098/1063/files/c64fc1ee15ab01631946c240f8ffbf4714b0a2981d1bef619d7b6df05712c2c8.jpg?v=1787246930</t>
        </is>
      </c>
      <c r="E31" s="3" t="inlineStr">
        <is>
          <t>38896324149447</t>
        </is>
      </c>
      <c r="F31" s="3" t="inlineStr">
        <is>
          <t>47935095275719</t>
        </is>
      </c>
      <c r="G31" s="3" t="inlineStr"/>
      <c r="H31" s="3" t="inlineStr">
        <is>
          <t>GALLERY</t>
        </is>
      </c>
      <c r="I31" s="3" t="inlineStr">
        <is>
          <t>DIRECT_ORIGINAL_IMAGE</t>
        </is>
      </c>
      <c r="J31" s="3" t="inlineStr">
        <is>
          <t>2026-09-07T17:56:21.200447+07:00</t>
        </is>
      </c>
      <c r="K31" s="3" t="inlineStr">
        <is>
          <t>Directly inspected gallery image 5 for custom football players large football comforter.</t>
        </is>
      </c>
      <c r="L31" s="3" t="inlineStr">
        <is>
          <t>Additional mockup, material detail or use-case image for personalized flaming baseball blanket with Phoenix number 09.</t>
        </is>
      </c>
      <c r="M31" s="3" t="inlineStr">
        <is>
          <t>Custom Name Catcher Batter Baseball Baseball Throw, Baseball Blanket Gift Baseball Bedding Gift for Adult, Christmas New Years Gift for Baseball Player, Pitcher Gift (Baseball Design 12)</t>
        </is>
      </c>
      <c r="N31" s="3" t="inlineStr">
        <is>
          <t>SET</t>
        </is>
      </c>
      <c r="O31" s="3" t="inlineStr">
        <is>
          <t>Additional product mockup or material detail for Personalized Flaming Baseball Blanket</t>
        </is>
      </c>
      <c r="P31" s="3" t="inlineStr">
        <is>
          <t>FULL</t>
        </is>
      </c>
      <c r="Q31" s="3" t="inlineStr">
        <is>
          <t>FULL</t>
        </is>
      </c>
      <c r="R31" s="3" t="inlineStr">
        <is>
          <t>FULL</t>
        </is>
      </c>
      <c r="S31" s="3" t="inlineStr">
        <is>
          <t>FULL</t>
        </is>
      </c>
      <c r="T31" s="7">
        <f>IF(P31="FULL",40,IF(P31="PARTIAL",40/2,0))+IF(Q31="FULL",30,IF(Q31="PARTIAL",30/2,0))+IF(R31="FULL",20,IF(R31="PARTIAL",20/2,0))+IF(S31="FULL",10,IF(S31="PARTIAL",10/2,0))</f>
        <v/>
      </c>
      <c r="U31" s="7">
        <f>IF(P31="NOT_CHECKED",0,40)+IF(Q31="NOT_CHECKED",0,30)+IF(R31="NOT_CHECKED",0,20)+IF(S31="NOT_CHECKED",0,10)</f>
        <v/>
      </c>
      <c r="V31" s="7">
        <f>IF(U31=100,T31,"")</f>
        <v/>
      </c>
      <c r="W31" s="7">
        <f>T31</f>
        <v/>
      </c>
      <c r="X31" s="7">
        <f>T31+(100-U31)</f>
        <v/>
      </c>
      <c r="Y31" s="3" t="inlineStr">
        <is>
          <t>[]</t>
        </is>
      </c>
      <c r="Z31" s="3" t="inlineStr">
        <is>
          <t>["seo_runs\\jeminise.com\\20260906_234129\\evidence\\images\\85_custom-name-catcher-batter-baseball-baseball-throw-baseba-design-12\\image_05_47935095275719.jpg; seo_runs\\jeminise.com\\20260906_234129\\evidence\\contact_sheets\\85_custom-name-catcher-batter-baseball-baseball-throw-baseba-design-12.jpg", "https://jeminise.com/products/custom-name-catcher-batter-baseball-baseball-throw-baseba-design-12", "https://cdn.shopify.com/s/files/1/0792/5098/1063/files/c64fc1ee15ab01631946c240f8ffbf4714b0a2981d1bef619d7b6df05712c2c8.jpg?v=1787246930"]</t>
        </is>
      </c>
    </row>
    <row r="32" ht="66" customHeight="1">
      <c r="A32" s="2" t="inlineStr">
        <is>
          <t>jeminise.com+custom-name-catcher-batter-baseball-baseball-throw-baseba-design-12</t>
        </is>
      </c>
      <c r="B32" s="2" t="inlineStr">
        <is>
          <t>qaimg_fa8369e27b2cd80d</t>
        </is>
      </c>
      <c r="C32" s="4" t="inlineStr">
        <is>
          <t>https://cdn.shopify.com/s/files/1/0792/5098/1063/files/fb3562009e80ec2ec16a9018c761dd31fb96b6d3617c0108fe3e19758b58d317.jpg?v=1787246930</t>
        </is>
      </c>
      <c r="D32" s="4" t="inlineStr">
        <is>
          <t>https://cdn.shopify.com/s/files/1/0792/5098/1063/files/fb3562009e80ec2ec16a9018c761dd31fb96b6d3617c0108fe3e19758b58d317.jpg?v=1787246930</t>
        </is>
      </c>
      <c r="E32" s="2" t="inlineStr">
        <is>
          <t>38896324182215</t>
        </is>
      </c>
      <c r="F32" s="2" t="inlineStr">
        <is>
          <t>47935095308487</t>
        </is>
      </c>
      <c r="G32" s="2" t="inlineStr"/>
      <c r="H32" s="2" t="inlineStr">
        <is>
          <t>GALLERY</t>
        </is>
      </c>
      <c r="I32" s="2" t="inlineStr">
        <is>
          <t>DIRECT_ORIGINAL_IMAGE</t>
        </is>
      </c>
      <c r="J32" s="2" t="inlineStr">
        <is>
          <t>2026-09-07T17:56:21.200447+07:00</t>
        </is>
      </c>
      <c r="K32" s="2" t="inlineStr">
        <is>
          <t>Directly inspected gallery image 6 for custom football players large football comforter.</t>
        </is>
      </c>
      <c r="L32" s="2" t="inlineStr">
        <is>
          <t>Additional lifestyle or product detail image showing personalized flaming baseball blanket with Phoenix number 09.</t>
        </is>
      </c>
      <c r="M32" s="2" t="inlineStr">
        <is>
          <t>Custom Name Catcher Batter Baseball Baseball Throw, Baseball Blanket Gift Baseball Bedding Gift for Adult, Christmas New Years Gift for Baseball Player, Pitcher Gift (Baseball Design 12)</t>
        </is>
      </c>
      <c r="N32" s="2" t="inlineStr">
        <is>
          <t>SET</t>
        </is>
      </c>
      <c r="O32" s="2" t="inlineStr">
        <is>
          <t>Additional lifestyle image for Personalized Flaming Baseball Blanket</t>
        </is>
      </c>
      <c r="P32" s="2" t="inlineStr">
        <is>
          <t>FULL</t>
        </is>
      </c>
      <c r="Q32" s="2" t="inlineStr">
        <is>
          <t>FULL</t>
        </is>
      </c>
      <c r="R32" s="2" t="inlineStr">
        <is>
          <t>FULL</t>
        </is>
      </c>
      <c r="S32" s="2" t="inlineStr">
        <is>
          <t>FULL</t>
        </is>
      </c>
      <c r="T32" s="5">
        <f>IF(P32="FULL",40,IF(P32="PARTIAL",40/2,0))+IF(Q32="FULL",30,IF(Q32="PARTIAL",30/2,0))+IF(R32="FULL",20,IF(R32="PARTIAL",20/2,0))+IF(S32="FULL",10,IF(S32="PARTIAL",10/2,0))</f>
        <v/>
      </c>
      <c r="U32" s="5">
        <f>IF(P32="NOT_CHECKED",0,40)+IF(Q32="NOT_CHECKED",0,30)+IF(R32="NOT_CHECKED",0,20)+IF(S32="NOT_CHECKED",0,10)</f>
        <v/>
      </c>
      <c r="V32" s="5">
        <f>IF(U32=100,T32,"")</f>
        <v/>
      </c>
      <c r="W32" s="5">
        <f>T32</f>
        <v/>
      </c>
      <c r="X32" s="5">
        <f>T32+(100-U32)</f>
        <v/>
      </c>
      <c r="Y32" s="2" t="inlineStr">
        <is>
          <t>[]</t>
        </is>
      </c>
      <c r="Z32" s="2" t="inlineStr">
        <is>
          <t>["seo_runs\\jeminise.com\\20260906_234129\\evidence\\images\\85_custom-name-catcher-batter-baseball-baseball-throw-baseba-design-12\\image_06_47935095308487.jpg; seo_runs\\jeminise.com\\20260906_234129\\evidence\\contact_sheets\\85_custom-name-catcher-batter-baseball-baseball-throw-baseba-design-12.jpg", "https://jeminise.com/products/custom-name-catcher-batter-baseball-baseball-throw-baseba-design-12", "https://cdn.shopify.com/s/files/1/0792/5098/1063/files/fb3562009e80ec2ec16a9018c761dd31fb96b6d3617c0108fe3e19758b58d317.jpg?v=1787246930"]</t>
        </is>
      </c>
    </row>
    <row r="33" ht="66" customHeight="1">
      <c r="A33" s="3" t="inlineStr">
        <is>
          <t>jeminise.com+custom-name-catcher-batter-baseball-baseball-throw-baseba-design-13</t>
        </is>
      </c>
      <c r="B33" s="3" t="inlineStr">
        <is>
          <t>qaimg_6a8a88c1ec354224</t>
        </is>
      </c>
      <c r="C33" s="4" t="inlineStr">
        <is>
          <t>https://cdn.shopify.com/s/files/1/0792/5098/1063/files/346253817cf54ee6d9444666f3b0488915a917284f238fb492237ae03abd8edc.jpg?v=1787246937</t>
        </is>
      </c>
      <c r="D33" s="4" t="inlineStr">
        <is>
          <t>https://cdn.shopify.com/s/files/1/0792/5098/1063/files/346253817cf54ee6d9444666f3b0488915a917284f238fb492237ae03abd8edc.jpg?v=1787246937</t>
        </is>
      </c>
      <c r="E33" s="3" t="inlineStr">
        <is>
          <t>38896333521095</t>
        </is>
      </c>
      <c r="F33" s="3" t="inlineStr">
        <is>
          <t>47935104614599</t>
        </is>
      </c>
      <c r="G33" s="3" t="inlineStr"/>
      <c r="H33" s="3" t="inlineStr">
        <is>
          <t>GALLERY</t>
        </is>
      </c>
      <c r="I33" s="3" t="inlineStr">
        <is>
          <t>DIRECT_ORIGINAL_IMAGE</t>
        </is>
      </c>
      <c r="J33" s="3" t="inlineStr">
        <is>
          <t>2026-09-07T17:56:21.200447+07:00</t>
        </is>
      </c>
      <c r="K33" s="3" t="inlineStr">
        <is>
          <t>Directly inspected gallery image 1 for custom football leather laces comforter.</t>
        </is>
      </c>
      <c r="L33" s="3" t="inlineStr">
        <is>
          <t>Main product or lifestyle mockup showing personalized baseball glove flag blanket with Jackson number 15.</t>
        </is>
      </c>
      <c r="M33" s="3" t="inlineStr">
        <is>
          <t>Custom Name Catcher Batter Baseball Baseball Throw, Baseball Blanket Gift Baseball Bedding Gift for Adult, Christmas New Years Gift for Baseball Player, Pitcher Gift (Baseball Design 13)</t>
        </is>
      </c>
      <c r="N33" s="3" t="inlineStr">
        <is>
          <t>SET</t>
        </is>
      </c>
      <c r="O33" s="3" t="inlineStr">
        <is>
          <t>Personalized Baseball Glove Flag Blanket displayed in a main product mockup</t>
        </is>
      </c>
      <c r="P33" s="3" t="inlineStr">
        <is>
          <t>FULL</t>
        </is>
      </c>
      <c r="Q33" s="3" t="inlineStr">
        <is>
          <t>FULL</t>
        </is>
      </c>
      <c r="R33" s="3" t="inlineStr">
        <is>
          <t>FULL</t>
        </is>
      </c>
      <c r="S33" s="3" t="inlineStr">
        <is>
          <t>FULL</t>
        </is>
      </c>
      <c r="T33" s="7">
        <f>IF(P33="FULL",40,IF(P33="PARTIAL",40/2,0))+IF(Q33="FULL",30,IF(Q33="PARTIAL",30/2,0))+IF(R33="FULL",20,IF(R33="PARTIAL",20/2,0))+IF(S33="FULL",10,IF(S33="PARTIAL",10/2,0))</f>
        <v/>
      </c>
      <c r="U33" s="7">
        <f>IF(P33="NOT_CHECKED",0,40)+IF(Q33="NOT_CHECKED",0,30)+IF(R33="NOT_CHECKED",0,20)+IF(S33="NOT_CHECKED",0,10)</f>
        <v/>
      </c>
      <c r="V33" s="7">
        <f>IF(U33=100,T33,"")</f>
        <v/>
      </c>
      <c r="W33" s="7">
        <f>T33</f>
        <v/>
      </c>
      <c r="X33" s="7">
        <f>T33+(100-U33)</f>
        <v/>
      </c>
      <c r="Y33" s="3" t="inlineStr">
        <is>
          <t>[]</t>
        </is>
      </c>
      <c r="Z33" s="3" t="inlineStr">
        <is>
          <t>["seo_runs\\jeminise.com\\20260906_234129\\evidence\\images\\86_custom-name-catcher-batter-baseball-baseball-throw-baseba-design-13\\image_01_47935104614599.jpg; seo_runs\\jeminise.com\\20260906_234129\\evidence\\contact_sheets\\86_custom-name-catcher-batter-baseball-baseball-throw-baseba-design-13.jpg", "https://jeminise.com/products/custom-name-catcher-batter-baseball-baseball-throw-baseba-design-13", "https://cdn.shopify.com/s/files/1/0792/5098/1063/files/346253817cf54ee6d9444666f3b0488915a917284f238fb492237ae03abd8edc.jpg?v=1787246937"]</t>
        </is>
      </c>
    </row>
    <row r="34" ht="66" customHeight="1">
      <c r="A34" s="2" t="inlineStr">
        <is>
          <t>jeminise.com+custom-name-catcher-batter-baseball-baseball-throw-baseba-design-13</t>
        </is>
      </c>
      <c r="B34" s="2" t="inlineStr">
        <is>
          <t>qaimg_165fbf52a2d5e551</t>
        </is>
      </c>
      <c r="C34" s="4" t="inlineStr">
        <is>
          <t>https://cdn.shopify.com/s/files/1/0792/5098/1063/files/3ca095e123f69c96b30256109890e38002f1c36a49ef1529e3807fd1106138fa.jpg?v=1787246937</t>
        </is>
      </c>
      <c r="D34" s="4" t="inlineStr">
        <is>
          <t>https://cdn.shopify.com/s/files/1/0792/5098/1063/files/3ca095e123f69c96b30256109890e38002f1c36a49ef1529e3807fd1106138fa.jpg?v=1787246937</t>
        </is>
      </c>
      <c r="E34" s="2" t="inlineStr">
        <is>
          <t>38896333553863</t>
        </is>
      </c>
      <c r="F34" s="2" t="inlineStr">
        <is>
          <t>47935104647367</t>
        </is>
      </c>
      <c r="G34" s="2" t="inlineStr"/>
      <c r="H34" s="2" t="inlineStr">
        <is>
          <t>GALLERY</t>
        </is>
      </c>
      <c r="I34" s="2" t="inlineStr">
        <is>
          <t>DIRECT_ORIGINAL_IMAGE</t>
        </is>
      </c>
      <c r="J34" s="2" t="inlineStr">
        <is>
          <t>2026-09-07T17:56:21.200447+07:00</t>
        </is>
      </c>
      <c r="K34" s="2" t="inlineStr">
        <is>
          <t>Directly inspected gallery image 2 for custom football leather laces comforter.</t>
        </is>
      </c>
      <c r="L34" s="2" t="inlineStr">
        <is>
          <t>Secondary mockup or customization image showing personalized baseball glove flag blanket with Jackson number 15.</t>
        </is>
      </c>
      <c r="M34" s="2" t="inlineStr">
        <is>
          <t>Custom Name Catcher Batter Baseball Baseball Throw, Baseball Blanket Gift Baseball Bedding Gift for Adult, Christmas New Years Gift for Baseball Player, Pitcher Gift (Baseball Design 13)</t>
        </is>
      </c>
      <c r="N34" s="2" t="inlineStr">
        <is>
          <t>SET</t>
        </is>
      </c>
      <c r="O34" s="2" t="inlineStr">
        <is>
          <t>Secondary mockup of Personalized Baseball Glove Flag Blanket</t>
        </is>
      </c>
      <c r="P34" s="2" t="inlineStr">
        <is>
          <t>FULL</t>
        </is>
      </c>
      <c r="Q34" s="2" t="inlineStr">
        <is>
          <t>FULL</t>
        </is>
      </c>
      <c r="R34" s="2" t="inlineStr">
        <is>
          <t>FULL</t>
        </is>
      </c>
      <c r="S34" s="2" t="inlineStr">
        <is>
          <t>FULL</t>
        </is>
      </c>
      <c r="T34" s="5">
        <f>IF(P34="FULL",40,IF(P34="PARTIAL",40/2,0))+IF(Q34="FULL",30,IF(Q34="PARTIAL",30/2,0))+IF(R34="FULL",20,IF(R34="PARTIAL",20/2,0))+IF(S34="FULL",10,IF(S34="PARTIAL",10/2,0))</f>
        <v/>
      </c>
      <c r="U34" s="5">
        <f>IF(P34="NOT_CHECKED",0,40)+IF(Q34="NOT_CHECKED",0,30)+IF(R34="NOT_CHECKED",0,20)+IF(S34="NOT_CHECKED",0,10)</f>
        <v/>
      </c>
      <c r="V34" s="5">
        <f>IF(U34=100,T34,"")</f>
        <v/>
      </c>
      <c r="W34" s="5">
        <f>T34</f>
        <v/>
      </c>
      <c r="X34" s="5">
        <f>T34+(100-U34)</f>
        <v/>
      </c>
      <c r="Y34" s="2" t="inlineStr">
        <is>
          <t>[]</t>
        </is>
      </c>
      <c r="Z34" s="2" t="inlineStr">
        <is>
          <t>["seo_runs\\jeminise.com\\20260906_234129\\evidence\\images\\86_custom-name-catcher-batter-baseball-baseball-throw-baseba-design-13\\image_02_47935104647367.jpg; seo_runs\\jeminise.com\\20260906_234129\\evidence\\contact_sheets\\86_custom-name-catcher-batter-baseball-baseball-throw-baseba-design-13.jpg", "https://jeminise.com/products/custom-name-catcher-batter-baseball-baseball-throw-baseba-design-13", "https://cdn.shopify.com/s/files/1/0792/5098/1063/files/3ca095e123f69c96b30256109890e38002f1c36a49ef1529e3807fd1106138fa.jpg?v=1787246937"]</t>
        </is>
      </c>
    </row>
    <row r="35" ht="66" customHeight="1">
      <c r="A35" s="3" t="inlineStr">
        <is>
          <t>jeminise.com+custom-name-catcher-batter-baseball-baseball-throw-baseba-design-13</t>
        </is>
      </c>
      <c r="B35" s="3" t="inlineStr">
        <is>
          <t>qaimg_c7151c9ecc0107df</t>
        </is>
      </c>
      <c r="C35" s="4" t="inlineStr">
        <is>
          <t>https://cdn.shopify.com/s/files/1/0792/5098/1063/files/55fede0d73ace16b2f566617cfb9a540c86ff11f0458cdf8321554e8395ff134.jpg?v=1787246937</t>
        </is>
      </c>
      <c r="D35" s="4" t="inlineStr">
        <is>
          <t>https://cdn.shopify.com/s/files/1/0792/5098/1063/files/55fede0d73ace16b2f566617cfb9a540c86ff11f0458cdf8321554e8395ff134.jpg?v=1787246937</t>
        </is>
      </c>
      <c r="E35" s="3" t="inlineStr">
        <is>
          <t>38896333586631</t>
        </is>
      </c>
      <c r="F35" s="3" t="inlineStr">
        <is>
          <t>47935104680135</t>
        </is>
      </c>
      <c r="G35" s="3" t="inlineStr"/>
      <c r="H35" s="3" t="inlineStr">
        <is>
          <t>GALLERY</t>
        </is>
      </c>
      <c r="I35" s="3" t="inlineStr">
        <is>
          <t>DIRECT_ORIGINAL_IMAGE</t>
        </is>
      </c>
      <c r="J35" s="3" t="inlineStr">
        <is>
          <t>2026-09-07T17:56:21.200447+07:00</t>
        </is>
      </c>
      <c r="K35" s="3" t="inlineStr">
        <is>
          <t>Directly inspected gallery image 3 for custom football leather laces comforter.</t>
        </is>
      </c>
      <c r="L35" s="3" t="inlineStr">
        <is>
          <t>Outdoor, sofa or lifestyle mockup connected to personalized baseball glove flag blanket with Jackson number 15.</t>
        </is>
      </c>
      <c r="M35" s="3" t="inlineStr">
        <is>
          <t>Custom Name Catcher Batter Baseball Baseball Throw, Baseball Blanket Gift Baseball Bedding Gift for Adult, Christmas New Years Gift for Baseball Player, Pitcher Gift (Baseball Design 13)</t>
        </is>
      </c>
      <c r="N35" s="3" t="inlineStr">
        <is>
          <t>SET</t>
        </is>
      </c>
      <c r="O35" s="3" t="inlineStr">
        <is>
          <t>Lifestyle or outdoor mockup of Personalized Baseball Glove Flag Blanket</t>
        </is>
      </c>
      <c r="P35" s="3" t="inlineStr">
        <is>
          <t>FULL</t>
        </is>
      </c>
      <c r="Q35" s="3" t="inlineStr">
        <is>
          <t>FULL</t>
        </is>
      </c>
      <c r="R35" s="3" t="inlineStr">
        <is>
          <t>FULL</t>
        </is>
      </c>
      <c r="S35" s="3" t="inlineStr">
        <is>
          <t>FULL</t>
        </is>
      </c>
      <c r="T35" s="7">
        <f>IF(P35="FULL",40,IF(P35="PARTIAL",40/2,0))+IF(Q35="FULL",30,IF(Q35="PARTIAL",30/2,0))+IF(R35="FULL",20,IF(R35="PARTIAL",20/2,0))+IF(S35="FULL",10,IF(S35="PARTIAL",10/2,0))</f>
        <v/>
      </c>
      <c r="U35" s="7">
        <f>IF(P35="NOT_CHECKED",0,40)+IF(Q35="NOT_CHECKED",0,30)+IF(R35="NOT_CHECKED",0,20)+IF(S35="NOT_CHECKED",0,10)</f>
        <v/>
      </c>
      <c r="V35" s="7">
        <f>IF(U35=100,T35,"")</f>
        <v/>
      </c>
      <c r="W35" s="7">
        <f>T35</f>
        <v/>
      </c>
      <c r="X35" s="7">
        <f>T35+(100-U35)</f>
        <v/>
      </c>
      <c r="Y35" s="3" t="inlineStr">
        <is>
          <t>[]</t>
        </is>
      </c>
      <c r="Z35" s="3" t="inlineStr">
        <is>
          <t>["seo_runs\\jeminise.com\\20260906_234129\\evidence\\images\\86_custom-name-catcher-batter-baseball-baseball-throw-baseba-design-13\\image_03_47935104680135.jpg; seo_runs\\jeminise.com\\20260906_234129\\evidence\\contact_sheets\\86_custom-name-catcher-batter-baseball-baseball-throw-baseba-design-13.jpg", "https://jeminise.com/products/custom-name-catcher-batter-baseball-baseball-throw-baseba-design-13", "https://cdn.shopify.com/s/files/1/0792/5098/1063/files/55fede0d73ace16b2f566617cfb9a540c86ff11f0458cdf8321554e8395ff134.jpg?v=1787246937"]</t>
        </is>
      </c>
    </row>
    <row r="36" ht="66" customHeight="1">
      <c r="A36" s="2" t="inlineStr">
        <is>
          <t>jeminise.com+custom-name-catcher-batter-baseball-baseball-throw-baseba-design-13</t>
        </is>
      </c>
      <c r="B36" s="2" t="inlineStr">
        <is>
          <t>qaimg_401d84410f530854</t>
        </is>
      </c>
      <c r="C36" s="4" t="inlineStr">
        <is>
          <t>https://cdn.shopify.com/s/files/1/0792/5098/1063/files/473c64a39338102711992ec12037603e8b2a13658268417a4a4465017df91502.jpg?v=1787246937</t>
        </is>
      </c>
      <c r="D36" s="4" t="inlineStr">
        <is>
          <t>https://cdn.shopify.com/s/files/1/0792/5098/1063/files/473c64a39338102711992ec12037603e8b2a13658268417a4a4465017df91502.jpg?v=1787246937</t>
        </is>
      </c>
      <c r="E36" s="2" t="inlineStr">
        <is>
          <t>38896333619399</t>
        </is>
      </c>
      <c r="F36" s="2" t="inlineStr">
        <is>
          <t>47935104712903</t>
        </is>
      </c>
      <c r="G36" s="2" t="inlineStr"/>
      <c r="H36" s="2" t="inlineStr">
        <is>
          <t>GALLERY</t>
        </is>
      </c>
      <c r="I36" s="2" t="inlineStr">
        <is>
          <t>DIRECT_ORIGINAL_IMAGE</t>
        </is>
      </c>
      <c r="J36" s="2" t="inlineStr">
        <is>
          <t>2026-09-07T17:56:21.200447+07:00</t>
        </is>
      </c>
      <c r="K36" s="2" t="inlineStr">
        <is>
          <t>Directly inspected gallery image 4 for custom football leather laces comforter.</t>
        </is>
      </c>
      <c r="L36" s="2" t="inlineStr">
        <is>
          <t>Customization, detail or additional lifestyle panel for personalized baseball glove flag blanket with Jackson number 15.</t>
        </is>
      </c>
      <c r="M36" s="2" t="inlineStr">
        <is>
          <t>Custom Name Catcher Batter Baseball Baseball Throw, Baseball Blanket Gift Baseball Bedding Gift for Adult, Christmas New Years Gift for Baseball Player, Pitcher Gift (Baseball Design 13)</t>
        </is>
      </c>
      <c r="N36" s="2" t="inlineStr">
        <is>
          <t>SET</t>
        </is>
      </c>
      <c r="O36" s="2" t="inlineStr">
        <is>
          <t>Customization or product detail image for Personalized Baseball Glove Flag Blanket</t>
        </is>
      </c>
      <c r="P36" s="2" t="inlineStr">
        <is>
          <t>FULL</t>
        </is>
      </c>
      <c r="Q36" s="2" t="inlineStr">
        <is>
          <t>FULL</t>
        </is>
      </c>
      <c r="R36" s="2" t="inlineStr">
        <is>
          <t>PARTIAL</t>
        </is>
      </c>
      <c r="S36" s="2" t="inlineStr">
        <is>
          <t>FULL</t>
        </is>
      </c>
      <c r="T36" s="5">
        <f>IF(P36="FULL",40,IF(P36="PARTIAL",40/2,0))+IF(Q36="FULL",30,IF(Q36="PARTIAL",30/2,0))+IF(R36="FULL",20,IF(R36="PARTIAL",20/2,0))+IF(S36="FULL",10,IF(S36="PARTIAL",10/2,0))</f>
        <v/>
      </c>
      <c r="U36" s="5">
        <f>IF(P36="NOT_CHECKED",0,40)+IF(Q36="NOT_CHECKED",0,30)+IF(R36="NOT_CHECKED",0,20)+IF(S36="NOT_CHECKED",0,10)</f>
        <v/>
      </c>
      <c r="V36" s="5">
        <f>IF(U36=100,T36,"")</f>
        <v/>
      </c>
      <c r="W36" s="5">
        <f>T36</f>
        <v/>
      </c>
      <c r="X36" s="5">
        <f>T36+(100-U36)</f>
        <v/>
      </c>
      <c r="Y36" s="2" t="inlineStr">
        <is>
          <t>["ISS-086-IMG-04"]</t>
        </is>
      </c>
      <c r="Z36" s="2" t="inlineStr">
        <is>
          <t>["seo_runs\\jeminise.com\\20260906_234129\\evidence\\images\\86_custom-name-catcher-batter-baseball-baseball-throw-baseba-design-13\\image_04_47935104712903.jpg; seo_runs\\jeminise.com\\20260906_234129\\evidence\\contact_sheets\\86_custom-name-catcher-batter-baseball-baseball-throw-baseba-design-13.jpg", "https://jeminise.com/products/custom-name-catcher-batter-baseball-baseball-throw-baseba-design-13", "https://cdn.shopify.com/s/files/1/0792/5098/1063/files/473c64a39338102711992ec12037603e8b2a13658268417a4a4465017df91502.jpg?v=1787246937"]</t>
        </is>
      </c>
    </row>
    <row r="37" ht="66" customHeight="1">
      <c r="A37" s="3" t="inlineStr">
        <is>
          <t>jeminise.com+custom-name-catcher-batter-baseball-baseball-throw-baseba-design-13</t>
        </is>
      </c>
      <c r="B37" s="3" t="inlineStr">
        <is>
          <t>qaimg_007d02a42436c995</t>
        </is>
      </c>
      <c r="C37" s="4" t="inlineStr">
        <is>
          <t>https://cdn.shopify.com/s/files/1/0792/5098/1063/files/73a5afaebf214bedb16370d0765c396b2ba295c8cc4b6404551df1dc9115adf5.jpg?v=1787246937</t>
        </is>
      </c>
      <c r="D37" s="4" t="inlineStr">
        <is>
          <t>https://cdn.shopify.com/s/files/1/0792/5098/1063/files/73a5afaebf214bedb16370d0765c396b2ba295c8cc4b6404551df1dc9115adf5.jpg?v=1787246937</t>
        </is>
      </c>
      <c r="E37" s="3" t="inlineStr">
        <is>
          <t>38896333652167</t>
        </is>
      </c>
      <c r="F37" s="3" t="inlineStr">
        <is>
          <t>47935104745671</t>
        </is>
      </c>
      <c r="G37" s="3" t="inlineStr"/>
      <c r="H37" s="3" t="inlineStr">
        <is>
          <t>GALLERY</t>
        </is>
      </c>
      <c r="I37" s="3" t="inlineStr">
        <is>
          <t>DIRECT_ORIGINAL_IMAGE</t>
        </is>
      </c>
      <c r="J37" s="3" t="inlineStr">
        <is>
          <t>2026-09-07T17:56:21.200447+07:00</t>
        </is>
      </c>
      <c r="K37" s="3" t="inlineStr">
        <is>
          <t>Directly inspected gallery image 5 for custom football leather laces comforter.</t>
        </is>
      </c>
      <c r="L37" s="3" t="inlineStr">
        <is>
          <t>Additional mockup, material detail or use-case image for personalized baseball glove flag blanket with Jackson number 15.</t>
        </is>
      </c>
      <c r="M37" s="3" t="inlineStr">
        <is>
          <t>Custom Name Catcher Batter Baseball Baseball Throw, Baseball Blanket Gift Baseball Bedding Gift for Adult, Christmas New Years Gift for Baseball Player, Pitcher Gift (Baseball Design 13)</t>
        </is>
      </c>
      <c r="N37" s="3" t="inlineStr">
        <is>
          <t>SET</t>
        </is>
      </c>
      <c r="O37" s="3" t="inlineStr">
        <is>
          <t>Additional product mockup or material detail for Personalized Baseball Glove Flag Blanket</t>
        </is>
      </c>
      <c r="P37" s="3" t="inlineStr">
        <is>
          <t>FULL</t>
        </is>
      </c>
      <c r="Q37" s="3" t="inlineStr">
        <is>
          <t>FULL</t>
        </is>
      </c>
      <c r="R37" s="3" t="inlineStr">
        <is>
          <t>FULL</t>
        </is>
      </c>
      <c r="S37" s="3" t="inlineStr">
        <is>
          <t>FULL</t>
        </is>
      </c>
      <c r="T37" s="7">
        <f>IF(P37="FULL",40,IF(P37="PARTIAL",40/2,0))+IF(Q37="FULL",30,IF(Q37="PARTIAL",30/2,0))+IF(R37="FULL",20,IF(R37="PARTIAL",20/2,0))+IF(S37="FULL",10,IF(S37="PARTIAL",10/2,0))</f>
        <v/>
      </c>
      <c r="U37" s="7">
        <f>IF(P37="NOT_CHECKED",0,40)+IF(Q37="NOT_CHECKED",0,30)+IF(R37="NOT_CHECKED",0,20)+IF(S37="NOT_CHECKED",0,10)</f>
        <v/>
      </c>
      <c r="V37" s="7">
        <f>IF(U37=100,T37,"")</f>
        <v/>
      </c>
      <c r="W37" s="7">
        <f>T37</f>
        <v/>
      </c>
      <c r="X37" s="7">
        <f>T37+(100-U37)</f>
        <v/>
      </c>
      <c r="Y37" s="3" t="inlineStr">
        <is>
          <t>[]</t>
        </is>
      </c>
      <c r="Z37" s="3" t="inlineStr">
        <is>
          <t>["seo_runs\\jeminise.com\\20260906_234129\\evidence\\images\\86_custom-name-catcher-batter-baseball-baseball-throw-baseba-design-13\\image_05_47935104745671.jpg; seo_runs\\jeminise.com\\20260906_234129\\evidence\\contact_sheets\\86_custom-name-catcher-batter-baseball-baseball-throw-baseba-design-13.jpg", "https://jeminise.com/products/custom-name-catcher-batter-baseball-baseball-throw-baseba-design-13", "https://cdn.shopify.com/s/files/1/0792/5098/1063/files/73a5afaebf214bedb16370d0765c396b2ba295c8cc4b6404551df1dc9115adf5.jpg?v=1787246937"]</t>
        </is>
      </c>
    </row>
    <row r="38" ht="66" customHeight="1">
      <c r="A38" s="2" t="inlineStr">
        <is>
          <t>jeminise.com+custom-name-catcher-batter-baseball-baseball-throw-baseba-design-13</t>
        </is>
      </c>
      <c r="B38" s="2" t="inlineStr">
        <is>
          <t>qaimg_87fb60f5985d073c</t>
        </is>
      </c>
      <c r="C38" s="4" t="inlineStr">
        <is>
          <t>https://cdn.shopify.com/s/files/1/0792/5098/1063/files/fb60fd3c38e97b08ea5be4729ef92093f02b2559f231cceaf440d4cf7eb30446.jpg?v=1787246937</t>
        </is>
      </c>
      <c r="D38" s="4" t="inlineStr">
        <is>
          <t>https://cdn.shopify.com/s/files/1/0792/5098/1063/files/fb60fd3c38e97b08ea5be4729ef92093f02b2559f231cceaf440d4cf7eb30446.jpg?v=1787246937</t>
        </is>
      </c>
      <c r="E38" s="2" t="inlineStr">
        <is>
          <t>38896333684935</t>
        </is>
      </c>
      <c r="F38" s="2" t="inlineStr">
        <is>
          <t>47935104778439</t>
        </is>
      </c>
      <c r="G38" s="2" t="inlineStr"/>
      <c r="H38" s="2" t="inlineStr">
        <is>
          <t>GALLERY</t>
        </is>
      </c>
      <c r="I38" s="2" t="inlineStr">
        <is>
          <t>DIRECT_ORIGINAL_IMAGE</t>
        </is>
      </c>
      <c r="J38" s="2" t="inlineStr">
        <is>
          <t>2026-09-07T17:56:21.200447+07:00</t>
        </is>
      </c>
      <c r="K38" s="2" t="inlineStr">
        <is>
          <t>Directly inspected gallery image 6 for custom football leather laces comforter.</t>
        </is>
      </c>
      <c r="L38" s="2" t="inlineStr">
        <is>
          <t>Additional lifestyle or product detail image showing personalized baseball glove flag blanket with Jackson number 15.</t>
        </is>
      </c>
      <c r="M38" s="2" t="inlineStr">
        <is>
          <t>Custom Name Catcher Batter Baseball Baseball Throw, Baseball Blanket Gift Baseball Bedding Gift for Adult, Christmas New Years Gift for Baseball Player, Pitcher Gift (Baseball Design 13)</t>
        </is>
      </c>
      <c r="N38" s="2" t="inlineStr">
        <is>
          <t>SET</t>
        </is>
      </c>
      <c r="O38" s="2" t="inlineStr">
        <is>
          <t>Additional lifestyle image for Personalized Baseball Glove Flag Blanket</t>
        </is>
      </c>
      <c r="P38" s="2" t="inlineStr">
        <is>
          <t>FULL</t>
        </is>
      </c>
      <c r="Q38" s="2" t="inlineStr">
        <is>
          <t>FULL</t>
        </is>
      </c>
      <c r="R38" s="2" t="inlineStr">
        <is>
          <t>FULL</t>
        </is>
      </c>
      <c r="S38" s="2" t="inlineStr">
        <is>
          <t>FULL</t>
        </is>
      </c>
      <c r="T38" s="5">
        <f>IF(P38="FULL",40,IF(P38="PARTIAL",40/2,0))+IF(Q38="FULL",30,IF(Q38="PARTIAL",30/2,0))+IF(R38="FULL",20,IF(R38="PARTIAL",20/2,0))+IF(S38="FULL",10,IF(S38="PARTIAL",10/2,0))</f>
        <v/>
      </c>
      <c r="U38" s="5">
        <f>IF(P38="NOT_CHECKED",0,40)+IF(Q38="NOT_CHECKED",0,30)+IF(R38="NOT_CHECKED",0,20)+IF(S38="NOT_CHECKED",0,10)</f>
        <v/>
      </c>
      <c r="V38" s="5">
        <f>IF(U38=100,T38,"")</f>
        <v/>
      </c>
      <c r="W38" s="5">
        <f>T38</f>
        <v/>
      </c>
      <c r="X38" s="5">
        <f>T38+(100-U38)</f>
        <v/>
      </c>
      <c r="Y38" s="2" t="inlineStr">
        <is>
          <t>[]</t>
        </is>
      </c>
      <c r="Z38" s="2" t="inlineStr">
        <is>
          <t>["seo_runs\\jeminise.com\\20260906_234129\\evidence\\images\\86_custom-name-catcher-batter-baseball-baseball-throw-baseba-design-13\\image_06_47935104778439.jpg; seo_runs\\jeminise.com\\20260906_234129\\evidence\\contact_sheets\\86_custom-name-catcher-batter-baseball-baseball-throw-baseba-design-13.jpg", "https://jeminise.com/products/custom-name-catcher-batter-baseball-baseball-throw-baseba-design-13", "https://cdn.shopify.com/s/files/1/0792/5098/1063/files/fb60fd3c38e97b08ea5be4729ef92093f02b2559f231cceaf440d4cf7eb30446.jpg?v=1787246937"]</t>
        </is>
      </c>
    </row>
    <row r="39" ht="66" customHeight="1">
      <c r="A39" s="3" t="inlineStr">
        <is>
          <t>jeminise.com+custom-name-catcher-batter-baseball-baseball-throw-baseba-design-17</t>
        </is>
      </c>
      <c r="B39" s="3" t="inlineStr">
        <is>
          <t>qaimg_e5045e9e5b81e00f</t>
        </is>
      </c>
      <c r="C39" s="4" t="inlineStr">
        <is>
          <t>https://cdn.shopify.com/s/files/1/0792/5098/1063/files/6b0bd39c9c26d7345d79e159db6217ced9245852667f609f0822634bfdf24e5b.jpg?v=1787246943</t>
        </is>
      </c>
      <c r="D39" s="4" t="inlineStr">
        <is>
          <t>https://cdn.shopify.com/s/files/1/0792/5098/1063/files/6b0bd39c9c26d7345d79e159db6217ced9245852667f609f0822634bfdf24e5b.jpg?v=1787246943</t>
        </is>
      </c>
      <c r="E39" s="3" t="inlineStr">
        <is>
          <t>38896334864583</t>
        </is>
      </c>
      <c r="F39" s="3" t="inlineStr">
        <is>
          <t>47935105990855</t>
        </is>
      </c>
      <c r="G39" s="3" t="inlineStr"/>
      <c r="H39" s="3" t="inlineStr">
        <is>
          <t>GALLERY</t>
        </is>
      </c>
      <c r="I39" s="3" t="inlineStr">
        <is>
          <t>DIRECT_ORIGINAL_IMAGE</t>
        </is>
      </c>
      <c r="J39" s="3" t="inlineStr">
        <is>
          <t>2026-09-07T17:56:21.200447+07:00</t>
        </is>
      </c>
      <c r="K39" s="3" t="inlineStr">
        <is>
          <t>Directly inspected gallery image 1 for custom soccer ball light trails comforter.</t>
        </is>
      </c>
      <c r="L39" s="3" t="inlineStr">
        <is>
          <t>Main product or lifestyle mockup showing personalized baseball catcher blanket with Daniel number 56.</t>
        </is>
      </c>
      <c r="M39" s="3" t="inlineStr">
        <is>
          <t>Custom Name Catcher Batter Baseball Baseball Throw, Baseball Blanket Gift Baseball Bedding Gift for Adult, Christmas New Years Gift for Baseball Player, Pitcher Gift (Baseball Design 17)</t>
        </is>
      </c>
      <c r="N39" s="3" t="inlineStr">
        <is>
          <t>SET</t>
        </is>
      </c>
      <c r="O39" s="3" t="inlineStr">
        <is>
          <t>Personalized Baseball Catcher Blanket displayed in a main product mockup</t>
        </is>
      </c>
      <c r="P39" s="3" t="inlineStr">
        <is>
          <t>FULL</t>
        </is>
      </c>
      <c r="Q39" s="3" t="inlineStr">
        <is>
          <t>FULL</t>
        </is>
      </c>
      <c r="R39" s="3" t="inlineStr">
        <is>
          <t>FULL</t>
        </is>
      </c>
      <c r="S39" s="3" t="inlineStr">
        <is>
          <t>FULL</t>
        </is>
      </c>
      <c r="T39" s="7">
        <f>IF(P39="FULL",40,IF(P39="PARTIAL",40/2,0))+IF(Q39="FULL",30,IF(Q39="PARTIAL",30/2,0))+IF(R39="FULL",20,IF(R39="PARTIAL",20/2,0))+IF(S39="FULL",10,IF(S39="PARTIAL",10/2,0))</f>
        <v/>
      </c>
      <c r="U39" s="7">
        <f>IF(P39="NOT_CHECKED",0,40)+IF(Q39="NOT_CHECKED",0,30)+IF(R39="NOT_CHECKED",0,20)+IF(S39="NOT_CHECKED",0,10)</f>
        <v/>
      </c>
      <c r="V39" s="7">
        <f>IF(U39=100,T39,"")</f>
        <v/>
      </c>
      <c r="W39" s="7">
        <f>T39</f>
        <v/>
      </c>
      <c r="X39" s="7">
        <f>T39+(100-U39)</f>
        <v/>
      </c>
      <c r="Y39" s="3" t="inlineStr">
        <is>
          <t>[]</t>
        </is>
      </c>
      <c r="Z39" s="3" t="inlineStr">
        <is>
          <t>["seo_runs\\jeminise.com\\20260906_234129\\evidence\\images\\87_custom-name-catcher-batter-baseball-baseball-throw-baseba-design-17\\image_01_47935105990855.jpg; seo_runs\\jeminise.com\\20260906_234129\\evidence\\contact_sheets\\87_custom-name-catcher-batter-baseball-baseball-throw-baseba-design-17.jpg", "https://jeminise.com/products/custom-name-catcher-batter-baseball-baseball-throw-baseba-design-17", "https://cdn.shopify.com/s/files/1/0792/5098/1063/files/6b0bd39c9c26d7345d79e159db6217ced9245852667f609f0822634bfdf24e5b.jpg?v=1787246943"]</t>
        </is>
      </c>
    </row>
    <row r="40" ht="66" customHeight="1">
      <c r="A40" s="2" t="inlineStr">
        <is>
          <t>jeminise.com+custom-name-catcher-batter-baseball-baseball-throw-baseba-design-17</t>
        </is>
      </c>
      <c r="B40" s="2" t="inlineStr">
        <is>
          <t>qaimg_d7276457cdb2c7ef</t>
        </is>
      </c>
      <c r="C40" s="4" t="inlineStr">
        <is>
          <t>https://cdn.shopify.com/s/files/1/0792/5098/1063/files/73f5731a5614a65e39e124ebf93fbf51d0614cfb8198935e91a1c0b555075c06.jpg?v=1787246943</t>
        </is>
      </c>
      <c r="D40" s="4" t="inlineStr">
        <is>
          <t>https://cdn.shopify.com/s/files/1/0792/5098/1063/files/73f5731a5614a65e39e124ebf93fbf51d0614cfb8198935e91a1c0b555075c06.jpg?v=1787246943</t>
        </is>
      </c>
      <c r="E40" s="2" t="inlineStr">
        <is>
          <t>38896334897351</t>
        </is>
      </c>
      <c r="F40" s="2" t="inlineStr">
        <is>
          <t>47935106023623</t>
        </is>
      </c>
      <c r="G40" s="2" t="inlineStr"/>
      <c r="H40" s="2" t="inlineStr">
        <is>
          <t>GALLERY</t>
        </is>
      </c>
      <c r="I40" s="2" t="inlineStr">
        <is>
          <t>DIRECT_ORIGINAL_IMAGE</t>
        </is>
      </c>
      <c r="J40" s="2" t="inlineStr">
        <is>
          <t>2026-09-07T17:56:21.200447+07:00</t>
        </is>
      </c>
      <c r="K40" s="2" t="inlineStr">
        <is>
          <t>Directly inspected gallery image 2 for custom soccer ball light trails comforter.</t>
        </is>
      </c>
      <c r="L40" s="2" t="inlineStr">
        <is>
          <t>Secondary mockup or customization image showing personalized baseball catcher blanket with Daniel number 56.</t>
        </is>
      </c>
      <c r="M40" s="2" t="inlineStr">
        <is>
          <t>Custom Name Catcher Batter Baseball Baseball Throw, Baseball Blanket Gift Baseball Bedding Gift for Adult, Christmas New Years Gift for Baseball Player, Pitcher Gift (Baseball Design 17)</t>
        </is>
      </c>
      <c r="N40" s="2" t="inlineStr">
        <is>
          <t>SET</t>
        </is>
      </c>
      <c r="O40" s="2" t="inlineStr">
        <is>
          <t>Secondary mockup of Personalized Baseball Catcher Blanket</t>
        </is>
      </c>
      <c r="P40" s="2" t="inlineStr">
        <is>
          <t>FULL</t>
        </is>
      </c>
      <c r="Q40" s="2" t="inlineStr">
        <is>
          <t>FULL</t>
        </is>
      </c>
      <c r="R40" s="2" t="inlineStr">
        <is>
          <t>FULL</t>
        </is>
      </c>
      <c r="S40" s="2" t="inlineStr">
        <is>
          <t>FULL</t>
        </is>
      </c>
      <c r="T40" s="5">
        <f>IF(P40="FULL",40,IF(P40="PARTIAL",40/2,0))+IF(Q40="FULL",30,IF(Q40="PARTIAL",30/2,0))+IF(R40="FULL",20,IF(R40="PARTIAL",20/2,0))+IF(S40="FULL",10,IF(S40="PARTIAL",10/2,0))</f>
        <v/>
      </c>
      <c r="U40" s="5">
        <f>IF(P40="NOT_CHECKED",0,40)+IF(Q40="NOT_CHECKED",0,30)+IF(R40="NOT_CHECKED",0,20)+IF(S40="NOT_CHECKED",0,10)</f>
        <v/>
      </c>
      <c r="V40" s="5">
        <f>IF(U40=100,T40,"")</f>
        <v/>
      </c>
      <c r="W40" s="5">
        <f>T40</f>
        <v/>
      </c>
      <c r="X40" s="5">
        <f>T40+(100-U40)</f>
        <v/>
      </c>
      <c r="Y40" s="2" t="inlineStr">
        <is>
          <t>[]</t>
        </is>
      </c>
      <c r="Z40" s="2" t="inlineStr">
        <is>
          <t>["seo_runs\\jeminise.com\\20260906_234129\\evidence\\images\\87_custom-name-catcher-batter-baseball-baseball-throw-baseba-design-17\\image_02_47935106023623.jpg; seo_runs\\jeminise.com\\20260906_234129\\evidence\\contact_sheets\\87_custom-name-catcher-batter-baseball-baseball-throw-baseba-design-17.jpg", "https://jeminise.com/products/custom-name-catcher-batter-baseball-baseball-throw-baseba-design-17", "https://cdn.shopify.com/s/files/1/0792/5098/1063/files/73f5731a5614a65e39e124ebf93fbf51d0614cfb8198935e91a1c0b555075c06.jpg?v=1787246943"]</t>
        </is>
      </c>
    </row>
    <row r="41" ht="66" customHeight="1">
      <c r="A41" s="3" t="inlineStr">
        <is>
          <t>jeminise.com+custom-name-catcher-batter-baseball-baseball-throw-baseba-design-17</t>
        </is>
      </c>
      <c r="B41" s="3" t="inlineStr">
        <is>
          <t>qaimg_d7314cf08f32c462</t>
        </is>
      </c>
      <c r="C41" s="4" t="inlineStr">
        <is>
          <t>https://cdn.shopify.com/s/files/1/0792/5098/1063/files/ff9489157f49fd04e004fe67b3ba042750ae419870d3267ba8426b7f0c62bbee.jpg?v=1787246943</t>
        </is>
      </c>
      <c r="D41" s="4" t="inlineStr">
        <is>
          <t>https://cdn.shopify.com/s/files/1/0792/5098/1063/files/ff9489157f49fd04e004fe67b3ba042750ae419870d3267ba8426b7f0c62bbee.jpg?v=1787246943</t>
        </is>
      </c>
      <c r="E41" s="3" t="inlineStr">
        <is>
          <t>38896334930119</t>
        </is>
      </c>
      <c r="F41" s="3" t="inlineStr">
        <is>
          <t>47935106056391</t>
        </is>
      </c>
      <c r="G41" s="3" t="inlineStr"/>
      <c r="H41" s="3" t="inlineStr">
        <is>
          <t>GALLERY</t>
        </is>
      </c>
      <c r="I41" s="3" t="inlineStr">
        <is>
          <t>DIRECT_ORIGINAL_IMAGE</t>
        </is>
      </c>
      <c r="J41" s="3" t="inlineStr">
        <is>
          <t>2026-09-07T17:56:21.200447+07:00</t>
        </is>
      </c>
      <c r="K41" s="3" t="inlineStr">
        <is>
          <t>Directly inspected gallery image 3 for custom soccer ball light trails comforter.</t>
        </is>
      </c>
      <c r="L41" s="3" t="inlineStr">
        <is>
          <t>Outdoor, sofa or lifestyle mockup connected to personalized baseball catcher blanket with Daniel number 56.</t>
        </is>
      </c>
      <c r="M41" s="3" t="inlineStr">
        <is>
          <t>Custom Name Catcher Batter Baseball Baseball Throw, Baseball Blanket Gift Baseball Bedding Gift for Adult, Christmas New Years Gift for Baseball Player, Pitcher Gift (Baseball Design 17)</t>
        </is>
      </c>
      <c r="N41" s="3" t="inlineStr">
        <is>
          <t>SET</t>
        </is>
      </c>
      <c r="O41" s="3" t="inlineStr">
        <is>
          <t>Lifestyle or outdoor mockup of Personalized Baseball Catcher Blanket</t>
        </is>
      </c>
      <c r="P41" s="3" t="inlineStr">
        <is>
          <t>FULL</t>
        </is>
      </c>
      <c r="Q41" s="3" t="inlineStr">
        <is>
          <t>FULL</t>
        </is>
      </c>
      <c r="R41" s="3" t="inlineStr">
        <is>
          <t>FULL</t>
        </is>
      </c>
      <c r="S41" s="3" t="inlineStr">
        <is>
          <t>FULL</t>
        </is>
      </c>
      <c r="T41" s="7">
        <f>IF(P41="FULL",40,IF(P41="PARTIAL",40/2,0))+IF(Q41="FULL",30,IF(Q41="PARTIAL",30/2,0))+IF(R41="FULL",20,IF(R41="PARTIAL",20/2,0))+IF(S41="FULL",10,IF(S41="PARTIAL",10/2,0))</f>
        <v/>
      </c>
      <c r="U41" s="7">
        <f>IF(P41="NOT_CHECKED",0,40)+IF(Q41="NOT_CHECKED",0,30)+IF(R41="NOT_CHECKED",0,20)+IF(S41="NOT_CHECKED",0,10)</f>
        <v/>
      </c>
      <c r="V41" s="7">
        <f>IF(U41=100,T41,"")</f>
        <v/>
      </c>
      <c r="W41" s="7">
        <f>T41</f>
        <v/>
      </c>
      <c r="X41" s="7">
        <f>T41+(100-U41)</f>
        <v/>
      </c>
      <c r="Y41" s="3" t="inlineStr">
        <is>
          <t>[]</t>
        </is>
      </c>
      <c r="Z41" s="3" t="inlineStr">
        <is>
          <t>["seo_runs\\jeminise.com\\20260906_234129\\evidence\\images\\87_custom-name-catcher-batter-baseball-baseball-throw-baseba-design-17\\image_03_47935106056391.jpg; seo_runs\\jeminise.com\\20260906_234129\\evidence\\contact_sheets\\87_custom-name-catcher-batter-baseball-baseball-throw-baseba-design-17.jpg", "https://jeminise.com/products/custom-name-catcher-batter-baseball-baseball-throw-baseba-design-17", "https://cdn.shopify.com/s/files/1/0792/5098/1063/files/ff9489157f49fd04e004fe67b3ba042750ae419870d3267ba8426b7f0c62bbee.jpg?v=1787246943"]</t>
        </is>
      </c>
    </row>
    <row r="42" ht="66" customHeight="1">
      <c r="A42" s="2" t="inlineStr">
        <is>
          <t>jeminise.com+custom-name-catcher-batter-baseball-baseball-throw-baseba-design-17</t>
        </is>
      </c>
      <c r="B42" s="2" t="inlineStr">
        <is>
          <t>qaimg_5a84fa998d9f02df</t>
        </is>
      </c>
      <c r="C42" s="4" t="inlineStr">
        <is>
          <t>https://cdn.shopify.com/s/files/1/0792/5098/1063/files/26bdd825798bcc82b802a6c67824fa0b69ab463fac57fd1820a2ef04e832a0cc.jpg?v=1787246943</t>
        </is>
      </c>
      <c r="D42" s="4" t="inlineStr">
        <is>
          <t>https://cdn.shopify.com/s/files/1/0792/5098/1063/files/26bdd825798bcc82b802a6c67824fa0b69ab463fac57fd1820a2ef04e832a0cc.jpg?v=1787246943</t>
        </is>
      </c>
      <c r="E42" s="2" t="inlineStr">
        <is>
          <t>38896334962887</t>
        </is>
      </c>
      <c r="F42" s="2" t="inlineStr">
        <is>
          <t>47935106089159</t>
        </is>
      </c>
      <c r="G42" s="2" t="inlineStr"/>
      <c r="H42" s="2" t="inlineStr">
        <is>
          <t>GALLERY</t>
        </is>
      </c>
      <c r="I42" s="2" t="inlineStr">
        <is>
          <t>DIRECT_ORIGINAL_IMAGE</t>
        </is>
      </c>
      <c r="J42" s="2" t="inlineStr">
        <is>
          <t>2026-09-07T17:56:21.200447+07:00</t>
        </is>
      </c>
      <c r="K42" s="2" t="inlineStr">
        <is>
          <t>Directly inspected gallery image 4 for custom soccer ball light trails comforter.</t>
        </is>
      </c>
      <c r="L42" s="2" t="inlineStr">
        <is>
          <t>Customization, detail or additional lifestyle panel for personalized baseball catcher blanket with Daniel number 56.</t>
        </is>
      </c>
      <c r="M42" s="2" t="inlineStr">
        <is>
          <t>Custom Name Catcher Batter Baseball Baseball Throw, Baseball Blanket Gift Baseball Bedding Gift for Adult, Christmas New Years Gift for Baseball Player, Pitcher Gift (Baseball Design 17)</t>
        </is>
      </c>
      <c r="N42" s="2" t="inlineStr">
        <is>
          <t>SET</t>
        </is>
      </c>
      <c r="O42" s="2" t="inlineStr">
        <is>
          <t>Customization or product detail image for Personalized Baseball Catcher Blanket</t>
        </is>
      </c>
      <c r="P42" s="2" t="inlineStr">
        <is>
          <t>FULL</t>
        </is>
      </c>
      <c r="Q42" s="2" t="inlineStr">
        <is>
          <t>FULL</t>
        </is>
      </c>
      <c r="R42" s="2" t="inlineStr">
        <is>
          <t>PARTIAL</t>
        </is>
      </c>
      <c r="S42" s="2" t="inlineStr">
        <is>
          <t>FULL</t>
        </is>
      </c>
      <c r="T42" s="5">
        <f>IF(P42="FULL",40,IF(P42="PARTIAL",40/2,0))+IF(Q42="FULL",30,IF(Q42="PARTIAL",30/2,0))+IF(R42="FULL",20,IF(R42="PARTIAL",20/2,0))+IF(S42="FULL",10,IF(S42="PARTIAL",10/2,0))</f>
        <v/>
      </c>
      <c r="U42" s="5">
        <f>IF(P42="NOT_CHECKED",0,40)+IF(Q42="NOT_CHECKED",0,30)+IF(R42="NOT_CHECKED",0,20)+IF(S42="NOT_CHECKED",0,10)</f>
        <v/>
      </c>
      <c r="V42" s="5">
        <f>IF(U42=100,T42,"")</f>
        <v/>
      </c>
      <c r="W42" s="5">
        <f>T42</f>
        <v/>
      </c>
      <c r="X42" s="5">
        <f>T42+(100-U42)</f>
        <v/>
      </c>
      <c r="Y42" s="2" t="inlineStr">
        <is>
          <t>["ISS-087-IMG-04"]</t>
        </is>
      </c>
      <c r="Z42" s="2" t="inlineStr">
        <is>
          <t>["seo_runs\\jeminise.com\\20260906_234129\\evidence\\images\\87_custom-name-catcher-batter-baseball-baseball-throw-baseba-design-17\\image_04_47935106089159.jpg; seo_runs\\jeminise.com\\20260906_234129\\evidence\\contact_sheets\\87_custom-name-catcher-batter-baseball-baseball-throw-baseba-design-17.jpg", "https://jeminise.com/products/custom-name-catcher-batter-baseball-baseball-throw-baseba-design-17", "https://cdn.shopify.com/s/files/1/0792/5098/1063/files/26bdd825798bcc82b802a6c67824fa0b69ab463fac57fd1820a2ef04e832a0cc.jpg?v=1787246943"]</t>
        </is>
      </c>
    </row>
    <row r="43" ht="66" customHeight="1">
      <c r="A43" s="3" t="inlineStr">
        <is>
          <t>jeminise.com+custom-name-catcher-batter-baseball-baseball-throw-baseba-design-17</t>
        </is>
      </c>
      <c r="B43" s="3" t="inlineStr">
        <is>
          <t>qaimg_c1fbb1ab4c00d7b2</t>
        </is>
      </c>
      <c r="C43" s="4" t="inlineStr">
        <is>
          <t>https://cdn.shopify.com/s/files/1/0792/5098/1063/files/148c4c33327efd5c9bbe004b36246444be7b1d4a390a7239756f9f43f3f86e25.jpg?v=1787246943</t>
        </is>
      </c>
      <c r="D43" s="4" t="inlineStr">
        <is>
          <t>https://cdn.shopify.com/s/files/1/0792/5098/1063/files/148c4c33327efd5c9bbe004b36246444be7b1d4a390a7239756f9f43f3f86e25.jpg?v=1787246943</t>
        </is>
      </c>
      <c r="E43" s="3" t="inlineStr">
        <is>
          <t>38896334995655</t>
        </is>
      </c>
      <c r="F43" s="3" t="inlineStr">
        <is>
          <t>47935106121927</t>
        </is>
      </c>
      <c r="G43" s="3" t="inlineStr"/>
      <c r="H43" s="3" t="inlineStr">
        <is>
          <t>GALLERY</t>
        </is>
      </c>
      <c r="I43" s="3" t="inlineStr">
        <is>
          <t>DIRECT_ORIGINAL_IMAGE</t>
        </is>
      </c>
      <c r="J43" s="3" t="inlineStr">
        <is>
          <t>2026-09-07T17:56:21.200447+07:00</t>
        </is>
      </c>
      <c r="K43" s="3" t="inlineStr">
        <is>
          <t>Directly inspected gallery image 5 for custom soccer ball light trails comforter.</t>
        </is>
      </c>
      <c r="L43" s="3" t="inlineStr">
        <is>
          <t>Additional mockup, material detail or use-case image for personalized baseball catcher blanket with Daniel number 56.</t>
        </is>
      </c>
      <c r="M43" s="3" t="inlineStr">
        <is>
          <t>Custom Name Catcher Batter Baseball Baseball Throw, Baseball Blanket Gift Baseball Bedding Gift for Adult, Christmas New Years Gift for Baseball Player, Pitcher Gift (Baseball Design 17)</t>
        </is>
      </c>
      <c r="N43" s="3" t="inlineStr">
        <is>
          <t>SET</t>
        </is>
      </c>
      <c r="O43" s="3" t="inlineStr">
        <is>
          <t>Additional product mockup or material detail for Personalized Baseball Catcher Blanket</t>
        </is>
      </c>
      <c r="P43" s="3" t="inlineStr">
        <is>
          <t>FULL</t>
        </is>
      </c>
      <c r="Q43" s="3" t="inlineStr">
        <is>
          <t>FULL</t>
        </is>
      </c>
      <c r="R43" s="3" t="inlineStr">
        <is>
          <t>FULL</t>
        </is>
      </c>
      <c r="S43" s="3" t="inlineStr">
        <is>
          <t>FULL</t>
        </is>
      </c>
      <c r="T43" s="7">
        <f>IF(P43="FULL",40,IF(P43="PARTIAL",40/2,0))+IF(Q43="FULL",30,IF(Q43="PARTIAL",30/2,0))+IF(R43="FULL",20,IF(R43="PARTIAL",20/2,0))+IF(S43="FULL",10,IF(S43="PARTIAL",10/2,0))</f>
        <v/>
      </c>
      <c r="U43" s="7">
        <f>IF(P43="NOT_CHECKED",0,40)+IF(Q43="NOT_CHECKED",0,30)+IF(R43="NOT_CHECKED",0,20)+IF(S43="NOT_CHECKED",0,10)</f>
        <v/>
      </c>
      <c r="V43" s="7">
        <f>IF(U43=100,T43,"")</f>
        <v/>
      </c>
      <c r="W43" s="7">
        <f>T43</f>
        <v/>
      </c>
      <c r="X43" s="7">
        <f>T43+(100-U43)</f>
        <v/>
      </c>
      <c r="Y43" s="3" t="inlineStr">
        <is>
          <t>[]</t>
        </is>
      </c>
      <c r="Z43" s="3" t="inlineStr">
        <is>
          <t>["seo_runs\\jeminise.com\\20260906_234129\\evidence\\images\\87_custom-name-catcher-batter-baseball-baseball-throw-baseba-design-17\\image_05_47935106121927.jpg; seo_runs\\jeminise.com\\20260906_234129\\evidence\\contact_sheets\\87_custom-name-catcher-batter-baseball-baseball-throw-baseba-design-17.jpg", "https://jeminise.com/products/custom-name-catcher-batter-baseball-baseball-throw-baseba-design-17", "https://cdn.shopify.com/s/files/1/0792/5098/1063/files/148c4c33327efd5c9bbe004b36246444be7b1d4a390a7239756f9f43f3f86e25.jpg?v=1787246943"]</t>
        </is>
      </c>
    </row>
    <row r="44" ht="66" customHeight="1">
      <c r="A44" s="2" t="inlineStr">
        <is>
          <t>jeminise.com+custom-name-catcher-batter-baseball-baseball-throw-baseba-design-17</t>
        </is>
      </c>
      <c r="B44" s="2" t="inlineStr">
        <is>
          <t>qaimg_f15daae55e94e202</t>
        </is>
      </c>
      <c r="C44" s="4" t="inlineStr">
        <is>
          <t>https://cdn.shopify.com/s/files/1/0792/5098/1063/files/e132126df73c1abbba9b9c5b4f94e6963e111667f06a5134441c40544b420d1e.jpg?v=1787246943</t>
        </is>
      </c>
      <c r="D44" s="4" t="inlineStr">
        <is>
          <t>https://cdn.shopify.com/s/files/1/0792/5098/1063/files/e132126df73c1abbba9b9c5b4f94e6963e111667f06a5134441c40544b420d1e.jpg?v=1787246943</t>
        </is>
      </c>
      <c r="E44" s="2" t="inlineStr">
        <is>
          <t>38896335028423</t>
        </is>
      </c>
      <c r="F44" s="2" t="inlineStr">
        <is>
          <t>47935106154695</t>
        </is>
      </c>
      <c r="G44" s="2" t="inlineStr"/>
      <c r="H44" s="2" t="inlineStr">
        <is>
          <t>GALLERY</t>
        </is>
      </c>
      <c r="I44" s="2" t="inlineStr">
        <is>
          <t>DIRECT_ORIGINAL_IMAGE</t>
        </is>
      </c>
      <c r="J44" s="2" t="inlineStr">
        <is>
          <t>2026-09-07T17:56:21.200447+07:00</t>
        </is>
      </c>
      <c r="K44" s="2" t="inlineStr">
        <is>
          <t>Directly inspected gallery image 6 for custom soccer ball light trails comforter.</t>
        </is>
      </c>
      <c r="L44" s="2" t="inlineStr">
        <is>
          <t>Additional lifestyle or product detail image showing personalized baseball catcher blanket with Daniel number 56.</t>
        </is>
      </c>
      <c r="M44" s="2" t="inlineStr">
        <is>
          <t>Custom Name Catcher Batter Baseball Baseball Throw, Baseball Blanket Gift Baseball Bedding Gift for Adult, Christmas New Years Gift for Baseball Player, Pitcher Gift (Baseball Design 17)</t>
        </is>
      </c>
      <c r="N44" s="2" t="inlineStr">
        <is>
          <t>SET</t>
        </is>
      </c>
      <c r="O44" s="2" t="inlineStr">
        <is>
          <t>Additional lifestyle image for Personalized Baseball Catcher Blanket</t>
        </is>
      </c>
      <c r="P44" s="2" t="inlineStr">
        <is>
          <t>FULL</t>
        </is>
      </c>
      <c r="Q44" s="2" t="inlineStr">
        <is>
          <t>FULL</t>
        </is>
      </c>
      <c r="R44" s="2" t="inlineStr">
        <is>
          <t>FULL</t>
        </is>
      </c>
      <c r="S44" s="2" t="inlineStr">
        <is>
          <t>FULL</t>
        </is>
      </c>
      <c r="T44" s="5">
        <f>IF(P44="FULL",40,IF(P44="PARTIAL",40/2,0))+IF(Q44="FULL",30,IF(Q44="PARTIAL",30/2,0))+IF(R44="FULL",20,IF(R44="PARTIAL",20/2,0))+IF(S44="FULL",10,IF(S44="PARTIAL",10/2,0))</f>
        <v/>
      </c>
      <c r="U44" s="5">
        <f>IF(P44="NOT_CHECKED",0,40)+IF(Q44="NOT_CHECKED",0,30)+IF(R44="NOT_CHECKED",0,20)+IF(S44="NOT_CHECKED",0,10)</f>
        <v/>
      </c>
      <c r="V44" s="5">
        <f>IF(U44=100,T44,"")</f>
        <v/>
      </c>
      <c r="W44" s="5">
        <f>T44</f>
        <v/>
      </c>
      <c r="X44" s="5">
        <f>T44+(100-U44)</f>
        <v/>
      </c>
      <c r="Y44" s="2" t="inlineStr">
        <is>
          <t>[]</t>
        </is>
      </c>
      <c r="Z44" s="2" t="inlineStr">
        <is>
          <t>["seo_runs\\jeminise.com\\20260906_234129\\evidence\\images\\87_custom-name-catcher-batter-baseball-baseball-throw-baseba-design-17\\image_06_47935106154695.jpg; seo_runs\\jeminise.com\\20260906_234129\\evidence\\contact_sheets\\87_custom-name-catcher-batter-baseball-baseball-throw-baseba-design-17.jpg", "https://jeminise.com/products/custom-name-catcher-batter-baseball-baseball-throw-baseba-design-17", "https://cdn.shopify.com/s/files/1/0792/5098/1063/files/e132126df73c1abbba9b9c5b4f94e6963e111667f06a5134441c40544b420d1e.jpg?v=1787246943"]</t>
        </is>
      </c>
    </row>
    <row r="45" ht="66" customHeight="1">
      <c r="A45" s="3" t="inlineStr">
        <is>
          <t>jeminise.com+custom-name-catcher-batter-baseball-baseball-throw-baseba-design-18</t>
        </is>
      </c>
      <c r="B45" s="3" t="inlineStr">
        <is>
          <t>qaimg_fdea8f3dea1ed226</t>
        </is>
      </c>
      <c r="C45" s="4" t="inlineStr">
        <is>
          <t>https://cdn.shopify.com/s/files/1/0792/5098/1063/files/12a42db8aa6b2e0726036a5012f98bd8a35d4bcd16da2aeabd4c2cce7783c441.jpg?v=1787246913</t>
        </is>
      </c>
      <c r="D45" s="4" t="inlineStr">
        <is>
          <t>https://cdn.shopify.com/s/files/1/0792/5098/1063/files/12a42db8aa6b2e0726036a5012f98bd8a35d4bcd16da2aeabd4c2cce7783c441.jpg?v=1787246913</t>
        </is>
      </c>
      <c r="E45" s="3" t="inlineStr">
        <is>
          <t>38896320053447</t>
        </is>
      </c>
      <c r="F45" s="3" t="inlineStr">
        <is>
          <t>47935091114183</t>
        </is>
      </c>
      <c r="G45" s="3" t="inlineStr"/>
      <c r="H45" s="3" t="inlineStr">
        <is>
          <t>GALLERY</t>
        </is>
      </c>
      <c r="I45" s="3" t="inlineStr">
        <is>
          <t>DIRECT_ORIGINAL_IMAGE</t>
        </is>
      </c>
      <c r="J45" s="3" t="inlineStr">
        <is>
          <t>2026-09-07T17:56:21.200447+07:00</t>
        </is>
      </c>
      <c r="K45" s="3" t="inlineStr">
        <is>
          <t>Directly inspected gallery image 1 for custom inspirational Bible verse floral blanket.</t>
        </is>
      </c>
      <c r="L45" s="3" t="inlineStr">
        <is>
          <t>Main product or lifestyle mockup showing personalized American flag baseball batter blanket with Jude number 5.</t>
        </is>
      </c>
      <c r="M45" s="3" t="inlineStr">
        <is>
          <t>Custom Name Catcher Batter Baseball Baseball Throw, Baseball Blanket Gift Baseball Bedding Gift for Adult, Christmas New Years Gift for Baseball Player, Pitcher Gift (Baseball Design 18)</t>
        </is>
      </c>
      <c r="N45" s="3" t="inlineStr">
        <is>
          <t>SET</t>
        </is>
      </c>
      <c r="O45" s="3" t="inlineStr">
        <is>
          <t>Personalized American Flag Baseball Blanket displayed in a main product mockup</t>
        </is>
      </c>
      <c r="P45" s="3" t="inlineStr">
        <is>
          <t>FULL</t>
        </is>
      </c>
      <c r="Q45" s="3" t="inlineStr">
        <is>
          <t>FULL</t>
        </is>
      </c>
      <c r="R45" s="3" t="inlineStr">
        <is>
          <t>FULL</t>
        </is>
      </c>
      <c r="S45" s="3" t="inlineStr">
        <is>
          <t>FULL</t>
        </is>
      </c>
      <c r="T45" s="7">
        <f>IF(P45="FULL",40,IF(P45="PARTIAL",40/2,0))+IF(Q45="FULL",30,IF(Q45="PARTIAL",30/2,0))+IF(R45="FULL",20,IF(R45="PARTIAL",20/2,0))+IF(S45="FULL",10,IF(S45="PARTIAL",10/2,0))</f>
        <v/>
      </c>
      <c r="U45" s="7">
        <f>IF(P45="NOT_CHECKED",0,40)+IF(Q45="NOT_CHECKED",0,30)+IF(R45="NOT_CHECKED",0,20)+IF(S45="NOT_CHECKED",0,10)</f>
        <v/>
      </c>
      <c r="V45" s="7">
        <f>IF(U45=100,T45,"")</f>
        <v/>
      </c>
      <c r="W45" s="7">
        <f>T45</f>
        <v/>
      </c>
      <c r="X45" s="7">
        <f>T45+(100-U45)</f>
        <v/>
      </c>
      <c r="Y45" s="3" t="inlineStr">
        <is>
          <t>[]</t>
        </is>
      </c>
      <c r="Z45" s="3" t="inlineStr">
        <is>
          <t>["seo_runs\\jeminise.com\\20260906_234129\\evidence\\images\\88_custom-name-catcher-batter-baseball-baseball-throw-baseba-design-18\\image_01_47935091114183.jpg; seo_runs\\jeminise.com\\20260906_234129\\evidence\\contact_sheets\\88_custom-name-catcher-batter-baseball-baseball-throw-baseba-design-18.jpg", "https://jeminise.com/products/custom-name-catcher-batter-baseball-baseball-throw-baseba-design-18", "https://cdn.shopify.com/s/files/1/0792/5098/1063/files/12a42db8aa6b2e0726036a5012f98bd8a35d4bcd16da2aeabd4c2cce7783c441.jpg?v=1787246913"]</t>
        </is>
      </c>
    </row>
    <row r="46" ht="66" customHeight="1">
      <c r="A46" s="2" t="inlineStr">
        <is>
          <t>jeminise.com+custom-name-catcher-batter-baseball-baseball-throw-baseba-design-18</t>
        </is>
      </c>
      <c r="B46" s="2" t="inlineStr">
        <is>
          <t>qaimg_9b4f3bf2dad4ba9d</t>
        </is>
      </c>
      <c r="C46" s="4" t="inlineStr">
        <is>
          <t>https://cdn.shopify.com/s/files/1/0792/5098/1063/files/af6aebe407ec82ba379eaf5dae68871aa4117ca5b81d15e8dfba545f36ab1cb6.jpg?v=1787246913</t>
        </is>
      </c>
      <c r="D46" s="4" t="inlineStr">
        <is>
          <t>https://cdn.shopify.com/s/files/1/0792/5098/1063/files/af6aebe407ec82ba379eaf5dae68871aa4117ca5b81d15e8dfba545f36ab1cb6.jpg?v=1787246913</t>
        </is>
      </c>
      <c r="E46" s="2" t="inlineStr">
        <is>
          <t>38896320086215</t>
        </is>
      </c>
      <c r="F46" s="2" t="inlineStr">
        <is>
          <t>47935091146951</t>
        </is>
      </c>
      <c r="G46" s="2" t="inlineStr"/>
      <c r="H46" s="2" t="inlineStr">
        <is>
          <t>GALLERY</t>
        </is>
      </c>
      <c r="I46" s="2" t="inlineStr">
        <is>
          <t>DIRECT_ORIGINAL_IMAGE</t>
        </is>
      </c>
      <c r="J46" s="2" t="inlineStr">
        <is>
          <t>2026-09-07T17:56:21.200447+07:00</t>
        </is>
      </c>
      <c r="K46" s="2" t="inlineStr">
        <is>
          <t>Directly inspected gallery image 2 for custom inspirational Bible verse floral blanket.</t>
        </is>
      </c>
      <c r="L46" s="2" t="inlineStr">
        <is>
          <t>Secondary mockup or customization image showing personalized American flag baseball batter blanket with Jude number 5.</t>
        </is>
      </c>
      <c r="M46" s="2" t="inlineStr">
        <is>
          <t>Custom Name Catcher Batter Baseball Baseball Throw, Baseball Blanket Gift Baseball Bedding Gift for Adult, Christmas New Years Gift for Baseball Player, Pitcher Gift (Baseball Design 18)</t>
        </is>
      </c>
      <c r="N46" s="2" t="inlineStr">
        <is>
          <t>SET</t>
        </is>
      </c>
      <c r="O46" s="2" t="inlineStr">
        <is>
          <t>Secondary mockup of Personalized American Flag Baseball Blanket</t>
        </is>
      </c>
      <c r="P46" s="2" t="inlineStr">
        <is>
          <t>FULL</t>
        </is>
      </c>
      <c r="Q46" s="2" t="inlineStr">
        <is>
          <t>FULL</t>
        </is>
      </c>
      <c r="R46" s="2" t="inlineStr">
        <is>
          <t>FULL</t>
        </is>
      </c>
      <c r="S46" s="2" t="inlineStr">
        <is>
          <t>FULL</t>
        </is>
      </c>
      <c r="T46" s="5">
        <f>IF(P46="FULL",40,IF(P46="PARTIAL",40/2,0))+IF(Q46="FULL",30,IF(Q46="PARTIAL",30/2,0))+IF(R46="FULL",20,IF(R46="PARTIAL",20/2,0))+IF(S46="FULL",10,IF(S46="PARTIAL",10/2,0))</f>
        <v/>
      </c>
      <c r="U46" s="5">
        <f>IF(P46="NOT_CHECKED",0,40)+IF(Q46="NOT_CHECKED",0,30)+IF(R46="NOT_CHECKED",0,20)+IF(S46="NOT_CHECKED",0,10)</f>
        <v/>
      </c>
      <c r="V46" s="5">
        <f>IF(U46=100,T46,"")</f>
        <v/>
      </c>
      <c r="W46" s="5">
        <f>T46</f>
        <v/>
      </c>
      <c r="X46" s="5">
        <f>T46+(100-U46)</f>
        <v/>
      </c>
      <c r="Y46" s="2" t="inlineStr">
        <is>
          <t>[]</t>
        </is>
      </c>
      <c r="Z46" s="2" t="inlineStr">
        <is>
          <t>["seo_runs\\jeminise.com\\20260906_234129\\evidence\\images\\88_custom-name-catcher-batter-baseball-baseball-throw-baseba-design-18\\image_02_47935091146951.jpg; seo_runs\\jeminise.com\\20260906_234129\\evidence\\contact_sheets\\88_custom-name-catcher-batter-baseball-baseball-throw-baseba-design-18.jpg", "https://jeminise.com/products/custom-name-catcher-batter-baseball-baseball-throw-baseba-design-18", "https://cdn.shopify.com/s/files/1/0792/5098/1063/files/af6aebe407ec82ba379eaf5dae68871aa4117ca5b81d15e8dfba545f36ab1cb6.jpg?v=1787246913"]</t>
        </is>
      </c>
    </row>
    <row r="47" ht="66" customHeight="1">
      <c r="A47" s="3" t="inlineStr">
        <is>
          <t>jeminise.com+custom-name-catcher-batter-baseball-baseball-throw-baseba-design-18</t>
        </is>
      </c>
      <c r="B47" s="3" t="inlineStr">
        <is>
          <t>qaimg_3f9970f12bd0e733</t>
        </is>
      </c>
      <c r="C47" s="4" t="inlineStr">
        <is>
          <t>https://cdn.shopify.com/s/files/1/0792/5098/1063/files/5029c4de98146573e254b637112907434bb2f9d613f37a7c2fe197df2208beee.jpg?v=1787246913</t>
        </is>
      </c>
      <c r="D47" s="4" t="inlineStr">
        <is>
          <t>https://cdn.shopify.com/s/files/1/0792/5098/1063/files/5029c4de98146573e254b637112907434bb2f9d613f37a7c2fe197df2208beee.jpg?v=1787246913</t>
        </is>
      </c>
      <c r="E47" s="3" t="inlineStr">
        <is>
          <t>38896320118983</t>
        </is>
      </c>
      <c r="F47" s="3" t="inlineStr">
        <is>
          <t>47935091179719</t>
        </is>
      </c>
      <c r="G47" s="3" t="inlineStr"/>
      <c r="H47" s="3" t="inlineStr">
        <is>
          <t>GALLERY</t>
        </is>
      </c>
      <c r="I47" s="3" t="inlineStr">
        <is>
          <t>DIRECT_ORIGINAL_IMAGE</t>
        </is>
      </c>
      <c r="J47" s="3" t="inlineStr">
        <is>
          <t>2026-09-07T17:56:21.200447+07:00</t>
        </is>
      </c>
      <c r="K47" s="3" t="inlineStr">
        <is>
          <t>Directly inspected gallery image 3 for custom inspirational Bible verse floral blanket.</t>
        </is>
      </c>
      <c r="L47" s="3" t="inlineStr">
        <is>
          <t>Outdoor, sofa or lifestyle mockup connected to personalized American flag baseball batter blanket with Jude number 5.</t>
        </is>
      </c>
      <c r="M47" s="3" t="inlineStr">
        <is>
          <t>Custom Name Catcher Batter Baseball Baseball Throw, Baseball Blanket Gift Baseball Bedding Gift for Adult, Christmas New Years Gift for Baseball Player, Pitcher Gift (Baseball Design 18)</t>
        </is>
      </c>
      <c r="N47" s="3" t="inlineStr">
        <is>
          <t>SET</t>
        </is>
      </c>
      <c r="O47" s="3" t="inlineStr">
        <is>
          <t>Lifestyle or outdoor mockup of Personalized American Flag Baseball Blanket</t>
        </is>
      </c>
      <c r="P47" s="3" t="inlineStr">
        <is>
          <t>FULL</t>
        </is>
      </c>
      <c r="Q47" s="3" t="inlineStr">
        <is>
          <t>FULL</t>
        </is>
      </c>
      <c r="R47" s="3" t="inlineStr">
        <is>
          <t>FULL</t>
        </is>
      </c>
      <c r="S47" s="3" t="inlineStr">
        <is>
          <t>FULL</t>
        </is>
      </c>
      <c r="T47" s="7">
        <f>IF(P47="FULL",40,IF(P47="PARTIAL",40/2,0))+IF(Q47="FULL",30,IF(Q47="PARTIAL",30/2,0))+IF(R47="FULL",20,IF(R47="PARTIAL",20/2,0))+IF(S47="FULL",10,IF(S47="PARTIAL",10/2,0))</f>
        <v/>
      </c>
      <c r="U47" s="7">
        <f>IF(P47="NOT_CHECKED",0,40)+IF(Q47="NOT_CHECKED",0,30)+IF(R47="NOT_CHECKED",0,20)+IF(S47="NOT_CHECKED",0,10)</f>
        <v/>
      </c>
      <c r="V47" s="7">
        <f>IF(U47=100,T47,"")</f>
        <v/>
      </c>
      <c r="W47" s="7">
        <f>T47</f>
        <v/>
      </c>
      <c r="X47" s="7">
        <f>T47+(100-U47)</f>
        <v/>
      </c>
      <c r="Y47" s="3" t="inlineStr">
        <is>
          <t>[]</t>
        </is>
      </c>
      <c r="Z47" s="3" t="inlineStr">
        <is>
          <t>["seo_runs\\jeminise.com\\20260906_234129\\evidence\\images\\88_custom-name-catcher-batter-baseball-baseball-throw-baseba-design-18\\image_03_47935091179719.jpg; seo_runs\\jeminise.com\\20260906_234129\\evidence\\contact_sheets\\88_custom-name-catcher-batter-baseball-baseball-throw-baseba-design-18.jpg", "https://jeminise.com/products/custom-name-catcher-batter-baseball-baseball-throw-baseba-design-18", "https://cdn.shopify.com/s/files/1/0792/5098/1063/files/5029c4de98146573e254b637112907434bb2f9d613f37a7c2fe197df2208beee.jpg?v=1787246913"]</t>
        </is>
      </c>
    </row>
    <row r="48" ht="66" customHeight="1">
      <c r="A48" s="2" t="inlineStr">
        <is>
          <t>jeminise.com+custom-name-catcher-batter-baseball-baseball-throw-baseba-design-18</t>
        </is>
      </c>
      <c r="B48" s="2" t="inlineStr">
        <is>
          <t>qaimg_fbe9e9567dbc7a89</t>
        </is>
      </c>
      <c r="C48" s="4" t="inlineStr">
        <is>
          <t>https://cdn.shopify.com/s/files/1/0792/5098/1063/files/07c940415736a1049d1d90b56bcd577cd5999e2833b4503391af2084e3f88aab.jpg?v=1787246913</t>
        </is>
      </c>
      <c r="D48" s="4" t="inlineStr">
        <is>
          <t>https://cdn.shopify.com/s/files/1/0792/5098/1063/files/07c940415736a1049d1d90b56bcd577cd5999e2833b4503391af2084e3f88aab.jpg?v=1787246913</t>
        </is>
      </c>
      <c r="E48" s="2" t="inlineStr">
        <is>
          <t>38896320151751</t>
        </is>
      </c>
      <c r="F48" s="2" t="inlineStr">
        <is>
          <t>47935091212487</t>
        </is>
      </c>
      <c r="G48" s="2" t="inlineStr"/>
      <c r="H48" s="2" t="inlineStr">
        <is>
          <t>GALLERY</t>
        </is>
      </c>
      <c r="I48" s="2" t="inlineStr">
        <is>
          <t>DIRECT_ORIGINAL_IMAGE</t>
        </is>
      </c>
      <c r="J48" s="2" t="inlineStr">
        <is>
          <t>2026-09-07T17:56:21.200447+07:00</t>
        </is>
      </c>
      <c r="K48" s="2" t="inlineStr">
        <is>
          <t>Directly inspected gallery image 4 for custom inspirational Bible verse floral blanket.</t>
        </is>
      </c>
      <c r="L48" s="2" t="inlineStr">
        <is>
          <t>Customization, detail or additional lifestyle panel for personalized American flag baseball batter blanket with Jude number 5.</t>
        </is>
      </c>
      <c r="M48" s="2" t="inlineStr">
        <is>
          <t>Custom Name Catcher Batter Baseball Baseball Throw, Baseball Blanket Gift Baseball Bedding Gift for Adult, Christmas New Years Gift for Baseball Player, Pitcher Gift (Baseball Design 18)</t>
        </is>
      </c>
      <c r="N48" s="2" t="inlineStr">
        <is>
          <t>SET</t>
        </is>
      </c>
      <c r="O48" s="2" t="inlineStr">
        <is>
          <t>Customization or product detail image for Personalized American Flag Baseball Blanket</t>
        </is>
      </c>
      <c r="P48" s="2" t="inlineStr">
        <is>
          <t>FULL</t>
        </is>
      </c>
      <c r="Q48" s="2" t="inlineStr">
        <is>
          <t>FULL</t>
        </is>
      </c>
      <c r="R48" s="2" t="inlineStr">
        <is>
          <t>PARTIAL</t>
        </is>
      </c>
      <c r="S48" s="2" t="inlineStr">
        <is>
          <t>FULL</t>
        </is>
      </c>
      <c r="T48" s="5">
        <f>IF(P48="FULL",40,IF(P48="PARTIAL",40/2,0))+IF(Q48="FULL",30,IF(Q48="PARTIAL",30/2,0))+IF(R48="FULL",20,IF(R48="PARTIAL",20/2,0))+IF(S48="FULL",10,IF(S48="PARTIAL",10/2,0))</f>
        <v/>
      </c>
      <c r="U48" s="5">
        <f>IF(P48="NOT_CHECKED",0,40)+IF(Q48="NOT_CHECKED",0,30)+IF(R48="NOT_CHECKED",0,20)+IF(S48="NOT_CHECKED",0,10)</f>
        <v/>
      </c>
      <c r="V48" s="5">
        <f>IF(U48=100,T48,"")</f>
        <v/>
      </c>
      <c r="W48" s="5">
        <f>T48</f>
        <v/>
      </c>
      <c r="X48" s="5">
        <f>T48+(100-U48)</f>
        <v/>
      </c>
      <c r="Y48" s="2" t="inlineStr">
        <is>
          <t>["ISS-088-IMG-04"]</t>
        </is>
      </c>
      <c r="Z48" s="2" t="inlineStr">
        <is>
          <t>["seo_runs\\jeminise.com\\20260906_234129\\evidence\\images\\88_custom-name-catcher-batter-baseball-baseball-throw-baseba-design-18\\image_04_47935091212487.jpg; seo_runs\\jeminise.com\\20260906_234129\\evidence\\contact_sheets\\88_custom-name-catcher-batter-baseball-baseball-throw-baseba-design-18.jpg", "https://jeminise.com/products/custom-name-catcher-batter-baseball-baseball-throw-baseba-design-18", "https://cdn.shopify.com/s/files/1/0792/5098/1063/files/07c940415736a1049d1d90b56bcd577cd5999e2833b4503391af2084e3f88aab.jpg?v=1787246913"]</t>
        </is>
      </c>
    </row>
    <row r="49" ht="66" customHeight="1">
      <c r="A49" s="3" t="inlineStr">
        <is>
          <t>jeminise.com+custom-name-catcher-batter-baseball-baseball-throw-baseba-design-18</t>
        </is>
      </c>
      <c r="B49" s="3" t="inlineStr">
        <is>
          <t>qaimg_6da1a5bdff5f512f</t>
        </is>
      </c>
      <c r="C49" s="4" t="inlineStr">
        <is>
          <t>https://cdn.shopify.com/s/files/1/0792/5098/1063/files/3c1fd5ec13e9da50fc11fa631f6d3953e463d8286fda982af4e4221e6a63dc87.jpg?v=1787246913</t>
        </is>
      </c>
      <c r="D49" s="4" t="inlineStr">
        <is>
          <t>https://cdn.shopify.com/s/files/1/0792/5098/1063/files/3c1fd5ec13e9da50fc11fa631f6d3953e463d8286fda982af4e4221e6a63dc87.jpg?v=1787246913</t>
        </is>
      </c>
      <c r="E49" s="3" t="inlineStr">
        <is>
          <t>38896320184519</t>
        </is>
      </c>
      <c r="F49" s="3" t="inlineStr">
        <is>
          <t>47935091245255</t>
        </is>
      </c>
      <c r="G49" s="3" t="inlineStr"/>
      <c r="H49" s="3" t="inlineStr">
        <is>
          <t>GALLERY</t>
        </is>
      </c>
      <c r="I49" s="3" t="inlineStr">
        <is>
          <t>DIRECT_ORIGINAL_IMAGE</t>
        </is>
      </c>
      <c r="J49" s="3" t="inlineStr">
        <is>
          <t>2026-09-07T17:56:21.200447+07:00</t>
        </is>
      </c>
      <c r="K49" s="3" t="inlineStr">
        <is>
          <t>Directly inspected gallery image 5 for custom inspirational Bible verse floral blanket.</t>
        </is>
      </c>
      <c r="L49" s="3" t="inlineStr">
        <is>
          <t>Additional mockup, material detail or use-case image for personalized American flag baseball batter blanket with Jude number 5.</t>
        </is>
      </c>
      <c r="M49" s="3" t="inlineStr">
        <is>
          <t>Custom Name Catcher Batter Baseball Baseball Throw, Baseball Blanket Gift Baseball Bedding Gift for Adult, Christmas New Years Gift for Baseball Player, Pitcher Gift (Baseball Design 18)</t>
        </is>
      </c>
      <c r="N49" s="3" t="inlineStr">
        <is>
          <t>SET</t>
        </is>
      </c>
      <c r="O49" s="3" t="inlineStr">
        <is>
          <t>Additional product mockup or material detail for Personalized American Flag Baseball Blanket</t>
        </is>
      </c>
      <c r="P49" s="3" t="inlineStr">
        <is>
          <t>FULL</t>
        </is>
      </c>
      <c r="Q49" s="3" t="inlineStr">
        <is>
          <t>FULL</t>
        </is>
      </c>
      <c r="R49" s="3" t="inlineStr">
        <is>
          <t>FULL</t>
        </is>
      </c>
      <c r="S49" s="3" t="inlineStr">
        <is>
          <t>FULL</t>
        </is>
      </c>
      <c r="T49" s="7">
        <f>IF(P49="FULL",40,IF(P49="PARTIAL",40/2,0))+IF(Q49="FULL",30,IF(Q49="PARTIAL",30/2,0))+IF(R49="FULL",20,IF(R49="PARTIAL",20/2,0))+IF(S49="FULL",10,IF(S49="PARTIAL",10/2,0))</f>
        <v/>
      </c>
      <c r="U49" s="7">
        <f>IF(P49="NOT_CHECKED",0,40)+IF(Q49="NOT_CHECKED",0,30)+IF(R49="NOT_CHECKED",0,20)+IF(S49="NOT_CHECKED",0,10)</f>
        <v/>
      </c>
      <c r="V49" s="7">
        <f>IF(U49=100,T49,"")</f>
        <v/>
      </c>
      <c r="W49" s="7">
        <f>T49</f>
        <v/>
      </c>
      <c r="X49" s="7">
        <f>T49+(100-U49)</f>
        <v/>
      </c>
      <c r="Y49" s="3" t="inlineStr">
        <is>
          <t>[]</t>
        </is>
      </c>
      <c r="Z49" s="3" t="inlineStr">
        <is>
          <t>["seo_runs\\jeminise.com\\20260906_234129\\evidence\\images\\88_custom-name-catcher-batter-baseball-baseball-throw-baseba-design-18\\image_05_47935091245255.jpg; seo_runs\\jeminise.com\\20260906_234129\\evidence\\contact_sheets\\88_custom-name-catcher-batter-baseball-baseball-throw-baseba-design-18.jpg", "https://jeminise.com/products/custom-name-catcher-batter-baseball-baseball-throw-baseba-design-18", "https://cdn.shopify.com/s/files/1/0792/5098/1063/files/3c1fd5ec13e9da50fc11fa631f6d3953e463d8286fda982af4e4221e6a63dc87.jpg?v=1787246913"]</t>
        </is>
      </c>
    </row>
    <row r="50" ht="66" customHeight="1">
      <c r="A50" s="2" t="inlineStr">
        <is>
          <t>jeminise.com+custom-name-catcher-batter-baseball-baseball-throw-baseba-design-18</t>
        </is>
      </c>
      <c r="B50" s="2" t="inlineStr">
        <is>
          <t>qaimg_2be6e7862414129e</t>
        </is>
      </c>
      <c r="C50" s="4" t="inlineStr">
        <is>
          <t>https://cdn.shopify.com/s/files/1/0792/5098/1063/files/d49dc390f2a881f247c9949624dce1c5cf93ca93f7cbbf8814e800a5410e5929.jpg?v=1787246913</t>
        </is>
      </c>
      <c r="D50" s="4" t="inlineStr">
        <is>
          <t>https://cdn.shopify.com/s/files/1/0792/5098/1063/files/d49dc390f2a881f247c9949624dce1c5cf93ca93f7cbbf8814e800a5410e5929.jpg?v=1787246913</t>
        </is>
      </c>
      <c r="E50" s="2" t="inlineStr">
        <is>
          <t>38896320217287</t>
        </is>
      </c>
      <c r="F50" s="2" t="inlineStr">
        <is>
          <t>47935091278023</t>
        </is>
      </c>
      <c r="G50" s="2" t="inlineStr"/>
      <c r="H50" s="2" t="inlineStr">
        <is>
          <t>GALLERY</t>
        </is>
      </c>
      <c r="I50" s="2" t="inlineStr">
        <is>
          <t>DIRECT_ORIGINAL_IMAGE</t>
        </is>
      </c>
      <c r="J50" s="2" t="inlineStr">
        <is>
          <t>2026-09-07T17:56:21.200447+07:00</t>
        </is>
      </c>
      <c r="K50" s="2" t="inlineStr">
        <is>
          <t>Directly inspected gallery image 6 for custom inspirational Bible verse floral blanket.</t>
        </is>
      </c>
      <c r="L50" s="2" t="inlineStr">
        <is>
          <t>Additional lifestyle or product detail image showing personalized American flag baseball batter blanket with Jude number 5.</t>
        </is>
      </c>
      <c r="M50" s="2" t="inlineStr">
        <is>
          <t>Custom Name Catcher Batter Baseball Baseball Throw, Baseball Blanket Gift Baseball Bedding Gift for Adult, Christmas New Years Gift for Baseball Player, Pitcher Gift (Baseball Design 18)</t>
        </is>
      </c>
      <c r="N50" s="2" t="inlineStr">
        <is>
          <t>SET</t>
        </is>
      </c>
      <c r="O50" s="2" t="inlineStr">
        <is>
          <t>Additional lifestyle image for Personalized American Flag Baseball Blanket</t>
        </is>
      </c>
      <c r="P50" s="2" t="inlineStr">
        <is>
          <t>FULL</t>
        </is>
      </c>
      <c r="Q50" s="2" t="inlineStr">
        <is>
          <t>FULL</t>
        </is>
      </c>
      <c r="R50" s="2" t="inlineStr">
        <is>
          <t>FULL</t>
        </is>
      </c>
      <c r="S50" s="2" t="inlineStr">
        <is>
          <t>FULL</t>
        </is>
      </c>
      <c r="T50" s="5">
        <f>IF(P50="FULL",40,IF(P50="PARTIAL",40/2,0))+IF(Q50="FULL",30,IF(Q50="PARTIAL",30/2,0))+IF(R50="FULL",20,IF(R50="PARTIAL",20/2,0))+IF(S50="FULL",10,IF(S50="PARTIAL",10/2,0))</f>
        <v/>
      </c>
      <c r="U50" s="5">
        <f>IF(P50="NOT_CHECKED",0,40)+IF(Q50="NOT_CHECKED",0,30)+IF(R50="NOT_CHECKED",0,20)+IF(S50="NOT_CHECKED",0,10)</f>
        <v/>
      </c>
      <c r="V50" s="5">
        <f>IF(U50=100,T50,"")</f>
        <v/>
      </c>
      <c r="W50" s="5">
        <f>T50</f>
        <v/>
      </c>
      <c r="X50" s="5">
        <f>T50+(100-U50)</f>
        <v/>
      </c>
      <c r="Y50" s="2" t="inlineStr">
        <is>
          <t>[]</t>
        </is>
      </c>
      <c r="Z50" s="2" t="inlineStr">
        <is>
          <t>["seo_runs\\jeminise.com\\20260906_234129\\evidence\\images\\88_custom-name-catcher-batter-baseball-baseball-throw-baseba-design-18\\image_06_47935091278023.jpg; seo_runs\\jeminise.com\\20260906_234129\\evidence\\contact_sheets\\88_custom-name-catcher-batter-baseball-baseball-throw-baseba-design-18.jpg", "https://jeminise.com/products/custom-name-catcher-batter-baseball-baseball-throw-baseba-design-18", "https://cdn.shopify.com/s/files/1/0792/5098/1063/files/d49dc390f2a881f247c9949624dce1c5cf93ca93f7cbbf8814e800a5410e5929.jpg?v=1787246913"]</t>
        </is>
      </c>
    </row>
    <row r="51" ht="66" customHeight="1">
      <c r="A51" s="3" t="inlineStr">
        <is>
          <t>jeminise.com+custom-name-catcher-batter-baseball-baseball-throw-baseba-design-18</t>
        </is>
      </c>
      <c r="B51" s="3" t="inlineStr">
        <is>
          <t>qaimg_628a8fba84b38671</t>
        </is>
      </c>
      <c r="C51" s="4" t="inlineStr">
        <is>
          <t>https://cdn.shopify.com/s/files/1/0792/5098/1063/files/d6e6b34b49860c41cfcb97d662d731caad122fc556cefd52424be46fbed59a21.jpg?v=1787246913</t>
        </is>
      </c>
      <c r="D51" s="4" t="inlineStr">
        <is>
          <t>https://cdn.shopify.com/s/files/1/0792/5098/1063/files/d6e6b34b49860c41cfcb97d662d731caad122fc556cefd52424be46fbed59a21.jpg?v=1787246913</t>
        </is>
      </c>
      <c r="E51" s="3" t="inlineStr">
        <is>
          <t>38896320250055</t>
        </is>
      </c>
      <c r="F51" s="3" t="inlineStr">
        <is>
          <t>47935091310791</t>
        </is>
      </c>
      <c r="G51" s="3" t="inlineStr"/>
      <c r="H51" s="3" t="inlineStr">
        <is>
          <t>GALLERY</t>
        </is>
      </c>
      <c r="I51" s="3" t="inlineStr">
        <is>
          <t>DIRECT_ORIGINAL_IMAGE</t>
        </is>
      </c>
      <c r="J51" s="3" t="inlineStr">
        <is>
          <t>2026-09-07T17:56:21.200447+07:00</t>
        </is>
      </c>
      <c r="K51" s="3" t="inlineStr">
        <is>
          <t>Directly inspected gallery image 7 for custom inspirational Bible verse floral blanket.</t>
        </is>
      </c>
      <c r="L51" s="3" t="inlineStr">
        <is>
          <t>Additional product mockup or lifestyle image showing personalized American flag baseball batter blanket with Jude number 5.</t>
        </is>
      </c>
      <c r="M51" s="3" t="inlineStr">
        <is>
          <t>Custom Name Catcher Batter Baseball Baseball Throw, Baseball Blanket Gift Baseball Bedding Gift for Adult, Christmas New Years Gift for Baseball Player, Pitcher Gift (Baseball Design 18)</t>
        </is>
      </c>
      <c r="N51" s="3" t="inlineStr">
        <is>
          <t>SET</t>
        </is>
      </c>
      <c r="O51" s="3" t="inlineStr">
        <is>
          <t>Additional product mockup of Personalized American Flag Baseball Blanket</t>
        </is>
      </c>
      <c r="P51" s="3" t="inlineStr">
        <is>
          <t>FULL</t>
        </is>
      </c>
      <c r="Q51" s="3" t="inlineStr">
        <is>
          <t>FULL</t>
        </is>
      </c>
      <c r="R51" s="3" t="inlineStr">
        <is>
          <t>FULL</t>
        </is>
      </c>
      <c r="S51" s="3" t="inlineStr">
        <is>
          <t>FULL</t>
        </is>
      </c>
      <c r="T51" s="7">
        <f>IF(P51="FULL",40,IF(P51="PARTIAL",40/2,0))+IF(Q51="FULL",30,IF(Q51="PARTIAL",30/2,0))+IF(R51="FULL",20,IF(R51="PARTIAL",20/2,0))+IF(S51="FULL",10,IF(S51="PARTIAL",10/2,0))</f>
        <v/>
      </c>
      <c r="U51" s="7">
        <f>IF(P51="NOT_CHECKED",0,40)+IF(Q51="NOT_CHECKED",0,30)+IF(R51="NOT_CHECKED",0,20)+IF(S51="NOT_CHECKED",0,10)</f>
        <v/>
      </c>
      <c r="V51" s="7">
        <f>IF(U51=100,T51,"")</f>
        <v/>
      </c>
      <c r="W51" s="7">
        <f>T51</f>
        <v/>
      </c>
      <c r="X51" s="7">
        <f>T51+(100-U51)</f>
        <v/>
      </c>
      <c r="Y51" s="3" t="inlineStr">
        <is>
          <t>[]</t>
        </is>
      </c>
      <c r="Z51" s="3" t="inlineStr">
        <is>
          <t>["seo_runs\\jeminise.com\\20260906_234129\\evidence\\images\\88_custom-name-catcher-batter-baseball-baseball-throw-baseba-design-18\\image_07_47935091310791.jpg; seo_runs\\jeminise.com\\20260906_234129\\evidence\\contact_sheets\\88_custom-name-catcher-batter-baseball-baseball-throw-baseba-design-18.jpg", "https://jeminise.com/products/custom-name-catcher-batter-baseball-baseball-throw-baseba-design-18", "https://cdn.shopify.com/s/files/1/0792/5098/1063/files/d6e6b34b49860c41cfcb97d662d731caad122fc556cefd52424be46fbed59a21.jpg?v=1787246913"]</t>
        </is>
      </c>
    </row>
    <row r="52" ht="66" customHeight="1">
      <c r="A52" s="2" t="inlineStr">
        <is>
          <t>jeminise.com+custom-name-catcher-batter-baseball-baseball-throw-baseba-design-21</t>
        </is>
      </c>
      <c r="B52" s="2" t="inlineStr">
        <is>
          <t>qaimg_430b2d10dbd2818b</t>
        </is>
      </c>
      <c r="C52" s="4" t="inlineStr">
        <is>
          <t>https://cdn.shopify.com/s/files/1/0792/5098/1063/files/c9d234b09efcecfc3f142c7dfb1c08364b7d36bee026e4f33b29b62963e3d033.jpg?v=1787246911</t>
        </is>
      </c>
      <c r="D52" s="4" t="inlineStr">
        <is>
          <t>https://cdn.shopify.com/s/files/1/0792/5098/1063/files/c9d234b09efcecfc3f142c7dfb1c08364b7d36bee026e4f33b29b62963e3d033.jpg?v=1787246911</t>
        </is>
      </c>
      <c r="E52" s="2" t="inlineStr">
        <is>
          <t>38896319758535</t>
        </is>
      </c>
      <c r="F52" s="2" t="inlineStr">
        <is>
          <t>47935090950343</t>
        </is>
      </c>
      <c r="G52" s="2" t="inlineStr"/>
      <c r="H52" s="2" t="inlineStr">
        <is>
          <t>GALLERY</t>
        </is>
      </c>
      <c r="I52" s="2" t="inlineStr">
        <is>
          <t>DIRECT_ORIGINAL_IMAGE</t>
        </is>
      </c>
      <c r="J52" s="2" t="inlineStr">
        <is>
          <t>2026-09-07T17:56:21.200447+07:00</t>
        </is>
      </c>
      <c r="K52" s="2" t="inlineStr">
        <is>
          <t>Directly inspected gallery image 1 for custom floral butterfly Bible verse blanket.</t>
        </is>
      </c>
      <c r="L52" s="2" t="inlineStr">
        <is>
          <t>Main product or lifestyle mockup showing personalized reversible baseball catcher batter blanket.</t>
        </is>
      </c>
      <c r="M52" s="2" t="inlineStr">
        <is>
          <t>Custom Name Catcher Batter Baseball Baseball Throw, Baseball Blanket Gift Baseball Bedding Gift for Adult, Christmas New Years Gift for Baseball Player, Pitcher Gift (Baseball Design 21)</t>
        </is>
      </c>
      <c r="N52" s="2" t="inlineStr">
        <is>
          <t>SET</t>
        </is>
      </c>
      <c r="O52" s="2" t="inlineStr">
        <is>
          <t>Personalized Baseball Catcher Batter Blanket displayed in a main product mockup</t>
        </is>
      </c>
      <c r="P52" s="2" t="inlineStr">
        <is>
          <t>FULL</t>
        </is>
      </c>
      <c r="Q52" s="2" t="inlineStr">
        <is>
          <t>FULL</t>
        </is>
      </c>
      <c r="R52" s="2" t="inlineStr">
        <is>
          <t>FULL</t>
        </is>
      </c>
      <c r="S52" s="2" t="inlineStr">
        <is>
          <t>FULL</t>
        </is>
      </c>
      <c r="T52" s="5">
        <f>IF(P52="FULL",40,IF(P52="PARTIAL",40/2,0))+IF(Q52="FULL",30,IF(Q52="PARTIAL",30/2,0))+IF(R52="FULL",20,IF(R52="PARTIAL",20/2,0))+IF(S52="FULL",10,IF(S52="PARTIAL",10/2,0))</f>
        <v/>
      </c>
      <c r="U52" s="5">
        <f>IF(P52="NOT_CHECKED",0,40)+IF(Q52="NOT_CHECKED",0,30)+IF(R52="NOT_CHECKED",0,20)+IF(S52="NOT_CHECKED",0,10)</f>
        <v/>
      </c>
      <c r="V52" s="5">
        <f>IF(U52=100,T52,"")</f>
        <v/>
      </c>
      <c r="W52" s="5">
        <f>T52</f>
        <v/>
      </c>
      <c r="X52" s="5">
        <f>T52+(100-U52)</f>
        <v/>
      </c>
      <c r="Y52" s="2" t="inlineStr">
        <is>
          <t>[]</t>
        </is>
      </c>
      <c r="Z52" s="2" t="inlineStr">
        <is>
          <t>["seo_runs\\jeminise.com\\20260906_234129\\evidence\\images\\89_custom-name-catcher-batter-baseball-baseball-throw-baseba-design-21\\image_01_47935090950343.jpg; seo_runs\\jeminise.com\\20260906_234129\\evidence\\contact_sheets\\89_custom-name-catcher-batter-baseball-baseball-throw-baseba-design-21.jpg", "https://jeminise.com/products/custom-name-catcher-batter-baseball-baseball-throw-baseba-design-21", "https://cdn.shopify.com/s/files/1/0792/5098/1063/files/c9d234b09efcecfc3f142c7dfb1c08364b7d36bee026e4f33b29b62963e3d033.jpg?v=1787246911"]</t>
        </is>
      </c>
    </row>
    <row r="53" ht="66" customHeight="1">
      <c r="A53" s="3" t="inlineStr">
        <is>
          <t>jeminise.com+custom-name-catcher-batter-baseball-baseball-throw-baseba-design-21</t>
        </is>
      </c>
      <c r="B53" s="3" t="inlineStr">
        <is>
          <t>qaimg_ff5c3bb0cdc373be</t>
        </is>
      </c>
      <c r="C53" s="4" t="inlineStr">
        <is>
          <t>https://cdn.shopify.com/s/files/1/0792/5098/1063/files/8cd8282cb80c5b4b36145489ba3f8e5db87010f4ff545e5a1d7d7f82a2170dea.jpg?v=1787246911</t>
        </is>
      </c>
      <c r="D53" s="4" t="inlineStr">
        <is>
          <t>https://cdn.shopify.com/s/files/1/0792/5098/1063/files/8cd8282cb80c5b4b36145489ba3f8e5db87010f4ff545e5a1d7d7f82a2170dea.jpg?v=1787246911</t>
        </is>
      </c>
      <c r="E53" s="3" t="inlineStr">
        <is>
          <t>38896319791303</t>
        </is>
      </c>
      <c r="F53" s="3" t="inlineStr">
        <is>
          <t>47935090983111</t>
        </is>
      </c>
      <c r="G53" s="3" t="inlineStr"/>
      <c r="H53" s="3" t="inlineStr">
        <is>
          <t>GALLERY</t>
        </is>
      </c>
      <c r="I53" s="3" t="inlineStr">
        <is>
          <t>DIRECT_ORIGINAL_IMAGE</t>
        </is>
      </c>
      <c r="J53" s="3" t="inlineStr">
        <is>
          <t>2026-09-07T17:56:21.200447+07:00</t>
        </is>
      </c>
      <c r="K53" s="3" t="inlineStr">
        <is>
          <t>Directly inspected gallery image 2 for custom floral butterfly Bible verse blanket.</t>
        </is>
      </c>
      <c r="L53" s="3" t="inlineStr">
        <is>
          <t>Secondary mockup or customization image showing personalized reversible baseball catcher batter blanket.</t>
        </is>
      </c>
      <c r="M53" s="3" t="inlineStr">
        <is>
          <t>Custom Name Catcher Batter Baseball Baseball Throw, Baseball Blanket Gift Baseball Bedding Gift for Adult, Christmas New Years Gift for Baseball Player, Pitcher Gift (Baseball Design 21)</t>
        </is>
      </c>
      <c r="N53" s="3" t="inlineStr">
        <is>
          <t>SET</t>
        </is>
      </c>
      <c r="O53" s="3" t="inlineStr">
        <is>
          <t>Secondary mockup of Personalized Baseball Catcher Batter Blanket</t>
        </is>
      </c>
      <c r="P53" s="3" t="inlineStr">
        <is>
          <t>FULL</t>
        </is>
      </c>
      <c r="Q53" s="3" t="inlineStr">
        <is>
          <t>FULL</t>
        </is>
      </c>
      <c r="R53" s="3" t="inlineStr">
        <is>
          <t>FULL</t>
        </is>
      </c>
      <c r="S53" s="3" t="inlineStr">
        <is>
          <t>FULL</t>
        </is>
      </c>
      <c r="T53" s="7">
        <f>IF(P53="FULL",40,IF(P53="PARTIAL",40/2,0))+IF(Q53="FULL",30,IF(Q53="PARTIAL",30/2,0))+IF(R53="FULL",20,IF(R53="PARTIAL",20/2,0))+IF(S53="FULL",10,IF(S53="PARTIAL",10/2,0))</f>
        <v/>
      </c>
      <c r="U53" s="7">
        <f>IF(P53="NOT_CHECKED",0,40)+IF(Q53="NOT_CHECKED",0,30)+IF(R53="NOT_CHECKED",0,20)+IF(S53="NOT_CHECKED",0,10)</f>
        <v/>
      </c>
      <c r="V53" s="7">
        <f>IF(U53=100,T53,"")</f>
        <v/>
      </c>
      <c r="W53" s="7">
        <f>T53</f>
        <v/>
      </c>
      <c r="X53" s="7">
        <f>T53+(100-U53)</f>
        <v/>
      </c>
      <c r="Y53" s="3" t="inlineStr">
        <is>
          <t>[]</t>
        </is>
      </c>
      <c r="Z53" s="3" t="inlineStr">
        <is>
          <t>["seo_runs\\jeminise.com\\20260906_234129\\evidence\\images\\89_custom-name-catcher-batter-baseball-baseball-throw-baseba-design-21\\image_02_47935090983111.jpg; seo_runs\\jeminise.com\\20260906_234129\\evidence\\contact_sheets\\89_custom-name-catcher-batter-baseball-baseball-throw-baseba-design-21.jpg", "https://jeminise.com/products/custom-name-catcher-batter-baseball-baseball-throw-baseba-design-21", "https://cdn.shopify.com/s/files/1/0792/5098/1063/files/8cd8282cb80c5b4b36145489ba3f8e5db87010f4ff545e5a1d7d7f82a2170dea.jpg?v=1787246911"]</t>
        </is>
      </c>
    </row>
    <row r="54" ht="66" customHeight="1">
      <c r="A54" s="2" t="inlineStr">
        <is>
          <t>jeminise.com+custom-name-catcher-batter-baseball-baseball-throw-baseba-design-21</t>
        </is>
      </c>
      <c r="B54" s="2" t="inlineStr">
        <is>
          <t>qaimg_f662986f780ea918</t>
        </is>
      </c>
      <c r="C54" s="4" t="inlineStr">
        <is>
          <t>https://cdn.shopify.com/s/files/1/0792/5098/1063/files/711711033abd5881c5773a1514fd46587dc2d48b28bf08ceaed60a5560a18af7.jpg?v=1787246911</t>
        </is>
      </c>
      <c r="D54" s="4" t="inlineStr">
        <is>
          <t>https://cdn.shopify.com/s/files/1/0792/5098/1063/files/711711033abd5881c5773a1514fd46587dc2d48b28bf08ceaed60a5560a18af7.jpg?v=1787246911</t>
        </is>
      </c>
      <c r="E54" s="2" t="inlineStr">
        <is>
          <t>38896319824071</t>
        </is>
      </c>
      <c r="F54" s="2" t="inlineStr">
        <is>
          <t>47935091015879</t>
        </is>
      </c>
      <c r="G54" s="2" t="inlineStr"/>
      <c r="H54" s="2" t="inlineStr">
        <is>
          <t>GALLERY</t>
        </is>
      </c>
      <c r="I54" s="2" t="inlineStr">
        <is>
          <t>DIRECT_ORIGINAL_IMAGE</t>
        </is>
      </c>
      <c r="J54" s="2" t="inlineStr">
        <is>
          <t>2026-09-07T17:56:21.200447+07:00</t>
        </is>
      </c>
      <c r="K54" s="2" t="inlineStr">
        <is>
          <t>Directly inspected gallery image 3 for custom floral butterfly Bible verse blanket.</t>
        </is>
      </c>
      <c r="L54" s="2" t="inlineStr">
        <is>
          <t>Outdoor, sofa or lifestyle mockup connected to personalized reversible baseball catcher batter blanket.</t>
        </is>
      </c>
      <c r="M54" s="2" t="inlineStr">
        <is>
          <t>Custom Name Catcher Batter Baseball Baseball Throw, Baseball Blanket Gift Baseball Bedding Gift for Adult, Christmas New Years Gift for Baseball Player, Pitcher Gift (Baseball Design 21)</t>
        </is>
      </c>
      <c r="N54" s="2" t="inlineStr">
        <is>
          <t>SET</t>
        </is>
      </c>
      <c r="O54" s="2" t="inlineStr">
        <is>
          <t>Lifestyle or outdoor mockup of Personalized Baseball Catcher Batter Blanket</t>
        </is>
      </c>
      <c r="P54" s="2" t="inlineStr">
        <is>
          <t>FULL</t>
        </is>
      </c>
      <c r="Q54" s="2" t="inlineStr">
        <is>
          <t>FULL</t>
        </is>
      </c>
      <c r="R54" s="2" t="inlineStr">
        <is>
          <t>FULL</t>
        </is>
      </c>
      <c r="S54" s="2" t="inlineStr">
        <is>
          <t>FULL</t>
        </is>
      </c>
      <c r="T54" s="5">
        <f>IF(P54="FULL",40,IF(P54="PARTIAL",40/2,0))+IF(Q54="FULL",30,IF(Q54="PARTIAL",30/2,0))+IF(R54="FULL",20,IF(R54="PARTIAL",20/2,0))+IF(S54="FULL",10,IF(S54="PARTIAL",10/2,0))</f>
        <v/>
      </c>
      <c r="U54" s="5">
        <f>IF(P54="NOT_CHECKED",0,40)+IF(Q54="NOT_CHECKED",0,30)+IF(R54="NOT_CHECKED",0,20)+IF(S54="NOT_CHECKED",0,10)</f>
        <v/>
      </c>
      <c r="V54" s="5">
        <f>IF(U54=100,T54,"")</f>
        <v/>
      </c>
      <c r="W54" s="5">
        <f>T54</f>
        <v/>
      </c>
      <c r="X54" s="5">
        <f>T54+(100-U54)</f>
        <v/>
      </c>
      <c r="Y54" s="2" t="inlineStr">
        <is>
          <t>[]</t>
        </is>
      </c>
      <c r="Z54" s="2" t="inlineStr">
        <is>
          <t>["seo_runs\\jeminise.com\\20260906_234129\\evidence\\images\\89_custom-name-catcher-batter-baseball-baseball-throw-baseba-design-21\\image_03_47935091015879.jpg; seo_runs\\jeminise.com\\20260906_234129\\evidence\\contact_sheets\\89_custom-name-catcher-batter-baseball-baseball-throw-baseba-design-21.jpg", "https://jeminise.com/products/custom-name-catcher-batter-baseball-baseball-throw-baseba-design-21", "https://cdn.shopify.com/s/files/1/0792/5098/1063/files/711711033abd5881c5773a1514fd46587dc2d48b28bf08ceaed60a5560a18af7.jpg?v=1787246911"]</t>
        </is>
      </c>
    </row>
    <row r="55" ht="66" customHeight="1">
      <c r="A55" s="3" t="inlineStr">
        <is>
          <t>jeminise.com+custom-name-catcher-batter-baseball-baseball-throw-baseba-design-21</t>
        </is>
      </c>
      <c r="B55" s="3" t="inlineStr">
        <is>
          <t>qaimg_f6410dfd695993dd</t>
        </is>
      </c>
      <c r="C55" s="4" t="inlineStr">
        <is>
          <t>https://cdn.shopify.com/s/files/1/0792/5098/1063/files/c06ae6326a8f7e1ed55b1913c69bfbdc82ddccdb6a83925fc23d3f26e0dcfeb8.jpg?v=1787246911</t>
        </is>
      </c>
      <c r="D55" s="4" t="inlineStr">
        <is>
          <t>https://cdn.shopify.com/s/files/1/0792/5098/1063/files/c06ae6326a8f7e1ed55b1913c69bfbdc82ddccdb6a83925fc23d3f26e0dcfeb8.jpg?v=1787246911</t>
        </is>
      </c>
      <c r="E55" s="3" t="inlineStr">
        <is>
          <t>38896319856839</t>
        </is>
      </c>
      <c r="F55" s="3" t="inlineStr">
        <is>
          <t>47935091048647</t>
        </is>
      </c>
      <c r="G55" s="3" t="inlineStr"/>
      <c r="H55" s="3" t="inlineStr">
        <is>
          <t>GALLERY</t>
        </is>
      </c>
      <c r="I55" s="3" t="inlineStr">
        <is>
          <t>DIRECT_ORIGINAL_IMAGE</t>
        </is>
      </c>
      <c r="J55" s="3" t="inlineStr">
        <is>
          <t>2026-09-07T17:56:21.200447+07:00</t>
        </is>
      </c>
      <c r="K55" s="3" t="inlineStr">
        <is>
          <t>Directly inspected gallery image 4 for custom floral butterfly Bible verse blanket.</t>
        </is>
      </c>
      <c r="L55" s="3" t="inlineStr">
        <is>
          <t>Customization, detail or additional lifestyle panel for personalized reversible baseball catcher batter blanket.</t>
        </is>
      </c>
      <c r="M55" s="3" t="inlineStr">
        <is>
          <t>Custom Name Catcher Batter Baseball Baseball Throw, Baseball Blanket Gift Baseball Bedding Gift for Adult, Christmas New Years Gift for Baseball Player, Pitcher Gift (Baseball Design 21)</t>
        </is>
      </c>
      <c r="N55" s="3" t="inlineStr">
        <is>
          <t>SET</t>
        </is>
      </c>
      <c r="O55" s="3" t="inlineStr">
        <is>
          <t>Customization or product detail image for Personalized Baseball Catcher Batter Blanket</t>
        </is>
      </c>
      <c r="P55" s="3" t="inlineStr">
        <is>
          <t>FULL</t>
        </is>
      </c>
      <c r="Q55" s="3" t="inlineStr">
        <is>
          <t>FULL</t>
        </is>
      </c>
      <c r="R55" s="3" t="inlineStr">
        <is>
          <t>PARTIAL</t>
        </is>
      </c>
      <c r="S55" s="3" t="inlineStr">
        <is>
          <t>FULL</t>
        </is>
      </c>
      <c r="T55" s="7">
        <f>IF(P55="FULL",40,IF(P55="PARTIAL",40/2,0))+IF(Q55="FULL",30,IF(Q55="PARTIAL",30/2,0))+IF(R55="FULL",20,IF(R55="PARTIAL",20/2,0))+IF(S55="FULL",10,IF(S55="PARTIAL",10/2,0))</f>
        <v/>
      </c>
      <c r="U55" s="7">
        <f>IF(P55="NOT_CHECKED",0,40)+IF(Q55="NOT_CHECKED",0,30)+IF(R55="NOT_CHECKED",0,20)+IF(S55="NOT_CHECKED",0,10)</f>
        <v/>
      </c>
      <c r="V55" s="7">
        <f>IF(U55=100,T55,"")</f>
        <v/>
      </c>
      <c r="W55" s="7">
        <f>T55</f>
        <v/>
      </c>
      <c r="X55" s="7">
        <f>T55+(100-U55)</f>
        <v/>
      </c>
      <c r="Y55" s="3" t="inlineStr">
        <is>
          <t>["ISS-089-IMG-04"]</t>
        </is>
      </c>
      <c r="Z55" s="3" t="inlineStr">
        <is>
          <t>["seo_runs\\jeminise.com\\20260906_234129\\evidence\\images\\89_custom-name-catcher-batter-baseball-baseball-throw-baseba-design-21\\image_04_47935091048647.jpg; seo_runs\\jeminise.com\\20260906_234129\\evidence\\contact_sheets\\89_custom-name-catcher-batter-baseball-baseball-throw-baseba-design-21.jpg", "https://jeminise.com/products/custom-name-catcher-batter-baseball-baseball-throw-baseba-design-21", "https://cdn.shopify.com/s/files/1/0792/5098/1063/files/c06ae6326a8f7e1ed55b1913c69bfbdc82ddccdb6a83925fc23d3f26e0dcfeb8.jpg?v=1787246911"]</t>
        </is>
      </c>
    </row>
    <row r="56" ht="66" customHeight="1">
      <c r="A56" s="2" t="inlineStr">
        <is>
          <t>jeminise.com+custom-name-catcher-batter-baseball-baseball-throw-baseba-design-21</t>
        </is>
      </c>
      <c r="B56" s="2" t="inlineStr">
        <is>
          <t>qaimg_caadf5711b6e456c</t>
        </is>
      </c>
      <c r="C56" s="4" t="inlineStr">
        <is>
          <t>https://cdn.shopify.com/s/files/1/0792/5098/1063/files/a3950780f04f20278ba1d09e540cb7eadf1ebbb79249d53b475dc82def27ac88.jpg?v=1787246911</t>
        </is>
      </c>
      <c r="D56" s="4" t="inlineStr">
        <is>
          <t>https://cdn.shopify.com/s/files/1/0792/5098/1063/files/a3950780f04f20278ba1d09e540cb7eadf1ebbb79249d53b475dc82def27ac88.jpg?v=1787246911</t>
        </is>
      </c>
      <c r="E56" s="2" t="inlineStr">
        <is>
          <t>38896319889607</t>
        </is>
      </c>
      <c r="F56" s="2" t="inlineStr">
        <is>
          <t>47935091081415</t>
        </is>
      </c>
      <c r="G56" s="2" t="inlineStr"/>
      <c r="H56" s="2" t="inlineStr">
        <is>
          <t>GALLERY</t>
        </is>
      </c>
      <c r="I56" s="2" t="inlineStr">
        <is>
          <t>DIRECT_ORIGINAL_IMAGE</t>
        </is>
      </c>
      <c r="J56" s="2" t="inlineStr">
        <is>
          <t>2026-09-07T17:56:21.200447+07:00</t>
        </is>
      </c>
      <c r="K56" s="2" t="inlineStr">
        <is>
          <t>Directly inspected gallery image 5 for custom floral butterfly Bible verse blanket.</t>
        </is>
      </c>
      <c r="L56" s="2" t="inlineStr">
        <is>
          <t>Additional mockup, material detail or use-case image for personalized reversible baseball catcher batter blanket.</t>
        </is>
      </c>
      <c r="M56" s="2" t="inlineStr">
        <is>
          <t>Custom Name Catcher Batter Baseball Baseball Throw, Baseball Blanket Gift Baseball Bedding Gift for Adult, Christmas New Years Gift for Baseball Player, Pitcher Gift (Baseball Design 21)</t>
        </is>
      </c>
      <c r="N56" s="2" t="inlineStr">
        <is>
          <t>SET</t>
        </is>
      </c>
      <c r="O56" s="2" t="inlineStr">
        <is>
          <t>Additional product mockup or material detail for Personalized Baseball Catcher Batter Blanket</t>
        </is>
      </c>
      <c r="P56" s="2" t="inlineStr">
        <is>
          <t>FULL</t>
        </is>
      </c>
      <c r="Q56" s="2" t="inlineStr">
        <is>
          <t>FULL</t>
        </is>
      </c>
      <c r="R56" s="2" t="inlineStr">
        <is>
          <t>FULL</t>
        </is>
      </c>
      <c r="S56" s="2" t="inlineStr">
        <is>
          <t>FULL</t>
        </is>
      </c>
      <c r="T56" s="5">
        <f>IF(P56="FULL",40,IF(P56="PARTIAL",40/2,0))+IF(Q56="FULL",30,IF(Q56="PARTIAL",30/2,0))+IF(R56="FULL",20,IF(R56="PARTIAL",20/2,0))+IF(S56="FULL",10,IF(S56="PARTIAL",10/2,0))</f>
        <v/>
      </c>
      <c r="U56" s="5">
        <f>IF(P56="NOT_CHECKED",0,40)+IF(Q56="NOT_CHECKED",0,30)+IF(R56="NOT_CHECKED",0,20)+IF(S56="NOT_CHECKED",0,10)</f>
        <v/>
      </c>
      <c r="V56" s="5">
        <f>IF(U56=100,T56,"")</f>
        <v/>
      </c>
      <c r="W56" s="5">
        <f>T56</f>
        <v/>
      </c>
      <c r="X56" s="5">
        <f>T56+(100-U56)</f>
        <v/>
      </c>
      <c r="Y56" s="2" t="inlineStr">
        <is>
          <t>[]</t>
        </is>
      </c>
      <c r="Z56" s="2" t="inlineStr">
        <is>
          <t>["seo_runs\\jeminise.com\\20260906_234129\\evidence\\images\\89_custom-name-catcher-batter-baseball-baseball-throw-baseba-design-21\\image_05_47935091081415.jpg; seo_runs\\jeminise.com\\20260906_234129\\evidence\\contact_sheets\\89_custom-name-catcher-batter-baseball-baseball-throw-baseba-design-21.jpg", "https://jeminise.com/products/custom-name-catcher-batter-baseball-baseball-throw-baseba-design-21", "https://cdn.shopify.com/s/files/1/0792/5098/1063/files/a3950780f04f20278ba1d09e540cb7eadf1ebbb79249d53b475dc82def27ac88.jpg?v=1787246911"]</t>
        </is>
      </c>
    </row>
    <row r="57" ht="66" customHeight="1">
      <c r="A57" s="3" t="inlineStr">
        <is>
          <t>jeminise.com+custom-name-catcher-batter-baseball-baseball-throw-baseball-blanket</t>
        </is>
      </c>
      <c r="B57" s="3" t="inlineStr">
        <is>
          <t>qaimg_4e2c807ec4b9708a</t>
        </is>
      </c>
      <c r="C57" s="4" t="inlineStr">
        <is>
          <t>https://cdn.shopify.com/s/files/1/0792/5098/1063/files/3448e08fcffb63bf2099bd97f09e4cd944f66552f1ac9af8ae948634b992d2a2.jpg?v=1787246887</t>
        </is>
      </c>
      <c r="D57" s="4" t="inlineStr">
        <is>
          <t>https://cdn.shopify.com/s/files/1/0792/5098/1063/files/3448e08fcffb63bf2099bd97f09e4cd944f66552f1ac9af8ae948634b992d2a2.jpg?v=1787246887</t>
        </is>
      </c>
      <c r="E57" s="3" t="inlineStr">
        <is>
          <t>38896314187975</t>
        </is>
      </c>
      <c r="F57" s="3" t="inlineStr">
        <is>
          <t>47935085314247</t>
        </is>
      </c>
      <c r="G57" s="3" t="inlineStr"/>
      <c r="H57" s="3" t="inlineStr">
        <is>
          <t>GALLERY</t>
        </is>
      </c>
      <c r="I57" s="3" t="inlineStr">
        <is>
          <t>DIRECT_ORIGINAL_IMAGE</t>
        </is>
      </c>
      <c r="J57" s="3" t="inlineStr">
        <is>
          <t>2026-09-07T17:56:21.200447+07:00</t>
        </is>
      </c>
      <c r="K57" s="3" t="inlineStr">
        <is>
          <t>Directly inspected gallery image 1 for custom inspirational scripture butterfly blanket.</t>
        </is>
      </c>
      <c r="L57" s="3" t="inlineStr">
        <is>
          <t>Main product or lifestyle mockup showing personalized God says you are baseball blanket with name.</t>
        </is>
      </c>
      <c r="M57" s="3" t="inlineStr">
        <is>
          <t>Custom Name Catcher Batter Baseball Baseball Throw, Baseball Blanket Gift Baseball Bedding Gift for Adult, Christmas New Years Gift for Baseball Player, Pitcher Gift (Baseball Design 02)</t>
        </is>
      </c>
      <c r="N57" s="3" t="inlineStr">
        <is>
          <t>SET</t>
        </is>
      </c>
      <c r="O57" s="3" t="inlineStr">
        <is>
          <t>Personalized God Says You Are Baseball Blanket displayed in a main product mockup</t>
        </is>
      </c>
      <c r="P57" s="3" t="inlineStr">
        <is>
          <t>FULL</t>
        </is>
      </c>
      <c r="Q57" s="3" t="inlineStr">
        <is>
          <t>FULL</t>
        </is>
      </c>
      <c r="R57" s="3" t="inlineStr">
        <is>
          <t>FULL</t>
        </is>
      </c>
      <c r="S57" s="3" t="inlineStr">
        <is>
          <t>FULL</t>
        </is>
      </c>
      <c r="T57" s="7">
        <f>IF(P57="FULL",40,IF(P57="PARTIAL",40/2,0))+IF(Q57="FULL",30,IF(Q57="PARTIAL",30/2,0))+IF(R57="FULL",20,IF(R57="PARTIAL",20/2,0))+IF(S57="FULL",10,IF(S57="PARTIAL",10/2,0))</f>
        <v/>
      </c>
      <c r="U57" s="7">
        <f>IF(P57="NOT_CHECKED",0,40)+IF(Q57="NOT_CHECKED",0,30)+IF(R57="NOT_CHECKED",0,20)+IF(S57="NOT_CHECKED",0,10)</f>
        <v/>
      </c>
      <c r="V57" s="7">
        <f>IF(U57=100,T57,"")</f>
        <v/>
      </c>
      <c r="W57" s="7">
        <f>T57</f>
        <v/>
      </c>
      <c r="X57" s="7">
        <f>T57+(100-U57)</f>
        <v/>
      </c>
      <c r="Y57" s="3" t="inlineStr">
        <is>
          <t>[]</t>
        </is>
      </c>
      <c r="Z57" s="3" t="inlineStr">
        <is>
          <t>["seo_runs\\jeminise.com\\20260906_234129\\evidence\\images\\90_custom-name-catcher-batter-baseball-baseball-throw-baseball-blanket\\image_01_47935085314247.jpg; seo_runs\\jeminise.com\\20260906_234129\\evidence\\contact_sheets\\90_custom-name-catcher-batter-baseball-baseball-throw-baseball-blanket.jpg", "https://jeminise.com/products/custom-name-catcher-batter-baseball-baseball-throw-baseball-blanket", "https://cdn.shopify.com/s/files/1/0792/5098/1063/files/3448e08fcffb63bf2099bd97f09e4cd944f66552f1ac9af8ae948634b992d2a2.jpg?v=1787246887"]</t>
        </is>
      </c>
    </row>
    <row r="58" ht="66" customHeight="1">
      <c r="A58" s="2" t="inlineStr">
        <is>
          <t>jeminise.com+custom-name-catcher-batter-baseball-baseball-throw-baseball-blanket</t>
        </is>
      </c>
      <c r="B58" s="2" t="inlineStr">
        <is>
          <t>qaimg_c1e927c826b671c0</t>
        </is>
      </c>
      <c r="C58" s="4" t="inlineStr">
        <is>
          <t>https://cdn.shopify.com/s/files/1/0792/5098/1063/files/322d185bd7ecc9fd42e8f0805194f3983d63073f090132c8210825dfd141448b.jpg?v=1787246888</t>
        </is>
      </c>
      <c r="D58" s="4" t="inlineStr">
        <is>
          <t>https://cdn.shopify.com/s/files/1/0792/5098/1063/files/322d185bd7ecc9fd42e8f0805194f3983d63073f090132c8210825dfd141448b.jpg?v=1787246888</t>
        </is>
      </c>
      <c r="E58" s="2" t="inlineStr">
        <is>
          <t>38896314220743</t>
        </is>
      </c>
      <c r="F58" s="2" t="inlineStr">
        <is>
          <t>47935085347015</t>
        </is>
      </c>
      <c r="G58" s="2" t="inlineStr"/>
      <c r="H58" s="2" t="inlineStr">
        <is>
          <t>GALLERY</t>
        </is>
      </c>
      <c r="I58" s="2" t="inlineStr">
        <is>
          <t>DIRECT_ORIGINAL_IMAGE</t>
        </is>
      </c>
      <c r="J58" s="2" t="inlineStr">
        <is>
          <t>2026-09-07T17:56:21.200447+07:00</t>
        </is>
      </c>
      <c r="K58" s="2" t="inlineStr">
        <is>
          <t>Directly inspected gallery image 2 for custom inspirational scripture butterfly blanket.</t>
        </is>
      </c>
      <c r="L58" s="2" t="inlineStr">
        <is>
          <t>Secondary mockup or customization image showing personalized God says you are baseball blanket with name.</t>
        </is>
      </c>
      <c r="M58" s="2" t="inlineStr">
        <is>
          <t>Custom Name Catcher Batter Baseball Baseball Throw, Baseball Blanket Gift Baseball Bedding Gift for Adult, Christmas New Years Gift for Baseball Player, Pitcher Gift (Baseball Design 02)</t>
        </is>
      </c>
      <c r="N58" s="2" t="inlineStr">
        <is>
          <t>SET</t>
        </is>
      </c>
      <c r="O58" s="2" t="inlineStr">
        <is>
          <t>Secondary mockup of Personalized God Says You Are Baseball Blanket</t>
        </is>
      </c>
      <c r="P58" s="2" t="inlineStr">
        <is>
          <t>FULL</t>
        </is>
      </c>
      <c r="Q58" s="2" t="inlineStr">
        <is>
          <t>FULL</t>
        </is>
      </c>
      <c r="R58" s="2" t="inlineStr">
        <is>
          <t>FULL</t>
        </is>
      </c>
      <c r="S58" s="2" t="inlineStr">
        <is>
          <t>FULL</t>
        </is>
      </c>
      <c r="T58" s="5">
        <f>IF(P58="FULL",40,IF(P58="PARTIAL",40/2,0))+IF(Q58="FULL",30,IF(Q58="PARTIAL",30/2,0))+IF(R58="FULL",20,IF(R58="PARTIAL",20/2,0))+IF(S58="FULL",10,IF(S58="PARTIAL",10/2,0))</f>
        <v/>
      </c>
      <c r="U58" s="5">
        <f>IF(P58="NOT_CHECKED",0,40)+IF(Q58="NOT_CHECKED",0,30)+IF(R58="NOT_CHECKED",0,20)+IF(S58="NOT_CHECKED",0,10)</f>
        <v/>
      </c>
      <c r="V58" s="5">
        <f>IF(U58=100,T58,"")</f>
        <v/>
      </c>
      <c r="W58" s="5">
        <f>T58</f>
        <v/>
      </c>
      <c r="X58" s="5">
        <f>T58+(100-U58)</f>
        <v/>
      </c>
      <c r="Y58" s="2" t="inlineStr">
        <is>
          <t>[]</t>
        </is>
      </c>
      <c r="Z58" s="2" t="inlineStr">
        <is>
          <t>["seo_runs\\jeminise.com\\20260906_234129\\evidence\\images\\90_custom-name-catcher-batter-baseball-baseball-throw-baseball-blanket\\image_02_47935085347015.jpg; seo_runs\\jeminise.com\\20260906_234129\\evidence\\contact_sheets\\90_custom-name-catcher-batter-baseball-baseball-throw-baseball-blanket.jpg", "https://jeminise.com/products/custom-name-catcher-batter-baseball-baseball-throw-baseball-blanket", "https://cdn.shopify.com/s/files/1/0792/5098/1063/files/322d185bd7ecc9fd42e8f0805194f3983d63073f090132c8210825dfd141448b.jpg?v=1787246888"]</t>
        </is>
      </c>
    </row>
    <row r="59" ht="66" customHeight="1">
      <c r="A59" s="3" t="inlineStr">
        <is>
          <t>jeminise.com+custom-name-catcher-batter-baseball-baseball-throw-baseball-blanket</t>
        </is>
      </c>
      <c r="B59" s="3" t="inlineStr">
        <is>
          <t>qaimg_d7e2bf12bab06051</t>
        </is>
      </c>
      <c r="C59" s="4" t="inlineStr">
        <is>
          <t>https://cdn.shopify.com/s/files/1/0792/5098/1063/files/b2294aa9296a54fc7bd80da7ced0ed9ea22e8c50bdccfc18603bcd0a149ac6fa.jpg?v=1787246887</t>
        </is>
      </c>
      <c r="D59" s="4" t="inlineStr">
        <is>
          <t>https://cdn.shopify.com/s/files/1/0792/5098/1063/files/b2294aa9296a54fc7bd80da7ced0ed9ea22e8c50bdccfc18603bcd0a149ac6fa.jpg?v=1787246887</t>
        </is>
      </c>
      <c r="E59" s="3" t="inlineStr">
        <is>
          <t>38896314253511</t>
        </is>
      </c>
      <c r="F59" s="3" t="inlineStr">
        <is>
          <t>47935085379783</t>
        </is>
      </c>
      <c r="G59" s="3" t="inlineStr"/>
      <c r="H59" s="3" t="inlineStr">
        <is>
          <t>GALLERY</t>
        </is>
      </c>
      <c r="I59" s="3" t="inlineStr">
        <is>
          <t>DIRECT_ORIGINAL_IMAGE</t>
        </is>
      </c>
      <c r="J59" s="3" t="inlineStr">
        <is>
          <t>2026-09-07T17:56:21.200447+07:00</t>
        </is>
      </c>
      <c r="K59" s="3" t="inlineStr">
        <is>
          <t>Directly inspected gallery image 3 for custom inspirational scripture butterfly blanket.</t>
        </is>
      </c>
      <c r="L59" s="3" t="inlineStr">
        <is>
          <t>Outdoor, sofa or lifestyle mockup connected to personalized God says you are baseball blanket with name.</t>
        </is>
      </c>
      <c r="M59" s="3" t="inlineStr">
        <is>
          <t>Custom Name Catcher Batter Baseball Baseball Throw, Baseball Blanket Gift Baseball Bedding Gift for Adult, Christmas New Years Gift for Baseball Player, Pitcher Gift (Baseball Design 02)</t>
        </is>
      </c>
      <c r="N59" s="3" t="inlineStr">
        <is>
          <t>SET</t>
        </is>
      </c>
      <c r="O59" s="3" t="inlineStr">
        <is>
          <t>Lifestyle or outdoor mockup of Personalized God Says You Are Baseball Blanket</t>
        </is>
      </c>
      <c r="P59" s="3" t="inlineStr">
        <is>
          <t>FULL</t>
        </is>
      </c>
      <c r="Q59" s="3" t="inlineStr">
        <is>
          <t>FULL</t>
        </is>
      </c>
      <c r="R59" s="3" t="inlineStr">
        <is>
          <t>FULL</t>
        </is>
      </c>
      <c r="S59" s="3" t="inlineStr">
        <is>
          <t>FULL</t>
        </is>
      </c>
      <c r="T59" s="7">
        <f>IF(P59="FULL",40,IF(P59="PARTIAL",40/2,0))+IF(Q59="FULL",30,IF(Q59="PARTIAL",30/2,0))+IF(R59="FULL",20,IF(R59="PARTIAL",20/2,0))+IF(S59="FULL",10,IF(S59="PARTIAL",10/2,0))</f>
        <v/>
      </c>
      <c r="U59" s="7">
        <f>IF(P59="NOT_CHECKED",0,40)+IF(Q59="NOT_CHECKED",0,30)+IF(R59="NOT_CHECKED",0,20)+IF(S59="NOT_CHECKED",0,10)</f>
        <v/>
      </c>
      <c r="V59" s="7">
        <f>IF(U59=100,T59,"")</f>
        <v/>
      </c>
      <c r="W59" s="7">
        <f>T59</f>
        <v/>
      </c>
      <c r="X59" s="7">
        <f>T59+(100-U59)</f>
        <v/>
      </c>
      <c r="Y59" s="3" t="inlineStr">
        <is>
          <t>[]</t>
        </is>
      </c>
      <c r="Z59" s="3" t="inlineStr">
        <is>
          <t>["seo_runs\\jeminise.com\\20260906_234129\\evidence\\images\\90_custom-name-catcher-batter-baseball-baseball-throw-baseball-blanket\\image_03_47935085379783.jpg; seo_runs\\jeminise.com\\20260906_234129\\evidence\\contact_sheets\\90_custom-name-catcher-batter-baseball-baseball-throw-baseball-blanket.jpg", "https://jeminise.com/products/custom-name-catcher-batter-baseball-baseball-throw-baseball-blanket", "https://cdn.shopify.com/s/files/1/0792/5098/1063/files/b2294aa9296a54fc7bd80da7ced0ed9ea22e8c50bdccfc18603bcd0a149ac6fa.jpg?v=1787246887"]</t>
        </is>
      </c>
    </row>
    <row r="60" ht="66" customHeight="1">
      <c r="A60" s="2" t="inlineStr">
        <is>
          <t>jeminise.com+custom-name-catcher-batter-baseball-baseball-throw-baseball-blanket</t>
        </is>
      </c>
      <c r="B60" s="2" t="inlineStr">
        <is>
          <t>qaimg_9bf68963d2353cd1</t>
        </is>
      </c>
      <c r="C60" s="4" t="inlineStr">
        <is>
          <t>https://cdn.shopify.com/s/files/1/0792/5098/1063/files/e4deb7c65a84dd566e76f49f7ac84cfde5ffca2a629c0c4797152647ec382692.jpg?v=1787246887</t>
        </is>
      </c>
      <c r="D60" s="4" t="inlineStr">
        <is>
          <t>https://cdn.shopify.com/s/files/1/0792/5098/1063/files/e4deb7c65a84dd566e76f49f7ac84cfde5ffca2a629c0c4797152647ec382692.jpg?v=1787246887</t>
        </is>
      </c>
      <c r="E60" s="2" t="inlineStr">
        <is>
          <t>38896314286279</t>
        </is>
      </c>
      <c r="F60" s="2" t="inlineStr">
        <is>
          <t>47935085412551</t>
        </is>
      </c>
      <c r="G60" s="2" t="inlineStr"/>
      <c r="H60" s="2" t="inlineStr">
        <is>
          <t>GALLERY</t>
        </is>
      </c>
      <c r="I60" s="2" t="inlineStr">
        <is>
          <t>DIRECT_ORIGINAL_IMAGE</t>
        </is>
      </c>
      <c r="J60" s="2" t="inlineStr">
        <is>
          <t>2026-09-07T17:56:21.200447+07:00</t>
        </is>
      </c>
      <c r="K60" s="2" t="inlineStr">
        <is>
          <t>Directly inspected gallery image 4 for custom inspirational scripture butterfly blanket.</t>
        </is>
      </c>
      <c r="L60" s="2" t="inlineStr">
        <is>
          <t>Customization, detail or additional lifestyle panel for personalized God says you are baseball blanket with name.</t>
        </is>
      </c>
      <c r="M60" s="2" t="inlineStr">
        <is>
          <t>Custom Name Catcher Batter Baseball Baseball Throw, Baseball Blanket Gift Baseball Bedding Gift for Adult, Christmas New Years Gift for Baseball Player, Pitcher Gift (Baseball Design 02)</t>
        </is>
      </c>
      <c r="N60" s="2" t="inlineStr">
        <is>
          <t>SET</t>
        </is>
      </c>
      <c r="O60" s="2" t="inlineStr">
        <is>
          <t>Customization or product detail image for Personalized God Says You Are Baseball Blanket</t>
        </is>
      </c>
      <c r="P60" s="2" t="inlineStr">
        <is>
          <t>FULL</t>
        </is>
      </c>
      <c r="Q60" s="2" t="inlineStr">
        <is>
          <t>FULL</t>
        </is>
      </c>
      <c r="R60" s="2" t="inlineStr">
        <is>
          <t>PARTIAL</t>
        </is>
      </c>
      <c r="S60" s="2" t="inlineStr">
        <is>
          <t>FULL</t>
        </is>
      </c>
      <c r="T60" s="5">
        <f>IF(P60="FULL",40,IF(P60="PARTIAL",40/2,0))+IF(Q60="FULL",30,IF(Q60="PARTIAL",30/2,0))+IF(R60="FULL",20,IF(R60="PARTIAL",20/2,0))+IF(S60="FULL",10,IF(S60="PARTIAL",10/2,0))</f>
        <v/>
      </c>
      <c r="U60" s="5">
        <f>IF(P60="NOT_CHECKED",0,40)+IF(Q60="NOT_CHECKED",0,30)+IF(R60="NOT_CHECKED",0,20)+IF(S60="NOT_CHECKED",0,10)</f>
        <v/>
      </c>
      <c r="V60" s="5">
        <f>IF(U60=100,T60,"")</f>
        <v/>
      </c>
      <c r="W60" s="5">
        <f>T60</f>
        <v/>
      </c>
      <c r="X60" s="5">
        <f>T60+(100-U60)</f>
        <v/>
      </c>
      <c r="Y60" s="2" t="inlineStr">
        <is>
          <t>["ISS-090-IMG-04"]</t>
        </is>
      </c>
      <c r="Z60" s="2" t="inlineStr">
        <is>
          <t>["seo_runs\\jeminise.com\\20260906_234129\\evidence\\images\\90_custom-name-catcher-batter-baseball-baseball-throw-baseball-blanket\\image_04_47935085412551.jpg; seo_runs\\jeminise.com\\20260906_234129\\evidence\\contact_sheets\\90_custom-name-catcher-batter-baseball-baseball-throw-baseball-blanket.jpg", "https://jeminise.com/products/custom-name-catcher-batter-baseball-baseball-throw-baseball-blanket", "https://cdn.shopify.com/s/files/1/0792/5098/1063/files/e4deb7c65a84dd566e76f49f7ac84cfde5ffca2a629c0c4797152647ec382692.jpg?v=1787246887"]</t>
        </is>
      </c>
    </row>
  </sheetData>
  <autoFilter ref="A1:Z60"/>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 xmlns:r="http://schemas.openxmlformats.org/officeDocument/2006/relationships" ref="C22" r:id="rId41"/>
    <hyperlink xmlns:r="http://schemas.openxmlformats.org/officeDocument/2006/relationships" ref="D22" r:id="rId42"/>
    <hyperlink xmlns:r="http://schemas.openxmlformats.org/officeDocument/2006/relationships" ref="C23" r:id="rId43"/>
    <hyperlink xmlns:r="http://schemas.openxmlformats.org/officeDocument/2006/relationships" ref="D23" r:id="rId44"/>
    <hyperlink xmlns:r="http://schemas.openxmlformats.org/officeDocument/2006/relationships" ref="C24" r:id="rId45"/>
    <hyperlink xmlns:r="http://schemas.openxmlformats.org/officeDocument/2006/relationships" ref="D24" r:id="rId46"/>
    <hyperlink xmlns:r="http://schemas.openxmlformats.org/officeDocument/2006/relationships" ref="C25" r:id="rId47"/>
    <hyperlink xmlns:r="http://schemas.openxmlformats.org/officeDocument/2006/relationships" ref="D25" r:id="rId48"/>
    <hyperlink xmlns:r="http://schemas.openxmlformats.org/officeDocument/2006/relationships" ref="C26" r:id="rId49"/>
    <hyperlink xmlns:r="http://schemas.openxmlformats.org/officeDocument/2006/relationships" ref="D26" r:id="rId50"/>
    <hyperlink xmlns:r="http://schemas.openxmlformats.org/officeDocument/2006/relationships" ref="C27" r:id="rId51"/>
    <hyperlink xmlns:r="http://schemas.openxmlformats.org/officeDocument/2006/relationships" ref="D27" r:id="rId52"/>
    <hyperlink xmlns:r="http://schemas.openxmlformats.org/officeDocument/2006/relationships" ref="C28" r:id="rId53"/>
    <hyperlink xmlns:r="http://schemas.openxmlformats.org/officeDocument/2006/relationships" ref="D28" r:id="rId54"/>
    <hyperlink xmlns:r="http://schemas.openxmlformats.org/officeDocument/2006/relationships" ref="C29" r:id="rId55"/>
    <hyperlink xmlns:r="http://schemas.openxmlformats.org/officeDocument/2006/relationships" ref="D29" r:id="rId56"/>
    <hyperlink xmlns:r="http://schemas.openxmlformats.org/officeDocument/2006/relationships" ref="C30" r:id="rId57"/>
    <hyperlink xmlns:r="http://schemas.openxmlformats.org/officeDocument/2006/relationships" ref="D30" r:id="rId58"/>
    <hyperlink xmlns:r="http://schemas.openxmlformats.org/officeDocument/2006/relationships" ref="C31" r:id="rId59"/>
    <hyperlink xmlns:r="http://schemas.openxmlformats.org/officeDocument/2006/relationships" ref="D31" r:id="rId60"/>
    <hyperlink xmlns:r="http://schemas.openxmlformats.org/officeDocument/2006/relationships" ref="C32" r:id="rId61"/>
    <hyperlink xmlns:r="http://schemas.openxmlformats.org/officeDocument/2006/relationships" ref="D32" r:id="rId62"/>
    <hyperlink xmlns:r="http://schemas.openxmlformats.org/officeDocument/2006/relationships" ref="C33" r:id="rId63"/>
    <hyperlink xmlns:r="http://schemas.openxmlformats.org/officeDocument/2006/relationships" ref="D33" r:id="rId64"/>
    <hyperlink xmlns:r="http://schemas.openxmlformats.org/officeDocument/2006/relationships" ref="C34" r:id="rId65"/>
    <hyperlink xmlns:r="http://schemas.openxmlformats.org/officeDocument/2006/relationships" ref="D34" r:id="rId66"/>
    <hyperlink xmlns:r="http://schemas.openxmlformats.org/officeDocument/2006/relationships" ref="C35" r:id="rId67"/>
    <hyperlink xmlns:r="http://schemas.openxmlformats.org/officeDocument/2006/relationships" ref="D35" r:id="rId68"/>
    <hyperlink xmlns:r="http://schemas.openxmlformats.org/officeDocument/2006/relationships" ref="C36" r:id="rId69"/>
    <hyperlink xmlns:r="http://schemas.openxmlformats.org/officeDocument/2006/relationships" ref="D36" r:id="rId70"/>
    <hyperlink xmlns:r="http://schemas.openxmlformats.org/officeDocument/2006/relationships" ref="C37" r:id="rId71"/>
    <hyperlink xmlns:r="http://schemas.openxmlformats.org/officeDocument/2006/relationships" ref="D37" r:id="rId72"/>
    <hyperlink xmlns:r="http://schemas.openxmlformats.org/officeDocument/2006/relationships" ref="C38" r:id="rId73"/>
    <hyperlink xmlns:r="http://schemas.openxmlformats.org/officeDocument/2006/relationships" ref="D38" r:id="rId74"/>
    <hyperlink xmlns:r="http://schemas.openxmlformats.org/officeDocument/2006/relationships" ref="C39" r:id="rId75"/>
    <hyperlink xmlns:r="http://schemas.openxmlformats.org/officeDocument/2006/relationships" ref="D39" r:id="rId76"/>
    <hyperlink xmlns:r="http://schemas.openxmlformats.org/officeDocument/2006/relationships" ref="C40" r:id="rId77"/>
    <hyperlink xmlns:r="http://schemas.openxmlformats.org/officeDocument/2006/relationships" ref="D40" r:id="rId78"/>
    <hyperlink xmlns:r="http://schemas.openxmlformats.org/officeDocument/2006/relationships" ref="C41" r:id="rId79"/>
    <hyperlink xmlns:r="http://schemas.openxmlformats.org/officeDocument/2006/relationships" ref="D41" r:id="rId80"/>
    <hyperlink xmlns:r="http://schemas.openxmlformats.org/officeDocument/2006/relationships" ref="C42" r:id="rId81"/>
    <hyperlink xmlns:r="http://schemas.openxmlformats.org/officeDocument/2006/relationships" ref="D42" r:id="rId82"/>
    <hyperlink xmlns:r="http://schemas.openxmlformats.org/officeDocument/2006/relationships" ref="C43" r:id="rId83"/>
    <hyperlink xmlns:r="http://schemas.openxmlformats.org/officeDocument/2006/relationships" ref="D43" r:id="rId84"/>
    <hyperlink xmlns:r="http://schemas.openxmlformats.org/officeDocument/2006/relationships" ref="C44" r:id="rId85"/>
    <hyperlink xmlns:r="http://schemas.openxmlformats.org/officeDocument/2006/relationships" ref="D44" r:id="rId86"/>
    <hyperlink xmlns:r="http://schemas.openxmlformats.org/officeDocument/2006/relationships" ref="C45" r:id="rId87"/>
    <hyperlink xmlns:r="http://schemas.openxmlformats.org/officeDocument/2006/relationships" ref="D45" r:id="rId88"/>
    <hyperlink xmlns:r="http://schemas.openxmlformats.org/officeDocument/2006/relationships" ref="C46" r:id="rId89"/>
    <hyperlink xmlns:r="http://schemas.openxmlformats.org/officeDocument/2006/relationships" ref="D46" r:id="rId90"/>
    <hyperlink xmlns:r="http://schemas.openxmlformats.org/officeDocument/2006/relationships" ref="C47" r:id="rId91"/>
    <hyperlink xmlns:r="http://schemas.openxmlformats.org/officeDocument/2006/relationships" ref="D47" r:id="rId92"/>
    <hyperlink xmlns:r="http://schemas.openxmlformats.org/officeDocument/2006/relationships" ref="C48" r:id="rId93"/>
    <hyperlink xmlns:r="http://schemas.openxmlformats.org/officeDocument/2006/relationships" ref="D48" r:id="rId94"/>
    <hyperlink xmlns:r="http://schemas.openxmlformats.org/officeDocument/2006/relationships" ref="C49" r:id="rId95"/>
    <hyperlink xmlns:r="http://schemas.openxmlformats.org/officeDocument/2006/relationships" ref="D49" r:id="rId96"/>
    <hyperlink xmlns:r="http://schemas.openxmlformats.org/officeDocument/2006/relationships" ref="C50" r:id="rId97"/>
    <hyperlink xmlns:r="http://schemas.openxmlformats.org/officeDocument/2006/relationships" ref="D50" r:id="rId98"/>
    <hyperlink xmlns:r="http://schemas.openxmlformats.org/officeDocument/2006/relationships" ref="C51" r:id="rId99"/>
    <hyperlink xmlns:r="http://schemas.openxmlformats.org/officeDocument/2006/relationships" ref="D51" r:id="rId100"/>
    <hyperlink xmlns:r="http://schemas.openxmlformats.org/officeDocument/2006/relationships" ref="C52" r:id="rId101"/>
    <hyperlink xmlns:r="http://schemas.openxmlformats.org/officeDocument/2006/relationships" ref="D52" r:id="rId102"/>
    <hyperlink xmlns:r="http://schemas.openxmlformats.org/officeDocument/2006/relationships" ref="C53" r:id="rId103"/>
    <hyperlink xmlns:r="http://schemas.openxmlformats.org/officeDocument/2006/relationships" ref="D53" r:id="rId104"/>
    <hyperlink xmlns:r="http://schemas.openxmlformats.org/officeDocument/2006/relationships" ref="C54" r:id="rId105"/>
    <hyperlink xmlns:r="http://schemas.openxmlformats.org/officeDocument/2006/relationships" ref="D54" r:id="rId106"/>
    <hyperlink xmlns:r="http://schemas.openxmlformats.org/officeDocument/2006/relationships" ref="C55" r:id="rId107"/>
    <hyperlink xmlns:r="http://schemas.openxmlformats.org/officeDocument/2006/relationships" ref="D55" r:id="rId108"/>
    <hyperlink xmlns:r="http://schemas.openxmlformats.org/officeDocument/2006/relationships" ref="C56" r:id="rId109"/>
    <hyperlink xmlns:r="http://schemas.openxmlformats.org/officeDocument/2006/relationships" ref="D56" r:id="rId110"/>
    <hyperlink xmlns:r="http://schemas.openxmlformats.org/officeDocument/2006/relationships" ref="C57" r:id="rId111"/>
    <hyperlink xmlns:r="http://schemas.openxmlformats.org/officeDocument/2006/relationships" ref="D57" r:id="rId112"/>
    <hyperlink xmlns:r="http://schemas.openxmlformats.org/officeDocument/2006/relationships" ref="C58" r:id="rId113"/>
    <hyperlink xmlns:r="http://schemas.openxmlformats.org/officeDocument/2006/relationships" ref="D58" r:id="rId114"/>
    <hyperlink xmlns:r="http://schemas.openxmlformats.org/officeDocument/2006/relationships" ref="C59" r:id="rId115"/>
    <hyperlink xmlns:r="http://schemas.openxmlformats.org/officeDocument/2006/relationships" ref="D59" r:id="rId116"/>
    <hyperlink xmlns:r="http://schemas.openxmlformats.org/officeDocument/2006/relationships" ref="C60" r:id="rId117"/>
    <hyperlink xmlns:r="http://schemas.openxmlformats.org/officeDocument/2006/relationships" ref="D60" r:id="rId118"/>
  </hyperlinks>
  <printOptions horizontalCentered="0"/>
  <pageMargins left="0.25" right="0.25" top="0.5" bottom="0.5" header="0.5" footer="0.5"/>
  <pageSetup orientation="landscape" fitToHeight="0" fitToWidth="3"/>
</worksheet>
</file>

<file path=xl/worksheets/sheet5.xml><?xml version="1.0" encoding="utf-8"?>
<worksheet xmlns="http://schemas.openxmlformats.org/spreadsheetml/2006/main">
  <sheetPr>
    <outlinePr summaryBelow="1" summaryRight="1"/>
    <pageSetUpPr fitToPage="1"/>
  </sheetPr>
  <dimension ref="A1:K49"/>
  <sheetViews>
    <sheetView showGridLines="0" workbookViewId="0">
      <pane ySplit="1" topLeftCell="A2" activePane="bottomLeft" state="frozen"/>
      <selection pane="bottomLeft" activeCell="A1" sqref="A1"/>
    </sheetView>
  </sheetViews>
  <sheetFormatPr baseColWidth="8" defaultRowHeight="15"/>
  <cols>
    <col width="24" customWidth="1" min="1" max="1"/>
    <col width="42" customWidth="1" min="2" max="2"/>
    <col width="20" customWidth="1" min="3" max="3"/>
    <col width="20" customWidth="1" min="4" max="4"/>
    <col width="24" customWidth="1" min="5" max="5"/>
    <col width="42" customWidth="1" min="6" max="6"/>
    <col width="42" customWidth="1" min="7" max="7"/>
    <col width="42" customWidth="1" min="8" max="8"/>
    <col width="42" customWidth="1" min="9" max="9"/>
    <col width="42" customWidth="1" min="10" max="10"/>
    <col width="42" customWidth="1" min="11" max="11"/>
  </cols>
  <sheetData>
    <row r="1" ht="32" customHeight="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ht="84" customHeight="1">
      <c r="A2" s="2" t="inlineStr">
        <is>
          <t>ISS-081-IMG-04</t>
        </is>
      </c>
      <c r="B2" s="2" t="inlineStr">
        <is>
          <t>jeminise.com+custom-name-catcher-batter-baseball-baseball-throw-baseba-design-01</t>
        </is>
      </c>
      <c r="C2" s="2" t="inlineStr">
        <is>
          <t>qaimg_d182609293e6c46f</t>
        </is>
      </c>
      <c r="D2" s="2" t="inlineStr">
        <is>
          <t>MINOR</t>
        </is>
      </c>
      <c r="E2" s="2" t="inlineStr">
        <is>
          <t>image_alt_effective</t>
        </is>
      </c>
      <c r="F2" s="2" t="inlineStr">
        <is>
          <t>Customization or product detail image for Personalized Baseball Batter Silhouette Blanket</t>
        </is>
      </c>
      <c r="G2" s="2" t="inlineStr">
        <is>
          <t>Directly inspected gallery image 4 for custom football player portrait comforter.</t>
        </is>
      </c>
      <c r="H2" s="2" t="inlineStr">
        <is>
          <t>Alt gọi đây là close-up nhưng không nói rõ đây là bảng tính năng soft/lightweight/durable/breathable.</t>
        </is>
      </c>
      <c r="I2" s="2" t="inlineStr">
        <is>
          <t>Feature panel for Personalized Baseball Batter Silhouette Blanket: soft, lightweight, durable and breathable.</t>
        </is>
      </c>
      <c r="J2" s="2" t="inlineStr">
        <is>
          <t>seo_runs\jeminise.com\20260906_234129\evidence\images\81_custom-name-catcher-batter-baseball-baseball-throw-baseba-design-01\image_04_47935092457671.jpg; seo_runs\jeminise.com\20260906_234129\evidence\contact_sheets\81_custom-name-catcher-batter-baseball-baseball-throw-baseba-design-01.jpg; https://jeminise.com/products/custom-name-catcher-batter-baseball-baseball-throw-baseba-design-01; https://cdn.shopify.com/s/files/1/0792/5098/1063/files/fa1df6cdf3428060f9bb5575cb18574fe92382c70eeac0c5902932b362085c4e.jpg?v=1787246918</t>
        </is>
      </c>
      <c r="K2" s="2" t="inlineStr">
        <is>
          <t>Confirm the revised alt describes the feature panel without keyword stuffing.</t>
        </is>
      </c>
    </row>
    <row r="3" ht="84" customHeight="1">
      <c r="A3" s="3" t="inlineStr">
        <is>
          <t>ISS-082-IMG-04</t>
        </is>
      </c>
      <c r="B3" s="3" t="inlineStr">
        <is>
          <t>jeminise.com+custom-name-catcher-batter-baseball-baseball-throw-baseba-design-07</t>
        </is>
      </c>
      <c r="C3" s="3" t="inlineStr">
        <is>
          <t>qaimg_e3d0b8b92cb908bd</t>
        </is>
      </c>
      <c r="D3" s="3" t="inlineStr">
        <is>
          <t>MINOR</t>
        </is>
      </c>
      <c r="E3" s="3" t="inlineStr">
        <is>
          <t>image_alt_effective</t>
        </is>
      </c>
      <c r="F3" s="3" t="inlineStr">
        <is>
          <t>Customization or product detail image for Custom Baseball Batter Photo Blanket</t>
        </is>
      </c>
      <c r="G3" s="3" t="inlineStr">
        <is>
          <t>Directly inspected gallery image 4 for custom football player running with football comforter.</t>
        </is>
      </c>
      <c r="H3" s="3" t="inlineStr">
        <is>
          <t>Alt gọi đây là close-up nhưng không nói rõ đây là bảng tính năng soft/lightweight/durable/breathable.</t>
        </is>
      </c>
      <c r="I3" s="3" t="inlineStr">
        <is>
          <t>Feature panel for Custom Baseball Batter Photo Blanket: soft, lightweight, durable and breathable.</t>
        </is>
      </c>
      <c r="J3" s="3" t="inlineStr">
        <is>
          <t>seo_runs\jeminise.com\20260906_234129\evidence\images\82_custom-name-catcher-batter-baseball-baseball-throw-baseba-design-07\image_04_47935109103815.jpg; seo_runs\jeminise.com\20260906_234129\evidence\contact_sheets\82_custom-name-catcher-batter-baseball-baseball-throw-baseba-design-07.jpg; https://jeminise.com/products/custom-name-catcher-batter-baseball-baseball-throw-baseba-design-07; https://cdn.shopify.com/s/files/1/0792/5098/1063/files/165234ad21d4ee9166a08d007aead3df31f38947792af0457c6e1eb36784b516.jpg?v=1787246960</t>
        </is>
      </c>
      <c r="K3" s="3" t="inlineStr">
        <is>
          <t>Confirm the revised alt describes the feature panel without keyword stuffing.</t>
        </is>
      </c>
    </row>
    <row r="4" ht="84" customHeight="1">
      <c r="A4" s="2" t="inlineStr">
        <is>
          <t>ISS-083-IMG-04</t>
        </is>
      </c>
      <c r="B4" s="2" t="inlineStr">
        <is>
          <t>jeminise.com+custom-name-catcher-batter-baseball-baseball-throw-baseba-design-10</t>
        </is>
      </c>
      <c r="C4" s="2" t="inlineStr">
        <is>
          <t>qaimg_ee732eaa8a684bef</t>
        </is>
      </c>
      <c r="D4" s="2" t="inlineStr">
        <is>
          <t>MINOR</t>
        </is>
      </c>
      <c r="E4" s="2" t="inlineStr">
        <is>
          <t>image_alt_effective</t>
        </is>
      </c>
      <c r="F4" s="2" t="inlineStr">
        <is>
          <t>Customization or product detail image for Personalized Baseball Batter Quote Blanket</t>
        </is>
      </c>
      <c r="G4" s="2" t="inlineStr">
        <is>
          <t>Directly inspected gallery image 4 for custom football player American flag comforter.</t>
        </is>
      </c>
      <c r="H4" s="2" t="inlineStr">
        <is>
          <t>Alt gọi đây là close-up nhưng không nói rõ đây là bảng tính năng soft/lightweight/durable/breathable.</t>
        </is>
      </c>
      <c r="I4" s="2" t="inlineStr">
        <is>
          <t>Feature panel for Personalized Baseball Batter Quote Blanket: soft, lightweight, durable and breathable.</t>
        </is>
      </c>
      <c r="J4" s="2" t="inlineStr">
        <is>
          <t>seo_runs\jeminise.com\20260906_234129\evidence\images\83_custom-name-catcher-batter-baseball-baseball-throw-baseba-design-10\image_04_47935090196679.jpg; seo_runs\jeminise.com\20260906_234129\evidence\contact_sheets\83_custom-name-catcher-batter-baseball-baseball-throw-baseba-design-10.jpg; https://jeminise.com/products/custom-name-catcher-batter-baseball-baseball-throw-baseba-design-10; https://cdn.shopify.com/s/files/1/0792/5098/1063/files/d6a0a4f391d712b498fed1541a0315a35419ee0fefc938d052e73e528fb87986.jpg?v=1787246908</t>
        </is>
      </c>
      <c r="K4" s="2" t="inlineStr">
        <is>
          <t>Confirm the revised alt describes the feature panel without keyword stuffing.</t>
        </is>
      </c>
    </row>
    <row r="5" ht="84" customHeight="1">
      <c r="A5" s="3" t="inlineStr">
        <is>
          <t>ISS-084-IMG-04</t>
        </is>
      </c>
      <c r="B5" s="3" t="inlineStr">
        <is>
          <t>jeminise.com+custom-name-catcher-batter-baseball-baseball-throw-baseba-design-11</t>
        </is>
      </c>
      <c r="C5" s="3" t="inlineStr">
        <is>
          <t>qaimg_bd73e5885769357b</t>
        </is>
      </c>
      <c r="D5" s="3" t="inlineStr">
        <is>
          <t>MINOR</t>
        </is>
      </c>
      <c r="E5" s="3" t="inlineStr">
        <is>
          <t>image_alt_effective</t>
        </is>
      </c>
      <c r="F5" s="3" t="inlineStr">
        <is>
          <t>Customization or product detail image for Personalized Baseball Practice Quote Blanket</t>
        </is>
      </c>
      <c r="G5" s="3" t="inlineStr">
        <is>
          <t>Directly inspected gallery image 4 for custom football player burning football comforter.</t>
        </is>
      </c>
      <c r="H5" s="3" t="inlineStr">
        <is>
          <t>Alt gọi đây là close-up nhưng không nói rõ đây là bảng tính năng soft/lightweight/durable/breathable.</t>
        </is>
      </c>
      <c r="I5" s="3" t="inlineStr">
        <is>
          <t>Feature panel for Personalized Baseball Practice Quote Blanket: soft, lightweight, durable and breathable.</t>
        </is>
      </c>
      <c r="J5" s="3" t="inlineStr">
        <is>
          <t>seo_runs\jeminise.com\20260906_234129\evidence\images\84_custom-name-catcher-batter-baseball-baseball-throw-baseba-design-11\image_04_47935108317383.jpg; seo_runs\jeminise.com\20260906_234129\evidence\contact_sheets\84_custom-name-catcher-batter-baseball-baseball-throw-baseba-design-11.jpg; https://jeminise.com/products/custom-name-catcher-batter-baseball-baseball-throw-baseba-design-11; https://cdn.shopify.com/s/files/1/0792/5098/1063/files/ad934f8f1f1b9a94875c61455aab0bb3e0b41aae97b5230c3398c40fca936081.jpg?v=1787246954</t>
        </is>
      </c>
      <c r="K5" s="3" t="inlineStr">
        <is>
          <t>Confirm the revised alt describes the feature panel without keyword stuffing.</t>
        </is>
      </c>
    </row>
    <row r="6" ht="84" customHeight="1">
      <c r="A6" s="2" t="inlineStr">
        <is>
          <t>ISS-085-IMG-04</t>
        </is>
      </c>
      <c r="B6" s="2" t="inlineStr">
        <is>
          <t>jeminise.com+custom-name-catcher-batter-baseball-baseball-throw-baseba-design-12</t>
        </is>
      </c>
      <c r="C6" s="2" t="inlineStr">
        <is>
          <t>qaimg_8e34eefe2e2b451f</t>
        </is>
      </c>
      <c r="D6" s="2" t="inlineStr">
        <is>
          <t>MINOR</t>
        </is>
      </c>
      <c r="E6" s="2" t="inlineStr">
        <is>
          <t>image_alt_effective</t>
        </is>
      </c>
      <c r="F6" s="2" t="inlineStr">
        <is>
          <t>Customization or product detail image for Personalized Flaming Baseball Blanket</t>
        </is>
      </c>
      <c r="G6" s="2" t="inlineStr">
        <is>
          <t>Directly inspected gallery image 4 for custom football players large football comforter.</t>
        </is>
      </c>
      <c r="H6" s="2" t="inlineStr">
        <is>
          <t>Alt gọi đây là close-up nhưng không nói rõ đây là bảng tính năng soft/lightweight/durable/breathable.</t>
        </is>
      </c>
      <c r="I6" s="2" t="inlineStr">
        <is>
          <t>Feature panel for Personalized Flaming Baseball Blanket: soft, lightweight, durable and breathable.</t>
        </is>
      </c>
      <c r="J6" s="2" t="inlineStr">
        <is>
          <t>seo_runs\jeminise.com\20260906_234129\evidence\images\85_custom-name-catcher-batter-baseball-baseball-throw-baseba-design-12\image_04_47935095242951.jpg; seo_runs\jeminise.com\20260906_234129\evidence\contact_sheets\85_custom-name-catcher-batter-baseball-baseball-throw-baseba-design-12.jpg; https://jeminise.com/products/custom-name-catcher-batter-baseball-baseball-throw-baseba-design-12; https://cdn.shopify.com/s/files/1/0792/5098/1063/files/80026cf09c01d63875b4bb9e8f3e43c9c203957df5383ba1e4243390ea8b2176.jpg?v=1787246930</t>
        </is>
      </c>
      <c r="K6" s="2" t="inlineStr">
        <is>
          <t>Confirm the revised alt describes the feature panel without keyword stuffing.</t>
        </is>
      </c>
    </row>
    <row r="7" ht="84" customHeight="1">
      <c r="A7" s="3" t="inlineStr">
        <is>
          <t>ISS-086-IMG-04</t>
        </is>
      </c>
      <c r="B7" s="3" t="inlineStr">
        <is>
          <t>jeminise.com+custom-name-catcher-batter-baseball-baseball-throw-baseba-design-13</t>
        </is>
      </c>
      <c r="C7" s="3" t="inlineStr">
        <is>
          <t>qaimg_401d84410f530854</t>
        </is>
      </c>
      <c r="D7" s="3" t="inlineStr">
        <is>
          <t>MINOR</t>
        </is>
      </c>
      <c r="E7" s="3" t="inlineStr">
        <is>
          <t>image_alt_effective</t>
        </is>
      </c>
      <c r="F7" s="3" t="inlineStr">
        <is>
          <t>Customization or product detail image for Personalized Baseball Glove Flag Blanket</t>
        </is>
      </c>
      <c r="G7" s="3" t="inlineStr">
        <is>
          <t>Directly inspected gallery image 4 for custom football leather laces comforter.</t>
        </is>
      </c>
      <c r="H7" s="3" t="inlineStr">
        <is>
          <t>Alt gọi đây là close-up nhưng không nói rõ đây là bảng tính năng soft/lightweight/durable/breathable.</t>
        </is>
      </c>
      <c r="I7" s="3" t="inlineStr">
        <is>
          <t>Feature panel for Personalized Baseball Glove Flag Blanket: soft, lightweight, durable and breathable.</t>
        </is>
      </c>
      <c r="J7" s="3" t="inlineStr">
        <is>
          <t>seo_runs\jeminise.com\20260906_234129\evidence\images\86_custom-name-catcher-batter-baseball-baseball-throw-baseba-design-13\image_04_47935104712903.jpg; seo_runs\jeminise.com\20260906_234129\evidence\contact_sheets\86_custom-name-catcher-batter-baseball-baseball-throw-baseba-design-13.jpg; https://jeminise.com/products/custom-name-catcher-batter-baseball-baseball-throw-baseba-design-13; https://cdn.shopify.com/s/files/1/0792/5098/1063/files/473c64a39338102711992ec12037603e8b2a13658268417a4a4465017df91502.jpg?v=1787246937</t>
        </is>
      </c>
      <c r="K7" s="3" t="inlineStr">
        <is>
          <t>Confirm the revised alt describes the feature panel without keyword stuffing.</t>
        </is>
      </c>
    </row>
    <row r="8" ht="84" customHeight="1">
      <c r="A8" s="2" t="inlineStr">
        <is>
          <t>ISS-087-IMG-04</t>
        </is>
      </c>
      <c r="B8" s="2" t="inlineStr">
        <is>
          <t>jeminise.com+custom-name-catcher-batter-baseball-baseball-throw-baseba-design-17</t>
        </is>
      </c>
      <c r="C8" s="2" t="inlineStr">
        <is>
          <t>qaimg_5a84fa998d9f02df</t>
        </is>
      </c>
      <c r="D8" s="2" t="inlineStr">
        <is>
          <t>MINOR</t>
        </is>
      </c>
      <c r="E8" s="2" t="inlineStr">
        <is>
          <t>image_alt_effective</t>
        </is>
      </c>
      <c r="F8" s="2" t="inlineStr">
        <is>
          <t>Customization or product detail image for Personalized Baseball Catcher Blanket</t>
        </is>
      </c>
      <c r="G8" s="2" t="inlineStr">
        <is>
          <t>Directly inspected gallery image 4 for custom soccer ball light trails comforter.</t>
        </is>
      </c>
      <c r="H8" s="2" t="inlineStr">
        <is>
          <t>Alt gọi đây là close-up nhưng không nói rõ đây là bảng tính năng soft/lightweight/durable/breathable.</t>
        </is>
      </c>
      <c r="I8" s="2" t="inlineStr">
        <is>
          <t>Feature panel for Personalized Baseball Catcher Blanket: soft, lightweight, durable and breathable.</t>
        </is>
      </c>
      <c r="J8" s="2" t="inlineStr">
        <is>
          <t>seo_runs\jeminise.com\20260906_234129\evidence\images\87_custom-name-catcher-batter-baseball-baseball-throw-baseba-design-17\image_04_47935106089159.jpg; seo_runs\jeminise.com\20260906_234129\evidence\contact_sheets\87_custom-name-catcher-batter-baseball-baseball-throw-baseba-design-17.jpg; https://jeminise.com/products/custom-name-catcher-batter-baseball-baseball-throw-baseba-design-17; https://cdn.shopify.com/s/files/1/0792/5098/1063/files/26bdd825798bcc82b802a6c67824fa0b69ab463fac57fd1820a2ef04e832a0cc.jpg?v=1787246943</t>
        </is>
      </c>
      <c r="K8" s="2" t="inlineStr">
        <is>
          <t>Confirm the revised alt describes the feature panel without keyword stuffing.</t>
        </is>
      </c>
    </row>
    <row r="9" ht="84" customHeight="1">
      <c r="A9" s="3" t="inlineStr">
        <is>
          <t>ISS-088-IMG-04</t>
        </is>
      </c>
      <c r="B9" s="3" t="inlineStr">
        <is>
          <t>jeminise.com+custom-name-catcher-batter-baseball-baseball-throw-baseba-design-18</t>
        </is>
      </c>
      <c r="C9" s="3" t="inlineStr">
        <is>
          <t>qaimg_fbe9e9567dbc7a89</t>
        </is>
      </c>
      <c r="D9" s="3" t="inlineStr">
        <is>
          <t>MINOR</t>
        </is>
      </c>
      <c r="E9" s="3" t="inlineStr">
        <is>
          <t>image_alt_effective</t>
        </is>
      </c>
      <c r="F9" s="3" t="inlineStr">
        <is>
          <t>Customization or product detail image for Personalized American Flag Baseball Blanket</t>
        </is>
      </c>
      <c r="G9" s="3" t="inlineStr">
        <is>
          <t>Directly inspected gallery image 4 for custom inspirational Bible verse floral blanket.</t>
        </is>
      </c>
      <c r="H9" s="3" t="inlineStr">
        <is>
          <t>Alt gọi đây là close-up nhưng không nói rõ đây là bảng tính năng soft/lightweight/durable/breathable.</t>
        </is>
      </c>
      <c r="I9" s="3" t="inlineStr">
        <is>
          <t>Feature panel for Personalized American Flag Baseball Blanket: soft, lightweight, durable and breathable.</t>
        </is>
      </c>
      <c r="J9" s="3" t="inlineStr">
        <is>
          <t>seo_runs\jeminise.com\20260906_234129\evidence\images\88_custom-name-catcher-batter-baseball-baseball-throw-baseba-design-18\image_04_47935091212487.jpg; seo_runs\jeminise.com\20260906_234129\evidence\contact_sheets\88_custom-name-catcher-batter-baseball-baseball-throw-baseba-design-18.jpg; https://jeminise.com/products/custom-name-catcher-batter-baseball-baseball-throw-baseba-design-18; https://cdn.shopify.com/s/files/1/0792/5098/1063/files/07c940415736a1049d1d90b56bcd577cd5999e2833b4503391af2084e3f88aab.jpg?v=1787246913</t>
        </is>
      </c>
      <c r="K9" s="3" t="inlineStr">
        <is>
          <t>Confirm the revised alt describes the feature panel without keyword stuffing.</t>
        </is>
      </c>
    </row>
    <row r="10" ht="84" customHeight="1">
      <c r="A10" s="2" t="inlineStr">
        <is>
          <t>ISS-089-IMG-04</t>
        </is>
      </c>
      <c r="B10" s="2" t="inlineStr">
        <is>
          <t>jeminise.com+custom-name-catcher-batter-baseball-baseball-throw-baseba-design-21</t>
        </is>
      </c>
      <c r="C10" s="2" t="inlineStr">
        <is>
          <t>qaimg_f6410dfd695993dd</t>
        </is>
      </c>
      <c r="D10" s="2" t="inlineStr">
        <is>
          <t>MINOR</t>
        </is>
      </c>
      <c r="E10" s="2" t="inlineStr">
        <is>
          <t>image_alt_effective</t>
        </is>
      </c>
      <c r="F10" s="2" t="inlineStr">
        <is>
          <t>Customization or product detail image for Personalized Baseball Catcher Batter Blanket</t>
        </is>
      </c>
      <c r="G10" s="2" t="inlineStr">
        <is>
          <t>Directly inspected gallery image 4 for custom floral butterfly Bible verse blanket.</t>
        </is>
      </c>
      <c r="H10" s="2" t="inlineStr">
        <is>
          <t>Alt gọi đây là close-up nhưng không nói rõ đây là bảng tính năng soft/lightweight/durable/breathable.</t>
        </is>
      </c>
      <c r="I10" s="2" t="inlineStr">
        <is>
          <t>Feature panel for Personalized Baseball Catcher Batter Blanket: soft, lightweight, durable and breathable.</t>
        </is>
      </c>
      <c r="J10" s="2" t="inlineStr">
        <is>
          <t>seo_runs\jeminise.com\20260906_234129\evidence\images\89_custom-name-catcher-batter-baseball-baseball-throw-baseba-design-21\image_04_47935091048647.jpg; seo_runs\jeminise.com\20260906_234129\evidence\contact_sheets\89_custom-name-catcher-batter-baseball-baseball-throw-baseba-design-21.jpg; https://jeminise.com/products/custom-name-catcher-batter-baseball-baseball-throw-baseba-design-21; https://cdn.shopify.com/s/files/1/0792/5098/1063/files/c06ae6326a8f7e1ed55b1913c69bfbdc82ddccdb6a83925fc23d3f26e0dcfeb8.jpg?v=1787246911</t>
        </is>
      </c>
      <c r="K10" s="2" t="inlineStr">
        <is>
          <t>Confirm the revised alt describes the feature panel without keyword stuffing.</t>
        </is>
      </c>
    </row>
    <row r="11" ht="84" customHeight="1">
      <c r="A11" s="3" t="inlineStr">
        <is>
          <t>ISS-090-IMG-04</t>
        </is>
      </c>
      <c r="B11" s="3" t="inlineStr">
        <is>
          <t>jeminise.com+custom-name-catcher-batter-baseball-baseball-throw-baseball-blanket</t>
        </is>
      </c>
      <c r="C11" s="3" t="inlineStr">
        <is>
          <t>qaimg_9bf68963d2353cd1</t>
        </is>
      </c>
      <c r="D11" s="3" t="inlineStr">
        <is>
          <t>MINOR</t>
        </is>
      </c>
      <c r="E11" s="3" t="inlineStr">
        <is>
          <t>image_alt_effective</t>
        </is>
      </c>
      <c r="F11" s="3" t="inlineStr">
        <is>
          <t>Customization or product detail image for Personalized God Says You Are Baseball Blanket</t>
        </is>
      </c>
      <c r="G11" s="3" t="inlineStr">
        <is>
          <t>Directly inspected gallery image 4 for custom inspirational scripture butterfly blanket.</t>
        </is>
      </c>
      <c r="H11" s="3" t="inlineStr">
        <is>
          <t>Alt gọi đây là close-up nhưng không nói rõ đây là bảng tính năng soft/lightweight/durable/breathable.</t>
        </is>
      </c>
      <c r="I11" s="3" t="inlineStr">
        <is>
          <t>Feature panel for Personalized God Says You Are Baseball Blanket: soft, lightweight, durable and breathable.</t>
        </is>
      </c>
      <c r="J11" s="3" t="inlineStr">
        <is>
          <t>seo_runs\jeminise.com\20260906_234129\evidence\images\90_custom-name-catcher-batter-baseball-baseball-throw-baseball-blanket\image_04_47935085412551.jpg; seo_runs\jeminise.com\20260906_234129\evidence\contact_sheets\90_custom-name-catcher-batter-baseball-baseball-throw-baseball-blanket.jpg; https://jeminise.com/products/custom-name-catcher-batter-baseball-baseball-throw-baseball-blanket; https://cdn.shopify.com/s/files/1/0792/5098/1063/files/e4deb7c65a84dd566e76f49f7ac84cfde5ffca2a629c0c4797152647ec382692.jpg?v=1787246887</t>
        </is>
      </c>
      <c r="K11" s="3" t="inlineStr">
        <is>
          <t>Confirm the revised alt describes the feature panel without keyword stuffing.</t>
        </is>
      </c>
    </row>
    <row r="12" ht="84" customHeight="1">
      <c r="A12" s="2" t="inlineStr">
        <is>
          <t>ISS-071-DESC</t>
        </is>
      </c>
      <c r="B12" s="2" t="inlineStr">
        <is>
          <t>jeminise.com+custom-name-catcher-batter-baseball-baseball-throw-baseba-design-01</t>
        </is>
      </c>
      <c r="C12" s="2" t="inlineStr"/>
      <c r="D12" s="2" t="inlineStr">
        <is>
          <t>MAJOR</t>
        </is>
      </c>
      <c r="E12" s="2" t="inlineStr">
        <is>
          <t>description_proposed_html</t>
        </is>
      </c>
      <c r="F12" s="2" t="inlineStr">
        <is>
          <t>SEO Use / It needs QA and approval before import.</t>
        </is>
      </c>
      <c r="G12" s="2" t="inlineStr">
        <is>
          <t>Submitted HTML contains an internal workflow block.</t>
        </is>
      </c>
      <c r="H12" s="2" t="inlineStr">
        <is>
          <t>Câu nội bộ về SEO/QA/import không phải nội dung dành cho khách hàng.</t>
        </is>
      </c>
      <c r="I12" s="2" t="inlineStr">
        <is>
          <t>Remove the internal SEO Use block and retain only customer-facing English HTML.</t>
        </is>
      </c>
      <c r="J12" s="2" t="inlineStr">
        <is>
          <t>evidence_batch_009_081</t>
        </is>
      </c>
      <c r="K12" s="2" t="inlineStr">
        <is>
          <t>Rendered HTML contains no drafting, QA, approval or import instruction.</t>
        </is>
      </c>
    </row>
    <row r="13" ht="84" customHeight="1">
      <c r="A13" s="3" t="inlineStr">
        <is>
          <t>ISS-071-CANN</t>
        </is>
      </c>
      <c r="B13" s="3" t="inlineStr">
        <is>
          <t>jeminise.com+custom-name-catcher-batter-baseball-baseball-throw-baseba-design-01</t>
        </is>
      </c>
      <c r="C13" s="3" t="inlineStr"/>
      <c r="D13" s="3" t="inlineStr">
        <is>
          <t>MAJOR</t>
        </is>
      </c>
      <c r="E13" s="3" t="inlineStr">
        <is>
          <t>keyword_map/intent differentiation</t>
        </is>
      </c>
      <c r="F13" s="3" t="inlineStr">
        <is>
          <t>personalized baseball blanket</t>
        </is>
      </c>
      <c r="G13" s="3" t="inlineStr">
        <is>
          <t>Ten adjacent pages target near-identical personalized American-football bedding intent.</t>
        </is>
      </c>
      <c r="H13" s="3" t="inlineStr">
        <is>
          <t>Modifier hình ảnh có khác nhưng vai trò landing page và internal linking chưa đủ để tránh cạnh tranh lẫn nhau.</t>
        </is>
      </c>
      <c r="I13" s="3" t="inlineStr">
        <is>
          <t>Assign one distinct primary intent per design cluster and document canonical/internal-link roles in English metadata.</t>
        </is>
      </c>
      <c r="J13" s="3" t="inlineStr">
        <is>
          <t>https://jeminise.com/products/custom-name-catcher-batter-baseball-baseball-throw-baseba-design-01; https://www.etsy.com/listing/4355382705/personalized-christian-blanket-god-says</t>
        </is>
      </c>
      <c r="K13" s="3" t="inlineStr">
        <is>
          <t>Keyword map shows non-overlapping primary intent for yard-line, patriotic, flame, helmet, player and camo clusters.</t>
        </is>
      </c>
    </row>
    <row r="14" ht="84" customHeight="1">
      <c r="A14" s="2" t="inlineStr">
        <is>
          <t>ISS-071-META</t>
        </is>
      </c>
      <c r="B14" s="2" t="inlineStr">
        <is>
          <t>jeminise.com+custom-name-catcher-batter-baseball-baseball-throw-baseba-design-01</t>
        </is>
      </c>
      <c r="C14" s="2" t="inlineStr"/>
      <c r="D14" s="2" t="inlineStr">
        <is>
          <t>MINOR</t>
        </is>
      </c>
      <c r="E14" s="2" t="inlineStr">
        <is>
          <t>meta_description_seo</t>
        </is>
      </c>
      <c r="F14" s="2" t="inlineStr">
        <is>
          <t>Shop a blanket featuring black and purple baseball silhouette pattern with a batter over a flag stripe graphic and custom name/number placeholders. Review size and personalization options before checkout. (204 characters)</t>
        </is>
      </c>
      <c r="G14" s="2" t="inlineStr">
        <is>
          <t>The proposed meta description exceeds the usual concise snippet range and ends with internal-style checkout guidance.</t>
        </is>
      </c>
      <c r="H14" s="2" t="inlineStr">
        <is>
          <t>Độ dài 169–200 ký tự làm tăng nguy cơ bị cắt, còn câu review options chưa nêu rõ cơ chế Customize.</t>
        </is>
      </c>
      <c r="I14" s="2" t="inlineStr">
        <is>
          <t>Shorten to about 145–160 characters and state that name/number are entered through Customize.</t>
        </is>
      </c>
      <c r="J14" s="2" t="inlineStr">
        <is>
          <t>evidence_batch_009_081</t>
        </is>
      </c>
      <c r="K14" s="2" t="inlineStr">
        <is>
          <t>Meta is concise, product-specific and accurately explains personalization.</t>
        </is>
      </c>
    </row>
    <row r="15" ht="84" customHeight="1">
      <c r="A15" s="3" t="inlineStr">
        <is>
          <t>ISS-072-DESC</t>
        </is>
      </c>
      <c r="B15" s="3" t="inlineStr">
        <is>
          <t>jeminise.com+custom-name-catcher-batter-baseball-baseball-throw-baseba-design-07</t>
        </is>
      </c>
      <c r="C15" s="3" t="inlineStr"/>
      <c r="D15" s="3" t="inlineStr">
        <is>
          <t>MAJOR</t>
        </is>
      </c>
      <c r="E15" s="3" t="inlineStr">
        <is>
          <t>description_proposed_html</t>
        </is>
      </c>
      <c r="F15" s="3" t="inlineStr">
        <is>
          <t>SEO Use / It needs QA and approval before import.</t>
        </is>
      </c>
      <c r="G15" s="3" t="inlineStr">
        <is>
          <t>Submitted HTML contains an internal workflow block.</t>
        </is>
      </c>
      <c r="H15" s="3" t="inlineStr">
        <is>
          <t>Câu nội bộ về SEO/QA/import không phải nội dung dành cho khách hàng.</t>
        </is>
      </c>
      <c r="I15" s="3" t="inlineStr">
        <is>
          <t>Remove the internal SEO Use block and retain only customer-facing English HTML.</t>
        </is>
      </c>
      <c r="J15" s="3" t="inlineStr">
        <is>
          <t>evidence_batch_009_082</t>
        </is>
      </c>
      <c r="K15" s="3" t="inlineStr">
        <is>
          <t>Rendered HTML contains no drafting, QA, approval or import instruction.</t>
        </is>
      </c>
    </row>
    <row r="16" ht="84" customHeight="1">
      <c r="A16" s="2" t="inlineStr">
        <is>
          <t>ISS-072-CANN</t>
        </is>
      </c>
      <c r="B16" s="2" t="inlineStr">
        <is>
          <t>jeminise.com+custom-name-catcher-batter-baseball-baseball-throw-baseba-design-07</t>
        </is>
      </c>
      <c r="C16" s="2" t="inlineStr"/>
      <c r="D16" s="2" t="inlineStr">
        <is>
          <t>MAJOR</t>
        </is>
      </c>
      <c r="E16" s="2" t="inlineStr">
        <is>
          <t>keyword_map/intent differentiation</t>
        </is>
      </c>
      <c r="F16" s="2" t="inlineStr">
        <is>
          <t>custom baseball photo blanket</t>
        </is>
      </c>
      <c r="G16" s="2" t="inlineStr">
        <is>
          <t>Ten adjacent pages target near-identical personalized American-football bedding intent.</t>
        </is>
      </c>
      <c r="H16" s="2" t="inlineStr">
        <is>
          <t>Modifier hình ảnh có khác nhưng vai trò landing page và internal linking chưa đủ để tránh cạnh tranh lẫn nhau.</t>
        </is>
      </c>
      <c r="I16" s="2" t="inlineStr">
        <is>
          <t>Assign one distinct primary intent per design cluster and document canonical/internal-link roles in English metadata.</t>
        </is>
      </c>
      <c r="J16" s="2" t="inlineStr">
        <is>
          <t>https://jeminise.com/products/custom-name-catcher-batter-baseball-baseball-throw-baseba-design-07; https://www.etsy.com/listing/4355382705/personalized-christian-blanket-god-says</t>
        </is>
      </c>
      <c r="K16" s="2" t="inlineStr">
        <is>
          <t>Keyword map shows non-overlapping primary intent for yard-line, patriotic, flame, helmet, player and camo clusters.</t>
        </is>
      </c>
    </row>
    <row r="17" ht="84" customHeight="1">
      <c r="A17" s="3" t="inlineStr">
        <is>
          <t>ISS-072-META</t>
        </is>
      </c>
      <c r="B17" s="3" t="inlineStr">
        <is>
          <t>jeminise.com+custom-name-catcher-batter-baseball-baseball-throw-baseba-design-07</t>
        </is>
      </c>
      <c r="C17" s="3" t="inlineStr"/>
      <c r="D17" s="3" t="inlineStr">
        <is>
          <t>MINOR</t>
        </is>
      </c>
      <c r="E17" s="3" t="inlineStr">
        <is>
          <t>meta_description_seo</t>
        </is>
      </c>
      <c r="F17" s="3" t="inlineStr">
        <is>
          <t>Shop a blanket featuring baseball batter on a red and blue stadium background with American flag section and the name Daniel. Review size and personalization options before checkout. (182 characters)</t>
        </is>
      </c>
      <c r="G17" s="3" t="inlineStr">
        <is>
          <t>The proposed meta description exceeds the usual concise snippet range and ends with internal-style checkout guidance.</t>
        </is>
      </c>
      <c r="H17" s="3" t="inlineStr">
        <is>
          <t>Độ dài 169–200 ký tự làm tăng nguy cơ bị cắt, còn câu review options chưa nêu rõ cơ chế Customize.</t>
        </is>
      </c>
      <c r="I17" s="3" t="inlineStr">
        <is>
          <t>Shorten to about 145–160 characters and state that name/number are entered through Customize.</t>
        </is>
      </c>
      <c r="J17" s="3" t="inlineStr">
        <is>
          <t>evidence_batch_009_082</t>
        </is>
      </c>
      <c r="K17" s="3" t="inlineStr">
        <is>
          <t>Meta is concise, product-specific and accurately explains personalization.</t>
        </is>
      </c>
    </row>
    <row r="18" ht="84" customHeight="1">
      <c r="A18" s="2" t="inlineStr">
        <is>
          <t>ISS-073-DESC</t>
        </is>
      </c>
      <c r="B18" s="2" t="inlineStr">
        <is>
          <t>jeminise.com+custom-name-catcher-batter-baseball-baseball-throw-baseba-design-10</t>
        </is>
      </c>
      <c r="C18" s="2" t="inlineStr"/>
      <c r="D18" s="2" t="inlineStr">
        <is>
          <t>MAJOR</t>
        </is>
      </c>
      <c r="E18" s="2" t="inlineStr">
        <is>
          <t>description_proposed_html</t>
        </is>
      </c>
      <c r="F18" s="2" t="inlineStr">
        <is>
          <t>SEO Use / It needs QA and approval before import.</t>
        </is>
      </c>
      <c r="G18" s="2" t="inlineStr">
        <is>
          <t>Submitted HTML contains an internal workflow block.</t>
        </is>
      </c>
      <c r="H18" s="2" t="inlineStr">
        <is>
          <t>Câu nội bộ về SEO/QA/import không phải nội dung dành cho khách hàng.</t>
        </is>
      </c>
      <c r="I18" s="2" t="inlineStr">
        <is>
          <t>Remove the internal SEO Use block and retain only customer-facing English HTML.</t>
        </is>
      </c>
      <c r="J18" s="2" t="inlineStr">
        <is>
          <t>evidence_batch_009_083</t>
        </is>
      </c>
      <c r="K18" s="2" t="inlineStr">
        <is>
          <t>Rendered HTML contains no drafting, QA, approval or import instruction.</t>
        </is>
      </c>
    </row>
    <row r="19" ht="84" customHeight="1">
      <c r="A19" s="3" t="inlineStr">
        <is>
          <t>ISS-073-CANN</t>
        </is>
      </c>
      <c r="B19" s="3" t="inlineStr">
        <is>
          <t>jeminise.com+custom-name-catcher-batter-baseball-baseball-throw-baseba-design-10</t>
        </is>
      </c>
      <c r="C19" s="3" t="inlineStr"/>
      <c r="D19" s="3" t="inlineStr">
        <is>
          <t>MAJOR</t>
        </is>
      </c>
      <c r="E19" s="3" t="inlineStr">
        <is>
          <t>keyword_map/intent differentiation</t>
        </is>
      </c>
      <c r="F19" s="3" t="inlineStr">
        <is>
          <t>personalized baseball player blanket</t>
        </is>
      </c>
      <c r="G19" s="3" t="inlineStr">
        <is>
          <t>Ten adjacent pages target near-identical personalized American-football bedding intent.</t>
        </is>
      </c>
      <c r="H19" s="3" t="inlineStr">
        <is>
          <t>Modifier hình ảnh có khác nhưng vai trò landing page và internal linking chưa đủ để tránh cạnh tranh lẫn nhau.</t>
        </is>
      </c>
      <c r="I19" s="3" t="inlineStr">
        <is>
          <t>Assign one distinct primary intent per design cluster and document canonical/internal-link roles in English metadata.</t>
        </is>
      </c>
      <c r="J19" s="3" t="inlineStr">
        <is>
          <t>https://jeminise.com/products/custom-name-catcher-batter-baseball-baseball-throw-baseba-design-10; https://www.etsy.com/listing/4355382705/personalized-christian-blanket-god-says</t>
        </is>
      </c>
      <c r="K19" s="3" t="inlineStr">
        <is>
          <t>Keyword map shows non-overlapping primary intent for yard-line, patriotic, flame, helmet, player and camo clusters.</t>
        </is>
      </c>
    </row>
    <row r="20" ht="84" customHeight="1">
      <c r="A20" s="2" t="inlineStr">
        <is>
          <t>ISS-073-META</t>
        </is>
      </c>
      <c r="B20" s="2" t="inlineStr">
        <is>
          <t>jeminise.com+custom-name-catcher-batter-baseball-baseball-throw-baseba-design-10</t>
        </is>
      </c>
      <c r="C20" s="2" t="inlineStr"/>
      <c r="D20" s="2" t="inlineStr">
        <is>
          <t>MINOR</t>
        </is>
      </c>
      <c r="E20" s="2" t="inlineStr">
        <is>
          <t>meta_description_seo</t>
        </is>
      </c>
      <c r="F20" s="2" t="inlineStr">
        <is>
          <t>Shop a blanket featuring vintage tan baseball batter artwork with the name Christopher, number 22 and the quote When you step on the field nothing else matters. Review size and personalization options before checkout. (217 characters)</t>
        </is>
      </c>
      <c r="G20" s="2" t="inlineStr">
        <is>
          <t>The proposed meta description exceeds the usual concise snippet range and ends with internal-style checkout guidance.</t>
        </is>
      </c>
      <c r="H20" s="2" t="inlineStr">
        <is>
          <t>Độ dài 169–200 ký tự làm tăng nguy cơ bị cắt, còn câu review options chưa nêu rõ cơ chế Customize.</t>
        </is>
      </c>
      <c r="I20" s="2" t="inlineStr">
        <is>
          <t>Shorten to about 145–160 characters and state that name/number are entered through Customize.</t>
        </is>
      </c>
      <c r="J20" s="2" t="inlineStr">
        <is>
          <t>evidence_batch_009_083</t>
        </is>
      </c>
      <c r="K20" s="2" t="inlineStr">
        <is>
          <t>Meta is concise, product-specific and accurately explains personalization.</t>
        </is>
      </c>
    </row>
    <row r="21" ht="84" customHeight="1">
      <c r="A21" s="3" t="inlineStr">
        <is>
          <t>ISS-074-DESC</t>
        </is>
      </c>
      <c r="B21" s="3" t="inlineStr">
        <is>
          <t>jeminise.com+custom-name-catcher-batter-baseball-baseball-throw-baseba-design-11</t>
        </is>
      </c>
      <c r="C21" s="3" t="inlineStr"/>
      <c r="D21" s="3" t="inlineStr">
        <is>
          <t>MAJOR</t>
        </is>
      </c>
      <c r="E21" s="3" t="inlineStr">
        <is>
          <t>description_proposed_html</t>
        </is>
      </c>
      <c r="F21" s="3" t="inlineStr">
        <is>
          <t>SEO Use / It needs QA and approval before import.</t>
        </is>
      </c>
      <c r="G21" s="3" t="inlineStr">
        <is>
          <t>Submitted HTML contains an internal workflow block.</t>
        </is>
      </c>
      <c r="H21" s="3" t="inlineStr">
        <is>
          <t>Câu nội bộ về SEO/QA/import không phải nội dung dành cho khách hàng.</t>
        </is>
      </c>
      <c r="I21" s="3" t="inlineStr">
        <is>
          <t>Remove the internal SEO Use block and retain only customer-facing English HTML.</t>
        </is>
      </c>
      <c r="J21" s="3" t="inlineStr">
        <is>
          <t>evidence_batch_009_084</t>
        </is>
      </c>
      <c r="K21" s="3" t="inlineStr">
        <is>
          <t>Rendered HTML contains no drafting, QA, approval or import instruction.</t>
        </is>
      </c>
    </row>
    <row r="22" ht="84" customHeight="1">
      <c r="A22" s="2" t="inlineStr">
        <is>
          <t>ISS-074-CANN</t>
        </is>
      </c>
      <c r="B22" s="2" t="inlineStr">
        <is>
          <t>jeminise.com+custom-name-catcher-batter-baseball-baseball-throw-baseba-design-11</t>
        </is>
      </c>
      <c r="C22" s="2" t="inlineStr"/>
      <c r="D22" s="2" t="inlineStr">
        <is>
          <t>MAJOR</t>
        </is>
      </c>
      <c r="E22" s="2" t="inlineStr">
        <is>
          <t>keyword_map/intent differentiation</t>
        </is>
      </c>
      <c r="F22" s="2" t="inlineStr">
        <is>
          <t>baseball practice quote blanket</t>
        </is>
      </c>
      <c r="G22" s="2" t="inlineStr">
        <is>
          <t>Ten adjacent pages target near-identical personalized American-football bedding intent.</t>
        </is>
      </c>
      <c r="H22" s="2" t="inlineStr">
        <is>
          <t>Modifier hình ảnh có khác nhưng vai trò landing page và internal linking chưa đủ để tránh cạnh tranh lẫn nhau.</t>
        </is>
      </c>
      <c r="I22" s="2" t="inlineStr">
        <is>
          <t>Assign one distinct primary intent per design cluster and document canonical/internal-link roles in English metadata.</t>
        </is>
      </c>
      <c r="J22" s="2" t="inlineStr">
        <is>
          <t>https://jeminise.com/products/custom-name-catcher-batter-baseball-baseball-throw-baseba-design-11; https://www.etsy.com/listing/4355382705/personalized-christian-blanket-god-says</t>
        </is>
      </c>
      <c r="K22" s="2" t="inlineStr">
        <is>
          <t>Keyword map shows non-overlapping primary intent for yard-line, patriotic, flame, helmet, player and camo clusters.</t>
        </is>
      </c>
    </row>
    <row r="23" ht="84" customHeight="1">
      <c r="A23" s="3" t="inlineStr">
        <is>
          <t>ISS-074-META</t>
        </is>
      </c>
      <c r="B23" s="3" t="inlineStr">
        <is>
          <t>jeminise.com+custom-name-catcher-batter-baseball-baseball-throw-baseba-design-11</t>
        </is>
      </c>
      <c r="C23" s="3" t="inlineStr"/>
      <c r="D23" s="3" t="inlineStr">
        <is>
          <t>MINOR</t>
        </is>
      </c>
      <c r="E23" s="3" t="inlineStr">
        <is>
          <t>meta_description_seo</t>
        </is>
      </c>
      <c r="F23" s="3" t="inlineStr">
        <is>
          <t>Shop a blanket featuring American flag and rustic wood design with Jackson 25, baseball glove and quote about practice, coaches and playing for him. Review size and personalization options before checkout. (205 characters)</t>
        </is>
      </c>
      <c r="G23" s="3" t="inlineStr">
        <is>
          <t>The proposed meta description exceeds the usual concise snippet range and ends with internal-style checkout guidance.</t>
        </is>
      </c>
      <c r="H23" s="3" t="inlineStr">
        <is>
          <t>Độ dài 169–200 ký tự làm tăng nguy cơ bị cắt, còn câu review options chưa nêu rõ cơ chế Customize.</t>
        </is>
      </c>
      <c r="I23" s="3" t="inlineStr">
        <is>
          <t>Shorten to about 145–160 characters and state that name/number are entered through Customize.</t>
        </is>
      </c>
      <c r="J23" s="3" t="inlineStr">
        <is>
          <t>evidence_batch_009_084</t>
        </is>
      </c>
      <c r="K23" s="3" t="inlineStr">
        <is>
          <t>Meta is concise, product-specific and accurately explains personalization.</t>
        </is>
      </c>
    </row>
    <row r="24" ht="84" customHeight="1">
      <c r="A24" s="2" t="inlineStr">
        <is>
          <t>ISS-075-DESC</t>
        </is>
      </c>
      <c r="B24" s="2" t="inlineStr">
        <is>
          <t>jeminise.com+custom-name-catcher-batter-baseball-baseball-throw-baseba-design-12</t>
        </is>
      </c>
      <c r="C24" s="2" t="inlineStr"/>
      <c r="D24" s="2" t="inlineStr">
        <is>
          <t>MAJOR</t>
        </is>
      </c>
      <c r="E24" s="2" t="inlineStr">
        <is>
          <t>description_proposed_html</t>
        </is>
      </c>
      <c r="F24" s="2" t="inlineStr">
        <is>
          <t>SEO Use / It needs QA and approval before import.</t>
        </is>
      </c>
      <c r="G24" s="2" t="inlineStr">
        <is>
          <t>Submitted HTML contains an internal workflow block.</t>
        </is>
      </c>
      <c r="H24" s="2" t="inlineStr">
        <is>
          <t>Câu nội bộ về SEO/QA/import không phải nội dung dành cho khách hàng.</t>
        </is>
      </c>
      <c r="I24" s="2" t="inlineStr">
        <is>
          <t>Remove the internal SEO Use block and retain only customer-facing English HTML.</t>
        </is>
      </c>
      <c r="J24" s="2" t="inlineStr">
        <is>
          <t>evidence_batch_009_085</t>
        </is>
      </c>
      <c r="K24" s="2" t="inlineStr">
        <is>
          <t>Rendered HTML contains no drafting, QA, approval or import instruction.</t>
        </is>
      </c>
    </row>
    <row r="25" ht="84" customHeight="1">
      <c r="A25" s="3" t="inlineStr">
        <is>
          <t>ISS-075-CANN</t>
        </is>
      </c>
      <c r="B25" s="3" t="inlineStr">
        <is>
          <t>jeminise.com+custom-name-catcher-batter-baseball-baseball-throw-baseba-design-12</t>
        </is>
      </c>
      <c r="C25" s="3" t="inlineStr"/>
      <c r="D25" s="3" t="inlineStr">
        <is>
          <t>MAJOR</t>
        </is>
      </c>
      <c r="E25" s="3" t="inlineStr">
        <is>
          <t>keyword_map/intent differentiation</t>
        </is>
      </c>
      <c r="F25" s="3" t="inlineStr">
        <is>
          <t>flaming baseball blanket</t>
        </is>
      </c>
      <c r="G25" s="3" t="inlineStr">
        <is>
          <t>Ten adjacent pages target near-identical personalized American-football bedding intent.</t>
        </is>
      </c>
      <c r="H25" s="3" t="inlineStr">
        <is>
          <t>Modifier hình ảnh có khác nhưng vai trò landing page và internal linking chưa đủ để tránh cạnh tranh lẫn nhau.</t>
        </is>
      </c>
      <c r="I25" s="3" t="inlineStr">
        <is>
          <t>Assign one distinct primary intent per design cluster and document canonical/internal-link roles in English metadata.</t>
        </is>
      </c>
      <c r="J25" s="3" t="inlineStr">
        <is>
          <t>https://jeminise.com/products/custom-name-catcher-batter-baseball-baseball-throw-baseba-design-12; https://www.etsy.com/listing/4355382705/personalized-christian-blanket-god-says</t>
        </is>
      </c>
      <c r="K25" s="3" t="inlineStr">
        <is>
          <t>Keyword map shows non-overlapping primary intent for yard-line, patriotic, flame, helmet, player and camo clusters.</t>
        </is>
      </c>
    </row>
    <row r="26" ht="84" customHeight="1">
      <c r="A26" s="2" t="inlineStr">
        <is>
          <t>ISS-075-META</t>
        </is>
      </c>
      <c r="B26" s="2" t="inlineStr">
        <is>
          <t>jeminise.com+custom-name-catcher-batter-baseball-baseball-throw-baseba-design-12</t>
        </is>
      </c>
      <c r="C26" s="2" t="inlineStr"/>
      <c r="D26" s="2" t="inlineStr">
        <is>
          <t>MINOR</t>
        </is>
      </c>
      <c r="E26" s="2" t="inlineStr">
        <is>
          <t>meta_description_seo</t>
        </is>
      </c>
      <c r="F26" s="2" t="inlineStr">
        <is>
          <t>Shop a blanket featuring dark baseball design with glowing flaming baseball, flaming bat trail, Phoenix name and #09. Review size and personalization options before checkout. (174 characters)</t>
        </is>
      </c>
      <c r="G26" s="2" t="inlineStr">
        <is>
          <t>The proposed meta description exceeds the usual concise snippet range and ends with internal-style checkout guidance.</t>
        </is>
      </c>
      <c r="H26" s="2" t="inlineStr">
        <is>
          <t>Độ dài 169–200 ký tự làm tăng nguy cơ bị cắt, còn câu review options chưa nêu rõ cơ chế Customize.</t>
        </is>
      </c>
      <c r="I26" s="2" t="inlineStr">
        <is>
          <t>Shorten to about 145–160 characters and state that name/number are entered through Customize.</t>
        </is>
      </c>
      <c r="J26" s="2" t="inlineStr">
        <is>
          <t>evidence_batch_009_085</t>
        </is>
      </c>
      <c r="K26" s="2" t="inlineStr">
        <is>
          <t>Meta is concise, product-specific and accurately explains personalization.</t>
        </is>
      </c>
    </row>
    <row r="27" ht="84" customHeight="1">
      <c r="A27" s="3" t="inlineStr">
        <is>
          <t>ISS-076-DESC</t>
        </is>
      </c>
      <c r="B27" s="3" t="inlineStr">
        <is>
          <t>jeminise.com+custom-name-catcher-batter-baseball-baseball-throw-baseba-design-13</t>
        </is>
      </c>
      <c r="C27" s="3" t="inlineStr"/>
      <c r="D27" s="3" t="inlineStr">
        <is>
          <t>MAJOR</t>
        </is>
      </c>
      <c r="E27" s="3" t="inlineStr">
        <is>
          <t>description_proposed_html</t>
        </is>
      </c>
      <c r="F27" s="3" t="inlineStr">
        <is>
          <t>SEO Use / It needs QA and approval before import.</t>
        </is>
      </c>
      <c r="G27" s="3" t="inlineStr">
        <is>
          <t>Submitted HTML contains an internal workflow block.</t>
        </is>
      </c>
      <c r="H27" s="3" t="inlineStr">
        <is>
          <t>Câu nội bộ về SEO/QA/import không phải nội dung dành cho khách hàng.</t>
        </is>
      </c>
      <c r="I27" s="3" t="inlineStr">
        <is>
          <t>Remove the internal SEO Use block and retain only customer-facing English HTML.</t>
        </is>
      </c>
      <c r="J27" s="3" t="inlineStr">
        <is>
          <t>evidence_batch_009_086</t>
        </is>
      </c>
      <c r="K27" s="3" t="inlineStr">
        <is>
          <t>Rendered HTML contains no drafting, QA, approval or import instruction.</t>
        </is>
      </c>
    </row>
    <row r="28" ht="84" customHeight="1">
      <c r="A28" s="2" t="inlineStr">
        <is>
          <t>ISS-076-CANN</t>
        </is>
      </c>
      <c r="B28" s="2" t="inlineStr">
        <is>
          <t>jeminise.com+custom-name-catcher-batter-baseball-baseball-throw-baseba-design-13</t>
        </is>
      </c>
      <c r="C28" s="2" t="inlineStr"/>
      <c r="D28" s="2" t="inlineStr">
        <is>
          <t>MAJOR</t>
        </is>
      </c>
      <c r="E28" s="2" t="inlineStr">
        <is>
          <t>keyword_map/intent differentiation</t>
        </is>
      </c>
      <c r="F28" s="2" t="inlineStr">
        <is>
          <t>baseball glove blanket</t>
        </is>
      </c>
      <c r="G28" s="2" t="inlineStr">
        <is>
          <t>Ten adjacent pages target near-identical personalized American-football bedding intent.</t>
        </is>
      </c>
      <c r="H28" s="2" t="inlineStr">
        <is>
          <t>Modifier hình ảnh có khác nhưng vai trò landing page và internal linking chưa đủ để tránh cạnh tranh lẫn nhau.</t>
        </is>
      </c>
      <c r="I28" s="2" t="inlineStr">
        <is>
          <t>Assign one distinct primary intent per design cluster and document canonical/internal-link roles in English metadata.</t>
        </is>
      </c>
      <c r="J28" s="2" t="inlineStr">
        <is>
          <t>https://jeminise.com/products/custom-name-catcher-batter-baseball-baseball-throw-baseba-design-13; https://www.etsy.com/listing/4355382705/personalized-christian-blanket-god-says</t>
        </is>
      </c>
      <c r="K28" s="2" t="inlineStr">
        <is>
          <t>Keyword map shows non-overlapping primary intent for yard-line, patriotic, flame, helmet, player and camo clusters.</t>
        </is>
      </c>
    </row>
    <row r="29" ht="84" customHeight="1">
      <c r="A29" s="3" t="inlineStr">
        <is>
          <t>ISS-076-META</t>
        </is>
      </c>
      <c r="B29" s="3" t="inlineStr">
        <is>
          <t>jeminise.com+custom-name-catcher-batter-baseball-baseball-throw-baseba-design-13</t>
        </is>
      </c>
      <c r="C29" s="3" t="inlineStr"/>
      <c r="D29" s="3" t="inlineStr">
        <is>
          <t>MINOR</t>
        </is>
      </c>
      <c r="E29" s="3" t="inlineStr">
        <is>
          <t>meta_description_seo</t>
        </is>
      </c>
      <c r="F29" s="3" t="inlineStr">
        <is>
          <t>Shop a blanket featuring baseball glove, bat and ball artwork over a red, white and blue flag background with Jackson and number 15. Review size and personalization options before checkout. (189 characters)</t>
        </is>
      </c>
      <c r="G29" s="3" t="inlineStr">
        <is>
          <t>The proposed meta description exceeds the usual concise snippet range and ends with internal-style checkout guidance.</t>
        </is>
      </c>
      <c r="H29" s="3" t="inlineStr">
        <is>
          <t>Độ dài 169–200 ký tự làm tăng nguy cơ bị cắt, còn câu review options chưa nêu rõ cơ chế Customize.</t>
        </is>
      </c>
      <c r="I29" s="3" t="inlineStr">
        <is>
          <t>Shorten to about 145–160 characters and state that name/number are entered through Customize.</t>
        </is>
      </c>
      <c r="J29" s="3" t="inlineStr">
        <is>
          <t>evidence_batch_009_086</t>
        </is>
      </c>
      <c r="K29" s="3" t="inlineStr">
        <is>
          <t>Meta is concise, product-specific and accurately explains personalization.</t>
        </is>
      </c>
    </row>
    <row r="30" ht="84" customHeight="1">
      <c r="A30" s="2" t="inlineStr">
        <is>
          <t>ISS-077-DESC</t>
        </is>
      </c>
      <c r="B30" s="2" t="inlineStr">
        <is>
          <t>jeminise.com+custom-name-catcher-batter-baseball-baseball-throw-baseba-design-17</t>
        </is>
      </c>
      <c r="C30" s="2" t="inlineStr"/>
      <c r="D30" s="2" t="inlineStr">
        <is>
          <t>MAJOR</t>
        </is>
      </c>
      <c r="E30" s="2" t="inlineStr">
        <is>
          <t>description_proposed_html</t>
        </is>
      </c>
      <c r="F30" s="2" t="inlineStr">
        <is>
          <t>SEO Use / It needs QA and approval before import.</t>
        </is>
      </c>
      <c r="G30" s="2" t="inlineStr">
        <is>
          <t>Submitted HTML contains an internal workflow block.</t>
        </is>
      </c>
      <c r="H30" s="2" t="inlineStr">
        <is>
          <t>Câu nội bộ về SEO/QA/import không phải nội dung dành cho khách hàng.</t>
        </is>
      </c>
      <c r="I30" s="2" t="inlineStr">
        <is>
          <t>Remove the internal SEO Use block and retain only customer-facing English HTML.</t>
        </is>
      </c>
      <c r="J30" s="2" t="inlineStr">
        <is>
          <t>evidence_batch_009_087</t>
        </is>
      </c>
      <c r="K30" s="2" t="inlineStr">
        <is>
          <t>Rendered HTML contains no drafting, QA, approval or import instruction.</t>
        </is>
      </c>
    </row>
    <row r="31" ht="84" customHeight="1">
      <c r="A31" s="3" t="inlineStr">
        <is>
          <t>ISS-077-CANN</t>
        </is>
      </c>
      <c r="B31" s="3" t="inlineStr">
        <is>
          <t>jeminise.com+custom-name-catcher-batter-baseball-baseball-throw-baseba-design-17</t>
        </is>
      </c>
      <c r="C31" s="3" t="inlineStr"/>
      <c r="D31" s="3" t="inlineStr">
        <is>
          <t>MAJOR</t>
        </is>
      </c>
      <c r="E31" s="3" t="inlineStr">
        <is>
          <t>keyword_map/intent differentiation</t>
        </is>
      </c>
      <c r="F31" s="3" t="inlineStr">
        <is>
          <t>personalized baseball catcher blanket</t>
        </is>
      </c>
      <c r="G31" s="3" t="inlineStr">
        <is>
          <t>Ten adjacent pages target near-identical personalized American-football bedding intent.</t>
        </is>
      </c>
      <c r="H31" s="3" t="inlineStr">
        <is>
          <t>Modifier hình ảnh có khác nhưng vai trò landing page và internal linking chưa đủ để tránh cạnh tranh lẫn nhau.</t>
        </is>
      </c>
      <c r="I31" s="3" t="inlineStr">
        <is>
          <t>Assign one distinct primary intent per design cluster and document canonical/internal-link roles in English metadata.</t>
        </is>
      </c>
      <c r="J31" s="3" t="inlineStr">
        <is>
          <t>https://jeminise.com/products/custom-name-catcher-batter-baseball-baseball-throw-baseba-design-17; https://www.etsy.com/listing/4355382705/personalized-christian-blanket-god-says</t>
        </is>
      </c>
      <c r="K31" s="3" t="inlineStr">
        <is>
          <t>Keyword map shows non-overlapping primary intent for yard-line, patriotic, flame, helmet, player and camo clusters.</t>
        </is>
      </c>
    </row>
    <row r="32" ht="84" customHeight="1">
      <c r="A32" s="2" t="inlineStr">
        <is>
          <t>ISS-077-META</t>
        </is>
      </c>
      <c r="B32" s="2" t="inlineStr">
        <is>
          <t>jeminise.com+custom-name-catcher-batter-baseball-baseball-throw-baseba-design-17</t>
        </is>
      </c>
      <c r="C32" s="2" t="inlineStr"/>
      <c r="D32" s="2" t="inlineStr">
        <is>
          <t>MINOR</t>
        </is>
      </c>
      <c r="E32" s="2" t="inlineStr">
        <is>
          <t>meta_description_seo</t>
        </is>
      </c>
      <c r="F32" s="2" t="inlineStr">
        <is>
          <t>Shop a blanket featuring catcher reaching for a pitch inside large baseball stitching with the phrase I catch he pitches, Daniel name and 56. Review size and personalization options before checkout. (198 characters)</t>
        </is>
      </c>
      <c r="G32" s="2" t="inlineStr">
        <is>
          <t>The proposed meta description exceeds the usual concise snippet range and ends with internal-style checkout guidance.</t>
        </is>
      </c>
      <c r="H32" s="2" t="inlineStr">
        <is>
          <t>Độ dài 169–200 ký tự làm tăng nguy cơ bị cắt, còn câu review options chưa nêu rõ cơ chế Customize.</t>
        </is>
      </c>
      <c r="I32" s="2" t="inlineStr">
        <is>
          <t>Shorten to about 145–160 characters and state that name/number are entered through Customize.</t>
        </is>
      </c>
      <c r="J32" s="2" t="inlineStr">
        <is>
          <t>evidence_batch_009_087</t>
        </is>
      </c>
      <c r="K32" s="2" t="inlineStr">
        <is>
          <t>Meta is concise, product-specific and accurately explains personalization.</t>
        </is>
      </c>
    </row>
    <row r="33" ht="84" customHeight="1">
      <c r="A33" s="3" t="inlineStr">
        <is>
          <t>ISS-078-DESC</t>
        </is>
      </c>
      <c r="B33" s="3" t="inlineStr">
        <is>
          <t>jeminise.com+custom-name-catcher-batter-baseball-baseball-throw-baseba-design-18</t>
        </is>
      </c>
      <c r="C33" s="3" t="inlineStr"/>
      <c r="D33" s="3" t="inlineStr">
        <is>
          <t>MAJOR</t>
        </is>
      </c>
      <c r="E33" s="3" t="inlineStr">
        <is>
          <t>description_proposed_html</t>
        </is>
      </c>
      <c r="F33" s="3" t="inlineStr">
        <is>
          <t>SEO Use / It needs QA and approval before import.</t>
        </is>
      </c>
      <c r="G33" s="3" t="inlineStr">
        <is>
          <t>Submitted HTML contains an internal workflow block.</t>
        </is>
      </c>
      <c r="H33" s="3" t="inlineStr">
        <is>
          <t>Câu nội bộ về SEO/QA/import không phải nội dung dành cho khách hàng.</t>
        </is>
      </c>
      <c r="I33" s="3" t="inlineStr">
        <is>
          <t>Remove the internal SEO Use block and retain only customer-facing English HTML.</t>
        </is>
      </c>
      <c r="J33" s="3" t="inlineStr">
        <is>
          <t>evidence_batch_009_088</t>
        </is>
      </c>
      <c r="K33" s="3" t="inlineStr">
        <is>
          <t>Rendered HTML contains no drafting, QA, approval or import instruction.</t>
        </is>
      </c>
    </row>
    <row r="34" ht="84" customHeight="1">
      <c r="A34" s="2" t="inlineStr">
        <is>
          <t>ISS-078-CANN</t>
        </is>
      </c>
      <c r="B34" s="2" t="inlineStr">
        <is>
          <t>jeminise.com+custom-name-catcher-batter-baseball-baseball-throw-baseba-design-18</t>
        </is>
      </c>
      <c r="C34" s="2" t="inlineStr"/>
      <c r="D34" s="2" t="inlineStr">
        <is>
          <t>MAJOR</t>
        </is>
      </c>
      <c r="E34" s="2" t="inlineStr">
        <is>
          <t>keyword_map/intent differentiation</t>
        </is>
      </c>
      <c r="F34" s="2" t="inlineStr">
        <is>
          <t>American flag baseball blanket</t>
        </is>
      </c>
      <c r="G34" s="2" t="inlineStr">
        <is>
          <t>Ten adjacent pages target near-identical personalized American-football bedding intent.</t>
        </is>
      </c>
      <c r="H34" s="2" t="inlineStr">
        <is>
          <t>Modifier hình ảnh có khác nhưng vai trò landing page và internal linking chưa đủ để tránh cạnh tranh lẫn nhau.</t>
        </is>
      </c>
      <c r="I34" s="2" t="inlineStr">
        <is>
          <t>Assign one distinct primary intent per design cluster and document canonical/internal-link roles in English metadata.</t>
        </is>
      </c>
      <c r="J34" s="2" t="inlineStr">
        <is>
          <t>https://jeminise.com/products/custom-name-catcher-batter-baseball-baseball-throw-baseba-design-18; https://www.etsy.com/listing/4355382705/personalized-christian-blanket-god-says</t>
        </is>
      </c>
      <c r="K34" s="2" t="inlineStr">
        <is>
          <t>Keyword map shows non-overlapping primary intent for yard-line, patriotic, flame, helmet, player and camo clusters.</t>
        </is>
      </c>
    </row>
    <row r="35" ht="84" customHeight="1">
      <c r="A35" s="3" t="inlineStr">
        <is>
          <t>ISS-078-META</t>
        </is>
      </c>
      <c r="B35" s="3" t="inlineStr">
        <is>
          <t>jeminise.com+custom-name-catcher-batter-baseball-baseball-throw-baseba-design-18</t>
        </is>
      </c>
      <c r="C35" s="3" t="inlineStr"/>
      <c r="D35" s="3" t="inlineStr">
        <is>
          <t>MINOR</t>
        </is>
      </c>
      <c r="E35" s="3" t="inlineStr">
        <is>
          <t>meta_description_seo</t>
        </is>
      </c>
      <c r="F35" s="3" t="inlineStr">
        <is>
          <t>Shop a blanket featuring baseball batter silhouette over a vintage American flag background with Jude name and number 5. Review size and personalization options before checkout. (177 characters)</t>
        </is>
      </c>
      <c r="G35" s="3" t="inlineStr">
        <is>
          <t>The proposed meta description exceeds the usual concise snippet range and ends with internal-style checkout guidance.</t>
        </is>
      </c>
      <c r="H35" s="3" t="inlineStr">
        <is>
          <t>Độ dài 169–200 ký tự làm tăng nguy cơ bị cắt, còn câu review options chưa nêu rõ cơ chế Customize.</t>
        </is>
      </c>
      <c r="I35" s="3" t="inlineStr">
        <is>
          <t>Shorten to about 145–160 characters and state that name/number are entered through Customize.</t>
        </is>
      </c>
      <c r="J35" s="3" t="inlineStr">
        <is>
          <t>evidence_batch_009_088</t>
        </is>
      </c>
      <c r="K35" s="3" t="inlineStr">
        <is>
          <t>Meta is concise, product-specific and accurately explains personalization.</t>
        </is>
      </c>
    </row>
    <row r="36" ht="84" customHeight="1">
      <c r="A36" s="2" t="inlineStr">
        <is>
          <t>ISS-079-DESC</t>
        </is>
      </c>
      <c r="B36" s="2" t="inlineStr">
        <is>
          <t>jeminise.com+custom-name-catcher-batter-baseball-baseball-throw-baseba-design-21</t>
        </is>
      </c>
      <c r="C36" s="2" t="inlineStr"/>
      <c r="D36" s="2" t="inlineStr">
        <is>
          <t>MAJOR</t>
        </is>
      </c>
      <c r="E36" s="2" t="inlineStr">
        <is>
          <t>description_proposed_html</t>
        </is>
      </c>
      <c r="F36" s="2" t="inlineStr">
        <is>
          <t>SEO Use / It needs QA and approval before import.</t>
        </is>
      </c>
      <c r="G36" s="2" t="inlineStr">
        <is>
          <t>Submitted HTML contains an internal workflow block.</t>
        </is>
      </c>
      <c r="H36" s="2" t="inlineStr">
        <is>
          <t>Câu nội bộ về SEO/QA/import không phải nội dung dành cho khách hàng.</t>
        </is>
      </c>
      <c r="I36" s="2" t="inlineStr">
        <is>
          <t>Remove the internal SEO Use block and retain only customer-facing English HTML.</t>
        </is>
      </c>
      <c r="J36" s="2" t="inlineStr">
        <is>
          <t>evidence_batch_009_089</t>
        </is>
      </c>
      <c r="K36" s="2" t="inlineStr">
        <is>
          <t>Rendered HTML contains no drafting, QA, approval or import instruction.</t>
        </is>
      </c>
    </row>
    <row r="37" ht="84" customHeight="1">
      <c r="A37" s="3" t="inlineStr">
        <is>
          <t>ISS-079-CANN</t>
        </is>
      </c>
      <c r="B37" s="3" t="inlineStr">
        <is>
          <t>jeminise.com+custom-name-catcher-batter-baseball-baseball-throw-baseba-design-21</t>
        </is>
      </c>
      <c r="C37" s="3" t="inlineStr"/>
      <c r="D37" s="3" t="inlineStr">
        <is>
          <t>MAJOR</t>
        </is>
      </c>
      <c r="E37" s="3" t="inlineStr">
        <is>
          <t>keyword_map/intent differentiation</t>
        </is>
      </c>
      <c r="F37" s="3" t="inlineStr">
        <is>
          <t>personalized baseball name number blanket</t>
        </is>
      </c>
      <c r="G37" s="3" t="inlineStr">
        <is>
          <t>Ten adjacent pages target near-identical personalized American-football bedding intent.</t>
        </is>
      </c>
      <c r="H37" s="3" t="inlineStr">
        <is>
          <t>Modifier hình ảnh có khác nhưng vai trò landing page và internal linking chưa đủ để tránh cạnh tranh lẫn nhau.</t>
        </is>
      </c>
      <c r="I37" s="3" t="inlineStr">
        <is>
          <t>Assign one distinct primary intent per design cluster and document canonical/internal-link roles in English metadata.</t>
        </is>
      </c>
      <c r="J37" s="3" t="inlineStr">
        <is>
          <t>https://jeminise.com/products/custom-name-catcher-batter-baseball-baseball-throw-baseba-design-21; https://www.etsy.com/listing/4355382705/personalized-christian-blanket-god-says</t>
        </is>
      </c>
      <c r="K37" s="3" t="inlineStr">
        <is>
          <t>Keyword map shows non-overlapping primary intent for yard-line, patriotic, flame, helmet, player and camo clusters.</t>
        </is>
      </c>
    </row>
    <row r="38" ht="84" customHeight="1">
      <c r="A38" s="2" t="inlineStr">
        <is>
          <t>ISS-079-META</t>
        </is>
      </c>
      <c r="B38" s="2" t="inlineStr">
        <is>
          <t>jeminise.com+custom-name-catcher-batter-baseball-baseball-throw-baseba-design-21</t>
        </is>
      </c>
      <c r="C38" s="2" t="inlineStr"/>
      <c r="D38" s="2" t="inlineStr">
        <is>
          <t>MINOR</t>
        </is>
      </c>
      <c r="E38" s="2" t="inlineStr">
        <is>
          <t>meta_description_seo</t>
        </is>
      </c>
      <c r="F38" s="2" t="inlineStr">
        <is>
          <t>Shop a blanket featuring reversible-style baseball stitching design with catcher and batter silhouettes plus custom names Joey, Hudson and Noah with number 20. Review size and personalization options before checkout. (216 characters)</t>
        </is>
      </c>
      <c r="G38" s="2" t="inlineStr">
        <is>
          <t>The proposed meta description exceeds the usual concise snippet range and ends with internal-style checkout guidance.</t>
        </is>
      </c>
      <c r="H38" s="2" t="inlineStr">
        <is>
          <t>Độ dài 169–200 ký tự làm tăng nguy cơ bị cắt, còn câu review options chưa nêu rõ cơ chế Customize.</t>
        </is>
      </c>
      <c r="I38" s="2" t="inlineStr">
        <is>
          <t>Shorten to about 145–160 characters and state that name/number are entered through Customize.</t>
        </is>
      </c>
      <c r="J38" s="2" t="inlineStr">
        <is>
          <t>evidence_batch_009_089</t>
        </is>
      </c>
      <c r="K38" s="2" t="inlineStr">
        <is>
          <t>Meta is concise, product-specific and accurately explains personalization.</t>
        </is>
      </c>
    </row>
    <row r="39" ht="84" customHeight="1">
      <c r="A39" s="3" t="inlineStr">
        <is>
          <t>ISS-080-DESC</t>
        </is>
      </c>
      <c r="B39" s="3" t="inlineStr">
        <is>
          <t>jeminise.com+custom-name-catcher-batter-baseball-baseball-throw-baseball-blanket</t>
        </is>
      </c>
      <c r="C39" s="3" t="inlineStr"/>
      <c r="D39" s="3" t="inlineStr">
        <is>
          <t>MAJOR</t>
        </is>
      </c>
      <c r="E39" s="3" t="inlineStr">
        <is>
          <t>description_proposed_html</t>
        </is>
      </c>
      <c r="F39" s="3" t="inlineStr">
        <is>
          <t>SEO Use / It needs QA and approval before import.</t>
        </is>
      </c>
      <c r="G39" s="3" t="inlineStr">
        <is>
          <t>Submitted HTML contains an internal workflow block.</t>
        </is>
      </c>
      <c r="H39" s="3" t="inlineStr">
        <is>
          <t>Câu nội bộ về SEO/QA/import không phải nội dung dành cho khách hàng.</t>
        </is>
      </c>
      <c r="I39" s="3" t="inlineStr">
        <is>
          <t>Remove the internal SEO Use block and retain only customer-facing English HTML.</t>
        </is>
      </c>
      <c r="J39" s="3" t="inlineStr">
        <is>
          <t>evidence_batch_009_090</t>
        </is>
      </c>
      <c r="K39" s="3" t="inlineStr">
        <is>
          <t>Rendered HTML contains no drafting, QA, approval or import instruction.</t>
        </is>
      </c>
    </row>
    <row r="40" ht="84" customHeight="1">
      <c r="A40" s="2" t="inlineStr">
        <is>
          <t>ISS-080-CANN</t>
        </is>
      </c>
      <c r="B40" s="2" t="inlineStr">
        <is>
          <t>jeminise.com+custom-name-catcher-batter-baseball-baseball-throw-baseball-blanket</t>
        </is>
      </c>
      <c r="C40" s="2" t="inlineStr"/>
      <c r="D40" s="2" t="inlineStr">
        <is>
          <t>MAJOR</t>
        </is>
      </c>
      <c r="E40" s="2" t="inlineStr">
        <is>
          <t>keyword_map/intent differentiation</t>
        </is>
      </c>
      <c r="F40" s="2" t="inlineStr">
        <is>
          <t>personalized baseball Christian blanket</t>
        </is>
      </c>
      <c r="G40" s="2" t="inlineStr">
        <is>
          <t>Ten adjacent pages target near-identical personalized American-football bedding intent.</t>
        </is>
      </c>
      <c r="H40" s="2" t="inlineStr">
        <is>
          <t>Modifier hình ảnh có khác nhưng vai trò landing page và internal linking chưa đủ để tránh cạnh tranh lẫn nhau.</t>
        </is>
      </c>
      <c r="I40" s="2" t="inlineStr">
        <is>
          <t>Assign one distinct primary intent per design cluster and document canonical/internal-link roles in English metadata.</t>
        </is>
      </c>
      <c r="J40" s="2" t="inlineStr">
        <is>
          <t>https://jeminise.com/products/custom-name-catcher-batter-baseball-baseball-throw-baseball-blanket; https://www.etsy.com/listing/4355382705/personalized-christian-blanket-god-says</t>
        </is>
      </c>
      <c r="K40" s="2" t="inlineStr">
        <is>
          <t>Keyword map shows non-overlapping primary intent for yard-line, patriotic, flame, helmet, player and camo clusters.</t>
        </is>
      </c>
    </row>
    <row r="41" ht="84" customHeight="1">
      <c r="A41" s="3" t="inlineStr">
        <is>
          <t>ISS-080-META</t>
        </is>
      </c>
      <c r="B41" s="3" t="inlineStr">
        <is>
          <t>jeminise.com+custom-name-catcher-batter-baseball-baseball-throw-baseball-blanket</t>
        </is>
      </c>
      <c r="C41" s="3" t="inlineStr"/>
      <c r="D41" s="3" t="inlineStr">
        <is>
          <t>MINOR</t>
        </is>
      </c>
      <c r="E41" s="3" t="inlineStr">
        <is>
          <t>meta_description_seo</t>
        </is>
      </c>
      <c r="F41" s="3" t="inlineStr">
        <is>
          <t>Shop a blanket featuring vintage baseball faith design with God Says You Are text, Your Name placeholder, number 02 and Bible verse affirmations. Review size and personalization options before checkout. (202 characters)</t>
        </is>
      </c>
      <c r="G41" s="3" t="inlineStr">
        <is>
          <t>The proposed meta description exceeds the usual concise snippet range and ends with internal-style checkout guidance.</t>
        </is>
      </c>
      <c r="H41" s="3" t="inlineStr">
        <is>
          <t>Độ dài 169–200 ký tự làm tăng nguy cơ bị cắt, còn câu review options chưa nêu rõ cơ chế Customize.</t>
        </is>
      </c>
      <c r="I41" s="3" t="inlineStr">
        <is>
          <t>Shorten to about 145–160 characters and state that name/number are entered through Customize.</t>
        </is>
      </c>
      <c r="J41" s="3" t="inlineStr">
        <is>
          <t>evidence_batch_009_090</t>
        </is>
      </c>
      <c r="K41" s="3" t="inlineStr">
        <is>
          <t>Meta is concise, product-specific and accurately explains personalization.</t>
        </is>
      </c>
    </row>
    <row r="42" ht="84" customHeight="1">
      <c r="A42" s="2" t="inlineStr">
        <is>
          <t>ISS-GLOBAL-ADMIN</t>
        </is>
      </c>
      <c r="B42" s="2" t="inlineStr"/>
      <c r="C42" s="2" t="inlineStr"/>
      <c r="D42" s="2" t="inlineStr">
        <is>
          <t>LIMITATION</t>
        </is>
      </c>
      <c r="E42" s="2" t="inlineStr">
        <is>
          <t>current admin SEO fields/current admin alt</t>
        </is>
      </c>
      <c r="F42" s="2" t="inlineStr">
        <is>
          <t>Not supplied</t>
        </is>
      </c>
      <c r="G42" s="2" t="inlineStr">
        <is>
          <t>Storefront metadata and product.js media alt were readable, but no Shopify admin export was provided.</t>
        </is>
      </c>
      <c r="H42" s="2" t="inlineStr">
        <is>
          <t>Storefront values cannot prove admin fields or future import mapping.</t>
        </is>
      </c>
      <c r="I42" s="2" t="inlineStr">
        <is>
          <t>Provide a frozen Shopify admin/export snapshot before deployment approval.</t>
        </is>
      </c>
      <c r="J42" s="2" t="inlineStr">
        <is>
          <t>D:\Shopify_Workspace\jeminise_seo\resutls\jeminise.com\20260906_234129\batches\SEO_Product_Optimization_through_batch_009.xlsx</t>
        </is>
      </c>
      <c r="K42" s="2" t="inlineStr">
        <is>
          <t>Admin export revision and hash are frozen and compared.</t>
        </is>
      </c>
    </row>
    <row r="43" ht="84" customHeight="1">
      <c r="A43" s="3" t="inlineStr">
        <is>
          <t>ISS-GLOBAL-SNAPSHOT-HTML</t>
        </is>
      </c>
      <c r="B43" s="3" t="inlineStr"/>
      <c r="C43" s="3" t="inlineStr"/>
      <c r="D43" s="3" t="inlineStr">
        <is>
          <t>LIMITATION</t>
        </is>
      </c>
      <c r="E43" s="3" t="inlineStr">
        <is>
          <t>phase-1 HTML snapshot</t>
        </is>
      </c>
      <c r="F43" s="3" t="inlineStr">
        <is>
          <t>Phase-1 HTML fetch returned HTTP 403.</t>
        </is>
      </c>
      <c r="G43" s="3" t="inlineStr">
        <is>
          <t>Frozen product JSON/body/options/gallery URLs match live, but old rendered metadata cannot be compared directly.</t>
        </is>
      </c>
      <c r="H43" s="3" t="inlineStr">
        <is>
          <t>Snapshot HTML cũ không đọc được nên không thể dùng hash HTML để kết luận drift.</t>
        </is>
      </c>
      <c r="I43" s="3" t="inlineStr">
        <is>
          <t>Capture a fresh immutable HTML snapshot for the next revision.</t>
        </is>
      </c>
      <c r="J43" s="3" t="inlineStr">
        <is>
          <t>D:\Shopify_Workspace\jeminise_seo\seo_runs\jeminise.com\20260906_234129\qa\20260907_180500\live_source_comparison.json</t>
        </is>
      </c>
      <c r="K43" s="3" t="inlineStr">
        <is>
          <t>Both old and new readable HTML snapshots are available with hashes.</t>
        </is>
      </c>
    </row>
    <row r="44" ht="84" customHeight="1">
      <c r="A44" s="2" t="inlineStr">
        <is>
          <t>ISS-GLOBAL-CUSTOMIZER</t>
        </is>
      </c>
      <c r="B44" s="2" t="inlineStr"/>
      <c r="C44" s="2" t="inlineStr"/>
      <c r="D44" s="2" t="inlineStr">
        <is>
          <t>LIMITATION</t>
        </is>
      </c>
      <c r="E44" s="2" t="inlineStr">
        <is>
          <t>personalization purchase persistence</t>
        </is>
      </c>
      <c r="F44" s="2" t="inlineStr">
        <is>
          <t>Customizer root, button, upload endpoint and Name/Number schema verified in live HTML for all 10 products.</t>
        </is>
      </c>
      <c r="G44" s="2" t="inlineStr">
        <is>
          <t>An interactive browser was unavailable, so the final cart-line persistence and fulfillment payload were not executed.</t>
        </is>
      </c>
      <c r="H44" s="2" t="inlineStr">
        <is>
          <t>Cấu hình live hỗ trợ claim personalization, nhưng chưa kiểm thử end-to-end đến giỏ hàng.</t>
        </is>
      </c>
      <c r="I44" s="2" t="inlineStr">
        <is>
          <t>Run one controlled Customize-to-cart transaction per configuration revision before deployment approval.</t>
        </is>
      </c>
      <c r="J44" s="2" t="inlineStr">
        <is>
          <t>D:\Shopify_Workspace\jeminise_seo\seo_runs\jeminise.com\20260906_234129\qa\20260907_180500\customizer_audit.json</t>
        </is>
      </c>
      <c r="K44" s="2" t="inlineStr">
        <is>
          <t>Cart line retains the entered name, optional number, preview and variant mapping.</t>
        </is>
      </c>
    </row>
    <row r="45" ht="84" customHeight="1">
      <c r="A45" s="3" t="inlineStr">
        <is>
          <t>ISS-085-CUSTOMIZER-SCHEMA</t>
        </is>
      </c>
      <c r="B45" s="3" t="inlineStr">
        <is>
          <t>jeminise.com+custom-name-catcher-batter-baseball-baseball-throw-baseba-design-12</t>
        </is>
      </c>
      <c r="C45" s="3" t="inlineStr"/>
      <c r="D45" s="3" t="inlineStr">
        <is>
          <t>CRITICAL</t>
        </is>
      </c>
      <c r="E45" s="3" t="inlineStr">
        <is>
          <t>personalization_purchase_flow</t>
        </is>
      </c>
      <c r="F45" s="3" t="inlineStr">
        <is>
          <t>Customization / personalized claim</t>
        </is>
      </c>
      <c r="G45" s="3" t="inlineStr">
        <is>
          <t>Static live page schema mentions: name=2, number=2; root/button/upload present=True/True/True</t>
        </is>
      </c>
      <c r="H45" s="3" t="inlineStr">
        <is>
          <t>Live static evidence does not expose the claimed name/number inputs for this product; end-to-end control could not be tested.</t>
        </is>
      </c>
      <c r="I45" s="3" t="inlineStr">
        <is>
          <t>Prove the live Customize controls and fulfillment mapping, or remove personalized/custom claim from English SEO copy.</t>
        </is>
      </c>
      <c r="J45" s="3" t="inlineStr">
        <is>
          <t>D:\Shopify_Workspace\jeminise_seo\seo_runs\jeminise.com\20260906_234129\qa\20260907_180500\customizer_audit.json</t>
        </is>
      </c>
      <c r="K45" s="3" t="inlineStr">
        <is>
          <t>Reopen product, enter a test name/number where applicable, and verify cart payload before PASS.</t>
        </is>
      </c>
    </row>
    <row r="46" ht="84" customHeight="1">
      <c r="A46" s="2" t="inlineStr">
        <is>
          <t>ISS-087-CUSTOMIZER-SCHEMA</t>
        </is>
      </c>
      <c r="B46" s="2" t="inlineStr">
        <is>
          <t>jeminise.com+custom-name-catcher-batter-baseball-baseball-throw-baseba-design-17</t>
        </is>
      </c>
      <c r="C46" s="2" t="inlineStr"/>
      <c r="D46" s="2" t="inlineStr">
        <is>
          <t>CRITICAL</t>
        </is>
      </c>
      <c r="E46" s="2" t="inlineStr">
        <is>
          <t>personalization_purchase_flow</t>
        </is>
      </c>
      <c r="F46" s="2" t="inlineStr">
        <is>
          <t>Customization / personalized claim</t>
        </is>
      </c>
      <c r="G46" s="2" t="inlineStr">
        <is>
          <t>Static live page schema mentions: name=2, number=2; root/button/upload present=True/True/True</t>
        </is>
      </c>
      <c r="H46" s="2" t="inlineStr">
        <is>
          <t>Live static evidence does not expose the claimed name/number inputs for this product; end-to-end control could not be tested.</t>
        </is>
      </c>
      <c r="I46" s="2" t="inlineStr">
        <is>
          <t>Prove the live Customize controls and fulfillment mapping, or remove personalized/custom claim from English SEO copy.</t>
        </is>
      </c>
      <c r="J46" s="2" t="inlineStr">
        <is>
          <t>D:\Shopify_Workspace\jeminise_seo\seo_runs\jeminise.com\20260906_234129\qa\20260907_180500\customizer_audit.json</t>
        </is>
      </c>
      <c r="K46" s="2" t="inlineStr">
        <is>
          <t>Reopen product, enter a test name/number where applicable, and verify cart payload before PASS.</t>
        </is>
      </c>
    </row>
    <row r="47" ht="84" customHeight="1">
      <c r="A47" s="3" t="inlineStr">
        <is>
          <t>ISS-088-CUSTOMIZER-SCHEMA</t>
        </is>
      </c>
      <c r="B47" s="3" t="inlineStr">
        <is>
          <t>jeminise.com+custom-name-catcher-batter-baseball-baseball-throw-baseba-design-18</t>
        </is>
      </c>
      <c r="C47" s="3" t="inlineStr"/>
      <c r="D47" s="3" t="inlineStr">
        <is>
          <t>CRITICAL</t>
        </is>
      </c>
      <c r="E47" s="3" t="inlineStr">
        <is>
          <t>personalization_purchase_flow</t>
        </is>
      </c>
      <c r="F47" s="3" t="inlineStr">
        <is>
          <t>Customization / personalized claim</t>
        </is>
      </c>
      <c r="G47" s="3" t="inlineStr">
        <is>
          <t>Static live page schema mentions: name=2, number=2; root/button/upload present=True/True/True</t>
        </is>
      </c>
      <c r="H47" s="3" t="inlineStr">
        <is>
          <t>Live static evidence does not expose the claimed name/number inputs for this product; end-to-end control could not be tested.</t>
        </is>
      </c>
      <c r="I47" s="3" t="inlineStr">
        <is>
          <t>Prove the live Customize controls and fulfillment mapping, or remove personalized/custom claim from English SEO copy.</t>
        </is>
      </c>
      <c r="J47" s="3" t="inlineStr">
        <is>
          <t>D:\Shopify_Workspace\jeminise_seo\seo_runs\jeminise.com\20260906_234129\qa\20260907_180500\customizer_audit.json</t>
        </is>
      </c>
      <c r="K47" s="3" t="inlineStr">
        <is>
          <t>Reopen product, enter a test name/number where applicable, and verify cart payload before PASS.</t>
        </is>
      </c>
    </row>
    <row r="48" ht="84" customHeight="1">
      <c r="A48" s="2" t="inlineStr">
        <is>
          <t>ISS-089-CUSTOMIZER-SCHEMA</t>
        </is>
      </c>
      <c r="B48" s="2" t="inlineStr">
        <is>
          <t>jeminise.com+custom-name-catcher-batter-baseball-baseball-throw-baseba-design-21</t>
        </is>
      </c>
      <c r="C48" s="2" t="inlineStr"/>
      <c r="D48" s="2" t="inlineStr">
        <is>
          <t>CRITICAL</t>
        </is>
      </c>
      <c r="E48" s="2" t="inlineStr">
        <is>
          <t>personalization_purchase_flow</t>
        </is>
      </c>
      <c r="F48" s="2" t="inlineStr">
        <is>
          <t>Customization / personalized claim</t>
        </is>
      </c>
      <c r="G48" s="2" t="inlineStr">
        <is>
          <t>Static live page schema mentions: name=2, number=2; root/button/upload present=True/True/True</t>
        </is>
      </c>
      <c r="H48" s="2" t="inlineStr">
        <is>
          <t>Live static evidence does not expose the claimed name/number inputs for this product; end-to-end control could not be tested.</t>
        </is>
      </c>
      <c r="I48" s="2" t="inlineStr">
        <is>
          <t>Prove the live Customize controls and fulfillment mapping, or remove personalized/custom claim from English SEO copy.</t>
        </is>
      </c>
      <c r="J48" s="2" t="inlineStr">
        <is>
          <t>D:\Shopify_Workspace\jeminise_seo\seo_runs\jeminise.com\20260906_234129\qa\20260907_180500\customizer_audit.json</t>
        </is>
      </c>
      <c r="K48" s="2" t="inlineStr">
        <is>
          <t>Reopen product, enter a test name/number where applicable, and verify cart payload before PASS.</t>
        </is>
      </c>
    </row>
    <row r="49" ht="84" customHeight="1">
      <c r="A49" s="3" t="inlineStr">
        <is>
          <t>ISS-090-CUSTOMIZER-SCHEMA</t>
        </is>
      </c>
      <c r="B49" s="3" t="inlineStr">
        <is>
          <t>jeminise.com+custom-name-catcher-batter-baseball-baseball-throw-baseball-blanket</t>
        </is>
      </c>
      <c r="C49" s="3" t="inlineStr"/>
      <c r="D49" s="3" t="inlineStr">
        <is>
          <t>CRITICAL</t>
        </is>
      </c>
      <c r="E49" s="3" t="inlineStr">
        <is>
          <t>personalization_purchase_flow</t>
        </is>
      </c>
      <c r="F49" s="3" t="inlineStr">
        <is>
          <t>Customization / personalized claim</t>
        </is>
      </c>
      <c r="G49" s="3" t="inlineStr">
        <is>
          <t>Static live page schema mentions: name=2, number=2; root/button/upload present=True/True/True</t>
        </is>
      </c>
      <c r="H49" s="3" t="inlineStr">
        <is>
          <t>Live static evidence does not expose the claimed name/number inputs for this product; end-to-end control could not be tested.</t>
        </is>
      </c>
      <c r="I49" s="3" t="inlineStr">
        <is>
          <t>Prove the live Customize controls and fulfillment mapping, or remove personalized/custom claim from English SEO copy.</t>
        </is>
      </c>
      <c r="J49" s="3" t="inlineStr">
        <is>
          <t>D:\Shopify_Workspace\jeminise_seo\seo_runs\jeminise.com\20260906_234129\qa\20260907_180500\customizer_audit.json</t>
        </is>
      </c>
      <c r="K49" s="3" t="inlineStr">
        <is>
          <t>Reopen product, enter a test name/number where applicable, and verify cart payload before PASS.</t>
        </is>
      </c>
    </row>
  </sheetData>
  <autoFilter ref="A1:K49"/>
  <conditionalFormatting sqref="D2:D49">
    <cfRule type="expression" priority="1" dxfId="3">
      <formula>D2="CRITICAL"</formula>
    </cfRule>
    <cfRule type="expression" priority="2" dxfId="2">
      <formula>D2="MAJOR"</formula>
    </cfRule>
    <cfRule type="expression" priority="3" dxfId="1">
      <formula>D2="MINOR"</formula>
    </cfRule>
    <cfRule type="expression" priority="4" dxfId="4">
      <formula>D2="LIMITATION"</formula>
    </cfRule>
  </conditionalFormatting>
  <printOptions horizontalCentered="0"/>
  <pageMargins left="0.25" right="0.25" top="0.5" bottom="0.5" header="0.5" footer="0.5"/>
  <pageSetup orientation="landscape" fitToHeight="0" fitToWidth="2"/>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2026-09-07T10:56:36Z</dcterms:created>
  <dcterms:modified xmlns:dcterms="http://purl.org/dc/terms/" xmlns:xsi="http://www.w3.org/2001/XMLSchema-instance" xsi:type="dcterms:W3CDTF">2026-09-07T10:56:37Z</dcterms:modified>
</cp:coreProperties>
</file>