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'QA_Images'!$A$1:$X$63</definedName>
    <definedName name="_xlnm.Print_Titles" localSheetId="3">'QA_Images'!$1:$1</definedName>
    <definedName name="_xlnm._FilterDatabase" localSheetId="4" hidden="1">'QA_Issues'!$A$1:$K$12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trucking-semi-truck-breaking-through-stone-wall-vintage-comforter-28a367022b-28a367022b" TargetMode="External" Id="rId1"/><Relationship Type="http://schemas.openxmlformats.org/officeDocument/2006/relationships/hyperlink" Target="https://jeminise.com/products/custom-trucking-semi-truck-centered-on-chevron-background-comforter-cfef0beab9-cfef0beab9" TargetMode="External" Id="rId2"/><Relationship Type="http://schemas.openxmlformats.org/officeDocument/2006/relationships/hyperlink" Target="https://jeminise.com/products/custom-trucking-semi-truck-on-metallic-mesh-background-comforter-21d8f6bab6-21d8f6bab6" TargetMode="External" Id="rId3"/><Relationship Type="http://schemas.openxmlformats.org/officeDocument/2006/relationships/hyperlink" Target="https://jeminise.com/products/custom-trucking-semi-truck-on-textured-metallic-background-comforter-5ee1903c53-5ee1903c53" TargetMode="External" Id="rId4"/><Relationship Type="http://schemas.openxmlformats.org/officeDocument/2006/relationships/hyperlink" Target="https://jeminise.com/products/custom-trucking-semi-truck-under-starry-night-sky-comforter-6bbe1b0cd5-6bbe1b0cd5" TargetMode="External" Id="rId5"/><Relationship Type="http://schemas.openxmlformats.org/officeDocument/2006/relationships/hyperlink" Target="https://jeminise.com/products/cardinal-christmas-quilt-set-7237701d00-7237701d00" TargetMode="External" Id="rId6"/><Relationship Type="http://schemas.openxmlformats.org/officeDocument/2006/relationships/hyperlink" Target="https://jeminise.com/products/custom-wildlife-wolf-head-close-up-portrait-comforter-3233b9edb7-3233b9edb7" TargetMode="External" Id="rId7"/><Relationship Type="http://schemas.openxmlformats.org/officeDocument/2006/relationships/hyperlink" Target="https://jeminise.com/products/custom-wildlife-wolf-head-close-up-with-geometric-comforter-f005bbb79d-f005bbb79d" TargetMode="External" Id="rId8"/><Relationship Type="http://schemas.openxmlformats.org/officeDocument/2006/relationships/hyperlink" Target="https://jeminise.com/products/custom-wildlife-wolf-head-with-feathers-in-profile-comforter-0b1ab59a17-0b1ab59a17" TargetMode="External" Id="rId9"/><Relationship Type="http://schemas.openxmlformats.org/officeDocument/2006/relationships/hyperlink" Target="https://jeminise.com/products/custom-wolf-head-centered-in-dreamcatcher-comforter-be6b37a3e1-be6b37a3e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9c2de4b8fca94491645b16f68b222a2a8f2c0f2c1c7ca965804ab9fdffa4100.jpg?v=1785132830" TargetMode="External" Id="rId1"/><Relationship Type="http://schemas.openxmlformats.org/officeDocument/2006/relationships/hyperlink" Target="https://cdn.shopify.com/s/files/1/0792/5098/1063/files/f9c2de4b8fca94491645b16f68b222a2a8f2c0f2c1c7ca965804ab9fdffa4100.jpg?v=1785132830" TargetMode="External" Id="rId2"/><Relationship Type="http://schemas.openxmlformats.org/officeDocument/2006/relationships/hyperlink" Target="https://cdn.shopify.com/s/files/1/0792/5098/1063/files/cb40af2133ae7a7b62a908bfd8ab3b67101d519c6b22d55aea0046221fa904eb.jpg?v=1785132830" TargetMode="External" Id="rId3"/><Relationship Type="http://schemas.openxmlformats.org/officeDocument/2006/relationships/hyperlink" Target="https://cdn.shopify.com/s/files/1/0792/5098/1063/files/cb40af2133ae7a7b62a908bfd8ab3b67101d519c6b22d55aea0046221fa904eb.jpg?v=1785132830" TargetMode="External" Id="rId4"/><Relationship Type="http://schemas.openxmlformats.org/officeDocument/2006/relationships/hyperlink" Target="https://cdn.shopify.com/s/files/1/0792/5098/1063/files/16f7293cbefa5743a35b2e6316a5a114e5c052d08151e367dafd26aa5e2e542b_693d14f4-886d-4a41-9e61-0b67ccd07c1e.jpg?v=1785132830" TargetMode="External" Id="rId5"/><Relationship Type="http://schemas.openxmlformats.org/officeDocument/2006/relationships/hyperlink" Target="https://cdn.shopify.com/s/files/1/0792/5098/1063/files/16f7293cbefa5743a35b2e6316a5a114e5c052d08151e367dafd26aa5e2e542b_693d14f4-886d-4a41-9e61-0b67ccd07c1e.jpg?v=1785132830" TargetMode="External" Id="rId6"/><Relationship Type="http://schemas.openxmlformats.org/officeDocument/2006/relationships/hyperlink" Target="https://cdn.shopify.com/s/files/1/0792/5098/1063/files/8e27a770a50a1f488178e2ea485d879ddcfd731511687082221e7817b47fc1dd.jpg?v=1785132830" TargetMode="External" Id="rId7"/><Relationship Type="http://schemas.openxmlformats.org/officeDocument/2006/relationships/hyperlink" Target="https://cdn.shopify.com/s/files/1/0792/5098/1063/files/8e27a770a50a1f488178e2ea485d879ddcfd731511687082221e7817b47fc1dd.jpg?v=1785132830" TargetMode="External" Id="rId8"/><Relationship Type="http://schemas.openxmlformats.org/officeDocument/2006/relationships/hyperlink" Target="https://cdn.shopify.com/s/files/1/0792/5098/1063/files/764180d21c7d48aa0b8130038f90cb065bfc2a06198e2388452897fd3decbac2.jpg?v=1785132830" TargetMode="External" Id="rId9"/><Relationship Type="http://schemas.openxmlformats.org/officeDocument/2006/relationships/hyperlink" Target="https://cdn.shopify.com/s/files/1/0792/5098/1063/files/764180d21c7d48aa0b8130038f90cb065bfc2a06198e2388452897fd3decbac2.jpg?v=1785132830" TargetMode="External" Id="rId10"/><Relationship Type="http://schemas.openxmlformats.org/officeDocument/2006/relationships/hyperlink" Target="https://cdn.shopify.com/s/files/1/0792/5098/1063/files/7c006bddc94d4763c71c8376307e195c1bbce73b8c802ec73ac5a8cef1291262_9b83fd24-b7f1-4ab9-b1d7-6897e6d14750.jpg?v=1785132830" TargetMode="External" Id="rId11"/><Relationship Type="http://schemas.openxmlformats.org/officeDocument/2006/relationships/hyperlink" Target="https://cdn.shopify.com/s/files/1/0792/5098/1063/files/7c006bddc94d4763c71c8376307e195c1bbce73b8c802ec73ac5a8cef1291262_9b83fd24-b7f1-4ab9-b1d7-6897e6d14750.jpg?v=1785132830" TargetMode="External" Id="rId12"/><Relationship Type="http://schemas.openxmlformats.org/officeDocument/2006/relationships/hyperlink" Target="https://cdn.shopify.com/s/files/1/0792/5098/1063/files/e5cad84edb4d7bf77c48fd7c8e52eb3b73f04eba8bf177671fd8a059c59422e8_5449cbbb-8301-49ff-92ca-0140dd47b6ec.jpg?v=1785132830" TargetMode="External" Id="rId13"/><Relationship Type="http://schemas.openxmlformats.org/officeDocument/2006/relationships/hyperlink" Target="https://cdn.shopify.com/s/files/1/0792/5098/1063/files/e5cad84edb4d7bf77c48fd7c8e52eb3b73f04eba8bf177671fd8a059c59422e8_5449cbbb-8301-49ff-92ca-0140dd47b6ec.jpg?v=1785132830" TargetMode="External" Id="rId14"/><Relationship Type="http://schemas.openxmlformats.org/officeDocument/2006/relationships/hyperlink" Target="https://cdn.shopify.com/s/files/1/0792/5098/1063/files/1862d240d68540d29289e49b1720ec443c9161d27cbf293dee79f245738a053e.jpg?v=1785133827" TargetMode="External" Id="rId15"/><Relationship Type="http://schemas.openxmlformats.org/officeDocument/2006/relationships/hyperlink" Target="https://cdn.shopify.com/s/files/1/0792/5098/1063/files/1862d240d68540d29289e49b1720ec443c9161d27cbf293dee79f245738a053e.jpg?v=1785133827" TargetMode="External" Id="rId16"/><Relationship Type="http://schemas.openxmlformats.org/officeDocument/2006/relationships/hyperlink" Target="https://cdn.shopify.com/s/files/1/0792/5098/1063/files/ccc73d2e507308afc45d60e127395a6d5660e39d79e8b282cbe0a4ed7dd07c17.jpg?v=1785133827" TargetMode="External" Id="rId17"/><Relationship Type="http://schemas.openxmlformats.org/officeDocument/2006/relationships/hyperlink" Target="https://cdn.shopify.com/s/files/1/0792/5098/1063/files/ccc73d2e507308afc45d60e127395a6d5660e39d79e8b282cbe0a4ed7dd07c17.jpg?v=1785133827" TargetMode="External" Id="rId18"/><Relationship Type="http://schemas.openxmlformats.org/officeDocument/2006/relationships/hyperlink" Target="https://cdn.shopify.com/s/files/1/0792/5098/1063/files/16f7293cbefa5743a35b2e6316a5a114e5c052d08151e367dafd26aa5e2e542b_1d9370e4-e63e-4c9b-9ed0-d9bcae459c3c.jpg?v=1785133827" TargetMode="External" Id="rId19"/><Relationship Type="http://schemas.openxmlformats.org/officeDocument/2006/relationships/hyperlink" Target="https://cdn.shopify.com/s/files/1/0792/5098/1063/files/16f7293cbefa5743a35b2e6316a5a114e5c052d08151e367dafd26aa5e2e542b_1d9370e4-e63e-4c9b-9ed0-d9bcae459c3c.jpg?v=1785133827" TargetMode="External" Id="rId20"/><Relationship Type="http://schemas.openxmlformats.org/officeDocument/2006/relationships/hyperlink" Target="https://cdn.shopify.com/s/files/1/0792/5098/1063/files/95054aca5abda044fec14fcd2bdf72551414546134a058656d9a0e4520175edd.jpg?v=1785133827" TargetMode="External" Id="rId21"/><Relationship Type="http://schemas.openxmlformats.org/officeDocument/2006/relationships/hyperlink" Target="https://cdn.shopify.com/s/files/1/0792/5098/1063/files/95054aca5abda044fec14fcd2bdf72551414546134a058656d9a0e4520175edd.jpg?v=1785133827" TargetMode="External" Id="rId22"/><Relationship Type="http://schemas.openxmlformats.org/officeDocument/2006/relationships/hyperlink" Target="https://cdn.shopify.com/s/files/1/0792/5098/1063/files/6546554829f1e8976470f767561e6ed7c8431ef729e600ac9396c3a534c5e115.jpg?v=1785133827" TargetMode="External" Id="rId23"/><Relationship Type="http://schemas.openxmlformats.org/officeDocument/2006/relationships/hyperlink" Target="https://cdn.shopify.com/s/files/1/0792/5098/1063/files/6546554829f1e8976470f767561e6ed7c8431ef729e600ac9396c3a534c5e115.jpg?v=1785133827" TargetMode="External" Id="rId24"/><Relationship Type="http://schemas.openxmlformats.org/officeDocument/2006/relationships/hyperlink" Target="https://cdn.shopify.com/s/files/1/0792/5098/1063/files/7c006bddc94d4763c71c8376307e195c1bbce73b8c802ec73ac5a8cef1291262_f6eb804f-bd62-442a-8ddf-06cc1e2f7f0b.jpg?v=1785133827" TargetMode="External" Id="rId25"/><Relationship Type="http://schemas.openxmlformats.org/officeDocument/2006/relationships/hyperlink" Target="https://cdn.shopify.com/s/files/1/0792/5098/1063/files/7c006bddc94d4763c71c8376307e195c1bbce73b8c802ec73ac5a8cef1291262_f6eb804f-bd62-442a-8ddf-06cc1e2f7f0b.jpg?v=1785133827" TargetMode="External" Id="rId26"/><Relationship Type="http://schemas.openxmlformats.org/officeDocument/2006/relationships/hyperlink" Target="https://cdn.shopify.com/s/files/1/0792/5098/1063/files/e5cad84edb4d7bf77c48fd7c8e52eb3b73f04eba8bf177671fd8a059c59422e8_caebcacd-6582-469d-af0c-3a427bfc82d5.jpg?v=1785133827" TargetMode="External" Id="rId27"/><Relationship Type="http://schemas.openxmlformats.org/officeDocument/2006/relationships/hyperlink" Target="https://cdn.shopify.com/s/files/1/0792/5098/1063/files/e5cad84edb4d7bf77c48fd7c8e52eb3b73f04eba8bf177671fd8a059c59422e8_caebcacd-6582-469d-af0c-3a427bfc82d5.jpg?v=1785133827" TargetMode="External" Id="rId28"/><Relationship Type="http://schemas.openxmlformats.org/officeDocument/2006/relationships/hyperlink" Target="https://cdn.shopify.com/s/files/1/0792/5098/1063/files/c1922306dc0a397837af905e5e6342fafb647a7f1c2031512b1da8e16085715a.jpg?v=1785132980" TargetMode="External" Id="rId29"/><Relationship Type="http://schemas.openxmlformats.org/officeDocument/2006/relationships/hyperlink" Target="https://cdn.shopify.com/s/files/1/0792/5098/1063/files/c1922306dc0a397837af905e5e6342fafb647a7f1c2031512b1da8e16085715a.jpg?v=1785132980" TargetMode="External" Id="rId30"/><Relationship Type="http://schemas.openxmlformats.org/officeDocument/2006/relationships/hyperlink" Target="https://cdn.shopify.com/s/files/1/0792/5098/1063/files/c1e4ad535696ce70c2bec722f0c2bf013938b5edfca1ebc04a03ba9374f5e7b3.jpg?v=1785132980" TargetMode="External" Id="rId31"/><Relationship Type="http://schemas.openxmlformats.org/officeDocument/2006/relationships/hyperlink" Target="https://cdn.shopify.com/s/files/1/0792/5098/1063/files/c1e4ad535696ce70c2bec722f0c2bf013938b5edfca1ebc04a03ba9374f5e7b3.jpg?v=1785132980" TargetMode="External" Id="rId32"/><Relationship Type="http://schemas.openxmlformats.org/officeDocument/2006/relationships/hyperlink" Target="https://cdn.shopify.com/s/files/1/0792/5098/1063/files/16f7293cbefa5743a35b2e6316a5a114e5c052d08151e367dafd26aa5e2e542b_93d48143-883e-4ac2-83ca-2d1a4354845d.jpg?v=1785132980" TargetMode="External" Id="rId33"/><Relationship Type="http://schemas.openxmlformats.org/officeDocument/2006/relationships/hyperlink" Target="https://cdn.shopify.com/s/files/1/0792/5098/1063/files/16f7293cbefa5743a35b2e6316a5a114e5c052d08151e367dafd26aa5e2e542b_93d48143-883e-4ac2-83ca-2d1a4354845d.jpg?v=1785132980" TargetMode="External" Id="rId34"/><Relationship Type="http://schemas.openxmlformats.org/officeDocument/2006/relationships/hyperlink" Target="https://cdn.shopify.com/s/files/1/0792/5098/1063/files/e04b4cdaccf9c82a5f2e4bd4242b42e835b0111daa0ba9434371f1cf3bb055a3.jpg?v=1785132980" TargetMode="External" Id="rId35"/><Relationship Type="http://schemas.openxmlformats.org/officeDocument/2006/relationships/hyperlink" Target="https://cdn.shopify.com/s/files/1/0792/5098/1063/files/e04b4cdaccf9c82a5f2e4bd4242b42e835b0111daa0ba9434371f1cf3bb055a3.jpg?v=1785132980" TargetMode="External" Id="rId36"/><Relationship Type="http://schemas.openxmlformats.org/officeDocument/2006/relationships/hyperlink" Target="https://cdn.shopify.com/s/files/1/0792/5098/1063/files/e707b31763a524e2a68e131d5cce27b2204582821b46a800d943901bf6c2f240.jpg?v=1785132980" TargetMode="External" Id="rId37"/><Relationship Type="http://schemas.openxmlformats.org/officeDocument/2006/relationships/hyperlink" Target="https://cdn.shopify.com/s/files/1/0792/5098/1063/files/e707b31763a524e2a68e131d5cce27b2204582821b46a800d943901bf6c2f240.jpg?v=1785132980" TargetMode="External" Id="rId38"/><Relationship Type="http://schemas.openxmlformats.org/officeDocument/2006/relationships/hyperlink" Target="https://cdn.shopify.com/s/files/1/0792/5098/1063/files/7c006bddc94d4763c71c8376307e195c1bbce73b8c802ec73ac5a8cef1291262_9552c869-a848-49a9-88b6-fee9f5314799.jpg?v=1785132980" TargetMode="External" Id="rId39"/><Relationship Type="http://schemas.openxmlformats.org/officeDocument/2006/relationships/hyperlink" Target="https://cdn.shopify.com/s/files/1/0792/5098/1063/files/7c006bddc94d4763c71c8376307e195c1bbce73b8c802ec73ac5a8cef1291262_9552c869-a848-49a9-88b6-fee9f5314799.jpg?v=1785132980" TargetMode="External" Id="rId40"/><Relationship Type="http://schemas.openxmlformats.org/officeDocument/2006/relationships/hyperlink" Target="https://cdn.shopify.com/s/files/1/0792/5098/1063/files/e5cad84edb4d7bf77c48fd7c8e52eb3b73f04eba8bf177671fd8a059c59422e8_a12a5003-8ce1-4857-9045-aa242e549165.jpg?v=1785132980" TargetMode="External" Id="rId41"/><Relationship Type="http://schemas.openxmlformats.org/officeDocument/2006/relationships/hyperlink" Target="https://cdn.shopify.com/s/files/1/0792/5098/1063/files/e5cad84edb4d7bf77c48fd7c8e52eb3b73f04eba8bf177671fd8a059c59422e8_a12a5003-8ce1-4857-9045-aa242e549165.jpg?v=1785132980" TargetMode="External" Id="rId42"/><Relationship Type="http://schemas.openxmlformats.org/officeDocument/2006/relationships/hyperlink" Target="https://cdn.shopify.com/s/files/1/0792/5098/1063/files/57d38e66f2b34394bb485228e838a7ae63fbae56dfc5a6d11d528c6d41e4225a.jpg?v=1785132753" TargetMode="External" Id="rId43"/><Relationship Type="http://schemas.openxmlformats.org/officeDocument/2006/relationships/hyperlink" Target="https://cdn.shopify.com/s/files/1/0792/5098/1063/files/57d38e66f2b34394bb485228e838a7ae63fbae56dfc5a6d11d528c6d41e4225a.jpg?v=1785132753" TargetMode="External" Id="rId44"/><Relationship Type="http://schemas.openxmlformats.org/officeDocument/2006/relationships/hyperlink" Target="https://cdn.shopify.com/s/files/1/0792/5098/1063/files/6c4cda57b9e3a28bf8baef1c5e85afa8ed94dcd72110978845cba27a8af50e6f.jpg?v=1785132753" TargetMode="External" Id="rId45"/><Relationship Type="http://schemas.openxmlformats.org/officeDocument/2006/relationships/hyperlink" Target="https://cdn.shopify.com/s/files/1/0792/5098/1063/files/6c4cda57b9e3a28bf8baef1c5e85afa8ed94dcd72110978845cba27a8af50e6f.jpg?v=1785132753" TargetMode="External" Id="rId46"/><Relationship Type="http://schemas.openxmlformats.org/officeDocument/2006/relationships/hyperlink" Target="https://cdn.shopify.com/s/files/1/0792/5098/1063/files/16f7293cbefa5743a35b2e6316a5a114e5c052d08151e367dafd26aa5e2e542b_f5f72ee7-1da4-4a37-98b2-cfa1d00ff0c5.jpg?v=1785132753" TargetMode="External" Id="rId47"/><Relationship Type="http://schemas.openxmlformats.org/officeDocument/2006/relationships/hyperlink" Target="https://cdn.shopify.com/s/files/1/0792/5098/1063/files/16f7293cbefa5743a35b2e6316a5a114e5c052d08151e367dafd26aa5e2e542b_f5f72ee7-1da4-4a37-98b2-cfa1d00ff0c5.jpg?v=1785132753" TargetMode="External" Id="rId48"/><Relationship Type="http://schemas.openxmlformats.org/officeDocument/2006/relationships/hyperlink" Target="https://cdn.shopify.com/s/files/1/0792/5098/1063/files/2776eb90f20c7e99621bb907bf459687c837f8ae60c4d1374540e0fec7c43a03.jpg?v=1785132753" TargetMode="External" Id="rId49"/><Relationship Type="http://schemas.openxmlformats.org/officeDocument/2006/relationships/hyperlink" Target="https://cdn.shopify.com/s/files/1/0792/5098/1063/files/2776eb90f20c7e99621bb907bf459687c837f8ae60c4d1374540e0fec7c43a03.jpg?v=1785132753" TargetMode="External" Id="rId50"/><Relationship Type="http://schemas.openxmlformats.org/officeDocument/2006/relationships/hyperlink" Target="https://cdn.shopify.com/s/files/1/0792/5098/1063/files/e114d845ac9ebaa4b654f69449b9ea75627de398b074c743e279f4bf99202bc8.jpg?v=1785132753" TargetMode="External" Id="rId51"/><Relationship Type="http://schemas.openxmlformats.org/officeDocument/2006/relationships/hyperlink" Target="https://cdn.shopify.com/s/files/1/0792/5098/1063/files/e114d845ac9ebaa4b654f69449b9ea75627de398b074c743e279f4bf99202bc8.jpg?v=1785132753" TargetMode="External" Id="rId52"/><Relationship Type="http://schemas.openxmlformats.org/officeDocument/2006/relationships/hyperlink" Target="https://cdn.shopify.com/s/files/1/0792/5098/1063/files/7c006bddc94d4763c71c8376307e195c1bbce73b8c802ec73ac5a8cef1291262_11022c84-f04f-4db0-bb76-03d6219792bd.jpg?v=1785132753" TargetMode="External" Id="rId53"/><Relationship Type="http://schemas.openxmlformats.org/officeDocument/2006/relationships/hyperlink" Target="https://cdn.shopify.com/s/files/1/0792/5098/1063/files/7c006bddc94d4763c71c8376307e195c1bbce73b8c802ec73ac5a8cef1291262_11022c84-f04f-4db0-bb76-03d6219792bd.jpg?v=1785132753" TargetMode="External" Id="rId54"/><Relationship Type="http://schemas.openxmlformats.org/officeDocument/2006/relationships/hyperlink" Target="https://cdn.shopify.com/s/files/1/0792/5098/1063/files/e5cad84edb4d7bf77c48fd7c8e52eb3b73f04eba8bf177671fd8a059c59422e8_922b3cca-440c-441c-b487-e8057643c614.jpg?v=1785132753" TargetMode="External" Id="rId55"/><Relationship Type="http://schemas.openxmlformats.org/officeDocument/2006/relationships/hyperlink" Target="https://cdn.shopify.com/s/files/1/0792/5098/1063/files/e5cad84edb4d7bf77c48fd7c8e52eb3b73f04eba8bf177671fd8a059c59422e8_922b3cca-440c-441c-b487-e8057643c614.jpg?v=1785132753" TargetMode="External" Id="rId56"/><Relationship Type="http://schemas.openxmlformats.org/officeDocument/2006/relationships/hyperlink" Target="https://cdn.shopify.com/s/files/1/0792/5098/1063/files/66486682f9ef934c1eee08c4d8d1b66c4f2c0764b327966d8b42831f194ce09c.jpg?v=1785132251" TargetMode="External" Id="rId57"/><Relationship Type="http://schemas.openxmlformats.org/officeDocument/2006/relationships/hyperlink" Target="https://cdn.shopify.com/s/files/1/0792/5098/1063/files/66486682f9ef934c1eee08c4d8d1b66c4f2c0764b327966d8b42831f194ce09c.jpg?v=1785132251" TargetMode="External" Id="rId58"/><Relationship Type="http://schemas.openxmlformats.org/officeDocument/2006/relationships/hyperlink" Target="https://cdn.shopify.com/s/files/1/0792/5098/1063/files/c278ece189736351d50cbf66747592905b57e00b5c3663b3a9eb95a085b8aaeb.jpg?v=1785132251" TargetMode="External" Id="rId59"/><Relationship Type="http://schemas.openxmlformats.org/officeDocument/2006/relationships/hyperlink" Target="https://cdn.shopify.com/s/files/1/0792/5098/1063/files/c278ece189736351d50cbf66747592905b57e00b5c3663b3a9eb95a085b8aaeb.jpg?v=1785132251" TargetMode="External" Id="rId60"/><Relationship Type="http://schemas.openxmlformats.org/officeDocument/2006/relationships/hyperlink" Target="https://cdn.shopify.com/s/files/1/0792/5098/1063/files/16f7293cbefa5743a35b2e6316a5a114e5c052d08151e367dafd26aa5e2e542b_711afbd8-1c78-4abc-b9dc-844544a630d3.jpg?v=1785132252" TargetMode="External" Id="rId61"/><Relationship Type="http://schemas.openxmlformats.org/officeDocument/2006/relationships/hyperlink" Target="https://cdn.shopify.com/s/files/1/0792/5098/1063/files/16f7293cbefa5743a35b2e6316a5a114e5c052d08151e367dafd26aa5e2e542b_711afbd8-1c78-4abc-b9dc-844544a630d3.jpg?v=1785132252" TargetMode="External" Id="rId62"/><Relationship Type="http://schemas.openxmlformats.org/officeDocument/2006/relationships/hyperlink" Target="https://cdn.shopify.com/s/files/1/0792/5098/1063/files/35a06f8610a3c89e13a39e269c58d7a5c19e53ee3bc7e0d28447be78e2f81527.jpg?v=1785132251" TargetMode="External" Id="rId63"/><Relationship Type="http://schemas.openxmlformats.org/officeDocument/2006/relationships/hyperlink" Target="https://cdn.shopify.com/s/files/1/0792/5098/1063/files/35a06f8610a3c89e13a39e269c58d7a5c19e53ee3bc7e0d28447be78e2f81527.jpg?v=1785132251" TargetMode="External" Id="rId64"/><Relationship Type="http://schemas.openxmlformats.org/officeDocument/2006/relationships/hyperlink" Target="https://cdn.shopify.com/s/files/1/0792/5098/1063/files/84d1a4dac8e15358c95d2049b2828465cd42893be60d78a0c6bf9b7d07c2d3af.jpg?v=1785132251" TargetMode="External" Id="rId65"/><Relationship Type="http://schemas.openxmlformats.org/officeDocument/2006/relationships/hyperlink" Target="https://cdn.shopify.com/s/files/1/0792/5098/1063/files/84d1a4dac8e15358c95d2049b2828465cd42893be60d78a0c6bf9b7d07c2d3af.jpg?v=1785132251" TargetMode="External" Id="rId66"/><Relationship Type="http://schemas.openxmlformats.org/officeDocument/2006/relationships/hyperlink" Target="https://cdn.shopify.com/s/files/1/0792/5098/1063/files/7c006bddc94d4763c71c8376307e195c1bbce73b8c802ec73ac5a8cef1291262_081a2c1f-f875-461a-aaef-dd038b65649d.jpg?v=1785132251" TargetMode="External" Id="rId67"/><Relationship Type="http://schemas.openxmlformats.org/officeDocument/2006/relationships/hyperlink" Target="https://cdn.shopify.com/s/files/1/0792/5098/1063/files/7c006bddc94d4763c71c8376307e195c1bbce73b8c802ec73ac5a8cef1291262_081a2c1f-f875-461a-aaef-dd038b65649d.jpg?v=1785132251" TargetMode="External" Id="rId68"/><Relationship Type="http://schemas.openxmlformats.org/officeDocument/2006/relationships/hyperlink" Target="https://cdn.shopify.com/s/files/1/0792/5098/1063/files/e5cad84edb4d7bf77c48fd7c8e52eb3b73f04eba8bf177671fd8a059c59422e8_eb794822-9d5b-4dc8-801a-bf0cf9740fc2.jpg?v=1785132251" TargetMode="External" Id="rId69"/><Relationship Type="http://schemas.openxmlformats.org/officeDocument/2006/relationships/hyperlink" Target="https://cdn.shopify.com/s/files/1/0792/5098/1063/files/e5cad84edb4d7bf77c48fd7c8e52eb3b73f04eba8bf177671fd8a059c59422e8_eb794822-9d5b-4dc8-801a-bf0cf9740fc2.jpg?v=1785132251" TargetMode="External" Id="rId70"/><Relationship Type="http://schemas.openxmlformats.org/officeDocument/2006/relationships/hyperlink" Target="https://cdn.shopify.com/s/files/1/0792/5098/1063/files/118574be8aa324483555a5c07a7e0f89b235f456f217c4e560b5d20b9b8caca2.jpg?v=1785099027" TargetMode="External" Id="rId71"/><Relationship Type="http://schemas.openxmlformats.org/officeDocument/2006/relationships/hyperlink" Target="https://cdn.shopify.com/s/files/1/0792/5098/1063/files/118574be8aa324483555a5c07a7e0f89b235f456f217c4e560b5d20b9b8caca2.jpg?v=1785099027" TargetMode="External" Id="rId72"/><Relationship Type="http://schemas.openxmlformats.org/officeDocument/2006/relationships/hyperlink" Target="https://cdn.shopify.com/s/files/1/0792/5098/1063/files/558f636f9835c8da11707934b23be9fb29f46bd1b2dd4e245008c77d5dc5b615.jpg?v=1785099027" TargetMode="External" Id="rId73"/><Relationship Type="http://schemas.openxmlformats.org/officeDocument/2006/relationships/hyperlink" Target="https://cdn.shopify.com/s/files/1/0792/5098/1063/files/558f636f9835c8da11707934b23be9fb29f46bd1b2dd4e245008c77d5dc5b615.jpg?v=1785099027" TargetMode="External" Id="rId74"/><Relationship Type="http://schemas.openxmlformats.org/officeDocument/2006/relationships/hyperlink" Target="https://cdn.shopify.com/s/files/1/0792/5098/1063/files/abfe9f48500d8477415f31d7eeb4b5b14d9d4baf87c88a41a44bc7d839521ec8.jpg?v=1785099027" TargetMode="External" Id="rId75"/><Relationship Type="http://schemas.openxmlformats.org/officeDocument/2006/relationships/hyperlink" Target="https://cdn.shopify.com/s/files/1/0792/5098/1063/files/abfe9f48500d8477415f31d7eeb4b5b14d9d4baf87c88a41a44bc7d839521ec8.jpg?v=1785099027" TargetMode="External" Id="rId76"/><Relationship Type="http://schemas.openxmlformats.org/officeDocument/2006/relationships/hyperlink" Target="https://cdn.shopify.com/s/files/1/0792/5098/1063/files/fff13981b816839b4d2573b1e588d70d1508edc78ae4cb40b19c1c1449fa81d7.jpg?v=1785099027" TargetMode="External" Id="rId77"/><Relationship Type="http://schemas.openxmlformats.org/officeDocument/2006/relationships/hyperlink" Target="https://cdn.shopify.com/s/files/1/0792/5098/1063/files/fff13981b816839b4d2573b1e588d70d1508edc78ae4cb40b19c1c1449fa81d7.jpg?v=1785099027" TargetMode="External" Id="rId78"/><Relationship Type="http://schemas.openxmlformats.org/officeDocument/2006/relationships/hyperlink" Target="https://cdn.shopify.com/s/files/1/0792/5098/1063/files/76ae51978c72236721d8d0072b2c19806dc2db905a27ec5a7bcf33752a375010.jpg?v=1785099027" TargetMode="External" Id="rId79"/><Relationship Type="http://schemas.openxmlformats.org/officeDocument/2006/relationships/hyperlink" Target="https://cdn.shopify.com/s/files/1/0792/5098/1063/files/76ae51978c72236721d8d0072b2c19806dc2db905a27ec5a7bcf33752a375010.jpg?v=1785099027" TargetMode="External" Id="rId80"/><Relationship Type="http://schemas.openxmlformats.org/officeDocument/2006/relationships/hyperlink" Target="https://cdn.shopify.com/s/files/1/0792/5098/1063/files/91dfea77e81e54512c9459d2114b6842ae71378ea84caa74f80e275c770a1fa4.jpg?v=1785099027" TargetMode="External" Id="rId81"/><Relationship Type="http://schemas.openxmlformats.org/officeDocument/2006/relationships/hyperlink" Target="https://cdn.shopify.com/s/files/1/0792/5098/1063/files/91dfea77e81e54512c9459d2114b6842ae71378ea84caa74f80e275c770a1fa4.jpg?v=1785099027" TargetMode="External" Id="rId82"/><Relationship Type="http://schemas.openxmlformats.org/officeDocument/2006/relationships/hyperlink" Target="https://cdn.shopify.com/s/files/1/0792/5098/1063/files/1e1a64d7533bc3dd04c4bf7e1b3aaa5754de833077ca3b30d63a7db6b9cc4622.jpg?v=1785099027" TargetMode="External" Id="rId83"/><Relationship Type="http://schemas.openxmlformats.org/officeDocument/2006/relationships/hyperlink" Target="https://cdn.shopify.com/s/files/1/0792/5098/1063/files/1e1a64d7533bc3dd04c4bf7e1b3aaa5754de833077ca3b30d63a7db6b9cc4622.jpg?v=1785099027" TargetMode="External" Id="rId84"/><Relationship Type="http://schemas.openxmlformats.org/officeDocument/2006/relationships/hyperlink" Target="https://cdn.shopify.com/s/files/1/0792/5098/1063/files/d98912080910bd4204041b4cc5fda4e079916726c4bbf96a96c48300c109b9a3.jpg?v=1785181200" TargetMode="External" Id="rId85"/><Relationship Type="http://schemas.openxmlformats.org/officeDocument/2006/relationships/hyperlink" Target="https://cdn.shopify.com/s/files/1/0792/5098/1063/files/d98912080910bd4204041b4cc5fda4e079916726c4bbf96a96c48300c109b9a3.jpg?v=1785181200" TargetMode="External" Id="rId86"/><Relationship Type="http://schemas.openxmlformats.org/officeDocument/2006/relationships/hyperlink" Target="https://cdn.shopify.com/s/files/1/0792/5098/1063/files/c7412f77877790fadbda8d282b39ce2fc56221f5c7c1e81e4a77476310e19166.jpg?v=1785181199" TargetMode="External" Id="rId87"/><Relationship Type="http://schemas.openxmlformats.org/officeDocument/2006/relationships/hyperlink" Target="https://cdn.shopify.com/s/files/1/0792/5098/1063/files/c7412f77877790fadbda8d282b39ce2fc56221f5c7c1e81e4a77476310e19166.jpg?v=1785181199" TargetMode="External" Id="rId88"/><Relationship Type="http://schemas.openxmlformats.org/officeDocument/2006/relationships/hyperlink" Target="https://cdn.shopify.com/s/files/1/0792/5098/1063/files/4e6f29d0c8825ac0f3ecc5013137abf4f74e89238663ff73a31b68ec2769084a.jpg?v=1785181199" TargetMode="External" Id="rId89"/><Relationship Type="http://schemas.openxmlformats.org/officeDocument/2006/relationships/hyperlink" Target="https://cdn.shopify.com/s/files/1/0792/5098/1063/files/4e6f29d0c8825ac0f3ecc5013137abf4f74e89238663ff73a31b68ec2769084a.jpg?v=1785181199" TargetMode="External" Id="rId90"/><Relationship Type="http://schemas.openxmlformats.org/officeDocument/2006/relationships/hyperlink" Target="https://cdn.shopify.com/s/files/1/0792/5098/1063/files/0f940337e3da2f65f0e1726a8fbf74b9e18ca2563b79f783255d965d375910ad.jpg?v=1785181199" TargetMode="External" Id="rId91"/><Relationship Type="http://schemas.openxmlformats.org/officeDocument/2006/relationships/hyperlink" Target="https://cdn.shopify.com/s/files/1/0792/5098/1063/files/0f940337e3da2f65f0e1726a8fbf74b9e18ca2563b79f783255d965d375910ad.jpg?v=1785181199" TargetMode="External" Id="rId92"/><Relationship Type="http://schemas.openxmlformats.org/officeDocument/2006/relationships/hyperlink" Target="https://cdn.shopify.com/s/files/1/0792/5098/1063/files/a54b901eb4c1e7cf7b664ede0c7a886b67e648375c9996e407998a600b9cb310.jpg?v=1785181200" TargetMode="External" Id="rId93"/><Relationship Type="http://schemas.openxmlformats.org/officeDocument/2006/relationships/hyperlink" Target="https://cdn.shopify.com/s/files/1/0792/5098/1063/files/a54b901eb4c1e7cf7b664ede0c7a886b67e648375c9996e407998a600b9cb310.jpg?v=1785181200" TargetMode="External" Id="rId94"/><Relationship Type="http://schemas.openxmlformats.org/officeDocument/2006/relationships/hyperlink" Target="https://cdn.shopify.com/s/files/1/0792/5098/1063/files/fb99d33be77ccc490c5313b387c1b9a092e5691e9d9e6ec2620bba5259c62ca7.jpg?v=1785181393" TargetMode="External" Id="rId95"/><Relationship Type="http://schemas.openxmlformats.org/officeDocument/2006/relationships/hyperlink" Target="https://cdn.shopify.com/s/files/1/0792/5098/1063/files/fb99d33be77ccc490c5313b387c1b9a092e5691e9d9e6ec2620bba5259c62ca7.jpg?v=1785181393" TargetMode="External" Id="rId96"/><Relationship Type="http://schemas.openxmlformats.org/officeDocument/2006/relationships/hyperlink" Target="https://cdn.shopify.com/s/files/1/0792/5098/1063/files/e2ace212c9c382ad5fd89ef08f8e0f553ab8c19afed18d86b27b5c3ba73d139b.jpg?v=1785181393" TargetMode="External" Id="rId97"/><Relationship Type="http://schemas.openxmlformats.org/officeDocument/2006/relationships/hyperlink" Target="https://cdn.shopify.com/s/files/1/0792/5098/1063/files/e2ace212c9c382ad5fd89ef08f8e0f553ab8c19afed18d86b27b5c3ba73d139b.jpg?v=1785181393" TargetMode="External" Id="rId98"/><Relationship Type="http://schemas.openxmlformats.org/officeDocument/2006/relationships/hyperlink" Target="https://cdn.shopify.com/s/files/1/0792/5098/1063/files/ecef674ec02d2f501ba1ca24f63d76a59886600b070e7cf84ce106c8563dee5e.jpg?v=1785181393" TargetMode="External" Id="rId99"/><Relationship Type="http://schemas.openxmlformats.org/officeDocument/2006/relationships/hyperlink" Target="https://cdn.shopify.com/s/files/1/0792/5098/1063/files/ecef674ec02d2f501ba1ca24f63d76a59886600b070e7cf84ce106c8563dee5e.jpg?v=1785181393" TargetMode="External" Id="rId100"/><Relationship Type="http://schemas.openxmlformats.org/officeDocument/2006/relationships/hyperlink" Target="https://cdn.shopify.com/s/files/1/0792/5098/1063/files/56fd8b810c302c8bc32b9136dbd1e0ff71e7ad1f16c4cc2bc8b7746a3ff61db6.jpg?v=1785181393" TargetMode="External" Id="rId101"/><Relationship Type="http://schemas.openxmlformats.org/officeDocument/2006/relationships/hyperlink" Target="https://cdn.shopify.com/s/files/1/0792/5098/1063/files/56fd8b810c302c8bc32b9136dbd1e0ff71e7ad1f16c4cc2bc8b7746a3ff61db6.jpg?v=1785181393" TargetMode="External" Id="rId102"/><Relationship Type="http://schemas.openxmlformats.org/officeDocument/2006/relationships/hyperlink" Target="https://cdn.shopify.com/s/files/1/0792/5098/1063/files/666e402de87a36865f25b35367771908b8619bf86bc6e37660461d48ce76f12b.jpg?v=1785181393" TargetMode="External" Id="rId103"/><Relationship Type="http://schemas.openxmlformats.org/officeDocument/2006/relationships/hyperlink" Target="https://cdn.shopify.com/s/files/1/0792/5098/1063/files/666e402de87a36865f25b35367771908b8619bf86bc6e37660461d48ce76f12b.jpg?v=1785181393" TargetMode="External" Id="rId104"/><Relationship Type="http://schemas.openxmlformats.org/officeDocument/2006/relationships/hyperlink" Target="https://cdn.shopify.com/s/files/1/0792/5098/1063/files/1253d3cdaec810d23a956125b83478f66f286ecb5f5ed21d03a3f7393ca515f1.jpg?v=1785181472" TargetMode="External" Id="rId105"/><Relationship Type="http://schemas.openxmlformats.org/officeDocument/2006/relationships/hyperlink" Target="https://cdn.shopify.com/s/files/1/0792/5098/1063/files/1253d3cdaec810d23a956125b83478f66f286ecb5f5ed21d03a3f7393ca515f1.jpg?v=1785181472" TargetMode="External" Id="rId106"/><Relationship Type="http://schemas.openxmlformats.org/officeDocument/2006/relationships/hyperlink" Target="https://cdn.shopify.com/s/files/1/0792/5098/1063/files/398a2a19abd4817d3ec37901d5b531be11ca0332c3b18cb69053b56dc42febfd.jpg?v=1785181471" TargetMode="External" Id="rId107"/><Relationship Type="http://schemas.openxmlformats.org/officeDocument/2006/relationships/hyperlink" Target="https://cdn.shopify.com/s/files/1/0792/5098/1063/files/398a2a19abd4817d3ec37901d5b531be11ca0332c3b18cb69053b56dc42febfd.jpg?v=1785181471" TargetMode="External" Id="rId108"/><Relationship Type="http://schemas.openxmlformats.org/officeDocument/2006/relationships/hyperlink" Target="https://cdn.shopify.com/s/files/1/0792/5098/1063/files/541eb95a3e153e2bd30304d2f0c7d58871b9b691ba6c938f9e6f6eccf38ee7ae.jpg?v=1785181471" TargetMode="External" Id="rId109"/><Relationship Type="http://schemas.openxmlformats.org/officeDocument/2006/relationships/hyperlink" Target="https://cdn.shopify.com/s/files/1/0792/5098/1063/files/541eb95a3e153e2bd30304d2f0c7d58871b9b691ba6c938f9e6f6eccf38ee7ae.jpg?v=1785181471" TargetMode="External" Id="rId110"/><Relationship Type="http://schemas.openxmlformats.org/officeDocument/2006/relationships/hyperlink" Target="https://cdn.shopify.com/s/files/1/0792/5098/1063/files/4c27f7256fa9da62b223d070c922bc959741e9b1746ebb87947cf2161d1917b0.jpg?v=1785181471" TargetMode="External" Id="rId111"/><Relationship Type="http://schemas.openxmlformats.org/officeDocument/2006/relationships/hyperlink" Target="https://cdn.shopify.com/s/files/1/0792/5098/1063/files/4c27f7256fa9da62b223d070c922bc959741e9b1746ebb87947cf2161d1917b0.jpg?v=1785181471" TargetMode="External" Id="rId112"/><Relationship Type="http://schemas.openxmlformats.org/officeDocument/2006/relationships/hyperlink" Target="https://cdn.shopify.com/s/files/1/0792/5098/1063/files/06a1d66de78b9d4c032e2755da46ca361ce2886dc184b262ea9dd71908a64fcd.jpg?v=1785181471" TargetMode="External" Id="rId113"/><Relationship Type="http://schemas.openxmlformats.org/officeDocument/2006/relationships/hyperlink" Target="https://cdn.shopify.com/s/files/1/0792/5098/1063/files/06a1d66de78b9d4c032e2755da46ca361ce2886dc184b262ea9dd71908a64fcd.jpg?v=1785181471" TargetMode="External" Id="rId114"/><Relationship Type="http://schemas.openxmlformats.org/officeDocument/2006/relationships/hyperlink" Target="https://cdn.shopify.com/s/files/1/0792/5098/1063/files/020fde2da418c08d9376ad45c1918438d55d39a2b4217c6ecc488895a8b7ff9b.jpg?v=1785181290" TargetMode="External" Id="rId115"/><Relationship Type="http://schemas.openxmlformats.org/officeDocument/2006/relationships/hyperlink" Target="https://cdn.shopify.com/s/files/1/0792/5098/1063/files/020fde2da418c08d9376ad45c1918438d55d39a2b4217c6ecc488895a8b7ff9b.jpg?v=1785181290" TargetMode="External" Id="rId116"/><Relationship Type="http://schemas.openxmlformats.org/officeDocument/2006/relationships/hyperlink" Target="https://cdn.shopify.com/s/files/1/0792/5098/1063/files/70e56f4add645d5df13a1f64670e7e344b031040e5dc0d56fb8df4d2009ff937.jpg?v=1785181290" TargetMode="External" Id="rId117"/><Relationship Type="http://schemas.openxmlformats.org/officeDocument/2006/relationships/hyperlink" Target="https://cdn.shopify.com/s/files/1/0792/5098/1063/files/70e56f4add645d5df13a1f64670e7e344b031040e5dc0d56fb8df4d2009ff937.jpg?v=1785181290" TargetMode="External" Id="rId118"/><Relationship Type="http://schemas.openxmlformats.org/officeDocument/2006/relationships/hyperlink" Target="https://cdn.shopify.com/s/files/1/0792/5098/1063/files/f2e7a259def6c007ffe9e1c0db405312e07b6021eaf534e5f8adb3ee18bd2fc2.jpg?v=1785181290" TargetMode="External" Id="rId119"/><Relationship Type="http://schemas.openxmlformats.org/officeDocument/2006/relationships/hyperlink" Target="https://cdn.shopify.com/s/files/1/0792/5098/1063/files/f2e7a259def6c007ffe9e1c0db405312e07b6021eaf534e5f8adb3ee18bd2fc2.jpg?v=1785181290" TargetMode="External" Id="rId120"/><Relationship Type="http://schemas.openxmlformats.org/officeDocument/2006/relationships/hyperlink" Target="https://cdn.shopify.com/s/files/1/0792/5098/1063/files/fbee38331d4d4ac5ab6ca32befd16b78922182ddbea02af22061b83468233d0d.jpg?v=1785181290" TargetMode="External" Id="rId121"/><Relationship Type="http://schemas.openxmlformats.org/officeDocument/2006/relationships/hyperlink" Target="https://cdn.shopify.com/s/files/1/0792/5098/1063/files/fbee38331d4d4ac5ab6ca32befd16b78922182ddbea02af22061b83468233d0d.jpg?v=1785181290" TargetMode="External" Id="rId122"/><Relationship Type="http://schemas.openxmlformats.org/officeDocument/2006/relationships/hyperlink" Target="https://cdn.shopify.com/s/files/1/0792/5098/1063/files/3b34f571fdb09566d8da7b4c5b397bc03a37d8233f0fd5e5b77d72af2928e1c0.jpg?v=1785181290" TargetMode="External" Id="rId123"/><Relationship Type="http://schemas.openxmlformats.org/officeDocument/2006/relationships/hyperlink" Target="https://cdn.shopify.com/s/files/1/0792/5098/1063/files/3b34f571fdb09566d8da7b4c5b397bc03a37d8233f0fd5e5b77d72af2928e1c0.jpg?v=1785181290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D:\Shopify_Workspace\jeminise_seo\resutls\jeminise.com\20260906_234129\revisions\qa_batch_013_r4\SEO_Product_Optimization_qa_batch_013_r4.xlsx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731864DE605A8FBF0EA1399F67E122B755B4F5EE1C5FED1233184BADD985DEB6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20260909_123751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qa_batch_013_r4</t>
        </is>
      </c>
      <c r="C6" s="2" t="inlineStr">
        <is>
          <t>Inventory positions 121-130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62/62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10,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121</v>
      </c>
      <c r="B2" s="2" t="inlineStr">
        <is>
          <t>jeminise.com+custom-trucking-semi-truck-breaking-through-stone-wall-vintage-comforter-28a367022b-28a367022b</t>
        </is>
      </c>
      <c r="C2" s="4" t="inlineStr">
        <is>
          <t>https://jeminise.com/products/custom-trucking-semi-truck-breaking-through-stone-wall-vintage-comforter-28a367022b-28a367022b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COUNTIFS('QA_Issues'!$B$2:$B$12,B2,'QA_Issues'!$D$2:$D$12,"CRITICAL")</f>
        <v/>
      </c>
      <c r="Q2" s="2">
        <f>COUNTIFS('QA_Issues'!$B$2:$B$12,B2,'QA_Issues'!$D$2:$D$12,"MAJOR")</f>
        <v/>
      </c>
      <c r="R2" s="2">
        <f>COUNTIFS('QA_Issues'!$B$2:$B$12,B2,'QA_Issues'!$D$2:$D$12,"MINOR")</f>
        <v/>
      </c>
      <c r="S2" s="2">
        <f>COUNTIFS('QA_Issues'!$B$2:$B$12,B2,'QA_Issues'!$D$2:$D$12,"LIMITATION")</f>
        <v/>
      </c>
      <c r="T2" s="2" t="inlineStr">
        <is>
          <t>["B13R4-MIN-001"]</t>
        </is>
      </c>
      <c r="U2" s="2" t="inlineStr">
        <is>
          <t>["evidence_batch_013_121", "https://jeminise.com/products/custom-trucking-semi-truck-breaking-through-stone-wall-vintage-comforter-28a367022b-28a367022b", "serp_qa_batch_013_r4_121_1", "live_pages", "customizer_fields_audit.json"]</t>
        </is>
      </c>
    </row>
    <row r="3" ht="42" customHeight="1">
      <c r="A3" s="3" t="n">
        <v>122</v>
      </c>
      <c r="B3" s="3" t="inlineStr">
        <is>
          <t>jeminise.com+custom-trucking-semi-truck-centered-on-chevron-background-comforter-cfef0beab9-cfef0beab9</t>
        </is>
      </c>
      <c r="C3" s="4" t="inlineStr">
        <is>
          <t>https://jeminise.com/products/custom-trucking-semi-truck-centered-on-chevron-background-comforter-cfef0beab9-cfef0beab9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COUNTIFS('QA_Issues'!$B$2:$B$12,B3,'QA_Issues'!$D$2:$D$12,"CRITICAL")</f>
        <v/>
      </c>
      <c r="Q3" s="3">
        <f>COUNTIFS('QA_Issues'!$B$2:$B$12,B3,'QA_Issues'!$D$2:$D$12,"MAJOR")</f>
        <v/>
      </c>
      <c r="R3" s="3">
        <f>COUNTIFS('QA_Issues'!$B$2:$B$12,B3,'QA_Issues'!$D$2:$D$12,"MINOR")</f>
        <v/>
      </c>
      <c r="S3" s="3">
        <f>COUNTIFS('QA_Issues'!$B$2:$B$12,B3,'QA_Issues'!$D$2:$D$12,"LIMITATION")</f>
        <v/>
      </c>
      <c r="T3" s="3" t="inlineStr">
        <is>
          <t>["B13R4-MIN-002"]</t>
        </is>
      </c>
      <c r="U3" s="3" t="inlineStr">
        <is>
          <t>["evidence_batch_013_122", "https://jeminise.com/products/custom-trucking-semi-truck-centered-on-chevron-background-comforter-cfef0beab9-cfef0beab9", "serp_qa_batch_013_r4_122_1", "live_pages", "customizer_fields_audit.json"]</t>
        </is>
      </c>
    </row>
    <row r="4" ht="42" customHeight="1">
      <c r="A4" s="2" t="n">
        <v>123</v>
      </c>
      <c r="B4" s="2" t="inlineStr">
        <is>
          <t>jeminise.com+custom-trucking-semi-truck-on-metallic-mesh-background-comforter-21d8f6bab6-21d8f6bab6</t>
        </is>
      </c>
      <c r="C4" s="4" t="inlineStr">
        <is>
          <t>https://jeminise.com/products/custom-trucking-semi-truck-on-metallic-mesh-background-comforter-21d8f6bab6-21d8f6bab6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COUNTIFS('QA_Issues'!$B$2:$B$12,B4,'QA_Issues'!$D$2:$D$12,"CRITICAL")</f>
        <v/>
      </c>
      <c r="Q4" s="2">
        <f>COUNTIFS('QA_Issues'!$B$2:$B$12,B4,'QA_Issues'!$D$2:$D$12,"MAJOR")</f>
        <v/>
      </c>
      <c r="R4" s="2">
        <f>COUNTIFS('QA_Issues'!$B$2:$B$12,B4,'QA_Issues'!$D$2:$D$12,"MINOR")</f>
        <v/>
      </c>
      <c r="S4" s="2">
        <f>COUNTIFS('QA_Issues'!$B$2:$B$12,B4,'QA_Issues'!$D$2:$D$12,"LIMITATION")</f>
        <v/>
      </c>
      <c r="T4" s="2" t="inlineStr">
        <is>
          <t>["B13R4-MIN-003"]</t>
        </is>
      </c>
      <c r="U4" s="2" t="inlineStr">
        <is>
          <t>["evidence_batch_013_123", "https://jeminise.com/products/custom-trucking-semi-truck-on-metallic-mesh-background-comforter-21d8f6bab6-21d8f6bab6", "serp_qa_batch_013_r4_123_1", "live_pages", "customizer_fields_audit.json"]</t>
        </is>
      </c>
    </row>
    <row r="5" ht="42" customHeight="1">
      <c r="A5" s="3" t="n">
        <v>124</v>
      </c>
      <c r="B5" s="3" t="inlineStr">
        <is>
          <t>jeminise.com+custom-trucking-semi-truck-on-textured-metallic-background-comforter-5ee1903c53-5ee1903c53</t>
        </is>
      </c>
      <c r="C5" s="4" t="inlineStr">
        <is>
          <t>https://jeminise.com/products/custom-trucking-semi-truck-on-textured-metallic-background-comforter-5ee1903c53-5ee1903c53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COUNTIFS('QA_Issues'!$B$2:$B$12,B5,'QA_Issues'!$D$2:$D$12,"CRITICAL")</f>
        <v/>
      </c>
      <c r="Q5" s="3">
        <f>COUNTIFS('QA_Issues'!$B$2:$B$12,B5,'QA_Issues'!$D$2:$D$12,"MAJOR")</f>
        <v/>
      </c>
      <c r="R5" s="3">
        <f>COUNTIFS('QA_Issues'!$B$2:$B$12,B5,'QA_Issues'!$D$2:$D$12,"MINOR")</f>
        <v/>
      </c>
      <c r="S5" s="3">
        <f>COUNTIFS('QA_Issues'!$B$2:$B$12,B5,'QA_Issues'!$D$2:$D$12,"LIMITATION")</f>
        <v/>
      </c>
      <c r="T5" s="3" t="inlineStr">
        <is>
          <t>["B13R4-MIN-004"]</t>
        </is>
      </c>
      <c r="U5" s="3" t="inlineStr">
        <is>
          <t>["evidence_batch_013_124", "https://jeminise.com/products/custom-trucking-semi-truck-on-textured-metallic-background-comforter-5ee1903c53-5ee1903c53", "serp_qa_batch_013_r4_124_1", "live_pages", "customizer_fields_audit.json"]</t>
        </is>
      </c>
    </row>
    <row r="6" ht="42" customHeight="1">
      <c r="A6" s="2" t="n">
        <v>125</v>
      </c>
      <c r="B6" s="2" t="inlineStr">
        <is>
          <t>jeminise.com+custom-trucking-semi-truck-under-starry-night-sky-comforter-6bbe1b0cd5-6bbe1b0cd5</t>
        </is>
      </c>
      <c r="C6" s="4" t="inlineStr">
        <is>
          <t>https://jeminise.com/products/custom-trucking-semi-truck-under-starry-night-sky-comforter-6bbe1b0cd5-6bbe1b0cd5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COUNTIFS('QA_Issues'!$B$2:$B$12,B6,'QA_Issues'!$D$2:$D$12,"CRITICAL")</f>
        <v/>
      </c>
      <c r="Q6" s="2">
        <f>COUNTIFS('QA_Issues'!$B$2:$B$12,B6,'QA_Issues'!$D$2:$D$12,"MAJOR")</f>
        <v/>
      </c>
      <c r="R6" s="2">
        <f>COUNTIFS('QA_Issues'!$B$2:$B$12,B6,'QA_Issues'!$D$2:$D$12,"MINOR")</f>
        <v/>
      </c>
      <c r="S6" s="2">
        <f>COUNTIFS('QA_Issues'!$B$2:$B$12,B6,'QA_Issues'!$D$2:$D$12,"LIMITATION")</f>
        <v/>
      </c>
      <c r="T6" s="2" t="inlineStr">
        <is>
          <t>["B13R4-MIN-005"]</t>
        </is>
      </c>
      <c r="U6" s="2" t="inlineStr">
        <is>
          <t>["evidence_batch_013_125", "https://jeminise.com/products/custom-trucking-semi-truck-under-starry-night-sky-comforter-6bbe1b0cd5-6bbe1b0cd5", "serp_qa_batch_013_r4_125_1", "live_pages", "customizer_fields_audit.json"]</t>
        </is>
      </c>
    </row>
    <row r="7" ht="42" customHeight="1">
      <c r="A7" s="3" t="n">
        <v>126</v>
      </c>
      <c r="B7" s="3" t="inlineStr">
        <is>
          <t>jeminise.com+cardinal-christmas-quilt-set-7237701d00-7237701d00</t>
        </is>
      </c>
      <c r="C7" s="4" t="inlineStr">
        <is>
          <t>https://jeminise.com/products/cardinal-christmas-quilt-set-7237701d00-7237701d00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COUNTIFS('QA_Issues'!$B$2:$B$12,B7,'QA_Issues'!$D$2:$D$12,"CRITICAL")</f>
        <v/>
      </c>
      <c r="Q7" s="3">
        <f>COUNTIFS('QA_Issues'!$B$2:$B$12,B7,'QA_Issues'!$D$2:$D$12,"MAJOR")</f>
        <v/>
      </c>
      <c r="R7" s="3">
        <f>COUNTIFS('QA_Issues'!$B$2:$B$12,B7,'QA_Issues'!$D$2:$D$12,"MINOR")</f>
        <v/>
      </c>
      <c r="S7" s="3">
        <f>COUNTIFS('QA_Issues'!$B$2:$B$12,B7,'QA_Issues'!$D$2:$D$12,"LIMITATION")</f>
        <v/>
      </c>
      <c r="T7" s="3" t="inlineStr">
        <is>
          <t>["B13R4-MIN-006"]</t>
        </is>
      </c>
      <c r="U7" s="3" t="inlineStr">
        <is>
          <t>["evidence_batch_013_126", "https://jeminise.com/products/cardinal-christmas-quilt-set-7237701d00-7237701d00", "serp_qa_batch_013_r4_126_1", "live_pages", "customizer_fields_audit.json"]</t>
        </is>
      </c>
    </row>
    <row r="8" ht="42" customHeight="1">
      <c r="A8" s="2" t="n">
        <v>127</v>
      </c>
      <c r="B8" s="2" t="inlineStr">
        <is>
          <t>jeminise.com+custom-wildlife-wolf-head-close-up-portrait-comforter-3233b9edb7-3233b9edb7</t>
        </is>
      </c>
      <c r="C8" s="4" t="inlineStr">
        <is>
          <t>https://jeminise.com/products/custom-wildlife-wolf-head-close-up-portrait-comforter-3233b9edb7-3233b9edb7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5</v>
      </c>
      <c r="M8" s="2" t="n">
        <v>5</v>
      </c>
      <c r="N8" s="2" t="b">
        <v>1</v>
      </c>
      <c r="O8" s="6" t="n">
        <v>1</v>
      </c>
      <c r="P8" s="2">
        <f>COUNTIFS('QA_Issues'!$B$2:$B$12,B8,'QA_Issues'!$D$2:$D$12,"CRITICAL")</f>
        <v/>
      </c>
      <c r="Q8" s="2">
        <f>COUNTIFS('QA_Issues'!$B$2:$B$12,B8,'QA_Issues'!$D$2:$D$12,"MAJOR")</f>
        <v/>
      </c>
      <c r="R8" s="2">
        <f>COUNTIFS('QA_Issues'!$B$2:$B$12,B8,'QA_Issues'!$D$2:$D$12,"MINOR")</f>
        <v/>
      </c>
      <c r="S8" s="2">
        <f>COUNTIFS('QA_Issues'!$B$2:$B$12,B8,'QA_Issues'!$D$2:$D$12,"LIMITATION")</f>
        <v/>
      </c>
      <c r="T8" s="2" t="inlineStr">
        <is>
          <t>["B13R4-MIN-007"]</t>
        </is>
      </c>
      <c r="U8" s="2" t="inlineStr">
        <is>
          <t>["evidence_batch_013_127", "https://jeminise.com/products/custom-wildlife-wolf-head-close-up-portrait-comforter-3233b9edb7-3233b9edb7", "serp_qa_batch_013_r4_127_1", "live_pages", "customizer_fields_audit.json"]</t>
        </is>
      </c>
    </row>
    <row r="9" ht="42" customHeight="1">
      <c r="A9" s="3" t="n">
        <v>128</v>
      </c>
      <c r="B9" s="3" t="inlineStr">
        <is>
          <t>jeminise.com+custom-wildlife-wolf-head-close-up-with-geometric-comforter-f005bbb79d-f005bbb79d</t>
        </is>
      </c>
      <c r="C9" s="4" t="inlineStr">
        <is>
          <t>https://jeminise.com/products/custom-wildlife-wolf-head-close-up-with-geometric-comforter-f005bbb79d-f005bbb79d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5</v>
      </c>
      <c r="M9" s="3" t="n">
        <v>5</v>
      </c>
      <c r="N9" s="3" t="b">
        <v>1</v>
      </c>
      <c r="O9" s="8" t="n">
        <v>1</v>
      </c>
      <c r="P9" s="3">
        <f>COUNTIFS('QA_Issues'!$B$2:$B$12,B9,'QA_Issues'!$D$2:$D$12,"CRITICAL")</f>
        <v/>
      </c>
      <c r="Q9" s="3">
        <f>COUNTIFS('QA_Issues'!$B$2:$B$12,B9,'QA_Issues'!$D$2:$D$12,"MAJOR")</f>
        <v/>
      </c>
      <c r="R9" s="3">
        <f>COUNTIFS('QA_Issues'!$B$2:$B$12,B9,'QA_Issues'!$D$2:$D$12,"MINOR")</f>
        <v/>
      </c>
      <c r="S9" s="3">
        <f>COUNTIFS('QA_Issues'!$B$2:$B$12,B9,'QA_Issues'!$D$2:$D$12,"LIMITATION")</f>
        <v/>
      </c>
      <c r="T9" s="3" t="inlineStr">
        <is>
          <t>["B13R4-MIN-008"]</t>
        </is>
      </c>
      <c r="U9" s="3" t="inlineStr">
        <is>
          <t>["evidence_batch_013_128", "https://jeminise.com/products/custom-wildlife-wolf-head-close-up-with-geometric-comforter-f005bbb79d-f005bbb79d", "serp_qa_batch_013_r4_128_1", "live_pages", "customizer_fields_audit.json"]</t>
        </is>
      </c>
    </row>
    <row r="10" ht="42" customHeight="1">
      <c r="A10" s="2" t="n">
        <v>129</v>
      </c>
      <c r="B10" s="2" t="inlineStr">
        <is>
          <t>jeminise.com+custom-wildlife-wolf-head-with-feathers-in-profile-comforter-0b1ab59a17-0b1ab59a17</t>
        </is>
      </c>
      <c r="C10" s="4" t="inlineStr">
        <is>
          <t>https://jeminise.com/products/custom-wildlife-wolf-head-with-feathers-in-profile-comforter-0b1ab59a17-0b1ab59a17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5</v>
      </c>
      <c r="M10" s="2" t="n">
        <v>5</v>
      </c>
      <c r="N10" s="2" t="b">
        <v>1</v>
      </c>
      <c r="O10" s="6" t="n">
        <v>1</v>
      </c>
      <c r="P10" s="2">
        <f>COUNTIFS('QA_Issues'!$B$2:$B$12,B10,'QA_Issues'!$D$2:$D$12,"CRITICAL")</f>
        <v/>
      </c>
      <c r="Q10" s="2">
        <f>COUNTIFS('QA_Issues'!$B$2:$B$12,B10,'QA_Issues'!$D$2:$D$12,"MAJOR")</f>
        <v/>
      </c>
      <c r="R10" s="2">
        <f>COUNTIFS('QA_Issues'!$B$2:$B$12,B10,'QA_Issues'!$D$2:$D$12,"MINOR")</f>
        <v/>
      </c>
      <c r="S10" s="2">
        <f>COUNTIFS('QA_Issues'!$B$2:$B$12,B10,'QA_Issues'!$D$2:$D$12,"LIMITATION")</f>
        <v/>
      </c>
      <c r="T10" s="2" t="inlineStr">
        <is>
          <t>["B13R4-MIN-009"]</t>
        </is>
      </c>
      <c r="U10" s="2" t="inlineStr">
        <is>
          <t>["evidence_batch_013_129", "https://jeminise.com/products/custom-wildlife-wolf-head-with-feathers-in-profile-comforter-0b1ab59a17-0b1ab59a17", "serp_qa_batch_013_r4_129_1", "live_pages", "customizer_fields_audit.json"]</t>
        </is>
      </c>
    </row>
    <row r="11" ht="42" customHeight="1">
      <c r="A11" s="3" t="n">
        <v>130</v>
      </c>
      <c r="B11" s="3" t="inlineStr">
        <is>
          <t>jeminise.com+custom-wolf-head-centered-in-dreamcatcher-comforter-be6b37a3e1-be6b37a3e1</t>
        </is>
      </c>
      <c r="C11" s="4" t="inlineStr">
        <is>
          <t>https://jeminise.com/products/custom-wolf-head-centered-in-dreamcatcher-comforter-be6b37a3e1-be6b37a3e1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5</v>
      </c>
      <c r="M11" s="3" t="n">
        <v>5</v>
      </c>
      <c r="N11" s="3" t="b">
        <v>1</v>
      </c>
      <c r="O11" s="8" t="n">
        <v>1</v>
      </c>
      <c r="P11" s="3">
        <f>COUNTIFS('QA_Issues'!$B$2:$B$12,B11,'QA_Issues'!$D$2:$D$12,"CRITICAL")</f>
        <v/>
      </c>
      <c r="Q11" s="3">
        <f>COUNTIFS('QA_Issues'!$B$2:$B$12,B11,'QA_Issues'!$D$2:$D$12,"MAJOR")</f>
        <v/>
      </c>
      <c r="R11" s="3">
        <f>COUNTIFS('QA_Issues'!$B$2:$B$12,B11,'QA_Issues'!$D$2:$D$12,"MINOR")</f>
        <v/>
      </c>
      <c r="S11" s="3">
        <f>COUNTIFS('QA_Issues'!$B$2:$B$12,B11,'QA_Issues'!$D$2:$D$12,"LIMITATION")</f>
        <v/>
      </c>
      <c r="T11" s="3" t="inlineStr">
        <is>
          <t>["B13R4-MIN-010"]</t>
        </is>
      </c>
      <c r="U11" s="3" t="inlineStr">
        <is>
          <t>["evidence_batch_013_130", "https://jeminise.com/products/custom-wolf-head-centered-in-dreamcatcher-comforter-be6b37a3e1-be6b37a3e1", "serp_qa_batch_013_r4_130_1",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jeminise.com+custom-trucking-semi-truck-breaking-through-stone-wall-vintage-comforter-28a367022b-28a367022b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IF(B2="I1",AVERAGEIF('QA_Images'!$A$2:$A$63,A2,'QA_Images'!$R$2:$R$63)/100,IF(D2="FULL",1,IF(D2="PARTIAL",0.5,IF(D2="FAIL",0,""))))</f>
        <v/>
      </c>
      <c r="F2" s="5">
        <f>IF(E2="",0,C2*E2)</f>
        <v/>
      </c>
      <c r="G2" s="5">
        <f>IF(B2="I1",20*AVERAGEIF('QA_Images'!$A$2:$A$63,A2,'QA_Images'!$S$2:$S$63)/100,IF(D2="NOT_CHECKED",0,C2))</f>
        <v/>
      </c>
      <c r="H2" s="2" t="inlineStr">
        <is>
          <t>FULL: source workbook, product JSON and direct image checks support the product identity; verified motif: vintage blue semi truck comforter with truck breaking through a stone wall.</t>
        </is>
      </c>
      <c r="I2" s="2" t="inlineStr">
        <is>
          <t>["evidence_batch_013_121", "https://jeminise.com/products/custom-trucking-semi-truck-breaking-through-stone-wall-vintage-comforter-28a367022b-28a367022b"]</t>
        </is>
      </c>
      <c r="J2" s="2" t="inlineStr">
        <is>
          <t>[]</t>
        </is>
      </c>
    </row>
    <row r="3" ht="42" customHeight="1">
      <c r="A3" s="3" t="inlineStr">
        <is>
          <t>jeminise.com+custom-trucking-semi-truck-breaking-through-stone-wall-vintage-comforter-28a367022b-28a367022b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IF(B3="I1",AVERAGEIF('QA_Images'!$A$2:$A$63,A3,'QA_Images'!$R$2:$R$63)/100,IF(D3="FULL",1,IF(D3="PARTIAL",0.5,IF(D3="FAIL",0,""))))</f>
        <v/>
      </c>
      <c r="F3" s="7">
        <f>IF(E3="",0,C3*E3)</f>
        <v/>
      </c>
      <c r="G3" s="7">
        <f>IF(B3="I1",20*AVERAGEIF('QA_Images'!$A$2:$A$63,A3,'QA_Images'!$S$2:$S$63)/100,IF(D3="NOT_CHECKED",0,C3))</f>
        <v/>
      </c>
      <c r="H3" s="3" t="inlineStr">
        <is>
          <t>FULL: product type/options/personalization were checked against live JSON, admin export and customizer audit: customizer root present without extracted controls.</t>
        </is>
      </c>
      <c r="I3" s="3" t="inlineStr">
        <is>
          <t>["evidence_batch_013_121", "https://jeminise.com/products/custom-trucking-semi-truck-breaking-through-stone-wall-vintage-comforter-28a367022b-28a367022b",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jeminise.com+custom-trucking-semi-truck-breaking-through-stone-wall-vintage-comforter-28a367022b-28a367022b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IF(B4="I1",AVERAGEIF('QA_Images'!$A$2:$A$63,A4,'QA_Images'!$R$2:$R$63)/100,IF(D4="FULL",1,IF(D4="PARTIAL",0.5,IF(D4="FAIL",0,""))))</f>
        <v/>
      </c>
      <c r="F4" s="5">
        <f>IF(E4="",0,C4*E4)</f>
        <v/>
      </c>
      <c r="G4" s="5">
        <f>IF(B4="I1",20*AVERAGEIF('QA_Images'!$A$2:$A$63,A4,'QA_Images'!$S$2:$S$63)/100,IF(D4="NOT_CHECKED",0,C4))</f>
        <v/>
      </c>
      <c r="H4" s="2" t="inlineStr">
        <is>
          <t>PARTIAL: primary keyword 'vintage blue semi truck comforter' was checked against this product's own US/English SERP; partial means the exact phrase is niche or sample-name driven.</t>
        </is>
      </c>
      <c r="I4" s="2" t="inlineStr">
        <is>
          <t>["evidence_batch_013_121", "https://jeminise.com/products/custom-trucking-semi-truck-breaking-through-stone-wall-vintage-comforter-28a367022b-28a367022b", "serp_qa_batch_013_r4_121_1", "serp_qa_batch_013_r4_121_2"]</t>
        </is>
      </c>
      <c r="J4" s="2" t="inlineStr">
        <is>
          <t>["B13R4-MIN-001"]</t>
        </is>
      </c>
    </row>
    <row r="5" ht="42" customHeight="1">
      <c r="A5" s="3" t="inlineStr">
        <is>
          <t>jeminise.com+custom-trucking-semi-truck-breaking-through-stone-wall-vintage-comforter-28a367022b-28a367022b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IF(B5="I1",AVERAGEIF('QA_Images'!$A$2:$A$63,A5,'QA_Images'!$R$2:$R$63)/100,IF(D5="FULL",1,IF(D5="PARTIAL",0.5,IF(D5="FAIL",0,""))))</f>
        <v/>
      </c>
      <c r="F5" s="7">
        <f>IF(E5="",0,C5*E5)</f>
        <v/>
      </c>
      <c r="G5" s="7">
        <f>IF(B5="I1",20*AVERAGEIF('QA_Images'!$A$2:$A$63,A5,'QA_Images'!$S$2:$S$63)/100,IF(D5="NOT_CHECKED",0,C5))</f>
        <v/>
      </c>
      <c r="H5" s="3" t="inlineStr">
        <is>
          <t>PARTIAL: comparator query confirms commercial product intent; partial means results broaden beyond this exact motif/product type.</t>
        </is>
      </c>
      <c r="I5" s="3" t="inlineStr">
        <is>
          <t>["evidence_batch_013_121", "https://jeminise.com/products/custom-trucking-semi-truck-breaking-through-stone-wall-vintage-comforter-28a367022b-28a367022b", "serp_qa_batch_013_r4_121_1", "serp_qa_batch_013_r4_121_2"]</t>
        </is>
      </c>
      <c r="J5" s="3" t="inlineStr">
        <is>
          <t>["B13R4-MIN-001"]</t>
        </is>
      </c>
    </row>
    <row r="6" ht="42" customHeight="1">
      <c r="A6" s="2" t="inlineStr">
        <is>
          <t>jeminise.com+custom-trucking-semi-truck-breaking-through-stone-wall-vintage-comforter-28a367022b-28a367022b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IF(B6="I1",AVERAGEIF('QA_Images'!$A$2:$A$63,A6,'QA_Images'!$R$2:$R$63)/100,IF(D6="FULL",1,IF(D6="PARTIAL",0.5,IF(D6="FAIL",0,""))))</f>
        <v/>
      </c>
      <c r="F6" s="5">
        <f>IF(E6="",0,C6*E6)</f>
        <v/>
      </c>
      <c r="G6" s="5">
        <f>IF(B6="I1",20*AVERAGEIF('QA_Images'!$A$2:$A$63,A6,'QA_Images'!$S$2:$S$63)/100,IF(D6="NOT_CHECKED",0,C6))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["evidence_batch_013_121", "https://jeminise.com/products/custom-trucking-semi-truck-breaking-through-stone-wall-vintage-comforter-28a367022b-28a367022b", "serp_qa_batch_013_r4_121_1", "serp_qa_batch_013_r4_121_2"]</t>
        </is>
      </c>
      <c r="J6" s="2" t="inlineStr">
        <is>
          <t>[]</t>
        </is>
      </c>
    </row>
    <row r="7" ht="42" customHeight="1">
      <c r="A7" s="3" t="inlineStr">
        <is>
          <t>jeminise.com+custom-trucking-semi-truck-breaking-through-stone-wall-vintage-comforter-28a367022b-28a367022b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IF(B7="I1",AVERAGEIF('QA_Images'!$A$2:$A$63,A7,'QA_Images'!$R$2:$R$63)/100,IF(D7="FULL",1,IF(D7="PARTIAL",0.5,IF(D7="FAIL",0,""))))</f>
        <v/>
      </c>
      <c r="F7" s="7">
        <f>IF(E7="",0,C7*E7)</f>
        <v/>
      </c>
      <c r="G7" s="7">
        <f>IF(B7="I1",20*AVERAGEIF('QA_Images'!$A$2:$A$63,A7,'QA_Images'!$S$2:$S$63)/100,IF(D7="NOT_CHECKED",0,C7))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["evidence_batch_013_121", "https://jeminise.com/products/custom-trucking-semi-truck-breaking-through-stone-wall-vintage-comforter-28a367022b-28a367022b"]</t>
        </is>
      </c>
      <c r="J7" s="3" t="inlineStr">
        <is>
          <t>[]</t>
        </is>
      </c>
    </row>
    <row r="8" ht="42" customHeight="1">
      <c r="A8" s="2" t="inlineStr">
        <is>
          <t>jeminise.com+custom-trucking-semi-truck-breaking-through-stone-wall-vintage-comforter-28a367022b-28a367022b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IF(B8="I1",AVERAGEIF('QA_Images'!$A$2:$A$63,A8,'QA_Images'!$R$2:$R$63)/100,IF(D8="FULL",1,IF(D8="PARTIAL",0.5,IF(D8="FAIL",0,""))))</f>
        <v/>
      </c>
      <c r="F8" s="5">
        <f>IF(E8="",0,C8*E8)</f>
        <v/>
      </c>
      <c r="G8" s="5">
        <f>IF(B8="I1",20*AVERAGEIF('QA_Images'!$A$2:$A$63,A8,'QA_Images'!$S$2:$S$63)/100,IF(D8="NOT_CHECKED",0,C8))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["evidence_batch_013_121", "https://jeminise.com/products/custom-trucking-semi-truck-breaking-through-stone-wall-vintage-comforter-28a367022b-28a367022b"]</t>
        </is>
      </c>
      <c r="J8" s="2" t="inlineStr">
        <is>
          <t>[]</t>
        </is>
      </c>
    </row>
    <row r="9" ht="42" customHeight="1">
      <c r="A9" s="3" t="inlineStr">
        <is>
          <t>jeminise.com+custom-trucking-semi-truck-breaking-through-stone-wall-vintage-comforter-28a367022b-28a367022b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IF(B9="I1",AVERAGEIF('QA_Images'!$A$2:$A$63,A9,'QA_Images'!$R$2:$R$63)/100,IF(D9="FULL",1,IF(D9="PARTIAL",0.5,IF(D9="FAIL",0,""))))</f>
        <v/>
      </c>
      <c r="F9" s="7">
        <f>IF(E9="",0,C9*E9)</f>
        <v/>
      </c>
      <c r="G9" s="7">
        <f>IF(B9="I1",20*AVERAGEIF('QA_Images'!$A$2:$A$63,A9,'QA_Images'!$S$2:$S$63)/100,IF(D9="NOT_CHECKED",0,C9))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["evidence_batch_013_121", "https://jeminise.com/products/custom-trucking-semi-truck-breaking-through-stone-wall-vintage-comforter-28a367022b-28a367022b"]</t>
        </is>
      </c>
      <c r="J9" s="3" t="inlineStr">
        <is>
          <t>[]</t>
        </is>
      </c>
    </row>
    <row r="10" ht="42" customHeight="1">
      <c r="A10" s="2" t="inlineStr">
        <is>
          <t>jeminise.com+custom-trucking-semi-truck-breaking-through-stone-wall-vintage-comforter-28a367022b-28a367022b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IF(B10="I1",AVERAGEIF('QA_Images'!$A$2:$A$63,A10,'QA_Images'!$R$2:$R$63)/100,IF(D10="FULL",1,IF(D10="PARTIAL",0.5,IF(D10="FAIL",0,""))))</f>
        <v/>
      </c>
      <c r="F10" s="5">
        <f>IF(E10="",0,C10*E10)</f>
        <v/>
      </c>
      <c r="G10" s="5">
        <f>IF(B10="I1",20*AVERAGEIF('QA_Images'!$A$2:$A$63,A10,'QA_Images'!$S$2:$S$63)/100,IF(D10="NOT_CHECKED",0,C10))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["evidence_batch_013_121", "https://jeminise.com/products/custom-trucking-semi-truck-breaking-through-stone-wall-vintage-comforter-28a367022b-28a367022b"]</t>
        </is>
      </c>
      <c r="J10" s="2" t="inlineStr">
        <is>
          <t>["B13R4-MIN-001"]</t>
        </is>
      </c>
    </row>
    <row r="11" ht="42" customHeight="1">
      <c r="A11" s="3" t="inlineStr">
        <is>
          <t>jeminise.com+custom-trucking-semi-truck-breaking-through-stone-wall-vintage-comforter-28a367022b-28a367022b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IF(B11="I1",AVERAGEIF('QA_Images'!$A$2:$A$63,A11,'QA_Images'!$R$2:$R$63)/100,IF(D11="FULL",1,IF(D11="PARTIAL",0.5,IF(D11="FAIL",0,""))))</f>
        <v/>
      </c>
      <c r="F11" s="7">
        <f>IF(E11="",0,C11*E11)</f>
        <v/>
      </c>
      <c r="G11" s="7">
        <f>IF(B11="I1",20*AVERAGEIF('QA_Images'!$A$2:$A$63,A11,'QA_Images'!$S$2:$S$63)/100,IF(D11="NOT_CHECKED",0,C11))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"evidence_batch_013_121"]</t>
        </is>
      </c>
      <c r="J11" s="3" t="inlineStr">
        <is>
          <t>[]</t>
        </is>
      </c>
    </row>
    <row r="12" ht="42" customHeight="1">
      <c r="A12" s="2" t="inlineStr">
        <is>
          <t>jeminise.com+custom-trucking-semi-truck-breaking-through-stone-wall-vintage-comforter-28a367022b-28a367022b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IF(B12="I1",AVERAGEIF('QA_Images'!$A$2:$A$63,A12,'QA_Images'!$R$2:$R$63)/100,IF(D12="FULL",1,IF(D12="PARTIAL",0.5,IF(D12="FAIL",0,""))))</f>
        <v/>
      </c>
      <c r="F12" s="5">
        <f>IF(E12="",0,C12*E12)</f>
        <v/>
      </c>
      <c r="G12" s="5">
        <f>IF(B12="I1",20*AVERAGEIF('QA_Images'!$A$2:$A$63,A12,'QA_Images'!$S$2:$S$63)/100,IF(D12="NOT_CHECKED",0,C12))</f>
        <v/>
      </c>
      <c r="H12" s="2" t="inlineStr">
        <is>
          <t>FULL: product key, handle, links and scoped evidence are consistent; row-level r3 labels are recorded separately as a traceability limitation.</t>
        </is>
      </c>
      <c r="I12" s="2" t="inlineStr">
        <is>
          <t>["evidence_batch_013_121", "https://jeminise.com/products/custom-trucking-semi-truck-breaking-through-stone-wall-vintage-comforter-28a367022b-28a367022b"]</t>
        </is>
      </c>
      <c r="J12" s="2" t="inlineStr">
        <is>
          <t>[]</t>
        </is>
      </c>
    </row>
    <row r="13" ht="42" customHeight="1">
      <c r="A13" s="3" t="inlineStr">
        <is>
          <t>jeminise.com+custom-trucking-semi-truck-centered-on-chevron-background-comforter-cfef0beab9-cfef0beab9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IF(B13="I1",AVERAGEIF('QA_Images'!$A$2:$A$63,A13,'QA_Images'!$R$2:$R$63)/100,IF(D13="FULL",1,IF(D13="PARTIAL",0.5,IF(D13="FAIL",0,""))))</f>
        <v/>
      </c>
      <c r="F13" s="7">
        <f>IF(E13="",0,C13*E13)</f>
        <v/>
      </c>
      <c r="G13" s="7">
        <f>IF(B13="I1",20*AVERAGEIF('QA_Images'!$A$2:$A$63,A13,'QA_Images'!$S$2:$S$63)/100,IF(D13="NOT_CHECKED",0,C13))</f>
        <v/>
      </c>
      <c r="H13" s="3" t="inlineStr">
        <is>
          <t>FULL: source workbook, product JSON and direct image checks support the product identity; verified motif: blue semi truck chevron comforter with centered truck and chevron background.</t>
        </is>
      </c>
      <c r="I13" s="3" t="inlineStr">
        <is>
          <t>["evidence_batch_013_122", "https://jeminise.com/products/custom-trucking-semi-truck-centered-on-chevron-background-comforter-cfef0beab9-cfef0beab9"]</t>
        </is>
      </c>
      <c r="J13" s="3" t="inlineStr">
        <is>
          <t>[]</t>
        </is>
      </c>
    </row>
    <row r="14" ht="42" customHeight="1">
      <c r="A14" s="2" t="inlineStr">
        <is>
          <t>jeminise.com+custom-trucking-semi-truck-centered-on-chevron-background-comforter-cfef0beab9-cfef0beab9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IF(B14="I1",AVERAGEIF('QA_Images'!$A$2:$A$63,A14,'QA_Images'!$R$2:$R$63)/100,IF(D14="FULL",1,IF(D14="PARTIAL",0.5,IF(D14="FAIL",0,""))))</f>
        <v/>
      </c>
      <c r="F14" s="5">
        <f>IF(E14="",0,C14*E14)</f>
        <v/>
      </c>
      <c r="G14" s="5">
        <f>IF(B14="I1",20*AVERAGEIF('QA_Images'!$A$2:$A$63,A14,'QA_Images'!$S$2:$S$63)/100,IF(D14="NOT_CHECKED",0,C14))</f>
        <v/>
      </c>
      <c r="H14" s="2" t="inlineStr">
        <is>
          <t>FULL: product type/options/personalization were checked against live JSON, admin export and customizer audit: customizer root present without extracted controls.</t>
        </is>
      </c>
      <c r="I14" s="2" t="inlineStr">
        <is>
          <t>["evidence_batch_013_122", "https://jeminise.com/products/custom-trucking-semi-truck-centered-on-chevron-background-comforter-cfef0beab9-cfef0beab9",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jeminise.com+custom-trucking-semi-truck-centered-on-chevron-background-comforter-cfef0beab9-cfef0beab9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IF(B15="I1",AVERAGEIF('QA_Images'!$A$2:$A$63,A15,'QA_Images'!$R$2:$R$63)/100,IF(D15="FULL",1,IF(D15="PARTIAL",0.5,IF(D15="FAIL",0,""))))</f>
        <v/>
      </c>
      <c r="F15" s="7">
        <f>IF(E15="",0,C15*E15)</f>
        <v/>
      </c>
      <c r="G15" s="7">
        <f>IF(B15="I1",20*AVERAGEIF('QA_Images'!$A$2:$A$63,A15,'QA_Images'!$S$2:$S$63)/100,IF(D15="NOT_CHECKED",0,C15))</f>
        <v/>
      </c>
      <c r="H15" s="3" t="inlineStr">
        <is>
          <t>PARTIAL: primary keyword 'blue semi truck chevron comforter' was checked against this product's own US/English SERP; partial means the exact phrase is niche or sample-name driven.</t>
        </is>
      </c>
      <c r="I15" s="3" t="inlineStr">
        <is>
          <t>["evidence_batch_013_122", "https://jeminise.com/products/custom-trucking-semi-truck-centered-on-chevron-background-comforter-cfef0beab9-cfef0beab9", "serp_qa_batch_013_r4_122_1", "serp_qa_batch_013_r4_122_2"]</t>
        </is>
      </c>
      <c r="J15" s="3" t="inlineStr">
        <is>
          <t>["B13R4-MIN-002"]</t>
        </is>
      </c>
    </row>
    <row r="16" ht="42" customHeight="1">
      <c r="A16" s="2" t="inlineStr">
        <is>
          <t>jeminise.com+custom-trucking-semi-truck-centered-on-chevron-background-comforter-cfef0beab9-cfef0beab9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IF(B16="I1",AVERAGEIF('QA_Images'!$A$2:$A$63,A16,'QA_Images'!$R$2:$R$63)/100,IF(D16="FULL",1,IF(D16="PARTIAL",0.5,IF(D16="FAIL",0,""))))</f>
        <v/>
      </c>
      <c r="F16" s="5">
        <f>IF(E16="",0,C16*E16)</f>
        <v/>
      </c>
      <c r="G16" s="5">
        <f>IF(B16="I1",20*AVERAGEIF('QA_Images'!$A$2:$A$63,A16,'QA_Images'!$S$2:$S$63)/100,IF(D16="NOT_CHECKED",0,C16))</f>
        <v/>
      </c>
      <c r="H16" s="2" t="inlineStr">
        <is>
          <t>PARTIAL: comparator query confirms commercial product intent; partial means results broaden beyond this exact motif/product type.</t>
        </is>
      </c>
      <c r="I16" s="2" t="inlineStr">
        <is>
          <t>["evidence_batch_013_122", "https://jeminise.com/products/custom-trucking-semi-truck-centered-on-chevron-background-comforter-cfef0beab9-cfef0beab9", "serp_qa_batch_013_r4_122_1", "serp_qa_batch_013_r4_122_2"]</t>
        </is>
      </c>
      <c r="J16" s="2" t="inlineStr">
        <is>
          <t>["B13R4-MIN-002"]</t>
        </is>
      </c>
    </row>
    <row r="17" ht="42" customHeight="1">
      <c r="A17" s="3" t="inlineStr">
        <is>
          <t>jeminise.com+custom-trucking-semi-truck-centered-on-chevron-background-comforter-cfef0beab9-cfef0beab9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IF(B17="I1",AVERAGEIF('QA_Images'!$A$2:$A$63,A17,'QA_Images'!$R$2:$R$63)/100,IF(D17="FULL",1,IF(D17="PARTIAL",0.5,IF(D17="FAIL",0,""))))</f>
        <v/>
      </c>
      <c r="F17" s="7">
        <f>IF(E17="",0,C17*E17)</f>
        <v/>
      </c>
      <c r="G17" s="7">
        <f>IF(B17="I1",20*AVERAGEIF('QA_Images'!$A$2:$A$63,A17,'QA_Images'!$S$2:$S$63)/100,IF(D17="NOT_CHECKED",0,C17))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["evidence_batch_013_122", "https://jeminise.com/products/custom-trucking-semi-truck-centered-on-chevron-background-comforter-cfef0beab9-cfef0beab9", "serp_qa_batch_013_r4_122_1", "serp_qa_batch_013_r4_122_2"]</t>
        </is>
      </c>
      <c r="J17" s="3" t="inlineStr">
        <is>
          <t>[]</t>
        </is>
      </c>
    </row>
    <row r="18" ht="42" customHeight="1">
      <c r="A18" s="2" t="inlineStr">
        <is>
          <t>jeminise.com+custom-trucking-semi-truck-centered-on-chevron-background-comforter-cfef0beab9-cfef0beab9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IF(B18="I1",AVERAGEIF('QA_Images'!$A$2:$A$63,A18,'QA_Images'!$R$2:$R$63)/100,IF(D18="FULL",1,IF(D18="PARTIAL",0.5,IF(D18="FAIL",0,""))))</f>
        <v/>
      </c>
      <c r="F18" s="5">
        <f>IF(E18="",0,C18*E18)</f>
        <v/>
      </c>
      <c r="G18" s="5">
        <f>IF(B18="I1",20*AVERAGEIF('QA_Images'!$A$2:$A$63,A18,'QA_Images'!$S$2:$S$63)/100,IF(D18="NOT_CHECKED",0,C18))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["evidence_batch_013_122", "https://jeminise.com/products/custom-trucking-semi-truck-centered-on-chevron-background-comforter-cfef0beab9-cfef0beab9"]</t>
        </is>
      </c>
      <c r="J18" s="2" t="inlineStr">
        <is>
          <t>[]</t>
        </is>
      </c>
    </row>
    <row r="19" ht="42" customHeight="1">
      <c r="A19" s="3" t="inlineStr">
        <is>
          <t>jeminise.com+custom-trucking-semi-truck-centered-on-chevron-background-comforter-cfef0beab9-cfef0beab9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IF(B19="I1",AVERAGEIF('QA_Images'!$A$2:$A$63,A19,'QA_Images'!$R$2:$R$63)/100,IF(D19="FULL",1,IF(D19="PARTIAL",0.5,IF(D19="FAIL",0,""))))</f>
        <v/>
      </c>
      <c r="F19" s="7">
        <f>IF(E19="",0,C19*E19)</f>
        <v/>
      </c>
      <c r="G19" s="7">
        <f>IF(B19="I1",20*AVERAGEIF('QA_Images'!$A$2:$A$63,A19,'QA_Images'!$S$2:$S$63)/100,IF(D19="NOT_CHECKED",0,C19))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["evidence_batch_013_122", "https://jeminise.com/products/custom-trucking-semi-truck-centered-on-chevron-background-comforter-cfef0beab9-cfef0beab9"]</t>
        </is>
      </c>
      <c r="J19" s="3" t="inlineStr">
        <is>
          <t>[]</t>
        </is>
      </c>
    </row>
    <row r="20" ht="42" customHeight="1">
      <c r="A20" s="2" t="inlineStr">
        <is>
          <t>jeminise.com+custom-trucking-semi-truck-centered-on-chevron-background-comforter-cfef0beab9-cfef0beab9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IF(B20="I1",AVERAGEIF('QA_Images'!$A$2:$A$63,A20,'QA_Images'!$R$2:$R$63)/100,IF(D20="FULL",1,IF(D20="PARTIAL",0.5,IF(D20="FAIL",0,""))))</f>
        <v/>
      </c>
      <c r="F20" s="5">
        <f>IF(E20="",0,C20*E20)</f>
        <v/>
      </c>
      <c r="G20" s="5">
        <f>IF(B20="I1",20*AVERAGEIF('QA_Images'!$A$2:$A$63,A20,'QA_Images'!$S$2:$S$63)/100,IF(D20="NOT_CHECKED",0,C20))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["evidence_batch_013_122", "https://jeminise.com/products/custom-trucking-semi-truck-centered-on-chevron-background-comforter-cfef0beab9-cfef0beab9"]</t>
        </is>
      </c>
      <c r="J20" s="2" t="inlineStr">
        <is>
          <t>[]</t>
        </is>
      </c>
    </row>
    <row r="21" ht="42" customHeight="1">
      <c r="A21" s="3" t="inlineStr">
        <is>
          <t>jeminise.com+custom-trucking-semi-truck-centered-on-chevron-background-comforter-cfef0beab9-cfef0beab9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IF(B21="I1",AVERAGEIF('QA_Images'!$A$2:$A$63,A21,'QA_Images'!$R$2:$R$63)/100,IF(D21="FULL",1,IF(D21="PARTIAL",0.5,IF(D21="FAIL",0,""))))</f>
        <v/>
      </c>
      <c r="F21" s="7">
        <f>IF(E21="",0,C21*E21)</f>
        <v/>
      </c>
      <c r="G21" s="7">
        <f>IF(B21="I1",20*AVERAGEIF('QA_Images'!$A$2:$A$63,A21,'QA_Images'!$S$2:$S$63)/100,IF(D21="NOT_CHECKED",0,C21))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["evidence_batch_013_122", "https://jeminise.com/products/custom-trucking-semi-truck-centered-on-chevron-background-comforter-cfef0beab9-cfef0beab9"]</t>
        </is>
      </c>
      <c r="J21" s="3" t="inlineStr">
        <is>
          <t>["B13R4-MIN-002"]</t>
        </is>
      </c>
    </row>
    <row r="22" ht="42" customHeight="1">
      <c r="A22" s="2" t="inlineStr">
        <is>
          <t>jeminise.com+custom-trucking-semi-truck-centered-on-chevron-background-comforter-cfef0beab9-cfef0beab9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IF(B22="I1",AVERAGEIF('QA_Images'!$A$2:$A$63,A22,'QA_Images'!$R$2:$R$63)/100,IF(D22="FULL",1,IF(D22="PARTIAL",0.5,IF(D22="FAIL",0,""))))</f>
        <v/>
      </c>
      <c r="F22" s="5">
        <f>IF(E22="",0,C22*E22)</f>
        <v/>
      </c>
      <c r="G22" s="5">
        <f>IF(B22="I1",20*AVERAGEIF('QA_Images'!$A$2:$A$63,A22,'QA_Images'!$S$2:$S$63)/100,IF(D22="NOT_CHECKED",0,C22))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"evidence_batch_013_122"]</t>
        </is>
      </c>
      <c r="J22" s="2" t="inlineStr">
        <is>
          <t>[]</t>
        </is>
      </c>
    </row>
    <row r="23" ht="42" customHeight="1">
      <c r="A23" s="3" t="inlineStr">
        <is>
          <t>jeminise.com+custom-trucking-semi-truck-centered-on-chevron-background-comforter-cfef0beab9-cfef0beab9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IF(B23="I1",AVERAGEIF('QA_Images'!$A$2:$A$63,A23,'QA_Images'!$R$2:$R$63)/100,IF(D23="FULL",1,IF(D23="PARTIAL",0.5,IF(D23="FAIL",0,""))))</f>
        <v/>
      </c>
      <c r="F23" s="7">
        <f>IF(E23="",0,C23*E23)</f>
        <v/>
      </c>
      <c r="G23" s="7">
        <f>IF(B23="I1",20*AVERAGEIF('QA_Images'!$A$2:$A$63,A23,'QA_Images'!$S$2:$S$63)/100,IF(D23="NOT_CHECKED",0,C23))</f>
        <v/>
      </c>
      <c r="H23" s="3" t="inlineStr">
        <is>
          <t>FULL: product key, handle, links and scoped evidence are consistent; row-level r3 labels are recorded separately as a traceability limitation.</t>
        </is>
      </c>
      <c r="I23" s="3" t="inlineStr">
        <is>
          <t>["evidence_batch_013_122", "https://jeminise.com/products/custom-trucking-semi-truck-centered-on-chevron-background-comforter-cfef0beab9-cfef0beab9"]</t>
        </is>
      </c>
      <c r="J23" s="3" t="inlineStr">
        <is>
          <t>[]</t>
        </is>
      </c>
    </row>
    <row r="24" ht="42" customHeight="1">
      <c r="A24" s="2" t="inlineStr">
        <is>
          <t>jeminise.com+custom-trucking-semi-truck-on-metallic-mesh-background-comforter-21d8f6bab6-21d8f6bab6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IF(B24="I1",AVERAGEIF('QA_Images'!$A$2:$A$63,A24,'QA_Images'!$R$2:$R$63)/100,IF(D24="FULL",1,IF(D24="PARTIAL",0.5,IF(D24="FAIL",0,""))))</f>
        <v/>
      </c>
      <c r="F24" s="5">
        <f>IF(E24="",0,C24*E24)</f>
        <v/>
      </c>
      <c r="G24" s="5">
        <f>IF(B24="I1",20*AVERAGEIF('QA_Images'!$A$2:$A$63,A24,'QA_Images'!$S$2:$S$63)/100,IF(D24="NOT_CHECKED",0,C24))</f>
        <v/>
      </c>
      <c r="H24" s="2" t="inlineStr">
        <is>
          <t>FULL: source workbook, product JSON and direct image checks support the product identity; verified motif: metallic mesh semi truck comforter with truck on metallic mesh background.</t>
        </is>
      </c>
      <c r="I24" s="2" t="inlineStr">
        <is>
          <t>["evidence_batch_013_123", "https://jeminise.com/products/custom-trucking-semi-truck-on-metallic-mesh-background-comforter-21d8f6bab6-21d8f6bab6"]</t>
        </is>
      </c>
      <c r="J24" s="2" t="inlineStr">
        <is>
          <t>[]</t>
        </is>
      </c>
    </row>
    <row r="25" ht="42" customHeight="1">
      <c r="A25" s="3" t="inlineStr">
        <is>
          <t>jeminise.com+custom-trucking-semi-truck-on-metallic-mesh-background-comforter-21d8f6bab6-21d8f6bab6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IF(B25="I1",AVERAGEIF('QA_Images'!$A$2:$A$63,A25,'QA_Images'!$R$2:$R$63)/100,IF(D25="FULL",1,IF(D25="PARTIAL",0.5,IF(D25="FAIL",0,""))))</f>
        <v/>
      </c>
      <c r="F25" s="7">
        <f>IF(E25="",0,C25*E25)</f>
        <v/>
      </c>
      <c r="G25" s="7">
        <f>IF(B25="I1",20*AVERAGEIF('QA_Images'!$A$2:$A$63,A25,'QA_Images'!$S$2:$S$63)/100,IF(D25="NOT_CHECKED",0,C25))</f>
        <v/>
      </c>
      <c r="H25" s="3" t="inlineStr">
        <is>
          <t>FULL: product type/options/personalization were checked against live JSON, admin export and customizer audit: customizer root present without extracted controls.</t>
        </is>
      </c>
      <c r="I25" s="3" t="inlineStr">
        <is>
          <t>["evidence_batch_013_123", "https://jeminise.com/products/custom-trucking-semi-truck-on-metallic-mesh-background-comforter-21d8f6bab6-21d8f6bab6",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jeminise.com+custom-trucking-semi-truck-on-metallic-mesh-background-comforter-21d8f6bab6-21d8f6bab6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IF(B26="I1",AVERAGEIF('QA_Images'!$A$2:$A$63,A26,'QA_Images'!$R$2:$R$63)/100,IF(D26="FULL",1,IF(D26="PARTIAL",0.5,IF(D26="FAIL",0,""))))</f>
        <v/>
      </c>
      <c r="F26" s="5">
        <f>IF(E26="",0,C26*E26)</f>
        <v/>
      </c>
      <c r="G26" s="5">
        <f>IF(B26="I1",20*AVERAGEIF('QA_Images'!$A$2:$A$63,A26,'QA_Images'!$S$2:$S$63)/100,IF(D26="NOT_CHECKED",0,C26))</f>
        <v/>
      </c>
      <c r="H26" s="2" t="inlineStr">
        <is>
          <t>PARTIAL: primary keyword 'metallic mesh semi truck comforter' was checked against this product's own US/English SERP; partial means the exact phrase is niche or sample-name driven.</t>
        </is>
      </c>
      <c r="I26" s="2" t="inlineStr">
        <is>
          <t>["evidence_batch_013_123", "https://jeminise.com/products/custom-trucking-semi-truck-on-metallic-mesh-background-comforter-21d8f6bab6-21d8f6bab6", "serp_qa_batch_013_r4_123_1", "serp_qa_batch_013_r4_123_2"]</t>
        </is>
      </c>
      <c r="J26" s="2" t="inlineStr">
        <is>
          <t>["B13R4-MIN-003"]</t>
        </is>
      </c>
    </row>
    <row r="27" ht="42" customHeight="1">
      <c r="A27" s="3" t="inlineStr">
        <is>
          <t>jeminise.com+custom-trucking-semi-truck-on-metallic-mesh-background-comforter-21d8f6bab6-21d8f6bab6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IF(B27="I1",AVERAGEIF('QA_Images'!$A$2:$A$63,A27,'QA_Images'!$R$2:$R$63)/100,IF(D27="FULL",1,IF(D27="PARTIAL",0.5,IF(D27="FAIL",0,""))))</f>
        <v/>
      </c>
      <c r="F27" s="7">
        <f>IF(E27="",0,C27*E27)</f>
        <v/>
      </c>
      <c r="G27" s="7">
        <f>IF(B27="I1",20*AVERAGEIF('QA_Images'!$A$2:$A$63,A27,'QA_Images'!$S$2:$S$63)/100,IF(D27="NOT_CHECKED",0,C27))</f>
        <v/>
      </c>
      <c r="H27" s="3" t="inlineStr">
        <is>
          <t>FULL: comparator query confirms commercial product intent; partial means results broaden beyond this exact motif/product type.</t>
        </is>
      </c>
      <c r="I27" s="3" t="inlineStr">
        <is>
          <t>["evidence_batch_013_123", "https://jeminise.com/products/custom-trucking-semi-truck-on-metallic-mesh-background-comforter-21d8f6bab6-21d8f6bab6", "serp_qa_batch_013_r4_123_1", "serp_qa_batch_013_r4_123_2"]</t>
        </is>
      </c>
      <c r="J27" s="3" t="inlineStr">
        <is>
          <t>["B13R4-MIN-003"]</t>
        </is>
      </c>
    </row>
    <row r="28" ht="42" customHeight="1">
      <c r="A28" s="2" t="inlineStr">
        <is>
          <t>jeminise.com+custom-trucking-semi-truck-on-metallic-mesh-background-comforter-21d8f6bab6-21d8f6bab6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IF(B28="I1",AVERAGEIF('QA_Images'!$A$2:$A$63,A28,'QA_Images'!$R$2:$R$63)/100,IF(D28="FULL",1,IF(D28="PARTIAL",0.5,IF(D28="FAIL",0,""))))</f>
        <v/>
      </c>
      <c r="F28" s="5">
        <f>IF(E28="",0,C28*E28)</f>
        <v/>
      </c>
      <c r="G28" s="5">
        <f>IF(B28="I1",20*AVERAGEIF('QA_Images'!$A$2:$A$63,A28,'QA_Images'!$S$2:$S$63)/100,IF(D28="NOT_CHECKED",0,C28))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["evidence_batch_013_123", "https://jeminise.com/products/custom-trucking-semi-truck-on-metallic-mesh-background-comforter-21d8f6bab6-21d8f6bab6", "serp_qa_batch_013_r4_123_1", "serp_qa_batch_013_r4_123_2"]</t>
        </is>
      </c>
      <c r="J28" s="2" t="inlineStr">
        <is>
          <t>[]</t>
        </is>
      </c>
    </row>
    <row r="29" ht="42" customHeight="1">
      <c r="A29" s="3" t="inlineStr">
        <is>
          <t>jeminise.com+custom-trucking-semi-truck-on-metallic-mesh-background-comforter-21d8f6bab6-21d8f6bab6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IF(B29="I1",AVERAGEIF('QA_Images'!$A$2:$A$63,A29,'QA_Images'!$R$2:$R$63)/100,IF(D29="FULL",1,IF(D29="PARTIAL",0.5,IF(D29="FAIL",0,""))))</f>
        <v/>
      </c>
      <c r="F29" s="7">
        <f>IF(E29="",0,C29*E29)</f>
        <v/>
      </c>
      <c r="G29" s="7">
        <f>IF(B29="I1",20*AVERAGEIF('QA_Images'!$A$2:$A$63,A29,'QA_Images'!$S$2:$S$63)/100,IF(D29="NOT_CHECKED",0,C29))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["evidence_batch_013_123", "https://jeminise.com/products/custom-trucking-semi-truck-on-metallic-mesh-background-comforter-21d8f6bab6-21d8f6bab6"]</t>
        </is>
      </c>
      <c r="J29" s="3" t="inlineStr">
        <is>
          <t>[]</t>
        </is>
      </c>
    </row>
    <row r="30" ht="42" customHeight="1">
      <c r="A30" s="2" t="inlineStr">
        <is>
          <t>jeminise.com+custom-trucking-semi-truck-on-metallic-mesh-background-comforter-21d8f6bab6-21d8f6bab6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IF(B30="I1",AVERAGEIF('QA_Images'!$A$2:$A$63,A30,'QA_Images'!$R$2:$R$63)/100,IF(D30="FULL",1,IF(D30="PARTIAL",0.5,IF(D30="FAIL",0,""))))</f>
        <v/>
      </c>
      <c r="F30" s="5">
        <f>IF(E30="",0,C30*E30)</f>
        <v/>
      </c>
      <c r="G30" s="5">
        <f>IF(B30="I1",20*AVERAGEIF('QA_Images'!$A$2:$A$63,A30,'QA_Images'!$S$2:$S$63)/100,IF(D30="NOT_CHECKED",0,C30))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["evidence_batch_013_123", "https://jeminise.com/products/custom-trucking-semi-truck-on-metallic-mesh-background-comforter-21d8f6bab6-21d8f6bab6"]</t>
        </is>
      </c>
      <c r="J30" s="2" t="inlineStr">
        <is>
          <t>[]</t>
        </is>
      </c>
    </row>
    <row r="31" ht="42" customHeight="1">
      <c r="A31" s="3" t="inlineStr">
        <is>
          <t>jeminise.com+custom-trucking-semi-truck-on-metallic-mesh-background-comforter-21d8f6bab6-21d8f6bab6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IF(B31="I1",AVERAGEIF('QA_Images'!$A$2:$A$63,A31,'QA_Images'!$R$2:$R$63)/100,IF(D31="FULL",1,IF(D31="PARTIAL",0.5,IF(D31="FAIL",0,""))))</f>
        <v/>
      </c>
      <c r="F31" s="7">
        <f>IF(E31="",0,C31*E31)</f>
        <v/>
      </c>
      <c r="G31" s="7">
        <f>IF(B31="I1",20*AVERAGEIF('QA_Images'!$A$2:$A$63,A31,'QA_Images'!$S$2:$S$63)/100,IF(D31="NOT_CHECKED",0,C31))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["evidence_batch_013_123", "https://jeminise.com/products/custom-trucking-semi-truck-on-metallic-mesh-background-comforter-21d8f6bab6-21d8f6bab6"]</t>
        </is>
      </c>
      <c r="J31" s="3" t="inlineStr">
        <is>
          <t>[]</t>
        </is>
      </c>
    </row>
    <row r="32" ht="42" customHeight="1">
      <c r="A32" s="2" t="inlineStr">
        <is>
          <t>jeminise.com+custom-trucking-semi-truck-on-metallic-mesh-background-comforter-21d8f6bab6-21d8f6bab6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IF(B32="I1",AVERAGEIF('QA_Images'!$A$2:$A$63,A32,'QA_Images'!$R$2:$R$63)/100,IF(D32="FULL",1,IF(D32="PARTIAL",0.5,IF(D32="FAIL",0,""))))</f>
        <v/>
      </c>
      <c r="F32" s="5">
        <f>IF(E32="",0,C32*E32)</f>
        <v/>
      </c>
      <c r="G32" s="5">
        <f>IF(B32="I1",20*AVERAGEIF('QA_Images'!$A$2:$A$63,A32,'QA_Images'!$S$2:$S$63)/100,IF(D32="NOT_CHECKED",0,C32))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["evidence_batch_013_123", "https://jeminise.com/products/custom-trucking-semi-truck-on-metallic-mesh-background-comforter-21d8f6bab6-21d8f6bab6"]</t>
        </is>
      </c>
      <c r="J32" s="2" t="inlineStr">
        <is>
          <t>["B13R4-MIN-003"]</t>
        </is>
      </c>
    </row>
    <row r="33" ht="42" customHeight="1">
      <c r="A33" s="3" t="inlineStr">
        <is>
          <t>jeminise.com+custom-trucking-semi-truck-on-metallic-mesh-background-comforter-21d8f6bab6-21d8f6bab6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IF(B33="I1",AVERAGEIF('QA_Images'!$A$2:$A$63,A33,'QA_Images'!$R$2:$R$63)/100,IF(D33="FULL",1,IF(D33="PARTIAL",0.5,IF(D33="FAIL",0,""))))</f>
        <v/>
      </c>
      <c r="F33" s="7">
        <f>IF(E33="",0,C33*E33)</f>
        <v/>
      </c>
      <c r="G33" s="7">
        <f>IF(B33="I1",20*AVERAGEIF('QA_Images'!$A$2:$A$63,A33,'QA_Images'!$S$2:$S$63)/100,IF(D33="NOT_CHECKED",0,C33))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"evidence_batch_013_123"]</t>
        </is>
      </c>
      <c r="J33" s="3" t="inlineStr">
        <is>
          <t>[]</t>
        </is>
      </c>
    </row>
    <row r="34" ht="42" customHeight="1">
      <c r="A34" s="2" t="inlineStr">
        <is>
          <t>jeminise.com+custom-trucking-semi-truck-on-metallic-mesh-background-comforter-21d8f6bab6-21d8f6bab6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IF(B34="I1",AVERAGEIF('QA_Images'!$A$2:$A$63,A34,'QA_Images'!$R$2:$R$63)/100,IF(D34="FULL",1,IF(D34="PARTIAL",0.5,IF(D34="FAIL",0,""))))</f>
        <v/>
      </c>
      <c r="F34" s="5">
        <f>IF(E34="",0,C34*E34)</f>
        <v/>
      </c>
      <c r="G34" s="5">
        <f>IF(B34="I1",20*AVERAGEIF('QA_Images'!$A$2:$A$63,A34,'QA_Images'!$S$2:$S$63)/100,IF(D34="NOT_CHECKED",0,C34))</f>
        <v/>
      </c>
      <c r="H34" s="2" t="inlineStr">
        <is>
          <t>FULL: product key, handle, links and scoped evidence are consistent; row-level r3 labels are recorded separately as a traceability limitation.</t>
        </is>
      </c>
      <c r="I34" s="2" t="inlineStr">
        <is>
          <t>["evidence_batch_013_123", "https://jeminise.com/products/custom-trucking-semi-truck-on-metallic-mesh-background-comforter-21d8f6bab6-21d8f6bab6"]</t>
        </is>
      </c>
      <c r="J34" s="2" t="inlineStr">
        <is>
          <t>[]</t>
        </is>
      </c>
    </row>
    <row r="35" ht="42" customHeight="1">
      <c r="A35" s="3" t="inlineStr">
        <is>
          <t>jeminise.com+custom-trucking-semi-truck-on-textured-metallic-background-comforter-5ee1903c53-5ee1903c53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IF(B35="I1",AVERAGEIF('QA_Images'!$A$2:$A$63,A35,'QA_Images'!$R$2:$R$63)/100,IF(D35="FULL",1,IF(D35="PARTIAL",0.5,IF(D35="FAIL",0,""))))</f>
        <v/>
      </c>
      <c r="F35" s="7">
        <f>IF(E35="",0,C35*E35)</f>
        <v/>
      </c>
      <c r="G35" s="7">
        <f>IF(B35="I1",20*AVERAGEIF('QA_Images'!$A$2:$A$63,A35,'QA_Images'!$S$2:$S$63)/100,IF(D35="NOT_CHECKED",0,C35))</f>
        <v/>
      </c>
      <c r="H35" s="3" t="inlineStr">
        <is>
          <t>FULL: source workbook, product JSON and direct image checks support the product identity; verified motif: textured metallic semi truck comforter with truck on textured metal background.</t>
        </is>
      </c>
      <c r="I35" s="3" t="inlineStr">
        <is>
          <t>["evidence_batch_013_124", "https://jeminise.com/products/custom-trucking-semi-truck-on-textured-metallic-background-comforter-5ee1903c53-5ee1903c53"]</t>
        </is>
      </c>
      <c r="J35" s="3" t="inlineStr">
        <is>
          <t>[]</t>
        </is>
      </c>
    </row>
    <row r="36" ht="42" customHeight="1">
      <c r="A36" s="2" t="inlineStr">
        <is>
          <t>jeminise.com+custom-trucking-semi-truck-on-textured-metallic-background-comforter-5ee1903c53-5ee1903c53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IF(B36="I1",AVERAGEIF('QA_Images'!$A$2:$A$63,A36,'QA_Images'!$R$2:$R$63)/100,IF(D36="FULL",1,IF(D36="PARTIAL",0.5,IF(D36="FAIL",0,""))))</f>
        <v/>
      </c>
      <c r="F36" s="5">
        <f>IF(E36="",0,C36*E36)</f>
        <v/>
      </c>
      <c r="G36" s="5">
        <f>IF(B36="I1",20*AVERAGEIF('QA_Images'!$A$2:$A$63,A36,'QA_Images'!$S$2:$S$63)/100,IF(D36="NOT_CHECKED",0,C36))</f>
        <v/>
      </c>
      <c r="H36" s="2" t="inlineStr">
        <is>
          <t>FULL: product type/options/personalization were checked against live JSON, admin export and customizer audit: customizer root present without extracted controls.</t>
        </is>
      </c>
      <c r="I36" s="2" t="inlineStr">
        <is>
          <t>["evidence_batch_013_124", "https://jeminise.com/products/custom-trucking-semi-truck-on-textured-metallic-background-comforter-5ee1903c53-5ee1903c53",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jeminise.com+custom-trucking-semi-truck-on-textured-metallic-background-comforter-5ee1903c53-5ee1903c53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IF(B37="I1",AVERAGEIF('QA_Images'!$A$2:$A$63,A37,'QA_Images'!$R$2:$R$63)/100,IF(D37="FULL",1,IF(D37="PARTIAL",0.5,IF(D37="FAIL",0,""))))</f>
        <v/>
      </c>
      <c r="F37" s="7">
        <f>IF(E37="",0,C37*E37)</f>
        <v/>
      </c>
      <c r="G37" s="7">
        <f>IF(B37="I1",20*AVERAGEIF('QA_Images'!$A$2:$A$63,A37,'QA_Images'!$S$2:$S$63)/100,IF(D37="NOT_CHECKED",0,C37))</f>
        <v/>
      </c>
      <c r="H37" s="3" t="inlineStr">
        <is>
          <t>PARTIAL: primary keyword 'textured metallic semi truck comforter' was checked against this product's own US/English SERP; partial means the exact phrase is niche or sample-name driven.</t>
        </is>
      </c>
      <c r="I37" s="3" t="inlineStr">
        <is>
          <t>["evidence_batch_013_124", "https://jeminise.com/products/custom-trucking-semi-truck-on-textured-metallic-background-comforter-5ee1903c53-5ee1903c53", "serp_qa_batch_013_r4_124_1", "serp_qa_batch_013_r4_124_2"]</t>
        </is>
      </c>
      <c r="J37" s="3" t="inlineStr">
        <is>
          <t>["B13R4-MIN-004"]</t>
        </is>
      </c>
    </row>
    <row r="38" ht="42" customHeight="1">
      <c r="A38" s="2" t="inlineStr">
        <is>
          <t>jeminise.com+custom-trucking-semi-truck-on-textured-metallic-background-comforter-5ee1903c53-5ee1903c53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IF(B38="I1",AVERAGEIF('QA_Images'!$A$2:$A$63,A38,'QA_Images'!$R$2:$R$63)/100,IF(D38="FULL",1,IF(D38="PARTIAL",0.5,IF(D38="FAIL",0,""))))</f>
        <v/>
      </c>
      <c r="F38" s="5">
        <f>IF(E38="",0,C38*E38)</f>
        <v/>
      </c>
      <c r="G38" s="5">
        <f>IF(B38="I1",20*AVERAGEIF('QA_Images'!$A$2:$A$63,A38,'QA_Images'!$S$2:$S$63)/100,IF(D38="NOT_CHECKED",0,C38))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["evidence_batch_013_124", "https://jeminise.com/products/custom-trucking-semi-truck-on-textured-metallic-background-comforter-5ee1903c53-5ee1903c53", "serp_qa_batch_013_r4_124_1", "serp_qa_batch_013_r4_124_2"]</t>
        </is>
      </c>
      <c r="J38" s="2" t="inlineStr">
        <is>
          <t>["B13R4-MIN-004"]</t>
        </is>
      </c>
    </row>
    <row r="39" ht="42" customHeight="1">
      <c r="A39" s="3" t="inlineStr">
        <is>
          <t>jeminise.com+custom-trucking-semi-truck-on-textured-metallic-background-comforter-5ee1903c53-5ee1903c53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IF(B39="I1",AVERAGEIF('QA_Images'!$A$2:$A$63,A39,'QA_Images'!$R$2:$R$63)/100,IF(D39="FULL",1,IF(D39="PARTIAL",0.5,IF(D39="FAIL",0,""))))</f>
        <v/>
      </c>
      <c r="F39" s="7">
        <f>IF(E39="",0,C39*E39)</f>
        <v/>
      </c>
      <c r="G39" s="7">
        <f>IF(B39="I1",20*AVERAGEIF('QA_Images'!$A$2:$A$63,A39,'QA_Images'!$S$2:$S$63)/100,IF(D39="NOT_CHECKED",0,C39))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["evidence_batch_013_124", "https://jeminise.com/products/custom-trucking-semi-truck-on-textured-metallic-background-comforter-5ee1903c53-5ee1903c53", "serp_qa_batch_013_r4_124_1", "serp_qa_batch_013_r4_124_2"]</t>
        </is>
      </c>
      <c r="J39" s="3" t="inlineStr">
        <is>
          <t>[]</t>
        </is>
      </c>
    </row>
    <row r="40" ht="42" customHeight="1">
      <c r="A40" s="2" t="inlineStr">
        <is>
          <t>jeminise.com+custom-trucking-semi-truck-on-textured-metallic-background-comforter-5ee1903c53-5ee1903c53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IF(B40="I1",AVERAGEIF('QA_Images'!$A$2:$A$63,A40,'QA_Images'!$R$2:$R$63)/100,IF(D40="FULL",1,IF(D40="PARTIAL",0.5,IF(D40="FAIL",0,""))))</f>
        <v/>
      </c>
      <c r="F40" s="5">
        <f>IF(E40="",0,C40*E40)</f>
        <v/>
      </c>
      <c r="G40" s="5">
        <f>IF(B40="I1",20*AVERAGEIF('QA_Images'!$A$2:$A$63,A40,'QA_Images'!$S$2:$S$63)/100,IF(D40="NOT_CHECKED",0,C40))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["evidence_batch_013_124", "https://jeminise.com/products/custom-trucking-semi-truck-on-textured-metallic-background-comforter-5ee1903c53-5ee1903c53"]</t>
        </is>
      </c>
      <c r="J40" s="2" t="inlineStr">
        <is>
          <t>[]</t>
        </is>
      </c>
    </row>
    <row r="41" ht="42" customHeight="1">
      <c r="A41" s="3" t="inlineStr">
        <is>
          <t>jeminise.com+custom-trucking-semi-truck-on-textured-metallic-background-comforter-5ee1903c53-5ee1903c53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IF(B41="I1",AVERAGEIF('QA_Images'!$A$2:$A$63,A41,'QA_Images'!$R$2:$R$63)/100,IF(D41="FULL",1,IF(D41="PARTIAL",0.5,IF(D41="FAIL",0,""))))</f>
        <v/>
      </c>
      <c r="F41" s="7">
        <f>IF(E41="",0,C41*E41)</f>
        <v/>
      </c>
      <c r="G41" s="7">
        <f>IF(B41="I1",20*AVERAGEIF('QA_Images'!$A$2:$A$63,A41,'QA_Images'!$S$2:$S$63)/100,IF(D41="NOT_CHECKED",0,C41))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["evidence_batch_013_124", "https://jeminise.com/products/custom-trucking-semi-truck-on-textured-metallic-background-comforter-5ee1903c53-5ee1903c53"]</t>
        </is>
      </c>
      <c r="J41" s="3" t="inlineStr">
        <is>
          <t>[]</t>
        </is>
      </c>
    </row>
    <row r="42" ht="42" customHeight="1">
      <c r="A42" s="2" t="inlineStr">
        <is>
          <t>jeminise.com+custom-trucking-semi-truck-on-textured-metallic-background-comforter-5ee1903c53-5ee1903c53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IF(B42="I1",AVERAGEIF('QA_Images'!$A$2:$A$63,A42,'QA_Images'!$R$2:$R$63)/100,IF(D42="FULL",1,IF(D42="PARTIAL",0.5,IF(D42="FAIL",0,""))))</f>
        <v/>
      </c>
      <c r="F42" s="5">
        <f>IF(E42="",0,C42*E42)</f>
        <v/>
      </c>
      <c r="G42" s="5">
        <f>IF(B42="I1",20*AVERAGEIF('QA_Images'!$A$2:$A$63,A42,'QA_Images'!$S$2:$S$63)/100,IF(D42="NOT_CHECKED",0,C42))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["evidence_batch_013_124", "https://jeminise.com/products/custom-trucking-semi-truck-on-textured-metallic-background-comforter-5ee1903c53-5ee1903c53"]</t>
        </is>
      </c>
      <c r="J42" s="2" t="inlineStr">
        <is>
          <t>[]</t>
        </is>
      </c>
    </row>
    <row r="43" ht="42" customHeight="1">
      <c r="A43" s="3" t="inlineStr">
        <is>
          <t>jeminise.com+custom-trucking-semi-truck-on-textured-metallic-background-comforter-5ee1903c53-5ee1903c53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IF(B43="I1",AVERAGEIF('QA_Images'!$A$2:$A$63,A43,'QA_Images'!$R$2:$R$63)/100,IF(D43="FULL",1,IF(D43="PARTIAL",0.5,IF(D43="FAIL",0,""))))</f>
        <v/>
      </c>
      <c r="F43" s="7">
        <f>IF(E43="",0,C43*E43)</f>
        <v/>
      </c>
      <c r="G43" s="7">
        <f>IF(B43="I1",20*AVERAGEIF('QA_Images'!$A$2:$A$63,A43,'QA_Images'!$S$2:$S$63)/100,IF(D43="NOT_CHECKED",0,C43))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["evidence_batch_013_124", "https://jeminise.com/products/custom-trucking-semi-truck-on-textured-metallic-background-comforter-5ee1903c53-5ee1903c53"]</t>
        </is>
      </c>
      <c r="J43" s="3" t="inlineStr">
        <is>
          <t>["B13R4-MIN-004"]</t>
        </is>
      </c>
    </row>
    <row r="44" ht="42" customHeight="1">
      <c r="A44" s="2" t="inlineStr">
        <is>
          <t>jeminise.com+custom-trucking-semi-truck-on-textured-metallic-background-comforter-5ee1903c53-5ee1903c53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IF(B44="I1",AVERAGEIF('QA_Images'!$A$2:$A$63,A44,'QA_Images'!$R$2:$R$63)/100,IF(D44="FULL",1,IF(D44="PARTIAL",0.5,IF(D44="FAIL",0,""))))</f>
        <v/>
      </c>
      <c r="F44" s="5">
        <f>IF(E44="",0,C44*E44)</f>
        <v/>
      </c>
      <c r="G44" s="5">
        <f>IF(B44="I1",20*AVERAGEIF('QA_Images'!$A$2:$A$63,A44,'QA_Images'!$S$2:$S$63)/100,IF(D44="NOT_CHECKED",0,C44))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"evidence_batch_013_124"]</t>
        </is>
      </c>
      <c r="J44" s="2" t="inlineStr">
        <is>
          <t>[]</t>
        </is>
      </c>
    </row>
    <row r="45" ht="42" customHeight="1">
      <c r="A45" s="3" t="inlineStr">
        <is>
          <t>jeminise.com+custom-trucking-semi-truck-on-textured-metallic-background-comforter-5ee1903c53-5ee1903c53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IF(B45="I1",AVERAGEIF('QA_Images'!$A$2:$A$63,A45,'QA_Images'!$R$2:$R$63)/100,IF(D45="FULL",1,IF(D45="PARTIAL",0.5,IF(D45="FAIL",0,""))))</f>
        <v/>
      </c>
      <c r="F45" s="7">
        <f>IF(E45="",0,C45*E45)</f>
        <v/>
      </c>
      <c r="G45" s="7">
        <f>IF(B45="I1",20*AVERAGEIF('QA_Images'!$A$2:$A$63,A45,'QA_Images'!$S$2:$S$63)/100,IF(D45="NOT_CHECKED",0,C45))</f>
        <v/>
      </c>
      <c r="H45" s="3" t="inlineStr">
        <is>
          <t>FULL: product key, handle, links and scoped evidence are consistent; row-level r3 labels are recorded separately as a traceability limitation.</t>
        </is>
      </c>
      <c r="I45" s="3" t="inlineStr">
        <is>
          <t>["evidence_batch_013_124", "https://jeminise.com/products/custom-trucking-semi-truck-on-textured-metallic-background-comforter-5ee1903c53-5ee1903c53"]</t>
        </is>
      </c>
      <c r="J45" s="3" t="inlineStr">
        <is>
          <t>[]</t>
        </is>
      </c>
    </row>
    <row r="46" ht="42" customHeight="1">
      <c r="A46" s="2" t="inlineStr">
        <is>
          <t>jeminise.com+custom-trucking-semi-truck-under-starry-night-sky-comforter-6bbe1b0cd5-6bbe1b0cd5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IF(B46="I1",AVERAGEIF('QA_Images'!$A$2:$A$63,A46,'QA_Images'!$R$2:$R$63)/100,IF(D46="FULL",1,IF(D46="PARTIAL",0.5,IF(D46="FAIL",0,""))))</f>
        <v/>
      </c>
      <c r="F46" s="5">
        <f>IF(E46="",0,C46*E46)</f>
        <v/>
      </c>
      <c r="G46" s="5">
        <f>IF(B46="I1",20*AVERAGEIF('QA_Images'!$A$2:$A$63,A46,'QA_Images'!$S$2:$S$63)/100,IF(D46="NOT_CHECKED",0,C46))</f>
        <v/>
      </c>
      <c r="H46" s="2" t="inlineStr">
        <is>
          <t>FULL: source workbook, product JSON and direct image checks support the product identity; verified motif: starry night semi truck comforter with truck under night sky.</t>
        </is>
      </c>
      <c r="I46" s="2" t="inlineStr">
        <is>
          <t>["evidence_batch_013_125", "https://jeminise.com/products/custom-trucking-semi-truck-under-starry-night-sky-comforter-6bbe1b0cd5-6bbe1b0cd5"]</t>
        </is>
      </c>
      <c r="J46" s="2" t="inlineStr">
        <is>
          <t>[]</t>
        </is>
      </c>
    </row>
    <row r="47" ht="42" customHeight="1">
      <c r="A47" s="3" t="inlineStr">
        <is>
          <t>jeminise.com+custom-trucking-semi-truck-under-starry-night-sky-comforter-6bbe1b0cd5-6bbe1b0cd5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IF(B47="I1",AVERAGEIF('QA_Images'!$A$2:$A$63,A47,'QA_Images'!$R$2:$R$63)/100,IF(D47="FULL",1,IF(D47="PARTIAL",0.5,IF(D47="FAIL",0,""))))</f>
        <v/>
      </c>
      <c r="F47" s="7">
        <f>IF(E47="",0,C47*E47)</f>
        <v/>
      </c>
      <c r="G47" s="7">
        <f>IF(B47="I1",20*AVERAGEIF('QA_Images'!$A$2:$A$63,A47,'QA_Images'!$S$2:$S$63)/100,IF(D47="NOT_CHECKED",0,C47))</f>
        <v/>
      </c>
      <c r="H47" s="3" t="inlineStr">
        <is>
          <t>FULL: product type/options/personalization were checked against live JSON, admin export and customizer audit: customizer root present without extracted controls.</t>
        </is>
      </c>
      <c r="I47" s="3" t="inlineStr">
        <is>
          <t>["evidence_batch_013_125", "https://jeminise.com/products/custom-trucking-semi-truck-under-starry-night-sky-comforter-6bbe1b0cd5-6bbe1b0cd5",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jeminise.com+custom-trucking-semi-truck-under-starry-night-sky-comforter-6bbe1b0cd5-6bbe1b0cd5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IF(B48="I1",AVERAGEIF('QA_Images'!$A$2:$A$63,A48,'QA_Images'!$R$2:$R$63)/100,IF(D48="FULL",1,IF(D48="PARTIAL",0.5,IF(D48="FAIL",0,""))))</f>
        <v/>
      </c>
      <c r="F48" s="5">
        <f>IF(E48="",0,C48*E48)</f>
        <v/>
      </c>
      <c r="G48" s="5">
        <f>IF(B48="I1",20*AVERAGEIF('QA_Images'!$A$2:$A$63,A48,'QA_Images'!$S$2:$S$63)/100,IF(D48="NOT_CHECKED",0,C48))</f>
        <v/>
      </c>
      <c r="H48" s="2" t="inlineStr">
        <is>
          <t>PARTIAL: primary keyword 'starry night semi truck comforter' was checked against this product's own US/English SERP; partial means the exact phrase is niche or sample-name driven.</t>
        </is>
      </c>
      <c r="I48" s="2" t="inlineStr">
        <is>
          <t>["evidence_batch_013_125", "https://jeminise.com/products/custom-trucking-semi-truck-under-starry-night-sky-comforter-6bbe1b0cd5-6bbe1b0cd5", "serp_qa_batch_013_r4_125_1", "serp_qa_batch_013_r4_125_2"]</t>
        </is>
      </c>
      <c r="J48" s="2" t="inlineStr">
        <is>
          <t>["B13R4-MIN-005"]</t>
        </is>
      </c>
    </row>
    <row r="49" ht="42" customHeight="1">
      <c r="A49" s="3" t="inlineStr">
        <is>
          <t>jeminise.com+custom-trucking-semi-truck-under-starry-night-sky-comforter-6bbe1b0cd5-6bbe1b0cd5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IF(B49="I1",AVERAGEIF('QA_Images'!$A$2:$A$63,A49,'QA_Images'!$R$2:$R$63)/100,IF(D49="FULL",1,IF(D49="PARTIAL",0.5,IF(D49="FAIL",0,""))))</f>
        <v/>
      </c>
      <c r="F49" s="7">
        <f>IF(E49="",0,C49*E49)</f>
        <v/>
      </c>
      <c r="G49" s="7">
        <f>IF(B49="I1",20*AVERAGEIF('QA_Images'!$A$2:$A$63,A49,'QA_Images'!$S$2:$S$63)/100,IF(D49="NOT_CHECKED",0,C49))</f>
        <v/>
      </c>
      <c r="H49" s="3" t="inlineStr">
        <is>
          <t>PARTIAL: comparator query confirms commercial product intent; partial means results broaden beyond this exact motif/product type.</t>
        </is>
      </c>
      <c r="I49" s="3" t="inlineStr">
        <is>
          <t>["evidence_batch_013_125", "https://jeminise.com/products/custom-trucking-semi-truck-under-starry-night-sky-comforter-6bbe1b0cd5-6bbe1b0cd5", "serp_qa_batch_013_r4_125_1", "serp_qa_batch_013_r4_125_2"]</t>
        </is>
      </c>
      <c r="J49" s="3" t="inlineStr">
        <is>
          <t>["B13R4-MIN-005"]</t>
        </is>
      </c>
    </row>
    <row r="50" ht="42" customHeight="1">
      <c r="A50" s="2" t="inlineStr">
        <is>
          <t>jeminise.com+custom-trucking-semi-truck-under-starry-night-sky-comforter-6bbe1b0cd5-6bbe1b0cd5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IF(B50="I1",AVERAGEIF('QA_Images'!$A$2:$A$63,A50,'QA_Images'!$R$2:$R$63)/100,IF(D50="FULL",1,IF(D50="PARTIAL",0.5,IF(D50="FAIL",0,""))))</f>
        <v/>
      </c>
      <c r="F50" s="5">
        <f>IF(E50="",0,C50*E50)</f>
        <v/>
      </c>
      <c r="G50" s="5">
        <f>IF(B50="I1",20*AVERAGEIF('QA_Images'!$A$2:$A$63,A50,'QA_Images'!$S$2:$S$63)/100,IF(D50="NOT_CHECKED",0,C50))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["evidence_batch_013_125", "https://jeminise.com/products/custom-trucking-semi-truck-under-starry-night-sky-comforter-6bbe1b0cd5-6bbe1b0cd5", "serp_qa_batch_013_r4_125_1", "serp_qa_batch_013_r4_125_2"]</t>
        </is>
      </c>
      <c r="J50" s="2" t="inlineStr">
        <is>
          <t>[]</t>
        </is>
      </c>
    </row>
    <row r="51" ht="42" customHeight="1">
      <c r="A51" s="3" t="inlineStr">
        <is>
          <t>jeminise.com+custom-trucking-semi-truck-under-starry-night-sky-comforter-6bbe1b0cd5-6bbe1b0cd5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IF(B51="I1",AVERAGEIF('QA_Images'!$A$2:$A$63,A51,'QA_Images'!$R$2:$R$63)/100,IF(D51="FULL",1,IF(D51="PARTIAL",0.5,IF(D51="FAIL",0,""))))</f>
        <v/>
      </c>
      <c r="F51" s="7">
        <f>IF(E51="",0,C51*E51)</f>
        <v/>
      </c>
      <c r="G51" s="7">
        <f>IF(B51="I1",20*AVERAGEIF('QA_Images'!$A$2:$A$63,A51,'QA_Images'!$S$2:$S$63)/100,IF(D51="NOT_CHECKED",0,C51))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["evidence_batch_013_125", "https://jeminise.com/products/custom-trucking-semi-truck-under-starry-night-sky-comforter-6bbe1b0cd5-6bbe1b0cd5"]</t>
        </is>
      </c>
      <c r="J51" s="3" t="inlineStr">
        <is>
          <t>[]</t>
        </is>
      </c>
    </row>
    <row r="52" ht="42" customHeight="1">
      <c r="A52" s="2" t="inlineStr">
        <is>
          <t>jeminise.com+custom-trucking-semi-truck-under-starry-night-sky-comforter-6bbe1b0cd5-6bbe1b0cd5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IF(B52="I1",AVERAGEIF('QA_Images'!$A$2:$A$63,A52,'QA_Images'!$R$2:$R$63)/100,IF(D52="FULL",1,IF(D52="PARTIAL",0.5,IF(D52="FAIL",0,""))))</f>
        <v/>
      </c>
      <c r="F52" s="5">
        <f>IF(E52="",0,C52*E52)</f>
        <v/>
      </c>
      <c r="G52" s="5">
        <f>IF(B52="I1",20*AVERAGEIF('QA_Images'!$A$2:$A$63,A52,'QA_Images'!$S$2:$S$63)/100,IF(D52="NOT_CHECKED",0,C52))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["evidence_batch_013_125", "https://jeminise.com/products/custom-trucking-semi-truck-under-starry-night-sky-comforter-6bbe1b0cd5-6bbe1b0cd5"]</t>
        </is>
      </c>
      <c r="J52" s="2" t="inlineStr">
        <is>
          <t>[]</t>
        </is>
      </c>
    </row>
    <row r="53" ht="42" customHeight="1">
      <c r="A53" s="3" t="inlineStr">
        <is>
          <t>jeminise.com+custom-trucking-semi-truck-under-starry-night-sky-comforter-6bbe1b0cd5-6bbe1b0cd5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IF(B53="I1",AVERAGEIF('QA_Images'!$A$2:$A$63,A53,'QA_Images'!$R$2:$R$63)/100,IF(D53="FULL",1,IF(D53="PARTIAL",0.5,IF(D53="FAIL",0,""))))</f>
        <v/>
      </c>
      <c r="F53" s="7">
        <f>IF(E53="",0,C53*E53)</f>
        <v/>
      </c>
      <c r="G53" s="7">
        <f>IF(B53="I1",20*AVERAGEIF('QA_Images'!$A$2:$A$63,A53,'QA_Images'!$S$2:$S$63)/100,IF(D53="NOT_CHECKED",0,C53))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["evidence_batch_013_125", "https://jeminise.com/products/custom-trucking-semi-truck-under-starry-night-sky-comforter-6bbe1b0cd5-6bbe1b0cd5"]</t>
        </is>
      </c>
      <c r="J53" s="3" t="inlineStr">
        <is>
          <t>[]</t>
        </is>
      </c>
    </row>
    <row r="54" ht="42" customHeight="1">
      <c r="A54" s="2" t="inlineStr">
        <is>
          <t>jeminise.com+custom-trucking-semi-truck-under-starry-night-sky-comforter-6bbe1b0cd5-6bbe1b0cd5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IF(B54="I1",AVERAGEIF('QA_Images'!$A$2:$A$63,A54,'QA_Images'!$R$2:$R$63)/100,IF(D54="FULL",1,IF(D54="PARTIAL",0.5,IF(D54="FAIL",0,""))))</f>
        <v/>
      </c>
      <c r="F54" s="5">
        <f>IF(E54="",0,C54*E54)</f>
        <v/>
      </c>
      <c r="G54" s="5">
        <f>IF(B54="I1",20*AVERAGEIF('QA_Images'!$A$2:$A$63,A54,'QA_Images'!$S$2:$S$63)/100,IF(D54="NOT_CHECKED",0,C54))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["evidence_batch_013_125", "https://jeminise.com/products/custom-trucking-semi-truck-under-starry-night-sky-comforter-6bbe1b0cd5-6bbe1b0cd5"]</t>
        </is>
      </c>
      <c r="J54" s="2" t="inlineStr">
        <is>
          <t>["B13R4-MIN-005"]</t>
        </is>
      </c>
    </row>
    <row r="55" ht="42" customHeight="1">
      <c r="A55" s="3" t="inlineStr">
        <is>
          <t>jeminise.com+custom-trucking-semi-truck-under-starry-night-sky-comforter-6bbe1b0cd5-6bbe1b0cd5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IF(B55="I1",AVERAGEIF('QA_Images'!$A$2:$A$63,A55,'QA_Images'!$R$2:$R$63)/100,IF(D55="FULL",1,IF(D55="PARTIAL",0.5,IF(D55="FAIL",0,""))))</f>
        <v/>
      </c>
      <c r="F55" s="7">
        <f>IF(E55="",0,C55*E55)</f>
        <v/>
      </c>
      <c r="G55" s="7">
        <f>IF(B55="I1",20*AVERAGEIF('QA_Images'!$A$2:$A$63,A55,'QA_Images'!$S$2:$S$63)/100,IF(D55="NOT_CHECKED",0,C55))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"evidence_batch_013_125"]</t>
        </is>
      </c>
      <c r="J55" s="3" t="inlineStr">
        <is>
          <t>[]</t>
        </is>
      </c>
    </row>
    <row r="56" ht="42" customHeight="1">
      <c r="A56" s="2" t="inlineStr">
        <is>
          <t>jeminise.com+custom-trucking-semi-truck-under-starry-night-sky-comforter-6bbe1b0cd5-6bbe1b0cd5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IF(B56="I1",AVERAGEIF('QA_Images'!$A$2:$A$63,A56,'QA_Images'!$R$2:$R$63)/100,IF(D56="FULL",1,IF(D56="PARTIAL",0.5,IF(D56="FAIL",0,""))))</f>
        <v/>
      </c>
      <c r="F56" s="5">
        <f>IF(E56="",0,C56*E56)</f>
        <v/>
      </c>
      <c r="G56" s="5">
        <f>IF(B56="I1",20*AVERAGEIF('QA_Images'!$A$2:$A$63,A56,'QA_Images'!$S$2:$S$63)/100,IF(D56="NOT_CHECKED",0,C56))</f>
        <v/>
      </c>
      <c r="H56" s="2" t="inlineStr">
        <is>
          <t>FULL: product key, handle, links and scoped evidence are consistent; row-level r3 labels are recorded separately as a traceability limitation.</t>
        </is>
      </c>
      <c r="I56" s="2" t="inlineStr">
        <is>
          <t>["evidence_batch_013_125", "https://jeminise.com/products/custom-trucking-semi-truck-under-starry-night-sky-comforter-6bbe1b0cd5-6bbe1b0cd5"]</t>
        </is>
      </c>
      <c r="J56" s="2" t="inlineStr">
        <is>
          <t>[]</t>
        </is>
      </c>
    </row>
    <row r="57" ht="42" customHeight="1">
      <c r="A57" s="3" t="inlineStr">
        <is>
          <t>jeminise.com+cardinal-christmas-quilt-set-7237701d00-7237701d00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IF(B57="I1",AVERAGEIF('QA_Images'!$A$2:$A$63,A57,'QA_Images'!$R$2:$R$63)/100,IF(D57="FULL",1,IF(D57="PARTIAL",0.5,IF(D57="FAIL",0,""))))</f>
        <v/>
      </c>
      <c r="F57" s="7">
        <f>IF(E57="",0,C57*E57)</f>
        <v/>
      </c>
      <c r="G57" s="7">
        <f>IF(B57="I1",20*AVERAGEIF('QA_Images'!$A$2:$A$63,A57,'QA_Images'!$S$2:$S$63)/100,IF(D57="NOT_CHECKED",0,C57))</f>
        <v/>
      </c>
      <c r="H57" s="3" t="inlineStr">
        <is>
          <t>FULL: source workbook, product JSON and direct image checks support the product identity; verified motif: cardinal Christmas quilt set with two cardinals on holly branches.</t>
        </is>
      </c>
      <c r="I57" s="3" t="inlineStr">
        <is>
          <t>["evidence_batch_013_126", "https://jeminise.com/products/cardinal-christmas-quilt-set-7237701d00-7237701d00"]</t>
        </is>
      </c>
      <c r="J57" s="3" t="inlineStr">
        <is>
          <t>[]</t>
        </is>
      </c>
    </row>
    <row r="58" ht="42" customHeight="1">
      <c r="A58" s="2" t="inlineStr">
        <is>
          <t>jeminise.com+cardinal-christmas-quilt-set-7237701d00-7237701d00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IF(B58="I1",AVERAGEIF('QA_Images'!$A$2:$A$63,A58,'QA_Images'!$R$2:$R$63)/100,IF(D58="FULL",1,IF(D58="PARTIAL",0.5,IF(D58="FAIL",0,""))))</f>
        <v/>
      </c>
      <c r="F58" s="5">
        <f>IF(E58="",0,C58*E58)</f>
        <v/>
      </c>
      <c r="G58" s="5">
        <f>IF(B58="I1",20*AVERAGEIF('QA_Images'!$A$2:$A$63,A58,'QA_Images'!$S$2:$S$63)/100,IF(D58="NOT_CHECKED",0,C58))</f>
        <v/>
      </c>
      <c r="H58" s="2" t="inlineStr">
        <is>
          <t>FULL: product type/options/personalization were checked against live JSON, admin export and customizer audit: customizer root present without extracted controls.</t>
        </is>
      </c>
      <c r="I58" s="2" t="inlineStr">
        <is>
          <t>["evidence_batch_013_126", "https://jeminise.com/products/cardinal-christmas-quilt-set-7237701d00-7237701d00",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jeminise.com+cardinal-christmas-quilt-set-7237701d00-7237701d00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IF(B59="I1",AVERAGEIF('QA_Images'!$A$2:$A$63,A59,'QA_Images'!$R$2:$R$63)/100,IF(D59="FULL",1,IF(D59="PARTIAL",0.5,IF(D59="FAIL",0,""))))</f>
        <v/>
      </c>
      <c r="F59" s="7">
        <f>IF(E59="",0,C59*E59)</f>
        <v/>
      </c>
      <c r="G59" s="7">
        <f>IF(B59="I1",20*AVERAGEIF('QA_Images'!$A$2:$A$63,A59,'QA_Images'!$S$2:$S$63)/100,IF(D59="NOT_CHECKED",0,C59))</f>
        <v/>
      </c>
      <c r="H59" s="3" t="inlineStr">
        <is>
          <t>FULL: primary keyword 'cardinal Christmas quilt set' was checked against this product's own US/English SERP; partial means the exact phrase is niche or sample-name driven.</t>
        </is>
      </c>
      <c r="I59" s="3" t="inlineStr">
        <is>
          <t>["evidence_batch_013_126", "https://jeminise.com/products/cardinal-christmas-quilt-set-7237701d00-7237701d00", "serp_qa_batch_013_r4_126_1", "serp_qa_batch_013_r4_126_2"]</t>
        </is>
      </c>
      <c r="J59" s="3" t="inlineStr">
        <is>
          <t>["B13R4-MIN-006"]</t>
        </is>
      </c>
    </row>
    <row r="60" ht="42" customHeight="1">
      <c r="A60" s="2" t="inlineStr">
        <is>
          <t>jeminise.com+cardinal-christmas-quilt-set-7237701d00-7237701d00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IF(B60="I1",AVERAGEIF('QA_Images'!$A$2:$A$63,A60,'QA_Images'!$R$2:$R$63)/100,IF(D60="FULL",1,IF(D60="PARTIAL",0.5,IF(D60="FAIL",0,""))))</f>
        <v/>
      </c>
      <c r="F60" s="5">
        <f>IF(E60="",0,C60*E60)</f>
        <v/>
      </c>
      <c r="G60" s="5">
        <f>IF(B60="I1",20*AVERAGEIF('QA_Images'!$A$2:$A$63,A60,'QA_Images'!$S$2:$S$63)/100,IF(D60="NOT_CHECKED",0,C60))</f>
        <v/>
      </c>
      <c r="H60" s="2" t="inlineStr">
        <is>
          <t>FULL: comparator query confirms commercial product intent; partial means results broaden beyond this exact motif/product type.</t>
        </is>
      </c>
      <c r="I60" s="2" t="inlineStr">
        <is>
          <t>["evidence_batch_013_126", "https://jeminise.com/products/cardinal-christmas-quilt-set-7237701d00-7237701d00", "serp_qa_batch_013_r4_126_1", "serp_qa_batch_013_r4_126_2"]</t>
        </is>
      </c>
      <c r="J60" s="2" t="inlineStr">
        <is>
          <t>["B13R4-MIN-006"]</t>
        </is>
      </c>
    </row>
    <row r="61" ht="42" customHeight="1">
      <c r="A61" s="3" t="inlineStr">
        <is>
          <t>jeminise.com+cardinal-christmas-quilt-set-7237701d00-7237701d00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IF(B61="I1",AVERAGEIF('QA_Images'!$A$2:$A$63,A61,'QA_Images'!$R$2:$R$63)/100,IF(D61="FULL",1,IF(D61="PARTIAL",0.5,IF(D61="FAIL",0,""))))</f>
        <v/>
      </c>
      <c r="F61" s="7">
        <f>IF(E61="",0,C61*E61)</f>
        <v/>
      </c>
      <c r="G61" s="7">
        <f>IF(B61="I1",20*AVERAGEIF('QA_Images'!$A$2:$A$63,A61,'QA_Images'!$S$2:$S$63)/100,IF(D61="NOT_CHECKED",0,C61))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["evidence_batch_013_126", "https://jeminise.com/products/cardinal-christmas-quilt-set-7237701d00-7237701d00", "serp_qa_batch_013_r4_126_1", "serp_qa_batch_013_r4_126_2"]</t>
        </is>
      </c>
      <c r="J61" s="3" t="inlineStr">
        <is>
          <t>[]</t>
        </is>
      </c>
    </row>
    <row r="62" ht="42" customHeight="1">
      <c r="A62" s="2" t="inlineStr">
        <is>
          <t>jeminise.com+cardinal-christmas-quilt-set-7237701d00-7237701d00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IF(B62="I1",AVERAGEIF('QA_Images'!$A$2:$A$63,A62,'QA_Images'!$R$2:$R$63)/100,IF(D62="FULL",1,IF(D62="PARTIAL",0.5,IF(D62="FAIL",0,""))))</f>
        <v/>
      </c>
      <c r="F62" s="5">
        <f>IF(E62="",0,C62*E62)</f>
        <v/>
      </c>
      <c r="G62" s="5">
        <f>IF(B62="I1",20*AVERAGEIF('QA_Images'!$A$2:$A$63,A62,'QA_Images'!$S$2:$S$63)/100,IF(D62="NOT_CHECKED",0,C62))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["evidence_batch_013_126", "https://jeminise.com/products/cardinal-christmas-quilt-set-7237701d00-7237701d00"]</t>
        </is>
      </c>
      <c r="J62" s="2" t="inlineStr">
        <is>
          <t>[]</t>
        </is>
      </c>
    </row>
    <row r="63" ht="42" customHeight="1">
      <c r="A63" s="3" t="inlineStr">
        <is>
          <t>jeminise.com+cardinal-christmas-quilt-set-7237701d00-7237701d00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IF(B63="I1",AVERAGEIF('QA_Images'!$A$2:$A$63,A63,'QA_Images'!$R$2:$R$63)/100,IF(D63="FULL",1,IF(D63="PARTIAL",0.5,IF(D63="FAIL",0,""))))</f>
        <v/>
      </c>
      <c r="F63" s="7">
        <f>IF(E63="",0,C63*E63)</f>
        <v/>
      </c>
      <c r="G63" s="7">
        <f>IF(B63="I1",20*AVERAGEIF('QA_Images'!$A$2:$A$63,A63,'QA_Images'!$S$2:$S$63)/100,IF(D63="NOT_CHECKED",0,C63))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["evidence_batch_013_126", "https://jeminise.com/products/cardinal-christmas-quilt-set-7237701d00-7237701d00"]</t>
        </is>
      </c>
      <c r="J63" s="3" t="inlineStr">
        <is>
          <t>[]</t>
        </is>
      </c>
    </row>
    <row r="64" ht="42" customHeight="1">
      <c r="A64" s="2" t="inlineStr">
        <is>
          <t>jeminise.com+cardinal-christmas-quilt-set-7237701d00-7237701d00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IF(B64="I1",AVERAGEIF('QA_Images'!$A$2:$A$63,A64,'QA_Images'!$R$2:$R$63)/100,IF(D64="FULL",1,IF(D64="PARTIAL",0.5,IF(D64="FAIL",0,""))))</f>
        <v/>
      </c>
      <c r="F64" s="5">
        <f>IF(E64="",0,C64*E64)</f>
        <v/>
      </c>
      <c r="G64" s="5">
        <f>IF(B64="I1",20*AVERAGEIF('QA_Images'!$A$2:$A$63,A64,'QA_Images'!$S$2:$S$63)/100,IF(D64="NOT_CHECKED",0,C64))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["evidence_batch_013_126", "https://jeminise.com/products/cardinal-christmas-quilt-set-7237701d00-7237701d00"]</t>
        </is>
      </c>
      <c r="J64" s="2" t="inlineStr">
        <is>
          <t>[]</t>
        </is>
      </c>
    </row>
    <row r="65" ht="42" customHeight="1">
      <c r="A65" s="3" t="inlineStr">
        <is>
          <t>jeminise.com+cardinal-christmas-quilt-set-7237701d00-7237701d00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IF(B65="I1",AVERAGEIF('QA_Images'!$A$2:$A$63,A65,'QA_Images'!$R$2:$R$63)/100,IF(D65="FULL",1,IF(D65="PARTIAL",0.5,IF(D65="FAIL",0,""))))</f>
        <v/>
      </c>
      <c r="F65" s="7">
        <f>IF(E65="",0,C65*E65)</f>
        <v/>
      </c>
      <c r="G65" s="7">
        <f>IF(B65="I1",20*AVERAGEIF('QA_Images'!$A$2:$A$63,A65,'QA_Images'!$S$2:$S$63)/100,IF(D65="NOT_CHECKED",0,C65))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["evidence_batch_013_126", "https://jeminise.com/products/cardinal-christmas-quilt-set-7237701d00-7237701d00"]</t>
        </is>
      </c>
      <c r="J65" s="3" t="inlineStr">
        <is>
          <t>["B13R4-MIN-006"]</t>
        </is>
      </c>
    </row>
    <row r="66" ht="42" customHeight="1">
      <c r="A66" s="2" t="inlineStr">
        <is>
          <t>jeminise.com+cardinal-christmas-quilt-set-7237701d00-7237701d00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IF(B66="I1",AVERAGEIF('QA_Images'!$A$2:$A$63,A66,'QA_Images'!$R$2:$R$63)/100,IF(D66="FULL",1,IF(D66="PARTIAL",0.5,IF(D66="FAIL",0,""))))</f>
        <v/>
      </c>
      <c r="F66" s="5">
        <f>IF(E66="",0,C66*E66)</f>
        <v/>
      </c>
      <c r="G66" s="5">
        <f>IF(B66="I1",20*AVERAGEIF('QA_Images'!$A$2:$A$63,A66,'QA_Images'!$S$2:$S$63)/100,IF(D66="NOT_CHECKED",0,C66))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"evidence_batch_013_126"]</t>
        </is>
      </c>
      <c r="J66" s="2" t="inlineStr">
        <is>
          <t>[]</t>
        </is>
      </c>
    </row>
    <row r="67" ht="42" customHeight="1">
      <c r="A67" s="3" t="inlineStr">
        <is>
          <t>jeminise.com+cardinal-christmas-quilt-set-7237701d00-7237701d00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IF(B67="I1",AVERAGEIF('QA_Images'!$A$2:$A$63,A67,'QA_Images'!$R$2:$R$63)/100,IF(D67="FULL",1,IF(D67="PARTIAL",0.5,IF(D67="FAIL",0,""))))</f>
        <v/>
      </c>
      <c r="F67" s="7">
        <f>IF(E67="",0,C67*E67)</f>
        <v/>
      </c>
      <c r="G67" s="7">
        <f>IF(B67="I1",20*AVERAGEIF('QA_Images'!$A$2:$A$63,A67,'QA_Images'!$S$2:$S$63)/100,IF(D67="NOT_CHECKED",0,C67))</f>
        <v/>
      </c>
      <c r="H67" s="3" t="inlineStr">
        <is>
          <t>FULL: product key, handle, links and scoped evidence are consistent; row-level r3 labels are recorded separately as a traceability limitation.</t>
        </is>
      </c>
      <c r="I67" s="3" t="inlineStr">
        <is>
          <t>["evidence_batch_013_126", "https://jeminise.com/products/cardinal-christmas-quilt-set-7237701d00-7237701d00"]</t>
        </is>
      </c>
      <c r="J67" s="3" t="inlineStr">
        <is>
          <t>[]</t>
        </is>
      </c>
    </row>
    <row r="68" ht="42" customHeight="1">
      <c r="A68" s="2" t="inlineStr">
        <is>
          <t>jeminise.com+custom-wildlife-wolf-head-close-up-portrait-comforter-3233b9edb7-3233b9edb7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IF(B68="I1",AVERAGEIF('QA_Images'!$A$2:$A$63,A68,'QA_Images'!$R$2:$R$63)/100,IF(D68="FULL",1,IF(D68="PARTIAL",0.5,IF(D68="FAIL",0,""))))</f>
        <v/>
      </c>
      <c r="F68" s="5">
        <f>IF(E68="",0,C68*E68)</f>
        <v/>
      </c>
      <c r="G68" s="5">
        <f>IF(B68="I1",20*AVERAGEIF('QA_Images'!$A$2:$A$63,A68,'QA_Images'!$S$2:$S$63)/100,IF(D68="NOT_CHECKED",0,C68))</f>
        <v/>
      </c>
      <c r="H68" s="2" t="inlineStr">
        <is>
          <t>FULL: source workbook, product JSON and direct image checks support the product identity; verified motif: colorful wolf head quilt set with close-up wolf portrait artwork.</t>
        </is>
      </c>
      <c r="I68" s="2" t="inlineStr">
        <is>
          <t>["evidence_batch_013_127", "https://jeminise.com/products/custom-wildlife-wolf-head-close-up-portrait-comforter-3233b9edb7-3233b9edb7"]</t>
        </is>
      </c>
      <c r="J68" s="2" t="inlineStr">
        <is>
          <t>[]</t>
        </is>
      </c>
    </row>
    <row r="69" ht="42" customHeight="1">
      <c r="A69" s="3" t="inlineStr">
        <is>
          <t>jeminise.com+custom-wildlife-wolf-head-close-up-portrait-comforter-3233b9edb7-3233b9edb7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IF(B69="I1",AVERAGEIF('QA_Images'!$A$2:$A$63,A69,'QA_Images'!$R$2:$R$63)/100,IF(D69="FULL",1,IF(D69="PARTIAL",0.5,IF(D69="FAIL",0,""))))</f>
        <v/>
      </c>
      <c r="F69" s="7">
        <f>IF(E69="",0,C69*E69)</f>
        <v/>
      </c>
      <c r="G69" s="7">
        <f>IF(B69="I1",20*AVERAGEIF('QA_Images'!$A$2:$A$63,A69,'QA_Images'!$S$2:$S$63)/100,IF(D69="NOT_CHECKED",0,C69))</f>
        <v/>
      </c>
      <c r="H69" s="3" t="inlineStr">
        <is>
          <t>FULL: product type/options/personalization were checked against live JSON, admin export and customizer audit: customizer root present without extracted controls.</t>
        </is>
      </c>
      <c r="I69" s="3" t="inlineStr">
        <is>
          <t>["evidence_batch_013_127", "https://jeminise.com/products/custom-wildlife-wolf-head-close-up-portrait-comforter-3233b9edb7-3233b9edb7",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jeminise.com+custom-wildlife-wolf-head-close-up-portrait-comforter-3233b9edb7-3233b9edb7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IF(B70="I1",AVERAGEIF('QA_Images'!$A$2:$A$63,A70,'QA_Images'!$R$2:$R$63)/100,IF(D70="FULL",1,IF(D70="PARTIAL",0.5,IF(D70="FAIL",0,""))))</f>
        <v/>
      </c>
      <c r="F70" s="5">
        <f>IF(E70="",0,C70*E70)</f>
        <v/>
      </c>
      <c r="G70" s="5">
        <f>IF(B70="I1",20*AVERAGEIF('QA_Images'!$A$2:$A$63,A70,'QA_Images'!$S$2:$S$63)/100,IF(D70="NOT_CHECKED",0,C70))</f>
        <v/>
      </c>
      <c r="H70" s="2" t="inlineStr">
        <is>
          <t>PARTIAL: primary keyword 'colorful wolf head quilt set' was checked against this product's own US/English SERP; partial means the exact phrase is niche or sample-name driven.</t>
        </is>
      </c>
      <c r="I70" s="2" t="inlineStr">
        <is>
          <t>["evidence_batch_013_127", "https://jeminise.com/products/custom-wildlife-wolf-head-close-up-portrait-comforter-3233b9edb7-3233b9edb7", "serp_qa_batch_013_r4_127_1", "serp_qa_batch_013_r4_127_2"]</t>
        </is>
      </c>
      <c r="J70" s="2" t="inlineStr">
        <is>
          <t>["B13R4-MIN-007"]</t>
        </is>
      </c>
    </row>
    <row r="71" ht="42" customHeight="1">
      <c r="A71" s="3" t="inlineStr">
        <is>
          <t>jeminise.com+custom-wildlife-wolf-head-close-up-portrait-comforter-3233b9edb7-3233b9edb7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IF(B71="I1",AVERAGEIF('QA_Images'!$A$2:$A$63,A71,'QA_Images'!$R$2:$R$63)/100,IF(D71="FULL",1,IF(D71="PARTIAL",0.5,IF(D71="FAIL",0,""))))</f>
        <v/>
      </c>
      <c r="F71" s="7">
        <f>IF(E71="",0,C71*E71)</f>
        <v/>
      </c>
      <c r="G71" s="7">
        <f>IF(B71="I1",20*AVERAGEIF('QA_Images'!$A$2:$A$63,A71,'QA_Images'!$S$2:$S$63)/100,IF(D71="NOT_CHECKED",0,C71))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["evidence_batch_013_127", "https://jeminise.com/products/custom-wildlife-wolf-head-close-up-portrait-comforter-3233b9edb7-3233b9edb7", "serp_qa_batch_013_r4_127_1", "serp_qa_batch_013_r4_127_2"]</t>
        </is>
      </c>
      <c r="J71" s="3" t="inlineStr">
        <is>
          <t>["B13R4-MIN-007"]</t>
        </is>
      </c>
    </row>
    <row r="72" ht="42" customHeight="1">
      <c r="A72" s="2" t="inlineStr">
        <is>
          <t>jeminise.com+custom-wildlife-wolf-head-close-up-portrait-comforter-3233b9edb7-3233b9edb7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IF(B72="I1",AVERAGEIF('QA_Images'!$A$2:$A$63,A72,'QA_Images'!$R$2:$R$63)/100,IF(D72="FULL",1,IF(D72="PARTIAL",0.5,IF(D72="FAIL",0,""))))</f>
        <v/>
      </c>
      <c r="F72" s="5">
        <f>IF(E72="",0,C72*E72)</f>
        <v/>
      </c>
      <c r="G72" s="5">
        <f>IF(B72="I1",20*AVERAGEIF('QA_Images'!$A$2:$A$63,A72,'QA_Images'!$S$2:$S$63)/100,IF(D72="NOT_CHECKED",0,C72))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["evidence_batch_013_127", "https://jeminise.com/products/custom-wildlife-wolf-head-close-up-portrait-comforter-3233b9edb7-3233b9edb7", "serp_qa_batch_013_r4_127_1", "serp_qa_batch_013_r4_127_2"]</t>
        </is>
      </c>
      <c r="J72" s="2" t="inlineStr">
        <is>
          <t>[]</t>
        </is>
      </c>
    </row>
    <row r="73" ht="42" customHeight="1">
      <c r="A73" s="3" t="inlineStr">
        <is>
          <t>jeminise.com+custom-wildlife-wolf-head-close-up-portrait-comforter-3233b9edb7-3233b9edb7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IF(B73="I1",AVERAGEIF('QA_Images'!$A$2:$A$63,A73,'QA_Images'!$R$2:$R$63)/100,IF(D73="FULL",1,IF(D73="PARTIAL",0.5,IF(D73="FAIL",0,""))))</f>
        <v/>
      </c>
      <c r="F73" s="7">
        <f>IF(E73="",0,C73*E73)</f>
        <v/>
      </c>
      <c r="G73" s="7">
        <f>IF(B73="I1",20*AVERAGEIF('QA_Images'!$A$2:$A$63,A73,'QA_Images'!$S$2:$S$63)/100,IF(D73="NOT_CHECKED",0,C73))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["evidence_batch_013_127", "https://jeminise.com/products/custom-wildlife-wolf-head-close-up-portrait-comforter-3233b9edb7-3233b9edb7"]</t>
        </is>
      </c>
      <c r="J73" s="3" t="inlineStr">
        <is>
          <t>[]</t>
        </is>
      </c>
    </row>
    <row r="74" ht="42" customHeight="1">
      <c r="A74" s="2" t="inlineStr">
        <is>
          <t>jeminise.com+custom-wildlife-wolf-head-close-up-portrait-comforter-3233b9edb7-3233b9edb7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IF(B74="I1",AVERAGEIF('QA_Images'!$A$2:$A$63,A74,'QA_Images'!$R$2:$R$63)/100,IF(D74="FULL",1,IF(D74="PARTIAL",0.5,IF(D74="FAIL",0,""))))</f>
        <v/>
      </c>
      <c r="F74" s="5">
        <f>IF(E74="",0,C74*E74)</f>
        <v/>
      </c>
      <c r="G74" s="5">
        <f>IF(B74="I1",20*AVERAGEIF('QA_Images'!$A$2:$A$63,A74,'QA_Images'!$S$2:$S$63)/100,IF(D74="NOT_CHECKED",0,C74))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["evidence_batch_013_127", "https://jeminise.com/products/custom-wildlife-wolf-head-close-up-portrait-comforter-3233b9edb7-3233b9edb7"]</t>
        </is>
      </c>
      <c r="J74" s="2" t="inlineStr">
        <is>
          <t>[]</t>
        </is>
      </c>
    </row>
    <row r="75" ht="42" customHeight="1">
      <c r="A75" s="3" t="inlineStr">
        <is>
          <t>jeminise.com+custom-wildlife-wolf-head-close-up-portrait-comforter-3233b9edb7-3233b9edb7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IF(B75="I1",AVERAGEIF('QA_Images'!$A$2:$A$63,A75,'QA_Images'!$R$2:$R$63)/100,IF(D75="FULL",1,IF(D75="PARTIAL",0.5,IF(D75="FAIL",0,""))))</f>
        <v/>
      </c>
      <c r="F75" s="7">
        <f>IF(E75="",0,C75*E75)</f>
        <v/>
      </c>
      <c r="G75" s="7">
        <f>IF(B75="I1",20*AVERAGEIF('QA_Images'!$A$2:$A$63,A75,'QA_Images'!$S$2:$S$63)/100,IF(D75="NOT_CHECKED",0,C75))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["evidence_batch_013_127", "https://jeminise.com/products/custom-wildlife-wolf-head-close-up-portrait-comforter-3233b9edb7-3233b9edb7"]</t>
        </is>
      </c>
      <c r="J75" s="3" t="inlineStr">
        <is>
          <t>[]</t>
        </is>
      </c>
    </row>
    <row r="76" ht="42" customHeight="1">
      <c r="A76" s="2" t="inlineStr">
        <is>
          <t>jeminise.com+custom-wildlife-wolf-head-close-up-portrait-comforter-3233b9edb7-3233b9edb7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IF(B76="I1",AVERAGEIF('QA_Images'!$A$2:$A$63,A76,'QA_Images'!$R$2:$R$63)/100,IF(D76="FULL",1,IF(D76="PARTIAL",0.5,IF(D76="FAIL",0,""))))</f>
        <v/>
      </c>
      <c r="F76" s="5">
        <f>IF(E76="",0,C76*E76)</f>
        <v/>
      </c>
      <c r="G76" s="5">
        <f>IF(B76="I1",20*AVERAGEIF('QA_Images'!$A$2:$A$63,A76,'QA_Images'!$S$2:$S$63)/100,IF(D76="NOT_CHECKED",0,C76))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["evidence_batch_013_127", "https://jeminise.com/products/custom-wildlife-wolf-head-close-up-portrait-comforter-3233b9edb7-3233b9edb7"]</t>
        </is>
      </c>
      <c r="J76" s="2" t="inlineStr">
        <is>
          <t>["B13R4-MIN-007"]</t>
        </is>
      </c>
    </row>
    <row r="77" ht="42" customHeight="1">
      <c r="A77" s="3" t="inlineStr">
        <is>
          <t>jeminise.com+custom-wildlife-wolf-head-close-up-portrait-comforter-3233b9edb7-3233b9edb7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IF(B77="I1",AVERAGEIF('QA_Images'!$A$2:$A$63,A77,'QA_Images'!$R$2:$R$63)/100,IF(D77="FULL",1,IF(D77="PARTIAL",0.5,IF(D77="FAIL",0,""))))</f>
        <v/>
      </c>
      <c r="F77" s="7">
        <f>IF(E77="",0,C77*E77)</f>
        <v/>
      </c>
      <c r="G77" s="7">
        <f>IF(B77="I1",20*AVERAGEIF('QA_Images'!$A$2:$A$63,A77,'QA_Images'!$S$2:$S$63)/100,IF(D77="NOT_CHECKED",0,C77))</f>
        <v/>
      </c>
      <c r="H77" s="3" t="inlineStr">
        <is>
          <t>Derived from 5 QA_Images rows for this product; average image score 100/100.</t>
        </is>
      </c>
      <c r="I77" s="3" t="inlineStr">
        <is>
          <t>["QA_Images", "evidence_batch_013_127"]</t>
        </is>
      </c>
      <c r="J77" s="3" t="inlineStr">
        <is>
          <t>[]</t>
        </is>
      </c>
    </row>
    <row r="78" ht="42" customHeight="1">
      <c r="A78" s="2" t="inlineStr">
        <is>
          <t>jeminise.com+custom-wildlife-wolf-head-close-up-portrait-comforter-3233b9edb7-3233b9edb7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IF(B78="I1",AVERAGEIF('QA_Images'!$A$2:$A$63,A78,'QA_Images'!$R$2:$R$63)/100,IF(D78="FULL",1,IF(D78="PARTIAL",0.5,IF(D78="FAIL",0,""))))</f>
        <v/>
      </c>
      <c r="F78" s="5">
        <f>IF(E78="",0,C78*E78)</f>
        <v/>
      </c>
      <c r="G78" s="5">
        <f>IF(B78="I1",20*AVERAGEIF('QA_Images'!$A$2:$A$63,A78,'QA_Images'!$S$2:$S$63)/100,IF(D78="NOT_CHECKED",0,C78))</f>
        <v/>
      </c>
      <c r="H78" s="2" t="inlineStr">
        <is>
          <t>FULL: product key, handle, links and scoped evidence are consistent; row-level r3 labels are recorded separately as a traceability limitation.</t>
        </is>
      </c>
      <c r="I78" s="2" t="inlineStr">
        <is>
          <t>["evidence_batch_013_127", "https://jeminise.com/products/custom-wildlife-wolf-head-close-up-portrait-comforter-3233b9edb7-3233b9edb7"]</t>
        </is>
      </c>
      <c r="J78" s="2" t="inlineStr">
        <is>
          <t>[]</t>
        </is>
      </c>
    </row>
    <row r="79" ht="42" customHeight="1">
      <c r="A79" s="3" t="inlineStr">
        <is>
          <t>jeminise.com+custom-wildlife-wolf-head-close-up-with-geometric-comforter-f005bbb79d-f005bbb79d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IF(B79="I1",AVERAGEIF('QA_Images'!$A$2:$A$63,A79,'QA_Images'!$R$2:$R$63)/100,IF(D79="FULL",1,IF(D79="PARTIAL",0.5,IF(D79="FAIL",0,""))))</f>
        <v/>
      </c>
      <c r="F79" s="7">
        <f>IF(E79="",0,C79*E79)</f>
        <v/>
      </c>
      <c r="G79" s="7">
        <f>IF(B79="I1",20*AVERAGEIF('QA_Images'!$A$2:$A$63,A79,'QA_Images'!$S$2:$S$63)/100,IF(D79="NOT_CHECKED",0,C79))</f>
        <v/>
      </c>
      <c r="H79" s="3" t="inlineStr">
        <is>
          <t>FULL: source workbook, product JSON and direct image checks support the product identity; verified motif: geometric wolf head quilt set with wolf portrait and geometric accents.</t>
        </is>
      </c>
      <c r="I79" s="3" t="inlineStr">
        <is>
          <t>["evidence_batch_013_128", "https://jeminise.com/products/custom-wildlife-wolf-head-close-up-with-geometric-comforter-f005bbb79d-f005bbb79d"]</t>
        </is>
      </c>
      <c r="J79" s="3" t="inlineStr">
        <is>
          <t>[]</t>
        </is>
      </c>
    </row>
    <row r="80" ht="42" customHeight="1">
      <c r="A80" s="2" t="inlineStr">
        <is>
          <t>jeminise.com+custom-wildlife-wolf-head-close-up-with-geometric-comforter-f005bbb79d-f005bbb79d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IF(B80="I1",AVERAGEIF('QA_Images'!$A$2:$A$63,A80,'QA_Images'!$R$2:$R$63)/100,IF(D80="FULL",1,IF(D80="PARTIAL",0.5,IF(D80="FAIL",0,""))))</f>
        <v/>
      </c>
      <c r="F80" s="5">
        <f>IF(E80="",0,C80*E80)</f>
        <v/>
      </c>
      <c r="G80" s="5">
        <f>IF(B80="I1",20*AVERAGEIF('QA_Images'!$A$2:$A$63,A80,'QA_Images'!$S$2:$S$63)/100,IF(D80="NOT_CHECKED",0,C80))</f>
        <v/>
      </c>
      <c r="H80" s="2" t="inlineStr">
        <is>
          <t>FULL: product type/options/personalization were checked against live JSON, admin export and customizer audit: customizer root present without extracted controls.</t>
        </is>
      </c>
      <c r="I80" s="2" t="inlineStr">
        <is>
          <t>["evidence_batch_013_128", "https://jeminise.com/products/custom-wildlife-wolf-head-close-up-with-geometric-comforter-f005bbb79d-f005bbb79d",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jeminise.com+custom-wildlife-wolf-head-close-up-with-geometric-comforter-f005bbb79d-f005bbb79d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IF(B81="I1",AVERAGEIF('QA_Images'!$A$2:$A$63,A81,'QA_Images'!$R$2:$R$63)/100,IF(D81="FULL",1,IF(D81="PARTIAL",0.5,IF(D81="FAIL",0,""))))</f>
        <v/>
      </c>
      <c r="F81" s="7">
        <f>IF(E81="",0,C81*E81)</f>
        <v/>
      </c>
      <c r="G81" s="7">
        <f>IF(B81="I1",20*AVERAGEIF('QA_Images'!$A$2:$A$63,A81,'QA_Images'!$S$2:$S$63)/100,IF(D81="NOT_CHECKED",0,C81))</f>
        <v/>
      </c>
      <c r="H81" s="3" t="inlineStr">
        <is>
          <t>PARTIAL: primary keyword 'geometric wolf head quilt set' was checked against this product's own US/English SERP; partial means the exact phrase is niche or sample-name driven.</t>
        </is>
      </c>
      <c r="I81" s="3" t="inlineStr">
        <is>
          <t>["evidence_batch_013_128", "https://jeminise.com/products/custom-wildlife-wolf-head-close-up-with-geometric-comforter-f005bbb79d-f005bbb79d", "serp_qa_batch_013_r4_128_1", "serp_qa_batch_013_r4_128_2"]</t>
        </is>
      </c>
      <c r="J81" s="3" t="inlineStr">
        <is>
          <t>["B13R4-MIN-008"]</t>
        </is>
      </c>
    </row>
    <row r="82" ht="42" customHeight="1">
      <c r="A82" s="2" t="inlineStr">
        <is>
          <t>jeminise.com+custom-wildlife-wolf-head-close-up-with-geometric-comforter-f005bbb79d-f005bbb79d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IF(B82="I1",AVERAGEIF('QA_Images'!$A$2:$A$63,A82,'QA_Images'!$R$2:$R$63)/100,IF(D82="FULL",1,IF(D82="PARTIAL",0.5,IF(D82="FAIL",0,""))))</f>
        <v/>
      </c>
      <c r="F82" s="5">
        <f>IF(E82="",0,C82*E82)</f>
        <v/>
      </c>
      <c r="G82" s="5">
        <f>IF(B82="I1",20*AVERAGEIF('QA_Images'!$A$2:$A$63,A82,'QA_Images'!$S$2:$S$63)/100,IF(D82="NOT_CHECKED",0,C82))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["evidence_batch_013_128", "https://jeminise.com/products/custom-wildlife-wolf-head-close-up-with-geometric-comforter-f005bbb79d-f005bbb79d", "serp_qa_batch_013_r4_128_1", "serp_qa_batch_013_r4_128_2"]</t>
        </is>
      </c>
      <c r="J82" s="2" t="inlineStr">
        <is>
          <t>["B13R4-MIN-008"]</t>
        </is>
      </c>
    </row>
    <row r="83" ht="42" customHeight="1">
      <c r="A83" s="3" t="inlineStr">
        <is>
          <t>jeminise.com+custom-wildlife-wolf-head-close-up-with-geometric-comforter-f005bbb79d-f005bbb79d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IF(B83="I1",AVERAGEIF('QA_Images'!$A$2:$A$63,A83,'QA_Images'!$R$2:$R$63)/100,IF(D83="FULL",1,IF(D83="PARTIAL",0.5,IF(D83="FAIL",0,""))))</f>
        <v/>
      </c>
      <c r="F83" s="7">
        <f>IF(E83="",0,C83*E83)</f>
        <v/>
      </c>
      <c r="G83" s="7">
        <f>IF(B83="I1",20*AVERAGEIF('QA_Images'!$A$2:$A$63,A83,'QA_Images'!$S$2:$S$63)/100,IF(D83="NOT_CHECKED",0,C83))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["evidence_batch_013_128", "https://jeminise.com/products/custom-wildlife-wolf-head-close-up-with-geometric-comforter-f005bbb79d-f005bbb79d", "serp_qa_batch_013_r4_128_1", "serp_qa_batch_013_r4_128_2"]</t>
        </is>
      </c>
      <c r="J83" s="3" t="inlineStr">
        <is>
          <t>[]</t>
        </is>
      </c>
    </row>
    <row r="84" ht="42" customHeight="1">
      <c r="A84" s="2" t="inlineStr">
        <is>
          <t>jeminise.com+custom-wildlife-wolf-head-close-up-with-geometric-comforter-f005bbb79d-f005bbb79d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IF(B84="I1",AVERAGEIF('QA_Images'!$A$2:$A$63,A84,'QA_Images'!$R$2:$R$63)/100,IF(D84="FULL",1,IF(D84="PARTIAL",0.5,IF(D84="FAIL",0,""))))</f>
        <v/>
      </c>
      <c r="F84" s="5">
        <f>IF(E84="",0,C84*E84)</f>
        <v/>
      </c>
      <c r="G84" s="5">
        <f>IF(B84="I1",20*AVERAGEIF('QA_Images'!$A$2:$A$63,A84,'QA_Images'!$S$2:$S$63)/100,IF(D84="NOT_CHECKED",0,C84))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["evidence_batch_013_128", "https://jeminise.com/products/custom-wildlife-wolf-head-close-up-with-geometric-comforter-f005bbb79d-f005bbb79d"]</t>
        </is>
      </c>
      <c r="J84" s="2" t="inlineStr">
        <is>
          <t>[]</t>
        </is>
      </c>
    </row>
    <row r="85" ht="42" customHeight="1">
      <c r="A85" s="3" t="inlineStr">
        <is>
          <t>jeminise.com+custom-wildlife-wolf-head-close-up-with-geometric-comforter-f005bbb79d-f005bbb79d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IF(B85="I1",AVERAGEIF('QA_Images'!$A$2:$A$63,A85,'QA_Images'!$R$2:$R$63)/100,IF(D85="FULL",1,IF(D85="PARTIAL",0.5,IF(D85="FAIL",0,""))))</f>
        <v/>
      </c>
      <c r="F85" s="7">
        <f>IF(E85="",0,C85*E85)</f>
        <v/>
      </c>
      <c r="G85" s="7">
        <f>IF(B85="I1",20*AVERAGEIF('QA_Images'!$A$2:$A$63,A85,'QA_Images'!$S$2:$S$63)/100,IF(D85="NOT_CHECKED",0,C85))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["evidence_batch_013_128", "https://jeminise.com/products/custom-wildlife-wolf-head-close-up-with-geometric-comforter-f005bbb79d-f005bbb79d"]</t>
        </is>
      </c>
      <c r="J85" s="3" t="inlineStr">
        <is>
          <t>[]</t>
        </is>
      </c>
    </row>
    <row r="86" ht="42" customHeight="1">
      <c r="A86" s="2" t="inlineStr">
        <is>
          <t>jeminise.com+custom-wildlife-wolf-head-close-up-with-geometric-comforter-f005bbb79d-f005bbb79d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IF(B86="I1",AVERAGEIF('QA_Images'!$A$2:$A$63,A86,'QA_Images'!$R$2:$R$63)/100,IF(D86="FULL",1,IF(D86="PARTIAL",0.5,IF(D86="FAIL",0,""))))</f>
        <v/>
      </c>
      <c r="F86" s="5">
        <f>IF(E86="",0,C86*E86)</f>
        <v/>
      </c>
      <c r="G86" s="5">
        <f>IF(B86="I1",20*AVERAGEIF('QA_Images'!$A$2:$A$63,A86,'QA_Images'!$S$2:$S$63)/100,IF(D86="NOT_CHECKED",0,C86))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["evidence_batch_013_128", "https://jeminise.com/products/custom-wildlife-wolf-head-close-up-with-geometric-comforter-f005bbb79d-f005bbb79d"]</t>
        </is>
      </c>
      <c r="J86" s="2" t="inlineStr">
        <is>
          <t>[]</t>
        </is>
      </c>
    </row>
    <row r="87" ht="42" customHeight="1">
      <c r="A87" s="3" t="inlineStr">
        <is>
          <t>jeminise.com+custom-wildlife-wolf-head-close-up-with-geometric-comforter-f005bbb79d-f005bbb79d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IF(B87="I1",AVERAGEIF('QA_Images'!$A$2:$A$63,A87,'QA_Images'!$R$2:$R$63)/100,IF(D87="FULL",1,IF(D87="PARTIAL",0.5,IF(D87="FAIL",0,""))))</f>
        <v/>
      </c>
      <c r="F87" s="7">
        <f>IF(E87="",0,C87*E87)</f>
        <v/>
      </c>
      <c r="G87" s="7">
        <f>IF(B87="I1",20*AVERAGEIF('QA_Images'!$A$2:$A$63,A87,'QA_Images'!$S$2:$S$63)/100,IF(D87="NOT_CHECKED",0,C87))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["evidence_batch_013_128", "https://jeminise.com/products/custom-wildlife-wolf-head-close-up-with-geometric-comforter-f005bbb79d-f005bbb79d"]</t>
        </is>
      </c>
      <c r="J87" s="3" t="inlineStr">
        <is>
          <t>["B13R4-MIN-008"]</t>
        </is>
      </c>
    </row>
    <row r="88" ht="42" customHeight="1">
      <c r="A88" s="2" t="inlineStr">
        <is>
          <t>jeminise.com+custom-wildlife-wolf-head-close-up-with-geometric-comforter-f005bbb79d-f005bbb79d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IF(B88="I1",AVERAGEIF('QA_Images'!$A$2:$A$63,A88,'QA_Images'!$R$2:$R$63)/100,IF(D88="FULL",1,IF(D88="PARTIAL",0.5,IF(D88="FAIL",0,""))))</f>
        <v/>
      </c>
      <c r="F88" s="5">
        <f>IF(E88="",0,C88*E88)</f>
        <v/>
      </c>
      <c r="G88" s="5">
        <f>IF(B88="I1",20*AVERAGEIF('QA_Images'!$A$2:$A$63,A88,'QA_Images'!$S$2:$S$63)/100,IF(D88="NOT_CHECKED",0,C88))</f>
        <v/>
      </c>
      <c r="H88" s="2" t="inlineStr">
        <is>
          <t>Derived from 5 QA_Images rows for this product; average image score 100/100.</t>
        </is>
      </c>
      <c r="I88" s="2" t="inlineStr">
        <is>
          <t>["QA_Images", "evidence_batch_013_128"]</t>
        </is>
      </c>
      <c r="J88" s="2" t="inlineStr">
        <is>
          <t>[]</t>
        </is>
      </c>
    </row>
    <row r="89" ht="42" customHeight="1">
      <c r="A89" s="3" t="inlineStr">
        <is>
          <t>jeminise.com+custom-wildlife-wolf-head-close-up-with-geometric-comforter-f005bbb79d-f005bbb79d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IF(B89="I1",AVERAGEIF('QA_Images'!$A$2:$A$63,A89,'QA_Images'!$R$2:$R$63)/100,IF(D89="FULL",1,IF(D89="PARTIAL",0.5,IF(D89="FAIL",0,""))))</f>
        <v/>
      </c>
      <c r="F89" s="7">
        <f>IF(E89="",0,C89*E89)</f>
        <v/>
      </c>
      <c r="G89" s="7">
        <f>IF(B89="I1",20*AVERAGEIF('QA_Images'!$A$2:$A$63,A89,'QA_Images'!$S$2:$S$63)/100,IF(D89="NOT_CHECKED",0,C89))</f>
        <v/>
      </c>
      <c r="H89" s="3" t="inlineStr">
        <is>
          <t>FULL: product key, handle, links and scoped evidence are consistent; row-level r3 labels are recorded separately as a traceability limitation.</t>
        </is>
      </c>
      <c r="I89" s="3" t="inlineStr">
        <is>
          <t>["evidence_batch_013_128", "https://jeminise.com/products/custom-wildlife-wolf-head-close-up-with-geometric-comforter-f005bbb79d-f005bbb79d"]</t>
        </is>
      </c>
      <c r="J89" s="3" t="inlineStr">
        <is>
          <t>[]</t>
        </is>
      </c>
    </row>
    <row r="90" ht="42" customHeight="1">
      <c r="A90" s="2" t="inlineStr">
        <is>
          <t>jeminise.com+custom-wildlife-wolf-head-with-feathers-in-profile-comforter-0b1ab59a17-0b1ab59a17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IF(B90="I1",AVERAGEIF('QA_Images'!$A$2:$A$63,A90,'QA_Images'!$R$2:$R$63)/100,IF(D90="FULL",1,IF(D90="PARTIAL",0.5,IF(D90="FAIL",0,""))))</f>
        <v/>
      </c>
      <c r="F90" s="5">
        <f>IF(E90="",0,C90*E90)</f>
        <v/>
      </c>
      <c r="G90" s="5">
        <f>IF(B90="I1",20*AVERAGEIF('QA_Images'!$A$2:$A$63,A90,'QA_Images'!$S$2:$S$63)/100,IF(D90="NOT_CHECKED",0,C90))</f>
        <v/>
      </c>
      <c r="H90" s="2" t="inlineStr">
        <is>
          <t>FULL: source workbook, product JSON and direct image checks support the product identity; verified motif: profile wolf feathers quilt set with side-profile wolf and feather motif.</t>
        </is>
      </c>
      <c r="I90" s="2" t="inlineStr">
        <is>
          <t>["evidence_batch_013_129", "https://jeminise.com/products/custom-wildlife-wolf-head-with-feathers-in-profile-comforter-0b1ab59a17-0b1ab59a17"]</t>
        </is>
      </c>
      <c r="J90" s="2" t="inlineStr">
        <is>
          <t>[]</t>
        </is>
      </c>
    </row>
    <row r="91" ht="42" customHeight="1">
      <c r="A91" s="3" t="inlineStr">
        <is>
          <t>jeminise.com+custom-wildlife-wolf-head-with-feathers-in-profile-comforter-0b1ab59a17-0b1ab59a17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IF(B91="I1",AVERAGEIF('QA_Images'!$A$2:$A$63,A91,'QA_Images'!$R$2:$R$63)/100,IF(D91="FULL",1,IF(D91="PARTIAL",0.5,IF(D91="FAIL",0,""))))</f>
        <v/>
      </c>
      <c r="F91" s="7">
        <f>IF(E91="",0,C91*E91)</f>
        <v/>
      </c>
      <c r="G91" s="7">
        <f>IF(B91="I1",20*AVERAGEIF('QA_Images'!$A$2:$A$63,A91,'QA_Images'!$S$2:$S$63)/100,IF(D91="NOT_CHECKED",0,C91))</f>
        <v/>
      </c>
      <c r="H91" s="3" t="inlineStr">
        <is>
          <t>FULL: product type/options/personalization were checked against live JSON, admin export and customizer audit: customizer root present without extracted controls.</t>
        </is>
      </c>
      <c r="I91" s="3" t="inlineStr">
        <is>
          <t>["evidence_batch_013_129", "https://jeminise.com/products/custom-wildlife-wolf-head-with-feathers-in-profile-comforter-0b1ab59a17-0b1ab59a17",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jeminise.com+custom-wildlife-wolf-head-with-feathers-in-profile-comforter-0b1ab59a17-0b1ab59a17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IF(B92="I1",AVERAGEIF('QA_Images'!$A$2:$A$63,A92,'QA_Images'!$R$2:$R$63)/100,IF(D92="FULL",1,IF(D92="PARTIAL",0.5,IF(D92="FAIL",0,""))))</f>
        <v/>
      </c>
      <c r="F92" s="5">
        <f>IF(E92="",0,C92*E92)</f>
        <v/>
      </c>
      <c r="G92" s="5">
        <f>IF(B92="I1",20*AVERAGEIF('QA_Images'!$A$2:$A$63,A92,'QA_Images'!$S$2:$S$63)/100,IF(D92="NOT_CHECKED",0,C92))</f>
        <v/>
      </c>
      <c r="H92" s="2" t="inlineStr">
        <is>
          <t>PARTIAL: primary keyword 'profile wolf feathers quilt set' was checked against this product's own US/English SERP; partial means the exact phrase is niche or sample-name driven.</t>
        </is>
      </c>
      <c r="I92" s="2" t="inlineStr">
        <is>
          <t>["evidence_batch_013_129", "https://jeminise.com/products/custom-wildlife-wolf-head-with-feathers-in-profile-comforter-0b1ab59a17-0b1ab59a17", "serp_qa_batch_013_r4_129_1", "serp_qa_batch_013_r4_129_2"]</t>
        </is>
      </c>
      <c r="J92" s="2" t="inlineStr">
        <is>
          <t>["B13R4-MIN-009"]</t>
        </is>
      </c>
    </row>
    <row r="93" ht="42" customHeight="1">
      <c r="A93" s="3" t="inlineStr">
        <is>
          <t>jeminise.com+custom-wildlife-wolf-head-with-feathers-in-profile-comforter-0b1ab59a17-0b1ab59a17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IF(B93="I1",AVERAGEIF('QA_Images'!$A$2:$A$63,A93,'QA_Images'!$R$2:$R$63)/100,IF(D93="FULL",1,IF(D93="PARTIAL",0.5,IF(D93="FAIL",0,""))))</f>
        <v/>
      </c>
      <c r="F93" s="7">
        <f>IF(E93="",0,C93*E93)</f>
        <v/>
      </c>
      <c r="G93" s="7">
        <f>IF(B93="I1",20*AVERAGEIF('QA_Images'!$A$2:$A$63,A93,'QA_Images'!$S$2:$S$63)/100,IF(D93="NOT_CHECKED",0,C93))</f>
        <v/>
      </c>
      <c r="H93" s="3" t="inlineStr">
        <is>
          <t>PARTIAL: comparator query confirms commercial product intent; partial means results broaden beyond this exact motif/product type.</t>
        </is>
      </c>
      <c r="I93" s="3" t="inlineStr">
        <is>
          <t>["evidence_batch_013_129", "https://jeminise.com/products/custom-wildlife-wolf-head-with-feathers-in-profile-comforter-0b1ab59a17-0b1ab59a17", "serp_qa_batch_013_r4_129_1", "serp_qa_batch_013_r4_129_2"]</t>
        </is>
      </c>
      <c r="J93" s="3" t="inlineStr">
        <is>
          <t>["B13R4-MIN-009"]</t>
        </is>
      </c>
    </row>
    <row r="94" ht="42" customHeight="1">
      <c r="A94" s="2" t="inlineStr">
        <is>
          <t>jeminise.com+custom-wildlife-wolf-head-with-feathers-in-profile-comforter-0b1ab59a17-0b1ab59a17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IF(B94="I1",AVERAGEIF('QA_Images'!$A$2:$A$63,A94,'QA_Images'!$R$2:$R$63)/100,IF(D94="FULL",1,IF(D94="PARTIAL",0.5,IF(D94="FAIL",0,""))))</f>
        <v/>
      </c>
      <c r="F94" s="5">
        <f>IF(E94="",0,C94*E94)</f>
        <v/>
      </c>
      <c r="G94" s="5">
        <f>IF(B94="I1",20*AVERAGEIF('QA_Images'!$A$2:$A$63,A94,'QA_Images'!$S$2:$S$63)/100,IF(D94="NOT_CHECKED",0,C94))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["evidence_batch_013_129", "https://jeminise.com/products/custom-wildlife-wolf-head-with-feathers-in-profile-comforter-0b1ab59a17-0b1ab59a17", "serp_qa_batch_013_r4_129_1", "serp_qa_batch_013_r4_129_2"]</t>
        </is>
      </c>
      <c r="J94" s="2" t="inlineStr">
        <is>
          <t>[]</t>
        </is>
      </c>
    </row>
    <row r="95" ht="42" customHeight="1">
      <c r="A95" s="3" t="inlineStr">
        <is>
          <t>jeminise.com+custom-wildlife-wolf-head-with-feathers-in-profile-comforter-0b1ab59a17-0b1ab59a17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IF(B95="I1",AVERAGEIF('QA_Images'!$A$2:$A$63,A95,'QA_Images'!$R$2:$R$63)/100,IF(D95="FULL",1,IF(D95="PARTIAL",0.5,IF(D95="FAIL",0,""))))</f>
        <v/>
      </c>
      <c r="F95" s="7">
        <f>IF(E95="",0,C95*E95)</f>
        <v/>
      </c>
      <c r="G95" s="7">
        <f>IF(B95="I1",20*AVERAGEIF('QA_Images'!$A$2:$A$63,A95,'QA_Images'!$S$2:$S$63)/100,IF(D95="NOT_CHECKED",0,C95))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["evidence_batch_013_129", "https://jeminise.com/products/custom-wildlife-wolf-head-with-feathers-in-profile-comforter-0b1ab59a17-0b1ab59a17"]</t>
        </is>
      </c>
      <c r="J95" s="3" t="inlineStr">
        <is>
          <t>[]</t>
        </is>
      </c>
    </row>
    <row r="96" ht="42" customHeight="1">
      <c r="A96" s="2" t="inlineStr">
        <is>
          <t>jeminise.com+custom-wildlife-wolf-head-with-feathers-in-profile-comforter-0b1ab59a17-0b1ab59a17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IF(B96="I1",AVERAGEIF('QA_Images'!$A$2:$A$63,A96,'QA_Images'!$R$2:$R$63)/100,IF(D96="FULL",1,IF(D96="PARTIAL",0.5,IF(D96="FAIL",0,""))))</f>
        <v/>
      </c>
      <c r="F96" s="5">
        <f>IF(E96="",0,C96*E96)</f>
        <v/>
      </c>
      <c r="G96" s="5">
        <f>IF(B96="I1",20*AVERAGEIF('QA_Images'!$A$2:$A$63,A96,'QA_Images'!$S$2:$S$63)/100,IF(D96="NOT_CHECKED",0,C96))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["evidence_batch_013_129", "https://jeminise.com/products/custom-wildlife-wolf-head-with-feathers-in-profile-comforter-0b1ab59a17-0b1ab59a17"]</t>
        </is>
      </c>
      <c r="J96" s="2" t="inlineStr">
        <is>
          <t>[]</t>
        </is>
      </c>
    </row>
    <row r="97" ht="42" customHeight="1">
      <c r="A97" s="3" t="inlineStr">
        <is>
          <t>jeminise.com+custom-wildlife-wolf-head-with-feathers-in-profile-comforter-0b1ab59a17-0b1ab59a17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IF(B97="I1",AVERAGEIF('QA_Images'!$A$2:$A$63,A97,'QA_Images'!$R$2:$R$63)/100,IF(D97="FULL",1,IF(D97="PARTIAL",0.5,IF(D97="FAIL",0,""))))</f>
        <v/>
      </c>
      <c r="F97" s="7">
        <f>IF(E97="",0,C97*E97)</f>
        <v/>
      </c>
      <c r="G97" s="7">
        <f>IF(B97="I1",20*AVERAGEIF('QA_Images'!$A$2:$A$63,A97,'QA_Images'!$S$2:$S$63)/100,IF(D97="NOT_CHECKED",0,C97))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["evidence_batch_013_129", "https://jeminise.com/products/custom-wildlife-wolf-head-with-feathers-in-profile-comforter-0b1ab59a17-0b1ab59a17"]</t>
        </is>
      </c>
      <c r="J97" s="3" t="inlineStr">
        <is>
          <t>[]</t>
        </is>
      </c>
    </row>
    <row r="98" ht="42" customHeight="1">
      <c r="A98" s="2" t="inlineStr">
        <is>
          <t>jeminise.com+custom-wildlife-wolf-head-with-feathers-in-profile-comforter-0b1ab59a17-0b1ab59a17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IF(B98="I1",AVERAGEIF('QA_Images'!$A$2:$A$63,A98,'QA_Images'!$R$2:$R$63)/100,IF(D98="FULL",1,IF(D98="PARTIAL",0.5,IF(D98="FAIL",0,""))))</f>
        <v/>
      </c>
      <c r="F98" s="5">
        <f>IF(E98="",0,C98*E98)</f>
        <v/>
      </c>
      <c r="G98" s="5">
        <f>IF(B98="I1",20*AVERAGEIF('QA_Images'!$A$2:$A$63,A98,'QA_Images'!$S$2:$S$63)/100,IF(D98="NOT_CHECKED",0,C98))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["evidence_batch_013_129", "https://jeminise.com/products/custom-wildlife-wolf-head-with-feathers-in-profile-comforter-0b1ab59a17-0b1ab59a17"]</t>
        </is>
      </c>
      <c r="J98" s="2" t="inlineStr">
        <is>
          <t>["B13R4-MIN-009"]</t>
        </is>
      </c>
    </row>
    <row r="99" ht="42" customHeight="1">
      <c r="A99" s="3" t="inlineStr">
        <is>
          <t>jeminise.com+custom-wildlife-wolf-head-with-feathers-in-profile-comforter-0b1ab59a17-0b1ab59a17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IF(B99="I1",AVERAGEIF('QA_Images'!$A$2:$A$63,A99,'QA_Images'!$R$2:$R$63)/100,IF(D99="FULL",1,IF(D99="PARTIAL",0.5,IF(D99="FAIL",0,""))))</f>
        <v/>
      </c>
      <c r="F99" s="7">
        <f>IF(E99="",0,C99*E99)</f>
        <v/>
      </c>
      <c r="G99" s="7">
        <f>IF(B99="I1",20*AVERAGEIF('QA_Images'!$A$2:$A$63,A99,'QA_Images'!$S$2:$S$63)/100,IF(D99="NOT_CHECKED",0,C99))</f>
        <v/>
      </c>
      <c r="H99" s="3" t="inlineStr">
        <is>
          <t>Derived from 5 QA_Images rows for this product; average image score 100/100.</t>
        </is>
      </c>
      <c r="I99" s="3" t="inlineStr">
        <is>
          <t>["QA_Images", "evidence_batch_013_129"]</t>
        </is>
      </c>
      <c r="J99" s="3" t="inlineStr">
        <is>
          <t>[]</t>
        </is>
      </c>
    </row>
    <row r="100" ht="42" customHeight="1">
      <c r="A100" s="2" t="inlineStr">
        <is>
          <t>jeminise.com+custom-wildlife-wolf-head-with-feathers-in-profile-comforter-0b1ab59a17-0b1ab59a17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IF(B100="I1",AVERAGEIF('QA_Images'!$A$2:$A$63,A100,'QA_Images'!$R$2:$R$63)/100,IF(D100="FULL",1,IF(D100="PARTIAL",0.5,IF(D100="FAIL",0,""))))</f>
        <v/>
      </c>
      <c r="F100" s="5">
        <f>IF(E100="",0,C100*E100)</f>
        <v/>
      </c>
      <c r="G100" s="5">
        <f>IF(B100="I1",20*AVERAGEIF('QA_Images'!$A$2:$A$63,A100,'QA_Images'!$S$2:$S$63)/100,IF(D100="NOT_CHECKED",0,C100))</f>
        <v/>
      </c>
      <c r="H100" s="2" t="inlineStr">
        <is>
          <t>FULL: product key, handle, links and scoped evidence are consistent; row-level r3 labels are recorded separately as a traceability limitation.</t>
        </is>
      </c>
      <c r="I100" s="2" t="inlineStr">
        <is>
          <t>["evidence_batch_013_129", "https://jeminise.com/products/custom-wildlife-wolf-head-with-feathers-in-profile-comforter-0b1ab59a17-0b1ab59a17"]</t>
        </is>
      </c>
      <c r="J100" s="2" t="inlineStr">
        <is>
          <t>[]</t>
        </is>
      </c>
    </row>
    <row r="101" ht="42" customHeight="1">
      <c r="A101" s="3" t="inlineStr">
        <is>
          <t>jeminise.com+custom-wolf-head-centered-in-dreamcatcher-comforter-be6b37a3e1-be6b37a3e1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IF(B101="I1",AVERAGEIF('QA_Images'!$A$2:$A$63,A101,'QA_Images'!$R$2:$R$63)/100,IF(D101="FULL",1,IF(D101="PARTIAL",0.5,IF(D101="FAIL",0,""))))</f>
        <v/>
      </c>
      <c r="F101" s="7">
        <f>IF(E101="",0,C101*E101)</f>
        <v/>
      </c>
      <c r="G101" s="7">
        <f>IF(B101="I1",20*AVERAGEIF('QA_Images'!$A$2:$A$63,A101,'QA_Images'!$S$2:$S$63)/100,IF(D101="NOT_CHECKED",0,C101))</f>
        <v/>
      </c>
      <c r="H101" s="3" t="inlineStr">
        <is>
          <t>FULL: source workbook, product JSON and direct image checks support the product identity; verified motif: wolf dreamcatcher quilt set with centered wolf head inside dreamcatcher.</t>
        </is>
      </c>
      <c r="I101" s="3" t="inlineStr">
        <is>
          <t>["evidence_batch_013_130", "https://jeminise.com/products/custom-wolf-head-centered-in-dreamcatcher-comforter-be6b37a3e1-be6b37a3e1"]</t>
        </is>
      </c>
      <c r="J101" s="3" t="inlineStr">
        <is>
          <t>[]</t>
        </is>
      </c>
    </row>
    <row r="102" ht="42" customHeight="1">
      <c r="A102" s="2" t="inlineStr">
        <is>
          <t>jeminise.com+custom-wolf-head-centered-in-dreamcatcher-comforter-be6b37a3e1-be6b37a3e1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IF(B102="I1",AVERAGEIF('QA_Images'!$A$2:$A$63,A102,'QA_Images'!$R$2:$R$63)/100,IF(D102="FULL",1,IF(D102="PARTIAL",0.5,IF(D102="FAIL",0,""))))</f>
        <v/>
      </c>
      <c r="F102" s="5">
        <f>IF(E102="",0,C102*E102)</f>
        <v/>
      </c>
      <c r="G102" s="5">
        <f>IF(B102="I1",20*AVERAGEIF('QA_Images'!$A$2:$A$63,A102,'QA_Images'!$S$2:$S$63)/100,IF(D102="NOT_CHECKED",0,C102))</f>
        <v/>
      </c>
      <c r="H102" s="2" t="inlineStr">
        <is>
          <t>FULL: product type/options/personalization were checked against live JSON, admin export and customizer audit: customizer root present without extracted controls.</t>
        </is>
      </c>
      <c r="I102" s="2" t="inlineStr">
        <is>
          <t>["evidence_batch_013_130", "https://jeminise.com/products/custom-wolf-head-centered-in-dreamcatcher-comforter-be6b37a3e1-be6b37a3e1",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jeminise.com+custom-wolf-head-centered-in-dreamcatcher-comforter-be6b37a3e1-be6b37a3e1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IF(B103="I1",AVERAGEIF('QA_Images'!$A$2:$A$63,A103,'QA_Images'!$R$2:$R$63)/100,IF(D103="FULL",1,IF(D103="PARTIAL",0.5,IF(D103="FAIL",0,""))))</f>
        <v/>
      </c>
      <c r="F103" s="7">
        <f>IF(E103="",0,C103*E103)</f>
        <v/>
      </c>
      <c r="G103" s="7">
        <f>IF(B103="I1",20*AVERAGEIF('QA_Images'!$A$2:$A$63,A103,'QA_Images'!$S$2:$S$63)/100,IF(D103="NOT_CHECKED",0,C103))</f>
        <v/>
      </c>
      <c r="H103" s="3" t="inlineStr">
        <is>
          <t>FULL: primary keyword 'wolf dreamcatcher quilt set' was checked against this product's own US/English SERP; partial means the exact phrase is niche or sample-name driven.</t>
        </is>
      </c>
      <c r="I103" s="3" t="inlineStr">
        <is>
          <t>["evidence_batch_013_130", "https://jeminise.com/products/custom-wolf-head-centered-in-dreamcatcher-comforter-be6b37a3e1-be6b37a3e1", "serp_qa_batch_013_r4_130_1", "serp_qa_batch_013_r4_130_2"]</t>
        </is>
      </c>
      <c r="J103" s="3" t="inlineStr">
        <is>
          <t>["B13R4-MIN-010"]</t>
        </is>
      </c>
    </row>
    <row r="104" ht="42" customHeight="1">
      <c r="A104" s="2" t="inlineStr">
        <is>
          <t>jeminise.com+custom-wolf-head-centered-in-dreamcatcher-comforter-be6b37a3e1-be6b37a3e1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IF(B104="I1",AVERAGEIF('QA_Images'!$A$2:$A$63,A104,'QA_Images'!$R$2:$R$63)/100,IF(D104="FULL",1,IF(D104="PARTIAL",0.5,IF(D104="FAIL",0,""))))</f>
        <v/>
      </c>
      <c r="F104" s="5">
        <f>IF(E104="",0,C104*E104)</f>
        <v/>
      </c>
      <c r="G104" s="5">
        <f>IF(B104="I1",20*AVERAGEIF('QA_Images'!$A$2:$A$63,A104,'QA_Images'!$S$2:$S$63)/100,IF(D104="NOT_CHECKED",0,C104))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["evidence_batch_013_130", "https://jeminise.com/products/custom-wolf-head-centered-in-dreamcatcher-comforter-be6b37a3e1-be6b37a3e1", "serp_qa_batch_013_r4_130_1", "serp_qa_batch_013_r4_130_2"]</t>
        </is>
      </c>
      <c r="J104" s="2" t="inlineStr">
        <is>
          <t>["B13R4-MIN-010"]</t>
        </is>
      </c>
    </row>
    <row r="105" ht="42" customHeight="1">
      <c r="A105" s="3" t="inlineStr">
        <is>
          <t>jeminise.com+custom-wolf-head-centered-in-dreamcatcher-comforter-be6b37a3e1-be6b37a3e1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IF(B105="I1",AVERAGEIF('QA_Images'!$A$2:$A$63,A105,'QA_Images'!$R$2:$R$63)/100,IF(D105="FULL",1,IF(D105="PARTIAL",0.5,IF(D105="FAIL",0,""))))</f>
        <v/>
      </c>
      <c r="F105" s="7">
        <f>IF(E105="",0,C105*E105)</f>
        <v/>
      </c>
      <c r="G105" s="7">
        <f>IF(B105="I1",20*AVERAGEIF('QA_Images'!$A$2:$A$63,A105,'QA_Images'!$S$2:$S$63)/100,IF(D105="NOT_CHECKED",0,C105))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["evidence_batch_013_130", "https://jeminise.com/products/custom-wolf-head-centered-in-dreamcatcher-comforter-be6b37a3e1-be6b37a3e1", "serp_qa_batch_013_r4_130_1", "serp_qa_batch_013_r4_130_2"]</t>
        </is>
      </c>
      <c r="J105" s="3" t="inlineStr">
        <is>
          <t>[]</t>
        </is>
      </c>
    </row>
    <row r="106" ht="42" customHeight="1">
      <c r="A106" s="2" t="inlineStr">
        <is>
          <t>jeminise.com+custom-wolf-head-centered-in-dreamcatcher-comforter-be6b37a3e1-be6b37a3e1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IF(B106="I1",AVERAGEIF('QA_Images'!$A$2:$A$63,A106,'QA_Images'!$R$2:$R$63)/100,IF(D106="FULL",1,IF(D106="PARTIAL",0.5,IF(D106="FAIL",0,""))))</f>
        <v/>
      </c>
      <c r="F106" s="5">
        <f>IF(E106="",0,C106*E106)</f>
        <v/>
      </c>
      <c r="G106" s="5">
        <f>IF(B106="I1",20*AVERAGEIF('QA_Images'!$A$2:$A$63,A106,'QA_Images'!$S$2:$S$63)/100,IF(D106="NOT_CHECKED",0,C106))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["evidence_batch_013_130", "https://jeminise.com/products/custom-wolf-head-centered-in-dreamcatcher-comforter-be6b37a3e1-be6b37a3e1"]</t>
        </is>
      </c>
      <c r="J106" s="2" t="inlineStr">
        <is>
          <t>[]</t>
        </is>
      </c>
    </row>
    <row r="107" ht="42" customHeight="1">
      <c r="A107" s="3" t="inlineStr">
        <is>
          <t>jeminise.com+custom-wolf-head-centered-in-dreamcatcher-comforter-be6b37a3e1-be6b37a3e1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IF(B107="I1",AVERAGEIF('QA_Images'!$A$2:$A$63,A107,'QA_Images'!$R$2:$R$63)/100,IF(D107="FULL",1,IF(D107="PARTIAL",0.5,IF(D107="FAIL",0,""))))</f>
        <v/>
      </c>
      <c r="F107" s="7">
        <f>IF(E107="",0,C107*E107)</f>
        <v/>
      </c>
      <c r="G107" s="7">
        <f>IF(B107="I1",20*AVERAGEIF('QA_Images'!$A$2:$A$63,A107,'QA_Images'!$S$2:$S$63)/100,IF(D107="NOT_CHECKED",0,C107))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["evidence_batch_013_130", "https://jeminise.com/products/custom-wolf-head-centered-in-dreamcatcher-comforter-be6b37a3e1-be6b37a3e1"]</t>
        </is>
      </c>
      <c r="J107" s="3" t="inlineStr">
        <is>
          <t>[]</t>
        </is>
      </c>
    </row>
    <row r="108" ht="42" customHeight="1">
      <c r="A108" s="2" t="inlineStr">
        <is>
          <t>jeminise.com+custom-wolf-head-centered-in-dreamcatcher-comforter-be6b37a3e1-be6b37a3e1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IF(B108="I1",AVERAGEIF('QA_Images'!$A$2:$A$63,A108,'QA_Images'!$R$2:$R$63)/100,IF(D108="FULL",1,IF(D108="PARTIAL",0.5,IF(D108="FAIL",0,""))))</f>
        <v/>
      </c>
      <c r="F108" s="5">
        <f>IF(E108="",0,C108*E108)</f>
        <v/>
      </c>
      <c r="G108" s="5">
        <f>IF(B108="I1",20*AVERAGEIF('QA_Images'!$A$2:$A$63,A108,'QA_Images'!$S$2:$S$63)/100,IF(D108="NOT_CHECKED",0,C108))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["evidence_batch_013_130", "https://jeminise.com/products/custom-wolf-head-centered-in-dreamcatcher-comforter-be6b37a3e1-be6b37a3e1"]</t>
        </is>
      </c>
      <c r="J108" s="2" t="inlineStr">
        <is>
          <t>[]</t>
        </is>
      </c>
    </row>
    <row r="109" ht="42" customHeight="1">
      <c r="A109" s="3" t="inlineStr">
        <is>
          <t>jeminise.com+custom-wolf-head-centered-in-dreamcatcher-comforter-be6b37a3e1-be6b37a3e1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IF(B109="I1",AVERAGEIF('QA_Images'!$A$2:$A$63,A109,'QA_Images'!$R$2:$R$63)/100,IF(D109="FULL",1,IF(D109="PARTIAL",0.5,IF(D109="FAIL",0,""))))</f>
        <v/>
      </c>
      <c r="F109" s="7">
        <f>IF(E109="",0,C109*E109)</f>
        <v/>
      </c>
      <c r="G109" s="7">
        <f>IF(B109="I1",20*AVERAGEIF('QA_Images'!$A$2:$A$63,A109,'QA_Images'!$S$2:$S$63)/100,IF(D109="NOT_CHECKED",0,C109))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["evidence_batch_013_130", "https://jeminise.com/products/custom-wolf-head-centered-in-dreamcatcher-comforter-be6b37a3e1-be6b37a3e1"]</t>
        </is>
      </c>
      <c r="J109" s="3" t="inlineStr">
        <is>
          <t>["B13R4-MIN-010"]</t>
        </is>
      </c>
    </row>
    <row r="110" ht="42" customHeight="1">
      <c r="A110" s="2" t="inlineStr">
        <is>
          <t>jeminise.com+custom-wolf-head-centered-in-dreamcatcher-comforter-be6b37a3e1-be6b37a3e1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IF(B110="I1",AVERAGEIF('QA_Images'!$A$2:$A$63,A110,'QA_Images'!$R$2:$R$63)/100,IF(D110="FULL",1,IF(D110="PARTIAL",0.5,IF(D110="FAIL",0,""))))</f>
        <v/>
      </c>
      <c r="F110" s="5">
        <f>IF(E110="",0,C110*E110)</f>
        <v/>
      </c>
      <c r="G110" s="5">
        <f>IF(B110="I1",20*AVERAGEIF('QA_Images'!$A$2:$A$63,A110,'QA_Images'!$S$2:$S$63)/100,IF(D110="NOT_CHECKED",0,C110))</f>
        <v/>
      </c>
      <c r="H110" s="2" t="inlineStr">
        <is>
          <t>Derived from 5 QA_Images rows for this product; average image score 100/100.</t>
        </is>
      </c>
      <c r="I110" s="2" t="inlineStr">
        <is>
          <t>["QA_Images", "evidence_batch_013_130"]</t>
        </is>
      </c>
      <c r="J110" s="2" t="inlineStr">
        <is>
          <t>[]</t>
        </is>
      </c>
    </row>
    <row r="111" ht="42" customHeight="1">
      <c r="A111" s="3" t="inlineStr">
        <is>
          <t>jeminise.com+custom-wolf-head-centered-in-dreamcatcher-comforter-be6b37a3e1-be6b37a3e1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IF(B111="I1",AVERAGEIF('QA_Images'!$A$2:$A$63,A111,'QA_Images'!$R$2:$R$63)/100,IF(D111="FULL",1,IF(D111="PARTIAL",0.5,IF(D111="FAIL",0,""))))</f>
        <v/>
      </c>
      <c r="F111" s="7">
        <f>IF(E111="",0,C111*E111)</f>
        <v/>
      </c>
      <c r="G111" s="7">
        <f>IF(B111="I1",20*AVERAGEIF('QA_Images'!$A$2:$A$63,A111,'QA_Images'!$S$2:$S$63)/100,IF(D111="NOT_CHECKED",0,C111))</f>
        <v/>
      </c>
      <c r="H111" s="3" t="inlineStr">
        <is>
          <t>FULL: product key, handle, links and scoped evidence are consistent; row-level r3 labels are recorded separately as a traceability limitation.</t>
        </is>
      </c>
      <c r="I111" s="3" t="inlineStr">
        <is>
          <t>["evidence_batch_013_130", "https://jeminise.com/products/custom-wolf-head-centered-in-dreamcatcher-comforter-be6b37a3e1-be6b37a3e1"]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6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jeminise.com+custom-trucking-semi-truck-breaking-through-stone-wall-vintage-comforter-28a367022b-28a367022b</t>
        </is>
      </c>
      <c r="B2" s="2" t="inlineStr">
        <is>
          <t>qaimg_a2b6a6cacf5429cd</t>
        </is>
      </c>
      <c r="C2" s="4" t="inlineStr">
        <is>
          <t>https://cdn.shopify.com/s/files/1/0792/5098/1063/files/f9c2de4b8fca94491645b16f68b222a2a8f2c0f2c1c7ca965804ab9fdffa4100.jpg?v=1785132830</t>
        </is>
      </c>
      <c r="D2" s="4" t="inlineStr">
        <is>
          <t>https://cdn.shopify.com/s/files/1/0792/5098/1063/files/f9c2de4b8fca94491645b16f68b222a2a8f2c0f2c1c7ca965804ab9fdffa4100.jpg?v=1785132830</t>
        </is>
      </c>
      <c r="E2" s="2" t="inlineStr">
        <is>
          <t>47548740763847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2026-09-09T12:37:51+07:00</t>
        </is>
      </c>
      <c r="J2" s="2" t="inlineStr">
        <is>
          <t>QA opened 121_01.jpg (1000x1000) and checked against workbook observation: Bedroom mockup of weathered blue semi truck breaking through gray stone blocks with YOUR NAME text.</t>
        </is>
      </c>
      <c r="K2" s="2" t="inlineStr">
        <is>
          <t>Bedroom mockup of weathered blue semi truck breaking through gray stone blocks with YOUR NAME text.</t>
        </is>
      </c>
      <c r="L2" s="2" t="inlineStr">
        <is>
          <t>SET</t>
        </is>
      </c>
      <c r="M2" s="2" t="inlineStr">
        <is>
          <t>Vintage blue semi truck comforter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["seo_runs\\jeminise.com\\20260906_234129\\qa\\20260909_123751\\images\\121_01.jpg", "https://cdn.shopify.com/s/files/1/0792/5098/1063/files/f9c2de4b8fca94491645b16f68b222a2a8f2c0f2c1c7ca965804ab9fdffa4100.jpg?v=1785132830"]</t>
        </is>
      </c>
    </row>
    <row r="3" ht="66" customHeight="1">
      <c r="A3" s="3" t="inlineStr">
        <is>
          <t>jeminise.com+custom-trucking-semi-truck-breaking-through-stone-wall-vintage-comforter-28a367022b-28a367022b</t>
        </is>
      </c>
      <c r="B3" s="3" t="inlineStr">
        <is>
          <t>qaimg_e4c515510b9f6a38</t>
        </is>
      </c>
      <c r="C3" s="4" t="inlineStr">
        <is>
          <t>https://cdn.shopify.com/s/files/1/0792/5098/1063/files/cb40af2133ae7a7b62a908bfd8ab3b67101d519c6b22d55aea0046221fa904eb.jpg?v=1785132830</t>
        </is>
      </c>
      <c r="D3" s="4" t="inlineStr">
        <is>
          <t>https://cdn.shopify.com/s/files/1/0792/5098/1063/files/cb40af2133ae7a7b62a908bfd8ab3b67101d519c6b22d55aea0046221fa904eb.jpg?v=1785132830</t>
        </is>
      </c>
      <c r="E3" s="3" t="inlineStr">
        <is>
          <t>47548740796615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2026-09-09T12:37:51+07:00</t>
        </is>
      </c>
      <c r="J3" s="3" t="inlineStr">
        <is>
          <t>QA opened 121_02.jpg (1000x1000) and checked against workbook observation: Second bedroom mockup of weathered blue semi truck breaking through gray stone blocks with YOUR NAME text with matching shams and folded top sheet.</t>
        </is>
      </c>
      <c r="K3" s="3" t="inlineStr">
        <is>
          <t>Second bedroom mockup of weathered blue semi truck breaking through gray stone blocks with YOUR NAME text with matching shams and folded top sheet.</t>
        </is>
      </c>
      <c r="L3" s="3" t="inlineStr">
        <is>
          <t>SET</t>
        </is>
      </c>
      <c r="M3" s="3" t="inlineStr">
        <is>
          <t>Vintage blue semi truck comforter bedding set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["seo_runs\\jeminise.com\\20260906_234129\\qa\\20260909_123751\\images\\121_02.jpg", "https://cdn.shopify.com/s/files/1/0792/5098/1063/files/cb40af2133ae7a7b62a908bfd8ab3b67101d519c6b22d55aea0046221fa904eb.jpg?v=1785132830"]</t>
        </is>
      </c>
    </row>
    <row r="4" ht="66" customHeight="1">
      <c r="A4" s="2" t="inlineStr">
        <is>
          <t>jeminise.com+custom-trucking-semi-truck-breaking-through-stone-wall-vintage-comforter-28a367022b-28a367022b</t>
        </is>
      </c>
      <c r="B4" s="2" t="inlineStr">
        <is>
          <t>qaimg_af263add2ba59002</t>
        </is>
      </c>
      <c r="C4" s="4" t="inlineStr">
        <is>
          <t>https://cdn.shopify.com/s/files/1/0792/5098/1063/files/16f7293cbefa5743a35b2e6316a5a114e5c052d08151e367dafd26aa5e2e542b_693d14f4-886d-4a41-9e61-0b67ccd07c1e.jpg?v=1785132830</t>
        </is>
      </c>
      <c r="D4" s="4" t="inlineStr">
        <is>
          <t>https://cdn.shopify.com/s/files/1/0792/5098/1063/files/16f7293cbefa5743a35b2e6316a5a114e5c052d08151e367dafd26aa5e2e542b_693d14f4-886d-4a41-9e61-0b67ccd07c1e.jpg?v=1785132830</t>
        </is>
      </c>
      <c r="E4" s="2" t="inlineStr">
        <is>
          <t>47548740829383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2026-09-09T12:37:51+07:00</t>
        </is>
      </c>
      <c r="J4" s="2" t="inlineStr">
        <is>
          <t>QA opened 121_03.jpg (1000x1000) and checked against workbook observation: Comparison panel explaining duvet cover set and comforter set bedding options.</t>
        </is>
      </c>
      <c r="K4" s="2" t="inlineStr">
        <is>
          <t>Comparison panel explaining duvet cover set and comforter set bedding options.</t>
        </is>
      </c>
      <c r="L4" s="2" t="inlineStr">
        <is>
          <t>SET</t>
        </is>
      </c>
      <c r="M4" s="2" t="inlineStr">
        <is>
          <t>Duvet cover and comforter set comparison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["seo_runs\\jeminise.com\\20260906_234129\\qa\\20260909_123751\\images\\121_03.jpg", "https://cdn.shopify.com/s/files/1/0792/5098/1063/files/16f7293cbefa5743a35b2e6316a5a114e5c052d08151e367dafd26aa5e2e542b_693d14f4-886d-4a41-9e61-0b67ccd07c1e.jpg?v=1785132830"]</t>
        </is>
      </c>
    </row>
    <row r="5" ht="66" customHeight="1">
      <c r="A5" s="3" t="inlineStr">
        <is>
          <t>jeminise.com+custom-trucking-semi-truck-breaking-through-stone-wall-vintage-comforter-28a367022b-28a367022b</t>
        </is>
      </c>
      <c r="B5" s="3" t="inlineStr">
        <is>
          <t>qaimg_4348a82c19a954b6</t>
        </is>
      </c>
      <c r="C5" s="4" t="inlineStr">
        <is>
          <t>https://cdn.shopify.com/s/files/1/0792/5098/1063/files/8e27a770a50a1f488178e2ea485d879ddcfd731511687082221e7817b47fc1dd.jpg?v=1785132830</t>
        </is>
      </c>
      <c r="D5" s="4" t="inlineStr">
        <is>
          <t>https://cdn.shopify.com/s/files/1/0792/5098/1063/files/8e27a770a50a1f488178e2ea485d879ddcfd731511687082221e7817b47fc1dd.jpg?v=1785132830</t>
        </is>
      </c>
      <c r="E5" s="3" t="inlineStr">
        <is>
          <t>47548740862151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2026-09-09T12:37:51+07:00</t>
        </is>
      </c>
      <c r="J5" s="3" t="inlineStr">
        <is>
          <t>QA opened 121_04.jpg (1000x1000) and checked against workbook observation: Feature panel showing vintage blue semi truck comforter, microfiber label and 3D printed pattern callouts.</t>
        </is>
      </c>
      <c r="K5" s="3" t="inlineStr">
        <is>
          <t>Feature panel showing vintage blue semi truck comforter, microfiber label and 3D printed pattern callouts.</t>
        </is>
      </c>
      <c r="L5" s="3" t="inlineStr">
        <is>
          <t>SET</t>
        </is>
      </c>
      <c r="M5" s="3" t="inlineStr">
        <is>
          <t>Vintage blue semi truck comforter feature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["seo_runs\\jeminise.com\\20260906_234129\\qa\\20260909_123751\\images\\121_04.jpg", "https://cdn.shopify.com/s/files/1/0792/5098/1063/files/8e27a770a50a1f488178e2ea485d879ddcfd731511687082221e7817b47fc1dd.jpg?v=1785132830"]</t>
        </is>
      </c>
    </row>
    <row r="6" ht="66" customHeight="1">
      <c r="A6" s="2" t="inlineStr">
        <is>
          <t>jeminise.com+custom-trucking-semi-truck-breaking-through-stone-wall-vintage-comforter-28a367022b-28a367022b</t>
        </is>
      </c>
      <c r="B6" s="2" t="inlineStr">
        <is>
          <t>qaimg_a18184615418a438</t>
        </is>
      </c>
      <c r="C6" s="4" t="inlineStr">
        <is>
          <t>https://cdn.shopify.com/s/files/1/0792/5098/1063/files/764180d21c7d48aa0b8130038f90cb065bfc2a06198e2388452897fd3decbac2.jpg?v=1785132830</t>
        </is>
      </c>
      <c r="D6" s="4" t="inlineStr">
        <is>
          <t>https://cdn.shopify.com/s/files/1/0792/5098/1063/files/764180d21c7d48aa0b8130038f90cb065bfc2a06198e2388452897fd3decbac2.jpg?v=1785132830</t>
        </is>
      </c>
      <c r="E6" s="2" t="inlineStr">
        <is>
          <t>47548740894919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2026-09-09T12:37:51+07:00</t>
        </is>
      </c>
      <c r="J6" s="2" t="inlineStr">
        <is>
          <t>QA opened 121_05.jpg (1000x1000) and checked against workbook observation: Low-angle bedding mockup of weathered blue semi truck breaking through gray stone blocks with YOUR NAME text with soft, lightweight, durable and breathable icons.</t>
        </is>
      </c>
      <c r="K6" s="2" t="inlineStr">
        <is>
          <t>Low-angle bedding mockup of weathered blue semi truck breaking through gray stone blocks with YOUR NAME text with soft, lightweight, durable and breathable icons.</t>
        </is>
      </c>
      <c r="L6" s="2" t="inlineStr">
        <is>
          <t>SET</t>
        </is>
      </c>
      <c r="M6" s="2" t="inlineStr">
        <is>
          <t>Vintage blue semi truck comforter with feature icons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["seo_runs\\jeminise.com\\20260906_234129\\qa\\20260909_123751\\images\\121_05.jpg", "https://cdn.shopify.com/s/files/1/0792/5098/1063/files/764180d21c7d48aa0b8130038f90cb065bfc2a06198e2388452897fd3decbac2.jpg?v=1785132830"]</t>
        </is>
      </c>
    </row>
    <row r="7" ht="66" customHeight="1">
      <c r="A7" s="3" t="inlineStr">
        <is>
          <t>jeminise.com+custom-trucking-semi-truck-breaking-through-stone-wall-vintage-comforter-28a367022b-28a367022b</t>
        </is>
      </c>
      <c r="B7" s="3" t="inlineStr">
        <is>
          <t>qaimg_fb0dee105c12daf9</t>
        </is>
      </c>
      <c r="C7" s="4" t="inlineStr">
        <is>
          <t>https://cdn.shopify.com/s/files/1/0792/5098/1063/files/7c006bddc94d4763c71c8376307e195c1bbce73b8c802ec73ac5a8cef1291262_9b83fd24-b7f1-4ab9-b1d7-6897e6d14750.jpg?v=1785132830</t>
        </is>
      </c>
      <c r="D7" s="4" t="inlineStr">
        <is>
          <t>https://cdn.shopify.com/s/files/1/0792/5098/1063/files/7c006bddc94d4763c71c8376307e195c1bbce73b8c802ec73ac5a8cef1291262_9b83fd24-b7f1-4ab9-b1d7-6897e6d14750.jpg?v=1785132830</t>
        </is>
      </c>
      <c r="E7" s="3" t="inlineStr">
        <is>
          <t>47548740927687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2026-09-09T12:37:51+07:00</t>
        </is>
      </c>
      <c r="J7" s="3" t="inlineStr">
        <is>
          <t>QA opened 121_06.jpg (1000x1000) and checked against workbook observation: Stress-free easy-care panel listing wrinkle-free, stain-proof, anti-pilling and wash durability.</t>
        </is>
      </c>
      <c r="K7" s="3" t="inlineStr">
        <is>
          <t>Stress-free easy-care panel listing wrinkle-free, stain-proof, anti-pilling and wash durability.</t>
        </is>
      </c>
      <c r="L7" s="3" t="inlineStr">
        <is>
          <t>SET</t>
        </is>
      </c>
      <c r="M7" s="3" t="inlineStr">
        <is>
          <t>Easy care panel for comforter bedding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["seo_runs\\jeminise.com\\20260906_234129\\qa\\20260909_123751\\images\\121_06.jpg", "https://cdn.shopify.com/s/files/1/0792/5098/1063/files/7c006bddc94d4763c71c8376307e195c1bbce73b8c802ec73ac5a8cef1291262_9b83fd24-b7f1-4ab9-b1d7-6897e6d14750.jpg?v=1785132830"]</t>
        </is>
      </c>
    </row>
    <row r="8" ht="66" customHeight="1">
      <c r="A8" s="2" t="inlineStr">
        <is>
          <t>jeminise.com+custom-trucking-semi-truck-breaking-through-stone-wall-vintage-comforter-28a367022b-28a367022b</t>
        </is>
      </c>
      <c r="B8" s="2" t="inlineStr">
        <is>
          <t>qaimg_552c6f412b87d567</t>
        </is>
      </c>
      <c r="C8" s="4" t="inlineStr">
        <is>
          <t>https://cdn.shopify.com/s/files/1/0792/5098/1063/files/e5cad84edb4d7bf77c48fd7c8e52eb3b73f04eba8bf177671fd8a059c59422e8_5449cbbb-8301-49ff-92ca-0140dd47b6ec.jpg?v=1785132830</t>
        </is>
      </c>
      <c r="D8" s="4" t="inlineStr">
        <is>
          <t>https://cdn.shopify.com/s/files/1/0792/5098/1063/files/e5cad84edb4d7bf77c48fd7c8e52eb3b73f04eba8bf177671fd8a059c59422e8_5449cbbb-8301-49ff-92ca-0140dd47b6ec.jpg?v=1785132830</t>
        </is>
      </c>
      <c r="E8" s="2" t="inlineStr">
        <is>
          <t>47548740960455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2026-09-09T12:37:51+07:00</t>
        </is>
      </c>
      <c r="J8" s="2" t="inlineStr">
        <is>
          <t>QA opened 121_07.jpg (1000x1000) and checked against workbook observation: Size dimension chart showing twin, full, queen and king bedding measurements.</t>
        </is>
      </c>
      <c r="K8" s="2" t="inlineStr">
        <is>
          <t>Size dimension chart showing twin, full, queen and king bedding measurements.</t>
        </is>
      </c>
      <c r="L8" s="2" t="inlineStr">
        <is>
          <t>SET</t>
        </is>
      </c>
      <c r="M8" s="2" t="inlineStr">
        <is>
          <t>Comforter set size dimension chart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["seo_runs\\jeminise.com\\20260906_234129\\qa\\20260909_123751\\images\\121_07.jpg", "https://cdn.shopify.com/s/files/1/0792/5098/1063/files/e5cad84edb4d7bf77c48fd7c8e52eb3b73f04eba8bf177671fd8a059c59422e8_5449cbbb-8301-49ff-92ca-0140dd47b6ec.jpg?v=1785132830"]</t>
        </is>
      </c>
    </row>
    <row r="9" ht="66" customHeight="1">
      <c r="A9" s="3" t="inlineStr">
        <is>
          <t>jeminise.com+custom-trucking-semi-truck-centered-on-chevron-background-comforter-cfef0beab9-cfef0beab9</t>
        </is>
      </c>
      <c r="B9" s="3" t="inlineStr">
        <is>
          <t>qaimg_9ee7bd44b44c23db</t>
        </is>
      </c>
      <c r="C9" s="4" t="inlineStr">
        <is>
          <t>https://cdn.shopify.com/s/files/1/0792/5098/1063/files/1862d240d68540d29289e49b1720ec443c9161d27cbf293dee79f245738a053e.jpg?v=1785133827</t>
        </is>
      </c>
      <c r="D9" s="4" t="inlineStr">
        <is>
          <t>https://cdn.shopify.com/s/files/1/0792/5098/1063/files/1862d240d68540d29289e49b1720ec443c9161d27cbf293dee79f245738a053e.jpg?v=1785133827</t>
        </is>
      </c>
      <c r="E9" s="3" t="inlineStr">
        <is>
          <t>47548960768199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2026-09-09T12:37:51+07:00</t>
        </is>
      </c>
      <c r="J9" s="3" t="inlineStr">
        <is>
          <t>QA opened 122_01.jpg (1000x1000) and checked against workbook observation: Bedroom mockup of blue semi truck on black and blue chevron panels with flag borders and Your Name text.</t>
        </is>
      </c>
      <c r="K9" s="3" t="inlineStr">
        <is>
          <t>Bedroom mockup of blue semi truck on black and blue chevron panels with flag borders and Your Name text.</t>
        </is>
      </c>
      <c r="L9" s="3" t="inlineStr">
        <is>
          <t>SET</t>
        </is>
      </c>
      <c r="M9" s="3" t="inlineStr">
        <is>
          <t>Blue semi truck chevron comforter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["seo_runs\\jeminise.com\\20260906_234129\\qa\\20260909_123751\\images\\122_01.jpg", "https://cdn.shopify.com/s/files/1/0792/5098/1063/files/1862d240d68540d29289e49b1720ec443c9161d27cbf293dee79f245738a053e.jpg?v=1785133827"]</t>
        </is>
      </c>
    </row>
    <row r="10" ht="66" customHeight="1">
      <c r="A10" s="2" t="inlineStr">
        <is>
          <t>jeminise.com+custom-trucking-semi-truck-centered-on-chevron-background-comforter-cfef0beab9-cfef0beab9</t>
        </is>
      </c>
      <c r="B10" s="2" t="inlineStr">
        <is>
          <t>qaimg_a7632de4d3c9ef21</t>
        </is>
      </c>
      <c r="C10" s="4" t="inlineStr">
        <is>
          <t>https://cdn.shopify.com/s/files/1/0792/5098/1063/files/ccc73d2e507308afc45d60e127395a6d5660e39d79e8b282cbe0a4ed7dd07c17.jpg?v=1785133827</t>
        </is>
      </c>
      <c r="D10" s="4" t="inlineStr">
        <is>
          <t>https://cdn.shopify.com/s/files/1/0792/5098/1063/files/ccc73d2e507308afc45d60e127395a6d5660e39d79e8b282cbe0a4ed7dd07c17.jpg?v=1785133827</t>
        </is>
      </c>
      <c r="E10" s="2" t="inlineStr">
        <is>
          <t>47548960800967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2026-09-09T12:37:51+07:00</t>
        </is>
      </c>
      <c r="J10" s="2" t="inlineStr">
        <is>
          <t>QA opened 122_02.jpg (1000x1000) and checked against workbook observation: Second bedroom mockup of blue semi truck on black and blue chevron panels with flag borders and Your Name text with matching shams and folded top sheet.</t>
        </is>
      </c>
      <c r="K10" s="2" t="inlineStr">
        <is>
          <t>Second bedroom mockup of blue semi truck on black and blue chevron panels with flag borders and Your Name text with matching shams and folded top sheet.</t>
        </is>
      </c>
      <c r="L10" s="2" t="inlineStr">
        <is>
          <t>SET</t>
        </is>
      </c>
      <c r="M10" s="2" t="inlineStr">
        <is>
          <t>Blue semi truck chevron comforter bedding set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["seo_runs\\jeminise.com\\20260906_234129\\qa\\20260909_123751\\images\\122_02.jpg", "https://cdn.shopify.com/s/files/1/0792/5098/1063/files/ccc73d2e507308afc45d60e127395a6d5660e39d79e8b282cbe0a4ed7dd07c17.jpg?v=1785133827"]</t>
        </is>
      </c>
    </row>
    <row r="11" ht="66" customHeight="1">
      <c r="A11" s="3" t="inlineStr">
        <is>
          <t>jeminise.com+custom-trucking-semi-truck-centered-on-chevron-background-comforter-cfef0beab9-cfef0beab9</t>
        </is>
      </c>
      <c r="B11" s="3" t="inlineStr">
        <is>
          <t>qaimg_841079696cd362c7</t>
        </is>
      </c>
      <c r="C11" s="4" t="inlineStr">
        <is>
          <t>https://cdn.shopify.com/s/files/1/0792/5098/1063/files/16f7293cbefa5743a35b2e6316a5a114e5c052d08151e367dafd26aa5e2e542b_1d9370e4-e63e-4c9b-9ed0-d9bcae459c3c.jpg?v=1785133827</t>
        </is>
      </c>
      <c r="D11" s="4" t="inlineStr">
        <is>
          <t>https://cdn.shopify.com/s/files/1/0792/5098/1063/files/16f7293cbefa5743a35b2e6316a5a114e5c052d08151e367dafd26aa5e2e542b_1d9370e4-e63e-4c9b-9ed0-d9bcae459c3c.jpg?v=1785133827</t>
        </is>
      </c>
      <c r="E11" s="3" t="inlineStr">
        <is>
          <t>47548960833735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2026-09-09T12:37:51+07:00</t>
        </is>
      </c>
      <c r="J11" s="3" t="inlineStr">
        <is>
          <t>QA opened 122_03.jpg (1000x1000) and checked against workbook observation: Comparison panel explaining duvet cover set and comforter set bedding options.</t>
        </is>
      </c>
      <c r="K11" s="3" t="inlineStr">
        <is>
          <t>Comparison panel explaining duvet cover set and comforter set bedding options.</t>
        </is>
      </c>
      <c r="L11" s="3" t="inlineStr">
        <is>
          <t>SET</t>
        </is>
      </c>
      <c r="M11" s="3" t="inlineStr">
        <is>
          <t>Duvet cover and comforter set comparison panel for blue semi truck chevron flag comforter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["seo_runs\\jeminise.com\\20260906_234129\\qa\\20260909_123751\\images\\122_03.jpg", "https://cdn.shopify.com/s/files/1/0792/5098/1063/files/16f7293cbefa5743a35b2e6316a5a114e5c052d08151e367dafd26aa5e2e542b_1d9370e4-e63e-4c9b-9ed0-d9bcae459c3c.jpg?v=1785133827"]</t>
        </is>
      </c>
    </row>
    <row r="12" ht="66" customHeight="1">
      <c r="A12" s="2" t="inlineStr">
        <is>
          <t>jeminise.com+custom-trucking-semi-truck-centered-on-chevron-background-comforter-cfef0beab9-cfef0beab9</t>
        </is>
      </c>
      <c r="B12" s="2" t="inlineStr">
        <is>
          <t>qaimg_5ecf6a777d94b4d0</t>
        </is>
      </c>
      <c r="C12" s="4" t="inlineStr">
        <is>
          <t>https://cdn.shopify.com/s/files/1/0792/5098/1063/files/95054aca5abda044fec14fcd2bdf72551414546134a058656d9a0e4520175edd.jpg?v=1785133827</t>
        </is>
      </c>
      <c r="D12" s="4" t="inlineStr">
        <is>
          <t>https://cdn.shopify.com/s/files/1/0792/5098/1063/files/95054aca5abda044fec14fcd2bdf72551414546134a058656d9a0e4520175edd.jpg?v=1785133827</t>
        </is>
      </c>
      <c r="E12" s="2" t="inlineStr">
        <is>
          <t>47548960866503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2026-09-09T12:37:51+07:00</t>
        </is>
      </c>
      <c r="J12" s="2" t="inlineStr">
        <is>
          <t>QA opened 122_04.jpg (1000x1000) and checked against workbook observation: Feature panel showing blue semi truck chevron comforter, microfiber label and 3D printed pattern callouts.</t>
        </is>
      </c>
      <c r="K12" s="2" t="inlineStr">
        <is>
          <t>Feature panel showing blue semi truck chevron comforter, microfiber label and 3D printed pattern callouts.</t>
        </is>
      </c>
      <c r="L12" s="2" t="inlineStr">
        <is>
          <t>SET</t>
        </is>
      </c>
      <c r="M12" s="2" t="inlineStr">
        <is>
          <t>Blue semi truck chevron comforter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["seo_runs\\jeminise.com\\20260906_234129\\qa\\20260909_123751\\images\\122_04.jpg", "https://cdn.shopify.com/s/files/1/0792/5098/1063/files/95054aca5abda044fec14fcd2bdf72551414546134a058656d9a0e4520175edd.jpg?v=1785133827"]</t>
        </is>
      </c>
    </row>
    <row r="13" ht="66" customHeight="1">
      <c r="A13" s="3" t="inlineStr">
        <is>
          <t>jeminise.com+custom-trucking-semi-truck-centered-on-chevron-background-comforter-cfef0beab9-cfef0beab9</t>
        </is>
      </c>
      <c r="B13" s="3" t="inlineStr">
        <is>
          <t>qaimg_693823d6a8e5e2b5</t>
        </is>
      </c>
      <c r="C13" s="4" t="inlineStr">
        <is>
          <t>https://cdn.shopify.com/s/files/1/0792/5098/1063/files/6546554829f1e8976470f767561e6ed7c8431ef729e600ac9396c3a534c5e115.jpg?v=1785133827</t>
        </is>
      </c>
      <c r="D13" s="4" t="inlineStr">
        <is>
          <t>https://cdn.shopify.com/s/files/1/0792/5098/1063/files/6546554829f1e8976470f767561e6ed7c8431ef729e600ac9396c3a534c5e115.jpg?v=1785133827</t>
        </is>
      </c>
      <c r="E13" s="3" t="inlineStr">
        <is>
          <t>47548960899271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2026-09-09T12:37:51+07:00</t>
        </is>
      </c>
      <c r="J13" s="3" t="inlineStr">
        <is>
          <t>QA opened 122_05.jpg (1000x1000) and checked against workbook observation: Low-angle bedding mockup of blue semi truck on black and blue chevron panels with flag borders and Your Name text with soft, lightweight, durable and breathable icons.</t>
        </is>
      </c>
      <c r="K13" s="3" t="inlineStr">
        <is>
          <t>Low-angle bedding mockup of blue semi truck on black and blue chevron panels with flag borders and Your Name text with soft, lightweight, durable and breathable icons.</t>
        </is>
      </c>
      <c r="L13" s="3" t="inlineStr">
        <is>
          <t>SET</t>
        </is>
      </c>
      <c r="M13" s="3" t="inlineStr">
        <is>
          <t>Blue semi truck chevron comforter with feature icons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["seo_runs\\jeminise.com\\20260906_234129\\qa\\20260909_123751\\images\\122_05.jpg", "https://cdn.shopify.com/s/files/1/0792/5098/1063/files/6546554829f1e8976470f767561e6ed7c8431ef729e600ac9396c3a534c5e115.jpg?v=1785133827"]</t>
        </is>
      </c>
    </row>
    <row r="14" ht="66" customHeight="1">
      <c r="A14" s="2" t="inlineStr">
        <is>
          <t>jeminise.com+custom-trucking-semi-truck-centered-on-chevron-background-comforter-cfef0beab9-cfef0beab9</t>
        </is>
      </c>
      <c r="B14" s="2" t="inlineStr">
        <is>
          <t>qaimg_cd5b987545f642a3</t>
        </is>
      </c>
      <c r="C14" s="4" t="inlineStr">
        <is>
          <t>https://cdn.shopify.com/s/files/1/0792/5098/1063/files/7c006bddc94d4763c71c8376307e195c1bbce73b8c802ec73ac5a8cef1291262_f6eb804f-bd62-442a-8ddf-06cc1e2f7f0b.jpg?v=1785133827</t>
        </is>
      </c>
      <c r="D14" s="4" t="inlineStr">
        <is>
          <t>https://cdn.shopify.com/s/files/1/0792/5098/1063/files/7c006bddc94d4763c71c8376307e195c1bbce73b8c802ec73ac5a8cef1291262_f6eb804f-bd62-442a-8ddf-06cc1e2f7f0b.jpg?v=1785133827</t>
        </is>
      </c>
      <c r="E14" s="2" t="inlineStr">
        <is>
          <t>47548960932039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2026-09-09T12:37:51+07:00</t>
        </is>
      </c>
      <c r="J14" s="2" t="inlineStr">
        <is>
          <t>QA opened 122_06.jpg (1000x1000) and checked against workbook observation: Stress-free easy-care panel listing wrinkle-free, stain-proof, anti-pilling and wash durability.</t>
        </is>
      </c>
      <c r="K14" s="2" t="inlineStr">
        <is>
          <t>Stress-free easy-care panel listing wrinkle-free, stain-proof, anti-pilling and wash durability.</t>
        </is>
      </c>
      <c r="L14" s="2" t="inlineStr">
        <is>
          <t>SET</t>
        </is>
      </c>
      <c r="M14" s="2" t="inlineStr">
        <is>
          <t>Easy care panel for comforter bedding for blue semi truck chevron flag comforter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["seo_runs\\jeminise.com\\20260906_234129\\qa\\20260909_123751\\images\\122_06.jpg", "https://cdn.shopify.com/s/files/1/0792/5098/1063/files/7c006bddc94d4763c71c8376307e195c1bbce73b8c802ec73ac5a8cef1291262_f6eb804f-bd62-442a-8ddf-06cc1e2f7f0b.jpg?v=1785133827"]</t>
        </is>
      </c>
    </row>
    <row r="15" ht="66" customHeight="1">
      <c r="A15" s="3" t="inlineStr">
        <is>
          <t>jeminise.com+custom-trucking-semi-truck-centered-on-chevron-background-comforter-cfef0beab9-cfef0beab9</t>
        </is>
      </c>
      <c r="B15" s="3" t="inlineStr">
        <is>
          <t>qaimg_b7dde96b5b156ceb</t>
        </is>
      </c>
      <c r="C15" s="4" t="inlineStr">
        <is>
          <t>https://cdn.shopify.com/s/files/1/0792/5098/1063/files/e5cad84edb4d7bf77c48fd7c8e52eb3b73f04eba8bf177671fd8a059c59422e8_caebcacd-6582-469d-af0c-3a427bfc82d5.jpg?v=1785133827</t>
        </is>
      </c>
      <c r="D15" s="4" t="inlineStr">
        <is>
          <t>https://cdn.shopify.com/s/files/1/0792/5098/1063/files/e5cad84edb4d7bf77c48fd7c8e52eb3b73f04eba8bf177671fd8a059c59422e8_caebcacd-6582-469d-af0c-3a427bfc82d5.jpg?v=1785133827</t>
        </is>
      </c>
      <c r="E15" s="3" t="inlineStr">
        <is>
          <t>47548960964807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2026-09-09T12:37:51+07:00</t>
        </is>
      </c>
      <c r="J15" s="3" t="inlineStr">
        <is>
          <t>QA opened 122_07.jpg (1000x1000) and checked against workbook observation: Size dimension chart showing twin, full, queen and king bedding measurements.</t>
        </is>
      </c>
      <c r="K15" s="3" t="inlineStr">
        <is>
          <t>Size dimension chart showing twin, full, queen and king bedding measurements.</t>
        </is>
      </c>
      <c r="L15" s="3" t="inlineStr">
        <is>
          <t>SET</t>
        </is>
      </c>
      <c r="M15" s="3" t="inlineStr">
        <is>
          <t>Comforter set size dimension chart for blue semi truck chevron flag comforter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["seo_runs\\jeminise.com\\20260906_234129\\qa\\20260909_123751\\images\\122_07.jpg", "https://cdn.shopify.com/s/files/1/0792/5098/1063/files/e5cad84edb4d7bf77c48fd7c8e52eb3b73f04eba8bf177671fd8a059c59422e8_caebcacd-6582-469d-af0c-3a427bfc82d5.jpg?v=1785133827"]</t>
        </is>
      </c>
    </row>
    <row r="16" ht="66" customHeight="1">
      <c r="A16" s="2" t="inlineStr">
        <is>
          <t>jeminise.com+custom-trucking-semi-truck-on-metallic-mesh-background-comforter-21d8f6bab6-21d8f6bab6</t>
        </is>
      </c>
      <c r="B16" s="2" t="inlineStr">
        <is>
          <t>qaimg_a4cf4f3af68965c6</t>
        </is>
      </c>
      <c r="C16" s="4" t="inlineStr">
        <is>
          <t>https://cdn.shopify.com/s/files/1/0792/5098/1063/files/c1922306dc0a397837af905e5e6342fafb647a7f1c2031512b1da8e16085715a.jpg?v=1785132980</t>
        </is>
      </c>
      <c r="D16" s="4" t="inlineStr">
        <is>
          <t>https://cdn.shopify.com/s/files/1/0792/5098/1063/files/c1922306dc0a397837af905e5e6342fafb647a7f1c2031512b1da8e16085715a.jpg?v=1785132980</t>
        </is>
      </c>
      <c r="E16" s="2" t="inlineStr">
        <is>
          <t>47548765831367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2026-09-09T12:37:51+07:00</t>
        </is>
      </c>
      <c r="J16" s="2" t="inlineStr">
        <is>
          <t>QA opened 123_01.jpg (1000x1000) and checked against workbook observation: Bedroom mockup of black and silver semi truck on metallic mesh and map-texture background with vertical YOUR NAME panel.</t>
        </is>
      </c>
      <c r="K16" s="2" t="inlineStr">
        <is>
          <t>Bedroom mockup of black and silver semi truck on metallic mesh and map-texture background with vertical YOUR NAME panel.</t>
        </is>
      </c>
      <c r="L16" s="2" t="inlineStr">
        <is>
          <t>SET</t>
        </is>
      </c>
      <c r="M16" s="2" t="inlineStr">
        <is>
          <t>Metallic mesh semi truck comforter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["seo_runs\\jeminise.com\\20260906_234129\\qa\\20260909_123751\\images\\123_01.jpg", "https://cdn.shopify.com/s/files/1/0792/5098/1063/files/c1922306dc0a397837af905e5e6342fafb647a7f1c2031512b1da8e16085715a.jpg?v=1785132980"]</t>
        </is>
      </c>
    </row>
    <row r="17" ht="66" customHeight="1">
      <c r="A17" s="3" t="inlineStr">
        <is>
          <t>jeminise.com+custom-trucking-semi-truck-on-metallic-mesh-background-comforter-21d8f6bab6-21d8f6bab6</t>
        </is>
      </c>
      <c r="B17" s="3" t="inlineStr">
        <is>
          <t>qaimg_7ef77296db55c27d</t>
        </is>
      </c>
      <c r="C17" s="4" t="inlineStr">
        <is>
          <t>https://cdn.shopify.com/s/files/1/0792/5098/1063/files/c1e4ad535696ce70c2bec722f0c2bf013938b5edfca1ebc04a03ba9374f5e7b3.jpg?v=1785132980</t>
        </is>
      </c>
      <c r="D17" s="4" t="inlineStr">
        <is>
          <t>https://cdn.shopify.com/s/files/1/0792/5098/1063/files/c1e4ad535696ce70c2bec722f0c2bf013938b5edfca1ebc04a03ba9374f5e7b3.jpg?v=1785132980</t>
        </is>
      </c>
      <c r="E17" s="3" t="inlineStr">
        <is>
          <t>47548765864135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2026-09-09T12:37:51+07:00</t>
        </is>
      </c>
      <c r="J17" s="3" t="inlineStr">
        <is>
          <t>QA opened 123_02.jpg (1000x1000) and checked against workbook observation: Second bedroom mockup of black and silver semi truck on metallic mesh and map-texture background with vertical YOUR NAME panel with matching shams and folded top sheet.</t>
        </is>
      </c>
      <c r="K17" s="3" t="inlineStr">
        <is>
          <t>Second bedroom mockup of black and silver semi truck on metallic mesh and map-texture background with vertical YOUR NAME panel with matching shams and folded top sheet.</t>
        </is>
      </c>
      <c r="L17" s="3" t="inlineStr">
        <is>
          <t>SET</t>
        </is>
      </c>
      <c r="M17" s="3" t="inlineStr">
        <is>
          <t>Metallic mesh semi truck comforter bedding set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["seo_runs\\jeminise.com\\20260906_234129\\qa\\20260909_123751\\images\\123_02.jpg", "https://cdn.shopify.com/s/files/1/0792/5098/1063/files/c1e4ad535696ce70c2bec722f0c2bf013938b5edfca1ebc04a03ba9374f5e7b3.jpg?v=1785132980"]</t>
        </is>
      </c>
    </row>
    <row r="18" ht="66" customHeight="1">
      <c r="A18" s="2" t="inlineStr">
        <is>
          <t>jeminise.com+custom-trucking-semi-truck-on-metallic-mesh-background-comforter-21d8f6bab6-21d8f6bab6</t>
        </is>
      </c>
      <c r="B18" s="2" t="inlineStr">
        <is>
          <t>qaimg_8effc055698e74b0</t>
        </is>
      </c>
      <c r="C18" s="4" t="inlineStr">
        <is>
          <t>https://cdn.shopify.com/s/files/1/0792/5098/1063/files/16f7293cbefa5743a35b2e6316a5a114e5c052d08151e367dafd26aa5e2e542b_93d48143-883e-4ac2-83ca-2d1a4354845d.jpg?v=1785132980</t>
        </is>
      </c>
      <c r="D18" s="4" t="inlineStr">
        <is>
          <t>https://cdn.shopify.com/s/files/1/0792/5098/1063/files/16f7293cbefa5743a35b2e6316a5a114e5c052d08151e367dafd26aa5e2e542b_93d48143-883e-4ac2-83ca-2d1a4354845d.jpg?v=1785132980</t>
        </is>
      </c>
      <c r="E18" s="2" t="inlineStr">
        <is>
          <t>47548765896903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2026-09-09T12:37:51+07:00</t>
        </is>
      </c>
      <c r="J18" s="2" t="inlineStr">
        <is>
          <t>QA opened 123_03.jpg (1000x1000) and checked against workbook observation: Comparison panel explaining duvet cover set and comforter set bedding options.</t>
        </is>
      </c>
      <c r="K18" s="2" t="inlineStr">
        <is>
          <t>Comparison panel explaining duvet cover set and comforter set bedding options.</t>
        </is>
      </c>
      <c r="L18" s="2" t="inlineStr">
        <is>
          <t>SET</t>
        </is>
      </c>
      <c r="M18" s="2" t="inlineStr">
        <is>
          <t>Duvet cover and comforter set comparison panel for black silver semi truck metallic mesh comforter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["seo_runs\\jeminise.com\\20260906_234129\\qa\\20260909_123751\\images\\123_03.jpg", "https://cdn.shopify.com/s/files/1/0792/5098/1063/files/16f7293cbefa5743a35b2e6316a5a114e5c052d08151e367dafd26aa5e2e542b_93d48143-883e-4ac2-83ca-2d1a4354845d.jpg?v=1785132980"]</t>
        </is>
      </c>
    </row>
    <row r="19" ht="66" customHeight="1">
      <c r="A19" s="3" t="inlineStr">
        <is>
          <t>jeminise.com+custom-trucking-semi-truck-on-metallic-mesh-background-comforter-21d8f6bab6-21d8f6bab6</t>
        </is>
      </c>
      <c r="B19" s="3" t="inlineStr">
        <is>
          <t>qaimg_0ec518b3aa293517</t>
        </is>
      </c>
      <c r="C19" s="4" t="inlineStr">
        <is>
          <t>https://cdn.shopify.com/s/files/1/0792/5098/1063/files/e04b4cdaccf9c82a5f2e4bd4242b42e835b0111daa0ba9434371f1cf3bb055a3.jpg?v=1785132980</t>
        </is>
      </c>
      <c r="D19" s="4" t="inlineStr">
        <is>
          <t>https://cdn.shopify.com/s/files/1/0792/5098/1063/files/e04b4cdaccf9c82a5f2e4bd4242b42e835b0111daa0ba9434371f1cf3bb055a3.jpg?v=1785132980</t>
        </is>
      </c>
      <c r="E19" s="3" t="inlineStr">
        <is>
          <t>47548765929671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2026-09-09T12:37:51+07:00</t>
        </is>
      </c>
      <c r="J19" s="3" t="inlineStr">
        <is>
          <t>QA opened 123_04.jpg (1000x1000) and checked against workbook observation: Feature panel showing metallic mesh semi truck comforter, microfiber label and 3D printed pattern callouts.</t>
        </is>
      </c>
      <c r="K19" s="3" t="inlineStr">
        <is>
          <t>Feature panel showing metallic mesh semi truck comforter, microfiber label and 3D printed pattern callouts.</t>
        </is>
      </c>
      <c r="L19" s="3" t="inlineStr">
        <is>
          <t>SET</t>
        </is>
      </c>
      <c r="M19" s="3" t="inlineStr">
        <is>
          <t>Metallic mesh semi truck comforter feature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["seo_runs\\jeminise.com\\20260906_234129\\qa\\20260909_123751\\images\\123_04.jpg", "https://cdn.shopify.com/s/files/1/0792/5098/1063/files/e04b4cdaccf9c82a5f2e4bd4242b42e835b0111daa0ba9434371f1cf3bb055a3.jpg?v=1785132980"]</t>
        </is>
      </c>
    </row>
    <row r="20" ht="66" customHeight="1">
      <c r="A20" s="2" t="inlineStr">
        <is>
          <t>jeminise.com+custom-trucking-semi-truck-on-metallic-mesh-background-comforter-21d8f6bab6-21d8f6bab6</t>
        </is>
      </c>
      <c r="B20" s="2" t="inlineStr">
        <is>
          <t>qaimg_81bf2ab116d81c9c</t>
        </is>
      </c>
      <c r="C20" s="4" t="inlineStr">
        <is>
          <t>https://cdn.shopify.com/s/files/1/0792/5098/1063/files/e707b31763a524e2a68e131d5cce27b2204582821b46a800d943901bf6c2f240.jpg?v=1785132980</t>
        </is>
      </c>
      <c r="D20" s="4" t="inlineStr">
        <is>
          <t>https://cdn.shopify.com/s/files/1/0792/5098/1063/files/e707b31763a524e2a68e131d5cce27b2204582821b46a800d943901bf6c2f240.jpg?v=1785132980</t>
        </is>
      </c>
      <c r="E20" s="2" t="inlineStr">
        <is>
          <t>47548765962439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2026-09-09T12:37:51+07:00</t>
        </is>
      </c>
      <c r="J20" s="2" t="inlineStr">
        <is>
          <t>QA opened 123_05.jpg (1000x1000) and checked against workbook observation: Low-angle bedding mockup of black and silver semi truck on metallic mesh and map-texture background with vertical YOUR NAME panel with soft, lightweight, durable and breathable icons.</t>
        </is>
      </c>
      <c r="K20" s="2" t="inlineStr">
        <is>
          <t>Low-angle bedding mockup of black and silver semi truck on metallic mesh and map-texture background with vertical YOUR NAME panel with soft, lightweight, durable and breathable icons.</t>
        </is>
      </c>
      <c r="L20" s="2" t="inlineStr">
        <is>
          <t>SET</t>
        </is>
      </c>
      <c r="M20" s="2" t="inlineStr">
        <is>
          <t>Metallic mesh semi truck comforter with feature icons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["seo_runs\\jeminise.com\\20260906_234129\\qa\\20260909_123751\\images\\123_05.jpg", "https://cdn.shopify.com/s/files/1/0792/5098/1063/files/e707b31763a524e2a68e131d5cce27b2204582821b46a800d943901bf6c2f240.jpg?v=1785132980"]</t>
        </is>
      </c>
    </row>
    <row r="21" ht="66" customHeight="1">
      <c r="A21" s="3" t="inlineStr">
        <is>
          <t>jeminise.com+custom-trucking-semi-truck-on-metallic-mesh-background-comforter-21d8f6bab6-21d8f6bab6</t>
        </is>
      </c>
      <c r="B21" s="3" t="inlineStr">
        <is>
          <t>qaimg_e67aaa160a0b930f</t>
        </is>
      </c>
      <c r="C21" s="4" t="inlineStr">
        <is>
          <t>https://cdn.shopify.com/s/files/1/0792/5098/1063/files/7c006bddc94d4763c71c8376307e195c1bbce73b8c802ec73ac5a8cef1291262_9552c869-a848-49a9-88b6-fee9f5314799.jpg?v=1785132980</t>
        </is>
      </c>
      <c r="D21" s="4" t="inlineStr">
        <is>
          <t>https://cdn.shopify.com/s/files/1/0792/5098/1063/files/7c006bddc94d4763c71c8376307e195c1bbce73b8c802ec73ac5a8cef1291262_9552c869-a848-49a9-88b6-fee9f5314799.jpg?v=1785132980</t>
        </is>
      </c>
      <c r="E21" s="3" t="inlineStr">
        <is>
          <t>47548765995207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2026-09-09T12:37:51+07:00</t>
        </is>
      </c>
      <c r="J21" s="3" t="inlineStr">
        <is>
          <t>QA opened 123_06.jpg (1000x1000) and checked against workbook observation: Stress-free easy-care panel listing wrinkle-free, stain-proof, anti-pilling and wash durability.</t>
        </is>
      </c>
      <c r="K21" s="3" t="inlineStr">
        <is>
          <t>Stress-free easy-care panel listing wrinkle-free, stain-proof, anti-pilling and wash durability.</t>
        </is>
      </c>
      <c r="L21" s="3" t="inlineStr">
        <is>
          <t>SET</t>
        </is>
      </c>
      <c r="M21" s="3" t="inlineStr">
        <is>
          <t>Easy care panel for comforter bedding for black silver semi truck metallic mesh comforter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["seo_runs\\jeminise.com\\20260906_234129\\qa\\20260909_123751\\images\\123_06.jpg", "https://cdn.shopify.com/s/files/1/0792/5098/1063/files/7c006bddc94d4763c71c8376307e195c1bbce73b8c802ec73ac5a8cef1291262_9552c869-a848-49a9-88b6-fee9f5314799.jpg?v=1785132980"]</t>
        </is>
      </c>
    </row>
    <row r="22" ht="66" customHeight="1">
      <c r="A22" s="2" t="inlineStr">
        <is>
          <t>jeminise.com+custom-trucking-semi-truck-on-metallic-mesh-background-comforter-21d8f6bab6-21d8f6bab6</t>
        </is>
      </c>
      <c r="B22" s="2" t="inlineStr">
        <is>
          <t>qaimg_f4083ef9bc92d6d2</t>
        </is>
      </c>
      <c r="C22" s="4" t="inlineStr">
        <is>
          <t>https://cdn.shopify.com/s/files/1/0792/5098/1063/files/e5cad84edb4d7bf77c48fd7c8e52eb3b73f04eba8bf177671fd8a059c59422e8_a12a5003-8ce1-4857-9045-aa242e549165.jpg?v=1785132980</t>
        </is>
      </c>
      <c r="D22" s="4" t="inlineStr">
        <is>
          <t>https://cdn.shopify.com/s/files/1/0792/5098/1063/files/e5cad84edb4d7bf77c48fd7c8e52eb3b73f04eba8bf177671fd8a059c59422e8_a12a5003-8ce1-4857-9045-aa242e549165.jpg?v=1785132980</t>
        </is>
      </c>
      <c r="E22" s="2" t="inlineStr">
        <is>
          <t>47548766027975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2026-09-09T12:37:51+07:00</t>
        </is>
      </c>
      <c r="J22" s="2" t="inlineStr">
        <is>
          <t>QA opened 123_07.jpg (1000x1000) and checked against workbook observation: Size dimension chart showing twin, full, queen and king bedding measurements.</t>
        </is>
      </c>
      <c r="K22" s="2" t="inlineStr">
        <is>
          <t>Size dimension chart showing twin, full, queen and king bedding measurements.</t>
        </is>
      </c>
      <c r="L22" s="2" t="inlineStr">
        <is>
          <t>SET</t>
        </is>
      </c>
      <c r="M22" s="2" t="inlineStr">
        <is>
          <t>Comforter set size dimension chart for black silver semi truck metallic mesh comforter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["seo_runs\\jeminise.com\\20260906_234129\\qa\\20260909_123751\\images\\123_07.jpg", "https://cdn.shopify.com/s/files/1/0792/5098/1063/files/e5cad84edb4d7bf77c48fd7c8e52eb3b73f04eba8bf177671fd8a059c59422e8_a12a5003-8ce1-4857-9045-aa242e549165.jpg?v=1785132980"]</t>
        </is>
      </c>
    </row>
    <row r="23" ht="66" customHeight="1">
      <c r="A23" s="3" t="inlineStr">
        <is>
          <t>jeminise.com+custom-trucking-semi-truck-on-textured-metallic-background-comforter-5ee1903c53-5ee1903c53</t>
        </is>
      </c>
      <c r="B23" s="3" t="inlineStr">
        <is>
          <t>qaimg_f5db53abfcac332d</t>
        </is>
      </c>
      <c r="C23" s="4" t="inlineStr">
        <is>
          <t>https://cdn.shopify.com/s/files/1/0792/5098/1063/files/57d38e66f2b34394bb485228e838a7ae63fbae56dfc5a6d11d528c6d41e4225a.jpg?v=1785132753</t>
        </is>
      </c>
      <c r="D23" s="4" t="inlineStr">
        <is>
          <t>https://cdn.shopify.com/s/files/1/0792/5098/1063/files/57d38e66f2b34394bb485228e838a7ae63fbae56dfc5a6d11d528c6d41e4225a.jpg?v=1785132753</t>
        </is>
      </c>
      <c r="E23" s="3" t="inlineStr">
        <is>
          <t>47548723921095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2026-09-09T12:37:51+07:00</t>
        </is>
      </c>
      <c r="J23" s="3" t="inlineStr">
        <is>
          <t>QA opened 124_01.jpg (1000x1000) and checked against workbook observation: Bedroom mockup of line-art semi truck on dark textured metallic panel with YOUR NAME text.</t>
        </is>
      </c>
      <c r="K23" s="3" t="inlineStr">
        <is>
          <t>Bedroom mockup of line-art semi truck on dark textured metallic panel with YOUR NAME text.</t>
        </is>
      </c>
      <c r="L23" s="3" t="inlineStr">
        <is>
          <t>SET</t>
        </is>
      </c>
      <c r="M23" s="3" t="inlineStr">
        <is>
          <t>Textured metallic semi truck comforter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["seo_runs\\jeminise.com\\20260906_234129\\qa\\20260909_123751\\images\\124_01.jpg", "https://cdn.shopify.com/s/files/1/0792/5098/1063/files/57d38e66f2b34394bb485228e838a7ae63fbae56dfc5a6d11d528c6d41e4225a.jpg?v=1785132753"]</t>
        </is>
      </c>
    </row>
    <row r="24" ht="66" customHeight="1">
      <c r="A24" s="2" t="inlineStr">
        <is>
          <t>jeminise.com+custom-trucking-semi-truck-on-textured-metallic-background-comforter-5ee1903c53-5ee1903c53</t>
        </is>
      </c>
      <c r="B24" s="2" t="inlineStr">
        <is>
          <t>qaimg_18115a832ad76d3b</t>
        </is>
      </c>
      <c r="C24" s="4" t="inlineStr">
        <is>
          <t>https://cdn.shopify.com/s/files/1/0792/5098/1063/files/6c4cda57b9e3a28bf8baef1c5e85afa8ed94dcd72110978845cba27a8af50e6f.jpg?v=1785132753</t>
        </is>
      </c>
      <c r="D24" s="4" t="inlineStr">
        <is>
          <t>https://cdn.shopify.com/s/files/1/0792/5098/1063/files/6c4cda57b9e3a28bf8baef1c5e85afa8ed94dcd72110978845cba27a8af50e6f.jpg?v=1785132753</t>
        </is>
      </c>
      <c r="E24" s="2" t="inlineStr">
        <is>
          <t>47548723953863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2026-09-09T12:37:51+07:00</t>
        </is>
      </c>
      <c r="J24" s="2" t="inlineStr">
        <is>
          <t>QA opened 124_02.jpg (1000x1000) and checked against workbook observation: Second bedroom mockup of line-art semi truck on dark textured metallic panel with YOUR NAME text with matching shams and folded top sheet.</t>
        </is>
      </c>
      <c r="K24" s="2" t="inlineStr">
        <is>
          <t>Second bedroom mockup of line-art semi truck on dark textured metallic panel with YOUR NAME text with matching shams and folded top sheet.</t>
        </is>
      </c>
      <c r="L24" s="2" t="inlineStr">
        <is>
          <t>SET</t>
        </is>
      </c>
      <c r="M24" s="2" t="inlineStr">
        <is>
          <t>Textured metallic semi truck comforter bedding set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["seo_runs\\jeminise.com\\20260906_234129\\qa\\20260909_123751\\images\\124_02.jpg", "https://cdn.shopify.com/s/files/1/0792/5098/1063/files/6c4cda57b9e3a28bf8baef1c5e85afa8ed94dcd72110978845cba27a8af50e6f.jpg?v=1785132753"]</t>
        </is>
      </c>
    </row>
    <row r="25" ht="66" customHeight="1">
      <c r="A25" s="3" t="inlineStr">
        <is>
          <t>jeminise.com+custom-trucking-semi-truck-on-textured-metallic-background-comforter-5ee1903c53-5ee1903c53</t>
        </is>
      </c>
      <c r="B25" s="3" t="inlineStr">
        <is>
          <t>qaimg_6bc9b6e97ddaba1d</t>
        </is>
      </c>
      <c r="C25" s="4" t="inlineStr">
        <is>
          <t>https://cdn.shopify.com/s/files/1/0792/5098/1063/files/16f7293cbefa5743a35b2e6316a5a114e5c052d08151e367dafd26aa5e2e542b_f5f72ee7-1da4-4a37-98b2-cfa1d00ff0c5.jpg?v=1785132753</t>
        </is>
      </c>
      <c r="D25" s="4" t="inlineStr">
        <is>
          <t>https://cdn.shopify.com/s/files/1/0792/5098/1063/files/16f7293cbefa5743a35b2e6316a5a114e5c052d08151e367dafd26aa5e2e542b_f5f72ee7-1da4-4a37-98b2-cfa1d00ff0c5.jpg?v=1785132753</t>
        </is>
      </c>
      <c r="E25" s="3" t="inlineStr">
        <is>
          <t>47548723986631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2026-09-09T12:37:51+07:00</t>
        </is>
      </c>
      <c r="J25" s="3" t="inlineStr">
        <is>
          <t>QA opened 124_03.jpg (1000x1000) and checked against workbook observation: Comparison panel explaining duvet cover set and comforter set bedding options.</t>
        </is>
      </c>
      <c r="K25" s="3" t="inlineStr">
        <is>
          <t>Comparison panel explaining duvet cover set and comforter set bedding options.</t>
        </is>
      </c>
      <c r="L25" s="3" t="inlineStr">
        <is>
          <t>SET</t>
        </is>
      </c>
      <c r="M25" s="3" t="inlineStr">
        <is>
          <t>Duvet cover and comforter set comparison panel for line-art semi truck textured metallic comforter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["seo_runs\\jeminise.com\\20260906_234129\\qa\\20260909_123751\\images\\124_03.jpg", "https://cdn.shopify.com/s/files/1/0792/5098/1063/files/16f7293cbefa5743a35b2e6316a5a114e5c052d08151e367dafd26aa5e2e542b_f5f72ee7-1da4-4a37-98b2-cfa1d00ff0c5.jpg?v=1785132753"]</t>
        </is>
      </c>
    </row>
    <row r="26" ht="66" customHeight="1">
      <c r="A26" s="2" t="inlineStr">
        <is>
          <t>jeminise.com+custom-trucking-semi-truck-on-textured-metallic-background-comforter-5ee1903c53-5ee1903c53</t>
        </is>
      </c>
      <c r="B26" s="2" t="inlineStr">
        <is>
          <t>qaimg_d78d6c323a4cb3fd</t>
        </is>
      </c>
      <c r="C26" s="4" t="inlineStr">
        <is>
          <t>https://cdn.shopify.com/s/files/1/0792/5098/1063/files/2776eb90f20c7e99621bb907bf459687c837f8ae60c4d1374540e0fec7c43a03.jpg?v=1785132753</t>
        </is>
      </c>
      <c r="D26" s="4" t="inlineStr">
        <is>
          <t>https://cdn.shopify.com/s/files/1/0792/5098/1063/files/2776eb90f20c7e99621bb907bf459687c837f8ae60c4d1374540e0fec7c43a03.jpg?v=1785132753</t>
        </is>
      </c>
      <c r="E26" s="2" t="inlineStr">
        <is>
          <t>47548724019399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2026-09-09T12:37:51+07:00</t>
        </is>
      </c>
      <c r="J26" s="2" t="inlineStr">
        <is>
          <t>QA opened 124_04.jpg (1000x1000) and checked against workbook observation: Feature panel showing textured metallic semi truck comforter, microfiber label and 3D printed pattern callouts.</t>
        </is>
      </c>
      <c r="K26" s="2" t="inlineStr">
        <is>
          <t>Feature panel showing textured metallic semi truck comforter, microfiber label and 3D printed pattern callouts.</t>
        </is>
      </c>
      <c r="L26" s="2" t="inlineStr">
        <is>
          <t>SET</t>
        </is>
      </c>
      <c r="M26" s="2" t="inlineStr">
        <is>
          <t>Textured metallic semi truck comforter feature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["seo_runs\\jeminise.com\\20260906_234129\\qa\\20260909_123751\\images\\124_04.jpg", "https://cdn.shopify.com/s/files/1/0792/5098/1063/files/2776eb90f20c7e99621bb907bf459687c837f8ae60c4d1374540e0fec7c43a03.jpg?v=1785132753"]</t>
        </is>
      </c>
    </row>
    <row r="27" ht="66" customHeight="1">
      <c r="A27" s="3" t="inlineStr">
        <is>
          <t>jeminise.com+custom-trucking-semi-truck-on-textured-metallic-background-comforter-5ee1903c53-5ee1903c53</t>
        </is>
      </c>
      <c r="B27" s="3" t="inlineStr">
        <is>
          <t>qaimg_6c1da8069f0551e3</t>
        </is>
      </c>
      <c r="C27" s="4" t="inlineStr">
        <is>
          <t>https://cdn.shopify.com/s/files/1/0792/5098/1063/files/e114d845ac9ebaa4b654f69449b9ea75627de398b074c743e279f4bf99202bc8.jpg?v=1785132753</t>
        </is>
      </c>
      <c r="D27" s="4" t="inlineStr">
        <is>
          <t>https://cdn.shopify.com/s/files/1/0792/5098/1063/files/e114d845ac9ebaa4b654f69449b9ea75627de398b074c743e279f4bf99202bc8.jpg?v=1785132753</t>
        </is>
      </c>
      <c r="E27" s="3" t="inlineStr">
        <is>
          <t>47548724052167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2026-09-09T12:37:51+07:00</t>
        </is>
      </c>
      <c r="J27" s="3" t="inlineStr">
        <is>
          <t>QA opened 124_05.jpg (1000x1000) and checked against workbook observation: Low-angle bedding mockup of line-art semi truck on dark textured metallic panel with YOUR NAME text with soft, lightweight, durable and breathable icons.</t>
        </is>
      </c>
      <c r="K27" s="3" t="inlineStr">
        <is>
          <t>Low-angle bedding mockup of line-art semi truck on dark textured metallic panel with YOUR NAME text with soft, lightweight, durable and breathable icons.</t>
        </is>
      </c>
      <c r="L27" s="3" t="inlineStr">
        <is>
          <t>SET</t>
        </is>
      </c>
      <c r="M27" s="3" t="inlineStr">
        <is>
          <t>Textured metallic semi truck comforter with feature icons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["seo_runs\\jeminise.com\\20260906_234129\\qa\\20260909_123751\\images\\124_05.jpg", "https://cdn.shopify.com/s/files/1/0792/5098/1063/files/e114d845ac9ebaa4b654f69449b9ea75627de398b074c743e279f4bf99202bc8.jpg?v=1785132753"]</t>
        </is>
      </c>
    </row>
    <row r="28" ht="66" customHeight="1">
      <c r="A28" s="2" t="inlineStr">
        <is>
          <t>jeminise.com+custom-trucking-semi-truck-on-textured-metallic-background-comforter-5ee1903c53-5ee1903c53</t>
        </is>
      </c>
      <c r="B28" s="2" t="inlineStr">
        <is>
          <t>qaimg_79d9e5fa5833715b</t>
        </is>
      </c>
      <c r="C28" s="4" t="inlineStr">
        <is>
          <t>https://cdn.shopify.com/s/files/1/0792/5098/1063/files/7c006bddc94d4763c71c8376307e195c1bbce73b8c802ec73ac5a8cef1291262_11022c84-f04f-4db0-bb76-03d6219792bd.jpg?v=1785132753</t>
        </is>
      </c>
      <c r="D28" s="4" t="inlineStr">
        <is>
          <t>https://cdn.shopify.com/s/files/1/0792/5098/1063/files/7c006bddc94d4763c71c8376307e195c1bbce73b8c802ec73ac5a8cef1291262_11022c84-f04f-4db0-bb76-03d6219792bd.jpg?v=1785132753</t>
        </is>
      </c>
      <c r="E28" s="2" t="inlineStr">
        <is>
          <t>47548724084935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2026-09-09T12:37:51+07:00</t>
        </is>
      </c>
      <c r="J28" s="2" t="inlineStr">
        <is>
          <t>QA opened 124_06.jpg (1000x1000) and checked against workbook observation: Stress-free easy-care panel listing wrinkle-free, stain-proof, anti-pilling and wash durability.</t>
        </is>
      </c>
      <c r="K28" s="2" t="inlineStr">
        <is>
          <t>Stress-free easy-care panel listing wrinkle-free, stain-proof, anti-pilling and wash durability.</t>
        </is>
      </c>
      <c r="L28" s="2" t="inlineStr">
        <is>
          <t>SET</t>
        </is>
      </c>
      <c r="M28" s="2" t="inlineStr">
        <is>
          <t>Easy care panel for comforter bedding for line-art semi truck textured metallic comforter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["seo_runs\\jeminise.com\\20260906_234129\\qa\\20260909_123751\\images\\124_06.jpg", "https://cdn.shopify.com/s/files/1/0792/5098/1063/files/7c006bddc94d4763c71c8376307e195c1bbce73b8c802ec73ac5a8cef1291262_11022c84-f04f-4db0-bb76-03d6219792bd.jpg?v=1785132753"]</t>
        </is>
      </c>
    </row>
    <row r="29" ht="66" customHeight="1">
      <c r="A29" s="3" t="inlineStr">
        <is>
          <t>jeminise.com+custom-trucking-semi-truck-on-textured-metallic-background-comforter-5ee1903c53-5ee1903c53</t>
        </is>
      </c>
      <c r="B29" s="3" t="inlineStr">
        <is>
          <t>qaimg_542467c895af1638</t>
        </is>
      </c>
      <c r="C29" s="4" t="inlineStr">
        <is>
          <t>https://cdn.shopify.com/s/files/1/0792/5098/1063/files/e5cad84edb4d7bf77c48fd7c8e52eb3b73f04eba8bf177671fd8a059c59422e8_922b3cca-440c-441c-b487-e8057643c614.jpg?v=1785132753</t>
        </is>
      </c>
      <c r="D29" s="4" t="inlineStr">
        <is>
          <t>https://cdn.shopify.com/s/files/1/0792/5098/1063/files/e5cad84edb4d7bf77c48fd7c8e52eb3b73f04eba8bf177671fd8a059c59422e8_922b3cca-440c-441c-b487-e8057643c614.jpg?v=1785132753</t>
        </is>
      </c>
      <c r="E29" s="3" t="inlineStr">
        <is>
          <t>47548724117703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2026-09-09T12:37:51+07:00</t>
        </is>
      </c>
      <c r="J29" s="3" t="inlineStr">
        <is>
          <t>QA opened 124_07.jpg (1000x1000) and checked against workbook observation: Size dimension chart showing twin, full, queen and king bedding measurements.</t>
        </is>
      </c>
      <c r="K29" s="3" t="inlineStr">
        <is>
          <t>Size dimension chart showing twin, full, queen and king bedding measurements.</t>
        </is>
      </c>
      <c r="L29" s="3" t="inlineStr">
        <is>
          <t>SET</t>
        </is>
      </c>
      <c r="M29" s="3" t="inlineStr">
        <is>
          <t>Comforter set size dimension chart for line-art semi truck textured metallic comforter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["seo_runs\\jeminise.com\\20260906_234129\\qa\\20260909_123751\\images\\124_07.jpg", "https://cdn.shopify.com/s/files/1/0792/5098/1063/files/e5cad84edb4d7bf77c48fd7c8e52eb3b73f04eba8bf177671fd8a059c59422e8_922b3cca-440c-441c-b487-e8057643c614.jpg?v=1785132753"]</t>
        </is>
      </c>
    </row>
    <row r="30" ht="66" customHeight="1">
      <c r="A30" s="2" t="inlineStr">
        <is>
          <t>jeminise.com+custom-trucking-semi-truck-under-starry-night-sky-comforter-6bbe1b0cd5-6bbe1b0cd5</t>
        </is>
      </c>
      <c r="B30" s="2" t="inlineStr">
        <is>
          <t>qaimg_4f7714e0f8829676</t>
        </is>
      </c>
      <c r="C30" s="4" t="inlineStr">
        <is>
          <t>https://cdn.shopify.com/s/files/1/0792/5098/1063/files/66486682f9ef934c1eee08c4d8d1b66c4f2c0764b327966d8b42831f194ce09c.jpg?v=1785132251</t>
        </is>
      </c>
      <c r="D30" s="4" t="inlineStr">
        <is>
          <t>https://cdn.shopify.com/s/files/1/0792/5098/1063/files/66486682f9ef934c1eee08c4d8d1b66c4f2c0764b327966d8b42831f194ce09c.jpg?v=1785132251</t>
        </is>
      </c>
      <c r="E30" s="2" t="inlineStr">
        <is>
          <t>47548644098247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2026-09-09T12:37:51+07:00</t>
        </is>
      </c>
      <c r="J30" s="2" t="inlineStr">
        <is>
          <t>QA opened 125_01.jpg (1000x1000) and checked against workbook observation: Bedroom mockup of blue-purple semi truck under a starry sky with YOUR NAME and My Heart Is Always With You text.</t>
        </is>
      </c>
      <c r="K30" s="2" t="inlineStr">
        <is>
          <t>Bedroom mockup of blue-purple semi truck under a starry sky with YOUR NAME and My Heart Is Always With You text.</t>
        </is>
      </c>
      <c r="L30" s="2" t="inlineStr">
        <is>
          <t>SET</t>
        </is>
      </c>
      <c r="M30" s="2" t="inlineStr">
        <is>
          <t>Starry night semi truck comforter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["seo_runs\\jeminise.com\\20260906_234129\\qa\\20260909_123751\\images\\125_01.jpg", "https://cdn.shopify.com/s/files/1/0792/5098/1063/files/66486682f9ef934c1eee08c4d8d1b66c4f2c0764b327966d8b42831f194ce09c.jpg?v=1785132251"]</t>
        </is>
      </c>
    </row>
    <row r="31" ht="66" customHeight="1">
      <c r="A31" s="3" t="inlineStr">
        <is>
          <t>jeminise.com+custom-trucking-semi-truck-under-starry-night-sky-comforter-6bbe1b0cd5-6bbe1b0cd5</t>
        </is>
      </c>
      <c r="B31" s="3" t="inlineStr">
        <is>
          <t>qaimg_7a5838d0ff81e052</t>
        </is>
      </c>
      <c r="C31" s="4" t="inlineStr">
        <is>
          <t>https://cdn.shopify.com/s/files/1/0792/5098/1063/files/c278ece189736351d50cbf66747592905b57e00b5c3663b3a9eb95a085b8aaeb.jpg?v=1785132251</t>
        </is>
      </c>
      <c r="D31" s="4" t="inlineStr">
        <is>
          <t>https://cdn.shopify.com/s/files/1/0792/5098/1063/files/c278ece189736351d50cbf66747592905b57e00b5c3663b3a9eb95a085b8aaeb.jpg?v=1785132251</t>
        </is>
      </c>
      <c r="E31" s="3" t="inlineStr">
        <is>
          <t>47548644131015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2026-09-09T12:37:51+07:00</t>
        </is>
      </c>
      <c r="J31" s="3" t="inlineStr">
        <is>
          <t>QA opened 125_02.jpg (1000x1000) and checked against workbook observation: Second bedroom mockup of blue-purple semi truck under a starry sky with YOUR NAME and My Heart Is Always With You text with matching shams and folded top sheet.</t>
        </is>
      </c>
      <c r="K31" s="3" t="inlineStr">
        <is>
          <t>Second bedroom mockup of blue-purple semi truck under a starry sky with YOUR NAME and My Heart Is Always With You text with matching shams and folded top sheet.</t>
        </is>
      </c>
      <c r="L31" s="3" t="inlineStr">
        <is>
          <t>SET</t>
        </is>
      </c>
      <c r="M31" s="3" t="inlineStr">
        <is>
          <t>Starry night semi truck comforter bedding set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["seo_runs\\jeminise.com\\20260906_234129\\qa\\20260909_123751\\images\\125_02.jpg", "https://cdn.shopify.com/s/files/1/0792/5098/1063/files/c278ece189736351d50cbf66747592905b57e00b5c3663b3a9eb95a085b8aaeb.jpg?v=1785132251"]</t>
        </is>
      </c>
    </row>
    <row r="32" ht="66" customHeight="1">
      <c r="A32" s="2" t="inlineStr">
        <is>
          <t>jeminise.com+custom-trucking-semi-truck-under-starry-night-sky-comforter-6bbe1b0cd5-6bbe1b0cd5</t>
        </is>
      </c>
      <c r="B32" s="2" t="inlineStr">
        <is>
          <t>qaimg_21ad2134dd7026f4</t>
        </is>
      </c>
      <c r="C32" s="4" t="inlineStr">
        <is>
          <t>https://cdn.shopify.com/s/files/1/0792/5098/1063/files/16f7293cbefa5743a35b2e6316a5a114e5c052d08151e367dafd26aa5e2e542b_711afbd8-1c78-4abc-b9dc-844544a630d3.jpg?v=1785132252</t>
        </is>
      </c>
      <c r="D32" s="4" t="inlineStr">
        <is>
          <t>https://cdn.shopify.com/s/files/1/0792/5098/1063/files/16f7293cbefa5743a35b2e6316a5a114e5c052d08151e367dafd26aa5e2e542b_711afbd8-1c78-4abc-b9dc-844544a630d3.jpg?v=1785132252</t>
        </is>
      </c>
      <c r="E32" s="2" t="inlineStr">
        <is>
          <t>47548644163783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2026-09-09T12:37:51+07:00</t>
        </is>
      </c>
      <c r="J32" s="2" t="inlineStr">
        <is>
          <t>QA opened 125_03.jpg (1000x1000) and checked against workbook observation: Comparison panel explaining duvet cover set and comforter set bedding options.</t>
        </is>
      </c>
      <c r="K32" s="2" t="inlineStr">
        <is>
          <t>Comparison panel explaining duvet cover set and comforter set bedding options.</t>
        </is>
      </c>
      <c r="L32" s="2" t="inlineStr">
        <is>
          <t>SET</t>
        </is>
      </c>
      <c r="M32" s="2" t="inlineStr">
        <is>
          <t>Duvet cover and comforter set comparison panel for starry night semi truck heart message comforter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["seo_runs\\jeminise.com\\20260906_234129\\qa\\20260909_123751\\images\\125_03.jpg", "https://cdn.shopify.com/s/files/1/0792/5098/1063/files/16f7293cbefa5743a35b2e6316a5a114e5c052d08151e367dafd26aa5e2e542b_711afbd8-1c78-4abc-b9dc-844544a630d3.jpg?v=1785132252"]</t>
        </is>
      </c>
    </row>
    <row r="33" ht="66" customHeight="1">
      <c r="A33" s="3" t="inlineStr">
        <is>
          <t>jeminise.com+custom-trucking-semi-truck-under-starry-night-sky-comforter-6bbe1b0cd5-6bbe1b0cd5</t>
        </is>
      </c>
      <c r="B33" s="3" t="inlineStr">
        <is>
          <t>qaimg_5fdf8b137e7e12dd</t>
        </is>
      </c>
      <c r="C33" s="4" t="inlineStr">
        <is>
          <t>https://cdn.shopify.com/s/files/1/0792/5098/1063/files/35a06f8610a3c89e13a39e269c58d7a5c19e53ee3bc7e0d28447be78e2f81527.jpg?v=1785132251</t>
        </is>
      </c>
      <c r="D33" s="4" t="inlineStr">
        <is>
          <t>https://cdn.shopify.com/s/files/1/0792/5098/1063/files/35a06f8610a3c89e13a39e269c58d7a5c19e53ee3bc7e0d28447be78e2f81527.jpg?v=1785132251</t>
        </is>
      </c>
      <c r="E33" s="3" t="inlineStr">
        <is>
          <t>47548644196551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2026-09-09T12:37:51+07:00</t>
        </is>
      </c>
      <c r="J33" s="3" t="inlineStr">
        <is>
          <t>QA opened 125_04.jpg (1000x1000) and checked against workbook observation: Feature panel showing starry night semi truck comforter, microfiber label and 3D printed pattern callouts.</t>
        </is>
      </c>
      <c r="K33" s="3" t="inlineStr">
        <is>
          <t>Feature panel showing starry night semi truck comforter, microfiber label and 3D printed pattern callouts.</t>
        </is>
      </c>
      <c r="L33" s="3" t="inlineStr">
        <is>
          <t>SET</t>
        </is>
      </c>
      <c r="M33" s="3" t="inlineStr">
        <is>
          <t>Starry night semi truck comforter feature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["seo_runs\\jeminise.com\\20260906_234129\\qa\\20260909_123751\\images\\125_04.jpg", "https://cdn.shopify.com/s/files/1/0792/5098/1063/files/35a06f8610a3c89e13a39e269c58d7a5c19e53ee3bc7e0d28447be78e2f81527.jpg?v=1785132251"]</t>
        </is>
      </c>
    </row>
    <row r="34" ht="66" customHeight="1">
      <c r="A34" s="2" t="inlineStr">
        <is>
          <t>jeminise.com+custom-trucking-semi-truck-under-starry-night-sky-comforter-6bbe1b0cd5-6bbe1b0cd5</t>
        </is>
      </c>
      <c r="B34" s="2" t="inlineStr">
        <is>
          <t>qaimg_78a9aa1775c0e568</t>
        </is>
      </c>
      <c r="C34" s="4" t="inlineStr">
        <is>
          <t>https://cdn.shopify.com/s/files/1/0792/5098/1063/files/84d1a4dac8e15358c95d2049b2828465cd42893be60d78a0c6bf9b7d07c2d3af.jpg?v=1785132251</t>
        </is>
      </c>
      <c r="D34" s="4" t="inlineStr">
        <is>
          <t>https://cdn.shopify.com/s/files/1/0792/5098/1063/files/84d1a4dac8e15358c95d2049b2828465cd42893be60d78a0c6bf9b7d07c2d3af.jpg?v=1785132251</t>
        </is>
      </c>
      <c r="E34" s="2" t="inlineStr">
        <is>
          <t>47548644229319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2026-09-09T12:37:51+07:00</t>
        </is>
      </c>
      <c r="J34" s="2" t="inlineStr">
        <is>
          <t>QA opened 125_05.jpg (1000x1000) and checked against workbook observation: Low-angle bedding mockup of blue-purple semi truck under a starry sky with YOUR NAME and My Heart Is Always With You text with soft, lightweight, durable and breathable icons.</t>
        </is>
      </c>
      <c r="K34" s="2" t="inlineStr">
        <is>
          <t>Low-angle bedding mockup of blue-purple semi truck under a starry sky with YOUR NAME and My Heart Is Always With You text with soft, lightweight, durable and breathable icons.</t>
        </is>
      </c>
      <c r="L34" s="2" t="inlineStr">
        <is>
          <t>SET</t>
        </is>
      </c>
      <c r="M34" s="2" t="inlineStr">
        <is>
          <t>Starry night semi truck comforter with feature icons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["seo_runs\\jeminise.com\\20260906_234129\\qa\\20260909_123751\\images\\125_05.jpg", "https://cdn.shopify.com/s/files/1/0792/5098/1063/files/84d1a4dac8e15358c95d2049b2828465cd42893be60d78a0c6bf9b7d07c2d3af.jpg?v=1785132251"]</t>
        </is>
      </c>
    </row>
    <row r="35" ht="66" customHeight="1">
      <c r="A35" s="3" t="inlineStr">
        <is>
          <t>jeminise.com+custom-trucking-semi-truck-under-starry-night-sky-comforter-6bbe1b0cd5-6bbe1b0cd5</t>
        </is>
      </c>
      <c r="B35" s="3" t="inlineStr">
        <is>
          <t>qaimg_e61fe532643e7834</t>
        </is>
      </c>
      <c r="C35" s="4" t="inlineStr">
        <is>
          <t>https://cdn.shopify.com/s/files/1/0792/5098/1063/files/7c006bddc94d4763c71c8376307e195c1bbce73b8c802ec73ac5a8cef1291262_081a2c1f-f875-461a-aaef-dd038b65649d.jpg?v=1785132251</t>
        </is>
      </c>
      <c r="D35" s="4" t="inlineStr">
        <is>
          <t>https://cdn.shopify.com/s/files/1/0792/5098/1063/files/7c006bddc94d4763c71c8376307e195c1bbce73b8c802ec73ac5a8cef1291262_081a2c1f-f875-461a-aaef-dd038b65649d.jpg?v=1785132251</t>
        </is>
      </c>
      <c r="E35" s="3" t="inlineStr">
        <is>
          <t>47548644262087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2026-09-09T12:37:51+07:00</t>
        </is>
      </c>
      <c r="J35" s="3" t="inlineStr">
        <is>
          <t>QA opened 125_06.jpg (1000x1000) and checked against workbook observation: Stress-free easy-care panel listing wrinkle-free, stain-proof, anti-pilling and wash durability.</t>
        </is>
      </c>
      <c r="K35" s="3" t="inlineStr">
        <is>
          <t>Stress-free easy-care panel listing wrinkle-free, stain-proof, anti-pilling and wash durability.</t>
        </is>
      </c>
      <c r="L35" s="3" t="inlineStr">
        <is>
          <t>SET</t>
        </is>
      </c>
      <c r="M35" s="3" t="inlineStr">
        <is>
          <t>Easy care panel for comforter bedding for starry night semi truck heart message comforter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["seo_runs\\jeminise.com\\20260906_234129\\qa\\20260909_123751\\images\\125_06.jpg", "https://cdn.shopify.com/s/files/1/0792/5098/1063/files/7c006bddc94d4763c71c8376307e195c1bbce73b8c802ec73ac5a8cef1291262_081a2c1f-f875-461a-aaef-dd038b65649d.jpg?v=1785132251"]</t>
        </is>
      </c>
    </row>
    <row r="36" ht="66" customHeight="1">
      <c r="A36" s="2" t="inlineStr">
        <is>
          <t>jeminise.com+custom-trucking-semi-truck-under-starry-night-sky-comforter-6bbe1b0cd5-6bbe1b0cd5</t>
        </is>
      </c>
      <c r="B36" s="2" t="inlineStr">
        <is>
          <t>qaimg_2a1e7c60c8c0a124</t>
        </is>
      </c>
      <c r="C36" s="4" t="inlineStr">
        <is>
          <t>https://cdn.shopify.com/s/files/1/0792/5098/1063/files/e5cad84edb4d7bf77c48fd7c8e52eb3b73f04eba8bf177671fd8a059c59422e8_eb794822-9d5b-4dc8-801a-bf0cf9740fc2.jpg?v=1785132251</t>
        </is>
      </c>
      <c r="D36" s="4" t="inlineStr">
        <is>
          <t>https://cdn.shopify.com/s/files/1/0792/5098/1063/files/e5cad84edb4d7bf77c48fd7c8e52eb3b73f04eba8bf177671fd8a059c59422e8_eb794822-9d5b-4dc8-801a-bf0cf9740fc2.jpg?v=1785132251</t>
        </is>
      </c>
      <c r="E36" s="2" t="inlineStr">
        <is>
          <t>47548644294855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2026-09-09T12:37:51+07:00</t>
        </is>
      </c>
      <c r="J36" s="2" t="inlineStr">
        <is>
          <t>QA opened 125_07.jpg (1000x1000) and checked against workbook observation: Size dimension chart showing twin, full, queen and king bedding measurements.</t>
        </is>
      </c>
      <c r="K36" s="2" t="inlineStr">
        <is>
          <t>Size dimension chart showing twin, full, queen and king bedding measurements.</t>
        </is>
      </c>
      <c r="L36" s="2" t="inlineStr">
        <is>
          <t>SET</t>
        </is>
      </c>
      <c r="M36" s="2" t="inlineStr">
        <is>
          <t>Comforter set size dimension chart for starry night semi truck heart message comforter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["seo_runs\\jeminise.com\\20260906_234129\\qa\\20260909_123751\\images\\125_07.jpg", "https://cdn.shopify.com/s/files/1/0792/5098/1063/files/e5cad84edb4d7bf77c48fd7c8e52eb3b73f04eba8bf177671fd8a059c59422e8_eb794822-9d5b-4dc8-801a-bf0cf9740fc2.jpg?v=1785132251"]</t>
        </is>
      </c>
    </row>
    <row r="37" ht="66" customHeight="1">
      <c r="A37" s="3" t="inlineStr">
        <is>
          <t>jeminise.com+cardinal-christmas-quilt-set-7237701d00-7237701d00</t>
        </is>
      </c>
      <c r="B37" s="3" t="inlineStr">
        <is>
          <t>qaimg_eee7038d0fee2b97</t>
        </is>
      </c>
      <c r="C37" s="4" t="inlineStr">
        <is>
          <t>https://cdn.shopify.com/s/files/1/0792/5098/1063/files/118574be8aa324483555a5c07a7e0f89b235f456f217c4e560b5d20b9b8caca2.jpg?v=1785099027</t>
        </is>
      </c>
      <c r="D37" s="4" t="inlineStr">
        <is>
          <t>https://cdn.shopify.com/s/files/1/0792/5098/1063/files/118574be8aa324483555a5c07a7e0f89b235f456f217c4e560b5d20b9b8caca2.jpg?v=1785099027</t>
        </is>
      </c>
      <c r="E37" s="3" t="inlineStr">
        <is>
          <t>47539995869383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2026-09-09T12:37:51+07:00</t>
        </is>
      </c>
      <c r="J37" s="3" t="inlineStr">
        <is>
          <t>QA opened 126_01.jpg (1200x1200) and checked against workbook observation: Bedroom mockup of Christmas cardinal quilt with two red birds, holly branches, berries and matching shams.</t>
        </is>
      </c>
      <c r="K37" s="3" t="inlineStr">
        <is>
          <t>Bedroom mockup of Christmas cardinal quilt with two red birds, holly branches, berries and matching shams.</t>
        </is>
      </c>
      <c r="L37" s="3" t="inlineStr">
        <is>
          <t>SET</t>
        </is>
      </c>
      <c r="M37" s="3" t="inlineStr">
        <is>
          <t>Cardinal Christmas quilt set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["seo_runs\\jeminise.com\\20260906_234129\\qa\\20260909_123751\\images\\126_01.jpg", "https://cdn.shopify.com/s/files/1/0792/5098/1063/files/118574be8aa324483555a5c07a7e0f89b235f456f217c4e560b5d20b9b8caca2.jpg?v=1785099027"]</t>
        </is>
      </c>
    </row>
    <row r="38" ht="66" customHeight="1">
      <c r="A38" s="2" t="inlineStr">
        <is>
          <t>jeminise.com+cardinal-christmas-quilt-set-7237701d00-7237701d00</t>
        </is>
      </c>
      <c r="B38" s="2" t="inlineStr">
        <is>
          <t>qaimg_ab60bbdf52e67b0f</t>
        </is>
      </c>
      <c r="C38" s="4" t="inlineStr">
        <is>
          <t>https://cdn.shopify.com/s/files/1/0792/5098/1063/files/558f636f9835c8da11707934b23be9fb29f46bd1b2dd4e245008c77d5dc5b615.jpg?v=1785099027</t>
        </is>
      </c>
      <c r="D38" s="4" t="inlineStr">
        <is>
          <t>https://cdn.shopify.com/s/files/1/0792/5098/1063/files/558f636f9835c8da11707934b23be9fb29f46bd1b2dd4e245008c77d5dc5b615.jpg?v=1785099027</t>
        </is>
      </c>
      <c r="E38" s="2" t="inlineStr">
        <is>
          <t>47539995902151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2026-09-09T12:37:51+07:00</t>
        </is>
      </c>
      <c r="J38" s="2" t="inlineStr">
        <is>
          <t>QA opened 126_02.jpg (1200x1200) and checked against workbook observation: Room mockup of cardinal quilt with premium printed craft callout and fabric inset.</t>
        </is>
      </c>
      <c r="K38" s="2" t="inlineStr">
        <is>
          <t>Room mockup of cardinal quilt with premium printed craft callout and fabric inset.</t>
        </is>
      </c>
      <c r="L38" s="2" t="inlineStr">
        <is>
          <t>SET</t>
        </is>
      </c>
      <c r="M38" s="2" t="inlineStr">
        <is>
          <t>Cardinal holiday quilt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["seo_runs\\jeminise.com\\20260906_234129\\qa\\20260909_123751\\images\\126_02.jpg", "https://cdn.shopify.com/s/files/1/0792/5098/1063/files/558f636f9835c8da11707934b23be9fb29f46bd1b2dd4e245008c77d5dc5b615.jpg?v=1785099027"]</t>
        </is>
      </c>
    </row>
    <row r="39" ht="66" customHeight="1">
      <c r="A39" s="3" t="inlineStr">
        <is>
          <t>jeminise.com+cardinal-christmas-quilt-set-7237701d00-7237701d00</t>
        </is>
      </c>
      <c r="B39" s="3" t="inlineStr">
        <is>
          <t>qaimg_1b07b5b0c0a0de71</t>
        </is>
      </c>
      <c r="C39" s="4" t="inlineStr">
        <is>
          <t>https://cdn.shopify.com/s/files/1/0792/5098/1063/files/abfe9f48500d8477415f31d7eeb4b5b14d9d4baf87c88a41a44bc7d839521ec8.jpg?v=1785099027</t>
        </is>
      </c>
      <c r="D39" s="4" t="inlineStr">
        <is>
          <t>https://cdn.shopify.com/s/files/1/0792/5098/1063/files/abfe9f48500d8477415f31d7eeb4b5b14d9d4baf87c88a41a44bc7d839521ec8.jpg?v=1785099027</t>
        </is>
      </c>
      <c r="E39" s="3" t="inlineStr">
        <is>
          <t>47539995934919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2026-09-09T12:37:51+07:00</t>
        </is>
      </c>
      <c r="J39" s="3" t="inlineStr">
        <is>
          <t>QA opened 126_03.jpg (1200x1200) and checked against workbook observation: Optional pillow shams panel showing red cardinal and holly branch artwork.</t>
        </is>
      </c>
      <c r="K39" s="3" t="inlineStr">
        <is>
          <t>Optional pillow shams panel showing red cardinal and holly branch artwork.</t>
        </is>
      </c>
      <c r="L39" s="3" t="inlineStr">
        <is>
          <t>SET</t>
        </is>
      </c>
      <c r="M39" s="3" t="inlineStr">
        <is>
          <t>Cardinal Christmas pillow shams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["seo_runs\\jeminise.com\\20260906_234129\\qa\\20260909_123751\\images\\126_03.jpg", "https://cdn.shopify.com/s/files/1/0792/5098/1063/files/abfe9f48500d8477415f31d7eeb4b5b14d9d4baf87c88a41a44bc7d839521ec8.jpg?v=1785099027"]</t>
        </is>
      </c>
    </row>
    <row r="40" ht="66" customHeight="1">
      <c r="A40" s="2" t="inlineStr">
        <is>
          <t>jeminise.com+cardinal-christmas-quilt-set-7237701d00-7237701d00</t>
        </is>
      </c>
      <c r="B40" s="2" t="inlineStr">
        <is>
          <t>qaimg_f25a05e868e7c563</t>
        </is>
      </c>
      <c r="C40" s="4" t="inlineStr">
        <is>
          <t>https://cdn.shopify.com/s/files/1/0792/5098/1063/files/fff13981b816839b4d2573b1e588d70d1508edc78ae4cb40b19c1c1449fa81d7.jpg?v=1785099027</t>
        </is>
      </c>
      <c r="D40" s="4" t="inlineStr">
        <is>
          <t>https://cdn.shopify.com/s/files/1/0792/5098/1063/files/fff13981b816839b4d2573b1e588d70d1508edc78ae4cb40b19c1c1449fa81d7.jpg?v=1785099027</t>
        </is>
      </c>
      <c r="E40" s="2" t="inlineStr">
        <is>
          <t>47539995967687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2026-09-09T12:37:51+07:00</t>
        </is>
      </c>
      <c r="J40" s="2" t="inlineStr">
        <is>
          <t>QA opened 126_04.jpg (1200x1200) and checked against workbook observation: High-quality fabric panel showing cardinal quilt detail and pillow mockup.</t>
        </is>
      </c>
      <c r="K40" s="2" t="inlineStr">
        <is>
          <t>High-quality fabric panel showing cardinal quilt detail and pillow mockup.</t>
        </is>
      </c>
      <c r="L40" s="2" t="inlineStr">
        <is>
          <t>SET</t>
        </is>
      </c>
      <c r="M40" s="2" t="inlineStr">
        <is>
          <t>Cardinal quilt fabric detail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["seo_runs\\jeminise.com\\20260906_234129\\qa\\20260909_123751\\images\\126_04.jpg", "https://cdn.shopify.com/s/files/1/0792/5098/1063/files/fff13981b816839b4d2573b1e588d70d1508edc78ae4cb40b19c1c1449fa81d7.jpg?v=1785099027"]</t>
        </is>
      </c>
    </row>
    <row r="41" ht="66" customHeight="1">
      <c r="A41" s="3" t="inlineStr">
        <is>
          <t>jeminise.com+cardinal-christmas-quilt-set-7237701d00-7237701d00</t>
        </is>
      </c>
      <c r="B41" s="3" t="inlineStr">
        <is>
          <t>qaimg_ffed4044612be923</t>
        </is>
      </c>
      <c r="C41" s="4" t="inlineStr">
        <is>
          <t>https://cdn.shopify.com/s/files/1/0792/5098/1063/files/76ae51978c72236721d8d0072b2c19806dc2db905a27ec5a7bcf33752a375010.jpg?v=1785099027</t>
        </is>
      </c>
      <c r="D41" s="4" t="inlineStr">
        <is>
          <t>https://cdn.shopify.com/s/files/1/0792/5098/1063/files/76ae51978c72236721d8d0072b2c19806dc2db905a27ec5a7bcf33752a375010.jpg?v=1785099027</t>
        </is>
      </c>
      <c r="E41" s="3" t="inlineStr">
        <is>
          <t>47539996000455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2026-09-09T12:37:51+07:00</t>
        </is>
      </c>
      <c r="J41" s="3" t="inlineStr">
        <is>
          <t>QA opened 126_05.jpg (1200x1200) and checked against workbook observation: Premium quilt set size chart with cardinal quilt thumbnail and bed measurements.</t>
        </is>
      </c>
      <c r="K41" s="3" t="inlineStr">
        <is>
          <t>Premium quilt set size chart with cardinal quilt thumbnail and bed measurements.</t>
        </is>
      </c>
      <c r="L41" s="3" t="inlineStr">
        <is>
          <t>SET</t>
        </is>
      </c>
      <c r="M41" s="3" t="inlineStr">
        <is>
          <t>Cardinal quilt set size chart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["seo_runs\\jeminise.com\\20260906_234129\\qa\\20260909_123751\\images\\126_05.jpg", "https://cdn.shopify.com/s/files/1/0792/5098/1063/files/76ae51978c72236721d8d0072b2c19806dc2db905a27ec5a7bcf33752a375010.jpg?v=1785099027"]</t>
        </is>
      </c>
    </row>
    <row r="42" ht="66" customHeight="1">
      <c r="A42" s="2" t="inlineStr">
        <is>
          <t>jeminise.com+cardinal-christmas-quilt-set-7237701d00-7237701d00</t>
        </is>
      </c>
      <c r="B42" s="2" t="inlineStr">
        <is>
          <t>qaimg_f484e05f117e5fd3</t>
        </is>
      </c>
      <c r="C42" s="4" t="inlineStr">
        <is>
          <t>https://cdn.shopify.com/s/files/1/0792/5098/1063/files/91dfea77e81e54512c9459d2114b6842ae71378ea84caa74f80e275c770a1fa4.jpg?v=1785099027</t>
        </is>
      </c>
      <c r="D42" s="4" t="inlineStr">
        <is>
          <t>https://cdn.shopify.com/s/files/1/0792/5098/1063/files/91dfea77e81e54512c9459d2114b6842ae71378ea84caa74f80e275c770a1fa4.jpg?v=1785099027</t>
        </is>
      </c>
      <c r="E42" s="2" t="inlineStr">
        <is>
          <t>47539996033223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2026-09-09T12:37:51+07:00</t>
        </is>
      </c>
      <c r="J42" s="2" t="inlineStr">
        <is>
          <t>QA opened 126_06.jpg (1200x1200) and checked against workbook observation: Bedspread features panel showing quilt layers and anti-wrinkle, anti-static and machine-washable icons.</t>
        </is>
      </c>
      <c r="K42" s="2" t="inlineStr">
        <is>
          <t>Bedspread features panel showing quilt layers and anti-wrinkle, anti-static and machine-washable icons.</t>
        </is>
      </c>
      <c r="L42" s="2" t="inlineStr">
        <is>
          <t>SET</t>
        </is>
      </c>
      <c r="M42" s="2" t="inlineStr">
        <is>
          <t>Cardinal quilt construction feature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["seo_runs\\jeminise.com\\20260906_234129\\qa\\20260909_123751\\images\\126_06.jpg", "https://cdn.shopify.com/s/files/1/0792/5098/1063/files/91dfea77e81e54512c9459d2114b6842ae71378ea84caa74f80e275c770a1fa4.jpg?v=1785099027"]</t>
        </is>
      </c>
    </row>
    <row r="43" ht="66" customHeight="1">
      <c r="A43" s="3" t="inlineStr">
        <is>
          <t>jeminise.com+cardinal-christmas-quilt-set-7237701d00-7237701d00</t>
        </is>
      </c>
      <c r="B43" s="3" t="inlineStr">
        <is>
          <t>qaimg_16f297a270661477</t>
        </is>
      </c>
      <c r="C43" s="4" t="inlineStr">
        <is>
          <t>https://cdn.shopify.com/s/files/1/0792/5098/1063/files/1e1a64d7533bc3dd04c4bf7e1b3aaa5754de833077ca3b30d63a7db6b9cc4622.jpg?v=1785099027</t>
        </is>
      </c>
      <c r="D43" s="4" t="inlineStr">
        <is>
          <t>https://cdn.shopify.com/s/files/1/0792/5098/1063/files/1e1a64d7533bc3dd04c4bf7e1b3aaa5754de833077ca3b30d63a7db6b9cc4622.jpg?v=1785099027</t>
        </is>
      </c>
      <c r="E43" s="3" t="inlineStr">
        <is>
          <t>47539996065991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2026-09-09T12:37:51+07:00</t>
        </is>
      </c>
      <c r="J43" s="3" t="inlineStr">
        <is>
          <t>QA opened 126_07.jpg (1200x1200) and checked against workbook observation: Bedroom mockup of cardinal Christmas quilt with dark red border and matching shams.</t>
        </is>
      </c>
      <c r="K43" s="3" t="inlineStr">
        <is>
          <t>Bedroom mockup of cardinal Christmas quilt with dark red border and matching shams.</t>
        </is>
      </c>
      <c r="L43" s="3" t="inlineStr">
        <is>
          <t>SET</t>
        </is>
      </c>
      <c r="M43" s="3" t="inlineStr">
        <is>
          <t>Cardinal Christmas quilt bedroom mockup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["seo_runs\\jeminise.com\\20260906_234129\\qa\\20260909_123751\\images\\126_07.jpg", "https://cdn.shopify.com/s/files/1/0792/5098/1063/files/1e1a64d7533bc3dd04c4bf7e1b3aaa5754de833077ca3b30d63a7db6b9cc4622.jpg?v=1785099027"]</t>
        </is>
      </c>
    </row>
    <row r="44" ht="66" customHeight="1">
      <c r="A44" s="2" t="inlineStr">
        <is>
          <t>jeminise.com+custom-wildlife-wolf-head-close-up-portrait-comforter-3233b9edb7-3233b9edb7</t>
        </is>
      </c>
      <c r="B44" s="2" t="inlineStr">
        <is>
          <t>qaimg_62394a28faf294d0</t>
        </is>
      </c>
      <c r="C44" s="4" t="inlineStr">
        <is>
          <t>https://cdn.shopify.com/s/files/1/0792/5098/1063/files/d98912080910bd4204041b4cc5fda4e079916726c4bbf96a96c48300c109b9a3.jpg?v=1785181200</t>
        </is>
      </c>
      <c r="D44" s="4" t="inlineStr">
        <is>
          <t>https://cdn.shopify.com/s/files/1/0792/5098/1063/files/d98912080910bd4204041b4cc5fda4e079916726c4bbf96a96c48300c109b9a3.jpg?v=1785181200</t>
        </is>
      </c>
      <c r="E44" s="2" t="inlineStr">
        <is>
          <t>47560028127431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2026-09-09T12:37:51+07:00</t>
        </is>
      </c>
      <c r="J44" s="2" t="inlineStr">
        <is>
          <t>QA opened 127_01.jpg (1200x1200) and checked against workbook observation: Bedroom mockup of colorful close-up wolf head quilt with yellow eyes and matching shams.</t>
        </is>
      </c>
      <c r="K44" s="2" t="inlineStr">
        <is>
          <t>Bedroom mockup of colorful close-up wolf head quilt with yellow eyes and matching shams.</t>
        </is>
      </c>
      <c r="L44" s="2" t="inlineStr">
        <is>
          <t>SET</t>
        </is>
      </c>
      <c r="M44" s="2" t="inlineStr">
        <is>
          <t>Colorful wolf head quilt set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["seo_runs\\jeminise.com\\20260906_234129\\qa\\20260909_123751\\images\\127_01.jpg", "https://cdn.shopify.com/s/files/1/0792/5098/1063/files/d98912080910bd4204041b4cc5fda4e079916726c4bbf96a96c48300c109b9a3.jpg?v=1785181200"]</t>
        </is>
      </c>
    </row>
    <row r="45" ht="66" customHeight="1">
      <c r="A45" s="3" t="inlineStr">
        <is>
          <t>jeminise.com+custom-wildlife-wolf-head-close-up-portrait-comforter-3233b9edb7-3233b9edb7</t>
        </is>
      </c>
      <c r="B45" s="3" t="inlineStr">
        <is>
          <t>qaimg_6975633c80969d0a</t>
        </is>
      </c>
      <c r="C45" s="4" t="inlineStr">
        <is>
          <t>https://cdn.shopify.com/s/files/1/0792/5098/1063/files/c7412f77877790fadbda8d282b39ce2fc56221f5c7c1e81e4a77476310e19166.jpg?v=1785181199</t>
        </is>
      </c>
      <c r="D45" s="4" t="inlineStr">
        <is>
          <t>https://cdn.shopify.com/s/files/1/0792/5098/1063/files/c7412f77877790fadbda8d282b39ce2fc56221f5c7c1e81e4a77476310e19166.jpg?v=1785181199</t>
        </is>
      </c>
      <c r="E45" s="3" t="inlineStr">
        <is>
          <t>47560028160199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2026-09-09T12:37:51+07:00</t>
        </is>
      </c>
      <c r="J45" s="3" t="inlineStr">
        <is>
          <t>QA opened 127_02.jpg (1200x1200) and checked against workbook observation: Close-up view of colorful wolf face artwork with yellow eyes and abstract fur lines.</t>
        </is>
      </c>
      <c r="K45" s="3" t="inlineStr">
        <is>
          <t>Close-up view of colorful wolf face artwork with yellow eyes and abstract fur lines.</t>
        </is>
      </c>
      <c r="L45" s="3" t="inlineStr">
        <is>
          <t>SET</t>
        </is>
      </c>
      <c r="M45" s="3" t="inlineStr">
        <is>
          <t>Colorful wolf face quilt close-up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["seo_runs\\jeminise.com\\20260906_234129\\qa\\20260909_123751\\images\\127_02.jpg", "https://cdn.shopify.com/s/files/1/0792/5098/1063/files/c7412f77877790fadbda8d282b39ce2fc56221f5c7c1e81e4a77476310e19166.jpg?v=1785181199"]</t>
        </is>
      </c>
    </row>
    <row r="46" ht="66" customHeight="1">
      <c r="A46" s="2" t="inlineStr">
        <is>
          <t>jeminise.com+custom-wildlife-wolf-head-close-up-portrait-comforter-3233b9edb7-3233b9edb7</t>
        </is>
      </c>
      <c r="B46" s="2" t="inlineStr">
        <is>
          <t>qaimg_7e7ce5670702c816</t>
        </is>
      </c>
      <c r="C46" s="4" t="inlineStr">
        <is>
          <t>https://cdn.shopify.com/s/files/1/0792/5098/1063/files/4e6f29d0c8825ac0f3ecc5013137abf4f74e89238663ff73a31b68ec2769084a.jpg?v=1785181199</t>
        </is>
      </c>
      <c r="D46" s="4" t="inlineStr">
        <is>
          <t>https://cdn.shopify.com/s/files/1/0792/5098/1063/files/4e6f29d0c8825ac0f3ecc5013137abf4f74e89238663ff73a31b68ec2769084a.jpg?v=1785181199</t>
        </is>
      </c>
      <c r="E46" s="2" t="inlineStr">
        <is>
          <t>47560028192967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2026-09-09T12:37:51+07:00</t>
        </is>
      </c>
      <c r="J46" s="2" t="inlineStr">
        <is>
          <t>QA opened 127_03.jpg (1200x1200) and checked against workbook observation: Pillow sham mockup showing colorful wolf head portrait artwork.</t>
        </is>
      </c>
      <c r="K46" s="2" t="inlineStr">
        <is>
          <t>Pillow sham mockup showing colorful wolf head portrait artwork.</t>
        </is>
      </c>
      <c r="L46" s="2" t="inlineStr">
        <is>
          <t>SET</t>
        </is>
      </c>
      <c r="M46" s="2" t="inlineStr">
        <is>
          <t>Colorful wolf head pillow sham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["seo_runs\\jeminise.com\\20260906_234129\\qa\\20260909_123751\\images\\127_03.jpg", "https://cdn.shopify.com/s/files/1/0792/5098/1063/files/4e6f29d0c8825ac0f3ecc5013137abf4f74e89238663ff73a31b68ec2769084a.jpg?v=1785181199"]</t>
        </is>
      </c>
    </row>
    <row r="47" ht="66" customHeight="1">
      <c r="A47" s="3" t="inlineStr">
        <is>
          <t>jeminise.com+custom-wildlife-wolf-head-close-up-portrait-comforter-3233b9edb7-3233b9edb7</t>
        </is>
      </c>
      <c r="B47" s="3" t="inlineStr">
        <is>
          <t>qaimg_487bd6ec8206acf2</t>
        </is>
      </c>
      <c r="C47" s="4" t="inlineStr">
        <is>
          <t>https://cdn.shopify.com/s/files/1/0792/5098/1063/files/0f940337e3da2f65f0e1726a8fbf74b9e18ca2563b79f783255d965d375910ad.jpg?v=1785181199</t>
        </is>
      </c>
      <c r="D47" s="4" t="inlineStr">
        <is>
          <t>https://cdn.shopify.com/s/files/1/0792/5098/1063/files/0f940337e3da2f65f0e1726a8fbf74b9e18ca2563b79f783255d965d375910ad.jpg?v=1785181199</t>
        </is>
      </c>
      <c r="E47" s="3" t="inlineStr">
        <is>
          <t>47560028225735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2026-09-09T12:37:51+07:00</t>
        </is>
      </c>
      <c r="J47" s="3" t="inlineStr">
        <is>
          <t>QA opened 127_04.jpg (1200x1200) and checked against workbook observation: Room mockup of colorful wolf portrait quilt set on a modern bed.</t>
        </is>
      </c>
      <c r="K47" s="3" t="inlineStr">
        <is>
          <t>Room mockup of colorful wolf portrait quilt set on a modern bed.</t>
        </is>
      </c>
      <c r="L47" s="3" t="inlineStr">
        <is>
          <t>SET</t>
        </is>
      </c>
      <c r="M47" s="3" t="inlineStr">
        <is>
          <t>Colorful wolf portrait bedding set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["seo_runs\\jeminise.com\\20260906_234129\\qa\\20260909_123751\\images\\127_04.jpg", "https://cdn.shopify.com/s/files/1/0792/5098/1063/files/0f940337e3da2f65f0e1726a8fbf74b9e18ca2563b79f783255d965d375910ad.jpg?v=1785181199"]</t>
        </is>
      </c>
    </row>
    <row r="48" ht="66" customHeight="1">
      <c r="A48" s="2" t="inlineStr">
        <is>
          <t>jeminise.com+custom-wildlife-wolf-head-close-up-portrait-comforter-3233b9edb7-3233b9edb7</t>
        </is>
      </c>
      <c r="B48" s="2" t="inlineStr">
        <is>
          <t>qaimg_2efbb07b97fe7cff</t>
        </is>
      </c>
      <c r="C48" s="4" t="inlineStr">
        <is>
          <t>https://cdn.shopify.com/s/files/1/0792/5098/1063/files/a54b901eb4c1e7cf7b664ede0c7a886b67e648375c9996e407998a600b9cb310.jpg?v=1785181200</t>
        </is>
      </c>
      <c r="D48" s="4" t="inlineStr">
        <is>
          <t>https://cdn.shopify.com/s/files/1/0792/5098/1063/files/a54b901eb4c1e7cf7b664ede0c7a886b67e648375c9996e407998a600b9cb310.jpg?v=1785181200</t>
        </is>
      </c>
      <c r="E48" s="2" t="inlineStr">
        <is>
          <t>47560028258503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2026-09-09T12:37:51+07:00</t>
        </is>
      </c>
      <c r="J48" s="2" t="inlineStr">
        <is>
          <t>QA opened 127_05.jpg (1200x1200) and checked against workbook observation: Three-piece bedding set panel listing one premium quilt and two optional standard shams.</t>
        </is>
      </c>
      <c r="K48" s="2" t="inlineStr">
        <is>
          <t>Three-piece bedding set panel listing one premium quilt and two optional standard shams.</t>
        </is>
      </c>
      <c r="L48" s="2" t="inlineStr">
        <is>
          <t>SET</t>
        </is>
      </c>
      <c r="M48" s="2" t="inlineStr">
        <is>
          <t>Three piece quilt set information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["seo_runs\\jeminise.com\\20260906_234129\\qa\\20260909_123751\\images\\127_05.jpg", "https://cdn.shopify.com/s/files/1/0792/5098/1063/files/a54b901eb4c1e7cf7b664ede0c7a886b67e648375c9996e407998a600b9cb310.jpg?v=1785181200"]</t>
        </is>
      </c>
    </row>
    <row r="49" ht="66" customHeight="1">
      <c r="A49" s="3" t="inlineStr">
        <is>
          <t>jeminise.com+custom-wildlife-wolf-head-close-up-with-geometric-comforter-f005bbb79d-f005bbb79d</t>
        </is>
      </c>
      <c r="B49" s="3" t="inlineStr">
        <is>
          <t>qaimg_be8f82122a2eaa52</t>
        </is>
      </c>
      <c r="C49" s="4" t="inlineStr">
        <is>
          <t>https://cdn.shopify.com/s/files/1/0792/5098/1063/files/fb99d33be77ccc490c5313b387c1b9a092e5691e9d9e6ec2620bba5259c62ca7.jpg?v=1785181393</t>
        </is>
      </c>
      <c r="D49" s="4" t="inlineStr">
        <is>
          <t>https://cdn.shopify.com/s/files/1/0792/5098/1063/files/fb99d33be77ccc490c5313b387c1b9a092e5691e9d9e6ec2620bba5259c62ca7.jpg?v=1785181393</t>
        </is>
      </c>
      <c r="E49" s="3" t="inlineStr">
        <is>
          <t>47560077738183</t>
        </is>
      </c>
      <c r="F49" s="3" t="inlineStr">
        <is>
          <t>46910235934919</t>
        </is>
      </c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2026-09-09T12:37:51+07:00</t>
        </is>
      </c>
      <c r="J49" s="3" t="inlineStr">
        <is>
          <t>QA opened 128_01.jpg (1200x1200) and checked against workbook observation: Bedroom mockup of geometric wolf head quilt in teal, cream and orange tones with matching shams.</t>
        </is>
      </c>
      <c r="K49" s="3" t="inlineStr">
        <is>
          <t>Bedroom mockup of geometric wolf head quilt in teal, cream and orange tones with matching shams.</t>
        </is>
      </c>
      <c r="L49" s="3" t="inlineStr">
        <is>
          <t>SET</t>
        </is>
      </c>
      <c r="M49" s="3" t="inlineStr">
        <is>
          <t>Geometric wolf head quilt set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["seo_runs\\jeminise.com\\20260906_234129\\qa\\20260909_123751\\images\\128_01.jpg", "https://cdn.shopify.com/s/files/1/0792/5098/1063/files/fb99d33be77ccc490c5313b387c1b9a092e5691e9d9e6ec2620bba5259c62ca7.jpg?v=1785181393"]</t>
        </is>
      </c>
    </row>
    <row r="50" ht="66" customHeight="1">
      <c r="A50" s="2" t="inlineStr">
        <is>
          <t>jeminise.com+custom-wildlife-wolf-head-close-up-with-geometric-comforter-f005bbb79d-f005bbb79d</t>
        </is>
      </c>
      <c r="B50" s="2" t="inlineStr">
        <is>
          <t>qaimg_6049b8f6318f41b8</t>
        </is>
      </c>
      <c r="C50" s="4" t="inlineStr">
        <is>
          <t>https://cdn.shopify.com/s/files/1/0792/5098/1063/files/e2ace212c9c382ad5fd89ef08f8e0f553ab8c19afed18d86b27b5c3ba73d139b.jpg?v=1785181393</t>
        </is>
      </c>
      <c r="D50" s="4" t="inlineStr">
        <is>
          <t>https://cdn.shopify.com/s/files/1/0792/5098/1063/files/e2ace212c9c382ad5fd89ef08f8e0f553ab8c19afed18d86b27b5c3ba73d139b.jpg?v=1785181393</t>
        </is>
      </c>
      <c r="E50" s="2" t="inlineStr">
        <is>
          <t>47560077770951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2026-09-09T12:37:51+07:00</t>
        </is>
      </c>
      <c r="J50" s="2" t="inlineStr">
        <is>
          <t>QA opened 128_02.jpg (1200x1200) and checked against workbook observation: Close-up view of geometric wolf face artwork with brown eye and teal-orange shapes.</t>
        </is>
      </c>
      <c r="K50" s="2" t="inlineStr">
        <is>
          <t>Close-up view of geometric wolf face artwork with brown eye and teal-orange shapes.</t>
        </is>
      </c>
      <c r="L50" s="2" t="inlineStr">
        <is>
          <t>SET</t>
        </is>
      </c>
      <c r="M50" s="2" t="inlineStr">
        <is>
          <t>Geometric wolf face quilt close-up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["seo_runs\\jeminise.com\\20260906_234129\\qa\\20260909_123751\\images\\128_02.jpg", "https://cdn.shopify.com/s/files/1/0792/5098/1063/files/e2ace212c9c382ad5fd89ef08f8e0f553ab8c19afed18d86b27b5c3ba73d139b.jpg?v=1785181393"]</t>
        </is>
      </c>
    </row>
    <row r="51" ht="66" customHeight="1">
      <c r="A51" s="3" t="inlineStr">
        <is>
          <t>jeminise.com+custom-wildlife-wolf-head-close-up-with-geometric-comforter-f005bbb79d-f005bbb79d</t>
        </is>
      </c>
      <c r="B51" s="3" t="inlineStr">
        <is>
          <t>qaimg_5ef123227aad3946</t>
        </is>
      </c>
      <c r="C51" s="4" t="inlineStr">
        <is>
          <t>https://cdn.shopify.com/s/files/1/0792/5098/1063/files/ecef674ec02d2f501ba1ca24f63d76a59886600b070e7cf84ce106c8563dee5e.jpg?v=1785181393</t>
        </is>
      </c>
      <c r="D51" s="4" t="inlineStr">
        <is>
          <t>https://cdn.shopify.com/s/files/1/0792/5098/1063/files/ecef674ec02d2f501ba1ca24f63d76a59886600b070e7cf84ce106c8563dee5e.jpg?v=1785181393</t>
        </is>
      </c>
      <c r="E51" s="3" t="inlineStr">
        <is>
          <t>47560077803719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2026-09-09T12:37:51+07:00</t>
        </is>
      </c>
      <c r="J51" s="3" t="inlineStr">
        <is>
          <t>QA opened 128_03.jpg (1200x1200) and checked against workbook observation: Pillow sham mockup showing geometric wolf head artwork.</t>
        </is>
      </c>
      <c r="K51" s="3" t="inlineStr">
        <is>
          <t>Pillow sham mockup showing geometric wolf head artwork.</t>
        </is>
      </c>
      <c r="L51" s="3" t="inlineStr">
        <is>
          <t>SET</t>
        </is>
      </c>
      <c r="M51" s="3" t="inlineStr">
        <is>
          <t>Geometric wolf head pillow sham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["seo_runs\\jeminise.com\\20260906_234129\\qa\\20260909_123751\\images\\128_03.jpg", "https://cdn.shopify.com/s/files/1/0792/5098/1063/files/ecef674ec02d2f501ba1ca24f63d76a59886600b070e7cf84ce106c8563dee5e.jpg?v=1785181393"]</t>
        </is>
      </c>
    </row>
    <row r="52" ht="66" customHeight="1">
      <c r="A52" s="2" t="inlineStr">
        <is>
          <t>jeminise.com+custom-wildlife-wolf-head-close-up-with-geometric-comforter-f005bbb79d-f005bbb79d</t>
        </is>
      </c>
      <c r="B52" s="2" t="inlineStr">
        <is>
          <t>qaimg_c7c32e951fc0c0bc</t>
        </is>
      </c>
      <c r="C52" s="4" t="inlineStr">
        <is>
          <t>https://cdn.shopify.com/s/files/1/0792/5098/1063/files/56fd8b810c302c8bc32b9136dbd1e0ff71e7ad1f16c4cc2bc8b7746a3ff61db6.jpg?v=1785181393</t>
        </is>
      </c>
      <c r="D52" s="4" t="inlineStr">
        <is>
          <t>https://cdn.shopify.com/s/files/1/0792/5098/1063/files/56fd8b810c302c8bc32b9136dbd1e0ff71e7ad1f16c4cc2bc8b7746a3ff61db6.jpg?v=1785181393</t>
        </is>
      </c>
      <c r="E52" s="2" t="inlineStr">
        <is>
          <t>47560077836487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2026-09-09T12:37:51+07:00</t>
        </is>
      </c>
      <c r="J52" s="2" t="inlineStr">
        <is>
          <t>QA opened 128_04.jpg (1200x1200) and checked against workbook observation: Room mockup of geometric wolf head quilt set on a modern bed.</t>
        </is>
      </c>
      <c r="K52" s="2" t="inlineStr">
        <is>
          <t>Room mockup of geometric wolf head quilt set on a modern bed.</t>
        </is>
      </c>
      <c r="L52" s="2" t="inlineStr">
        <is>
          <t>SET</t>
        </is>
      </c>
      <c r="M52" s="2" t="inlineStr">
        <is>
          <t>Geometric wolf bedding set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["seo_runs\\jeminise.com\\20260906_234129\\qa\\20260909_123751\\images\\128_04.jpg", "https://cdn.shopify.com/s/files/1/0792/5098/1063/files/56fd8b810c302c8bc32b9136dbd1e0ff71e7ad1f16c4cc2bc8b7746a3ff61db6.jpg?v=1785181393"]</t>
        </is>
      </c>
    </row>
    <row r="53" ht="66" customHeight="1">
      <c r="A53" s="3" t="inlineStr">
        <is>
          <t>jeminise.com+custom-wildlife-wolf-head-close-up-with-geometric-comforter-f005bbb79d-f005bbb79d</t>
        </is>
      </c>
      <c r="B53" s="3" t="inlineStr">
        <is>
          <t>qaimg_2cc067b62eed14af</t>
        </is>
      </c>
      <c r="C53" s="4" t="inlineStr">
        <is>
          <t>https://cdn.shopify.com/s/files/1/0792/5098/1063/files/666e402de87a36865f25b35367771908b8619bf86bc6e37660461d48ce76f12b.jpg?v=1785181393</t>
        </is>
      </c>
      <c r="D53" s="4" t="inlineStr">
        <is>
          <t>https://cdn.shopify.com/s/files/1/0792/5098/1063/files/666e402de87a36865f25b35367771908b8619bf86bc6e37660461d48ce76f12b.jpg?v=1785181393</t>
        </is>
      </c>
      <c r="E53" s="3" t="inlineStr">
        <is>
          <t>47560077869255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2026-09-09T12:37:51+07:00</t>
        </is>
      </c>
      <c r="J53" s="3" t="inlineStr">
        <is>
          <t>QA opened 128_05.jpg (1200x1200) and checked against workbook observation: Three-piece bedding set panel listing one premium quilt and two optional standard shams.</t>
        </is>
      </c>
      <c r="K53" s="3" t="inlineStr">
        <is>
          <t>Three-piece bedding set panel listing one premium quilt and two optional standard shams.</t>
        </is>
      </c>
      <c r="L53" s="3" t="inlineStr">
        <is>
          <t>SET</t>
        </is>
      </c>
      <c r="M53" s="3" t="inlineStr">
        <is>
          <t>Three piece quilt set information panel for geometric teal cream wolf head quilt set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["seo_runs\\jeminise.com\\20260906_234129\\qa\\20260909_123751\\images\\128_05.jpg", "https://cdn.shopify.com/s/files/1/0792/5098/1063/files/666e402de87a36865f25b35367771908b8619bf86bc6e37660461d48ce76f12b.jpg?v=1785181393"]</t>
        </is>
      </c>
    </row>
    <row r="54" ht="66" customHeight="1">
      <c r="A54" s="2" t="inlineStr">
        <is>
          <t>jeminise.com+custom-wildlife-wolf-head-with-feathers-in-profile-comforter-0b1ab59a17-0b1ab59a17</t>
        </is>
      </c>
      <c r="B54" s="2" t="inlineStr">
        <is>
          <t>qaimg_514f91869456bb55</t>
        </is>
      </c>
      <c r="C54" s="4" t="inlineStr">
        <is>
          <t>https://cdn.shopify.com/s/files/1/0792/5098/1063/files/1253d3cdaec810d23a956125b83478f66f286ecb5f5ed21d03a3f7393ca515f1.jpg?v=1785181472</t>
        </is>
      </c>
      <c r="D54" s="4" t="inlineStr">
        <is>
          <t>https://cdn.shopify.com/s/files/1/0792/5098/1063/files/1253d3cdaec810d23a956125b83478f66f286ecb5f5ed21d03a3f7393ca515f1.jpg?v=1785181472</t>
        </is>
      </c>
      <c r="E54" s="2" t="inlineStr">
        <is>
          <t>47560098545863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2026-09-09T12:37:51+07:00</t>
        </is>
      </c>
      <c r="J54" s="2" t="inlineStr">
        <is>
          <t>QA opened 129_01.jpg (1200x1200) and checked against workbook observation: Bedroom mockup of side-profile wolf head quilt with feather accents and matching shams.</t>
        </is>
      </c>
      <c r="K54" s="2" t="inlineStr">
        <is>
          <t>Bedroom mockup of side-profile wolf head quilt with feather accents and matching shams.</t>
        </is>
      </c>
      <c r="L54" s="2" t="inlineStr">
        <is>
          <t>SET</t>
        </is>
      </c>
      <c r="M54" s="2" t="inlineStr">
        <is>
          <t>Profile wolf feathers quilt set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["seo_runs\\jeminise.com\\20260906_234129\\qa\\20260909_123751\\images\\129_01.jpg", "https://cdn.shopify.com/s/files/1/0792/5098/1063/files/1253d3cdaec810d23a956125b83478f66f286ecb5f5ed21d03a3f7393ca515f1.jpg?v=1785181472"]</t>
        </is>
      </c>
    </row>
    <row r="55" ht="66" customHeight="1">
      <c r="A55" s="3" t="inlineStr">
        <is>
          <t>jeminise.com+custom-wildlife-wolf-head-with-feathers-in-profile-comforter-0b1ab59a17-0b1ab59a17</t>
        </is>
      </c>
      <c r="B55" s="3" t="inlineStr">
        <is>
          <t>qaimg_cb27c24d4d34a22b</t>
        </is>
      </c>
      <c r="C55" s="4" t="inlineStr">
        <is>
          <t>https://cdn.shopify.com/s/files/1/0792/5098/1063/files/398a2a19abd4817d3ec37901d5b531be11ca0332c3b18cb69053b56dc42febfd.jpg?v=1785181471</t>
        </is>
      </c>
      <c r="D55" s="4" t="inlineStr">
        <is>
          <t>https://cdn.shopify.com/s/files/1/0792/5098/1063/files/398a2a19abd4817d3ec37901d5b531be11ca0332c3b18cb69053b56dc42febfd.jpg?v=1785181471</t>
        </is>
      </c>
      <c r="E55" s="3" t="inlineStr">
        <is>
          <t>47560098578631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2026-09-09T12:37:51+07:00</t>
        </is>
      </c>
      <c r="J55" s="3" t="inlineStr">
        <is>
          <t>QA opened 129_02.jpg (1200x1200) and checked against workbook observation: Close-up view of wolf fur, eye and feather accent artwork.</t>
        </is>
      </c>
      <c r="K55" s="3" t="inlineStr">
        <is>
          <t>Close-up view of wolf fur, eye and feather accent artwork.</t>
        </is>
      </c>
      <c r="L55" s="3" t="inlineStr">
        <is>
          <t>SET</t>
        </is>
      </c>
      <c r="M55" s="3" t="inlineStr">
        <is>
          <t>Wolf feathers quilt close-up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["seo_runs\\jeminise.com\\20260906_234129\\qa\\20260909_123751\\images\\129_02.jpg", "https://cdn.shopify.com/s/files/1/0792/5098/1063/files/398a2a19abd4817d3ec37901d5b531be11ca0332c3b18cb69053b56dc42febfd.jpg?v=1785181471"]</t>
        </is>
      </c>
    </row>
    <row r="56" ht="66" customHeight="1">
      <c r="A56" s="2" t="inlineStr">
        <is>
          <t>jeminise.com+custom-wildlife-wolf-head-with-feathers-in-profile-comforter-0b1ab59a17-0b1ab59a17</t>
        </is>
      </c>
      <c r="B56" s="2" t="inlineStr">
        <is>
          <t>qaimg_5f2bd3c730a05869</t>
        </is>
      </c>
      <c r="C56" s="4" t="inlineStr">
        <is>
          <t>https://cdn.shopify.com/s/files/1/0792/5098/1063/files/541eb95a3e153e2bd30304d2f0c7d58871b9b691ba6c938f9e6f6eccf38ee7ae.jpg?v=1785181471</t>
        </is>
      </c>
      <c r="D56" s="4" t="inlineStr">
        <is>
          <t>https://cdn.shopify.com/s/files/1/0792/5098/1063/files/541eb95a3e153e2bd30304d2f0c7d58871b9b691ba6c938f9e6f6eccf38ee7ae.jpg?v=1785181471</t>
        </is>
      </c>
      <c r="E56" s="2" t="inlineStr">
        <is>
          <t>47560098611399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2026-09-09T12:37:51+07:00</t>
        </is>
      </c>
      <c r="J56" s="2" t="inlineStr">
        <is>
          <t>QA opened 129_03.jpg (1200x1200) and checked against workbook observation: Pillow sham mockup showing side-profile wolf head with feather accents.</t>
        </is>
      </c>
      <c r="K56" s="2" t="inlineStr">
        <is>
          <t>Pillow sham mockup showing side-profile wolf head with feather accents.</t>
        </is>
      </c>
      <c r="L56" s="2" t="inlineStr">
        <is>
          <t>SET</t>
        </is>
      </c>
      <c r="M56" s="2" t="inlineStr">
        <is>
          <t>Profile wolf pillow sham with feathers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["seo_runs\\jeminise.com\\20260906_234129\\qa\\20260909_123751\\images\\129_03.jpg", "https://cdn.shopify.com/s/files/1/0792/5098/1063/files/541eb95a3e153e2bd30304d2f0c7d58871b9b691ba6c938f9e6f6eccf38ee7ae.jpg?v=1785181471"]</t>
        </is>
      </c>
    </row>
    <row r="57" ht="66" customHeight="1">
      <c r="A57" s="3" t="inlineStr">
        <is>
          <t>jeminise.com+custom-wildlife-wolf-head-with-feathers-in-profile-comforter-0b1ab59a17-0b1ab59a17</t>
        </is>
      </c>
      <c r="B57" s="3" t="inlineStr">
        <is>
          <t>qaimg_c69ae7f3407575c2</t>
        </is>
      </c>
      <c r="C57" s="4" t="inlineStr">
        <is>
          <t>https://cdn.shopify.com/s/files/1/0792/5098/1063/files/4c27f7256fa9da62b223d070c922bc959741e9b1746ebb87947cf2161d1917b0.jpg?v=1785181471</t>
        </is>
      </c>
      <c r="D57" s="4" t="inlineStr">
        <is>
          <t>https://cdn.shopify.com/s/files/1/0792/5098/1063/files/4c27f7256fa9da62b223d070c922bc959741e9b1746ebb87947cf2161d1917b0.jpg?v=1785181471</t>
        </is>
      </c>
      <c r="E57" s="3" t="inlineStr">
        <is>
          <t>47560098644167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2026-09-09T12:37:51+07:00</t>
        </is>
      </c>
      <c r="J57" s="3" t="inlineStr">
        <is>
          <t>QA opened 129_04.jpg (1200x1200) and checked against workbook observation: Room mockup of tan side-profile wolf quilt set on a modern bed.</t>
        </is>
      </c>
      <c r="K57" s="3" t="inlineStr">
        <is>
          <t>Room mockup of tan side-profile wolf quilt set on a modern bed.</t>
        </is>
      </c>
      <c r="L57" s="3" t="inlineStr">
        <is>
          <t>SET</t>
        </is>
      </c>
      <c r="M57" s="3" t="inlineStr">
        <is>
          <t>Profile wolf quilt bedding set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["seo_runs\\jeminise.com\\20260906_234129\\qa\\20260909_123751\\images\\129_04.jpg", "https://cdn.shopify.com/s/files/1/0792/5098/1063/files/4c27f7256fa9da62b223d070c922bc959741e9b1746ebb87947cf2161d1917b0.jpg?v=1785181471"]</t>
        </is>
      </c>
    </row>
    <row r="58" ht="66" customHeight="1">
      <c r="A58" s="2" t="inlineStr">
        <is>
          <t>jeminise.com+custom-wildlife-wolf-head-with-feathers-in-profile-comforter-0b1ab59a17-0b1ab59a17</t>
        </is>
      </c>
      <c r="B58" s="2" t="inlineStr">
        <is>
          <t>qaimg_ae6327a6fd73aa5f</t>
        </is>
      </c>
      <c r="C58" s="4" t="inlineStr">
        <is>
          <t>https://cdn.shopify.com/s/files/1/0792/5098/1063/files/06a1d66de78b9d4c032e2755da46ca361ce2886dc184b262ea9dd71908a64fcd.jpg?v=1785181471</t>
        </is>
      </c>
      <c r="D58" s="4" t="inlineStr">
        <is>
          <t>https://cdn.shopify.com/s/files/1/0792/5098/1063/files/06a1d66de78b9d4c032e2755da46ca361ce2886dc184b262ea9dd71908a64fcd.jpg?v=1785181471</t>
        </is>
      </c>
      <c r="E58" s="2" t="inlineStr">
        <is>
          <t>47560098676935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2026-09-09T12:37:51+07:00</t>
        </is>
      </c>
      <c r="J58" s="2" t="inlineStr">
        <is>
          <t>QA opened 129_05.jpg (1200x1200) and checked against workbook observation: Three-piece bedding set panel listing one premium quilt and two optional standard shams.</t>
        </is>
      </c>
      <c r="K58" s="2" t="inlineStr">
        <is>
          <t>Three-piece bedding set panel listing one premium quilt and two optional standard shams.</t>
        </is>
      </c>
      <c r="L58" s="2" t="inlineStr">
        <is>
          <t>SET</t>
        </is>
      </c>
      <c r="M58" s="2" t="inlineStr">
        <is>
          <t>Three piece quilt set information panel for profile wolf head feather accent quilt set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["seo_runs\\jeminise.com\\20260906_234129\\qa\\20260909_123751\\images\\129_05.jpg", "https://cdn.shopify.com/s/files/1/0792/5098/1063/files/06a1d66de78b9d4c032e2755da46ca361ce2886dc184b262ea9dd71908a64fcd.jpg?v=1785181471"]</t>
        </is>
      </c>
    </row>
    <row r="59" ht="66" customHeight="1">
      <c r="A59" s="3" t="inlineStr">
        <is>
          <t>jeminise.com+custom-wolf-head-centered-in-dreamcatcher-comforter-be6b37a3e1-be6b37a3e1</t>
        </is>
      </c>
      <c r="B59" s="3" t="inlineStr">
        <is>
          <t>qaimg_bdb2e5d1b3751842</t>
        </is>
      </c>
      <c r="C59" s="4" t="inlineStr">
        <is>
          <t>https://cdn.shopify.com/s/files/1/0792/5098/1063/files/020fde2da418c08d9376ad45c1918438d55d39a2b4217c6ecc488895a8b7ff9b.jpg?v=1785181290</t>
        </is>
      </c>
      <c r="D59" s="4" t="inlineStr">
        <is>
          <t>https://cdn.shopify.com/s/files/1/0792/5098/1063/files/020fde2da418c08d9376ad45c1918438d55d39a2b4217c6ecc488895a8b7ff9b.jpg?v=1785181290</t>
        </is>
      </c>
      <c r="E59" s="3" t="inlineStr">
        <is>
          <t>47560050770119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2026-09-09T12:37:51+07:00</t>
        </is>
      </c>
      <c r="J59" s="3" t="inlineStr">
        <is>
          <t>QA opened 130_01.jpg (1200x1200) and checked against workbook observation: Bedroom mockup of centered wolf head quilt inside a dreamcatcher-style ring with feather accents.</t>
        </is>
      </c>
      <c r="K59" s="3" t="inlineStr">
        <is>
          <t>Bedroom mockup of centered wolf head quilt inside a dreamcatcher-style ring with feather accents.</t>
        </is>
      </c>
      <c r="L59" s="3" t="inlineStr">
        <is>
          <t>SET</t>
        </is>
      </c>
      <c r="M59" s="3" t="inlineStr">
        <is>
          <t>Wolf dreamcatcher quilt set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["seo_runs\\jeminise.com\\20260906_234129\\qa\\20260909_123751\\images\\130_01.jpg", "https://cdn.shopify.com/s/files/1/0792/5098/1063/files/020fde2da418c08d9376ad45c1918438d55d39a2b4217c6ecc488895a8b7ff9b.jpg?v=1785181290"]</t>
        </is>
      </c>
    </row>
    <row r="60" ht="66" customHeight="1">
      <c r="A60" s="2" t="inlineStr">
        <is>
          <t>jeminise.com+custom-wolf-head-centered-in-dreamcatcher-comforter-be6b37a3e1-be6b37a3e1</t>
        </is>
      </c>
      <c r="B60" s="2" t="inlineStr">
        <is>
          <t>qaimg_24c00140a382e2da</t>
        </is>
      </c>
      <c r="C60" s="4" t="inlineStr">
        <is>
          <t>https://cdn.shopify.com/s/files/1/0792/5098/1063/files/70e56f4add645d5df13a1f64670e7e344b031040e5dc0d56fb8df4d2009ff937.jpg?v=1785181290</t>
        </is>
      </c>
      <c r="D60" s="4" t="inlineStr">
        <is>
          <t>https://cdn.shopify.com/s/files/1/0792/5098/1063/files/70e56f4add645d5df13a1f64670e7e344b031040e5dc0d56fb8df4d2009ff937.jpg?v=1785181290</t>
        </is>
      </c>
      <c r="E60" s="2" t="inlineStr">
        <is>
          <t>47560050802887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2026-09-09T12:37:51+07:00</t>
        </is>
      </c>
      <c r="J60" s="2" t="inlineStr">
        <is>
          <t>QA opened 130_02.jpg (1200x1200) and checked against workbook observation: Close-up view of wolf face, blue eyes and quilt stitching texture.</t>
        </is>
      </c>
      <c r="K60" s="2" t="inlineStr">
        <is>
          <t>Close-up view of wolf face, blue eyes and quilt stitching texture.</t>
        </is>
      </c>
      <c r="L60" s="2" t="inlineStr">
        <is>
          <t>SET</t>
        </is>
      </c>
      <c r="M60" s="2" t="inlineStr">
        <is>
          <t>Wolf dreamcatcher quilt close-up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["seo_runs\\jeminise.com\\20260906_234129\\qa\\20260909_123751\\images\\130_02.jpg", "https://cdn.shopify.com/s/files/1/0792/5098/1063/files/70e56f4add645d5df13a1f64670e7e344b031040e5dc0d56fb8df4d2009ff937.jpg?v=1785181290"]</t>
        </is>
      </c>
    </row>
    <row r="61" ht="66" customHeight="1">
      <c r="A61" s="3" t="inlineStr">
        <is>
          <t>jeminise.com+custom-wolf-head-centered-in-dreamcatcher-comforter-be6b37a3e1-be6b37a3e1</t>
        </is>
      </c>
      <c r="B61" s="3" t="inlineStr">
        <is>
          <t>qaimg_ae98271be5a5495c</t>
        </is>
      </c>
      <c r="C61" s="4" t="inlineStr">
        <is>
          <t>https://cdn.shopify.com/s/files/1/0792/5098/1063/files/f2e7a259def6c007ffe9e1c0db405312e07b6021eaf534e5f8adb3ee18bd2fc2.jpg?v=1785181290</t>
        </is>
      </c>
      <c r="D61" s="4" t="inlineStr">
        <is>
          <t>https://cdn.shopify.com/s/files/1/0792/5098/1063/files/f2e7a259def6c007ffe9e1c0db405312e07b6021eaf534e5f8adb3ee18bd2fc2.jpg?v=1785181290</t>
        </is>
      </c>
      <c r="E61" s="3" t="inlineStr">
        <is>
          <t>47560050835655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2026-09-09T12:37:51+07:00</t>
        </is>
      </c>
      <c r="J61" s="3" t="inlineStr">
        <is>
          <t>QA opened 130_03.jpg (1200x1200) and checked against workbook observation: Pillow sham mockup showing centered wolf head and dreamcatcher-style ring.</t>
        </is>
      </c>
      <c r="K61" s="3" t="inlineStr">
        <is>
          <t>Pillow sham mockup showing centered wolf head and dreamcatcher-style ring.</t>
        </is>
      </c>
      <c r="L61" s="3" t="inlineStr">
        <is>
          <t>SET</t>
        </is>
      </c>
      <c r="M61" s="3" t="inlineStr">
        <is>
          <t>Wolf dreamcatcher pillow sham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["seo_runs\\jeminise.com\\20260906_234129\\qa\\20260909_123751\\images\\130_03.jpg", "https://cdn.shopify.com/s/files/1/0792/5098/1063/files/f2e7a259def6c007ffe9e1c0db405312e07b6021eaf534e5f8adb3ee18bd2fc2.jpg?v=1785181290"]</t>
        </is>
      </c>
    </row>
    <row r="62" ht="66" customHeight="1">
      <c r="A62" s="2" t="inlineStr">
        <is>
          <t>jeminise.com+custom-wolf-head-centered-in-dreamcatcher-comforter-be6b37a3e1-be6b37a3e1</t>
        </is>
      </c>
      <c r="B62" s="2" t="inlineStr">
        <is>
          <t>qaimg_1016e772b3b128d8</t>
        </is>
      </c>
      <c r="C62" s="4" t="inlineStr">
        <is>
          <t>https://cdn.shopify.com/s/files/1/0792/5098/1063/files/fbee38331d4d4ac5ab6ca32befd16b78922182ddbea02af22061b83468233d0d.jpg?v=1785181290</t>
        </is>
      </c>
      <c r="D62" s="4" t="inlineStr">
        <is>
          <t>https://cdn.shopify.com/s/files/1/0792/5098/1063/files/fbee38331d4d4ac5ab6ca32befd16b78922182ddbea02af22061b83468233d0d.jpg?v=1785181290</t>
        </is>
      </c>
      <c r="E62" s="2" t="inlineStr">
        <is>
          <t>47560050868423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2026-09-09T12:37:51+07:00</t>
        </is>
      </c>
      <c r="J62" s="2" t="inlineStr">
        <is>
          <t>QA opened 130_04.jpg (1200x1200) and checked against workbook observation: Room mockup of wolf dreamcatcher quilt set with matching shams.</t>
        </is>
      </c>
      <c r="K62" s="2" t="inlineStr">
        <is>
          <t>Room mockup of wolf dreamcatcher quilt set with matching shams.</t>
        </is>
      </c>
      <c r="L62" s="2" t="inlineStr">
        <is>
          <t>SET</t>
        </is>
      </c>
      <c r="M62" s="2" t="inlineStr">
        <is>
          <t>Wolf dreamcatcher bedding set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["seo_runs\\jeminise.com\\20260906_234129\\qa\\20260909_123751\\images\\130_04.jpg", "https://cdn.shopify.com/s/files/1/0792/5098/1063/files/fbee38331d4d4ac5ab6ca32befd16b78922182ddbea02af22061b83468233d0d.jpg?v=1785181290"]</t>
        </is>
      </c>
    </row>
    <row r="63" ht="66" customHeight="1">
      <c r="A63" s="3" t="inlineStr">
        <is>
          <t>jeminise.com+custom-wolf-head-centered-in-dreamcatcher-comforter-be6b37a3e1-be6b37a3e1</t>
        </is>
      </c>
      <c r="B63" s="3" t="inlineStr">
        <is>
          <t>qaimg_adac4fa8f7b89836</t>
        </is>
      </c>
      <c r="C63" s="4" t="inlineStr">
        <is>
          <t>https://cdn.shopify.com/s/files/1/0792/5098/1063/files/3b34f571fdb09566d8da7b4c5b397bc03a37d8233f0fd5e5b77d72af2928e1c0.jpg?v=1785181290</t>
        </is>
      </c>
      <c r="D63" s="4" t="inlineStr">
        <is>
          <t>https://cdn.shopify.com/s/files/1/0792/5098/1063/files/3b34f571fdb09566d8da7b4c5b397bc03a37d8233f0fd5e5b77d72af2928e1c0.jpg?v=1785181290</t>
        </is>
      </c>
      <c r="E63" s="3" t="inlineStr">
        <is>
          <t>47560050901191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2026-09-09T12:37:51+07:00</t>
        </is>
      </c>
      <c r="J63" s="3" t="inlineStr">
        <is>
          <t>QA opened 130_05.jpg (1200x1200) and checked against workbook observation: Three-piece bedding set panel listing one premium quilt and two optional standard shams.</t>
        </is>
      </c>
      <c r="K63" s="3" t="inlineStr">
        <is>
          <t>Three-piece bedding set panel listing one premium quilt and two optional standard shams.</t>
        </is>
      </c>
      <c r="L63" s="3" t="inlineStr">
        <is>
          <t>SET</t>
        </is>
      </c>
      <c r="M63" s="3" t="inlineStr">
        <is>
          <t>Three piece quilt set information panel for centered wolf dreamcatcher feather quilt set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["seo_runs\\jeminise.com\\20260906_234129\\qa\\20260909_123751\\images\\130_05.jpg", "https://cdn.shopify.com/s/files/1/0792/5098/1063/files/3b34f571fdb09566d8da7b4c5b397bc03a37d8233f0fd5e5b77d72af2928e1c0.jpg?v=1785181290"]</t>
        </is>
      </c>
    </row>
  </sheetData>
  <autoFilter ref="A1:X6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B13R4-MIN-001</t>
        </is>
      </c>
      <c r="B2" s="2" t="inlineStr">
        <is>
          <t>jeminise.com+custom-trucking-semi-truck-breaking-through-stone-wall-vintage-comforter-28a367022b-28a367022b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121: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Vintage Blue Semi Truck Comforter using only panels verified in Image_Audit/live gallery.</t>
        </is>
      </c>
      <c r="J2" s="2" t="inlineStr">
        <is>
          <t>D:\Shopify_Workspace\jeminise_seo\resutls\jeminise.com\20260906_234129\revisions\qa_batch_013_r4\SEO_Product_Optimization_qa_batch_013_r4.xlsx | pos 121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B13R4-MIN-002</t>
        </is>
      </c>
      <c r="B3" s="3" t="inlineStr">
        <is>
          <t>jeminise.com+custom-trucking-semi-truck-centered-on-chevron-background-comforter-cfef0beab9-cfef0beab9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122: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Blue Semi Truck Chevron Comforter using only panels verified in Image_Audit/live gallery.</t>
        </is>
      </c>
      <c r="J3" s="3" t="inlineStr">
        <is>
          <t>D:\Shopify_Workspace\jeminise_seo\resutls\jeminise.com\20260906_234129\revisions\qa_batch_013_r4\SEO_Product_Optimization_qa_batch_013_r4.xlsx | pos 122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B13R4-MIN-003</t>
        </is>
      </c>
      <c r="B4" s="2" t="inlineStr">
        <is>
          <t>jeminise.com+custom-trucking-semi-truck-on-metallic-mesh-background-comforter-21d8f6bab6-21d8f6bab6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123: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Metallic Mesh Semi Truck Comforter using only panels verified in Image_Audit/live gallery.</t>
        </is>
      </c>
      <c r="J4" s="2" t="inlineStr">
        <is>
          <t>D:\Shopify_Workspace\jeminise_seo\resutls\jeminise.com\20260906_234129\revisions\qa_batch_013_r4\SEO_Product_Optimization_qa_batch_013_r4.xlsx | pos 123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B13R4-MIN-004</t>
        </is>
      </c>
      <c r="B5" s="3" t="inlineStr">
        <is>
          <t>jeminise.com+custom-trucking-semi-truck-on-textured-metallic-background-comforter-5ee1903c53-5ee1903c53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124: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Textured Metallic Semi Truck Comforter using only panels verified in Image_Audit/live gallery.</t>
        </is>
      </c>
      <c r="J5" s="3" t="inlineStr">
        <is>
          <t>D:\Shopify_Workspace\jeminise_seo\resutls\jeminise.com\20260906_234129\revisions\qa_batch_013_r4\SEO_Product_Optimization_qa_batch_013_r4.xlsx | pos 124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B13R4-MIN-005</t>
        </is>
      </c>
      <c r="B6" s="2" t="inlineStr">
        <is>
          <t>jeminise.com+custom-trucking-semi-truck-under-starry-night-sky-comforter-6bbe1b0cd5-6bbe1b0cd5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125: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Starry Night Semi Truck Comforter using only panels verified in Image_Audit/live gallery.</t>
        </is>
      </c>
      <c r="J6" s="2" t="inlineStr">
        <is>
          <t>D:\Shopify_Workspace\jeminise_seo\resutls\jeminise.com\20260906_234129\revisions\qa_batch_013_r4\SEO_Product_Optimization_qa_batch_013_r4.xlsx | pos 125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B13R4-MIN-006</t>
        </is>
      </c>
      <c r="B7" s="3" t="inlineStr">
        <is>
          <t>jeminise.com+cardinal-christmas-quilt-set-7237701d00-7237701d00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126: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Cardinal Christmas Quilt Set using only panels verified in Image_Audit/live gallery.</t>
        </is>
      </c>
      <c r="J7" s="3" t="inlineStr">
        <is>
          <t>D:\Shopify_Workspace\jeminise_seo\resutls\jeminise.com\20260906_234129\revisions\qa_batch_013_r4\SEO_Product_Optimization_qa_batch_013_r4.xlsx | pos 126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B13R4-MIN-007</t>
        </is>
      </c>
      <c r="B8" s="2" t="inlineStr">
        <is>
          <t>jeminise.com+custom-wildlife-wolf-head-close-up-portrait-comforter-3233b9edb7-3233b9edb7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127: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Colorful Wolf Head Quilt Set using only panels verified in Image_Audit/live gallery.</t>
        </is>
      </c>
      <c r="J8" s="2" t="inlineStr">
        <is>
          <t>D:\Shopify_Workspace\jeminise_seo\resutls\jeminise.com\20260906_234129\revisions\qa_batch_013_r4\SEO_Product_Optimization_qa_batch_013_r4.xlsx | pos 127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B13R4-MIN-008</t>
        </is>
      </c>
      <c r="B9" s="3" t="inlineStr">
        <is>
          <t>jeminise.com+custom-wildlife-wolf-head-close-up-with-geometric-comforter-f005bbb79d-f005bbb79d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128: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Geometric Wolf Head Quilt Set using only panels verified in Image_Audit/live gallery.</t>
        </is>
      </c>
      <c r="J9" s="3" t="inlineStr">
        <is>
          <t>D:\Shopify_Workspace\jeminise_seo\resutls\jeminise.com\20260906_234129\revisions\qa_batch_013_r4\SEO_Product_Optimization_qa_batch_013_r4.xlsx | pos 128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B13R4-MIN-009</t>
        </is>
      </c>
      <c r="B10" s="2" t="inlineStr">
        <is>
          <t>jeminise.com+custom-wildlife-wolf-head-with-feathers-in-profile-comforter-0b1ab59a17-0b1ab59a17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129: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Profile Wolf Feathers Quilt Set using only panels verified in Image_Audit/live gallery.</t>
        </is>
      </c>
      <c r="J10" s="2" t="inlineStr">
        <is>
          <t>D:\Shopify_Workspace\jeminise_seo\resutls\jeminise.com\20260906_234129\revisions\qa_batch_013_r4\SEO_Product_Optimization_qa_batch_013_r4.xlsx | pos 129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B13R4-MIN-010</t>
        </is>
      </c>
      <c r="B11" s="3" t="inlineStr">
        <is>
          <t>jeminise.com+custom-wolf-head-centered-in-dreamcatcher-comforter-be6b37a3e1-be6b37a3e1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130: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Wolf Dreamcatcher Quilt Set using only panels verified in Image_Audit/live gallery.</t>
        </is>
      </c>
      <c r="J11" s="3" t="inlineStr">
        <is>
          <t>D:\Shopify_Workspace\jeminise_seo\resutls\jeminise.com\20260906_234129\revisions\qa_batch_013_r4\SEO_Product_Optimization_qa_batch_013_r4.xlsx | pos 130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B13R4-LIM-TRACE-001</t>
        </is>
      </c>
      <c r="B12" s="2" t="inlineStr"/>
      <c r="C12" s="2" t="inlineStr"/>
      <c r="D12" s="2" t="inlineStr">
        <is>
          <t>LIMITATION</t>
        </is>
      </c>
      <c r="E12" s="2" t="inlineStr">
        <is>
          <t>revision traceability</t>
        </is>
      </c>
      <c r="F12" s="2" t="inlineStr">
        <is>
          <t>SEO_Products/Image_Audit row-level revision values still show r3 in the r4 workbook.</t>
        </is>
      </c>
      <c r="G12" s="2" t="inlineStr">
        <is>
          <t>Workbook filename/path/hash identify qa_batch_013_r4, while row metadata was not fully relabeled after r4.</t>
        </is>
      </c>
      <c r="H12" s="2" t="inlineStr">
        <is>
          <t>Traceability limitation only; it does not prove the submitted r4 content is wrong.</t>
        </is>
      </c>
      <c r="I12" s="2" t="inlineStr">
        <is>
          <t>Update row-level revision values and revision_summary paths in the next package.</t>
        </is>
      </c>
      <c r="J12" s="2" t="inlineStr">
        <is>
          <t>D:\Shopify_Workspace\jeminise_seo\resutls\jeminise.com\20260906_234129\revisions\qa_batch_013_r4\SEO_Product_Optimization_qa_batch_013_r4.xlsx</t>
        </is>
      </c>
      <c r="K12" s="2" t="inlineStr">
        <is>
          <t>All row-level revision fields and summary paths consistently identify r4.</t>
        </is>
      </c>
    </row>
  </sheetData>
  <autoFilter ref="A1:K12"/>
  <conditionalFormatting sqref="D2:D1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2026-09-09T05:38:11Z</dcterms:created>
  <dcterms:modified xmlns:dcterms="http://purl.org/dc/terms/" xmlns:xsi="http://www.w3.org/2001/XMLSchema-instance" xsi:type="dcterms:W3CDTF">2026-09-09T05:38:11Z</dcterms:modified>
</cp:coreProperties>
</file>