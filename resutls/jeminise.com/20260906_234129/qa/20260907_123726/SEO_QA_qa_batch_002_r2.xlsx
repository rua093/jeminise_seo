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_Summary" sheetId="1" state="visible" r:id="rId1"/>
    <sheet xmlns:r="http://schemas.openxmlformats.org/officeDocument/2006/relationships" name="QA_Products" sheetId="2" state="visible" r:id="rId2"/>
    <sheet xmlns:r="http://schemas.openxmlformats.org/officeDocument/2006/relationships" name="QA_Criteria" sheetId="3" state="visible" r:id="rId3"/>
    <sheet xmlns:r="http://schemas.openxmlformats.org/officeDocument/2006/relationships" name="QA_Images" sheetId="4" state="visible" r:id="rId4"/>
    <sheet xmlns:r="http://schemas.openxmlformats.org/officeDocument/2006/relationships" name="QA_Issues" sheetId="5" state="visible" r:id="rId5"/>
  </sheets>
  <definedNames>
    <definedName name="_xlnm._FilterDatabase" localSheetId="0" hidden="1">'QA_Summary'!$A$1:$C$14</definedName>
    <definedName name="_xlnm.Print_Titles" localSheetId="0">'QA_Summary'!$1:$1</definedName>
    <definedName name="_xlnm._FilterDatabase" localSheetId="1" hidden="1">'QA_Products'!$A$1:$W$11</definedName>
    <definedName name="_xlnm.Print_Titles" localSheetId="1">'QA_Products'!$1:$1</definedName>
    <definedName name="_xlnm._FilterDatabase" localSheetId="2" hidden="1">'QA_Criteria'!$A$1:$J$111</definedName>
    <definedName name="_xlnm.Print_Titles" localSheetId="2">'QA_Criteria'!$1:$1</definedName>
    <definedName name="_xlnm._FilterDatabase" localSheetId="3" hidden="1">'QA_Images'!$A$1:$Z$65</definedName>
    <definedName name="_xlnm.Print_Titles" localSheetId="3">'QA_Images'!$1:$1</definedName>
    <definedName name="_xlnm._FilterDatabase" localSheetId="4" hidden="1">'QA_Issues'!$A$1:$K$77</definedName>
    <definedName name="_xlnm.Print_Titles" localSheetId="4">'QA_Issues'!$1:$1</definedName>
  </definedNames>
  <calcPr calcId="124519" calcMode="auto" fullCalcOnLoad="1" forceFullCalc="1"/>
</workbook>
</file>

<file path=xl/styles.xml><?xml version="1.0" encoding="utf-8"?>
<styleSheet xmlns="http://schemas.openxmlformats.org/spreadsheetml/2006/main">
  <numFmts count="2">
    <numFmt numFmtId="164" formatCode="0.0"/>
    <numFmt numFmtId="165" formatCode="0.0%"/>
  </numFmts>
  <fonts count="4">
    <font>
      <name val="Calibri"/>
      <family val="2"/>
      <color theme="1"/>
      <sz val="11"/>
      <scheme val="minor"/>
    </font>
    <font>
      <name val="Aptos Display"/>
      <b val="1"/>
      <color rgb="00FFFFFF"/>
      <sz val="11"/>
    </font>
    <font>
      <name val="Aptos"/>
      <color rgb="001F2937"/>
      <sz val="10"/>
    </font>
    <font>
      <name val="Calibri"/>
      <family val="2"/>
      <color theme="10"/>
      <sz val="12"/>
      <scheme val="minor"/>
    </font>
  </fonts>
  <fills count="4">
    <fill>
      <patternFill/>
    </fill>
    <fill>
      <patternFill patternType="gray125"/>
    </fill>
    <fill>
      <patternFill patternType="solid">
        <fgColor rgb="0017365D"/>
      </patternFill>
    </fill>
    <fill>
      <patternFill patternType="solid">
        <fgColor rgb="00F8FAFC"/>
      </patternFill>
    </fill>
  </fills>
  <borders count="3">
    <border>
      <left/>
      <right/>
      <top/>
      <bottom/>
      <diagonal/>
    </border>
    <border>
      <bottom style="medium">
        <color rgb="002F75B5"/>
      </bottom>
    </border>
    <border>
      <bottom style="thin">
        <color rgb="00CBD5E1"/>
      </bottom>
    </border>
  </borders>
  <cellStyleXfs count="2">
    <xf numFmtId="0" fontId="0" fillId="0" borderId="0"/>
    <xf numFmtId="0" fontId="3" fillId="0" borderId="0"/>
  </cellStyleXfs>
  <cellXfs count="9">
    <xf numFmtId="0" fontId="0" fillId="0" borderId="0" pivotButton="0" quotePrefix="0" xfId="0"/>
    <xf numFmtId="0" fontId="1" fillId="2" borderId="1" applyAlignment="1" pivotButton="0" quotePrefix="0" xfId="0">
      <alignment horizontal="center" vertical="center" wrapText="1"/>
    </xf>
    <xf numFmtId="0" fontId="2" fillId="3" borderId="2" applyAlignment="1" pivotButton="0" quotePrefix="0" xfId="0">
      <alignment vertical="top" wrapText="1"/>
    </xf>
    <xf numFmtId="0" fontId="2" fillId="0" borderId="2" applyAlignment="1" pivotButton="0" quotePrefix="0" xfId="0">
      <alignment vertical="top" wrapText="1"/>
    </xf>
    <xf numFmtId="0" fontId="3" fillId="0" borderId="0" applyAlignment="1" pivotButton="0" quotePrefix="0" xfId="1">
      <alignment vertical="top" wrapText="1"/>
    </xf>
    <xf numFmtId="164" fontId="2" fillId="3" borderId="2" applyAlignment="1" pivotButton="0" quotePrefix="0" xfId="0">
      <alignment vertical="top" wrapText="1"/>
    </xf>
    <xf numFmtId="165" fontId="2" fillId="3" borderId="2" applyAlignment="1" pivotButton="0" quotePrefix="0" xfId="0">
      <alignment vertical="top" wrapText="1"/>
    </xf>
    <xf numFmtId="164" fontId="2" fillId="0" borderId="2" applyAlignment="1" pivotButton="0" quotePrefix="0" xfId="0">
      <alignment vertical="top" wrapText="1"/>
    </xf>
    <xf numFmtId="165" fontId="2" fillId="0" borderId="2" applyAlignment="1" pivotButton="0" quotePrefix="0" xfId="0">
      <alignment vertical="top" wrapText="1"/>
    </xf>
  </cellXfs>
  <cellStyles count="2">
    <cellStyle name="Normal" xfId="0" builtinId="0" hidden="0"/>
    <cellStyle name="Hyperlink" xfId="1" builtinId="8" hidden="0"/>
  </cellStyles>
  <dxfs count="5">
    <dxf>
      <fill>
        <patternFill patternType="solid">
          <fgColor rgb="00E2F0D9"/>
        </patternFill>
      </fill>
    </dxf>
    <dxf>
      <fill>
        <patternFill patternType="solid">
          <fgColor rgb="00FFF2CC"/>
        </patternFill>
      </fill>
    </dxf>
    <dxf>
      <fill>
        <patternFill patternType="solid">
          <fgColor rgb="00FCE4D6"/>
        </patternFill>
      </fill>
    </dxf>
    <dxf>
      <fill>
        <patternFill patternType="solid">
          <fgColor rgb="00F4CCCC"/>
        </patternFill>
      </fill>
    </dxf>
    <dxf>
      <fill>
        <patternFill patternType="solid">
          <fgColor rgb="00E4DFE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jeminise.com/products/christian-bedding-set-inspirational-bible-verse-comforte-design-02" TargetMode="External" Id="rId1"/><Relationship Type="http://schemas.openxmlformats.org/officeDocument/2006/relationships/hyperlink" Target="https://jeminise.com/products/christian-bedding-set-inspirational-bible-verse-comforte-design-03" TargetMode="External" Id="rId2"/><Relationship Type="http://schemas.openxmlformats.org/officeDocument/2006/relationships/hyperlink" Target="https://jeminise.com/products/christian-bedding-set-inspirational-bible-verse-comforte-design-04" TargetMode="External" Id="rId3"/><Relationship Type="http://schemas.openxmlformats.org/officeDocument/2006/relationships/hyperlink" Target="https://jeminise.com/products/christian-bedding-set-inspirational-bible-verse-comforte-design-05" TargetMode="External" Id="rId4"/><Relationship Type="http://schemas.openxmlformats.org/officeDocument/2006/relationships/hyperlink" Target="https://jeminise.com/products/christian-bedding-set-inspirational-bible-verse-comforte-design-06" TargetMode="External" Id="rId5"/><Relationship Type="http://schemas.openxmlformats.org/officeDocument/2006/relationships/hyperlink" Target="https://jeminise.com/products/christian-bedding-set-inspirational-bible-verse-comforter" TargetMode="External" Id="rId6"/><Relationship Type="http://schemas.openxmlformats.org/officeDocument/2006/relationships/hyperlink" Target="https://jeminise.com/products/christmas-bedding-quilt-soft-microfiber-holiday-bedsprea-design-01" TargetMode="External" Id="rId7"/><Relationship Type="http://schemas.openxmlformats.org/officeDocument/2006/relationships/hyperlink" Target="https://jeminise.com/products/christmas-bedding-quilt-soft-microfiber-holiday-bedsprea-design-02" TargetMode="External" Id="rId8"/><Relationship Type="http://schemas.openxmlformats.org/officeDocument/2006/relationships/hyperlink" Target="https://jeminise.com/products/christmas-bedding-quilt-soft-microfiber-holiday-bedsprea-design-03" TargetMode="External" Id="rId9"/><Relationship Type="http://schemas.openxmlformats.org/officeDocument/2006/relationships/hyperlink" Target="https://jeminise.com/products/christmas-bedding-quilt-soft-microfiber-holiday-bedsprea-design-04" TargetMode="External" Id="rId10"/></Relationships>
</file>

<file path=xl/worksheets/_rels/sheet4.xml.rels><Relationships xmlns="http://schemas.openxmlformats.org/package/2006/relationships"><Relationship Type="http://schemas.openxmlformats.org/officeDocument/2006/relationships/hyperlink" Target="https://cdn.shopify.com/s/files/1/0792/5098/1063/files/8f8cbae7d7dc8a5bb8d1fd9af7a3d36dfe9b26d76e6c99b9b36c2f64aeb5f0ae.jpg?v=1787237735" TargetMode="External" Id="rId1"/><Relationship Type="http://schemas.openxmlformats.org/officeDocument/2006/relationships/hyperlink" Target="https://cdn.shopify.com/s/files/1/0792/5098/1063/files/8f8cbae7d7dc8a5bb8d1fd9af7a3d36dfe9b26d76e6c99b9b36c2f64aeb5f0ae.jpg?v=1787237735" TargetMode="External" Id="rId2"/><Relationship Type="http://schemas.openxmlformats.org/officeDocument/2006/relationships/hyperlink" Target="https://cdn.shopify.com/s/files/1/0792/5098/1063/files/f8aafdfb4c8162ca9e2e2a98539d9758b42cf390e7a8828716dc849e251afcb1.jpg?v=1787237735" TargetMode="External" Id="rId3"/><Relationship Type="http://schemas.openxmlformats.org/officeDocument/2006/relationships/hyperlink" Target="https://cdn.shopify.com/s/files/1/0792/5098/1063/files/f8aafdfb4c8162ca9e2e2a98539d9758b42cf390e7a8828716dc849e251afcb1.jpg?v=1787237735" TargetMode="External" Id="rId4"/><Relationship Type="http://schemas.openxmlformats.org/officeDocument/2006/relationships/hyperlink" Target="https://cdn.shopify.com/s/files/1/0792/5098/1063/files/50f96559dd878ae5bbee14ba7a34337ccd740d21a8ffe86a8a1be819656d26c0_ae8608eb-bf72-43da-b626-8fd454d536c7.jpg?v=1787237735" TargetMode="External" Id="rId5"/><Relationship Type="http://schemas.openxmlformats.org/officeDocument/2006/relationships/hyperlink" Target="https://cdn.shopify.com/s/files/1/0792/5098/1063/files/50f96559dd878ae5bbee14ba7a34337ccd740d21a8ffe86a8a1be819656d26c0_ae8608eb-bf72-43da-b626-8fd454d536c7.jpg?v=1787237735" TargetMode="External" Id="rId6"/><Relationship Type="http://schemas.openxmlformats.org/officeDocument/2006/relationships/hyperlink" Target="https://cdn.shopify.com/s/files/1/0792/5098/1063/files/27f7ed18554cde6fb1921b3b4261b0f7a6d2176eda09e52bedf7b7fe5cb0399a.jpg?v=1787237735" TargetMode="External" Id="rId7"/><Relationship Type="http://schemas.openxmlformats.org/officeDocument/2006/relationships/hyperlink" Target="https://cdn.shopify.com/s/files/1/0792/5098/1063/files/27f7ed18554cde6fb1921b3b4261b0f7a6d2176eda09e52bedf7b7fe5cb0399a.jpg?v=1787237735" TargetMode="External" Id="rId8"/><Relationship Type="http://schemas.openxmlformats.org/officeDocument/2006/relationships/hyperlink" Target="https://cdn.shopify.com/s/files/1/0792/5098/1063/files/c0229b109e769b68f8c9f35623479c094bab31ad756f2c9dfcf50eadd39d92c5_9c3ec9d7-9121-432a-b4e5-640cc3768a2a.jpg?v=1787237735" TargetMode="External" Id="rId9"/><Relationship Type="http://schemas.openxmlformats.org/officeDocument/2006/relationships/hyperlink" Target="https://cdn.shopify.com/s/files/1/0792/5098/1063/files/c0229b109e769b68f8c9f35623479c094bab31ad756f2c9dfcf50eadd39d92c5_9c3ec9d7-9121-432a-b4e5-640cc3768a2a.jpg?v=1787237735" TargetMode="External" Id="rId10"/><Relationship Type="http://schemas.openxmlformats.org/officeDocument/2006/relationships/hyperlink" Target="https://cdn.shopify.com/s/files/1/0792/5098/1063/files/0e22a9fec09643a714af054217066178d4f7bc4d6266b6d2ff5c33c09cc10e88_963c3f22-9265-4b21-8847-4b1a66ac13e5.jpg?v=1787237735" TargetMode="External" Id="rId11"/><Relationship Type="http://schemas.openxmlformats.org/officeDocument/2006/relationships/hyperlink" Target="https://cdn.shopify.com/s/files/1/0792/5098/1063/files/0e22a9fec09643a714af054217066178d4f7bc4d6266b6d2ff5c33c09cc10e88_963c3f22-9265-4b21-8847-4b1a66ac13e5.jpg?v=1787237735" TargetMode="External" Id="rId12"/><Relationship Type="http://schemas.openxmlformats.org/officeDocument/2006/relationships/hyperlink" Target="https://cdn.shopify.com/s/files/1/0792/5098/1063/files/03ac15a4de6fdc4759048838b9e69d3ab841369c3b081159e5bf995fe1ff2483.jpg?v=1787237735" TargetMode="External" Id="rId13"/><Relationship Type="http://schemas.openxmlformats.org/officeDocument/2006/relationships/hyperlink" Target="https://cdn.shopify.com/s/files/1/0792/5098/1063/files/03ac15a4de6fdc4759048838b9e69d3ab841369c3b081159e5bf995fe1ff2483.jpg?v=1787237735" TargetMode="External" Id="rId14"/><Relationship Type="http://schemas.openxmlformats.org/officeDocument/2006/relationships/hyperlink" Target="https://cdn.shopify.com/s/files/1/0792/5098/1063/files/d6b8438a259ef28ba839a68ba108f40464bc9629b0bc2168779fc7776c9cbffa_433fa23f-2790-4b1e-8f60-9cb3f933e7c9.jpg?v=1787237735" TargetMode="External" Id="rId15"/><Relationship Type="http://schemas.openxmlformats.org/officeDocument/2006/relationships/hyperlink" Target="https://cdn.shopify.com/s/files/1/0792/5098/1063/files/d6b8438a259ef28ba839a68ba108f40464bc9629b0bc2168779fc7776c9cbffa_433fa23f-2790-4b1e-8f60-9cb3f933e7c9.jpg?v=1787237735" TargetMode="External" Id="rId16"/><Relationship Type="http://schemas.openxmlformats.org/officeDocument/2006/relationships/hyperlink" Target="https://cdn.shopify.com/s/files/1/0792/5098/1063/files/f92da9391db0dc6b3922463b3a830c7068091ba905b6f543f5ed21537c343ff7.jpg?v=1787237775" TargetMode="External" Id="rId17"/><Relationship Type="http://schemas.openxmlformats.org/officeDocument/2006/relationships/hyperlink" Target="https://cdn.shopify.com/s/files/1/0792/5098/1063/files/f92da9391db0dc6b3922463b3a830c7068091ba905b6f543f5ed21537c343ff7.jpg?v=1787237775" TargetMode="External" Id="rId18"/><Relationship Type="http://schemas.openxmlformats.org/officeDocument/2006/relationships/hyperlink" Target="https://cdn.shopify.com/s/files/1/0792/5098/1063/files/38662725a37694575465781c6a07cc74254226a1182579802ffa9912a4e7768f.jpg?v=1787237775" TargetMode="External" Id="rId19"/><Relationship Type="http://schemas.openxmlformats.org/officeDocument/2006/relationships/hyperlink" Target="https://cdn.shopify.com/s/files/1/0792/5098/1063/files/38662725a37694575465781c6a07cc74254226a1182579802ffa9912a4e7768f.jpg?v=1787237775" TargetMode="External" Id="rId20"/><Relationship Type="http://schemas.openxmlformats.org/officeDocument/2006/relationships/hyperlink" Target="https://cdn.shopify.com/s/files/1/0792/5098/1063/files/50f96559dd878ae5bbee14ba7a34337ccd740d21a8ffe86a8a1be819656d26c0_55aad209-cbed-473d-b39c-7f6a67c4001e.jpg?v=1787237775" TargetMode="External" Id="rId21"/><Relationship Type="http://schemas.openxmlformats.org/officeDocument/2006/relationships/hyperlink" Target="https://cdn.shopify.com/s/files/1/0792/5098/1063/files/50f96559dd878ae5bbee14ba7a34337ccd740d21a8ffe86a8a1be819656d26c0_55aad209-cbed-473d-b39c-7f6a67c4001e.jpg?v=1787237775" TargetMode="External" Id="rId22"/><Relationship Type="http://schemas.openxmlformats.org/officeDocument/2006/relationships/hyperlink" Target="https://cdn.shopify.com/s/files/1/0792/5098/1063/files/6f7120179ef66c1c3b1345bc6dcaf03449e1ffefc7fbda9577faecc3e3db4447.jpg?v=1787237775" TargetMode="External" Id="rId23"/><Relationship Type="http://schemas.openxmlformats.org/officeDocument/2006/relationships/hyperlink" Target="https://cdn.shopify.com/s/files/1/0792/5098/1063/files/6f7120179ef66c1c3b1345bc6dcaf03449e1ffefc7fbda9577faecc3e3db4447.jpg?v=1787237775" TargetMode="External" Id="rId24"/><Relationship Type="http://schemas.openxmlformats.org/officeDocument/2006/relationships/hyperlink" Target="https://cdn.shopify.com/s/files/1/0792/5098/1063/files/3f1020e70fcfa8dc9427d83131c12eb3107fd27ba15741a814733e1974f31cb2.jpg?v=1787237775" TargetMode="External" Id="rId25"/><Relationship Type="http://schemas.openxmlformats.org/officeDocument/2006/relationships/hyperlink" Target="https://cdn.shopify.com/s/files/1/0792/5098/1063/files/3f1020e70fcfa8dc9427d83131c12eb3107fd27ba15741a814733e1974f31cb2.jpg?v=1787237775" TargetMode="External" Id="rId26"/><Relationship Type="http://schemas.openxmlformats.org/officeDocument/2006/relationships/hyperlink" Target="https://cdn.shopify.com/s/files/1/0792/5098/1063/files/0e22a9fec09643a714af054217066178d4f7bc4d6266b6d2ff5c33c09cc10e88_aa1ee109-258c-49b7-8e15-9f96d009b1e0.jpg?v=1787237775" TargetMode="External" Id="rId27"/><Relationship Type="http://schemas.openxmlformats.org/officeDocument/2006/relationships/hyperlink" Target="https://cdn.shopify.com/s/files/1/0792/5098/1063/files/0e22a9fec09643a714af054217066178d4f7bc4d6266b6d2ff5c33c09cc10e88_aa1ee109-258c-49b7-8e15-9f96d009b1e0.jpg?v=1787237775" TargetMode="External" Id="rId28"/><Relationship Type="http://schemas.openxmlformats.org/officeDocument/2006/relationships/hyperlink" Target="https://cdn.shopify.com/s/files/1/0792/5098/1063/files/d6b8438a259ef28ba839a68ba108f40464bc9629b0bc2168779fc7776c9cbffa_6f72bb77-1b12-4ea3-9e0c-1b5e684c5f9f.jpg?v=1787237775" TargetMode="External" Id="rId29"/><Relationship Type="http://schemas.openxmlformats.org/officeDocument/2006/relationships/hyperlink" Target="https://cdn.shopify.com/s/files/1/0792/5098/1063/files/d6b8438a259ef28ba839a68ba108f40464bc9629b0bc2168779fc7776c9cbffa_6f72bb77-1b12-4ea3-9e0c-1b5e684c5f9f.jpg?v=1787237775" TargetMode="External" Id="rId30"/><Relationship Type="http://schemas.openxmlformats.org/officeDocument/2006/relationships/hyperlink" Target="https://cdn.shopify.com/s/files/1/0792/5098/1063/files/14ca1683130f1520ade50aa0650701fd1150fe4d09f367ab221b63a53783709e.jpg?v=1787237794" TargetMode="External" Id="rId31"/><Relationship Type="http://schemas.openxmlformats.org/officeDocument/2006/relationships/hyperlink" Target="https://cdn.shopify.com/s/files/1/0792/5098/1063/files/14ca1683130f1520ade50aa0650701fd1150fe4d09f367ab221b63a53783709e.jpg?v=1787237794" TargetMode="External" Id="rId32"/><Relationship Type="http://schemas.openxmlformats.org/officeDocument/2006/relationships/hyperlink" Target="https://cdn.shopify.com/s/files/1/0792/5098/1063/files/1892152d87d62b43a0e3a2b26a3397d09584e40f761ce2e9fd4940acfae699dc.jpg?v=1787237794" TargetMode="External" Id="rId33"/><Relationship Type="http://schemas.openxmlformats.org/officeDocument/2006/relationships/hyperlink" Target="https://cdn.shopify.com/s/files/1/0792/5098/1063/files/1892152d87d62b43a0e3a2b26a3397d09584e40f761ce2e9fd4940acfae699dc.jpg?v=1787237794" TargetMode="External" Id="rId34"/><Relationship Type="http://schemas.openxmlformats.org/officeDocument/2006/relationships/hyperlink" Target="https://cdn.shopify.com/s/files/1/0792/5098/1063/files/50f96559dd878ae5bbee14ba7a34337ccd740d21a8ffe86a8a1be819656d26c0_06b27f7a-14c6-4267-b5df-12ac25afd52c.jpg?v=1787237794" TargetMode="External" Id="rId35"/><Relationship Type="http://schemas.openxmlformats.org/officeDocument/2006/relationships/hyperlink" Target="https://cdn.shopify.com/s/files/1/0792/5098/1063/files/50f96559dd878ae5bbee14ba7a34337ccd740d21a8ffe86a8a1be819656d26c0_06b27f7a-14c6-4267-b5df-12ac25afd52c.jpg?v=1787237794" TargetMode="External" Id="rId36"/><Relationship Type="http://schemas.openxmlformats.org/officeDocument/2006/relationships/hyperlink" Target="https://cdn.shopify.com/s/files/1/0792/5098/1063/files/7da6a24b7604ad0ef3673f41696bea7a0fccfe1eb412a1cda572ca856ef48593.jpg?v=1787237794" TargetMode="External" Id="rId37"/><Relationship Type="http://schemas.openxmlformats.org/officeDocument/2006/relationships/hyperlink" Target="https://cdn.shopify.com/s/files/1/0792/5098/1063/files/7da6a24b7604ad0ef3673f41696bea7a0fccfe1eb412a1cda572ca856ef48593.jpg?v=1787237794" TargetMode="External" Id="rId38"/><Relationship Type="http://schemas.openxmlformats.org/officeDocument/2006/relationships/hyperlink" Target="https://cdn.shopify.com/s/files/1/0792/5098/1063/files/226b0655da5d59ac974c47bf8332fcc934206146b46faa31fb8bab794613c1f0.jpg?v=1787237794" TargetMode="External" Id="rId39"/><Relationship Type="http://schemas.openxmlformats.org/officeDocument/2006/relationships/hyperlink" Target="https://cdn.shopify.com/s/files/1/0792/5098/1063/files/226b0655da5d59ac974c47bf8332fcc934206146b46faa31fb8bab794613c1f0.jpg?v=1787237794" TargetMode="External" Id="rId40"/><Relationship Type="http://schemas.openxmlformats.org/officeDocument/2006/relationships/hyperlink" Target="https://cdn.shopify.com/s/files/1/0792/5098/1063/files/0e22a9fec09643a714af054217066178d4f7bc4d6266b6d2ff5c33c09cc10e88_2cef02df-e481-4c1b-91ca-baace2312c0a.jpg?v=1787237794" TargetMode="External" Id="rId41"/><Relationship Type="http://schemas.openxmlformats.org/officeDocument/2006/relationships/hyperlink" Target="https://cdn.shopify.com/s/files/1/0792/5098/1063/files/0e22a9fec09643a714af054217066178d4f7bc4d6266b6d2ff5c33c09cc10e88_2cef02df-e481-4c1b-91ca-baace2312c0a.jpg?v=1787237794" TargetMode="External" Id="rId42"/><Relationship Type="http://schemas.openxmlformats.org/officeDocument/2006/relationships/hyperlink" Target="https://cdn.shopify.com/s/files/1/0792/5098/1063/files/d6b8438a259ef28ba839a68ba108f40464bc9629b0bc2168779fc7776c9cbffa_5b109a66-32e6-4a36-bd31-f408dd22e6aa.jpg?v=1787237794" TargetMode="External" Id="rId43"/><Relationship Type="http://schemas.openxmlformats.org/officeDocument/2006/relationships/hyperlink" Target="https://cdn.shopify.com/s/files/1/0792/5098/1063/files/d6b8438a259ef28ba839a68ba108f40464bc9629b0bc2168779fc7776c9cbffa_5b109a66-32e6-4a36-bd31-f408dd22e6aa.jpg?v=1787237794" TargetMode="External" Id="rId44"/><Relationship Type="http://schemas.openxmlformats.org/officeDocument/2006/relationships/hyperlink" Target="https://cdn.shopify.com/s/files/1/0792/5098/1063/files/8863051f9429c76751f57504cfec521d6b6841af138c38cf4dbf60905dcd8fd5.jpg?v=1787237801" TargetMode="External" Id="rId45"/><Relationship Type="http://schemas.openxmlformats.org/officeDocument/2006/relationships/hyperlink" Target="https://cdn.shopify.com/s/files/1/0792/5098/1063/files/8863051f9429c76751f57504cfec521d6b6841af138c38cf4dbf60905dcd8fd5.jpg?v=1787237801" TargetMode="External" Id="rId46"/><Relationship Type="http://schemas.openxmlformats.org/officeDocument/2006/relationships/hyperlink" Target="https://cdn.shopify.com/s/files/1/0792/5098/1063/files/b5194765e0cae48306ed2e7b908325a37d813710ea8355976fd4bdad98268bcf.jpg?v=1787237801" TargetMode="External" Id="rId47"/><Relationship Type="http://schemas.openxmlformats.org/officeDocument/2006/relationships/hyperlink" Target="https://cdn.shopify.com/s/files/1/0792/5098/1063/files/b5194765e0cae48306ed2e7b908325a37d813710ea8355976fd4bdad98268bcf.jpg?v=1787237801" TargetMode="External" Id="rId48"/><Relationship Type="http://schemas.openxmlformats.org/officeDocument/2006/relationships/hyperlink" Target="https://cdn.shopify.com/s/files/1/0792/5098/1063/files/50f96559dd878ae5bbee14ba7a34337ccd740d21a8ffe86a8a1be819656d26c0_32920277-9b92-44f8-8046-5ec5bbe0e622.jpg?v=1787237801" TargetMode="External" Id="rId49"/><Relationship Type="http://schemas.openxmlformats.org/officeDocument/2006/relationships/hyperlink" Target="https://cdn.shopify.com/s/files/1/0792/5098/1063/files/50f96559dd878ae5bbee14ba7a34337ccd740d21a8ffe86a8a1be819656d26c0_32920277-9b92-44f8-8046-5ec5bbe0e622.jpg?v=1787237801" TargetMode="External" Id="rId50"/><Relationship Type="http://schemas.openxmlformats.org/officeDocument/2006/relationships/hyperlink" Target="https://cdn.shopify.com/s/files/1/0792/5098/1063/files/a3e33ead7835eefa65523c45bf48420d56f8ee5c29d0aa8d4a6fb0717bc0d53e.jpg?v=1787237801" TargetMode="External" Id="rId51"/><Relationship Type="http://schemas.openxmlformats.org/officeDocument/2006/relationships/hyperlink" Target="https://cdn.shopify.com/s/files/1/0792/5098/1063/files/a3e33ead7835eefa65523c45bf48420d56f8ee5c29d0aa8d4a6fb0717bc0d53e.jpg?v=1787237801" TargetMode="External" Id="rId52"/><Relationship Type="http://schemas.openxmlformats.org/officeDocument/2006/relationships/hyperlink" Target="https://cdn.shopify.com/s/files/1/0792/5098/1063/files/c90ac7079a8d005c71bbed0da31d73d3243eb764fe402b271b85e05efec937b6.jpg?v=1787237801" TargetMode="External" Id="rId53"/><Relationship Type="http://schemas.openxmlformats.org/officeDocument/2006/relationships/hyperlink" Target="https://cdn.shopify.com/s/files/1/0792/5098/1063/files/c90ac7079a8d005c71bbed0da31d73d3243eb764fe402b271b85e05efec937b6.jpg?v=1787237801" TargetMode="External" Id="rId54"/><Relationship Type="http://schemas.openxmlformats.org/officeDocument/2006/relationships/hyperlink" Target="https://cdn.shopify.com/s/files/1/0792/5098/1063/files/0e22a9fec09643a714af054217066178d4f7bc4d6266b6d2ff5c33c09cc10e88_37f50064-c16f-4107-bf6d-b3b50080fc75.jpg?v=1787237802" TargetMode="External" Id="rId55"/><Relationship Type="http://schemas.openxmlformats.org/officeDocument/2006/relationships/hyperlink" Target="https://cdn.shopify.com/s/files/1/0792/5098/1063/files/0e22a9fec09643a714af054217066178d4f7bc4d6266b6d2ff5c33c09cc10e88_37f50064-c16f-4107-bf6d-b3b50080fc75.jpg?v=1787237802" TargetMode="External" Id="rId56"/><Relationship Type="http://schemas.openxmlformats.org/officeDocument/2006/relationships/hyperlink" Target="https://cdn.shopify.com/s/files/1/0792/5098/1063/files/d6b8438a259ef28ba839a68ba108f40464bc9629b0bc2168779fc7776c9cbffa_fb8b4e17-519d-4d0c-b0e5-03dce3811442.jpg?v=1787237801" TargetMode="External" Id="rId57"/><Relationship Type="http://schemas.openxmlformats.org/officeDocument/2006/relationships/hyperlink" Target="https://cdn.shopify.com/s/files/1/0792/5098/1063/files/d6b8438a259ef28ba839a68ba108f40464bc9629b0bc2168779fc7776c9cbffa_fb8b4e17-519d-4d0c-b0e5-03dce3811442.jpg?v=1787237801" TargetMode="External" Id="rId58"/><Relationship Type="http://schemas.openxmlformats.org/officeDocument/2006/relationships/hyperlink" Target="https://cdn.shopify.com/s/files/1/0792/5098/1063/files/7d1ce2040466699184d4d34be5a513af5f29c64a38cbd8b469c68ae7253f4630.jpg?v=1787237807" TargetMode="External" Id="rId59"/><Relationship Type="http://schemas.openxmlformats.org/officeDocument/2006/relationships/hyperlink" Target="https://cdn.shopify.com/s/files/1/0792/5098/1063/files/7d1ce2040466699184d4d34be5a513af5f29c64a38cbd8b469c68ae7253f4630.jpg?v=1787237807" TargetMode="External" Id="rId60"/><Relationship Type="http://schemas.openxmlformats.org/officeDocument/2006/relationships/hyperlink" Target="https://cdn.shopify.com/s/files/1/0792/5098/1063/files/85e882bcf89deebcdc3c8d5fea6db005c41297d04fabf6b4dedfb33c5d8fa653.jpg?v=1787237807" TargetMode="External" Id="rId61"/><Relationship Type="http://schemas.openxmlformats.org/officeDocument/2006/relationships/hyperlink" Target="https://cdn.shopify.com/s/files/1/0792/5098/1063/files/85e882bcf89deebcdc3c8d5fea6db005c41297d04fabf6b4dedfb33c5d8fa653.jpg?v=1787237807" TargetMode="External" Id="rId62"/><Relationship Type="http://schemas.openxmlformats.org/officeDocument/2006/relationships/hyperlink" Target="https://cdn.shopify.com/s/files/1/0792/5098/1063/files/50f96559dd878ae5bbee14ba7a34337ccd740d21a8ffe86a8a1be819656d26c0_8c8fa0f7-48a1-41f8-86e6-9b423fbaf03e.jpg?v=1787237806" TargetMode="External" Id="rId63"/><Relationship Type="http://schemas.openxmlformats.org/officeDocument/2006/relationships/hyperlink" Target="https://cdn.shopify.com/s/files/1/0792/5098/1063/files/50f96559dd878ae5bbee14ba7a34337ccd740d21a8ffe86a8a1be819656d26c0_8c8fa0f7-48a1-41f8-86e6-9b423fbaf03e.jpg?v=1787237806" TargetMode="External" Id="rId64"/><Relationship Type="http://schemas.openxmlformats.org/officeDocument/2006/relationships/hyperlink" Target="https://cdn.shopify.com/s/files/1/0792/5098/1063/files/1ad4193b437e09b52f40b15573e722e1cfbac19500da9f78c83773943449fcde.jpg?v=1787237807" TargetMode="External" Id="rId65"/><Relationship Type="http://schemas.openxmlformats.org/officeDocument/2006/relationships/hyperlink" Target="https://cdn.shopify.com/s/files/1/0792/5098/1063/files/1ad4193b437e09b52f40b15573e722e1cfbac19500da9f78c83773943449fcde.jpg?v=1787237807" TargetMode="External" Id="rId66"/><Relationship Type="http://schemas.openxmlformats.org/officeDocument/2006/relationships/hyperlink" Target="https://cdn.shopify.com/s/files/1/0792/5098/1063/files/26024e9472d2220f9f56e7b3a0762d7d9615e5a2536a0848fc513ad70f872f30.jpg?v=1787237807" TargetMode="External" Id="rId67"/><Relationship Type="http://schemas.openxmlformats.org/officeDocument/2006/relationships/hyperlink" Target="https://cdn.shopify.com/s/files/1/0792/5098/1063/files/26024e9472d2220f9f56e7b3a0762d7d9615e5a2536a0848fc513ad70f872f30.jpg?v=1787237807" TargetMode="External" Id="rId68"/><Relationship Type="http://schemas.openxmlformats.org/officeDocument/2006/relationships/hyperlink" Target="https://cdn.shopify.com/s/files/1/0792/5098/1063/files/0e22a9fec09643a714af054217066178d4f7bc4d6266b6d2ff5c33c09cc10e88_7566f5e2-6bfd-446e-a1f2-f06764ec2dc3.jpg?v=1787237807" TargetMode="External" Id="rId69"/><Relationship Type="http://schemas.openxmlformats.org/officeDocument/2006/relationships/hyperlink" Target="https://cdn.shopify.com/s/files/1/0792/5098/1063/files/0e22a9fec09643a714af054217066178d4f7bc4d6266b6d2ff5c33c09cc10e88_7566f5e2-6bfd-446e-a1f2-f06764ec2dc3.jpg?v=1787237807" TargetMode="External" Id="rId70"/><Relationship Type="http://schemas.openxmlformats.org/officeDocument/2006/relationships/hyperlink" Target="https://cdn.shopify.com/s/files/1/0792/5098/1063/files/d6b8438a259ef28ba839a68ba108f40464bc9629b0bc2168779fc7776c9cbffa_d87fd534-9194-441e-98a8-aa1a5591cb0d.jpg?v=1787237807" TargetMode="External" Id="rId71"/><Relationship Type="http://schemas.openxmlformats.org/officeDocument/2006/relationships/hyperlink" Target="https://cdn.shopify.com/s/files/1/0792/5098/1063/files/d6b8438a259ef28ba839a68ba108f40464bc9629b0bc2168779fc7776c9cbffa_d87fd534-9194-441e-98a8-aa1a5591cb0d.jpg?v=1787237807" TargetMode="External" Id="rId72"/><Relationship Type="http://schemas.openxmlformats.org/officeDocument/2006/relationships/hyperlink" Target="https://cdn.shopify.com/s/files/1/0792/5098/1063/files/08e481dcf1c9bf3e7363eb63d66874dc22230e7e462b0f7ac8407a6a55b4e8e2.jpg?v=1787237716" TargetMode="External" Id="rId73"/><Relationship Type="http://schemas.openxmlformats.org/officeDocument/2006/relationships/hyperlink" Target="https://cdn.shopify.com/s/files/1/0792/5098/1063/files/08e481dcf1c9bf3e7363eb63d66874dc22230e7e462b0f7ac8407a6a55b4e8e2.jpg?v=1787237716" TargetMode="External" Id="rId74"/><Relationship Type="http://schemas.openxmlformats.org/officeDocument/2006/relationships/hyperlink" Target="https://cdn.shopify.com/s/files/1/0792/5098/1063/files/6e5cfd81b4f318ba88e105e450bd24fcccf9830bd9c69ac7d722e92e36bbe4e1.jpg?v=1787237716" TargetMode="External" Id="rId75"/><Relationship Type="http://schemas.openxmlformats.org/officeDocument/2006/relationships/hyperlink" Target="https://cdn.shopify.com/s/files/1/0792/5098/1063/files/6e5cfd81b4f318ba88e105e450bd24fcccf9830bd9c69ac7d722e92e36bbe4e1.jpg?v=1787237716" TargetMode="External" Id="rId76"/><Relationship Type="http://schemas.openxmlformats.org/officeDocument/2006/relationships/hyperlink" Target="https://cdn.shopify.com/s/files/1/0792/5098/1063/files/fd6ace7cb84d9e404b44ba028d1e0be3f00d0c9dc52fac3c12f3dc02d48000e7.jpg?v=1787237716" TargetMode="External" Id="rId77"/><Relationship Type="http://schemas.openxmlformats.org/officeDocument/2006/relationships/hyperlink" Target="https://cdn.shopify.com/s/files/1/0792/5098/1063/files/fd6ace7cb84d9e404b44ba028d1e0be3f00d0c9dc52fac3c12f3dc02d48000e7.jpg?v=1787237716" TargetMode="External" Id="rId78"/><Relationship Type="http://schemas.openxmlformats.org/officeDocument/2006/relationships/hyperlink" Target="https://cdn.shopify.com/s/files/1/0792/5098/1063/files/1391672888660b8306032c6cd51a0340e0460a1f8b324b0577c2d0a44ea28c9d.jpg?v=1787237716" TargetMode="External" Id="rId79"/><Relationship Type="http://schemas.openxmlformats.org/officeDocument/2006/relationships/hyperlink" Target="https://cdn.shopify.com/s/files/1/0792/5098/1063/files/1391672888660b8306032c6cd51a0340e0460a1f8b324b0577c2d0a44ea28c9d.jpg?v=1787237716" TargetMode="External" Id="rId80"/><Relationship Type="http://schemas.openxmlformats.org/officeDocument/2006/relationships/hyperlink" Target="https://cdn.shopify.com/s/files/1/0792/5098/1063/files/e27fc1e04888a4c2e14d4ffbdcdb670ffbe1f1f1b9be43f941b96dffb8e5689d.jpg?v=1787237716" TargetMode="External" Id="rId81"/><Relationship Type="http://schemas.openxmlformats.org/officeDocument/2006/relationships/hyperlink" Target="https://cdn.shopify.com/s/files/1/0792/5098/1063/files/e27fc1e04888a4c2e14d4ffbdcdb670ffbe1f1f1b9be43f941b96dffb8e5689d.jpg?v=1787237716" TargetMode="External" Id="rId82"/><Relationship Type="http://schemas.openxmlformats.org/officeDocument/2006/relationships/hyperlink" Target="https://cdn.shopify.com/s/files/1/0792/5098/1063/files/59b4136c5b8aaddd702f3dda4c3ac549a9ea83142b9e5a1ba73fdbc00be22132.jpg?v=1787237716" TargetMode="External" Id="rId83"/><Relationship Type="http://schemas.openxmlformats.org/officeDocument/2006/relationships/hyperlink" Target="https://cdn.shopify.com/s/files/1/0792/5098/1063/files/59b4136c5b8aaddd702f3dda4c3ac549a9ea83142b9e5a1ba73fdbc00be22132.jpg?v=1787237716" TargetMode="External" Id="rId84"/><Relationship Type="http://schemas.openxmlformats.org/officeDocument/2006/relationships/hyperlink" Target="https://cdn.shopify.com/s/files/1/0792/5098/1063/files/700766e63cdebb7f3088f7ecaf56b3bae4ce4d1ffe15a4a258d5814894208554.jpg?v=1787237716" TargetMode="External" Id="rId85"/><Relationship Type="http://schemas.openxmlformats.org/officeDocument/2006/relationships/hyperlink" Target="https://cdn.shopify.com/s/files/1/0792/5098/1063/files/700766e63cdebb7f3088f7ecaf56b3bae4ce4d1ffe15a4a258d5814894208554.jpg?v=1787237716" TargetMode="External" Id="rId86"/><Relationship Type="http://schemas.openxmlformats.org/officeDocument/2006/relationships/hyperlink" Target="https://cdn.shopify.com/s/files/1/0792/5098/1063/files/f21374c2239f926c348f6641a7e0f8929698fa199fd8f23e654037e1384e4214.jpg?v=1787237716" TargetMode="External" Id="rId87"/><Relationship Type="http://schemas.openxmlformats.org/officeDocument/2006/relationships/hyperlink" Target="https://cdn.shopify.com/s/files/1/0792/5098/1063/files/f21374c2239f926c348f6641a7e0f8929698fa199fd8f23e654037e1384e4214.jpg?v=1787237716" TargetMode="External" Id="rId88"/><Relationship Type="http://schemas.openxmlformats.org/officeDocument/2006/relationships/hyperlink" Target="https://cdn.shopify.com/s/files/1/0792/5098/1063/files/98667aa304d1cce79ae2ca099f84c182034fb8adc27fbd823eb0c5c00bd2999d.jpg?v=1787239344" TargetMode="External" Id="rId89"/><Relationship Type="http://schemas.openxmlformats.org/officeDocument/2006/relationships/hyperlink" Target="https://cdn.shopify.com/s/files/1/0792/5098/1063/files/98667aa304d1cce79ae2ca099f84c182034fb8adc27fbd823eb0c5c00bd2999d.jpg?v=1787239344" TargetMode="External" Id="rId90"/><Relationship Type="http://schemas.openxmlformats.org/officeDocument/2006/relationships/hyperlink" Target="https://cdn.shopify.com/s/files/1/0792/5098/1063/files/ef5fb0f3b4abe84445884164b3fe8a9b60849f27d9f160dbf6202e551cd44354.jpg?v=1787239344" TargetMode="External" Id="rId91"/><Relationship Type="http://schemas.openxmlformats.org/officeDocument/2006/relationships/hyperlink" Target="https://cdn.shopify.com/s/files/1/0792/5098/1063/files/ef5fb0f3b4abe84445884164b3fe8a9b60849f27d9f160dbf6202e551cd44354.jpg?v=1787239344" TargetMode="External" Id="rId92"/><Relationship Type="http://schemas.openxmlformats.org/officeDocument/2006/relationships/hyperlink" Target="https://cdn.shopify.com/s/files/1/0792/5098/1063/files/4b19b345400162da6ca516cd83b37574ed8b518e4fb7f48520940b3fc7b5f9df.jpg?v=1787239344" TargetMode="External" Id="rId93"/><Relationship Type="http://schemas.openxmlformats.org/officeDocument/2006/relationships/hyperlink" Target="https://cdn.shopify.com/s/files/1/0792/5098/1063/files/4b19b345400162da6ca516cd83b37574ed8b518e4fb7f48520940b3fc7b5f9df.jpg?v=1787239344" TargetMode="External" Id="rId94"/><Relationship Type="http://schemas.openxmlformats.org/officeDocument/2006/relationships/hyperlink" Target="https://cdn.shopify.com/s/files/1/0792/5098/1063/files/c7fc88ca9ec64e57ac466c010b032d865a04a5f7efbdb4acdfcaf38397afc4e5.jpg?v=1787239344" TargetMode="External" Id="rId95"/><Relationship Type="http://schemas.openxmlformats.org/officeDocument/2006/relationships/hyperlink" Target="https://cdn.shopify.com/s/files/1/0792/5098/1063/files/c7fc88ca9ec64e57ac466c010b032d865a04a5f7efbdb4acdfcaf38397afc4e5.jpg?v=1787239344" TargetMode="External" Id="rId96"/><Relationship Type="http://schemas.openxmlformats.org/officeDocument/2006/relationships/hyperlink" Target="https://cdn.shopify.com/s/files/1/0792/5098/1063/files/f9918abc28c263da8a27b5d2771f223f596735f0b41e35025e4ec8c4b1213901.jpg?v=1787239344" TargetMode="External" Id="rId97"/><Relationship Type="http://schemas.openxmlformats.org/officeDocument/2006/relationships/hyperlink" Target="https://cdn.shopify.com/s/files/1/0792/5098/1063/files/f9918abc28c263da8a27b5d2771f223f596735f0b41e35025e4ec8c4b1213901.jpg?v=1787239344" TargetMode="External" Id="rId98"/><Relationship Type="http://schemas.openxmlformats.org/officeDocument/2006/relationships/hyperlink" Target="https://cdn.shopify.com/s/files/1/0792/5098/1063/files/57a7ce08a0f83d12377baee8b7269bba25dd26fdd9c91110fbdc7c49acd6cd46.jpg?v=1787239348" TargetMode="External" Id="rId99"/><Relationship Type="http://schemas.openxmlformats.org/officeDocument/2006/relationships/hyperlink" Target="https://cdn.shopify.com/s/files/1/0792/5098/1063/files/57a7ce08a0f83d12377baee8b7269bba25dd26fdd9c91110fbdc7c49acd6cd46.jpg?v=1787239348" TargetMode="External" Id="rId100"/><Relationship Type="http://schemas.openxmlformats.org/officeDocument/2006/relationships/hyperlink" Target="https://cdn.shopify.com/s/files/1/0792/5098/1063/files/5c29dd6655367de605661f28975aea64ef7bf3fe97fa2040469c83a862519be6.jpg?v=1787239348" TargetMode="External" Id="rId101"/><Relationship Type="http://schemas.openxmlformats.org/officeDocument/2006/relationships/hyperlink" Target="https://cdn.shopify.com/s/files/1/0792/5098/1063/files/5c29dd6655367de605661f28975aea64ef7bf3fe97fa2040469c83a862519be6.jpg?v=1787239348" TargetMode="External" Id="rId102"/><Relationship Type="http://schemas.openxmlformats.org/officeDocument/2006/relationships/hyperlink" Target="https://cdn.shopify.com/s/files/1/0792/5098/1063/files/0497bbb180b270bb821aa012be14278640ab96779bd2279f6fde75e9a69bc981.jpg?v=1787239348" TargetMode="External" Id="rId103"/><Relationship Type="http://schemas.openxmlformats.org/officeDocument/2006/relationships/hyperlink" Target="https://cdn.shopify.com/s/files/1/0792/5098/1063/files/0497bbb180b270bb821aa012be14278640ab96779bd2279f6fde75e9a69bc981.jpg?v=1787239348" TargetMode="External" Id="rId104"/><Relationship Type="http://schemas.openxmlformats.org/officeDocument/2006/relationships/hyperlink" Target="https://cdn.shopify.com/s/files/1/0792/5098/1063/files/c905e081df2beed08b734c876c22d231c44cf1610294b7c0b8f756a1008190b1.jpg?v=1787239348" TargetMode="External" Id="rId105"/><Relationship Type="http://schemas.openxmlformats.org/officeDocument/2006/relationships/hyperlink" Target="https://cdn.shopify.com/s/files/1/0792/5098/1063/files/c905e081df2beed08b734c876c22d231c44cf1610294b7c0b8f756a1008190b1.jpg?v=1787239348" TargetMode="External" Id="rId106"/><Relationship Type="http://schemas.openxmlformats.org/officeDocument/2006/relationships/hyperlink" Target="https://cdn.shopify.com/s/files/1/0792/5098/1063/files/7f25263bf8ff6f505b2102e6286f57302397b98b0f9fdb7978daa38539f3f1ac.jpg?v=1787239348" TargetMode="External" Id="rId107"/><Relationship Type="http://schemas.openxmlformats.org/officeDocument/2006/relationships/hyperlink" Target="https://cdn.shopify.com/s/files/1/0792/5098/1063/files/7f25263bf8ff6f505b2102e6286f57302397b98b0f9fdb7978daa38539f3f1ac.jpg?v=1787239348" TargetMode="External" Id="rId108"/><Relationship Type="http://schemas.openxmlformats.org/officeDocument/2006/relationships/hyperlink" Target="https://cdn.shopify.com/s/files/1/0792/5098/1063/files/bbbc5063a842a4025b83691360e26a0f48bd6b628bfe51d0f66000c5bde9160f.jpg?v=1787239363" TargetMode="External" Id="rId109"/><Relationship Type="http://schemas.openxmlformats.org/officeDocument/2006/relationships/hyperlink" Target="https://cdn.shopify.com/s/files/1/0792/5098/1063/files/bbbc5063a842a4025b83691360e26a0f48bd6b628bfe51d0f66000c5bde9160f.jpg?v=1787239363" TargetMode="External" Id="rId110"/><Relationship Type="http://schemas.openxmlformats.org/officeDocument/2006/relationships/hyperlink" Target="https://cdn.shopify.com/s/files/1/0792/5098/1063/files/1d962e1fd3d6fb1ccbe82d1b9d96746919c0028a56d90f2f5e5b1206422676d9.jpg?v=1787239363" TargetMode="External" Id="rId111"/><Relationship Type="http://schemas.openxmlformats.org/officeDocument/2006/relationships/hyperlink" Target="https://cdn.shopify.com/s/files/1/0792/5098/1063/files/1d962e1fd3d6fb1ccbe82d1b9d96746919c0028a56d90f2f5e5b1206422676d9.jpg?v=1787239363" TargetMode="External" Id="rId112"/><Relationship Type="http://schemas.openxmlformats.org/officeDocument/2006/relationships/hyperlink" Target="https://cdn.shopify.com/s/files/1/0792/5098/1063/files/fc9d9bb7a4157494e84e2760896b163917544674147d59e79260c06c7047b8fa.jpg?v=1787239363" TargetMode="External" Id="rId113"/><Relationship Type="http://schemas.openxmlformats.org/officeDocument/2006/relationships/hyperlink" Target="https://cdn.shopify.com/s/files/1/0792/5098/1063/files/fc9d9bb7a4157494e84e2760896b163917544674147d59e79260c06c7047b8fa.jpg?v=1787239363" TargetMode="External" Id="rId114"/><Relationship Type="http://schemas.openxmlformats.org/officeDocument/2006/relationships/hyperlink" Target="https://cdn.shopify.com/s/files/1/0792/5098/1063/files/ed1f801ef63b58d7c0fa153b8385667b922eaf1d12c757a8abe5554bf16b8de3.jpg?v=1787239363" TargetMode="External" Id="rId115"/><Relationship Type="http://schemas.openxmlformats.org/officeDocument/2006/relationships/hyperlink" Target="https://cdn.shopify.com/s/files/1/0792/5098/1063/files/ed1f801ef63b58d7c0fa153b8385667b922eaf1d12c757a8abe5554bf16b8de3.jpg?v=1787239363" TargetMode="External" Id="rId116"/><Relationship Type="http://schemas.openxmlformats.org/officeDocument/2006/relationships/hyperlink" Target="https://cdn.shopify.com/s/files/1/0792/5098/1063/files/c75960e3ddc81d77c391212f67c79d9add41e8f685321e4f6ca1230660fcd8de.jpg?v=1787239363" TargetMode="External" Id="rId117"/><Relationship Type="http://schemas.openxmlformats.org/officeDocument/2006/relationships/hyperlink" Target="https://cdn.shopify.com/s/files/1/0792/5098/1063/files/c75960e3ddc81d77c391212f67c79d9add41e8f685321e4f6ca1230660fcd8de.jpg?v=1787239363" TargetMode="External" Id="rId118"/><Relationship Type="http://schemas.openxmlformats.org/officeDocument/2006/relationships/hyperlink" Target="https://cdn.shopify.com/s/files/1/0792/5098/1063/files/c995fe84801c09d910dc409c0566ec9afe487b8804ac002dd8b540abd448435d.jpg?v=1787239355" TargetMode="External" Id="rId119"/><Relationship Type="http://schemas.openxmlformats.org/officeDocument/2006/relationships/hyperlink" Target="https://cdn.shopify.com/s/files/1/0792/5098/1063/files/c995fe84801c09d910dc409c0566ec9afe487b8804ac002dd8b540abd448435d.jpg?v=1787239355" TargetMode="External" Id="rId120"/><Relationship Type="http://schemas.openxmlformats.org/officeDocument/2006/relationships/hyperlink" Target="https://cdn.shopify.com/s/files/1/0792/5098/1063/files/ada23d8192c9d327e2ca7af4d3ab7ad5b2f163980c27341d8ad218b41e8125d5.jpg?v=1787239355" TargetMode="External" Id="rId121"/><Relationship Type="http://schemas.openxmlformats.org/officeDocument/2006/relationships/hyperlink" Target="https://cdn.shopify.com/s/files/1/0792/5098/1063/files/ada23d8192c9d327e2ca7af4d3ab7ad5b2f163980c27341d8ad218b41e8125d5.jpg?v=1787239355" TargetMode="External" Id="rId122"/><Relationship Type="http://schemas.openxmlformats.org/officeDocument/2006/relationships/hyperlink" Target="https://cdn.shopify.com/s/files/1/0792/5098/1063/files/e80ea2d2d8dcc4ea9023f55162873b983177fa3a8f595e088474768ad799ed5c.jpg?v=1787239355" TargetMode="External" Id="rId123"/><Relationship Type="http://schemas.openxmlformats.org/officeDocument/2006/relationships/hyperlink" Target="https://cdn.shopify.com/s/files/1/0792/5098/1063/files/e80ea2d2d8dcc4ea9023f55162873b983177fa3a8f595e088474768ad799ed5c.jpg?v=1787239355" TargetMode="External" Id="rId124"/><Relationship Type="http://schemas.openxmlformats.org/officeDocument/2006/relationships/hyperlink" Target="https://cdn.shopify.com/s/files/1/0792/5098/1063/files/f3fc13bb561a00481ad014ca51c18eab68958750857b4d44f0ceee5c393efef5.jpg?v=1787239355" TargetMode="External" Id="rId125"/><Relationship Type="http://schemas.openxmlformats.org/officeDocument/2006/relationships/hyperlink" Target="https://cdn.shopify.com/s/files/1/0792/5098/1063/files/f3fc13bb561a00481ad014ca51c18eab68958750857b4d44f0ceee5c393efef5.jpg?v=1787239355" TargetMode="External" Id="rId126"/><Relationship Type="http://schemas.openxmlformats.org/officeDocument/2006/relationships/hyperlink" Target="https://cdn.shopify.com/s/files/1/0792/5098/1063/files/cc08a444fe29784e5b49094b0a886c70090b4e7ca551d385fed2daee54bfd77a.jpg?v=1787239355" TargetMode="External" Id="rId127"/><Relationship Type="http://schemas.openxmlformats.org/officeDocument/2006/relationships/hyperlink" Target="https://cdn.shopify.com/s/files/1/0792/5098/1063/files/cc08a444fe29784e5b49094b0a886c70090b4e7ca551d385fed2daee54bfd77a.jpg?v=1787239355" TargetMode="External" Id="rId128"/></Relationships>
</file>

<file path=xl/worksheets/sheet1.xml><?xml version="1.0" encoding="utf-8"?>
<worksheet xmlns="http://schemas.openxmlformats.org/spreadsheetml/2006/main">
  <sheetPr>
    <outlinePr summaryBelow="1" summaryRight="1"/>
    <pageSetUpPr fitToPage="1"/>
  </sheetPr>
  <dimension ref="A1:C14"/>
  <sheetViews>
    <sheetView showGridLines="0" workbookViewId="0">
      <pane ySplit="1" topLeftCell="A2" activePane="bottomLeft" state="frozen"/>
      <selection pane="bottomLeft" activeCell="A1" sqref="A1"/>
    </sheetView>
  </sheetViews>
  <sheetFormatPr baseColWidth="8" defaultRowHeight="15"/>
  <cols>
    <col width="24" customWidth="1" min="1" max="1"/>
    <col width="42" customWidth="1" min="2" max="2"/>
    <col width="42" customWidth="1" min="3" max="3"/>
  </cols>
  <sheetData>
    <row r="1" ht="32" customHeight="1">
      <c r="A1" s="1" t="inlineStr">
        <is>
          <t>metric</t>
        </is>
      </c>
      <c r="B1" s="1" t="inlineStr">
        <is>
          <t>value</t>
        </is>
      </c>
      <c r="C1" s="1" t="inlineStr">
        <is>
          <t>definition</t>
        </is>
      </c>
    </row>
    <row r="2" ht="42" customHeight="1">
      <c r="A2" s="2" t="inlineStr">
        <is>
          <t>rubric_version</t>
        </is>
      </c>
      <c r="B2" s="2" t="inlineStr">
        <is>
          <t>prompt_qa.md@sha256:C2C1DEFDB72362291F7DA656FA7FEA9283A02782FC8CA66D2E4637F2511500DD</t>
        </is>
      </c>
      <c r="C2" s="2" t="inlineStr">
        <is>
          <t>Rubric QA áp dụng.</t>
        </is>
      </c>
    </row>
    <row r="3" ht="42" customHeight="1">
      <c r="A3" s="3" t="inlineStr">
        <is>
          <t>source_workbook</t>
        </is>
      </c>
      <c r="B3" s="3" t="inlineStr">
        <is>
          <t>D:\Shopify_Workspace\jeminise_seo\resutls\jeminise.com\20260906_234129\revisions\qa_batch_002_r2\SEO_Product_Optimization_qa_batch_002_r2.xlsx</t>
        </is>
      </c>
      <c r="C3" s="3" t="inlineStr">
        <is>
          <t>Workbook giai đoạn 1 được đóng băng; không chỉnh sửa.</t>
        </is>
      </c>
    </row>
    <row r="4" ht="42" customHeight="1">
      <c r="A4" s="2" t="inlineStr">
        <is>
          <t>source_sha256_at_handoff</t>
        </is>
      </c>
      <c r="B4" s="2" t="inlineStr">
        <is>
          <t>75C50FAC073CBFE79A77C7A664BA8006EDD9327790CA0AC2431E196534DC9A7A</t>
        </is>
      </c>
      <c r="C4" s="2" t="inlineStr">
        <is>
          <t>Hash tính lại khi hoàn tất báo cáo.</t>
        </is>
      </c>
    </row>
    <row r="5" ht="42" customHeight="1">
      <c r="A5" s="3" t="inlineStr">
        <is>
          <t>qa_run_id</t>
        </is>
      </c>
      <c r="B5" s="3" t="inlineStr">
        <is>
          <t>20260907_123726</t>
        </is>
      </c>
      <c r="C5" s="3" t="inlineStr">
        <is>
          <t>Run QA độc lập.</t>
        </is>
      </c>
    </row>
    <row r="6" ht="42" customHeight="1">
      <c r="A6" s="2" t="inlineStr">
        <is>
          <t>batch_id</t>
        </is>
      </c>
      <c r="B6" s="2" t="inlineStr">
        <is>
          <t>qa_batch_002_r2</t>
        </is>
      </c>
      <c r="C6" s="2" t="inlineStr">
        <is>
          <t>Inventory positions 11–20.</t>
        </is>
      </c>
    </row>
    <row r="7" ht="42" customHeight="1">
      <c r="A7" s="3" t="inlineStr">
        <is>
          <t>products_checked</t>
        </is>
      </c>
      <c r="B7" s="3" t="n">
        <v>10</v>
      </c>
      <c r="C7" s="3" t="inlineStr">
        <is>
          <t>Đúng 10 product key.</t>
        </is>
      </c>
    </row>
    <row r="8" ht="42" customHeight="1">
      <c r="A8" s="2" t="inlineStr">
        <is>
          <t>images_checked</t>
        </is>
      </c>
      <c r="B8" s="2" t="n">
        <v>64</v>
      </c>
      <c r="C8" s="2" t="inlineStr">
        <is>
          <t>64/64 ảnh mở trực tiếp ở ảnh gốc.</t>
        </is>
      </c>
    </row>
    <row r="9" ht="42" customHeight="1">
      <c r="A9" s="3" t="inlineStr">
        <is>
          <t>batch_final_score</t>
        </is>
      </c>
      <c r="B9" s="3">
        <f>AVERAGE('QA_Products'!$K$2:$K$11)</f>
        <v/>
      </c>
      <c r="C9" s="3" t="inlineStr">
        <is>
          <t>Trung bình đều 10 final_score; không bù lỗi chặn.</t>
        </is>
      </c>
    </row>
    <row r="10" ht="42" customHeight="1">
      <c r="A10" s="2" t="inlineStr">
        <is>
          <t>batch_result</t>
        </is>
      </c>
      <c r="B10" s="2">
        <f>IF(COUNTIF('QA_Products'!$L$2:$L$11,"QA_PASS")=ROWS('QA_Products'!$L$2:$L$11),"PASSED","NOT_PASSED")</f>
        <v/>
      </c>
      <c r="C10" s="2" t="inlineStr">
        <is>
          <t>Lô chỉ đạt khi mọi sản phẩm QA_PASS.</t>
        </is>
      </c>
    </row>
    <row r="11" ht="42" customHeight="1">
      <c r="A11" s="3" t="inlineStr">
        <is>
          <t>status_counts</t>
        </is>
      </c>
      <c r="B11" s="3">
        <f>"PASS="&amp;COUNTIF('QA_Products'!$L$2:$L$11,"QA_PASS")&amp;"; REVISE="&amp;COUNTIF('QA_Products'!$L$2:$L$11,"QA_REVISE")&amp;"; FAIL="&amp;COUNTIF('QA_Products'!$L$2:$L$11,"QA_FAIL")&amp;"; INCOMPLETE="&amp;COUNTIF('QA_Products'!$L$2:$L$11,"QA_INCOMPLETE")</f>
        <v/>
      </c>
      <c r="C11" s="3" t="inlineStr">
        <is>
          <t>Số sản phẩm theo kết luận.</t>
        </is>
      </c>
    </row>
    <row r="12" ht="42" customHeight="1">
      <c r="A12" s="2" t="inlineStr">
        <is>
          <t>issue_counts</t>
        </is>
      </c>
      <c r="B12" s="2" t="inlineStr">
        <is>
          <t>{"MINOR": 20, "MAJOR": 55, "LIMITATION": 1}</t>
        </is>
      </c>
      <c r="C12" s="2" t="inlineStr">
        <is>
          <t>Số phát hiện theo severity.</t>
        </is>
      </c>
    </row>
    <row r="13" ht="42" customHeight="1">
      <c r="A13" s="3" t="inlineStr">
        <is>
          <t>admin_limitation</t>
        </is>
      </c>
      <c r="B13" s="3" t="inlineStr">
        <is>
          <t>No Shopify admin export</t>
        </is>
      </c>
      <c r="C13" s="3" t="inlineStr">
        <is>
          <t>Không suy ra admin SEO fields/alt từ storefront.</t>
        </is>
      </c>
    </row>
    <row r="14" ht="42" customHeight="1">
      <c r="A14" s="2" t="inlineStr">
        <is>
          <t>xlsx_status</t>
        </is>
      </c>
      <c r="B14" s="2" t="inlineStr">
        <is>
          <t>COMPLETE</t>
        </is>
      </c>
      <c r="C14" s="2" t="inlineStr">
        <is>
          <t>Workbook QA được tạo bằng openpyxl theo yêu cầu người dùng, mở lại kiểm tra cấu trúc/công thức và render kiểm tra.</t>
        </is>
      </c>
    </row>
  </sheetData>
  <autoFilter ref="A1:C14"/>
  <printOptions horizontalCentered="0"/>
  <pageMargins left="0.25" right="0.25" top="0.5" bottom="0.5"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W11"/>
  <sheetViews>
    <sheetView showGridLines="0" workbookViewId="0">
      <pane ySplit="1" topLeftCell="A2" activePane="bottomLeft" state="frozen"/>
      <selection pane="bottomLeft" activeCell="A1" sqref="A1"/>
    </sheetView>
  </sheetViews>
  <sheetFormatPr baseColWidth="8" defaultRowHeight="15"/>
  <cols>
    <col width="20" customWidth="1" min="1" max="1"/>
    <col width="42" customWidth="1" min="2" max="2"/>
    <col width="38" customWidth="1" min="3" max="3"/>
    <col width="24" customWidth="1" min="4" max="4"/>
    <col width="15" customWidth="1" min="5" max="5"/>
    <col width="11" customWidth="1" min="6" max="6"/>
    <col width="24" customWidth="1" min="7" max="7"/>
    <col width="24" customWidth="1" min="8" max="8"/>
    <col width="19" customWidth="1" min="9" max="9"/>
    <col width="19" customWidth="1" min="10" max="10"/>
    <col width="24" customWidth="1" min="11" max="11"/>
    <col width="20" customWidth="1" min="12" max="12"/>
    <col width="38" customWidth="1" min="13" max="13"/>
    <col width="17" customWidth="1" min="14" max="14"/>
    <col width="16" customWidth="1" min="15" max="15"/>
    <col width="24" customWidth="1" min="16" max="16"/>
    <col width="16" customWidth="1" min="17" max="17"/>
    <col width="24" customWidth="1" min="18" max="18"/>
    <col width="24" customWidth="1" min="19" max="19"/>
    <col width="24" customWidth="1" min="20" max="20"/>
    <col width="24" customWidth="1" min="21" max="21"/>
    <col width="42" customWidth="1" min="22" max="22"/>
    <col width="42" customWidth="1" min="23" max="23"/>
  </cols>
  <sheetData>
    <row r="1" ht="32" customHeight="1">
      <c r="A1" s="1" t="inlineStr">
        <is>
          <t>inventory_position</t>
        </is>
      </c>
      <c r="B1" s="1" t="inlineStr">
        <is>
          <t>product_key</t>
        </is>
      </c>
      <c r="C1" s="1" t="inlineStr">
        <is>
          <t>url</t>
        </is>
      </c>
      <c r="D1" s="1" t="inlineStr">
        <is>
          <t>handle</t>
        </is>
      </c>
      <c r="E1" s="1" t="inlineStr">
        <is>
          <t>product_id</t>
        </is>
      </c>
      <c r="F1" s="1" t="inlineStr">
        <is>
          <t>revision</t>
        </is>
      </c>
      <c r="G1" s="1" t="inlineStr">
        <is>
          <t>verified_points</t>
        </is>
      </c>
      <c r="H1" s="1" t="inlineStr">
        <is>
          <t>assessed_weight</t>
        </is>
      </c>
      <c r="I1" s="1" t="inlineStr">
        <is>
          <t>score_lower_bound</t>
        </is>
      </c>
      <c r="J1" s="1" t="inlineStr">
        <is>
          <t>score_upper_bound</t>
        </is>
      </c>
      <c r="K1" s="1" t="inlineStr">
        <is>
          <t>final_score</t>
        </is>
      </c>
      <c r="L1" s="1" t="inlineStr">
        <is>
          <t>qa_status</t>
        </is>
      </c>
      <c r="M1" s="1" t="inlineStr">
        <is>
          <t>keyword_evidence_level</t>
        </is>
      </c>
      <c r="N1" s="1" t="inlineStr">
        <is>
          <t>images_expected</t>
        </is>
      </c>
      <c r="O1" s="1" t="inlineStr">
        <is>
          <t>images_checked</t>
        </is>
      </c>
      <c r="P1" s="1" t="inlineStr">
        <is>
          <t>image_inventory_complete</t>
        </is>
      </c>
      <c r="Q1" s="1" t="inlineStr">
        <is>
          <t>image_coverage</t>
        </is>
      </c>
      <c r="R1" s="1" t="inlineStr">
        <is>
          <t>critical_count</t>
        </is>
      </c>
      <c r="S1" s="1" t="inlineStr">
        <is>
          <t>major_count</t>
        </is>
      </c>
      <c r="T1" s="1" t="inlineStr">
        <is>
          <t>minor_count</t>
        </is>
      </c>
      <c r="U1" s="1" t="inlineStr">
        <is>
          <t>limitation_count</t>
        </is>
      </c>
      <c r="V1" s="1" t="inlineStr">
        <is>
          <t>issue_refs</t>
        </is>
      </c>
      <c r="W1" s="1" t="inlineStr">
        <is>
          <t>evidence_refs</t>
        </is>
      </c>
    </row>
    <row r="2" ht="42" customHeight="1">
      <c r="A2" s="2" t="n">
        <v>11</v>
      </c>
      <c r="B2" s="2" t="inlineStr">
        <is>
          <t>jeminise.com+christian-bedding-set-inspirational-bible-verse-comforte-design-02</t>
        </is>
      </c>
      <c r="C2" s="4" t="inlineStr">
        <is>
          <t>https://jeminise.com/products/christian-bedding-set-inspirational-bible-verse-comforte-design-02</t>
        </is>
      </c>
      <c r="D2" s="2" t="inlineStr">
        <is>
          <t>christian-bedding-set-inspirational-bible-verse-comforte-design-02</t>
        </is>
      </c>
      <c r="E2" s="2" t="inlineStr">
        <is>
          <t>8867138732231</t>
        </is>
      </c>
      <c r="F2" s="2" t="inlineStr">
        <is>
          <t>r2</t>
        </is>
      </c>
      <c r="G2" s="5">
        <f>SUMIF('QA_Criteria'!$A$2:$A$111,B2,'QA_Criteria'!$F$2:$F$111)</f>
        <v/>
      </c>
      <c r="H2" s="5">
        <f>SUMIF('QA_Criteria'!$A$2:$A$111,B2,'QA_Criteria'!$G$2:$G$111)</f>
        <v/>
      </c>
      <c r="I2" s="5">
        <f>G2</f>
        <v/>
      </c>
      <c r="J2" s="5">
        <f>G2+(100-H2)</f>
        <v/>
      </c>
      <c r="K2" s="5">
        <f>IF(AND(H2=100,Q2=1,P2=TRUE),G2,"")</f>
        <v/>
      </c>
      <c r="L2" s="2">
        <f>IF(R2&gt;0,"QA_FAIL",IF(K2="","QA_INCOMPLETE",IF(K2&lt;70,"QA_FAIL",IF(OR(K2&lt;85,S2&gt;0),"QA_REVISE","QA_PASS"))))</f>
        <v/>
      </c>
      <c r="M2" s="2" t="inlineStr">
        <is>
          <t>SERP_ONLY</t>
        </is>
      </c>
      <c r="N2" s="2" t="n">
        <v>8</v>
      </c>
      <c r="O2" s="2" t="n">
        <v>8</v>
      </c>
      <c r="P2" s="2" t="b">
        <v>1</v>
      </c>
      <c r="Q2" s="6" t="n">
        <v>1</v>
      </c>
      <c r="R2" s="2">
        <f>COUNTIFS('QA_Issues'!$B$2:$B$77,B2,'QA_Issues'!$D$2:$D$77,"CRITICAL")</f>
        <v/>
      </c>
      <c r="S2" s="2">
        <f>COUNTIFS('QA_Issues'!$B$2:$B$77,B2,'QA_Issues'!$D$2:$D$77,"MAJOR")</f>
        <v/>
      </c>
      <c r="T2" s="2">
        <f>COUNTIFS('QA_Issues'!$B$2:$B$77,B2,'QA_Issues'!$D$2:$D$77,"MINOR")</f>
        <v/>
      </c>
      <c r="U2" s="2">
        <f>COUNTIFS('QA_Issues'!$B$2:$B$77,B2,'QA_Issues'!$D$2:$D$77,"LIMITATION")</f>
        <v/>
      </c>
      <c r="V2" s="2" t="inlineStr">
        <is>
          <t>["ISS-011-IMG-02", "ISS-011-IMG-03", "ISS-011-IMG-04", "ISS-011-IMG-05", "ISS-011-IMG-06", "ISS-011-IMG-07", "ISS-011-IMG-08", "R2-ISS-011-BODY", "ISS-011-ENC", "R2-ISS-011-PERS"]</t>
        </is>
      </c>
      <c r="W2" s="2" t="inlineStr">
        <is>
          <t>["evidence_batch_002_011", "https://jeminise.com/products/christian-bedding-set-inspirational-bible-verse-comforte-design-02", "serp_qa_011"]</t>
        </is>
      </c>
    </row>
    <row r="3" ht="42" customHeight="1">
      <c r="A3" s="3" t="n">
        <v>12</v>
      </c>
      <c r="B3" s="3" t="inlineStr">
        <is>
          <t>jeminise.com+christian-bedding-set-inspirational-bible-verse-comforte-design-03</t>
        </is>
      </c>
      <c r="C3" s="4" t="inlineStr">
        <is>
          <t>https://jeminise.com/products/christian-bedding-set-inspirational-bible-verse-comforte-design-03</t>
        </is>
      </c>
      <c r="D3" s="3" t="inlineStr">
        <is>
          <t>christian-bedding-set-inspirational-bible-verse-comforte-design-03</t>
        </is>
      </c>
      <c r="E3" s="3" t="inlineStr">
        <is>
          <t>8867139027143</t>
        </is>
      </c>
      <c r="F3" s="3" t="inlineStr">
        <is>
          <t>r2</t>
        </is>
      </c>
      <c r="G3" s="7">
        <f>SUMIF('QA_Criteria'!$A$2:$A$111,B3,'QA_Criteria'!$F$2:$F$111)</f>
        <v/>
      </c>
      <c r="H3" s="7">
        <f>SUMIF('QA_Criteria'!$A$2:$A$111,B3,'QA_Criteria'!$G$2:$G$111)</f>
        <v/>
      </c>
      <c r="I3" s="7">
        <f>G3</f>
        <v/>
      </c>
      <c r="J3" s="7">
        <f>G3+(100-H3)</f>
        <v/>
      </c>
      <c r="K3" s="7">
        <f>IF(AND(H3=100,Q3=1,P3=TRUE),G3,"")</f>
        <v/>
      </c>
      <c r="L3" s="3">
        <f>IF(R3&gt;0,"QA_FAIL",IF(K3="","QA_INCOMPLETE",IF(K3&lt;70,"QA_FAIL",IF(OR(K3&lt;85,S3&gt;0),"QA_REVISE","QA_PASS"))))</f>
        <v/>
      </c>
      <c r="M3" s="3" t="inlineStr">
        <is>
          <t>SERP_ONLY</t>
        </is>
      </c>
      <c r="N3" s="3" t="n">
        <v>7</v>
      </c>
      <c r="O3" s="3" t="n">
        <v>7</v>
      </c>
      <c r="P3" s="3" t="b">
        <v>1</v>
      </c>
      <c r="Q3" s="8" t="n">
        <v>1</v>
      </c>
      <c r="R3" s="3">
        <f>COUNTIFS('QA_Issues'!$B$2:$B$77,B3,'QA_Issues'!$D$2:$D$77,"CRITICAL")</f>
        <v/>
      </c>
      <c r="S3" s="3">
        <f>COUNTIFS('QA_Issues'!$B$2:$B$77,B3,'QA_Issues'!$D$2:$D$77,"MAJOR")</f>
        <v/>
      </c>
      <c r="T3" s="3">
        <f>COUNTIFS('QA_Issues'!$B$2:$B$77,B3,'QA_Issues'!$D$2:$D$77,"MINOR")</f>
        <v/>
      </c>
      <c r="U3" s="3">
        <f>COUNTIFS('QA_Issues'!$B$2:$B$77,B3,'QA_Issues'!$D$2:$D$77,"LIMITATION")</f>
        <v/>
      </c>
      <c r="V3" s="3" t="inlineStr">
        <is>
          <t>["ISS-012-IMG-02", "ISS-012-IMG-03", "ISS-012-IMG-04", "ISS-012-IMG-05", "ISS-012-IMG-06", "ISS-012-IMG-07", "R2-ISS-012-BODY", "ISS-012-ENC", "R2-ISS-012-PERS"]</t>
        </is>
      </c>
      <c r="W3" s="3" t="inlineStr">
        <is>
          <t>["evidence_batch_002_012", "https://jeminise.com/products/christian-bedding-set-inspirational-bible-verse-comforte-design-03", "serp_qa_012"]</t>
        </is>
      </c>
    </row>
    <row r="4" ht="42" customHeight="1">
      <c r="A4" s="2" t="n">
        <v>13</v>
      </c>
      <c r="B4" s="2" t="inlineStr">
        <is>
          <t>jeminise.com+christian-bedding-set-inspirational-bible-verse-comforte-design-04</t>
        </is>
      </c>
      <c r="C4" s="4" t="inlineStr">
        <is>
          <t>https://jeminise.com/products/christian-bedding-set-inspirational-bible-verse-comforte-design-04</t>
        </is>
      </c>
      <c r="D4" s="2" t="inlineStr">
        <is>
          <t>christian-bedding-set-inspirational-bible-verse-comforte-design-04</t>
        </is>
      </c>
      <c r="E4" s="2" t="inlineStr">
        <is>
          <t>8867139322055</t>
        </is>
      </c>
      <c r="F4" s="2" t="inlineStr">
        <is>
          <t>r2</t>
        </is>
      </c>
      <c r="G4" s="5">
        <f>SUMIF('QA_Criteria'!$A$2:$A$111,B4,'QA_Criteria'!$F$2:$F$111)</f>
        <v/>
      </c>
      <c r="H4" s="5">
        <f>SUMIF('QA_Criteria'!$A$2:$A$111,B4,'QA_Criteria'!$G$2:$G$111)</f>
        <v/>
      </c>
      <c r="I4" s="5">
        <f>G4</f>
        <v/>
      </c>
      <c r="J4" s="5">
        <f>G4+(100-H4)</f>
        <v/>
      </c>
      <c r="K4" s="5">
        <f>IF(AND(H4=100,Q4=1,P4=TRUE),G4,"")</f>
        <v/>
      </c>
      <c r="L4" s="2">
        <f>IF(R4&gt;0,"QA_FAIL",IF(K4="","QA_INCOMPLETE",IF(K4&lt;70,"QA_FAIL",IF(OR(K4&lt;85,S4&gt;0),"QA_REVISE","QA_PASS"))))</f>
        <v/>
      </c>
      <c r="M4" s="2" t="inlineStr">
        <is>
          <t>SERP_ONLY</t>
        </is>
      </c>
      <c r="N4" s="2" t="n">
        <v>7</v>
      </c>
      <c r="O4" s="2" t="n">
        <v>7</v>
      </c>
      <c r="P4" s="2" t="b">
        <v>1</v>
      </c>
      <c r="Q4" s="6" t="n">
        <v>1</v>
      </c>
      <c r="R4" s="2">
        <f>COUNTIFS('QA_Issues'!$B$2:$B$77,B4,'QA_Issues'!$D$2:$D$77,"CRITICAL")</f>
        <v/>
      </c>
      <c r="S4" s="2">
        <f>COUNTIFS('QA_Issues'!$B$2:$B$77,B4,'QA_Issues'!$D$2:$D$77,"MAJOR")</f>
        <v/>
      </c>
      <c r="T4" s="2">
        <f>COUNTIFS('QA_Issues'!$B$2:$B$77,B4,'QA_Issues'!$D$2:$D$77,"MINOR")</f>
        <v/>
      </c>
      <c r="U4" s="2">
        <f>COUNTIFS('QA_Issues'!$B$2:$B$77,B4,'QA_Issues'!$D$2:$D$77,"LIMITATION")</f>
        <v/>
      </c>
      <c r="V4" s="2" t="inlineStr">
        <is>
          <t>["ISS-013-IMG-02", "ISS-013-IMG-03", "ISS-013-IMG-04", "ISS-013-IMG-05", "ISS-013-IMG-06", "ISS-013-IMG-07", "R2-ISS-013-BODY", "ISS-013-ENC", "ISS-013-FACT", "R2-ISS-013-PERS"]</t>
        </is>
      </c>
      <c r="W4" s="2" t="inlineStr">
        <is>
          <t>["evidence_batch_002_013", "https://jeminise.com/products/christian-bedding-set-inspirational-bible-verse-comforte-design-04", "serp_qa_013"]</t>
        </is>
      </c>
    </row>
    <row r="5" ht="42" customHeight="1">
      <c r="A5" s="3" t="n">
        <v>14</v>
      </c>
      <c r="B5" s="3" t="inlineStr">
        <is>
          <t>jeminise.com+christian-bedding-set-inspirational-bible-verse-comforte-design-05</t>
        </is>
      </c>
      <c r="C5" s="4" t="inlineStr">
        <is>
          <t>https://jeminise.com/products/christian-bedding-set-inspirational-bible-verse-comforte-design-05</t>
        </is>
      </c>
      <c r="D5" s="3" t="inlineStr">
        <is>
          <t>christian-bedding-set-inspirational-bible-verse-comforte-design-05</t>
        </is>
      </c>
      <c r="E5" s="3" t="inlineStr">
        <is>
          <t>8867139453127</t>
        </is>
      </c>
      <c r="F5" s="3" t="inlineStr">
        <is>
          <t>r2</t>
        </is>
      </c>
      <c r="G5" s="7">
        <f>SUMIF('QA_Criteria'!$A$2:$A$111,B5,'QA_Criteria'!$F$2:$F$111)</f>
        <v/>
      </c>
      <c r="H5" s="7">
        <f>SUMIF('QA_Criteria'!$A$2:$A$111,B5,'QA_Criteria'!$G$2:$G$111)</f>
        <v/>
      </c>
      <c r="I5" s="7">
        <f>G5</f>
        <v/>
      </c>
      <c r="J5" s="7">
        <f>G5+(100-H5)</f>
        <v/>
      </c>
      <c r="K5" s="7">
        <f>IF(AND(H5=100,Q5=1,P5=TRUE),G5,"")</f>
        <v/>
      </c>
      <c r="L5" s="3">
        <f>IF(R5&gt;0,"QA_FAIL",IF(K5="","QA_INCOMPLETE",IF(K5&lt;70,"QA_FAIL",IF(OR(K5&lt;85,S5&gt;0),"QA_REVISE","QA_PASS"))))</f>
        <v/>
      </c>
      <c r="M5" s="3" t="inlineStr">
        <is>
          <t>SERP_ONLY</t>
        </is>
      </c>
      <c r="N5" s="3" t="n">
        <v>7</v>
      </c>
      <c r="O5" s="3" t="n">
        <v>7</v>
      </c>
      <c r="P5" s="3" t="b">
        <v>1</v>
      </c>
      <c r="Q5" s="8" t="n">
        <v>1</v>
      </c>
      <c r="R5" s="3">
        <f>COUNTIFS('QA_Issues'!$B$2:$B$77,B5,'QA_Issues'!$D$2:$D$77,"CRITICAL")</f>
        <v/>
      </c>
      <c r="S5" s="3">
        <f>COUNTIFS('QA_Issues'!$B$2:$B$77,B5,'QA_Issues'!$D$2:$D$77,"MAJOR")</f>
        <v/>
      </c>
      <c r="T5" s="3">
        <f>COUNTIFS('QA_Issues'!$B$2:$B$77,B5,'QA_Issues'!$D$2:$D$77,"MINOR")</f>
        <v/>
      </c>
      <c r="U5" s="3">
        <f>COUNTIFS('QA_Issues'!$B$2:$B$77,B5,'QA_Issues'!$D$2:$D$77,"LIMITATION")</f>
        <v/>
      </c>
      <c r="V5" s="3" t="inlineStr">
        <is>
          <t>["ISS-014-IMG-02", "ISS-014-IMG-03", "ISS-014-IMG-04", "ISS-014-IMG-05", "ISS-014-IMG-06", "ISS-014-IMG-07", "R2-ISS-014-BODY", "ISS-014-ENC", "R2-ISS-014-PERS"]</t>
        </is>
      </c>
      <c r="W5" s="3" t="inlineStr">
        <is>
          <t>["evidence_batch_002_014", "https://jeminise.com/products/christian-bedding-set-inspirational-bible-verse-comforte-design-05", "serp_qa_014"]</t>
        </is>
      </c>
    </row>
    <row r="6" ht="42" customHeight="1">
      <c r="A6" s="2" t="n">
        <v>15</v>
      </c>
      <c r="B6" s="2" t="inlineStr">
        <is>
          <t>jeminise.com+christian-bedding-set-inspirational-bible-verse-comforte-design-06</t>
        </is>
      </c>
      <c r="C6" s="4" t="inlineStr">
        <is>
          <t>https://jeminise.com/products/christian-bedding-set-inspirational-bible-verse-comforte-design-06</t>
        </is>
      </c>
      <c r="D6" s="2" t="inlineStr">
        <is>
          <t>christian-bedding-set-inspirational-bible-verse-comforte-design-06</t>
        </is>
      </c>
      <c r="E6" s="2" t="inlineStr">
        <is>
          <t>8867139584199</t>
        </is>
      </c>
      <c r="F6" s="2" t="inlineStr">
        <is>
          <t>r2</t>
        </is>
      </c>
      <c r="G6" s="5">
        <f>SUMIF('QA_Criteria'!$A$2:$A$111,B6,'QA_Criteria'!$F$2:$F$111)</f>
        <v/>
      </c>
      <c r="H6" s="5">
        <f>SUMIF('QA_Criteria'!$A$2:$A$111,B6,'QA_Criteria'!$G$2:$G$111)</f>
        <v/>
      </c>
      <c r="I6" s="5">
        <f>G6</f>
        <v/>
      </c>
      <c r="J6" s="5">
        <f>G6+(100-H6)</f>
        <v/>
      </c>
      <c r="K6" s="5">
        <f>IF(AND(H6=100,Q6=1,P6=TRUE),G6,"")</f>
        <v/>
      </c>
      <c r="L6" s="2">
        <f>IF(R6&gt;0,"QA_FAIL",IF(K6="","QA_INCOMPLETE",IF(K6&lt;70,"QA_FAIL",IF(OR(K6&lt;85,S6&gt;0),"QA_REVISE","QA_PASS"))))</f>
        <v/>
      </c>
      <c r="M6" s="2" t="inlineStr">
        <is>
          <t>SERP_ONLY</t>
        </is>
      </c>
      <c r="N6" s="2" t="n">
        <v>7</v>
      </c>
      <c r="O6" s="2" t="n">
        <v>7</v>
      </c>
      <c r="P6" s="2" t="b">
        <v>1</v>
      </c>
      <c r="Q6" s="6" t="n">
        <v>1</v>
      </c>
      <c r="R6" s="2">
        <f>COUNTIFS('QA_Issues'!$B$2:$B$77,B6,'QA_Issues'!$D$2:$D$77,"CRITICAL")</f>
        <v/>
      </c>
      <c r="S6" s="2">
        <f>COUNTIFS('QA_Issues'!$B$2:$B$77,B6,'QA_Issues'!$D$2:$D$77,"MAJOR")</f>
        <v/>
      </c>
      <c r="T6" s="2">
        <f>COUNTIFS('QA_Issues'!$B$2:$B$77,B6,'QA_Issues'!$D$2:$D$77,"MINOR")</f>
        <v/>
      </c>
      <c r="U6" s="2">
        <f>COUNTIFS('QA_Issues'!$B$2:$B$77,B6,'QA_Issues'!$D$2:$D$77,"LIMITATION")</f>
        <v/>
      </c>
      <c r="V6" s="2" t="inlineStr">
        <is>
          <t>["ISS-015-IMG-02", "ISS-015-IMG-03", "ISS-015-IMG-04", "ISS-015-IMG-05", "ISS-015-IMG-06", "ISS-015-IMG-07", "R2-ISS-015-BODY", "ISS-015-ENC", "R2-ISS-015-PERS"]</t>
        </is>
      </c>
      <c r="W6" s="2" t="inlineStr">
        <is>
          <t>["evidence_batch_002_015", "https://jeminise.com/products/christian-bedding-set-inspirational-bible-verse-comforte-design-06", "serp_qa_015"]</t>
        </is>
      </c>
    </row>
    <row r="7" ht="42" customHeight="1">
      <c r="A7" s="3" t="n">
        <v>16</v>
      </c>
      <c r="B7" s="3" t="inlineStr">
        <is>
          <t>jeminise.com+christian-bedding-set-inspirational-bible-verse-comforter</t>
        </is>
      </c>
      <c r="C7" s="4" t="inlineStr">
        <is>
          <t>https://jeminise.com/products/christian-bedding-set-inspirational-bible-verse-comforter</t>
        </is>
      </c>
      <c r="D7" s="3" t="inlineStr">
        <is>
          <t>christian-bedding-set-inspirational-bible-verse-comforter</t>
        </is>
      </c>
      <c r="E7" s="3" t="inlineStr">
        <is>
          <t>8867138437319</t>
        </is>
      </c>
      <c r="F7" s="3" t="inlineStr">
        <is>
          <t>r2</t>
        </is>
      </c>
      <c r="G7" s="7">
        <f>SUMIF('QA_Criteria'!$A$2:$A$111,B7,'QA_Criteria'!$F$2:$F$111)</f>
        <v/>
      </c>
      <c r="H7" s="7">
        <f>SUMIF('QA_Criteria'!$A$2:$A$111,B7,'QA_Criteria'!$G$2:$G$111)</f>
        <v/>
      </c>
      <c r="I7" s="7">
        <f>G7</f>
        <v/>
      </c>
      <c r="J7" s="7">
        <f>G7+(100-H7)</f>
        <v/>
      </c>
      <c r="K7" s="7">
        <f>IF(AND(H7=100,Q7=1,P7=TRUE),G7,"")</f>
        <v/>
      </c>
      <c r="L7" s="3">
        <f>IF(R7&gt;0,"QA_FAIL",IF(K7="","QA_INCOMPLETE",IF(K7&lt;70,"QA_FAIL",IF(OR(K7&lt;85,S7&gt;0),"QA_REVISE","QA_PASS"))))</f>
        <v/>
      </c>
      <c r="M7" s="3" t="inlineStr">
        <is>
          <t>SERP_ONLY</t>
        </is>
      </c>
      <c r="N7" s="3" t="n">
        <v>8</v>
      </c>
      <c r="O7" s="3" t="n">
        <v>8</v>
      </c>
      <c r="P7" s="3" t="b">
        <v>1</v>
      </c>
      <c r="Q7" s="8" t="n">
        <v>1</v>
      </c>
      <c r="R7" s="3">
        <f>COUNTIFS('QA_Issues'!$B$2:$B$77,B7,'QA_Issues'!$D$2:$D$77,"CRITICAL")</f>
        <v/>
      </c>
      <c r="S7" s="3">
        <f>COUNTIFS('QA_Issues'!$B$2:$B$77,B7,'QA_Issues'!$D$2:$D$77,"MAJOR")</f>
        <v/>
      </c>
      <c r="T7" s="3">
        <f>COUNTIFS('QA_Issues'!$B$2:$B$77,B7,'QA_Issues'!$D$2:$D$77,"MINOR")</f>
        <v/>
      </c>
      <c r="U7" s="3">
        <f>COUNTIFS('QA_Issues'!$B$2:$B$77,B7,'QA_Issues'!$D$2:$D$77,"LIMITATION")</f>
        <v/>
      </c>
      <c r="V7" s="3" t="inlineStr">
        <is>
          <t>["ISS-016-IMG-02", "ISS-016-IMG-03", "ISS-016-IMG-04", "ISS-016-IMG-05", "ISS-016-IMG-07", "ISS-016-IMG-08", "R2-ISS-016-BODY", "ISS-016-ENC", "R2-ISS-016-PERS"]</t>
        </is>
      </c>
      <c r="W7" s="3" t="inlineStr">
        <is>
          <t>["evidence_batch_002_016", "https://jeminise.com/products/christian-bedding-set-inspirational-bible-verse-comforter", "serp_qa_016"]</t>
        </is>
      </c>
    </row>
    <row r="8" ht="42" customHeight="1">
      <c r="A8" s="2" t="n">
        <v>17</v>
      </c>
      <c r="B8" s="2" t="inlineStr">
        <is>
          <t>jeminise.com+christmas-bedding-quilt-soft-microfiber-holiday-bedsprea-design-01</t>
        </is>
      </c>
      <c r="C8" s="4" t="inlineStr">
        <is>
          <t>https://jeminise.com/products/christmas-bedding-quilt-soft-microfiber-holiday-bedsprea-design-01</t>
        </is>
      </c>
      <c r="D8" s="2" t="inlineStr">
        <is>
          <t>christmas-bedding-quilt-soft-microfiber-holiday-bedsprea-design-01</t>
        </is>
      </c>
      <c r="E8" s="2" t="inlineStr">
        <is>
          <t>8867158065351</t>
        </is>
      </c>
      <c r="F8" s="2" t="inlineStr">
        <is>
          <t>r2</t>
        </is>
      </c>
      <c r="G8" s="5">
        <f>SUMIF('QA_Criteria'!$A$2:$A$111,B8,'QA_Criteria'!$F$2:$F$111)</f>
        <v/>
      </c>
      <c r="H8" s="5">
        <f>SUMIF('QA_Criteria'!$A$2:$A$111,B8,'QA_Criteria'!$G$2:$G$111)</f>
        <v/>
      </c>
      <c r="I8" s="5">
        <f>G8</f>
        <v/>
      </c>
      <c r="J8" s="5">
        <f>G8+(100-H8)</f>
        <v/>
      </c>
      <c r="K8" s="5">
        <f>IF(AND(H8=100,Q8=1,P8=TRUE),G8,"")</f>
        <v/>
      </c>
      <c r="L8" s="2">
        <f>IF(R8&gt;0,"QA_FAIL",IF(K8="","QA_INCOMPLETE",IF(K8&lt;70,"QA_FAIL",IF(OR(K8&lt;85,S8&gt;0),"QA_REVISE","QA_PASS"))))</f>
        <v/>
      </c>
      <c r="M8" s="2" t="inlineStr">
        <is>
          <t>SERP_ONLY</t>
        </is>
      </c>
      <c r="N8" s="2" t="n">
        <v>5</v>
      </c>
      <c r="O8" s="2" t="n">
        <v>5</v>
      </c>
      <c r="P8" s="2" t="b">
        <v>1</v>
      </c>
      <c r="Q8" s="6" t="n">
        <v>1</v>
      </c>
      <c r="R8" s="2">
        <f>COUNTIFS('QA_Issues'!$B$2:$B$77,B8,'QA_Issues'!$D$2:$D$77,"CRITICAL")</f>
        <v/>
      </c>
      <c r="S8" s="2">
        <f>COUNTIFS('QA_Issues'!$B$2:$B$77,B8,'QA_Issues'!$D$2:$D$77,"MAJOR")</f>
        <v/>
      </c>
      <c r="T8" s="2">
        <f>COUNTIFS('QA_Issues'!$B$2:$B$77,B8,'QA_Issues'!$D$2:$D$77,"MINOR")</f>
        <v/>
      </c>
      <c r="U8" s="2">
        <f>COUNTIFS('QA_Issues'!$B$2:$B$77,B8,'QA_Issues'!$D$2:$D$77,"LIMITATION")</f>
        <v/>
      </c>
      <c r="V8" s="2" t="inlineStr">
        <is>
          <t>["ISS-017-IMG-04", "R2-ISS-017-BODY", "ISS-017-ENC", "R2-ISS-017-PERS"]</t>
        </is>
      </c>
      <c r="W8" s="2" t="inlineStr">
        <is>
          <t>["evidence_batch_002_017", "https://jeminise.com/products/christmas-bedding-quilt-soft-microfiber-holiday-bedsprea-design-01", "serp_qa_017"]</t>
        </is>
      </c>
    </row>
    <row r="9" ht="42" customHeight="1">
      <c r="A9" s="3" t="n">
        <v>18</v>
      </c>
      <c r="B9" s="3" t="inlineStr">
        <is>
          <t>jeminise.com+christmas-bedding-quilt-soft-microfiber-holiday-bedsprea-design-02</t>
        </is>
      </c>
      <c r="C9" s="4" t="inlineStr">
        <is>
          <t>https://jeminise.com/products/christmas-bedding-quilt-soft-microfiber-holiday-bedsprea-design-02</t>
        </is>
      </c>
      <c r="D9" s="3" t="inlineStr">
        <is>
          <t>christmas-bedding-quilt-soft-microfiber-holiday-bedsprea-design-02</t>
        </is>
      </c>
      <c r="E9" s="3" t="inlineStr">
        <is>
          <t>8867158130887</t>
        </is>
      </c>
      <c r="F9" s="3" t="inlineStr">
        <is>
          <t>r2</t>
        </is>
      </c>
      <c r="G9" s="7">
        <f>SUMIF('QA_Criteria'!$A$2:$A$111,B9,'QA_Criteria'!$F$2:$F$111)</f>
        <v/>
      </c>
      <c r="H9" s="7">
        <f>SUMIF('QA_Criteria'!$A$2:$A$111,B9,'QA_Criteria'!$G$2:$G$111)</f>
        <v/>
      </c>
      <c r="I9" s="7">
        <f>G9</f>
        <v/>
      </c>
      <c r="J9" s="7">
        <f>G9+(100-H9)</f>
        <v/>
      </c>
      <c r="K9" s="7">
        <f>IF(AND(H9=100,Q9=1,P9=TRUE),G9,"")</f>
        <v/>
      </c>
      <c r="L9" s="3">
        <f>IF(R9&gt;0,"QA_FAIL",IF(K9="","QA_INCOMPLETE",IF(K9&lt;70,"QA_FAIL",IF(OR(K9&lt;85,S9&gt;0),"QA_REVISE","QA_PASS"))))</f>
        <v/>
      </c>
      <c r="M9" s="3" t="inlineStr">
        <is>
          <t>SERP_ONLY</t>
        </is>
      </c>
      <c r="N9" s="3" t="n">
        <v>5</v>
      </c>
      <c r="O9" s="3" t="n">
        <v>5</v>
      </c>
      <c r="P9" s="3" t="b">
        <v>1</v>
      </c>
      <c r="Q9" s="8" t="n">
        <v>1</v>
      </c>
      <c r="R9" s="3">
        <f>COUNTIFS('QA_Issues'!$B$2:$B$77,B9,'QA_Issues'!$D$2:$D$77,"CRITICAL")</f>
        <v/>
      </c>
      <c r="S9" s="3">
        <f>COUNTIFS('QA_Issues'!$B$2:$B$77,B9,'QA_Issues'!$D$2:$D$77,"MAJOR")</f>
        <v/>
      </c>
      <c r="T9" s="3">
        <f>COUNTIFS('QA_Issues'!$B$2:$B$77,B9,'QA_Issues'!$D$2:$D$77,"MINOR")</f>
        <v/>
      </c>
      <c r="U9" s="3">
        <f>COUNTIFS('QA_Issues'!$B$2:$B$77,B9,'QA_Issues'!$D$2:$D$77,"LIMITATION")</f>
        <v/>
      </c>
      <c r="V9" s="3" t="inlineStr">
        <is>
          <t>["ISS-018-IMG-03", "ISS-018-IMG-04", "R2-ISS-018-BODY", "ISS-018-ENC", "R2-ISS-018-PERS"]</t>
        </is>
      </c>
      <c r="W9" s="3" t="inlineStr">
        <is>
          <t>["evidence_batch_002_018", "https://jeminise.com/products/christmas-bedding-quilt-soft-microfiber-holiday-bedsprea-design-02", "serp_qa_018"]</t>
        </is>
      </c>
    </row>
    <row r="10" ht="42" customHeight="1">
      <c r="A10" s="2" t="n">
        <v>19</v>
      </c>
      <c r="B10" s="2" t="inlineStr">
        <is>
          <t>jeminise.com+christmas-bedding-quilt-soft-microfiber-holiday-bedsprea-design-03</t>
        </is>
      </c>
      <c r="C10" s="4" t="inlineStr">
        <is>
          <t>https://jeminise.com/products/christmas-bedding-quilt-soft-microfiber-holiday-bedsprea-design-03</t>
        </is>
      </c>
      <c r="D10" s="2" t="inlineStr">
        <is>
          <t>christmas-bedding-quilt-soft-microfiber-holiday-bedsprea-design-03</t>
        </is>
      </c>
      <c r="E10" s="2" t="inlineStr">
        <is>
          <t>8867158229191</t>
        </is>
      </c>
      <c r="F10" s="2" t="inlineStr">
        <is>
          <t>r2</t>
        </is>
      </c>
      <c r="G10" s="5">
        <f>SUMIF('QA_Criteria'!$A$2:$A$111,B10,'QA_Criteria'!$F$2:$F$111)</f>
        <v/>
      </c>
      <c r="H10" s="5">
        <f>SUMIF('QA_Criteria'!$A$2:$A$111,B10,'QA_Criteria'!$G$2:$G$111)</f>
        <v/>
      </c>
      <c r="I10" s="5">
        <f>G10</f>
        <v/>
      </c>
      <c r="J10" s="5">
        <f>G10+(100-H10)</f>
        <v/>
      </c>
      <c r="K10" s="5">
        <f>IF(AND(H10=100,Q10=1,P10=TRUE),G10,"")</f>
        <v/>
      </c>
      <c r="L10" s="2">
        <f>IF(R10&gt;0,"QA_FAIL",IF(K10="","QA_INCOMPLETE",IF(K10&lt;70,"QA_FAIL",IF(OR(K10&lt;85,S10&gt;0),"QA_REVISE","QA_PASS"))))</f>
        <v/>
      </c>
      <c r="M10" s="2" t="inlineStr">
        <is>
          <t>SERP_ONLY</t>
        </is>
      </c>
      <c r="N10" s="2" t="n">
        <v>5</v>
      </c>
      <c r="O10" s="2" t="n">
        <v>5</v>
      </c>
      <c r="P10" s="2" t="b">
        <v>1</v>
      </c>
      <c r="Q10" s="6" t="n">
        <v>1</v>
      </c>
      <c r="R10" s="2">
        <f>COUNTIFS('QA_Issues'!$B$2:$B$77,B10,'QA_Issues'!$D$2:$D$77,"CRITICAL")</f>
        <v/>
      </c>
      <c r="S10" s="2">
        <f>COUNTIFS('QA_Issues'!$B$2:$B$77,B10,'QA_Issues'!$D$2:$D$77,"MAJOR")</f>
        <v/>
      </c>
      <c r="T10" s="2">
        <f>COUNTIFS('QA_Issues'!$B$2:$B$77,B10,'QA_Issues'!$D$2:$D$77,"MINOR")</f>
        <v/>
      </c>
      <c r="U10" s="2">
        <f>COUNTIFS('QA_Issues'!$B$2:$B$77,B10,'QA_Issues'!$D$2:$D$77,"LIMITATION")</f>
        <v/>
      </c>
      <c r="V10" s="2" t="inlineStr">
        <is>
          <t>["ISS-019-IMG-03", "ISS-019-IMG-04", "R2-ISS-019-BODY", "ISS-019-ENC", "R2-ISS-019-PERS"]</t>
        </is>
      </c>
      <c r="W10" s="2" t="inlineStr">
        <is>
          <t>["evidence_batch_002_019", "https://jeminise.com/products/christmas-bedding-quilt-soft-microfiber-holiday-bedsprea-design-03", "serp_qa_019"]</t>
        </is>
      </c>
    </row>
    <row r="11" ht="42" customHeight="1">
      <c r="A11" s="3" t="n">
        <v>20</v>
      </c>
      <c r="B11" s="3" t="inlineStr">
        <is>
          <t>jeminise.com+christmas-bedding-quilt-soft-microfiber-holiday-bedsprea-design-04</t>
        </is>
      </c>
      <c r="C11" s="4" t="inlineStr">
        <is>
          <t>https://jeminise.com/products/christmas-bedding-quilt-soft-microfiber-holiday-bedsprea-design-04</t>
        </is>
      </c>
      <c r="D11" s="3" t="inlineStr">
        <is>
          <t>christmas-bedding-quilt-soft-microfiber-holiday-bedsprea-design-04</t>
        </is>
      </c>
      <c r="E11" s="3" t="inlineStr">
        <is>
          <t>8867158196423</t>
        </is>
      </c>
      <c r="F11" s="3" t="inlineStr">
        <is>
          <t>r2</t>
        </is>
      </c>
      <c r="G11" s="7">
        <f>SUMIF('QA_Criteria'!$A$2:$A$111,B11,'QA_Criteria'!$F$2:$F$111)</f>
        <v/>
      </c>
      <c r="H11" s="7">
        <f>SUMIF('QA_Criteria'!$A$2:$A$111,B11,'QA_Criteria'!$G$2:$G$111)</f>
        <v/>
      </c>
      <c r="I11" s="7">
        <f>G11</f>
        <v/>
      </c>
      <c r="J11" s="7">
        <f>G11+(100-H11)</f>
        <v/>
      </c>
      <c r="K11" s="7">
        <f>IF(AND(H11=100,Q11=1,P11=TRUE),G11,"")</f>
        <v/>
      </c>
      <c r="L11" s="3">
        <f>IF(R11&gt;0,"QA_FAIL",IF(K11="","QA_INCOMPLETE",IF(K11&lt;70,"QA_FAIL",IF(OR(K11&lt;85,S11&gt;0),"QA_REVISE","QA_PASS"))))</f>
        <v/>
      </c>
      <c r="M11" s="3" t="inlineStr">
        <is>
          <t>SERP_ONLY</t>
        </is>
      </c>
      <c r="N11" s="3" t="n">
        <v>5</v>
      </c>
      <c r="O11" s="3" t="n">
        <v>5</v>
      </c>
      <c r="P11" s="3" t="b">
        <v>1</v>
      </c>
      <c r="Q11" s="8" t="n">
        <v>1</v>
      </c>
      <c r="R11" s="3">
        <f>COUNTIFS('QA_Issues'!$B$2:$B$77,B11,'QA_Issues'!$D$2:$D$77,"CRITICAL")</f>
        <v/>
      </c>
      <c r="S11" s="3">
        <f>COUNTIFS('QA_Issues'!$B$2:$B$77,B11,'QA_Issues'!$D$2:$D$77,"MAJOR")</f>
        <v/>
      </c>
      <c r="T11" s="3">
        <f>COUNTIFS('QA_Issues'!$B$2:$B$77,B11,'QA_Issues'!$D$2:$D$77,"MINOR")</f>
        <v/>
      </c>
      <c r="U11" s="3">
        <f>COUNTIFS('QA_Issues'!$B$2:$B$77,B11,'QA_Issues'!$D$2:$D$77,"LIMITATION")</f>
        <v/>
      </c>
      <c r="V11" s="3" t="inlineStr">
        <is>
          <t>["ISS-020-IMG-03", "ISS-020-IMG-04", "R2-ISS-020-BODY", "ISS-020-ENC", "R2-ISS-020-PERS"]</t>
        </is>
      </c>
      <c r="W11" s="3" t="inlineStr">
        <is>
          <t>["evidence_batch_002_020", "https://jeminise.com/products/christmas-bedding-quilt-soft-microfiber-holiday-bedsprea-design-04", "serp_qa_020"]</t>
        </is>
      </c>
    </row>
  </sheetData>
  <autoFilter ref="A1:W11"/>
  <conditionalFormatting sqref="L2:L11">
    <cfRule type="expression" priority="1" dxfId="0">
      <formula>L2="QA_PASS"</formula>
    </cfRule>
    <cfRule type="expression" priority="2" dxfId="1">
      <formula>L2="QA_REVISE"</formula>
    </cfRule>
    <cfRule type="expression" priority="3" dxfId="2">
      <formula>L2="QA_FAIL"</formula>
    </cfRule>
  </conditionalFormatting>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s>
  <printOptions horizontalCentered="0"/>
  <pageMargins left="0.25" right="0.25" top="0.5" bottom="0.5" header="0.5" footer="0.5"/>
  <pageSetup orientation="landscape" fitToHeight="0" fitToWidth="2"/>
</worksheet>
</file>

<file path=xl/worksheets/sheet3.xml><?xml version="1.0" encoding="utf-8"?>
<worksheet xmlns="http://schemas.openxmlformats.org/spreadsheetml/2006/main">
  <sheetPr>
    <outlinePr summaryBelow="1" summaryRight="1"/>
    <pageSetUpPr fitToPage="1"/>
  </sheetPr>
  <dimension ref="A1:J111"/>
  <sheetViews>
    <sheetView showGridLines="0" workbookViewId="0">
      <pane ySplit="1" topLeftCell="A2" activePane="bottomLeft" state="frozen"/>
      <selection pane="bottomLeft" activeCell="A1" sqref="A1"/>
    </sheetView>
  </sheetViews>
  <sheetFormatPr baseColWidth="8" defaultRowHeight="15"/>
  <cols>
    <col width="42" customWidth="1" min="1" max="1"/>
    <col width="20" customWidth="1" min="2" max="2"/>
    <col width="11" customWidth="1" min="3" max="3"/>
    <col width="12" customWidth="1" min="4" max="4"/>
    <col width="24" customWidth="1" min="5" max="5"/>
    <col width="23" customWidth="1" min="6" max="6"/>
    <col width="24" customWidth="1" min="7" max="7"/>
    <col width="42" customWidth="1" min="8" max="8"/>
    <col width="42" customWidth="1" min="9" max="9"/>
    <col width="42" customWidth="1" min="10" max="10"/>
  </cols>
  <sheetData>
    <row r="1" ht="32" customHeight="1">
      <c r="A1" s="1" t="inlineStr">
        <is>
          <t>product_key</t>
        </is>
      </c>
      <c r="B1" s="1" t="inlineStr">
        <is>
          <t>criterion_id</t>
        </is>
      </c>
      <c r="C1" s="1" t="inlineStr">
        <is>
          <t>weight</t>
        </is>
      </c>
      <c r="D1" s="1" t="inlineStr">
        <is>
          <t>assessment</t>
        </is>
      </c>
      <c r="E1" s="1" t="inlineStr">
        <is>
          <t>rating</t>
        </is>
      </c>
      <c r="F1" s="1" t="inlineStr">
        <is>
          <t>earned_points</t>
        </is>
      </c>
      <c r="G1" s="1" t="inlineStr">
        <is>
          <t>assessed_weight</t>
        </is>
      </c>
      <c r="H1" s="1" t="inlineStr">
        <is>
          <t>reason</t>
        </is>
      </c>
      <c r="I1" s="1" t="inlineStr">
        <is>
          <t>evidence_refs</t>
        </is>
      </c>
      <c r="J1" s="1" t="inlineStr">
        <is>
          <t>issue_refs</t>
        </is>
      </c>
    </row>
    <row r="2" ht="42" customHeight="1">
      <c r="A2" s="2" t="inlineStr">
        <is>
          <t>jeminise.com+christian-bedding-set-inspirational-bible-verse-comforte-design-02</t>
        </is>
      </c>
      <c r="B2" s="2" t="inlineStr">
        <is>
          <t>P1</t>
        </is>
      </c>
      <c r="C2" s="2" t="n">
        <v>15</v>
      </c>
      <c r="D2" s="2" t="inlineStr">
        <is>
          <t>FULL</t>
        </is>
      </c>
      <c r="E2" s="5">
        <f>IF(B2="I1",AVERAGEIF('QA_Images'!$A$2:$A$65,A2,'QA_Images'!$T$2:$T$65)/100,IF(D2="FULL",1,IF(D2="PARTIAL",0.5,IF(D2="FAIL",0,""))))</f>
        <v/>
      </c>
      <c r="F2" s="5">
        <f>IF(E2="",0,C2*E2)</f>
        <v/>
      </c>
      <c r="G2" s="5">
        <f>IF(B2="I1",20*AVERAGEIF('QA_Images'!$A$2:$A$65,A2,'QA_Images'!$U$2:$U$65)/100,IF(D2="NOT_CHECKED",0,C2))</f>
        <v/>
      </c>
      <c r="H2" s="2" t="inlineStr">
        <is>
          <t>Đối chiếu loại sản phẩm, thiết kế và màu với product JSON, H1 live và toàn bộ gallery.</t>
        </is>
      </c>
      <c r="I2" s="2" t="inlineStr">
        <is>
          <t>["evidence_batch_002_011", "https://jeminise.com/products/christian-bedding-set-inspirational-bible-verse-comforte-design-02", "serp_qa_011"]</t>
        </is>
      </c>
      <c r="J2" s="2" t="inlineStr">
        <is>
          <t>["ISS-011-IMG-02", "ISS-011-IMG-03", "ISS-011-IMG-04", "ISS-011-IMG-05", "ISS-011-IMG-06", "ISS-011-IMG-07", "ISS-011-IMG-08", "R2-ISS-011-BODY", "ISS-011-ENC", "R2-ISS-011-PERS"]</t>
        </is>
      </c>
    </row>
    <row r="3" ht="42" customHeight="1">
      <c r="A3" s="3" t="inlineStr">
        <is>
          <t>jeminise.com+christian-bedding-set-inspirational-bible-verse-comforte-design-02</t>
        </is>
      </c>
      <c r="B3" s="3" t="inlineStr">
        <is>
          <t>P2</t>
        </is>
      </c>
      <c r="C3" s="3" t="n">
        <v>10</v>
      </c>
      <c r="D3" s="3" t="inlineStr">
        <is>
          <t>FAIL</t>
        </is>
      </c>
      <c r="E3" s="7">
        <f>IF(B3="I1",AVERAGEIF('QA_Images'!$A$2:$A$65,A3,'QA_Images'!$T$2:$T$65)/100,IF(D3="FULL",1,IF(D3="PARTIAL",0.5,IF(D3="FAIL",0,""))))</f>
        <v/>
      </c>
      <c r="F3" s="7">
        <f>IF(E3="",0,C3*E3)</f>
        <v/>
      </c>
      <c r="G3" s="7">
        <f>IF(B3="I1",20*AVERAGEIF('QA_Images'!$A$2:$A$65,A3,'QA_Images'!$U$2:$U$65)/100,IF(D3="NOT_CHECKED",0,C3))</f>
        <v/>
      </c>
      <c r="H3" s="3" t="inlineStr">
        <is>
          <t>Đối chiếu chất liệu, kích thước, thành phần đi kèm, biến thể và personalization với product.js live, body HTML và toàn bộ gallery.</t>
        </is>
      </c>
      <c r="I3" s="3" t="inlineStr">
        <is>
          <t>["evidence_batch_002_011", "https://jeminise.com/products/christian-bedding-set-inspirational-bible-verse-comforte-design-02", "serp_qa_011"]</t>
        </is>
      </c>
      <c r="J3" s="3" t="inlineStr">
        <is>
          <t>["ISS-011-IMG-02", "ISS-011-IMG-03", "ISS-011-IMG-04", "ISS-011-IMG-05", "ISS-011-IMG-06", "ISS-011-IMG-07", "ISS-011-IMG-08", "R2-ISS-011-BODY", "ISS-011-ENC", "R2-ISS-011-PERS"]</t>
        </is>
      </c>
    </row>
    <row r="4" ht="42" customHeight="1">
      <c r="A4" s="2" t="inlineStr">
        <is>
          <t>jeminise.com+christian-bedding-set-inspirational-bible-verse-comforte-design-02</t>
        </is>
      </c>
      <c r="B4" s="2" t="inlineStr">
        <is>
          <t>K1</t>
        </is>
      </c>
      <c r="C4" s="2" t="n">
        <v>10</v>
      </c>
      <c r="D4" s="2" t="inlineStr">
        <is>
          <t>PARTIAL</t>
        </is>
      </c>
      <c r="E4" s="5">
        <f>IF(B4="I1",AVERAGEIF('QA_Images'!$A$2:$A$65,A4,'QA_Images'!$T$2:$T$65)/100,IF(D4="FULL",1,IF(D4="PARTIAL",0.5,IF(D4="FAIL",0,""))))</f>
        <v/>
      </c>
      <c r="F4" s="5">
        <f>IF(E4="",0,C4*E4)</f>
        <v/>
      </c>
      <c r="G4" s="5">
        <f>IF(B4="I1",20*AVERAGEIF('QA_Images'!$A$2:$A$65,A4,'QA_Images'!$U$2:$U$65)/100,IF(D4="NOT_CHECKED",0,C4))</f>
        <v/>
      </c>
      <c r="H4" s="2" t="inlineStr">
        <is>
          <t>Đối chiếu long-tail với thiết kế riêng, nhóm Christian/Christmas và mức độ trùng intent giữa các trang cùng cụm.</t>
        </is>
      </c>
      <c r="I4" s="2" t="inlineStr">
        <is>
          <t>["evidence_batch_002_011", "https://jeminise.com/products/christian-bedding-set-inspirational-bible-verse-comforte-design-02", "serp_qa_011"]</t>
        </is>
      </c>
      <c r="J4" s="2" t="inlineStr">
        <is>
          <t>["ISS-011-IMG-02", "ISS-011-IMG-03", "ISS-011-IMG-04", "ISS-011-IMG-05", "ISS-011-IMG-06", "ISS-011-IMG-07", "ISS-011-IMG-08", "R2-ISS-011-BODY", "ISS-011-ENC", "R2-ISS-011-PERS"]</t>
        </is>
      </c>
    </row>
    <row r="5" ht="42" customHeight="1">
      <c r="A5" s="3" t="inlineStr">
        <is>
          <t>jeminise.com+christian-bedding-set-inspirational-bible-verse-comforte-design-02</t>
        </is>
      </c>
      <c r="B5" s="3" t="inlineStr">
        <is>
          <t>K2</t>
        </is>
      </c>
      <c r="C5" s="3" t="n">
        <v>5</v>
      </c>
      <c r="D5" s="3" t="inlineStr">
        <is>
          <t>PARTIAL</t>
        </is>
      </c>
      <c r="E5" s="7">
        <f>IF(B5="I1",AVERAGEIF('QA_Images'!$A$2:$A$65,A5,'QA_Images'!$T$2:$T$65)/100,IF(D5="FULL",1,IF(D5="PARTIAL",0.5,IF(D5="FAIL",0,""))))</f>
        <v/>
      </c>
      <c r="F5" s="7">
        <f>IF(E5="",0,C5*E5)</f>
        <v/>
      </c>
      <c r="G5" s="7">
        <f>IF(B5="I1",20*AVERAGEIF('QA_Images'!$A$2:$A$65,A5,'QA_Images'!$U$2:$U$65)/100,IF(D5="NOT_CHECKED",0,C5))</f>
        <v/>
      </c>
      <c r="H5" s="3" t="inlineStr">
        <is>
          <t>Đã đọc lại hai SERP query cho mỗi sản phẩm tại intent US; ghi URL thực đọc và không suy diễn volume.</t>
        </is>
      </c>
      <c r="I5" s="3" t="inlineStr">
        <is>
          <t>["evidence_batch_002_011", "https://jeminise.com/products/christian-bedding-set-inspirational-bible-verse-comforte-design-02", "serp_qa_011"]</t>
        </is>
      </c>
      <c r="J5" s="3" t="inlineStr">
        <is>
          <t>["ISS-011-IMG-02", "ISS-011-IMG-03", "ISS-011-IMG-04", "ISS-011-IMG-05", "ISS-011-IMG-06", "ISS-011-IMG-07", "ISS-011-IMG-08", "R2-ISS-011-BODY", "ISS-011-ENC", "R2-ISS-011-PERS"]</t>
        </is>
      </c>
    </row>
    <row r="6" ht="42" customHeight="1">
      <c r="A6" s="2" t="inlineStr">
        <is>
          <t>jeminise.com+christian-bedding-set-inspirational-bible-verse-comforte-design-02</t>
        </is>
      </c>
      <c r="B6" s="2" t="inlineStr">
        <is>
          <t>K3</t>
        </is>
      </c>
      <c r="C6" s="2" t="n">
        <v>5</v>
      </c>
      <c r="D6" s="2" t="inlineStr">
        <is>
          <t>FULL</t>
        </is>
      </c>
      <c r="E6" s="5">
        <f>IF(B6="I1",AVERAGEIF('QA_Images'!$A$2:$A$65,A6,'QA_Images'!$T$2:$T$65)/100,IF(D6="FULL",1,IF(D6="PARTIAL",0.5,IF(D6="FAIL",0,""))))</f>
        <v/>
      </c>
      <c r="F6" s="5">
        <f>IF(E6="",0,C6*E6)</f>
        <v/>
      </c>
      <c r="G6" s="5">
        <f>IF(B6="I1",20*AVERAGEIF('QA_Images'!$A$2:$A$65,A6,'QA_Images'!$U$2:$U$65)/100,IF(D6="NOT_CHECKED",0,C6))</f>
        <v/>
      </c>
      <c r="H6" s="2" t="inlineStr">
        <is>
          <t>Không suy diễn volume; phân biệt SERP_ONLY và HYPOTHESIS_ONLY.</t>
        </is>
      </c>
      <c r="I6" s="2" t="inlineStr">
        <is>
          <t>["evidence_batch_002_011", "https://jeminise.com/products/christian-bedding-set-inspirational-bible-verse-comforte-design-02", "serp_qa_011"]</t>
        </is>
      </c>
      <c r="J6" s="2" t="inlineStr">
        <is>
          <t>["ISS-011-IMG-02", "ISS-011-IMG-03", "ISS-011-IMG-04", "ISS-011-IMG-05", "ISS-011-IMG-06", "ISS-011-IMG-07", "ISS-011-IMG-08", "R2-ISS-011-BODY", "ISS-011-ENC", "R2-ISS-011-PERS"]</t>
        </is>
      </c>
    </row>
    <row r="7" ht="42" customHeight="1">
      <c r="A7" s="3" t="inlineStr">
        <is>
          <t>jeminise.com+christian-bedding-set-inspirational-bible-verse-comforte-design-02</t>
        </is>
      </c>
      <c r="B7" s="3" t="inlineStr">
        <is>
          <t>T1</t>
        </is>
      </c>
      <c r="C7" s="3" t="n">
        <v>10</v>
      </c>
      <c r="D7" s="3" t="inlineStr">
        <is>
          <t>FAIL</t>
        </is>
      </c>
      <c r="E7" s="7">
        <f>IF(B7="I1",AVERAGEIF('QA_Images'!$A$2:$A$65,A7,'QA_Images'!$T$2:$T$65)/100,IF(D7="FULL",1,IF(D7="PARTIAL",0.5,IF(D7="FAIL",0,""))))</f>
        <v/>
      </c>
      <c r="F7" s="7">
        <f>IF(E7="",0,C7*E7)</f>
        <v/>
      </c>
      <c r="G7" s="7">
        <f>IF(B7="I1",20*AVERAGEIF('QA_Images'!$A$2:$A$65,A7,'QA_Images'!$U$2:$U$65)/100,IF(D7="NOT_CHECKED",0,C7))</f>
        <v/>
      </c>
      <c r="H7" s="3" t="inlineStr">
        <is>
          <t>Đánh giá SEO title English về độ đúng, tự nhiên, keyword và điểm phân biệt.</t>
        </is>
      </c>
      <c r="I7" s="3" t="inlineStr">
        <is>
          <t>["evidence_batch_002_011", "https://jeminise.com/products/christian-bedding-set-inspirational-bible-verse-comforte-design-02", "serp_qa_011"]</t>
        </is>
      </c>
      <c r="J7" s="3" t="inlineStr">
        <is>
          <t>["ISS-011-IMG-02", "ISS-011-IMG-03", "ISS-011-IMG-04", "ISS-011-IMG-05", "ISS-011-IMG-06", "ISS-011-IMG-07", "ISS-011-IMG-08", "R2-ISS-011-BODY", "ISS-011-ENC", "R2-ISS-011-PERS"]</t>
        </is>
      </c>
    </row>
    <row r="8" ht="42" customHeight="1">
      <c r="A8" s="2" t="inlineStr">
        <is>
          <t>jeminise.com+christian-bedding-set-inspirational-bible-verse-comforte-design-02</t>
        </is>
      </c>
      <c r="B8" s="2" t="inlineStr">
        <is>
          <t>T2</t>
        </is>
      </c>
      <c r="C8" s="2" t="n">
        <v>5</v>
      </c>
      <c r="D8" s="2" t="inlineStr">
        <is>
          <t>PARTIAL</t>
        </is>
      </c>
      <c r="E8" s="5">
        <f>IF(B8="I1",AVERAGEIF('QA_Images'!$A$2:$A$65,A8,'QA_Images'!$T$2:$T$65)/100,IF(D8="FULL",1,IF(D8="PARTIAL",0.5,IF(D8="FAIL",0,""))))</f>
        <v/>
      </c>
      <c r="F8" s="5">
        <f>IF(E8="",0,C8*E8)</f>
        <v/>
      </c>
      <c r="G8" s="5">
        <f>IF(B8="I1",20*AVERAGEIF('QA_Images'!$A$2:$A$65,A8,'QA_Images'!$U$2:$U$65)/100,IF(D8="NOT_CHECKED",0,C8))</f>
        <v/>
      </c>
      <c r="H8" s="2" t="inlineStr">
        <is>
          <t>Đánh giá H1 đề xuất độc lập với SEO title và đối chiếu lỗi ký tự nguồn.</t>
        </is>
      </c>
      <c r="I8" s="2" t="inlineStr">
        <is>
          <t>["evidence_batch_002_011", "https://jeminise.com/products/christian-bedding-set-inspirational-bible-verse-comforte-design-02", "serp_qa_011"]</t>
        </is>
      </c>
      <c r="J8" s="2" t="inlineStr">
        <is>
          <t>["ISS-011-IMG-02", "ISS-011-IMG-03", "ISS-011-IMG-04", "ISS-011-IMG-05", "ISS-011-IMG-06", "ISS-011-IMG-07", "ISS-011-IMG-08", "R2-ISS-011-BODY", "ISS-011-ENC", "R2-ISS-011-PERS"]</t>
        </is>
      </c>
    </row>
    <row r="9" ht="42" customHeight="1">
      <c r="A9" s="3" t="inlineStr">
        <is>
          <t>jeminise.com+christian-bedding-set-inspirational-bible-verse-comforte-design-02</t>
        </is>
      </c>
      <c r="B9" s="3" t="inlineStr">
        <is>
          <t>D1</t>
        </is>
      </c>
      <c r="C9" s="3" t="n">
        <v>5</v>
      </c>
      <c r="D9" s="3" t="inlineStr">
        <is>
          <t>FAIL</t>
        </is>
      </c>
      <c r="E9" s="7">
        <f>IF(B9="I1",AVERAGEIF('QA_Images'!$A$2:$A$65,A9,'QA_Images'!$T$2:$T$65)/100,IF(D9="FULL",1,IF(D9="PARTIAL",0.5,IF(D9="FAIL",0,""))))</f>
        <v/>
      </c>
      <c r="F9" s="7">
        <f>IF(E9="",0,C9*E9)</f>
        <v/>
      </c>
      <c r="G9" s="7">
        <f>IF(B9="I1",20*AVERAGEIF('QA_Images'!$A$2:$A$65,A9,'QA_Images'!$U$2:$U$65)/100,IF(D9="NOT_CHECKED",0,C9))</f>
        <v/>
      </c>
      <c r="H9" s="3" t="inlineStr">
        <is>
          <t>Đánh giá meta description về tính cụ thể và căn cứ claim.</t>
        </is>
      </c>
      <c r="I9" s="3" t="inlineStr">
        <is>
          <t>["evidence_batch_002_011", "https://jeminise.com/products/christian-bedding-set-inspirational-bible-verse-comforte-design-02", "serp_qa_011"]</t>
        </is>
      </c>
      <c r="J9" s="3" t="inlineStr">
        <is>
          <t>["ISS-011-IMG-02", "ISS-011-IMG-03", "ISS-011-IMG-04", "ISS-011-IMG-05", "ISS-011-IMG-06", "ISS-011-IMG-07", "ISS-011-IMG-08", "R2-ISS-011-BODY", "ISS-011-ENC", "R2-ISS-011-PERS"]</t>
        </is>
      </c>
    </row>
    <row r="10" ht="42" customHeight="1">
      <c r="A10" s="2" t="inlineStr">
        <is>
          <t>jeminise.com+christian-bedding-set-inspirational-bible-verse-comforte-design-02</t>
        </is>
      </c>
      <c r="B10" s="2" t="inlineStr">
        <is>
          <t>D2</t>
        </is>
      </c>
      <c r="C10" s="2" t="n">
        <v>10</v>
      </c>
      <c r="D10" s="2" t="inlineStr">
        <is>
          <t>FAIL</t>
        </is>
      </c>
      <c r="E10" s="5">
        <f>IF(B10="I1",AVERAGEIF('QA_Images'!$A$2:$A$65,A10,'QA_Images'!$T$2:$T$65)/100,IF(D10="FULL",1,IF(D10="PARTIAL",0.5,IF(D10="FAIL",0,""))))</f>
        <v/>
      </c>
      <c r="F10" s="5">
        <f>IF(E10="",0,C10*E10)</f>
        <v/>
      </c>
      <c r="G10" s="5">
        <f>IF(B10="I1",20*AVERAGEIF('QA_Images'!$A$2:$A$65,A10,'QA_Images'!$U$2:$U$65)/100,IF(D10="NOT_CHECKED",0,C10))</f>
        <v/>
      </c>
      <c r="H10" s="2" t="inlineStr">
        <is>
          <t>Description SET có HTML đầy đủ nhưng chứa câu nội bộ 'This draft should be reviewed...' và dữ liệu nguồn thô/mâu thuẫn; chưa phải nội dung publish-ready.</t>
        </is>
      </c>
      <c r="I10" s="2" t="inlineStr">
        <is>
          <t>["evidence_batch_002_011", "https://jeminise.com/products/christian-bedding-set-inspirational-bible-verse-comforte-design-02", "serp_qa_011"]</t>
        </is>
      </c>
      <c r="J10" s="2" t="inlineStr">
        <is>
          <t>["ISS-011-IMG-02", "ISS-011-IMG-03", "ISS-011-IMG-04", "ISS-011-IMG-05", "ISS-011-IMG-06", "ISS-011-IMG-07", "ISS-011-IMG-08", "R2-ISS-011-BODY", "ISS-011-ENC", "R2-ISS-011-PERS"]</t>
        </is>
      </c>
    </row>
    <row r="11" ht="42" customHeight="1">
      <c r="A11" s="3" t="inlineStr">
        <is>
          <t>jeminise.com+christian-bedding-set-inspirational-bible-verse-comforte-design-02</t>
        </is>
      </c>
      <c r="B11" s="3" t="inlineStr">
        <is>
          <t>I1</t>
        </is>
      </c>
      <c r="C11" s="3" t="n">
        <v>20</v>
      </c>
      <c r="D11" s="3" t="inlineStr">
        <is>
          <t>DERIVED</t>
        </is>
      </c>
      <c r="E11" s="7">
        <f>IF(B11="I1",AVERAGEIF('QA_Images'!$A$2:$A$65,A11,'QA_Images'!$T$2:$T$65)/100,IF(D11="FULL",1,IF(D11="PARTIAL",0.5,IF(D11="FAIL",0,""))))</f>
        <v/>
      </c>
      <c r="F11" s="7">
        <f>IF(E11="",0,C11*E11)</f>
        <v/>
      </c>
      <c r="G11" s="7">
        <f>IF(B11="I1",20*AVERAGEIF('QA_Images'!$A$2:$A$65,A11,'QA_Images'!$U$2:$U$65)/100,IF(D11="NOT_CHECKED",0,C11))</f>
        <v/>
      </c>
      <c r="H11" s="3" t="inlineStr">
        <is>
          <t>Tính từ trung bình 8 ảnh: 67.5000/100.</t>
        </is>
      </c>
      <c r="I11" s="3" t="inlineStr">
        <is>
          <t>["evidence_batch_002_011", "https://jeminise.com/products/christian-bedding-set-inspirational-bible-verse-comforte-design-02", "serp_qa_011"]</t>
        </is>
      </c>
      <c r="J11" s="3" t="inlineStr">
        <is>
          <t>["ISS-011-IMG-02", "ISS-011-IMG-03", "ISS-011-IMG-04", "ISS-011-IMG-05", "ISS-011-IMG-06", "ISS-011-IMG-07", "ISS-011-IMG-08", "R2-ISS-011-BODY", "ISS-011-ENC", "R2-ISS-011-PERS"]</t>
        </is>
      </c>
    </row>
    <row r="12" ht="42" customHeight="1">
      <c r="A12" s="2" t="inlineStr">
        <is>
          <t>jeminise.com+christian-bedding-set-inspirational-bible-verse-comforte-design-02</t>
        </is>
      </c>
      <c r="B12" s="2" t="inlineStr">
        <is>
          <t>E1</t>
        </is>
      </c>
      <c r="C12" s="2" t="n">
        <v>5</v>
      </c>
      <c r="D12" s="2" t="inlineStr">
        <is>
          <t>PARTIAL</t>
        </is>
      </c>
      <c r="E12" s="5">
        <f>IF(B12="I1",AVERAGEIF('QA_Images'!$A$2:$A$65,A12,'QA_Images'!$T$2:$T$65)/100,IF(D12="FULL",1,IF(D12="PARTIAL",0.5,IF(D12="FAIL",0,""))))</f>
        <v/>
      </c>
      <c r="F12" s="5">
        <f>IF(E12="",0,C12*E12)</f>
        <v/>
      </c>
      <c r="G12" s="5">
        <f>IF(B12="I1",20*AVERAGEIF('QA_Images'!$A$2:$A$65,A12,'QA_Images'!$U$2:$U$65)/100,IF(D12="NOT_CHECKED",0,C12))</f>
        <v/>
      </c>
      <c r="H12" s="2" t="inlineStr">
        <is>
          <t>Kiểm tra liên kết product key/handle/evidence/revision giữa workbook, snapshot và nguồn live.</t>
        </is>
      </c>
      <c r="I12" s="2" t="inlineStr">
        <is>
          <t>["evidence_batch_002_011", "https://jeminise.com/products/christian-bedding-set-inspirational-bible-verse-comforte-design-02", "serp_qa_011"]</t>
        </is>
      </c>
      <c r="J12" s="2" t="inlineStr">
        <is>
          <t>["ISS-011-IMG-02", "ISS-011-IMG-03", "ISS-011-IMG-04", "ISS-011-IMG-05", "ISS-011-IMG-06", "ISS-011-IMG-07", "ISS-011-IMG-08", "R2-ISS-011-BODY", "ISS-011-ENC", "R2-ISS-011-PERS"]</t>
        </is>
      </c>
    </row>
    <row r="13" ht="42" customHeight="1">
      <c r="A13" s="3" t="inlineStr">
        <is>
          <t>jeminise.com+christian-bedding-set-inspirational-bible-verse-comforte-design-03</t>
        </is>
      </c>
      <c r="B13" s="3" t="inlineStr">
        <is>
          <t>P1</t>
        </is>
      </c>
      <c r="C13" s="3" t="n">
        <v>15</v>
      </c>
      <c r="D13" s="3" t="inlineStr">
        <is>
          <t>FULL</t>
        </is>
      </c>
      <c r="E13" s="7">
        <f>IF(B13="I1",AVERAGEIF('QA_Images'!$A$2:$A$65,A13,'QA_Images'!$T$2:$T$65)/100,IF(D13="FULL",1,IF(D13="PARTIAL",0.5,IF(D13="FAIL",0,""))))</f>
        <v/>
      </c>
      <c r="F13" s="7">
        <f>IF(E13="",0,C13*E13)</f>
        <v/>
      </c>
      <c r="G13" s="7">
        <f>IF(B13="I1",20*AVERAGEIF('QA_Images'!$A$2:$A$65,A13,'QA_Images'!$U$2:$U$65)/100,IF(D13="NOT_CHECKED",0,C13))</f>
        <v/>
      </c>
      <c r="H13" s="3" t="inlineStr">
        <is>
          <t>Đối chiếu loại sản phẩm, thiết kế và màu với product JSON, H1 live và toàn bộ gallery.</t>
        </is>
      </c>
      <c r="I13" s="3" t="inlineStr">
        <is>
          <t>["evidence_batch_002_012", "https://jeminise.com/products/christian-bedding-set-inspirational-bible-verse-comforte-design-03", "serp_qa_012"]</t>
        </is>
      </c>
      <c r="J13" s="3" t="inlineStr">
        <is>
          <t>["ISS-012-IMG-02", "ISS-012-IMG-03", "ISS-012-IMG-04", "ISS-012-IMG-05", "ISS-012-IMG-06", "ISS-012-IMG-07", "R2-ISS-012-BODY", "ISS-012-ENC", "R2-ISS-012-PERS"]</t>
        </is>
      </c>
    </row>
    <row r="14" ht="42" customHeight="1">
      <c r="A14" s="2" t="inlineStr">
        <is>
          <t>jeminise.com+christian-bedding-set-inspirational-bible-verse-comforte-design-03</t>
        </is>
      </c>
      <c r="B14" s="2" t="inlineStr">
        <is>
          <t>P2</t>
        </is>
      </c>
      <c r="C14" s="2" t="n">
        <v>10</v>
      </c>
      <c r="D14" s="2" t="inlineStr">
        <is>
          <t>FAIL</t>
        </is>
      </c>
      <c r="E14" s="5">
        <f>IF(B14="I1",AVERAGEIF('QA_Images'!$A$2:$A$65,A14,'QA_Images'!$T$2:$T$65)/100,IF(D14="FULL",1,IF(D14="PARTIAL",0.5,IF(D14="FAIL",0,""))))</f>
        <v/>
      </c>
      <c r="F14" s="5">
        <f>IF(E14="",0,C14*E14)</f>
        <v/>
      </c>
      <c r="G14" s="5">
        <f>IF(B14="I1",20*AVERAGEIF('QA_Images'!$A$2:$A$65,A14,'QA_Images'!$U$2:$U$65)/100,IF(D14="NOT_CHECKED",0,C14))</f>
        <v/>
      </c>
      <c r="H14" s="2" t="inlineStr">
        <is>
          <t>Đối chiếu chất liệu, kích thước, thành phần đi kèm, biến thể và personalization với product.js live, body HTML và toàn bộ gallery.</t>
        </is>
      </c>
      <c r="I14" s="2" t="inlineStr">
        <is>
          <t>["evidence_batch_002_012", "https://jeminise.com/products/christian-bedding-set-inspirational-bible-verse-comforte-design-03", "serp_qa_012"]</t>
        </is>
      </c>
      <c r="J14" s="2" t="inlineStr">
        <is>
          <t>["ISS-012-IMG-02", "ISS-012-IMG-03", "ISS-012-IMG-04", "ISS-012-IMG-05", "ISS-012-IMG-06", "ISS-012-IMG-07", "R2-ISS-012-BODY", "ISS-012-ENC", "R2-ISS-012-PERS"]</t>
        </is>
      </c>
    </row>
    <row r="15" ht="42" customHeight="1">
      <c r="A15" s="3" t="inlineStr">
        <is>
          <t>jeminise.com+christian-bedding-set-inspirational-bible-verse-comforte-design-03</t>
        </is>
      </c>
      <c r="B15" s="3" t="inlineStr">
        <is>
          <t>K1</t>
        </is>
      </c>
      <c r="C15" s="3" t="n">
        <v>10</v>
      </c>
      <c r="D15" s="3" t="inlineStr">
        <is>
          <t>PARTIAL</t>
        </is>
      </c>
      <c r="E15" s="7">
        <f>IF(B15="I1",AVERAGEIF('QA_Images'!$A$2:$A$65,A15,'QA_Images'!$T$2:$T$65)/100,IF(D15="FULL",1,IF(D15="PARTIAL",0.5,IF(D15="FAIL",0,""))))</f>
        <v/>
      </c>
      <c r="F15" s="7">
        <f>IF(E15="",0,C15*E15)</f>
        <v/>
      </c>
      <c r="G15" s="7">
        <f>IF(B15="I1",20*AVERAGEIF('QA_Images'!$A$2:$A$65,A15,'QA_Images'!$U$2:$U$65)/100,IF(D15="NOT_CHECKED",0,C15))</f>
        <v/>
      </c>
      <c r="H15" s="3" t="inlineStr">
        <is>
          <t>Đối chiếu long-tail với thiết kế riêng, nhóm Christian/Christmas và mức độ trùng intent giữa các trang cùng cụm.</t>
        </is>
      </c>
      <c r="I15" s="3" t="inlineStr">
        <is>
          <t>["evidence_batch_002_012", "https://jeminise.com/products/christian-bedding-set-inspirational-bible-verse-comforte-design-03", "serp_qa_012"]</t>
        </is>
      </c>
      <c r="J15" s="3" t="inlineStr">
        <is>
          <t>["ISS-012-IMG-02", "ISS-012-IMG-03", "ISS-012-IMG-04", "ISS-012-IMG-05", "ISS-012-IMG-06", "ISS-012-IMG-07", "R2-ISS-012-BODY", "ISS-012-ENC", "R2-ISS-012-PERS"]</t>
        </is>
      </c>
    </row>
    <row r="16" ht="42" customHeight="1">
      <c r="A16" s="2" t="inlineStr">
        <is>
          <t>jeminise.com+christian-bedding-set-inspirational-bible-verse-comforte-design-03</t>
        </is>
      </c>
      <c r="B16" s="2" t="inlineStr">
        <is>
          <t>K2</t>
        </is>
      </c>
      <c r="C16" s="2" t="n">
        <v>5</v>
      </c>
      <c r="D16" s="2" t="inlineStr">
        <is>
          <t>PARTIAL</t>
        </is>
      </c>
      <c r="E16" s="5">
        <f>IF(B16="I1",AVERAGEIF('QA_Images'!$A$2:$A$65,A16,'QA_Images'!$T$2:$T$65)/100,IF(D16="FULL",1,IF(D16="PARTIAL",0.5,IF(D16="FAIL",0,""))))</f>
        <v/>
      </c>
      <c r="F16" s="5">
        <f>IF(E16="",0,C16*E16)</f>
        <v/>
      </c>
      <c r="G16" s="5">
        <f>IF(B16="I1",20*AVERAGEIF('QA_Images'!$A$2:$A$65,A16,'QA_Images'!$U$2:$U$65)/100,IF(D16="NOT_CHECKED",0,C16))</f>
        <v/>
      </c>
      <c r="H16" s="2" t="inlineStr">
        <is>
          <t>Đã đọc lại hai SERP query cho mỗi sản phẩm tại intent US; ghi URL thực đọc và không suy diễn volume.</t>
        </is>
      </c>
      <c r="I16" s="2" t="inlineStr">
        <is>
          <t>["evidence_batch_002_012", "https://jeminise.com/products/christian-bedding-set-inspirational-bible-verse-comforte-design-03", "serp_qa_012"]</t>
        </is>
      </c>
      <c r="J16" s="2" t="inlineStr">
        <is>
          <t>["ISS-012-IMG-02", "ISS-012-IMG-03", "ISS-012-IMG-04", "ISS-012-IMG-05", "ISS-012-IMG-06", "ISS-012-IMG-07", "R2-ISS-012-BODY", "ISS-012-ENC", "R2-ISS-012-PERS"]</t>
        </is>
      </c>
    </row>
    <row r="17" ht="42" customHeight="1">
      <c r="A17" s="3" t="inlineStr">
        <is>
          <t>jeminise.com+christian-bedding-set-inspirational-bible-verse-comforte-design-03</t>
        </is>
      </c>
      <c r="B17" s="3" t="inlineStr">
        <is>
          <t>K3</t>
        </is>
      </c>
      <c r="C17" s="3" t="n">
        <v>5</v>
      </c>
      <c r="D17" s="3" t="inlineStr">
        <is>
          <t>FULL</t>
        </is>
      </c>
      <c r="E17" s="7">
        <f>IF(B17="I1",AVERAGEIF('QA_Images'!$A$2:$A$65,A17,'QA_Images'!$T$2:$T$65)/100,IF(D17="FULL",1,IF(D17="PARTIAL",0.5,IF(D17="FAIL",0,""))))</f>
        <v/>
      </c>
      <c r="F17" s="7">
        <f>IF(E17="",0,C17*E17)</f>
        <v/>
      </c>
      <c r="G17" s="7">
        <f>IF(B17="I1",20*AVERAGEIF('QA_Images'!$A$2:$A$65,A17,'QA_Images'!$U$2:$U$65)/100,IF(D17="NOT_CHECKED",0,C17))</f>
        <v/>
      </c>
      <c r="H17" s="3" t="inlineStr">
        <is>
          <t>Không suy diễn volume; phân biệt SERP_ONLY và HYPOTHESIS_ONLY.</t>
        </is>
      </c>
      <c r="I17" s="3" t="inlineStr">
        <is>
          <t>["evidence_batch_002_012", "https://jeminise.com/products/christian-bedding-set-inspirational-bible-verse-comforte-design-03", "serp_qa_012"]</t>
        </is>
      </c>
      <c r="J17" s="3" t="inlineStr">
        <is>
          <t>["ISS-012-IMG-02", "ISS-012-IMG-03", "ISS-012-IMG-04", "ISS-012-IMG-05", "ISS-012-IMG-06", "ISS-012-IMG-07", "R2-ISS-012-BODY", "ISS-012-ENC", "R2-ISS-012-PERS"]</t>
        </is>
      </c>
    </row>
    <row r="18" ht="42" customHeight="1">
      <c r="A18" s="2" t="inlineStr">
        <is>
          <t>jeminise.com+christian-bedding-set-inspirational-bible-verse-comforte-design-03</t>
        </is>
      </c>
      <c r="B18" s="2" t="inlineStr">
        <is>
          <t>T1</t>
        </is>
      </c>
      <c r="C18" s="2" t="n">
        <v>10</v>
      </c>
      <c r="D18" s="2" t="inlineStr">
        <is>
          <t>FAIL</t>
        </is>
      </c>
      <c r="E18" s="5">
        <f>IF(B18="I1",AVERAGEIF('QA_Images'!$A$2:$A$65,A18,'QA_Images'!$T$2:$T$65)/100,IF(D18="FULL",1,IF(D18="PARTIAL",0.5,IF(D18="FAIL",0,""))))</f>
        <v/>
      </c>
      <c r="F18" s="5">
        <f>IF(E18="",0,C18*E18)</f>
        <v/>
      </c>
      <c r="G18" s="5">
        <f>IF(B18="I1",20*AVERAGEIF('QA_Images'!$A$2:$A$65,A18,'QA_Images'!$U$2:$U$65)/100,IF(D18="NOT_CHECKED",0,C18))</f>
        <v/>
      </c>
      <c r="H18" s="2" t="inlineStr">
        <is>
          <t>Đánh giá SEO title English về độ đúng, tự nhiên, keyword và điểm phân biệt.</t>
        </is>
      </c>
      <c r="I18" s="2" t="inlineStr">
        <is>
          <t>["evidence_batch_002_012", "https://jeminise.com/products/christian-bedding-set-inspirational-bible-verse-comforte-design-03", "serp_qa_012"]</t>
        </is>
      </c>
      <c r="J18" s="2" t="inlineStr">
        <is>
          <t>["ISS-012-IMG-02", "ISS-012-IMG-03", "ISS-012-IMG-04", "ISS-012-IMG-05", "ISS-012-IMG-06", "ISS-012-IMG-07", "R2-ISS-012-BODY", "ISS-012-ENC", "R2-ISS-012-PERS"]</t>
        </is>
      </c>
    </row>
    <row r="19" ht="42" customHeight="1">
      <c r="A19" s="3" t="inlineStr">
        <is>
          <t>jeminise.com+christian-bedding-set-inspirational-bible-verse-comforte-design-03</t>
        </is>
      </c>
      <c r="B19" s="3" t="inlineStr">
        <is>
          <t>T2</t>
        </is>
      </c>
      <c r="C19" s="3" t="n">
        <v>5</v>
      </c>
      <c r="D19" s="3" t="inlineStr">
        <is>
          <t>PARTIAL</t>
        </is>
      </c>
      <c r="E19" s="7">
        <f>IF(B19="I1",AVERAGEIF('QA_Images'!$A$2:$A$65,A19,'QA_Images'!$T$2:$T$65)/100,IF(D19="FULL",1,IF(D19="PARTIAL",0.5,IF(D19="FAIL",0,""))))</f>
        <v/>
      </c>
      <c r="F19" s="7">
        <f>IF(E19="",0,C19*E19)</f>
        <v/>
      </c>
      <c r="G19" s="7">
        <f>IF(B19="I1",20*AVERAGEIF('QA_Images'!$A$2:$A$65,A19,'QA_Images'!$U$2:$U$65)/100,IF(D19="NOT_CHECKED",0,C19))</f>
        <v/>
      </c>
      <c r="H19" s="3" t="inlineStr">
        <is>
          <t>Đánh giá H1 đề xuất độc lập với SEO title và đối chiếu lỗi ký tự nguồn.</t>
        </is>
      </c>
      <c r="I19" s="3" t="inlineStr">
        <is>
          <t>["evidence_batch_002_012", "https://jeminise.com/products/christian-bedding-set-inspirational-bible-verse-comforte-design-03", "serp_qa_012"]</t>
        </is>
      </c>
      <c r="J19" s="3" t="inlineStr">
        <is>
          <t>["ISS-012-IMG-02", "ISS-012-IMG-03", "ISS-012-IMG-04", "ISS-012-IMG-05", "ISS-012-IMG-06", "ISS-012-IMG-07", "R2-ISS-012-BODY", "ISS-012-ENC", "R2-ISS-012-PERS"]</t>
        </is>
      </c>
    </row>
    <row r="20" ht="42" customHeight="1">
      <c r="A20" s="2" t="inlineStr">
        <is>
          <t>jeminise.com+christian-bedding-set-inspirational-bible-verse-comforte-design-03</t>
        </is>
      </c>
      <c r="B20" s="2" t="inlineStr">
        <is>
          <t>D1</t>
        </is>
      </c>
      <c r="C20" s="2" t="n">
        <v>5</v>
      </c>
      <c r="D20" s="2" t="inlineStr">
        <is>
          <t>FAIL</t>
        </is>
      </c>
      <c r="E20" s="5">
        <f>IF(B20="I1",AVERAGEIF('QA_Images'!$A$2:$A$65,A20,'QA_Images'!$T$2:$T$65)/100,IF(D20="FULL",1,IF(D20="PARTIAL",0.5,IF(D20="FAIL",0,""))))</f>
        <v/>
      </c>
      <c r="F20" s="5">
        <f>IF(E20="",0,C20*E20)</f>
        <v/>
      </c>
      <c r="G20" s="5">
        <f>IF(B20="I1",20*AVERAGEIF('QA_Images'!$A$2:$A$65,A20,'QA_Images'!$U$2:$U$65)/100,IF(D20="NOT_CHECKED",0,C20))</f>
        <v/>
      </c>
      <c r="H20" s="2" t="inlineStr">
        <is>
          <t>Đánh giá meta description về tính cụ thể và căn cứ claim.</t>
        </is>
      </c>
      <c r="I20" s="2" t="inlineStr">
        <is>
          <t>["evidence_batch_002_012", "https://jeminise.com/products/christian-bedding-set-inspirational-bible-verse-comforte-design-03", "serp_qa_012"]</t>
        </is>
      </c>
      <c r="J20" s="2" t="inlineStr">
        <is>
          <t>["ISS-012-IMG-02", "ISS-012-IMG-03", "ISS-012-IMG-04", "ISS-012-IMG-05", "ISS-012-IMG-06", "ISS-012-IMG-07", "R2-ISS-012-BODY", "ISS-012-ENC", "R2-ISS-012-PERS"]</t>
        </is>
      </c>
    </row>
    <row r="21" ht="42" customHeight="1">
      <c r="A21" s="3" t="inlineStr">
        <is>
          <t>jeminise.com+christian-bedding-set-inspirational-bible-verse-comforte-design-03</t>
        </is>
      </c>
      <c r="B21" s="3" t="inlineStr">
        <is>
          <t>D2</t>
        </is>
      </c>
      <c r="C21" s="3" t="n">
        <v>10</v>
      </c>
      <c r="D21" s="3" t="inlineStr">
        <is>
          <t>FAIL</t>
        </is>
      </c>
      <c r="E21" s="7">
        <f>IF(B21="I1",AVERAGEIF('QA_Images'!$A$2:$A$65,A21,'QA_Images'!$T$2:$T$65)/100,IF(D21="FULL",1,IF(D21="PARTIAL",0.5,IF(D21="FAIL",0,""))))</f>
        <v/>
      </c>
      <c r="F21" s="7">
        <f>IF(E21="",0,C21*E21)</f>
        <v/>
      </c>
      <c r="G21" s="7">
        <f>IF(B21="I1",20*AVERAGEIF('QA_Images'!$A$2:$A$65,A21,'QA_Images'!$U$2:$U$65)/100,IF(D21="NOT_CHECKED",0,C21))</f>
        <v/>
      </c>
      <c r="H21" s="3" t="inlineStr">
        <is>
          <t>Description SET có HTML đầy đủ nhưng chứa câu nội bộ 'This draft should be reviewed...' và dữ liệu nguồn thô/mâu thuẫn; chưa phải nội dung publish-ready.</t>
        </is>
      </c>
      <c r="I21" s="3" t="inlineStr">
        <is>
          <t>["evidence_batch_002_012", "https://jeminise.com/products/christian-bedding-set-inspirational-bible-verse-comforte-design-03", "serp_qa_012"]</t>
        </is>
      </c>
      <c r="J21" s="3" t="inlineStr">
        <is>
          <t>["ISS-012-IMG-02", "ISS-012-IMG-03", "ISS-012-IMG-04", "ISS-012-IMG-05", "ISS-012-IMG-06", "ISS-012-IMG-07", "R2-ISS-012-BODY", "ISS-012-ENC", "R2-ISS-012-PERS"]</t>
        </is>
      </c>
    </row>
    <row r="22" ht="42" customHeight="1">
      <c r="A22" s="2" t="inlineStr">
        <is>
          <t>jeminise.com+christian-bedding-set-inspirational-bible-verse-comforte-design-03</t>
        </is>
      </c>
      <c r="B22" s="2" t="inlineStr">
        <is>
          <t>I1</t>
        </is>
      </c>
      <c r="C22" s="2" t="n">
        <v>20</v>
      </c>
      <c r="D22" s="2" t="inlineStr">
        <is>
          <t>DERIVED</t>
        </is>
      </c>
      <c r="E22" s="5">
        <f>IF(B22="I1",AVERAGEIF('QA_Images'!$A$2:$A$65,A22,'QA_Images'!$T$2:$T$65)/100,IF(D22="FULL",1,IF(D22="PARTIAL",0.5,IF(D22="FAIL",0,""))))</f>
        <v/>
      </c>
      <c r="F22" s="5">
        <f>IF(E22="",0,C22*E22)</f>
        <v/>
      </c>
      <c r="G22" s="5">
        <f>IF(B22="I1",20*AVERAGEIF('QA_Images'!$A$2:$A$65,A22,'QA_Images'!$U$2:$U$65)/100,IF(D22="NOT_CHECKED",0,C22))</f>
        <v/>
      </c>
      <c r="H22" s="2" t="inlineStr">
        <is>
          <t>Tính từ trung bình 7 ảnh: 62.8571/100.</t>
        </is>
      </c>
      <c r="I22" s="2" t="inlineStr">
        <is>
          <t>["evidence_batch_002_012", "https://jeminise.com/products/christian-bedding-set-inspirational-bible-verse-comforte-design-03", "serp_qa_012"]</t>
        </is>
      </c>
      <c r="J22" s="2" t="inlineStr">
        <is>
          <t>["ISS-012-IMG-02", "ISS-012-IMG-03", "ISS-012-IMG-04", "ISS-012-IMG-05", "ISS-012-IMG-06", "ISS-012-IMG-07", "R2-ISS-012-BODY", "ISS-012-ENC", "R2-ISS-012-PERS"]</t>
        </is>
      </c>
    </row>
    <row r="23" ht="42" customHeight="1">
      <c r="A23" s="3" t="inlineStr">
        <is>
          <t>jeminise.com+christian-bedding-set-inspirational-bible-verse-comforte-design-03</t>
        </is>
      </c>
      <c r="B23" s="3" t="inlineStr">
        <is>
          <t>E1</t>
        </is>
      </c>
      <c r="C23" s="3" t="n">
        <v>5</v>
      </c>
      <c r="D23" s="3" t="inlineStr">
        <is>
          <t>PARTIAL</t>
        </is>
      </c>
      <c r="E23" s="7">
        <f>IF(B23="I1",AVERAGEIF('QA_Images'!$A$2:$A$65,A23,'QA_Images'!$T$2:$T$65)/100,IF(D23="FULL",1,IF(D23="PARTIAL",0.5,IF(D23="FAIL",0,""))))</f>
        <v/>
      </c>
      <c r="F23" s="7">
        <f>IF(E23="",0,C23*E23)</f>
        <v/>
      </c>
      <c r="G23" s="7">
        <f>IF(B23="I1",20*AVERAGEIF('QA_Images'!$A$2:$A$65,A23,'QA_Images'!$U$2:$U$65)/100,IF(D23="NOT_CHECKED",0,C23))</f>
        <v/>
      </c>
      <c r="H23" s="3" t="inlineStr">
        <is>
          <t>Kiểm tra liên kết product key/handle/evidence/revision giữa workbook, snapshot và nguồn live.</t>
        </is>
      </c>
      <c r="I23" s="3" t="inlineStr">
        <is>
          <t>["evidence_batch_002_012", "https://jeminise.com/products/christian-bedding-set-inspirational-bible-verse-comforte-design-03", "serp_qa_012"]</t>
        </is>
      </c>
      <c r="J23" s="3" t="inlineStr">
        <is>
          <t>["ISS-012-IMG-02", "ISS-012-IMG-03", "ISS-012-IMG-04", "ISS-012-IMG-05", "ISS-012-IMG-06", "ISS-012-IMG-07", "R2-ISS-012-BODY", "ISS-012-ENC", "R2-ISS-012-PERS"]</t>
        </is>
      </c>
    </row>
    <row r="24" ht="42" customHeight="1">
      <c r="A24" s="2" t="inlineStr">
        <is>
          <t>jeminise.com+christian-bedding-set-inspirational-bible-verse-comforte-design-04</t>
        </is>
      </c>
      <c r="B24" s="2" t="inlineStr">
        <is>
          <t>P1</t>
        </is>
      </c>
      <c r="C24" s="2" t="n">
        <v>15</v>
      </c>
      <c r="D24" s="2" t="inlineStr">
        <is>
          <t>FULL</t>
        </is>
      </c>
      <c r="E24" s="5">
        <f>IF(B24="I1",AVERAGEIF('QA_Images'!$A$2:$A$65,A24,'QA_Images'!$T$2:$T$65)/100,IF(D24="FULL",1,IF(D24="PARTIAL",0.5,IF(D24="FAIL",0,""))))</f>
        <v/>
      </c>
      <c r="F24" s="5">
        <f>IF(E24="",0,C24*E24)</f>
        <v/>
      </c>
      <c r="G24" s="5">
        <f>IF(B24="I1",20*AVERAGEIF('QA_Images'!$A$2:$A$65,A24,'QA_Images'!$U$2:$U$65)/100,IF(D24="NOT_CHECKED",0,C24))</f>
        <v/>
      </c>
      <c r="H24" s="2" t="inlineStr">
        <is>
          <t>Đối chiếu loại sản phẩm, thiết kế và màu với product JSON, H1 live và toàn bộ gallery.</t>
        </is>
      </c>
      <c r="I24" s="2" t="inlineStr">
        <is>
          <t>["evidence_batch_002_013", "https://jeminise.com/products/christian-bedding-set-inspirational-bible-verse-comforte-design-04", "serp_qa_013"]</t>
        </is>
      </c>
      <c r="J24" s="2" t="inlineStr">
        <is>
          <t>["ISS-013-IMG-02", "ISS-013-IMG-03", "ISS-013-IMG-04", "ISS-013-IMG-05", "ISS-013-IMG-06", "ISS-013-IMG-07", "R2-ISS-013-BODY", "ISS-013-ENC", "ISS-013-FACT", "R2-ISS-013-PERS"]</t>
        </is>
      </c>
    </row>
    <row r="25" ht="42" customHeight="1">
      <c r="A25" s="3" t="inlineStr">
        <is>
          <t>jeminise.com+christian-bedding-set-inspirational-bible-verse-comforte-design-04</t>
        </is>
      </c>
      <c r="B25" s="3" t="inlineStr">
        <is>
          <t>P2</t>
        </is>
      </c>
      <c r="C25" s="3" t="n">
        <v>10</v>
      </c>
      <c r="D25" s="3" t="inlineStr">
        <is>
          <t>FAIL</t>
        </is>
      </c>
      <c r="E25" s="7">
        <f>IF(B25="I1",AVERAGEIF('QA_Images'!$A$2:$A$65,A25,'QA_Images'!$T$2:$T$65)/100,IF(D25="FULL",1,IF(D25="PARTIAL",0.5,IF(D25="FAIL",0,""))))</f>
        <v/>
      </c>
      <c r="F25" s="7">
        <f>IF(E25="",0,C25*E25)</f>
        <v/>
      </c>
      <c r="G25" s="7">
        <f>IF(B25="I1",20*AVERAGEIF('QA_Images'!$A$2:$A$65,A25,'QA_Images'!$U$2:$U$65)/100,IF(D25="NOT_CHECKED",0,C25))</f>
        <v/>
      </c>
      <c r="H25" s="3" t="inlineStr">
        <is>
          <t>Đối chiếu chất liệu, kích thước, thành phần đi kèm, biến thể và personalization với product.js live, body HTML và toàn bộ gallery.</t>
        </is>
      </c>
      <c r="I25" s="3" t="inlineStr">
        <is>
          <t>["evidence_batch_002_013", "https://jeminise.com/products/christian-bedding-set-inspirational-bible-verse-comforte-design-04", "serp_qa_013"]</t>
        </is>
      </c>
      <c r="J25" s="3" t="inlineStr">
        <is>
          <t>["ISS-013-IMG-02", "ISS-013-IMG-03", "ISS-013-IMG-04", "ISS-013-IMG-05", "ISS-013-IMG-06", "ISS-013-IMG-07", "R2-ISS-013-BODY", "ISS-013-ENC", "ISS-013-FACT", "R2-ISS-013-PERS"]</t>
        </is>
      </c>
    </row>
    <row r="26" ht="42" customHeight="1">
      <c r="A26" s="2" t="inlineStr">
        <is>
          <t>jeminise.com+christian-bedding-set-inspirational-bible-verse-comforte-design-04</t>
        </is>
      </c>
      <c r="B26" s="2" t="inlineStr">
        <is>
          <t>K1</t>
        </is>
      </c>
      <c r="C26" s="2" t="n">
        <v>10</v>
      </c>
      <c r="D26" s="2" t="inlineStr">
        <is>
          <t>PARTIAL</t>
        </is>
      </c>
      <c r="E26" s="5">
        <f>IF(B26="I1",AVERAGEIF('QA_Images'!$A$2:$A$65,A26,'QA_Images'!$T$2:$T$65)/100,IF(D26="FULL",1,IF(D26="PARTIAL",0.5,IF(D26="FAIL",0,""))))</f>
        <v/>
      </c>
      <c r="F26" s="5">
        <f>IF(E26="",0,C26*E26)</f>
        <v/>
      </c>
      <c r="G26" s="5">
        <f>IF(B26="I1",20*AVERAGEIF('QA_Images'!$A$2:$A$65,A26,'QA_Images'!$U$2:$U$65)/100,IF(D26="NOT_CHECKED",0,C26))</f>
        <v/>
      </c>
      <c r="H26" s="2" t="inlineStr">
        <is>
          <t>Đối chiếu long-tail với thiết kế riêng, nhóm Christian/Christmas và mức độ trùng intent giữa các trang cùng cụm.</t>
        </is>
      </c>
      <c r="I26" s="2" t="inlineStr">
        <is>
          <t>["evidence_batch_002_013", "https://jeminise.com/products/christian-bedding-set-inspirational-bible-verse-comforte-design-04", "serp_qa_013"]</t>
        </is>
      </c>
      <c r="J26" s="2" t="inlineStr">
        <is>
          <t>["ISS-013-IMG-02", "ISS-013-IMG-03", "ISS-013-IMG-04", "ISS-013-IMG-05", "ISS-013-IMG-06", "ISS-013-IMG-07", "R2-ISS-013-BODY", "ISS-013-ENC", "ISS-013-FACT", "R2-ISS-013-PERS"]</t>
        </is>
      </c>
    </row>
    <row r="27" ht="42" customHeight="1">
      <c r="A27" s="3" t="inlineStr">
        <is>
          <t>jeminise.com+christian-bedding-set-inspirational-bible-verse-comforte-design-04</t>
        </is>
      </c>
      <c r="B27" s="3" t="inlineStr">
        <is>
          <t>K2</t>
        </is>
      </c>
      <c r="C27" s="3" t="n">
        <v>5</v>
      </c>
      <c r="D27" s="3" t="inlineStr">
        <is>
          <t>PARTIAL</t>
        </is>
      </c>
      <c r="E27" s="7">
        <f>IF(B27="I1",AVERAGEIF('QA_Images'!$A$2:$A$65,A27,'QA_Images'!$T$2:$T$65)/100,IF(D27="FULL",1,IF(D27="PARTIAL",0.5,IF(D27="FAIL",0,""))))</f>
        <v/>
      </c>
      <c r="F27" s="7">
        <f>IF(E27="",0,C27*E27)</f>
        <v/>
      </c>
      <c r="G27" s="7">
        <f>IF(B27="I1",20*AVERAGEIF('QA_Images'!$A$2:$A$65,A27,'QA_Images'!$U$2:$U$65)/100,IF(D27="NOT_CHECKED",0,C27))</f>
        <v/>
      </c>
      <c r="H27" s="3" t="inlineStr">
        <is>
          <t>Đã đọc lại hai SERP query cho mỗi sản phẩm tại intent US; ghi URL thực đọc và không suy diễn volume.</t>
        </is>
      </c>
      <c r="I27" s="3" t="inlineStr">
        <is>
          <t>["evidence_batch_002_013", "https://jeminise.com/products/christian-bedding-set-inspirational-bible-verse-comforte-design-04", "serp_qa_013"]</t>
        </is>
      </c>
      <c r="J27" s="3" t="inlineStr">
        <is>
          <t>["ISS-013-IMG-02", "ISS-013-IMG-03", "ISS-013-IMG-04", "ISS-013-IMG-05", "ISS-013-IMG-06", "ISS-013-IMG-07", "R2-ISS-013-BODY", "ISS-013-ENC", "ISS-013-FACT", "R2-ISS-013-PERS"]</t>
        </is>
      </c>
    </row>
    <row r="28" ht="42" customHeight="1">
      <c r="A28" s="2" t="inlineStr">
        <is>
          <t>jeminise.com+christian-bedding-set-inspirational-bible-verse-comforte-design-04</t>
        </is>
      </c>
      <c r="B28" s="2" t="inlineStr">
        <is>
          <t>K3</t>
        </is>
      </c>
      <c r="C28" s="2" t="n">
        <v>5</v>
      </c>
      <c r="D28" s="2" t="inlineStr">
        <is>
          <t>FULL</t>
        </is>
      </c>
      <c r="E28" s="5">
        <f>IF(B28="I1",AVERAGEIF('QA_Images'!$A$2:$A$65,A28,'QA_Images'!$T$2:$T$65)/100,IF(D28="FULL",1,IF(D28="PARTIAL",0.5,IF(D28="FAIL",0,""))))</f>
        <v/>
      </c>
      <c r="F28" s="5">
        <f>IF(E28="",0,C28*E28)</f>
        <v/>
      </c>
      <c r="G28" s="5">
        <f>IF(B28="I1",20*AVERAGEIF('QA_Images'!$A$2:$A$65,A28,'QA_Images'!$U$2:$U$65)/100,IF(D28="NOT_CHECKED",0,C28))</f>
        <v/>
      </c>
      <c r="H28" s="2" t="inlineStr">
        <is>
          <t>Không suy diễn volume; phân biệt SERP_ONLY và HYPOTHESIS_ONLY.</t>
        </is>
      </c>
      <c r="I28" s="2" t="inlineStr">
        <is>
          <t>["evidence_batch_002_013", "https://jeminise.com/products/christian-bedding-set-inspirational-bible-verse-comforte-design-04", "serp_qa_013"]</t>
        </is>
      </c>
      <c r="J28" s="2" t="inlineStr">
        <is>
          <t>["ISS-013-IMG-02", "ISS-013-IMG-03", "ISS-013-IMG-04", "ISS-013-IMG-05", "ISS-013-IMG-06", "ISS-013-IMG-07", "R2-ISS-013-BODY", "ISS-013-ENC", "ISS-013-FACT", "R2-ISS-013-PERS"]</t>
        </is>
      </c>
    </row>
    <row r="29" ht="42" customHeight="1">
      <c r="A29" s="3" t="inlineStr">
        <is>
          <t>jeminise.com+christian-bedding-set-inspirational-bible-verse-comforte-design-04</t>
        </is>
      </c>
      <c r="B29" s="3" t="inlineStr">
        <is>
          <t>T1</t>
        </is>
      </c>
      <c r="C29" s="3" t="n">
        <v>10</v>
      </c>
      <c r="D29" s="3" t="inlineStr">
        <is>
          <t>FAIL</t>
        </is>
      </c>
      <c r="E29" s="7">
        <f>IF(B29="I1",AVERAGEIF('QA_Images'!$A$2:$A$65,A29,'QA_Images'!$T$2:$T$65)/100,IF(D29="FULL",1,IF(D29="PARTIAL",0.5,IF(D29="FAIL",0,""))))</f>
        <v/>
      </c>
      <c r="F29" s="7">
        <f>IF(E29="",0,C29*E29)</f>
        <v/>
      </c>
      <c r="G29" s="7">
        <f>IF(B29="I1",20*AVERAGEIF('QA_Images'!$A$2:$A$65,A29,'QA_Images'!$U$2:$U$65)/100,IF(D29="NOT_CHECKED",0,C29))</f>
        <v/>
      </c>
      <c r="H29" s="3" t="inlineStr">
        <is>
          <t>Đánh giá SEO title English về độ đúng, tự nhiên, keyword và điểm phân biệt.</t>
        </is>
      </c>
      <c r="I29" s="3" t="inlineStr">
        <is>
          <t>["evidence_batch_002_013", "https://jeminise.com/products/christian-bedding-set-inspirational-bible-verse-comforte-design-04", "serp_qa_013"]</t>
        </is>
      </c>
      <c r="J29" s="3" t="inlineStr">
        <is>
          <t>["ISS-013-IMG-02", "ISS-013-IMG-03", "ISS-013-IMG-04", "ISS-013-IMG-05", "ISS-013-IMG-06", "ISS-013-IMG-07", "R2-ISS-013-BODY", "ISS-013-ENC", "ISS-013-FACT", "R2-ISS-013-PERS"]</t>
        </is>
      </c>
    </row>
    <row r="30" ht="42" customHeight="1">
      <c r="A30" s="2" t="inlineStr">
        <is>
          <t>jeminise.com+christian-bedding-set-inspirational-bible-verse-comforte-design-04</t>
        </is>
      </c>
      <c r="B30" s="2" t="inlineStr">
        <is>
          <t>T2</t>
        </is>
      </c>
      <c r="C30" s="2" t="n">
        <v>5</v>
      </c>
      <c r="D30" s="2" t="inlineStr">
        <is>
          <t>PARTIAL</t>
        </is>
      </c>
      <c r="E30" s="5">
        <f>IF(B30="I1",AVERAGEIF('QA_Images'!$A$2:$A$65,A30,'QA_Images'!$T$2:$T$65)/100,IF(D30="FULL",1,IF(D30="PARTIAL",0.5,IF(D30="FAIL",0,""))))</f>
        <v/>
      </c>
      <c r="F30" s="5">
        <f>IF(E30="",0,C30*E30)</f>
        <v/>
      </c>
      <c r="G30" s="5">
        <f>IF(B30="I1",20*AVERAGEIF('QA_Images'!$A$2:$A$65,A30,'QA_Images'!$U$2:$U$65)/100,IF(D30="NOT_CHECKED",0,C30))</f>
        <v/>
      </c>
      <c r="H30" s="2" t="inlineStr">
        <is>
          <t>Đánh giá H1 đề xuất độc lập với SEO title và đối chiếu lỗi ký tự nguồn.</t>
        </is>
      </c>
      <c r="I30" s="2" t="inlineStr">
        <is>
          <t>["evidence_batch_002_013", "https://jeminise.com/products/christian-bedding-set-inspirational-bible-verse-comforte-design-04", "serp_qa_013"]</t>
        </is>
      </c>
      <c r="J30" s="2" t="inlineStr">
        <is>
          <t>["ISS-013-IMG-02", "ISS-013-IMG-03", "ISS-013-IMG-04", "ISS-013-IMG-05", "ISS-013-IMG-06", "ISS-013-IMG-07", "R2-ISS-013-BODY", "ISS-013-ENC", "ISS-013-FACT", "R2-ISS-013-PERS"]</t>
        </is>
      </c>
    </row>
    <row r="31" ht="42" customHeight="1">
      <c r="A31" s="3" t="inlineStr">
        <is>
          <t>jeminise.com+christian-bedding-set-inspirational-bible-verse-comforte-design-04</t>
        </is>
      </c>
      <c r="B31" s="3" t="inlineStr">
        <is>
          <t>D1</t>
        </is>
      </c>
      <c r="C31" s="3" t="n">
        <v>5</v>
      </c>
      <c r="D31" s="3" t="inlineStr">
        <is>
          <t>FAIL</t>
        </is>
      </c>
      <c r="E31" s="7">
        <f>IF(B31="I1",AVERAGEIF('QA_Images'!$A$2:$A$65,A31,'QA_Images'!$T$2:$T$65)/100,IF(D31="FULL",1,IF(D31="PARTIAL",0.5,IF(D31="FAIL",0,""))))</f>
        <v/>
      </c>
      <c r="F31" s="7">
        <f>IF(E31="",0,C31*E31)</f>
        <v/>
      </c>
      <c r="G31" s="7">
        <f>IF(B31="I1",20*AVERAGEIF('QA_Images'!$A$2:$A$65,A31,'QA_Images'!$U$2:$U$65)/100,IF(D31="NOT_CHECKED",0,C31))</f>
        <v/>
      </c>
      <c r="H31" s="3" t="inlineStr">
        <is>
          <t>Đánh giá meta description về tính cụ thể và căn cứ claim.</t>
        </is>
      </c>
      <c r="I31" s="3" t="inlineStr">
        <is>
          <t>["evidence_batch_002_013", "https://jeminise.com/products/christian-bedding-set-inspirational-bible-verse-comforte-design-04", "serp_qa_013"]</t>
        </is>
      </c>
      <c r="J31" s="3" t="inlineStr">
        <is>
          <t>["ISS-013-IMG-02", "ISS-013-IMG-03", "ISS-013-IMG-04", "ISS-013-IMG-05", "ISS-013-IMG-06", "ISS-013-IMG-07", "R2-ISS-013-BODY", "ISS-013-ENC", "ISS-013-FACT", "R2-ISS-013-PERS"]</t>
        </is>
      </c>
    </row>
    <row r="32" ht="42" customHeight="1">
      <c r="A32" s="2" t="inlineStr">
        <is>
          <t>jeminise.com+christian-bedding-set-inspirational-bible-verse-comforte-design-04</t>
        </is>
      </c>
      <c r="B32" s="2" t="inlineStr">
        <is>
          <t>D2</t>
        </is>
      </c>
      <c r="C32" s="2" t="n">
        <v>10</v>
      </c>
      <c r="D32" s="2" t="inlineStr">
        <is>
          <t>FAIL</t>
        </is>
      </c>
      <c r="E32" s="5">
        <f>IF(B32="I1",AVERAGEIF('QA_Images'!$A$2:$A$65,A32,'QA_Images'!$T$2:$T$65)/100,IF(D32="FULL",1,IF(D32="PARTIAL",0.5,IF(D32="FAIL",0,""))))</f>
        <v/>
      </c>
      <c r="F32" s="5">
        <f>IF(E32="",0,C32*E32)</f>
        <v/>
      </c>
      <c r="G32" s="5">
        <f>IF(B32="I1",20*AVERAGEIF('QA_Images'!$A$2:$A$65,A32,'QA_Images'!$U$2:$U$65)/100,IF(D32="NOT_CHECKED",0,C32))</f>
        <v/>
      </c>
      <c r="H32" s="2" t="inlineStr">
        <is>
          <t>Description SET có HTML đầy đủ nhưng chứa câu nội bộ 'This draft should be reviewed...' và dữ liệu nguồn thô/mâu thuẫn; chưa phải nội dung publish-ready.</t>
        </is>
      </c>
      <c r="I32" s="2" t="inlineStr">
        <is>
          <t>["evidence_batch_002_013", "https://jeminise.com/products/christian-bedding-set-inspirational-bible-verse-comforte-design-04", "serp_qa_013"]</t>
        </is>
      </c>
      <c r="J32" s="2" t="inlineStr">
        <is>
          <t>["ISS-013-IMG-02", "ISS-013-IMG-03", "ISS-013-IMG-04", "ISS-013-IMG-05", "ISS-013-IMG-06", "ISS-013-IMG-07", "R2-ISS-013-BODY", "ISS-013-ENC", "ISS-013-FACT", "R2-ISS-013-PERS"]</t>
        </is>
      </c>
    </row>
    <row r="33" ht="42" customHeight="1">
      <c r="A33" s="3" t="inlineStr">
        <is>
          <t>jeminise.com+christian-bedding-set-inspirational-bible-verse-comforte-design-04</t>
        </is>
      </c>
      <c r="B33" s="3" t="inlineStr">
        <is>
          <t>I1</t>
        </is>
      </c>
      <c r="C33" s="3" t="n">
        <v>20</v>
      </c>
      <c r="D33" s="3" t="inlineStr">
        <is>
          <t>DERIVED</t>
        </is>
      </c>
      <c r="E33" s="7">
        <f>IF(B33="I1",AVERAGEIF('QA_Images'!$A$2:$A$65,A33,'QA_Images'!$T$2:$T$65)/100,IF(D33="FULL",1,IF(D33="PARTIAL",0.5,IF(D33="FAIL",0,""))))</f>
        <v/>
      </c>
      <c r="F33" s="7">
        <f>IF(E33="",0,C33*E33)</f>
        <v/>
      </c>
      <c r="G33" s="7">
        <f>IF(B33="I1",20*AVERAGEIF('QA_Images'!$A$2:$A$65,A33,'QA_Images'!$U$2:$U$65)/100,IF(D33="NOT_CHECKED",0,C33))</f>
        <v/>
      </c>
      <c r="H33" s="3" t="inlineStr">
        <is>
          <t>Tính từ trung bình 7 ảnh: 62.8571/100.</t>
        </is>
      </c>
      <c r="I33" s="3" t="inlineStr">
        <is>
          <t>["evidence_batch_002_013", "https://jeminise.com/products/christian-bedding-set-inspirational-bible-verse-comforte-design-04", "serp_qa_013"]</t>
        </is>
      </c>
      <c r="J33" s="3" t="inlineStr">
        <is>
          <t>["ISS-013-IMG-02", "ISS-013-IMG-03", "ISS-013-IMG-04", "ISS-013-IMG-05", "ISS-013-IMG-06", "ISS-013-IMG-07", "R2-ISS-013-BODY", "ISS-013-ENC", "ISS-013-FACT", "R2-ISS-013-PERS"]</t>
        </is>
      </c>
    </row>
    <row r="34" ht="42" customHeight="1">
      <c r="A34" s="2" t="inlineStr">
        <is>
          <t>jeminise.com+christian-bedding-set-inspirational-bible-verse-comforte-design-04</t>
        </is>
      </c>
      <c r="B34" s="2" t="inlineStr">
        <is>
          <t>E1</t>
        </is>
      </c>
      <c r="C34" s="2" t="n">
        <v>5</v>
      </c>
      <c r="D34" s="2" t="inlineStr">
        <is>
          <t>PARTIAL</t>
        </is>
      </c>
      <c r="E34" s="5">
        <f>IF(B34="I1",AVERAGEIF('QA_Images'!$A$2:$A$65,A34,'QA_Images'!$T$2:$T$65)/100,IF(D34="FULL",1,IF(D34="PARTIAL",0.5,IF(D34="FAIL",0,""))))</f>
        <v/>
      </c>
      <c r="F34" s="5">
        <f>IF(E34="",0,C34*E34)</f>
        <v/>
      </c>
      <c r="G34" s="5">
        <f>IF(B34="I1",20*AVERAGEIF('QA_Images'!$A$2:$A$65,A34,'QA_Images'!$U$2:$U$65)/100,IF(D34="NOT_CHECKED",0,C34))</f>
        <v/>
      </c>
      <c r="H34" s="2" t="inlineStr">
        <is>
          <t>Kiểm tra liên kết product key/handle/evidence/revision giữa workbook, snapshot và nguồn live.</t>
        </is>
      </c>
      <c r="I34" s="2" t="inlineStr">
        <is>
          <t>["evidence_batch_002_013", "https://jeminise.com/products/christian-bedding-set-inspirational-bible-verse-comforte-design-04", "serp_qa_013"]</t>
        </is>
      </c>
      <c r="J34" s="2" t="inlineStr">
        <is>
          <t>["ISS-013-IMG-02", "ISS-013-IMG-03", "ISS-013-IMG-04", "ISS-013-IMG-05", "ISS-013-IMG-06", "ISS-013-IMG-07", "R2-ISS-013-BODY", "ISS-013-ENC", "ISS-013-FACT", "R2-ISS-013-PERS"]</t>
        </is>
      </c>
    </row>
    <row r="35" ht="42" customHeight="1">
      <c r="A35" s="3" t="inlineStr">
        <is>
          <t>jeminise.com+christian-bedding-set-inspirational-bible-verse-comforte-design-05</t>
        </is>
      </c>
      <c r="B35" s="3" t="inlineStr">
        <is>
          <t>P1</t>
        </is>
      </c>
      <c r="C35" s="3" t="n">
        <v>15</v>
      </c>
      <c r="D35" s="3" t="inlineStr">
        <is>
          <t>FULL</t>
        </is>
      </c>
      <c r="E35" s="7">
        <f>IF(B35="I1",AVERAGEIF('QA_Images'!$A$2:$A$65,A35,'QA_Images'!$T$2:$T$65)/100,IF(D35="FULL",1,IF(D35="PARTIAL",0.5,IF(D35="FAIL",0,""))))</f>
        <v/>
      </c>
      <c r="F35" s="7">
        <f>IF(E35="",0,C35*E35)</f>
        <v/>
      </c>
      <c r="G35" s="7">
        <f>IF(B35="I1",20*AVERAGEIF('QA_Images'!$A$2:$A$65,A35,'QA_Images'!$U$2:$U$65)/100,IF(D35="NOT_CHECKED",0,C35))</f>
        <v/>
      </c>
      <c r="H35" s="3" t="inlineStr">
        <is>
          <t>Đối chiếu loại sản phẩm, thiết kế và màu với product JSON, H1 live và toàn bộ gallery.</t>
        </is>
      </c>
      <c r="I35" s="3" t="inlineStr">
        <is>
          <t>["evidence_batch_002_014", "https://jeminise.com/products/christian-bedding-set-inspirational-bible-verse-comforte-design-05", "serp_qa_014"]</t>
        </is>
      </c>
      <c r="J35" s="3" t="inlineStr">
        <is>
          <t>["ISS-014-IMG-02", "ISS-014-IMG-03", "ISS-014-IMG-04", "ISS-014-IMG-05", "ISS-014-IMG-06", "ISS-014-IMG-07", "R2-ISS-014-BODY", "ISS-014-ENC", "R2-ISS-014-PERS"]</t>
        </is>
      </c>
    </row>
    <row r="36" ht="42" customHeight="1">
      <c r="A36" s="2" t="inlineStr">
        <is>
          <t>jeminise.com+christian-bedding-set-inspirational-bible-verse-comforte-design-05</t>
        </is>
      </c>
      <c r="B36" s="2" t="inlineStr">
        <is>
          <t>P2</t>
        </is>
      </c>
      <c r="C36" s="2" t="n">
        <v>10</v>
      </c>
      <c r="D36" s="2" t="inlineStr">
        <is>
          <t>FAIL</t>
        </is>
      </c>
      <c r="E36" s="5">
        <f>IF(B36="I1",AVERAGEIF('QA_Images'!$A$2:$A$65,A36,'QA_Images'!$T$2:$T$65)/100,IF(D36="FULL",1,IF(D36="PARTIAL",0.5,IF(D36="FAIL",0,""))))</f>
        <v/>
      </c>
      <c r="F36" s="5">
        <f>IF(E36="",0,C36*E36)</f>
        <v/>
      </c>
      <c r="G36" s="5">
        <f>IF(B36="I1",20*AVERAGEIF('QA_Images'!$A$2:$A$65,A36,'QA_Images'!$U$2:$U$65)/100,IF(D36="NOT_CHECKED",0,C36))</f>
        <v/>
      </c>
      <c r="H36" s="2" t="inlineStr">
        <is>
          <t>Đối chiếu chất liệu, kích thước, thành phần đi kèm, biến thể và personalization với product.js live, body HTML và toàn bộ gallery.</t>
        </is>
      </c>
      <c r="I36" s="2" t="inlineStr">
        <is>
          <t>["evidence_batch_002_014", "https://jeminise.com/products/christian-bedding-set-inspirational-bible-verse-comforte-design-05", "serp_qa_014"]</t>
        </is>
      </c>
      <c r="J36" s="2" t="inlineStr">
        <is>
          <t>["ISS-014-IMG-02", "ISS-014-IMG-03", "ISS-014-IMG-04", "ISS-014-IMG-05", "ISS-014-IMG-06", "ISS-014-IMG-07", "R2-ISS-014-BODY", "ISS-014-ENC", "R2-ISS-014-PERS"]</t>
        </is>
      </c>
    </row>
    <row r="37" ht="42" customHeight="1">
      <c r="A37" s="3" t="inlineStr">
        <is>
          <t>jeminise.com+christian-bedding-set-inspirational-bible-verse-comforte-design-05</t>
        </is>
      </c>
      <c r="B37" s="3" t="inlineStr">
        <is>
          <t>K1</t>
        </is>
      </c>
      <c r="C37" s="3" t="n">
        <v>10</v>
      </c>
      <c r="D37" s="3" t="inlineStr">
        <is>
          <t>PARTIAL</t>
        </is>
      </c>
      <c r="E37" s="7">
        <f>IF(B37="I1",AVERAGEIF('QA_Images'!$A$2:$A$65,A37,'QA_Images'!$T$2:$T$65)/100,IF(D37="FULL",1,IF(D37="PARTIAL",0.5,IF(D37="FAIL",0,""))))</f>
        <v/>
      </c>
      <c r="F37" s="7">
        <f>IF(E37="",0,C37*E37)</f>
        <v/>
      </c>
      <c r="G37" s="7">
        <f>IF(B37="I1",20*AVERAGEIF('QA_Images'!$A$2:$A$65,A37,'QA_Images'!$U$2:$U$65)/100,IF(D37="NOT_CHECKED",0,C37))</f>
        <v/>
      </c>
      <c r="H37" s="3" t="inlineStr">
        <is>
          <t>Đối chiếu long-tail với thiết kế riêng, nhóm Christian/Christmas và mức độ trùng intent giữa các trang cùng cụm.</t>
        </is>
      </c>
      <c r="I37" s="3" t="inlineStr">
        <is>
          <t>["evidence_batch_002_014", "https://jeminise.com/products/christian-bedding-set-inspirational-bible-verse-comforte-design-05", "serp_qa_014"]</t>
        </is>
      </c>
      <c r="J37" s="3" t="inlineStr">
        <is>
          <t>["ISS-014-IMG-02", "ISS-014-IMG-03", "ISS-014-IMG-04", "ISS-014-IMG-05", "ISS-014-IMG-06", "ISS-014-IMG-07", "R2-ISS-014-BODY", "ISS-014-ENC", "R2-ISS-014-PERS"]</t>
        </is>
      </c>
    </row>
    <row r="38" ht="42" customHeight="1">
      <c r="A38" s="2" t="inlineStr">
        <is>
          <t>jeminise.com+christian-bedding-set-inspirational-bible-verse-comforte-design-05</t>
        </is>
      </c>
      <c r="B38" s="2" t="inlineStr">
        <is>
          <t>K2</t>
        </is>
      </c>
      <c r="C38" s="2" t="n">
        <v>5</v>
      </c>
      <c r="D38" s="2" t="inlineStr">
        <is>
          <t>PARTIAL</t>
        </is>
      </c>
      <c r="E38" s="5">
        <f>IF(B38="I1",AVERAGEIF('QA_Images'!$A$2:$A$65,A38,'QA_Images'!$T$2:$T$65)/100,IF(D38="FULL",1,IF(D38="PARTIAL",0.5,IF(D38="FAIL",0,""))))</f>
        <v/>
      </c>
      <c r="F38" s="5">
        <f>IF(E38="",0,C38*E38)</f>
        <v/>
      </c>
      <c r="G38" s="5">
        <f>IF(B38="I1",20*AVERAGEIF('QA_Images'!$A$2:$A$65,A38,'QA_Images'!$U$2:$U$65)/100,IF(D38="NOT_CHECKED",0,C38))</f>
        <v/>
      </c>
      <c r="H38" s="2" t="inlineStr">
        <is>
          <t>Đã đọc lại hai SERP query cho mỗi sản phẩm tại intent US; ghi URL thực đọc và không suy diễn volume.</t>
        </is>
      </c>
      <c r="I38" s="2" t="inlineStr">
        <is>
          <t>["evidence_batch_002_014", "https://jeminise.com/products/christian-bedding-set-inspirational-bible-verse-comforte-design-05", "serp_qa_014"]</t>
        </is>
      </c>
      <c r="J38" s="2" t="inlineStr">
        <is>
          <t>["ISS-014-IMG-02", "ISS-014-IMG-03", "ISS-014-IMG-04", "ISS-014-IMG-05", "ISS-014-IMG-06", "ISS-014-IMG-07", "R2-ISS-014-BODY", "ISS-014-ENC", "R2-ISS-014-PERS"]</t>
        </is>
      </c>
    </row>
    <row r="39" ht="42" customHeight="1">
      <c r="A39" s="3" t="inlineStr">
        <is>
          <t>jeminise.com+christian-bedding-set-inspirational-bible-verse-comforte-design-05</t>
        </is>
      </c>
      <c r="B39" s="3" t="inlineStr">
        <is>
          <t>K3</t>
        </is>
      </c>
      <c r="C39" s="3" t="n">
        <v>5</v>
      </c>
      <c r="D39" s="3" t="inlineStr">
        <is>
          <t>FULL</t>
        </is>
      </c>
      <c r="E39" s="7">
        <f>IF(B39="I1",AVERAGEIF('QA_Images'!$A$2:$A$65,A39,'QA_Images'!$T$2:$T$65)/100,IF(D39="FULL",1,IF(D39="PARTIAL",0.5,IF(D39="FAIL",0,""))))</f>
        <v/>
      </c>
      <c r="F39" s="7">
        <f>IF(E39="",0,C39*E39)</f>
        <v/>
      </c>
      <c r="G39" s="7">
        <f>IF(B39="I1",20*AVERAGEIF('QA_Images'!$A$2:$A$65,A39,'QA_Images'!$U$2:$U$65)/100,IF(D39="NOT_CHECKED",0,C39))</f>
        <v/>
      </c>
      <c r="H39" s="3" t="inlineStr">
        <is>
          <t>Không suy diễn volume; phân biệt SERP_ONLY và HYPOTHESIS_ONLY.</t>
        </is>
      </c>
      <c r="I39" s="3" t="inlineStr">
        <is>
          <t>["evidence_batch_002_014", "https://jeminise.com/products/christian-bedding-set-inspirational-bible-verse-comforte-design-05", "serp_qa_014"]</t>
        </is>
      </c>
      <c r="J39" s="3" t="inlineStr">
        <is>
          <t>["ISS-014-IMG-02", "ISS-014-IMG-03", "ISS-014-IMG-04", "ISS-014-IMG-05", "ISS-014-IMG-06", "ISS-014-IMG-07", "R2-ISS-014-BODY", "ISS-014-ENC", "R2-ISS-014-PERS"]</t>
        </is>
      </c>
    </row>
    <row r="40" ht="42" customHeight="1">
      <c r="A40" s="2" t="inlineStr">
        <is>
          <t>jeminise.com+christian-bedding-set-inspirational-bible-verse-comforte-design-05</t>
        </is>
      </c>
      <c r="B40" s="2" t="inlineStr">
        <is>
          <t>T1</t>
        </is>
      </c>
      <c r="C40" s="2" t="n">
        <v>10</v>
      </c>
      <c r="D40" s="2" t="inlineStr">
        <is>
          <t>FULL</t>
        </is>
      </c>
      <c r="E40" s="5">
        <f>IF(B40="I1",AVERAGEIF('QA_Images'!$A$2:$A$65,A40,'QA_Images'!$T$2:$T$65)/100,IF(D40="FULL",1,IF(D40="PARTIAL",0.5,IF(D40="FAIL",0,""))))</f>
        <v/>
      </c>
      <c r="F40" s="5">
        <f>IF(E40="",0,C40*E40)</f>
        <v/>
      </c>
      <c r="G40" s="5">
        <f>IF(B40="I1",20*AVERAGEIF('QA_Images'!$A$2:$A$65,A40,'QA_Images'!$U$2:$U$65)/100,IF(D40="NOT_CHECKED",0,C40))</f>
        <v/>
      </c>
      <c r="H40" s="2" t="inlineStr">
        <is>
          <t>Đánh giá SEO title English về độ đúng, tự nhiên, keyword và điểm phân biệt.</t>
        </is>
      </c>
      <c r="I40" s="2" t="inlineStr">
        <is>
          <t>["evidence_batch_002_014", "https://jeminise.com/products/christian-bedding-set-inspirational-bible-verse-comforte-design-05", "serp_qa_014"]</t>
        </is>
      </c>
      <c r="J40" s="2" t="inlineStr">
        <is>
          <t>["ISS-014-IMG-02", "ISS-014-IMG-03", "ISS-014-IMG-04", "ISS-014-IMG-05", "ISS-014-IMG-06", "ISS-014-IMG-07", "R2-ISS-014-BODY", "ISS-014-ENC", "R2-ISS-014-PERS"]</t>
        </is>
      </c>
    </row>
    <row r="41" ht="42" customHeight="1">
      <c r="A41" s="3" t="inlineStr">
        <is>
          <t>jeminise.com+christian-bedding-set-inspirational-bible-verse-comforte-design-05</t>
        </is>
      </c>
      <c r="B41" s="3" t="inlineStr">
        <is>
          <t>T2</t>
        </is>
      </c>
      <c r="C41" s="3" t="n">
        <v>5</v>
      </c>
      <c r="D41" s="3" t="inlineStr">
        <is>
          <t>FULL</t>
        </is>
      </c>
      <c r="E41" s="7">
        <f>IF(B41="I1",AVERAGEIF('QA_Images'!$A$2:$A$65,A41,'QA_Images'!$T$2:$T$65)/100,IF(D41="FULL",1,IF(D41="PARTIAL",0.5,IF(D41="FAIL",0,""))))</f>
        <v/>
      </c>
      <c r="F41" s="7">
        <f>IF(E41="",0,C41*E41)</f>
        <v/>
      </c>
      <c r="G41" s="7">
        <f>IF(B41="I1",20*AVERAGEIF('QA_Images'!$A$2:$A$65,A41,'QA_Images'!$U$2:$U$65)/100,IF(D41="NOT_CHECKED",0,C41))</f>
        <v/>
      </c>
      <c r="H41" s="3" t="inlineStr">
        <is>
          <t>Đánh giá H1 đề xuất độc lập với SEO title và đối chiếu lỗi ký tự nguồn.</t>
        </is>
      </c>
      <c r="I41" s="3" t="inlineStr">
        <is>
          <t>["evidence_batch_002_014", "https://jeminise.com/products/christian-bedding-set-inspirational-bible-verse-comforte-design-05", "serp_qa_014"]</t>
        </is>
      </c>
      <c r="J41" s="3" t="inlineStr">
        <is>
          <t>["ISS-014-IMG-02", "ISS-014-IMG-03", "ISS-014-IMG-04", "ISS-014-IMG-05", "ISS-014-IMG-06", "ISS-014-IMG-07", "R2-ISS-014-BODY", "ISS-014-ENC", "R2-ISS-014-PERS"]</t>
        </is>
      </c>
    </row>
    <row r="42" ht="42" customHeight="1">
      <c r="A42" s="2" t="inlineStr">
        <is>
          <t>jeminise.com+christian-bedding-set-inspirational-bible-verse-comforte-design-05</t>
        </is>
      </c>
      <c r="B42" s="2" t="inlineStr">
        <is>
          <t>D1</t>
        </is>
      </c>
      <c r="C42" s="2" t="n">
        <v>5</v>
      </c>
      <c r="D42" s="2" t="inlineStr">
        <is>
          <t>FAIL</t>
        </is>
      </c>
      <c r="E42" s="5">
        <f>IF(B42="I1",AVERAGEIF('QA_Images'!$A$2:$A$65,A42,'QA_Images'!$T$2:$T$65)/100,IF(D42="FULL",1,IF(D42="PARTIAL",0.5,IF(D42="FAIL",0,""))))</f>
        <v/>
      </c>
      <c r="F42" s="5">
        <f>IF(E42="",0,C42*E42)</f>
        <v/>
      </c>
      <c r="G42" s="5">
        <f>IF(B42="I1",20*AVERAGEIF('QA_Images'!$A$2:$A$65,A42,'QA_Images'!$U$2:$U$65)/100,IF(D42="NOT_CHECKED",0,C42))</f>
        <v/>
      </c>
      <c r="H42" s="2" t="inlineStr">
        <is>
          <t>Đánh giá meta description về tính cụ thể và căn cứ claim.</t>
        </is>
      </c>
      <c r="I42" s="2" t="inlineStr">
        <is>
          <t>["evidence_batch_002_014", "https://jeminise.com/products/christian-bedding-set-inspirational-bible-verse-comforte-design-05", "serp_qa_014"]</t>
        </is>
      </c>
      <c r="J42" s="2" t="inlineStr">
        <is>
          <t>["ISS-014-IMG-02", "ISS-014-IMG-03", "ISS-014-IMG-04", "ISS-014-IMG-05", "ISS-014-IMG-06", "ISS-014-IMG-07", "R2-ISS-014-BODY", "ISS-014-ENC", "R2-ISS-014-PERS"]</t>
        </is>
      </c>
    </row>
    <row r="43" ht="42" customHeight="1">
      <c r="A43" s="3" t="inlineStr">
        <is>
          <t>jeminise.com+christian-bedding-set-inspirational-bible-verse-comforte-design-05</t>
        </is>
      </c>
      <c r="B43" s="3" t="inlineStr">
        <is>
          <t>D2</t>
        </is>
      </c>
      <c r="C43" s="3" t="n">
        <v>10</v>
      </c>
      <c r="D43" s="3" t="inlineStr">
        <is>
          <t>FAIL</t>
        </is>
      </c>
      <c r="E43" s="7">
        <f>IF(B43="I1",AVERAGEIF('QA_Images'!$A$2:$A$65,A43,'QA_Images'!$T$2:$T$65)/100,IF(D43="FULL",1,IF(D43="PARTIAL",0.5,IF(D43="FAIL",0,""))))</f>
        <v/>
      </c>
      <c r="F43" s="7">
        <f>IF(E43="",0,C43*E43)</f>
        <v/>
      </c>
      <c r="G43" s="7">
        <f>IF(B43="I1",20*AVERAGEIF('QA_Images'!$A$2:$A$65,A43,'QA_Images'!$U$2:$U$65)/100,IF(D43="NOT_CHECKED",0,C43))</f>
        <v/>
      </c>
      <c r="H43" s="3" t="inlineStr">
        <is>
          <t>Description SET có HTML đầy đủ nhưng chứa câu nội bộ 'This draft should be reviewed...' và dữ liệu nguồn thô/mâu thuẫn; chưa phải nội dung publish-ready.</t>
        </is>
      </c>
      <c r="I43" s="3" t="inlineStr">
        <is>
          <t>["evidence_batch_002_014", "https://jeminise.com/products/christian-bedding-set-inspirational-bible-verse-comforte-design-05", "serp_qa_014"]</t>
        </is>
      </c>
      <c r="J43" s="3" t="inlineStr">
        <is>
          <t>["ISS-014-IMG-02", "ISS-014-IMG-03", "ISS-014-IMG-04", "ISS-014-IMG-05", "ISS-014-IMG-06", "ISS-014-IMG-07", "R2-ISS-014-BODY", "ISS-014-ENC", "R2-ISS-014-PERS"]</t>
        </is>
      </c>
    </row>
    <row r="44" ht="42" customHeight="1">
      <c r="A44" s="2" t="inlineStr">
        <is>
          <t>jeminise.com+christian-bedding-set-inspirational-bible-verse-comforte-design-05</t>
        </is>
      </c>
      <c r="B44" s="2" t="inlineStr">
        <is>
          <t>I1</t>
        </is>
      </c>
      <c r="C44" s="2" t="n">
        <v>20</v>
      </c>
      <c r="D44" s="2" t="inlineStr">
        <is>
          <t>DERIVED</t>
        </is>
      </c>
      <c r="E44" s="5">
        <f>IF(B44="I1",AVERAGEIF('QA_Images'!$A$2:$A$65,A44,'QA_Images'!$T$2:$T$65)/100,IF(D44="FULL",1,IF(D44="PARTIAL",0.5,IF(D44="FAIL",0,""))))</f>
        <v/>
      </c>
      <c r="F44" s="5">
        <f>IF(E44="",0,C44*E44)</f>
        <v/>
      </c>
      <c r="G44" s="5">
        <f>IF(B44="I1",20*AVERAGEIF('QA_Images'!$A$2:$A$65,A44,'QA_Images'!$U$2:$U$65)/100,IF(D44="NOT_CHECKED",0,C44))</f>
        <v/>
      </c>
      <c r="H44" s="2" t="inlineStr">
        <is>
          <t>Tính từ trung bình 7 ảnh: 62.8571/100.</t>
        </is>
      </c>
      <c r="I44" s="2" t="inlineStr">
        <is>
          <t>["evidence_batch_002_014", "https://jeminise.com/products/christian-bedding-set-inspirational-bible-verse-comforte-design-05", "serp_qa_014"]</t>
        </is>
      </c>
      <c r="J44" s="2" t="inlineStr">
        <is>
          <t>["ISS-014-IMG-02", "ISS-014-IMG-03", "ISS-014-IMG-04", "ISS-014-IMG-05", "ISS-014-IMG-06", "ISS-014-IMG-07", "R2-ISS-014-BODY", "ISS-014-ENC", "R2-ISS-014-PERS"]</t>
        </is>
      </c>
    </row>
    <row r="45" ht="42" customHeight="1">
      <c r="A45" s="3" t="inlineStr">
        <is>
          <t>jeminise.com+christian-bedding-set-inspirational-bible-verse-comforte-design-05</t>
        </is>
      </c>
      <c r="B45" s="3" t="inlineStr">
        <is>
          <t>E1</t>
        </is>
      </c>
      <c r="C45" s="3" t="n">
        <v>5</v>
      </c>
      <c r="D45" s="3" t="inlineStr">
        <is>
          <t>PARTIAL</t>
        </is>
      </c>
      <c r="E45" s="7">
        <f>IF(B45="I1",AVERAGEIF('QA_Images'!$A$2:$A$65,A45,'QA_Images'!$T$2:$T$65)/100,IF(D45="FULL",1,IF(D45="PARTIAL",0.5,IF(D45="FAIL",0,""))))</f>
        <v/>
      </c>
      <c r="F45" s="7">
        <f>IF(E45="",0,C45*E45)</f>
        <v/>
      </c>
      <c r="G45" s="7">
        <f>IF(B45="I1",20*AVERAGEIF('QA_Images'!$A$2:$A$65,A45,'QA_Images'!$U$2:$U$65)/100,IF(D45="NOT_CHECKED",0,C45))</f>
        <v/>
      </c>
      <c r="H45" s="3" t="inlineStr">
        <is>
          <t>Kiểm tra liên kết product key/handle/evidence/revision giữa workbook, snapshot và nguồn live.</t>
        </is>
      </c>
      <c r="I45" s="3" t="inlineStr">
        <is>
          <t>["evidence_batch_002_014", "https://jeminise.com/products/christian-bedding-set-inspirational-bible-verse-comforte-design-05", "serp_qa_014"]</t>
        </is>
      </c>
      <c r="J45" s="3" t="inlineStr">
        <is>
          <t>["ISS-014-IMG-02", "ISS-014-IMG-03", "ISS-014-IMG-04", "ISS-014-IMG-05", "ISS-014-IMG-06", "ISS-014-IMG-07", "R2-ISS-014-BODY", "ISS-014-ENC", "R2-ISS-014-PERS"]</t>
        </is>
      </c>
    </row>
    <row r="46" ht="42" customHeight="1">
      <c r="A46" s="2" t="inlineStr">
        <is>
          <t>jeminise.com+christian-bedding-set-inspirational-bible-verse-comforte-design-06</t>
        </is>
      </c>
      <c r="B46" s="2" t="inlineStr">
        <is>
          <t>P1</t>
        </is>
      </c>
      <c r="C46" s="2" t="n">
        <v>15</v>
      </c>
      <c r="D46" s="2" t="inlineStr">
        <is>
          <t>FULL</t>
        </is>
      </c>
      <c r="E46" s="5">
        <f>IF(B46="I1",AVERAGEIF('QA_Images'!$A$2:$A$65,A46,'QA_Images'!$T$2:$T$65)/100,IF(D46="FULL",1,IF(D46="PARTIAL",0.5,IF(D46="FAIL",0,""))))</f>
        <v/>
      </c>
      <c r="F46" s="5">
        <f>IF(E46="",0,C46*E46)</f>
        <v/>
      </c>
      <c r="G46" s="5">
        <f>IF(B46="I1",20*AVERAGEIF('QA_Images'!$A$2:$A$65,A46,'QA_Images'!$U$2:$U$65)/100,IF(D46="NOT_CHECKED",0,C46))</f>
        <v/>
      </c>
      <c r="H46" s="2" t="inlineStr">
        <is>
          <t>Đối chiếu loại sản phẩm, thiết kế và màu với product JSON, H1 live và toàn bộ gallery.</t>
        </is>
      </c>
      <c r="I46" s="2" t="inlineStr">
        <is>
          <t>["evidence_batch_002_015", "https://jeminise.com/products/christian-bedding-set-inspirational-bible-verse-comforte-design-06", "serp_qa_015"]</t>
        </is>
      </c>
      <c r="J46" s="2" t="inlineStr">
        <is>
          <t>["ISS-015-IMG-02", "ISS-015-IMG-03", "ISS-015-IMG-04", "ISS-015-IMG-05", "ISS-015-IMG-06", "ISS-015-IMG-07", "R2-ISS-015-BODY", "ISS-015-ENC", "R2-ISS-015-PERS"]</t>
        </is>
      </c>
    </row>
    <row r="47" ht="42" customHeight="1">
      <c r="A47" s="3" t="inlineStr">
        <is>
          <t>jeminise.com+christian-bedding-set-inspirational-bible-verse-comforte-design-06</t>
        </is>
      </c>
      <c r="B47" s="3" t="inlineStr">
        <is>
          <t>P2</t>
        </is>
      </c>
      <c r="C47" s="3" t="n">
        <v>10</v>
      </c>
      <c r="D47" s="3" t="inlineStr">
        <is>
          <t>FAIL</t>
        </is>
      </c>
      <c r="E47" s="7">
        <f>IF(B47="I1",AVERAGEIF('QA_Images'!$A$2:$A$65,A47,'QA_Images'!$T$2:$T$65)/100,IF(D47="FULL",1,IF(D47="PARTIAL",0.5,IF(D47="FAIL",0,""))))</f>
        <v/>
      </c>
      <c r="F47" s="7">
        <f>IF(E47="",0,C47*E47)</f>
        <v/>
      </c>
      <c r="G47" s="7">
        <f>IF(B47="I1",20*AVERAGEIF('QA_Images'!$A$2:$A$65,A47,'QA_Images'!$U$2:$U$65)/100,IF(D47="NOT_CHECKED",0,C47))</f>
        <v/>
      </c>
      <c r="H47" s="3" t="inlineStr">
        <is>
          <t>Đối chiếu chất liệu, kích thước, thành phần đi kèm, biến thể và personalization với product.js live, body HTML và toàn bộ gallery.</t>
        </is>
      </c>
      <c r="I47" s="3" t="inlineStr">
        <is>
          <t>["evidence_batch_002_015", "https://jeminise.com/products/christian-bedding-set-inspirational-bible-verse-comforte-design-06", "serp_qa_015"]</t>
        </is>
      </c>
      <c r="J47" s="3" t="inlineStr">
        <is>
          <t>["ISS-015-IMG-02", "ISS-015-IMG-03", "ISS-015-IMG-04", "ISS-015-IMG-05", "ISS-015-IMG-06", "ISS-015-IMG-07", "R2-ISS-015-BODY", "ISS-015-ENC", "R2-ISS-015-PERS"]</t>
        </is>
      </c>
    </row>
    <row r="48" ht="42" customHeight="1">
      <c r="A48" s="2" t="inlineStr">
        <is>
          <t>jeminise.com+christian-bedding-set-inspirational-bible-verse-comforte-design-06</t>
        </is>
      </c>
      <c r="B48" s="2" t="inlineStr">
        <is>
          <t>K1</t>
        </is>
      </c>
      <c r="C48" s="2" t="n">
        <v>10</v>
      </c>
      <c r="D48" s="2" t="inlineStr">
        <is>
          <t>PARTIAL</t>
        </is>
      </c>
      <c r="E48" s="5">
        <f>IF(B48="I1",AVERAGEIF('QA_Images'!$A$2:$A$65,A48,'QA_Images'!$T$2:$T$65)/100,IF(D48="FULL",1,IF(D48="PARTIAL",0.5,IF(D48="FAIL",0,""))))</f>
        <v/>
      </c>
      <c r="F48" s="5">
        <f>IF(E48="",0,C48*E48)</f>
        <v/>
      </c>
      <c r="G48" s="5">
        <f>IF(B48="I1",20*AVERAGEIF('QA_Images'!$A$2:$A$65,A48,'QA_Images'!$U$2:$U$65)/100,IF(D48="NOT_CHECKED",0,C48))</f>
        <v/>
      </c>
      <c r="H48" s="2" t="inlineStr">
        <is>
          <t>Đối chiếu long-tail với thiết kế riêng, nhóm Christian/Christmas và mức độ trùng intent giữa các trang cùng cụm.</t>
        </is>
      </c>
      <c r="I48" s="2" t="inlineStr">
        <is>
          <t>["evidence_batch_002_015", "https://jeminise.com/products/christian-bedding-set-inspirational-bible-verse-comforte-design-06", "serp_qa_015"]</t>
        </is>
      </c>
      <c r="J48" s="2" t="inlineStr">
        <is>
          <t>["ISS-015-IMG-02", "ISS-015-IMG-03", "ISS-015-IMG-04", "ISS-015-IMG-05", "ISS-015-IMG-06", "ISS-015-IMG-07", "R2-ISS-015-BODY", "ISS-015-ENC", "R2-ISS-015-PERS"]</t>
        </is>
      </c>
    </row>
    <row r="49" ht="42" customHeight="1">
      <c r="A49" s="3" t="inlineStr">
        <is>
          <t>jeminise.com+christian-bedding-set-inspirational-bible-verse-comforte-design-06</t>
        </is>
      </c>
      <c r="B49" s="3" t="inlineStr">
        <is>
          <t>K2</t>
        </is>
      </c>
      <c r="C49" s="3" t="n">
        <v>5</v>
      </c>
      <c r="D49" s="3" t="inlineStr">
        <is>
          <t>PARTIAL</t>
        </is>
      </c>
      <c r="E49" s="7">
        <f>IF(B49="I1",AVERAGEIF('QA_Images'!$A$2:$A$65,A49,'QA_Images'!$T$2:$T$65)/100,IF(D49="FULL",1,IF(D49="PARTIAL",0.5,IF(D49="FAIL",0,""))))</f>
        <v/>
      </c>
      <c r="F49" s="7">
        <f>IF(E49="",0,C49*E49)</f>
        <v/>
      </c>
      <c r="G49" s="7">
        <f>IF(B49="I1",20*AVERAGEIF('QA_Images'!$A$2:$A$65,A49,'QA_Images'!$U$2:$U$65)/100,IF(D49="NOT_CHECKED",0,C49))</f>
        <v/>
      </c>
      <c r="H49" s="3" t="inlineStr">
        <is>
          <t>Đã đọc lại hai SERP query cho mỗi sản phẩm tại intent US; ghi URL thực đọc và không suy diễn volume.</t>
        </is>
      </c>
      <c r="I49" s="3" t="inlineStr">
        <is>
          <t>["evidence_batch_002_015", "https://jeminise.com/products/christian-bedding-set-inspirational-bible-verse-comforte-design-06", "serp_qa_015"]</t>
        </is>
      </c>
      <c r="J49" s="3" t="inlineStr">
        <is>
          <t>["ISS-015-IMG-02", "ISS-015-IMG-03", "ISS-015-IMG-04", "ISS-015-IMG-05", "ISS-015-IMG-06", "ISS-015-IMG-07", "R2-ISS-015-BODY", "ISS-015-ENC", "R2-ISS-015-PERS"]</t>
        </is>
      </c>
    </row>
    <row r="50" ht="42" customHeight="1">
      <c r="A50" s="2" t="inlineStr">
        <is>
          <t>jeminise.com+christian-bedding-set-inspirational-bible-verse-comforte-design-06</t>
        </is>
      </c>
      <c r="B50" s="2" t="inlineStr">
        <is>
          <t>K3</t>
        </is>
      </c>
      <c r="C50" s="2" t="n">
        <v>5</v>
      </c>
      <c r="D50" s="2" t="inlineStr">
        <is>
          <t>FULL</t>
        </is>
      </c>
      <c r="E50" s="5">
        <f>IF(B50="I1",AVERAGEIF('QA_Images'!$A$2:$A$65,A50,'QA_Images'!$T$2:$T$65)/100,IF(D50="FULL",1,IF(D50="PARTIAL",0.5,IF(D50="FAIL",0,""))))</f>
        <v/>
      </c>
      <c r="F50" s="5">
        <f>IF(E50="",0,C50*E50)</f>
        <v/>
      </c>
      <c r="G50" s="5">
        <f>IF(B50="I1",20*AVERAGEIF('QA_Images'!$A$2:$A$65,A50,'QA_Images'!$U$2:$U$65)/100,IF(D50="NOT_CHECKED",0,C50))</f>
        <v/>
      </c>
      <c r="H50" s="2" t="inlineStr">
        <is>
          <t>Không suy diễn volume; phân biệt SERP_ONLY và HYPOTHESIS_ONLY.</t>
        </is>
      </c>
      <c r="I50" s="2" t="inlineStr">
        <is>
          <t>["evidence_batch_002_015", "https://jeminise.com/products/christian-bedding-set-inspirational-bible-verse-comforte-design-06", "serp_qa_015"]</t>
        </is>
      </c>
      <c r="J50" s="2" t="inlineStr">
        <is>
          <t>["ISS-015-IMG-02", "ISS-015-IMG-03", "ISS-015-IMG-04", "ISS-015-IMG-05", "ISS-015-IMG-06", "ISS-015-IMG-07", "R2-ISS-015-BODY", "ISS-015-ENC", "R2-ISS-015-PERS"]</t>
        </is>
      </c>
    </row>
    <row r="51" ht="42" customHeight="1">
      <c r="A51" s="3" t="inlineStr">
        <is>
          <t>jeminise.com+christian-bedding-set-inspirational-bible-verse-comforte-design-06</t>
        </is>
      </c>
      <c r="B51" s="3" t="inlineStr">
        <is>
          <t>T1</t>
        </is>
      </c>
      <c r="C51" s="3" t="n">
        <v>10</v>
      </c>
      <c r="D51" s="3" t="inlineStr">
        <is>
          <t>FAIL</t>
        </is>
      </c>
      <c r="E51" s="7">
        <f>IF(B51="I1",AVERAGEIF('QA_Images'!$A$2:$A$65,A51,'QA_Images'!$T$2:$T$65)/100,IF(D51="FULL",1,IF(D51="PARTIAL",0.5,IF(D51="FAIL",0,""))))</f>
        <v/>
      </c>
      <c r="F51" s="7">
        <f>IF(E51="",0,C51*E51)</f>
        <v/>
      </c>
      <c r="G51" s="7">
        <f>IF(B51="I1",20*AVERAGEIF('QA_Images'!$A$2:$A$65,A51,'QA_Images'!$U$2:$U$65)/100,IF(D51="NOT_CHECKED",0,C51))</f>
        <v/>
      </c>
      <c r="H51" s="3" t="inlineStr">
        <is>
          <t>Đánh giá SEO title English về độ đúng, tự nhiên, keyword và điểm phân biệt.</t>
        </is>
      </c>
      <c r="I51" s="3" t="inlineStr">
        <is>
          <t>["evidence_batch_002_015", "https://jeminise.com/products/christian-bedding-set-inspirational-bible-verse-comforte-design-06", "serp_qa_015"]</t>
        </is>
      </c>
      <c r="J51" s="3" t="inlineStr">
        <is>
          <t>["ISS-015-IMG-02", "ISS-015-IMG-03", "ISS-015-IMG-04", "ISS-015-IMG-05", "ISS-015-IMG-06", "ISS-015-IMG-07", "R2-ISS-015-BODY", "ISS-015-ENC", "R2-ISS-015-PERS"]</t>
        </is>
      </c>
    </row>
    <row r="52" ht="42" customHeight="1">
      <c r="A52" s="2" t="inlineStr">
        <is>
          <t>jeminise.com+christian-bedding-set-inspirational-bible-verse-comforte-design-06</t>
        </is>
      </c>
      <c r="B52" s="2" t="inlineStr">
        <is>
          <t>T2</t>
        </is>
      </c>
      <c r="C52" s="2" t="n">
        <v>5</v>
      </c>
      <c r="D52" s="2" t="inlineStr">
        <is>
          <t>PARTIAL</t>
        </is>
      </c>
      <c r="E52" s="5">
        <f>IF(B52="I1",AVERAGEIF('QA_Images'!$A$2:$A$65,A52,'QA_Images'!$T$2:$T$65)/100,IF(D52="FULL",1,IF(D52="PARTIAL",0.5,IF(D52="FAIL",0,""))))</f>
        <v/>
      </c>
      <c r="F52" s="5">
        <f>IF(E52="",0,C52*E52)</f>
        <v/>
      </c>
      <c r="G52" s="5">
        <f>IF(B52="I1",20*AVERAGEIF('QA_Images'!$A$2:$A$65,A52,'QA_Images'!$U$2:$U$65)/100,IF(D52="NOT_CHECKED",0,C52))</f>
        <v/>
      </c>
      <c r="H52" s="2" t="inlineStr">
        <is>
          <t>Đánh giá H1 đề xuất độc lập với SEO title và đối chiếu lỗi ký tự nguồn.</t>
        </is>
      </c>
      <c r="I52" s="2" t="inlineStr">
        <is>
          <t>["evidence_batch_002_015", "https://jeminise.com/products/christian-bedding-set-inspirational-bible-verse-comforte-design-06", "serp_qa_015"]</t>
        </is>
      </c>
      <c r="J52" s="2" t="inlineStr">
        <is>
          <t>["ISS-015-IMG-02", "ISS-015-IMG-03", "ISS-015-IMG-04", "ISS-015-IMG-05", "ISS-015-IMG-06", "ISS-015-IMG-07", "R2-ISS-015-BODY", "ISS-015-ENC", "R2-ISS-015-PERS"]</t>
        </is>
      </c>
    </row>
    <row r="53" ht="42" customHeight="1">
      <c r="A53" s="3" t="inlineStr">
        <is>
          <t>jeminise.com+christian-bedding-set-inspirational-bible-verse-comforte-design-06</t>
        </is>
      </c>
      <c r="B53" s="3" t="inlineStr">
        <is>
          <t>D1</t>
        </is>
      </c>
      <c r="C53" s="3" t="n">
        <v>5</v>
      </c>
      <c r="D53" s="3" t="inlineStr">
        <is>
          <t>FAIL</t>
        </is>
      </c>
      <c r="E53" s="7">
        <f>IF(B53="I1",AVERAGEIF('QA_Images'!$A$2:$A$65,A53,'QA_Images'!$T$2:$T$65)/100,IF(D53="FULL",1,IF(D53="PARTIAL",0.5,IF(D53="FAIL",0,""))))</f>
        <v/>
      </c>
      <c r="F53" s="7">
        <f>IF(E53="",0,C53*E53)</f>
        <v/>
      </c>
      <c r="G53" s="7">
        <f>IF(B53="I1",20*AVERAGEIF('QA_Images'!$A$2:$A$65,A53,'QA_Images'!$U$2:$U$65)/100,IF(D53="NOT_CHECKED",0,C53))</f>
        <v/>
      </c>
      <c r="H53" s="3" t="inlineStr">
        <is>
          <t>Đánh giá meta description về tính cụ thể và căn cứ claim.</t>
        </is>
      </c>
      <c r="I53" s="3" t="inlineStr">
        <is>
          <t>["evidence_batch_002_015", "https://jeminise.com/products/christian-bedding-set-inspirational-bible-verse-comforte-design-06", "serp_qa_015"]</t>
        </is>
      </c>
      <c r="J53" s="3" t="inlineStr">
        <is>
          <t>["ISS-015-IMG-02", "ISS-015-IMG-03", "ISS-015-IMG-04", "ISS-015-IMG-05", "ISS-015-IMG-06", "ISS-015-IMG-07", "R2-ISS-015-BODY", "ISS-015-ENC", "R2-ISS-015-PERS"]</t>
        </is>
      </c>
    </row>
    <row r="54" ht="42" customHeight="1">
      <c r="A54" s="2" t="inlineStr">
        <is>
          <t>jeminise.com+christian-bedding-set-inspirational-bible-verse-comforte-design-06</t>
        </is>
      </c>
      <c r="B54" s="2" t="inlineStr">
        <is>
          <t>D2</t>
        </is>
      </c>
      <c r="C54" s="2" t="n">
        <v>10</v>
      </c>
      <c r="D54" s="2" t="inlineStr">
        <is>
          <t>FAIL</t>
        </is>
      </c>
      <c r="E54" s="5">
        <f>IF(B54="I1",AVERAGEIF('QA_Images'!$A$2:$A$65,A54,'QA_Images'!$T$2:$T$65)/100,IF(D54="FULL",1,IF(D54="PARTIAL",0.5,IF(D54="FAIL",0,""))))</f>
        <v/>
      </c>
      <c r="F54" s="5">
        <f>IF(E54="",0,C54*E54)</f>
        <v/>
      </c>
      <c r="G54" s="5">
        <f>IF(B54="I1",20*AVERAGEIF('QA_Images'!$A$2:$A$65,A54,'QA_Images'!$U$2:$U$65)/100,IF(D54="NOT_CHECKED",0,C54))</f>
        <v/>
      </c>
      <c r="H54" s="2" t="inlineStr">
        <is>
          <t>Description SET có HTML đầy đủ nhưng chứa câu nội bộ 'This draft should be reviewed...' và dữ liệu nguồn thô/mâu thuẫn; chưa phải nội dung publish-ready.</t>
        </is>
      </c>
      <c r="I54" s="2" t="inlineStr">
        <is>
          <t>["evidence_batch_002_015", "https://jeminise.com/products/christian-bedding-set-inspirational-bible-verse-comforte-design-06", "serp_qa_015"]</t>
        </is>
      </c>
      <c r="J54" s="2" t="inlineStr">
        <is>
          <t>["ISS-015-IMG-02", "ISS-015-IMG-03", "ISS-015-IMG-04", "ISS-015-IMG-05", "ISS-015-IMG-06", "ISS-015-IMG-07", "R2-ISS-015-BODY", "ISS-015-ENC", "R2-ISS-015-PERS"]</t>
        </is>
      </c>
    </row>
    <row r="55" ht="42" customHeight="1">
      <c r="A55" s="3" t="inlineStr">
        <is>
          <t>jeminise.com+christian-bedding-set-inspirational-bible-verse-comforte-design-06</t>
        </is>
      </c>
      <c r="B55" s="3" t="inlineStr">
        <is>
          <t>I1</t>
        </is>
      </c>
      <c r="C55" s="3" t="n">
        <v>20</v>
      </c>
      <c r="D55" s="3" t="inlineStr">
        <is>
          <t>DERIVED</t>
        </is>
      </c>
      <c r="E55" s="7">
        <f>IF(B55="I1",AVERAGEIF('QA_Images'!$A$2:$A$65,A55,'QA_Images'!$T$2:$T$65)/100,IF(D55="FULL",1,IF(D55="PARTIAL",0.5,IF(D55="FAIL",0,""))))</f>
        <v/>
      </c>
      <c r="F55" s="7">
        <f>IF(E55="",0,C55*E55)</f>
        <v/>
      </c>
      <c r="G55" s="7">
        <f>IF(B55="I1",20*AVERAGEIF('QA_Images'!$A$2:$A$65,A55,'QA_Images'!$U$2:$U$65)/100,IF(D55="NOT_CHECKED",0,C55))</f>
        <v/>
      </c>
      <c r="H55" s="3" t="inlineStr">
        <is>
          <t>Tính từ trung bình 7 ảnh: 62.8571/100.</t>
        </is>
      </c>
      <c r="I55" s="3" t="inlineStr">
        <is>
          <t>["evidence_batch_002_015", "https://jeminise.com/products/christian-bedding-set-inspirational-bible-verse-comforte-design-06", "serp_qa_015"]</t>
        </is>
      </c>
      <c r="J55" s="3" t="inlineStr">
        <is>
          <t>["ISS-015-IMG-02", "ISS-015-IMG-03", "ISS-015-IMG-04", "ISS-015-IMG-05", "ISS-015-IMG-06", "ISS-015-IMG-07", "R2-ISS-015-BODY", "ISS-015-ENC", "R2-ISS-015-PERS"]</t>
        </is>
      </c>
    </row>
    <row r="56" ht="42" customHeight="1">
      <c r="A56" s="2" t="inlineStr">
        <is>
          <t>jeminise.com+christian-bedding-set-inspirational-bible-verse-comforte-design-06</t>
        </is>
      </c>
      <c r="B56" s="2" t="inlineStr">
        <is>
          <t>E1</t>
        </is>
      </c>
      <c r="C56" s="2" t="n">
        <v>5</v>
      </c>
      <c r="D56" s="2" t="inlineStr">
        <is>
          <t>PARTIAL</t>
        </is>
      </c>
      <c r="E56" s="5">
        <f>IF(B56="I1",AVERAGEIF('QA_Images'!$A$2:$A$65,A56,'QA_Images'!$T$2:$T$65)/100,IF(D56="FULL",1,IF(D56="PARTIAL",0.5,IF(D56="FAIL",0,""))))</f>
        <v/>
      </c>
      <c r="F56" s="5">
        <f>IF(E56="",0,C56*E56)</f>
        <v/>
      </c>
      <c r="G56" s="5">
        <f>IF(B56="I1",20*AVERAGEIF('QA_Images'!$A$2:$A$65,A56,'QA_Images'!$U$2:$U$65)/100,IF(D56="NOT_CHECKED",0,C56))</f>
        <v/>
      </c>
      <c r="H56" s="2" t="inlineStr">
        <is>
          <t>Kiểm tra liên kết product key/handle/evidence/revision giữa workbook, snapshot và nguồn live.</t>
        </is>
      </c>
      <c r="I56" s="2" t="inlineStr">
        <is>
          <t>["evidence_batch_002_015", "https://jeminise.com/products/christian-bedding-set-inspirational-bible-verse-comforte-design-06", "serp_qa_015"]</t>
        </is>
      </c>
      <c r="J56" s="2" t="inlineStr">
        <is>
          <t>["ISS-015-IMG-02", "ISS-015-IMG-03", "ISS-015-IMG-04", "ISS-015-IMG-05", "ISS-015-IMG-06", "ISS-015-IMG-07", "R2-ISS-015-BODY", "ISS-015-ENC", "R2-ISS-015-PERS"]</t>
        </is>
      </c>
    </row>
    <row r="57" ht="42" customHeight="1">
      <c r="A57" s="3" t="inlineStr">
        <is>
          <t>jeminise.com+christian-bedding-set-inspirational-bible-verse-comforter</t>
        </is>
      </c>
      <c r="B57" s="3" t="inlineStr">
        <is>
          <t>P1</t>
        </is>
      </c>
      <c r="C57" s="3" t="n">
        <v>15</v>
      </c>
      <c r="D57" s="3" t="inlineStr">
        <is>
          <t>FULL</t>
        </is>
      </c>
      <c r="E57" s="7">
        <f>IF(B57="I1",AVERAGEIF('QA_Images'!$A$2:$A$65,A57,'QA_Images'!$T$2:$T$65)/100,IF(D57="FULL",1,IF(D57="PARTIAL",0.5,IF(D57="FAIL",0,""))))</f>
        <v/>
      </c>
      <c r="F57" s="7">
        <f>IF(E57="",0,C57*E57)</f>
        <v/>
      </c>
      <c r="G57" s="7">
        <f>IF(B57="I1",20*AVERAGEIF('QA_Images'!$A$2:$A$65,A57,'QA_Images'!$U$2:$U$65)/100,IF(D57="NOT_CHECKED",0,C57))</f>
        <v/>
      </c>
      <c r="H57" s="3" t="inlineStr">
        <is>
          <t>Đối chiếu loại sản phẩm, thiết kế và màu với product JSON, H1 live và toàn bộ gallery.</t>
        </is>
      </c>
      <c r="I57" s="3" t="inlineStr">
        <is>
          <t>["evidence_batch_002_016", "https://jeminise.com/products/christian-bedding-set-inspirational-bible-verse-comforter", "serp_qa_016"]</t>
        </is>
      </c>
      <c r="J57" s="3" t="inlineStr">
        <is>
          <t>["ISS-016-IMG-02", "ISS-016-IMG-03", "ISS-016-IMG-04", "ISS-016-IMG-05", "ISS-016-IMG-07", "ISS-016-IMG-08", "R2-ISS-016-BODY", "ISS-016-ENC", "R2-ISS-016-PERS"]</t>
        </is>
      </c>
    </row>
    <row r="58" ht="42" customHeight="1">
      <c r="A58" s="2" t="inlineStr">
        <is>
          <t>jeminise.com+christian-bedding-set-inspirational-bible-verse-comforter</t>
        </is>
      </c>
      <c r="B58" s="2" t="inlineStr">
        <is>
          <t>P2</t>
        </is>
      </c>
      <c r="C58" s="2" t="n">
        <v>10</v>
      </c>
      <c r="D58" s="2" t="inlineStr">
        <is>
          <t>FAIL</t>
        </is>
      </c>
      <c r="E58" s="5">
        <f>IF(B58="I1",AVERAGEIF('QA_Images'!$A$2:$A$65,A58,'QA_Images'!$T$2:$T$65)/100,IF(D58="FULL",1,IF(D58="PARTIAL",0.5,IF(D58="FAIL",0,""))))</f>
        <v/>
      </c>
      <c r="F58" s="5">
        <f>IF(E58="",0,C58*E58)</f>
        <v/>
      </c>
      <c r="G58" s="5">
        <f>IF(B58="I1",20*AVERAGEIF('QA_Images'!$A$2:$A$65,A58,'QA_Images'!$U$2:$U$65)/100,IF(D58="NOT_CHECKED",0,C58))</f>
        <v/>
      </c>
      <c r="H58" s="2" t="inlineStr">
        <is>
          <t>Đối chiếu chất liệu, kích thước, thành phần đi kèm, biến thể và personalization với product.js live, body HTML và toàn bộ gallery.</t>
        </is>
      </c>
      <c r="I58" s="2" t="inlineStr">
        <is>
          <t>["evidence_batch_002_016", "https://jeminise.com/products/christian-bedding-set-inspirational-bible-verse-comforter", "serp_qa_016"]</t>
        </is>
      </c>
      <c r="J58" s="2" t="inlineStr">
        <is>
          <t>["ISS-016-IMG-02", "ISS-016-IMG-03", "ISS-016-IMG-04", "ISS-016-IMG-05", "ISS-016-IMG-07", "ISS-016-IMG-08", "R2-ISS-016-BODY", "ISS-016-ENC", "R2-ISS-016-PERS"]</t>
        </is>
      </c>
    </row>
    <row r="59" ht="42" customHeight="1">
      <c r="A59" s="3" t="inlineStr">
        <is>
          <t>jeminise.com+christian-bedding-set-inspirational-bible-verse-comforter</t>
        </is>
      </c>
      <c r="B59" s="3" t="inlineStr">
        <is>
          <t>K1</t>
        </is>
      </c>
      <c r="C59" s="3" t="n">
        <v>10</v>
      </c>
      <c r="D59" s="3" t="inlineStr">
        <is>
          <t>PARTIAL</t>
        </is>
      </c>
      <c r="E59" s="7">
        <f>IF(B59="I1",AVERAGEIF('QA_Images'!$A$2:$A$65,A59,'QA_Images'!$T$2:$T$65)/100,IF(D59="FULL",1,IF(D59="PARTIAL",0.5,IF(D59="FAIL",0,""))))</f>
        <v/>
      </c>
      <c r="F59" s="7">
        <f>IF(E59="",0,C59*E59)</f>
        <v/>
      </c>
      <c r="G59" s="7">
        <f>IF(B59="I1",20*AVERAGEIF('QA_Images'!$A$2:$A$65,A59,'QA_Images'!$U$2:$U$65)/100,IF(D59="NOT_CHECKED",0,C59))</f>
        <v/>
      </c>
      <c r="H59" s="3" t="inlineStr">
        <is>
          <t>Đối chiếu long-tail với thiết kế riêng, nhóm Christian/Christmas và mức độ trùng intent giữa các trang cùng cụm.</t>
        </is>
      </c>
      <c r="I59" s="3" t="inlineStr">
        <is>
          <t>["evidence_batch_002_016", "https://jeminise.com/products/christian-bedding-set-inspirational-bible-verse-comforter", "serp_qa_016"]</t>
        </is>
      </c>
      <c r="J59" s="3" t="inlineStr">
        <is>
          <t>["ISS-016-IMG-02", "ISS-016-IMG-03", "ISS-016-IMG-04", "ISS-016-IMG-05", "ISS-016-IMG-07", "ISS-016-IMG-08", "R2-ISS-016-BODY", "ISS-016-ENC", "R2-ISS-016-PERS"]</t>
        </is>
      </c>
    </row>
    <row r="60" ht="42" customHeight="1">
      <c r="A60" s="2" t="inlineStr">
        <is>
          <t>jeminise.com+christian-bedding-set-inspirational-bible-verse-comforter</t>
        </is>
      </c>
      <c r="B60" s="2" t="inlineStr">
        <is>
          <t>K2</t>
        </is>
      </c>
      <c r="C60" s="2" t="n">
        <v>5</v>
      </c>
      <c r="D60" s="2" t="inlineStr">
        <is>
          <t>PARTIAL</t>
        </is>
      </c>
      <c r="E60" s="5">
        <f>IF(B60="I1",AVERAGEIF('QA_Images'!$A$2:$A$65,A60,'QA_Images'!$T$2:$T$65)/100,IF(D60="FULL",1,IF(D60="PARTIAL",0.5,IF(D60="FAIL",0,""))))</f>
        <v/>
      </c>
      <c r="F60" s="5">
        <f>IF(E60="",0,C60*E60)</f>
        <v/>
      </c>
      <c r="G60" s="5">
        <f>IF(B60="I1",20*AVERAGEIF('QA_Images'!$A$2:$A$65,A60,'QA_Images'!$U$2:$U$65)/100,IF(D60="NOT_CHECKED",0,C60))</f>
        <v/>
      </c>
      <c r="H60" s="2" t="inlineStr">
        <is>
          <t>Đã đọc lại hai SERP query cho mỗi sản phẩm tại intent US; ghi URL thực đọc và không suy diễn volume.</t>
        </is>
      </c>
      <c r="I60" s="2" t="inlineStr">
        <is>
          <t>["evidence_batch_002_016", "https://jeminise.com/products/christian-bedding-set-inspirational-bible-verse-comforter", "serp_qa_016"]</t>
        </is>
      </c>
      <c r="J60" s="2" t="inlineStr">
        <is>
          <t>["ISS-016-IMG-02", "ISS-016-IMG-03", "ISS-016-IMG-04", "ISS-016-IMG-05", "ISS-016-IMG-07", "ISS-016-IMG-08", "R2-ISS-016-BODY", "ISS-016-ENC", "R2-ISS-016-PERS"]</t>
        </is>
      </c>
    </row>
    <row r="61" ht="42" customHeight="1">
      <c r="A61" s="3" t="inlineStr">
        <is>
          <t>jeminise.com+christian-bedding-set-inspirational-bible-verse-comforter</t>
        </is>
      </c>
      <c r="B61" s="3" t="inlineStr">
        <is>
          <t>K3</t>
        </is>
      </c>
      <c r="C61" s="3" t="n">
        <v>5</v>
      </c>
      <c r="D61" s="3" t="inlineStr">
        <is>
          <t>FULL</t>
        </is>
      </c>
      <c r="E61" s="7">
        <f>IF(B61="I1",AVERAGEIF('QA_Images'!$A$2:$A$65,A61,'QA_Images'!$T$2:$T$65)/100,IF(D61="FULL",1,IF(D61="PARTIAL",0.5,IF(D61="FAIL",0,""))))</f>
        <v/>
      </c>
      <c r="F61" s="7">
        <f>IF(E61="",0,C61*E61)</f>
        <v/>
      </c>
      <c r="G61" s="7">
        <f>IF(B61="I1",20*AVERAGEIF('QA_Images'!$A$2:$A$65,A61,'QA_Images'!$U$2:$U$65)/100,IF(D61="NOT_CHECKED",0,C61))</f>
        <v/>
      </c>
      <c r="H61" s="3" t="inlineStr">
        <is>
          <t>Không suy diễn volume; phân biệt SERP_ONLY và HYPOTHESIS_ONLY.</t>
        </is>
      </c>
      <c r="I61" s="3" t="inlineStr">
        <is>
          <t>["evidence_batch_002_016", "https://jeminise.com/products/christian-bedding-set-inspirational-bible-verse-comforter", "serp_qa_016"]</t>
        </is>
      </c>
      <c r="J61" s="3" t="inlineStr">
        <is>
          <t>["ISS-016-IMG-02", "ISS-016-IMG-03", "ISS-016-IMG-04", "ISS-016-IMG-05", "ISS-016-IMG-07", "ISS-016-IMG-08", "R2-ISS-016-BODY", "ISS-016-ENC", "R2-ISS-016-PERS"]</t>
        </is>
      </c>
    </row>
    <row r="62" ht="42" customHeight="1">
      <c r="A62" s="2" t="inlineStr">
        <is>
          <t>jeminise.com+christian-bedding-set-inspirational-bible-verse-comforter</t>
        </is>
      </c>
      <c r="B62" s="2" t="inlineStr">
        <is>
          <t>T1</t>
        </is>
      </c>
      <c r="C62" s="2" t="n">
        <v>10</v>
      </c>
      <c r="D62" s="2" t="inlineStr">
        <is>
          <t>FAIL</t>
        </is>
      </c>
      <c r="E62" s="5">
        <f>IF(B62="I1",AVERAGEIF('QA_Images'!$A$2:$A$65,A62,'QA_Images'!$T$2:$T$65)/100,IF(D62="FULL",1,IF(D62="PARTIAL",0.5,IF(D62="FAIL",0,""))))</f>
        <v/>
      </c>
      <c r="F62" s="5">
        <f>IF(E62="",0,C62*E62)</f>
        <v/>
      </c>
      <c r="G62" s="5">
        <f>IF(B62="I1",20*AVERAGEIF('QA_Images'!$A$2:$A$65,A62,'QA_Images'!$U$2:$U$65)/100,IF(D62="NOT_CHECKED",0,C62))</f>
        <v/>
      </c>
      <c r="H62" s="2" t="inlineStr">
        <is>
          <t>Đánh giá SEO title English về độ đúng, tự nhiên, keyword và điểm phân biệt.</t>
        </is>
      </c>
      <c r="I62" s="2" t="inlineStr">
        <is>
          <t>["evidence_batch_002_016", "https://jeminise.com/products/christian-bedding-set-inspirational-bible-verse-comforter", "serp_qa_016"]</t>
        </is>
      </c>
      <c r="J62" s="2" t="inlineStr">
        <is>
          <t>["ISS-016-IMG-02", "ISS-016-IMG-03", "ISS-016-IMG-04", "ISS-016-IMG-05", "ISS-016-IMG-07", "ISS-016-IMG-08", "R2-ISS-016-BODY", "ISS-016-ENC", "R2-ISS-016-PERS"]</t>
        </is>
      </c>
    </row>
    <row r="63" ht="42" customHeight="1">
      <c r="A63" s="3" t="inlineStr">
        <is>
          <t>jeminise.com+christian-bedding-set-inspirational-bible-verse-comforter</t>
        </is>
      </c>
      <c r="B63" s="3" t="inlineStr">
        <is>
          <t>T2</t>
        </is>
      </c>
      <c r="C63" s="3" t="n">
        <v>5</v>
      </c>
      <c r="D63" s="3" t="inlineStr">
        <is>
          <t>PARTIAL</t>
        </is>
      </c>
      <c r="E63" s="7">
        <f>IF(B63="I1",AVERAGEIF('QA_Images'!$A$2:$A$65,A63,'QA_Images'!$T$2:$T$65)/100,IF(D63="FULL",1,IF(D63="PARTIAL",0.5,IF(D63="FAIL",0,""))))</f>
        <v/>
      </c>
      <c r="F63" s="7">
        <f>IF(E63="",0,C63*E63)</f>
        <v/>
      </c>
      <c r="G63" s="7">
        <f>IF(B63="I1",20*AVERAGEIF('QA_Images'!$A$2:$A$65,A63,'QA_Images'!$U$2:$U$65)/100,IF(D63="NOT_CHECKED",0,C63))</f>
        <v/>
      </c>
      <c r="H63" s="3" t="inlineStr">
        <is>
          <t>Đánh giá H1 đề xuất độc lập với SEO title và đối chiếu lỗi ký tự nguồn.</t>
        </is>
      </c>
      <c r="I63" s="3" t="inlineStr">
        <is>
          <t>["evidence_batch_002_016", "https://jeminise.com/products/christian-bedding-set-inspirational-bible-verse-comforter", "serp_qa_016"]</t>
        </is>
      </c>
      <c r="J63" s="3" t="inlineStr">
        <is>
          <t>["ISS-016-IMG-02", "ISS-016-IMG-03", "ISS-016-IMG-04", "ISS-016-IMG-05", "ISS-016-IMG-07", "ISS-016-IMG-08", "R2-ISS-016-BODY", "ISS-016-ENC", "R2-ISS-016-PERS"]</t>
        </is>
      </c>
    </row>
    <row r="64" ht="42" customHeight="1">
      <c r="A64" s="2" t="inlineStr">
        <is>
          <t>jeminise.com+christian-bedding-set-inspirational-bible-verse-comforter</t>
        </is>
      </c>
      <c r="B64" s="2" t="inlineStr">
        <is>
          <t>D1</t>
        </is>
      </c>
      <c r="C64" s="2" t="n">
        <v>5</v>
      </c>
      <c r="D64" s="2" t="inlineStr">
        <is>
          <t>FAIL</t>
        </is>
      </c>
      <c r="E64" s="5">
        <f>IF(B64="I1",AVERAGEIF('QA_Images'!$A$2:$A$65,A64,'QA_Images'!$T$2:$T$65)/100,IF(D64="FULL",1,IF(D64="PARTIAL",0.5,IF(D64="FAIL",0,""))))</f>
        <v/>
      </c>
      <c r="F64" s="5">
        <f>IF(E64="",0,C64*E64)</f>
        <v/>
      </c>
      <c r="G64" s="5">
        <f>IF(B64="I1",20*AVERAGEIF('QA_Images'!$A$2:$A$65,A64,'QA_Images'!$U$2:$U$65)/100,IF(D64="NOT_CHECKED",0,C64))</f>
        <v/>
      </c>
      <c r="H64" s="2" t="inlineStr">
        <is>
          <t>Đánh giá meta description về tính cụ thể và căn cứ claim.</t>
        </is>
      </c>
      <c r="I64" s="2" t="inlineStr">
        <is>
          <t>["evidence_batch_002_016", "https://jeminise.com/products/christian-bedding-set-inspirational-bible-verse-comforter", "serp_qa_016"]</t>
        </is>
      </c>
      <c r="J64" s="2" t="inlineStr">
        <is>
          <t>["ISS-016-IMG-02", "ISS-016-IMG-03", "ISS-016-IMG-04", "ISS-016-IMG-05", "ISS-016-IMG-07", "ISS-016-IMG-08", "R2-ISS-016-BODY", "ISS-016-ENC", "R2-ISS-016-PERS"]</t>
        </is>
      </c>
    </row>
    <row r="65" ht="42" customHeight="1">
      <c r="A65" s="3" t="inlineStr">
        <is>
          <t>jeminise.com+christian-bedding-set-inspirational-bible-verse-comforter</t>
        </is>
      </c>
      <c r="B65" s="3" t="inlineStr">
        <is>
          <t>D2</t>
        </is>
      </c>
      <c r="C65" s="3" t="n">
        <v>10</v>
      </c>
      <c r="D65" s="3" t="inlineStr">
        <is>
          <t>FAIL</t>
        </is>
      </c>
      <c r="E65" s="7">
        <f>IF(B65="I1",AVERAGEIF('QA_Images'!$A$2:$A$65,A65,'QA_Images'!$T$2:$T$65)/100,IF(D65="FULL",1,IF(D65="PARTIAL",0.5,IF(D65="FAIL",0,""))))</f>
        <v/>
      </c>
      <c r="F65" s="7">
        <f>IF(E65="",0,C65*E65)</f>
        <v/>
      </c>
      <c r="G65" s="7">
        <f>IF(B65="I1",20*AVERAGEIF('QA_Images'!$A$2:$A$65,A65,'QA_Images'!$U$2:$U$65)/100,IF(D65="NOT_CHECKED",0,C65))</f>
        <v/>
      </c>
      <c r="H65" s="3" t="inlineStr">
        <is>
          <t>Description SET có HTML đầy đủ nhưng chứa câu nội bộ 'This draft should be reviewed...' và dữ liệu nguồn thô/mâu thuẫn; chưa phải nội dung publish-ready.</t>
        </is>
      </c>
      <c r="I65" s="3" t="inlineStr">
        <is>
          <t>["evidence_batch_002_016", "https://jeminise.com/products/christian-bedding-set-inspirational-bible-verse-comforter", "serp_qa_016"]</t>
        </is>
      </c>
      <c r="J65" s="3" t="inlineStr">
        <is>
          <t>["ISS-016-IMG-02", "ISS-016-IMG-03", "ISS-016-IMG-04", "ISS-016-IMG-05", "ISS-016-IMG-07", "ISS-016-IMG-08", "R2-ISS-016-BODY", "ISS-016-ENC", "R2-ISS-016-PERS"]</t>
        </is>
      </c>
    </row>
    <row r="66" ht="42" customHeight="1">
      <c r="A66" s="2" t="inlineStr">
        <is>
          <t>jeminise.com+christian-bedding-set-inspirational-bible-verse-comforter</t>
        </is>
      </c>
      <c r="B66" s="2" t="inlineStr">
        <is>
          <t>I1</t>
        </is>
      </c>
      <c r="C66" s="2" t="n">
        <v>20</v>
      </c>
      <c r="D66" s="2" t="inlineStr">
        <is>
          <t>DERIVED</t>
        </is>
      </c>
      <c r="E66" s="5">
        <f>IF(B66="I1",AVERAGEIF('QA_Images'!$A$2:$A$65,A66,'QA_Images'!$T$2:$T$65)/100,IF(D66="FULL",1,IF(D66="PARTIAL",0.5,IF(D66="FAIL",0,""))))</f>
        <v/>
      </c>
      <c r="F66" s="5">
        <f>IF(E66="",0,C66*E66)</f>
        <v/>
      </c>
      <c r="G66" s="5">
        <f>IF(B66="I1",20*AVERAGEIF('QA_Images'!$A$2:$A$65,A66,'QA_Images'!$U$2:$U$65)/100,IF(D66="NOT_CHECKED",0,C66))</f>
        <v/>
      </c>
      <c r="H66" s="2" t="inlineStr">
        <is>
          <t>Tính từ trung bình 8 ảnh: 70.6250/100.</t>
        </is>
      </c>
      <c r="I66" s="2" t="inlineStr">
        <is>
          <t>["evidence_batch_002_016", "https://jeminise.com/products/christian-bedding-set-inspirational-bible-verse-comforter", "serp_qa_016"]</t>
        </is>
      </c>
      <c r="J66" s="2" t="inlineStr">
        <is>
          <t>["ISS-016-IMG-02", "ISS-016-IMG-03", "ISS-016-IMG-04", "ISS-016-IMG-05", "ISS-016-IMG-07", "ISS-016-IMG-08", "R2-ISS-016-BODY", "ISS-016-ENC", "R2-ISS-016-PERS"]</t>
        </is>
      </c>
    </row>
    <row r="67" ht="42" customHeight="1">
      <c r="A67" s="3" t="inlineStr">
        <is>
          <t>jeminise.com+christian-bedding-set-inspirational-bible-verse-comforter</t>
        </is>
      </c>
      <c r="B67" s="3" t="inlineStr">
        <is>
          <t>E1</t>
        </is>
      </c>
      <c r="C67" s="3" t="n">
        <v>5</v>
      </c>
      <c r="D67" s="3" t="inlineStr">
        <is>
          <t>PARTIAL</t>
        </is>
      </c>
      <c r="E67" s="7">
        <f>IF(B67="I1",AVERAGEIF('QA_Images'!$A$2:$A$65,A67,'QA_Images'!$T$2:$T$65)/100,IF(D67="FULL",1,IF(D67="PARTIAL",0.5,IF(D67="FAIL",0,""))))</f>
        <v/>
      </c>
      <c r="F67" s="7">
        <f>IF(E67="",0,C67*E67)</f>
        <v/>
      </c>
      <c r="G67" s="7">
        <f>IF(B67="I1",20*AVERAGEIF('QA_Images'!$A$2:$A$65,A67,'QA_Images'!$U$2:$U$65)/100,IF(D67="NOT_CHECKED",0,C67))</f>
        <v/>
      </c>
      <c r="H67" s="3" t="inlineStr">
        <is>
          <t>Kiểm tra liên kết product key/handle/evidence/revision giữa workbook, snapshot và nguồn live.</t>
        </is>
      </c>
      <c r="I67" s="3" t="inlineStr">
        <is>
          <t>["evidence_batch_002_016", "https://jeminise.com/products/christian-bedding-set-inspirational-bible-verse-comforter", "serp_qa_016"]</t>
        </is>
      </c>
      <c r="J67" s="3" t="inlineStr">
        <is>
          <t>["ISS-016-IMG-02", "ISS-016-IMG-03", "ISS-016-IMG-04", "ISS-016-IMG-05", "ISS-016-IMG-07", "ISS-016-IMG-08", "R2-ISS-016-BODY", "ISS-016-ENC", "R2-ISS-016-PERS"]</t>
        </is>
      </c>
    </row>
    <row r="68" ht="42" customHeight="1">
      <c r="A68" s="2" t="inlineStr">
        <is>
          <t>jeminise.com+christmas-bedding-quilt-soft-microfiber-holiday-bedsprea-design-01</t>
        </is>
      </c>
      <c r="B68" s="2" t="inlineStr">
        <is>
          <t>P1</t>
        </is>
      </c>
      <c r="C68" s="2" t="n">
        <v>15</v>
      </c>
      <c r="D68" s="2" t="inlineStr">
        <is>
          <t>FULL</t>
        </is>
      </c>
      <c r="E68" s="5">
        <f>IF(B68="I1",AVERAGEIF('QA_Images'!$A$2:$A$65,A68,'QA_Images'!$T$2:$T$65)/100,IF(D68="FULL",1,IF(D68="PARTIAL",0.5,IF(D68="FAIL",0,""))))</f>
        <v/>
      </c>
      <c r="F68" s="5">
        <f>IF(E68="",0,C68*E68)</f>
        <v/>
      </c>
      <c r="G68" s="5">
        <f>IF(B68="I1",20*AVERAGEIF('QA_Images'!$A$2:$A$65,A68,'QA_Images'!$U$2:$U$65)/100,IF(D68="NOT_CHECKED",0,C68))</f>
        <v/>
      </c>
      <c r="H68" s="2" t="inlineStr">
        <is>
          <t>Đối chiếu loại sản phẩm, thiết kế và màu với product JSON, H1 live và toàn bộ gallery.</t>
        </is>
      </c>
      <c r="I68" s="2" t="inlineStr">
        <is>
          <t>["evidence_batch_002_017", "https://jeminise.com/products/christmas-bedding-quilt-soft-microfiber-holiday-bedsprea-design-01", "serp_qa_017"]</t>
        </is>
      </c>
      <c r="J68" s="2" t="inlineStr">
        <is>
          <t>["ISS-017-IMG-04", "R2-ISS-017-BODY", "ISS-017-ENC", "R2-ISS-017-PERS"]</t>
        </is>
      </c>
    </row>
    <row r="69" ht="42" customHeight="1">
      <c r="A69" s="3" t="inlineStr">
        <is>
          <t>jeminise.com+christmas-bedding-quilt-soft-microfiber-holiday-bedsprea-design-01</t>
        </is>
      </c>
      <c r="B69" s="3" t="inlineStr">
        <is>
          <t>P2</t>
        </is>
      </c>
      <c r="C69" s="3" t="n">
        <v>10</v>
      </c>
      <c r="D69" s="3" t="inlineStr">
        <is>
          <t>FULL</t>
        </is>
      </c>
      <c r="E69" s="7">
        <f>IF(B69="I1",AVERAGEIF('QA_Images'!$A$2:$A$65,A69,'QA_Images'!$T$2:$T$65)/100,IF(D69="FULL",1,IF(D69="PARTIAL",0.5,IF(D69="FAIL",0,""))))</f>
        <v/>
      </c>
      <c r="F69" s="7">
        <f>IF(E69="",0,C69*E69)</f>
        <v/>
      </c>
      <c r="G69" s="7">
        <f>IF(B69="I1",20*AVERAGEIF('QA_Images'!$A$2:$A$65,A69,'QA_Images'!$U$2:$U$65)/100,IF(D69="NOT_CHECKED",0,C69))</f>
        <v/>
      </c>
      <c r="H69" s="3" t="inlineStr">
        <is>
          <t>Đối chiếu chất liệu, kích thước, thành phần đi kèm, biến thể và personalization với product.js live, body HTML và toàn bộ gallery.</t>
        </is>
      </c>
      <c r="I69" s="3" t="inlineStr">
        <is>
          <t>["evidence_batch_002_017", "https://jeminise.com/products/christmas-bedding-quilt-soft-microfiber-holiday-bedsprea-design-01", "serp_qa_017"]</t>
        </is>
      </c>
      <c r="J69" s="3" t="inlineStr">
        <is>
          <t>["ISS-017-IMG-04", "R2-ISS-017-BODY", "ISS-017-ENC", "R2-ISS-017-PERS"]</t>
        </is>
      </c>
    </row>
    <row r="70" ht="42" customHeight="1">
      <c r="A70" s="2" t="inlineStr">
        <is>
          <t>jeminise.com+christmas-bedding-quilt-soft-microfiber-holiday-bedsprea-design-01</t>
        </is>
      </c>
      <c r="B70" s="2" t="inlineStr">
        <is>
          <t>K1</t>
        </is>
      </c>
      <c r="C70" s="2" t="n">
        <v>10</v>
      </c>
      <c r="D70" s="2" t="inlineStr">
        <is>
          <t>FULL</t>
        </is>
      </c>
      <c r="E70" s="5">
        <f>IF(B70="I1",AVERAGEIF('QA_Images'!$A$2:$A$65,A70,'QA_Images'!$T$2:$T$65)/100,IF(D70="FULL",1,IF(D70="PARTIAL",0.5,IF(D70="FAIL",0,""))))</f>
        <v/>
      </c>
      <c r="F70" s="5">
        <f>IF(E70="",0,C70*E70)</f>
        <v/>
      </c>
      <c r="G70" s="5">
        <f>IF(B70="I1",20*AVERAGEIF('QA_Images'!$A$2:$A$65,A70,'QA_Images'!$U$2:$U$65)/100,IF(D70="NOT_CHECKED",0,C70))</f>
        <v/>
      </c>
      <c r="H70" s="2" t="inlineStr">
        <is>
          <t>Đối chiếu long-tail với thiết kế riêng, nhóm Christian/Christmas và mức độ trùng intent giữa các trang cùng cụm.</t>
        </is>
      </c>
      <c r="I70" s="2" t="inlineStr">
        <is>
          <t>["evidence_batch_002_017", "https://jeminise.com/products/christmas-bedding-quilt-soft-microfiber-holiday-bedsprea-design-01", "serp_qa_017"]</t>
        </is>
      </c>
      <c r="J70" s="2" t="inlineStr">
        <is>
          <t>["ISS-017-IMG-04", "R2-ISS-017-BODY", "ISS-017-ENC", "R2-ISS-017-PERS"]</t>
        </is>
      </c>
    </row>
    <row r="71" ht="42" customHeight="1">
      <c r="A71" s="3" t="inlineStr">
        <is>
          <t>jeminise.com+christmas-bedding-quilt-soft-microfiber-holiday-bedsprea-design-01</t>
        </is>
      </c>
      <c r="B71" s="3" t="inlineStr">
        <is>
          <t>K2</t>
        </is>
      </c>
      <c r="C71" s="3" t="n">
        <v>5</v>
      </c>
      <c r="D71" s="3" t="inlineStr">
        <is>
          <t>FULL</t>
        </is>
      </c>
      <c r="E71" s="7">
        <f>IF(B71="I1",AVERAGEIF('QA_Images'!$A$2:$A$65,A71,'QA_Images'!$T$2:$T$65)/100,IF(D71="FULL",1,IF(D71="PARTIAL",0.5,IF(D71="FAIL",0,""))))</f>
        <v/>
      </c>
      <c r="F71" s="7">
        <f>IF(E71="",0,C71*E71)</f>
        <v/>
      </c>
      <c r="G71" s="7">
        <f>IF(B71="I1",20*AVERAGEIF('QA_Images'!$A$2:$A$65,A71,'QA_Images'!$U$2:$U$65)/100,IF(D71="NOT_CHECKED",0,C71))</f>
        <v/>
      </c>
      <c r="H71" s="3" t="inlineStr">
        <is>
          <t>Đã đọc lại hai SERP query cho mỗi sản phẩm tại intent US; ghi URL thực đọc và không suy diễn volume.</t>
        </is>
      </c>
      <c r="I71" s="3" t="inlineStr">
        <is>
          <t>["evidence_batch_002_017", "https://jeminise.com/products/christmas-bedding-quilt-soft-microfiber-holiday-bedsprea-design-01", "serp_qa_017"]</t>
        </is>
      </c>
      <c r="J71" s="3" t="inlineStr">
        <is>
          <t>["ISS-017-IMG-04", "R2-ISS-017-BODY", "ISS-017-ENC", "R2-ISS-017-PERS"]</t>
        </is>
      </c>
    </row>
    <row r="72" ht="42" customHeight="1">
      <c r="A72" s="2" t="inlineStr">
        <is>
          <t>jeminise.com+christmas-bedding-quilt-soft-microfiber-holiday-bedsprea-design-01</t>
        </is>
      </c>
      <c r="B72" s="2" t="inlineStr">
        <is>
          <t>K3</t>
        </is>
      </c>
      <c r="C72" s="2" t="n">
        <v>5</v>
      </c>
      <c r="D72" s="2" t="inlineStr">
        <is>
          <t>FULL</t>
        </is>
      </c>
      <c r="E72" s="5">
        <f>IF(B72="I1",AVERAGEIF('QA_Images'!$A$2:$A$65,A72,'QA_Images'!$T$2:$T$65)/100,IF(D72="FULL",1,IF(D72="PARTIAL",0.5,IF(D72="FAIL",0,""))))</f>
        <v/>
      </c>
      <c r="F72" s="5">
        <f>IF(E72="",0,C72*E72)</f>
        <v/>
      </c>
      <c r="G72" s="5">
        <f>IF(B72="I1",20*AVERAGEIF('QA_Images'!$A$2:$A$65,A72,'QA_Images'!$U$2:$U$65)/100,IF(D72="NOT_CHECKED",0,C72))</f>
        <v/>
      </c>
      <c r="H72" s="2" t="inlineStr">
        <is>
          <t>Không suy diễn volume; phân biệt SERP_ONLY và HYPOTHESIS_ONLY.</t>
        </is>
      </c>
      <c r="I72" s="2" t="inlineStr">
        <is>
          <t>["evidence_batch_002_017", "https://jeminise.com/products/christmas-bedding-quilt-soft-microfiber-holiday-bedsprea-design-01", "serp_qa_017"]</t>
        </is>
      </c>
      <c r="J72" s="2" t="inlineStr">
        <is>
          <t>["ISS-017-IMG-04", "R2-ISS-017-BODY", "ISS-017-ENC", "R2-ISS-017-PERS"]</t>
        </is>
      </c>
    </row>
    <row r="73" ht="42" customHeight="1">
      <c r="A73" s="3" t="inlineStr">
        <is>
          <t>jeminise.com+christmas-bedding-quilt-soft-microfiber-holiday-bedsprea-design-01</t>
        </is>
      </c>
      <c r="B73" s="3" t="inlineStr">
        <is>
          <t>T1</t>
        </is>
      </c>
      <c r="C73" s="3" t="n">
        <v>10</v>
      </c>
      <c r="D73" s="3" t="inlineStr">
        <is>
          <t>FULL</t>
        </is>
      </c>
      <c r="E73" s="7">
        <f>IF(B73="I1",AVERAGEIF('QA_Images'!$A$2:$A$65,A73,'QA_Images'!$T$2:$T$65)/100,IF(D73="FULL",1,IF(D73="PARTIAL",0.5,IF(D73="FAIL",0,""))))</f>
        <v/>
      </c>
      <c r="F73" s="7">
        <f>IF(E73="",0,C73*E73)</f>
        <v/>
      </c>
      <c r="G73" s="7">
        <f>IF(B73="I1",20*AVERAGEIF('QA_Images'!$A$2:$A$65,A73,'QA_Images'!$U$2:$U$65)/100,IF(D73="NOT_CHECKED",0,C73))</f>
        <v/>
      </c>
      <c r="H73" s="3" t="inlineStr">
        <is>
          <t>Đánh giá SEO title English về độ đúng, tự nhiên, keyword và điểm phân biệt.</t>
        </is>
      </c>
      <c r="I73" s="3" t="inlineStr">
        <is>
          <t>["evidence_batch_002_017", "https://jeminise.com/products/christmas-bedding-quilt-soft-microfiber-holiday-bedsprea-design-01", "serp_qa_017"]</t>
        </is>
      </c>
      <c r="J73" s="3" t="inlineStr">
        <is>
          <t>["ISS-017-IMG-04", "R2-ISS-017-BODY", "ISS-017-ENC", "R2-ISS-017-PERS"]</t>
        </is>
      </c>
    </row>
    <row r="74" ht="42" customHeight="1">
      <c r="A74" s="2" t="inlineStr">
        <is>
          <t>jeminise.com+christmas-bedding-quilt-soft-microfiber-holiday-bedsprea-design-01</t>
        </is>
      </c>
      <c r="B74" s="2" t="inlineStr">
        <is>
          <t>T2</t>
        </is>
      </c>
      <c r="C74" s="2" t="n">
        <v>5</v>
      </c>
      <c r="D74" s="2" t="inlineStr">
        <is>
          <t>FULL</t>
        </is>
      </c>
      <c r="E74" s="5">
        <f>IF(B74="I1",AVERAGEIF('QA_Images'!$A$2:$A$65,A74,'QA_Images'!$T$2:$T$65)/100,IF(D74="FULL",1,IF(D74="PARTIAL",0.5,IF(D74="FAIL",0,""))))</f>
        <v/>
      </c>
      <c r="F74" s="5">
        <f>IF(E74="",0,C74*E74)</f>
        <v/>
      </c>
      <c r="G74" s="5">
        <f>IF(B74="I1",20*AVERAGEIF('QA_Images'!$A$2:$A$65,A74,'QA_Images'!$U$2:$U$65)/100,IF(D74="NOT_CHECKED",0,C74))</f>
        <v/>
      </c>
      <c r="H74" s="2" t="inlineStr">
        <is>
          <t>Đánh giá H1 đề xuất độc lập với SEO title và đối chiếu lỗi ký tự nguồn.</t>
        </is>
      </c>
      <c r="I74" s="2" t="inlineStr">
        <is>
          <t>["evidence_batch_002_017", "https://jeminise.com/products/christmas-bedding-quilt-soft-microfiber-holiday-bedsprea-design-01", "serp_qa_017"]</t>
        </is>
      </c>
      <c r="J74" s="2" t="inlineStr">
        <is>
          <t>["ISS-017-IMG-04", "R2-ISS-017-BODY", "ISS-017-ENC", "R2-ISS-017-PERS"]</t>
        </is>
      </c>
    </row>
    <row r="75" ht="42" customHeight="1">
      <c r="A75" s="3" t="inlineStr">
        <is>
          <t>jeminise.com+christmas-bedding-quilt-soft-microfiber-holiday-bedsprea-design-01</t>
        </is>
      </c>
      <c r="B75" s="3" t="inlineStr">
        <is>
          <t>D1</t>
        </is>
      </c>
      <c r="C75" s="3" t="n">
        <v>5</v>
      </c>
      <c r="D75" s="3" t="inlineStr">
        <is>
          <t>FULL</t>
        </is>
      </c>
      <c r="E75" s="7">
        <f>IF(B75="I1",AVERAGEIF('QA_Images'!$A$2:$A$65,A75,'QA_Images'!$T$2:$T$65)/100,IF(D75="FULL",1,IF(D75="PARTIAL",0.5,IF(D75="FAIL",0,""))))</f>
        <v/>
      </c>
      <c r="F75" s="7">
        <f>IF(E75="",0,C75*E75)</f>
        <v/>
      </c>
      <c r="G75" s="7">
        <f>IF(B75="I1",20*AVERAGEIF('QA_Images'!$A$2:$A$65,A75,'QA_Images'!$U$2:$U$65)/100,IF(D75="NOT_CHECKED",0,C75))</f>
        <v/>
      </c>
      <c r="H75" s="3" t="inlineStr">
        <is>
          <t>Đánh giá meta description về tính cụ thể và căn cứ claim.</t>
        </is>
      </c>
      <c r="I75" s="3" t="inlineStr">
        <is>
          <t>["evidence_batch_002_017", "https://jeminise.com/products/christmas-bedding-quilt-soft-microfiber-holiday-bedsprea-design-01", "serp_qa_017"]</t>
        </is>
      </c>
      <c r="J75" s="3" t="inlineStr">
        <is>
          <t>["ISS-017-IMG-04", "R2-ISS-017-BODY", "ISS-017-ENC", "R2-ISS-017-PERS"]</t>
        </is>
      </c>
    </row>
    <row r="76" ht="42" customHeight="1">
      <c r="A76" s="2" t="inlineStr">
        <is>
          <t>jeminise.com+christmas-bedding-quilt-soft-microfiber-holiday-bedsprea-design-01</t>
        </is>
      </c>
      <c r="B76" s="2" t="inlineStr">
        <is>
          <t>D2</t>
        </is>
      </c>
      <c r="C76" s="2" t="n">
        <v>10</v>
      </c>
      <c r="D76" s="2" t="inlineStr">
        <is>
          <t>FAIL</t>
        </is>
      </c>
      <c r="E76" s="5">
        <f>IF(B76="I1",AVERAGEIF('QA_Images'!$A$2:$A$65,A76,'QA_Images'!$T$2:$T$65)/100,IF(D76="FULL",1,IF(D76="PARTIAL",0.5,IF(D76="FAIL",0,""))))</f>
        <v/>
      </c>
      <c r="F76" s="5">
        <f>IF(E76="",0,C76*E76)</f>
        <v/>
      </c>
      <c r="G76" s="5">
        <f>IF(B76="I1",20*AVERAGEIF('QA_Images'!$A$2:$A$65,A76,'QA_Images'!$U$2:$U$65)/100,IF(D76="NOT_CHECKED",0,C76))</f>
        <v/>
      </c>
      <c r="H76" s="2" t="inlineStr">
        <is>
          <t>Description SET có HTML đầy đủ nhưng chứa câu nội bộ 'This draft should be reviewed...' và dữ liệu nguồn thô/mâu thuẫn; chưa phải nội dung publish-ready.</t>
        </is>
      </c>
      <c r="I76" s="2" t="inlineStr">
        <is>
          <t>["evidence_batch_002_017", "https://jeminise.com/products/christmas-bedding-quilt-soft-microfiber-holiday-bedsprea-design-01", "serp_qa_017"]</t>
        </is>
      </c>
      <c r="J76" s="2" t="inlineStr">
        <is>
          <t>["ISS-017-IMG-04", "R2-ISS-017-BODY", "ISS-017-ENC", "R2-ISS-017-PERS"]</t>
        </is>
      </c>
    </row>
    <row r="77" ht="42" customHeight="1">
      <c r="A77" s="3" t="inlineStr">
        <is>
          <t>jeminise.com+christmas-bedding-quilt-soft-microfiber-holiday-bedsprea-design-01</t>
        </is>
      </c>
      <c r="B77" s="3" t="inlineStr">
        <is>
          <t>I1</t>
        </is>
      </c>
      <c r="C77" s="3" t="n">
        <v>20</v>
      </c>
      <c r="D77" s="3" t="inlineStr">
        <is>
          <t>DERIVED</t>
        </is>
      </c>
      <c r="E77" s="7">
        <f>IF(B77="I1",AVERAGEIF('QA_Images'!$A$2:$A$65,A77,'QA_Images'!$T$2:$T$65)/100,IF(D77="FULL",1,IF(D77="PARTIAL",0.5,IF(D77="FAIL",0,""))))</f>
        <v/>
      </c>
      <c r="F77" s="7">
        <f>IF(E77="",0,C77*E77)</f>
        <v/>
      </c>
      <c r="G77" s="7">
        <f>IF(B77="I1",20*AVERAGEIF('QA_Images'!$A$2:$A$65,A77,'QA_Images'!$U$2:$U$65)/100,IF(D77="NOT_CHECKED",0,C77))</f>
        <v/>
      </c>
      <c r="H77" s="3" t="inlineStr">
        <is>
          <t>Tính từ trung bình 5 ảnh: 90.0000/100.</t>
        </is>
      </c>
      <c r="I77" s="3" t="inlineStr">
        <is>
          <t>["evidence_batch_002_017", "https://jeminise.com/products/christmas-bedding-quilt-soft-microfiber-holiday-bedsprea-design-01", "serp_qa_017"]</t>
        </is>
      </c>
      <c r="J77" s="3" t="inlineStr">
        <is>
          <t>["ISS-017-IMG-04", "R2-ISS-017-BODY", "ISS-017-ENC", "R2-ISS-017-PERS"]</t>
        </is>
      </c>
    </row>
    <row r="78" ht="42" customHeight="1">
      <c r="A78" s="2" t="inlineStr">
        <is>
          <t>jeminise.com+christmas-bedding-quilt-soft-microfiber-holiday-bedsprea-design-01</t>
        </is>
      </c>
      <c r="B78" s="2" t="inlineStr">
        <is>
          <t>E1</t>
        </is>
      </c>
      <c r="C78" s="2" t="n">
        <v>5</v>
      </c>
      <c r="D78" s="2" t="inlineStr">
        <is>
          <t>PARTIAL</t>
        </is>
      </c>
      <c r="E78" s="5">
        <f>IF(B78="I1",AVERAGEIF('QA_Images'!$A$2:$A$65,A78,'QA_Images'!$T$2:$T$65)/100,IF(D78="FULL",1,IF(D78="PARTIAL",0.5,IF(D78="FAIL",0,""))))</f>
        <v/>
      </c>
      <c r="F78" s="5">
        <f>IF(E78="",0,C78*E78)</f>
        <v/>
      </c>
      <c r="G78" s="5">
        <f>IF(B78="I1",20*AVERAGEIF('QA_Images'!$A$2:$A$65,A78,'QA_Images'!$U$2:$U$65)/100,IF(D78="NOT_CHECKED",0,C78))</f>
        <v/>
      </c>
      <c r="H78" s="2" t="inlineStr">
        <is>
          <t>Kiểm tra liên kết product key/handle/evidence/revision giữa workbook, snapshot và nguồn live.</t>
        </is>
      </c>
      <c r="I78" s="2" t="inlineStr">
        <is>
          <t>["evidence_batch_002_017", "https://jeminise.com/products/christmas-bedding-quilt-soft-microfiber-holiday-bedsprea-design-01", "serp_qa_017"]</t>
        </is>
      </c>
      <c r="J78" s="2" t="inlineStr">
        <is>
          <t>["ISS-017-IMG-04", "R2-ISS-017-BODY", "ISS-017-ENC", "R2-ISS-017-PERS"]</t>
        </is>
      </c>
    </row>
    <row r="79" ht="42" customHeight="1">
      <c r="A79" s="3" t="inlineStr">
        <is>
          <t>jeminise.com+christmas-bedding-quilt-soft-microfiber-holiday-bedsprea-design-02</t>
        </is>
      </c>
      <c r="B79" s="3" t="inlineStr">
        <is>
          <t>P1</t>
        </is>
      </c>
      <c r="C79" s="3" t="n">
        <v>15</v>
      </c>
      <c r="D79" s="3" t="inlineStr">
        <is>
          <t>FULL</t>
        </is>
      </c>
      <c r="E79" s="7">
        <f>IF(B79="I1",AVERAGEIF('QA_Images'!$A$2:$A$65,A79,'QA_Images'!$T$2:$T$65)/100,IF(D79="FULL",1,IF(D79="PARTIAL",0.5,IF(D79="FAIL",0,""))))</f>
        <v/>
      </c>
      <c r="F79" s="7">
        <f>IF(E79="",0,C79*E79)</f>
        <v/>
      </c>
      <c r="G79" s="7">
        <f>IF(B79="I1",20*AVERAGEIF('QA_Images'!$A$2:$A$65,A79,'QA_Images'!$U$2:$U$65)/100,IF(D79="NOT_CHECKED",0,C79))</f>
        <v/>
      </c>
      <c r="H79" s="3" t="inlineStr">
        <is>
          <t>Đối chiếu loại sản phẩm, thiết kế và màu với product JSON, H1 live và toàn bộ gallery.</t>
        </is>
      </c>
      <c r="I79" s="3" t="inlineStr">
        <is>
          <t>["evidence_batch_002_018", "https://jeminise.com/products/christmas-bedding-quilt-soft-microfiber-holiday-bedsprea-design-02", "serp_qa_018"]</t>
        </is>
      </c>
      <c r="J79" s="3" t="inlineStr">
        <is>
          <t>["ISS-018-IMG-03", "ISS-018-IMG-04", "R2-ISS-018-BODY", "ISS-018-ENC", "R2-ISS-018-PERS"]</t>
        </is>
      </c>
    </row>
    <row r="80" ht="42" customHeight="1">
      <c r="A80" s="2" t="inlineStr">
        <is>
          <t>jeminise.com+christmas-bedding-quilt-soft-microfiber-holiday-bedsprea-design-02</t>
        </is>
      </c>
      <c r="B80" s="2" t="inlineStr">
        <is>
          <t>P2</t>
        </is>
      </c>
      <c r="C80" s="2" t="n">
        <v>10</v>
      </c>
      <c r="D80" s="2" t="inlineStr">
        <is>
          <t>FULL</t>
        </is>
      </c>
      <c r="E80" s="5">
        <f>IF(B80="I1",AVERAGEIF('QA_Images'!$A$2:$A$65,A80,'QA_Images'!$T$2:$T$65)/100,IF(D80="FULL",1,IF(D80="PARTIAL",0.5,IF(D80="FAIL",0,""))))</f>
        <v/>
      </c>
      <c r="F80" s="5">
        <f>IF(E80="",0,C80*E80)</f>
        <v/>
      </c>
      <c r="G80" s="5">
        <f>IF(B80="I1",20*AVERAGEIF('QA_Images'!$A$2:$A$65,A80,'QA_Images'!$U$2:$U$65)/100,IF(D80="NOT_CHECKED",0,C80))</f>
        <v/>
      </c>
      <c r="H80" s="2" t="inlineStr">
        <is>
          <t>Đối chiếu chất liệu, kích thước, thành phần đi kèm, biến thể và personalization với product.js live, body HTML và toàn bộ gallery.</t>
        </is>
      </c>
      <c r="I80" s="2" t="inlineStr">
        <is>
          <t>["evidence_batch_002_018", "https://jeminise.com/products/christmas-bedding-quilt-soft-microfiber-holiday-bedsprea-design-02", "serp_qa_018"]</t>
        </is>
      </c>
      <c r="J80" s="2" t="inlineStr">
        <is>
          <t>["ISS-018-IMG-03", "ISS-018-IMG-04", "R2-ISS-018-BODY", "ISS-018-ENC", "R2-ISS-018-PERS"]</t>
        </is>
      </c>
    </row>
    <row r="81" ht="42" customHeight="1">
      <c r="A81" s="3" t="inlineStr">
        <is>
          <t>jeminise.com+christmas-bedding-quilt-soft-microfiber-holiday-bedsprea-design-02</t>
        </is>
      </c>
      <c r="B81" s="3" t="inlineStr">
        <is>
          <t>K1</t>
        </is>
      </c>
      <c r="C81" s="3" t="n">
        <v>10</v>
      </c>
      <c r="D81" s="3" t="inlineStr">
        <is>
          <t>FULL</t>
        </is>
      </c>
      <c r="E81" s="7">
        <f>IF(B81="I1",AVERAGEIF('QA_Images'!$A$2:$A$65,A81,'QA_Images'!$T$2:$T$65)/100,IF(D81="FULL",1,IF(D81="PARTIAL",0.5,IF(D81="FAIL",0,""))))</f>
        <v/>
      </c>
      <c r="F81" s="7">
        <f>IF(E81="",0,C81*E81)</f>
        <v/>
      </c>
      <c r="G81" s="7">
        <f>IF(B81="I1",20*AVERAGEIF('QA_Images'!$A$2:$A$65,A81,'QA_Images'!$U$2:$U$65)/100,IF(D81="NOT_CHECKED",0,C81))</f>
        <v/>
      </c>
      <c r="H81" s="3" t="inlineStr">
        <is>
          <t>Đối chiếu long-tail với thiết kế riêng, nhóm Christian/Christmas và mức độ trùng intent giữa các trang cùng cụm.</t>
        </is>
      </c>
      <c r="I81" s="3" t="inlineStr">
        <is>
          <t>["evidence_batch_002_018", "https://jeminise.com/products/christmas-bedding-quilt-soft-microfiber-holiday-bedsprea-design-02", "serp_qa_018"]</t>
        </is>
      </c>
      <c r="J81" s="3" t="inlineStr">
        <is>
          <t>["ISS-018-IMG-03", "ISS-018-IMG-04", "R2-ISS-018-BODY", "ISS-018-ENC", "R2-ISS-018-PERS"]</t>
        </is>
      </c>
    </row>
    <row r="82" ht="42" customHeight="1">
      <c r="A82" s="2" t="inlineStr">
        <is>
          <t>jeminise.com+christmas-bedding-quilt-soft-microfiber-holiday-bedsprea-design-02</t>
        </is>
      </c>
      <c r="B82" s="2" t="inlineStr">
        <is>
          <t>K2</t>
        </is>
      </c>
      <c r="C82" s="2" t="n">
        <v>5</v>
      </c>
      <c r="D82" s="2" t="inlineStr">
        <is>
          <t>FULL</t>
        </is>
      </c>
      <c r="E82" s="5">
        <f>IF(B82="I1",AVERAGEIF('QA_Images'!$A$2:$A$65,A82,'QA_Images'!$T$2:$T$65)/100,IF(D82="FULL",1,IF(D82="PARTIAL",0.5,IF(D82="FAIL",0,""))))</f>
        <v/>
      </c>
      <c r="F82" s="5">
        <f>IF(E82="",0,C82*E82)</f>
        <v/>
      </c>
      <c r="G82" s="5">
        <f>IF(B82="I1",20*AVERAGEIF('QA_Images'!$A$2:$A$65,A82,'QA_Images'!$U$2:$U$65)/100,IF(D82="NOT_CHECKED",0,C82))</f>
        <v/>
      </c>
      <c r="H82" s="2" t="inlineStr">
        <is>
          <t>Đã đọc lại hai SERP query cho mỗi sản phẩm tại intent US; ghi URL thực đọc và không suy diễn volume.</t>
        </is>
      </c>
      <c r="I82" s="2" t="inlineStr">
        <is>
          <t>["evidence_batch_002_018", "https://jeminise.com/products/christmas-bedding-quilt-soft-microfiber-holiday-bedsprea-design-02", "serp_qa_018"]</t>
        </is>
      </c>
      <c r="J82" s="2" t="inlineStr">
        <is>
          <t>["ISS-018-IMG-03", "ISS-018-IMG-04", "R2-ISS-018-BODY", "ISS-018-ENC", "R2-ISS-018-PERS"]</t>
        </is>
      </c>
    </row>
    <row r="83" ht="42" customHeight="1">
      <c r="A83" s="3" t="inlineStr">
        <is>
          <t>jeminise.com+christmas-bedding-quilt-soft-microfiber-holiday-bedsprea-design-02</t>
        </is>
      </c>
      <c r="B83" s="3" t="inlineStr">
        <is>
          <t>K3</t>
        </is>
      </c>
      <c r="C83" s="3" t="n">
        <v>5</v>
      </c>
      <c r="D83" s="3" t="inlineStr">
        <is>
          <t>FULL</t>
        </is>
      </c>
      <c r="E83" s="7">
        <f>IF(B83="I1",AVERAGEIF('QA_Images'!$A$2:$A$65,A83,'QA_Images'!$T$2:$T$65)/100,IF(D83="FULL",1,IF(D83="PARTIAL",0.5,IF(D83="FAIL",0,""))))</f>
        <v/>
      </c>
      <c r="F83" s="7">
        <f>IF(E83="",0,C83*E83)</f>
        <v/>
      </c>
      <c r="G83" s="7">
        <f>IF(B83="I1",20*AVERAGEIF('QA_Images'!$A$2:$A$65,A83,'QA_Images'!$U$2:$U$65)/100,IF(D83="NOT_CHECKED",0,C83))</f>
        <v/>
      </c>
      <c r="H83" s="3" t="inlineStr">
        <is>
          <t>Không suy diễn volume; phân biệt SERP_ONLY và HYPOTHESIS_ONLY.</t>
        </is>
      </c>
      <c r="I83" s="3" t="inlineStr">
        <is>
          <t>["evidence_batch_002_018", "https://jeminise.com/products/christmas-bedding-quilt-soft-microfiber-holiday-bedsprea-design-02", "serp_qa_018"]</t>
        </is>
      </c>
      <c r="J83" s="3" t="inlineStr">
        <is>
          <t>["ISS-018-IMG-03", "ISS-018-IMG-04", "R2-ISS-018-BODY", "ISS-018-ENC", "R2-ISS-018-PERS"]</t>
        </is>
      </c>
    </row>
    <row r="84" ht="42" customHeight="1">
      <c r="A84" s="2" t="inlineStr">
        <is>
          <t>jeminise.com+christmas-bedding-quilt-soft-microfiber-holiday-bedsprea-design-02</t>
        </is>
      </c>
      <c r="B84" s="2" t="inlineStr">
        <is>
          <t>T1</t>
        </is>
      </c>
      <c r="C84" s="2" t="n">
        <v>10</v>
      </c>
      <c r="D84" s="2" t="inlineStr">
        <is>
          <t>FULL</t>
        </is>
      </c>
      <c r="E84" s="5">
        <f>IF(B84="I1",AVERAGEIF('QA_Images'!$A$2:$A$65,A84,'QA_Images'!$T$2:$T$65)/100,IF(D84="FULL",1,IF(D84="PARTIAL",0.5,IF(D84="FAIL",0,""))))</f>
        <v/>
      </c>
      <c r="F84" s="5">
        <f>IF(E84="",0,C84*E84)</f>
        <v/>
      </c>
      <c r="G84" s="5">
        <f>IF(B84="I1",20*AVERAGEIF('QA_Images'!$A$2:$A$65,A84,'QA_Images'!$U$2:$U$65)/100,IF(D84="NOT_CHECKED",0,C84))</f>
        <v/>
      </c>
      <c r="H84" s="2" t="inlineStr">
        <is>
          <t>Đánh giá SEO title English về độ đúng, tự nhiên, keyword và điểm phân biệt.</t>
        </is>
      </c>
      <c r="I84" s="2" t="inlineStr">
        <is>
          <t>["evidence_batch_002_018", "https://jeminise.com/products/christmas-bedding-quilt-soft-microfiber-holiday-bedsprea-design-02", "serp_qa_018"]</t>
        </is>
      </c>
      <c r="J84" s="2" t="inlineStr">
        <is>
          <t>["ISS-018-IMG-03", "ISS-018-IMG-04", "R2-ISS-018-BODY", "ISS-018-ENC", "R2-ISS-018-PERS"]</t>
        </is>
      </c>
    </row>
    <row r="85" ht="42" customHeight="1">
      <c r="A85" s="3" t="inlineStr">
        <is>
          <t>jeminise.com+christmas-bedding-quilt-soft-microfiber-holiday-bedsprea-design-02</t>
        </is>
      </c>
      <c r="B85" s="3" t="inlineStr">
        <is>
          <t>T2</t>
        </is>
      </c>
      <c r="C85" s="3" t="n">
        <v>5</v>
      </c>
      <c r="D85" s="3" t="inlineStr">
        <is>
          <t>FULL</t>
        </is>
      </c>
      <c r="E85" s="7">
        <f>IF(B85="I1",AVERAGEIF('QA_Images'!$A$2:$A$65,A85,'QA_Images'!$T$2:$T$65)/100,IF(D85="FULL",1,IF(D85="PARTIAL",0.5,IF(D85="FAIL",0,""))))</f>
        <v/>
      </c>
      <c r="F85" s="7">
        <f>IF(E85="",0,C85*E85)</f>
        <v/>
      </c>
      <c r="G85" s="7">
        <f>IF(B85="I1",20*AVERAGEIF('QA_Images'!$A$2:$A$65,A85,'QA_Images'!$U$2:$U$65)/100,IF(D85="NOT_CHECKED",0,C85))</f>
        <v/>
      </c>
      <c r="H85" s="3" t="inlineStr">
        <is>
          <t>Đánh giá H1 đề xuất độc lập với SEO title và đối chiếu lỗi ký tự nguồn.</t>
        </is>
      </c>
      <c r="I85" s="3" t="inlineStr">
        <is>
          <t>["evidence_batch_002_018", "https://jeminise.com/products/christmas-bedding-quilt-soft-microfiber-holiday-bedsprea-design-02", "serp_qa_018"]</t>
        </is>
      </c>
      <c r="J85" s="3" t="inlineStr">
        <is>
          <t>["ISS-018-IMG-03", "ISS-018-IMG-04", "R2-ISS-018-BODY", "ISS-018-ENC", "R2-ISS-018-PERS"]</t>
        </is>
      </c>
    </row>
    <row r="86" ht="42" customHeight="1">
      <c r="A86" s="2" t="inlineStr">
        <is>
          <t>jeminise.com+christmas-bedding-quilt-soft-microfiber-holiday-bedsprea-design-02</t>
        </is>
      </c>
      <c r="B86" s="2" t="inlineStr">
        <is>
          <t>D1</t>
        </is>
      </c>
      <c r="C86" s="2" t="n">
        <v>5</v>
      </c>
      <c r="D86" s="2" t="inlineStr">
        <is>
          <t>FULL</t>
        </is>
      </c>
      <c r="E86" s="5">
        <f>IF(B86="I1",AVERAGEIF('QA_Images'!$A$2:$A$65,A86,'QA_Images'!$T$2:$T$65)/100,IF(D86="FULL",1,IF(D86="PARTIAL",0.5,IF(D86="FAIL",0,""))))</f>
        <v/>
      </c>
      <c r="F86" s="5">
        <f>IF(E86="",0,C86*E86)</f>
        <v/>
      </c>
      <c r="G86" s="5">
        <f>IF(B86="I1",20*AVERAGEIF('QA_Images'!$A$2:$A$65,A86,'QA_Images'!$U$2:$U$65)/100,IF(D86="NOT_CHECKED",0,C86))</f>
        <v/>
      </c>
      <c r="H86" s="2" t="inlineStr">
        <is>
          <t>Đánh giá meta description về tính cụ thể và căn cứ claim.</t>
        </is>
      </c>
      <c r="I86" s="2" t="inlineStr">
        <is>
          <t>["evidence_batch_002_018", "https://jeminise.com/products/christmas-bedding-quilt-soft-microfiber-holiday-bedsprea-design-02", "serp_qa_018"]</t>
        </is>
      </c>
      <c r="J86" s="2" t="inlineStr">
        <is>
          <t>["ISS-018-IMG-03", "ISS-018-IMG-04", "R2-ISS-018-BODY", "ISS-018-ENC", "R2-ISS-018-PERS"]</t>
        </is>
      </c>
    </row>
    <row r="87" ht="42" customHeight="1">
      <c r="A87" s="3" t="inlineStr">
        <is>
          <t>jeminise.com+christmas-bedding-quilt-soft-microfiber-holiday-bedsprea-design-02</t>
        </is>
      </c>
      <c r="B87" s="3" t="inlineStr">
        <is>
          <t>D2</t>
        </is>
      </c>
      <c r="C87" s="3" t="n">
        <v>10</v>
      </c>
      <c r="D87" s="3" t="inlineStr">
        <is>
          <t>FAIL</t>
        </is>
      </c>
      <c r="E87" s="7">
        <f>IF(B87="I1",AVERAGEIF('QA_Images'!$A$2:$A$65,A87,'QA_Images'!$T$2:$T$65)/100,IF(D87="FULL",1,IF(D87="PARTIAL",0.5,IF(D87="FAIL",0,""))))</f>
        <v/>
      </c>
      <c r="F87" s="7">
        <f>IF(E87="",0,C87*E87)</f>
        <v/>
      </c>
      <c r="G87" s="7">
        <f>IF(B87="I1",20*AVERAGEIF('QA_Images'!$A$2:$A$65,A87,'QA_Images'!$U$2:$U$65)/100,IF(D87="NOT_CHECKED",0,C87))</f>
        <v/>
      </c>
      <c r="H87" s="3" t="inlineStr">
        <is>
          <t>Description SET có HTML đầy đủ nhưng chứa câu nội bộ 'This draft should be reviewed...' và dữ liệu nguồn thô/mâu thuẫn; chưa phải nội dung publish-ready.</t>
        </is>
      </c>
      <c r="I87" s="3" t="inlineStr">
        <is>
          <t>["evidence_batch_002_018", "https://jeminise.com/products/christmas-bedding-quilt-soft-microfiber-holiday-bedsprea-design-02", "serp_qa_018"]</t>
        </is>
      </c>
      <c r="J87" s="3" t="inlineStr">
        <is>
          <t>["ISS-018-IMG-03", "ISS-018-IMG-04", "R2-ISS-018-BODY", "ISS-018-ENC", "R2-ISS-018-PERS"]</t>
        </is>
      </c>
    </row>
    <row r="88" ht="42" customHeight="1">
      <c r="A88" s="2" t="inlineStr">
        <is>
          <t>jeminise.com+christmas-bedding-quilt-soft-microfiber-holiday-bedsprea-design-02</t>
        </is>
      </c>
      <c r="B88" s="2" t="inlineStr">
        <is>
          <t>I1</t>
        </is>
      </c>
      <c r="C88" s="2" t="n">
        <v>20</v>
      </c>
      <c r="D88" s="2" t="inlineStr">
        <is>
          <t>DERIVED</t>
        </is>
      </c>
      <c r="E88" s="5">
        <f>IF(B88="I1",AVERAGEIF('QA_Images'!$A$2:$A$65,A88,'QA_Images'!$T$2:$T$65)/100,IF(D88="FULL",1,IF(D88="PARTIAL",0.5,IF(D88="FAIL",0,""))))</f>
        <v/>
      </c>
      <c r="F88" s="5">
        <f>IF(E88="",0,C88*E88)</f>
        <v/>
      </c>
      <c r="G88" s="5">
        <f>IF(B88="I1",20*AVERAGEIF('QA_Images'!$A$2:$A$65,A88,'QA_Images'!$U$2:$U$65)/100,IF(D88="NOT_CHECKED",0,C88))</f>
        <v/>
      </c>
      <c r="H88" s="2" t="inlineStr">
        <is>
          <t>Tính từ trung bình 5 ảnh: 80.0000/100.</t>
        </is>
      </c>
      <c r="I88" s="2" t="inlineStr">
        <is>
          <t>["evidence_batch_002_018", "https://jeminise.com/products/christmas-bedding-quilt-soft-microfiber-holiday-bedsprea-design-02", "serp_qa_018"]</t>
        </is>
      </c>
      <c r="J88" s="2" t="inlineStr">
        <is>
          <t>["ISS-018-IMG-03", "ISS-018-IMG-04", "R2-ISS-018-BODY", "ISS-018-ENC", "R2-ISS-018-PERS"]</t>
        </is>
      </c>
    </row>
    <row r="89" ht="42" customHeight="1">
      <c r="A89" s="3" t="inlineStr">
        <is>
          <t>jeminise.com+christmas-bedding-quilt-soft-microfiber-holiday-bedsprea-design-02</t>
        </is>
      </c>
      <c r="B89" s="3" t="inlineStr">
        <is>
          <t>E1</t>
        </is>
      </c>
      <c r="C89" s="3" t="n">
        <v>5</v>
      </c>
      <c r="D89" s="3" t="inlineStr">
        <is>
          <t>PARTIAL</t>
        </is>
      </c>
      <c r="E89" s="7">
        <f>IF(B89="I1",AVERAGEIF('QA_Images'!$A$2:$A$65,A89,'QA_Images'!$T$2:$T$65)/100,IF(D89="FULL",1,IF(D89="PARTIAL",0.5,IF(D89="FAIL",0,""))))</f>
        <v/>
      </c>
      <c r="F89" s="7">
        <f>IF(E89="",0,C89*E89)</f>
        <v/>
      </c>
      <c r="G89" s="7">
        <f>IF(B89="I1",20*AVERAGEIF('QA_Images'!$A$2:$A$65,A89,'QA_Images'!$U$2:$U$65)/100,IF(D89="NOT_CHECKED",0,C89))</f>
        <v/>
      </c>
      <c r="H89" s="3" t="inlineStr">
        <is>
          <t>Kiểm tra liên kết product key/handle/evidence/revision giữa workbook, snapshot và nguồn live.</t>
        </is>
      </c>
      <c r="I89" s="3" t="inlineStr">
        <is>
          <t>["evidence_batch_002_018", "https://jeminise.com/products/christmas-bedding-quilt-soft-microfiber-holiday-bedsprea-design-02", "serp_qa_018"]</t>
        </is>
      </c>
      <c r="J89" s="3" t="inlineStr">
        <is>
          <t>["ISS-018-IMG-03", "ISS-018-IMG-04", "R2-ISS-018-BODY", "ISS-018-ENC", "R2-ISS-018-PERS"]</t>
        </is>
      </c>
    </row>
    <row r="90" ht="42" customHeight="1">
      <c r="A90" s="2" t="inlineStr">
        <is>
          <t>jeminise.com+christmas-bedding-quilt-soft-microfiber-holiday-bedsprea-design-03</t>
        </is>
      </c>
      <c r="B90" s="2" t="inlineStr">
        <is>
          <t>P1</t>
        </is>
      </c>
      <c r="C90" s="2" t="n">
        <v>15</v>
      </c>
      <c r="D90" s="2" t="inlineStr">
        <is>
          <t>FULL</t>
        </is>
      </c>
      <c r="E90" s="5">
        <f>IF(B90="I1",AVERAGEIF('QA_Images'!$A$2:$A$65,A90,'QA_Images'!$T$2:$T$65)/100,IF(D90="FULL",1,IF(D90="PARTIAL",0.5,IF(D90="FAIL",0,""))))</f>
        <v/>
      </c>
      <c r="F90" s="5">
        <f>IF(E90="",0,C90*E90)</f>
        <v/>
      </c>
      <c r="G90" s="5">
        <f>IF(B90="I1",20*AVERAGEIF('QA_Images'!$A$2:$A$65,A90,'QA_Images'!$U$2:$U$65)/100,IF(D90="NOT_CHECKED",0,C90))</f>
        <v/>
      </c>
      <c r="H90" s="2" t="inlineStr">
        <is>
          <t>Đối chiếu loại sản phẩm, thiết kế và màu với product JSON, H1 live và toàn bộ gallery.</t>
        </is>
      </c>
      <c r="I90" s="2" t="inlineStr">
        <is>
          <t>["evidence_batch_002_019", "https://jeminise.com/products/christmas-bedding-quilt-soft-microfiber-holiday-bedsprea-design-03", "serp_qa_019"]</t>
        </is>
      </c>
      <c r="J90" s="2" t="inlineStr">
        <is>
          <t>["ISS-019-IMG-03", "ISS-019-IMG-04", "R2-ISS-019-BODY", "ISS-019-ENC", "R2-ISS-019-PERS"]</t>
        </is>
      </c>
    </row>
    <row r="91" ht="42" customHeight="1">
      <c r="A91" s="3" t="inlineStr">
        <is>
          <t>jeminise.com+christmas-bedding-quilt-soft-microfiber-holiday-bedsprea-design-03</t>
        </is>
      </c>
      <c r="B91" s="3" t="inlineStr">
        <is>
          <t>P2</t>
        </is>
      </c>
      <c r="C91" s="3" t="n">
        <v>10</v>
      </c>
      <c r="D91" s="3" t="inlineStr">
        <is>
          <t>FAIL</t>
        </is>
      </c>
      <c r="E91" s="7">
        <f>IF(B91="I1",AVERAGEIF('QA_Images'!$A$2:$A$65,A91,'QA_Images'!$T$2:$T$65)/100,IF(D91="FULL",1,IF(D91="PARTIAL",0.5,IF(D91="FAIL",0,""))))</f>
        <v/>
      </c>
      <c r="F91" s="7">
        <f>IF(E91="",0,C91*E91)</f>
        <v/>
      </c>
      <c r="G91" s="7">
        <f>IF(B91="I1",20*AVERAGEIF('QA_Images'!$A$2:$A$65,A91,'QA_Images'!$U$2:$U$65)/100,IF(D91="NOT_CHECKED",0,C91))</f>
        <v/>
      </c>
      <c r="H91" s="3" t="inlineStr">
        <is>
          <t>Đối chiếu chất liệu, kích thước, thành phần đi kèm, biến thể và personalization với product.js live, body HTML và toàn bộ gallery.</t>
        </is>
      </c>
      <c r="I91" s="3" t="inlineStr">
        <is>
          <t>["evidence_batch_002_019", "https://jeminise.com/products/christmas-bedding-quilt-soft-microfiber-holiday-bedsprea-design-03", "serp_qa_019"]</t>
        </is>
      </c>
      <c r="J91" s="3" t="inlineStr">
        <is>
          <t>["ISS-019-IMG-03", "ISS-019-IMG-04", "R2-ISS-019-BODY", "ISS-019-ENC", "R2-ISS-019-PERS"]</t>
        </is>
      </c>
    </row>
    <row r="92" ht="42" customHeight="1">
      <c r="A92" s="2" t="inlineStr">
        <is>
          <t>jeminise.com+christmas-bedding-quilt-soft-microfiber-holiday-bedsprea-design-03</t>
        </is>
      </c>
      <c r="B92" s="2" t="inlineStr">
        <is>
          <t>K1</t>
        </is>
      </c>
      <c r="C92" s="2" t="n">
        <v>10</v>
      </c>
      <c r="D92" s="2" t="inlineStr">
        <is>
          <t>PARTIAL</t>
        </is>
      </c>
      <c r="E92" s="5">
        <f>IF(B92="I1",AVERAGEIF('QA_Images'!$A$2:$A$65,A92,'QA_Images'!$T$2:$T$65)/100,IF(D92="FULL",1,IF(D92="PARTIAL",0.5,IF(D92="FAIL",0,""))))</f>
        <v/>
      </c>
      <c r="F92" s="5">
        <f>IF(E92="",0,C92*E92)</f>
        <v/>
      </c>
      <c r="G92" s="5">
        <f>IF(B92="I1",20*AVERAGEIF('QA_Images'!$A$2:$A$65,A92,'QA_Images'!$U$2:$U$65)/100,IF(D92="NOT_CHECKED",0,C92))</f>
        <v/>
      </c>
      <c r="H92" s="2" t="inlineStr">
        <is>
          <t>Đối chiếu long-tail với thiết kế riêng, nhóm Christian/Christmas và mức độ trùng intent giữa các trang cùng cụm.</t>
        </is>
      </c>
      <c r="I92" s="2" t="inlineStr">
        <is>
          <t>["evidence_batch_002_019", "https://jeminise.com/products/christmas-bedding-quilt-soft-microfiber-holiday-bedsprea-design-03", "serp_qa_019"]</t>
        </is>
      </c>
      <c r="J92" s="2" t="inlineStr">
        <is>
          <t>["ISS-019-IMG-03", "ISS-019-IMG-04", "R2-ISS-019-BODY", "ISS-019-ENC", "R2-ISS-019-PERS"]</t>
        </is>
      </c>
    </row>
    <row r="93" ht="42" customHeight="1">
      <c r="A93" s="3" t="inlineStr">
        <is>
          <t>jeminise.com+christmas-bedding-quilt-soft-microfiber-holiday-bedsprea-design-03</t>
        </is>
      </c>
      <c r="B93" s="3" t="inlineStr">
        <is>
          <t>K2</t>
        </is>
      </c>
      <c r="C93" s="3" t="n">
        <v>5</v>
      </c>
      <c r="D93" s="3" t="inlineStr">
        <is>
          <t>FULL</t>
        </is>
      </c>
      <c r="E93" s="7">
        <f>IF(B93="I1",AVERAGEIF('QA_Images'!$A$2:$A$65,A93,'QA_Images'!$T$2:$T$65)/100,IF(D93="FULL",1,IF(D93="PARTIAL",0.5,IF(D93="FAIL",0,""))))</f>
        <v/>
      </c>
      <c r="F93" s="7">
        <f>IF(E93="",0,C93*E93)</f>
        <v/>
      </c>
      <c r="G93" s="7">
        <f>IF(B93="I1",20*AVERAGEIF('QA_Images'!$A$2:$A$65,A93,'QA_Images'!$U$2:$U$65)/100,IF(D93="NOT_CHECKED",0,C93))</f>
        <v/>
      </c>
      <c r="H93" s="3" t="inlineStr">
        <is>
          <t>Đã đọc lại hai SERP query cho mỗi sản phẩm tại intent US; ghi URL thực đọc và không suy diễn volume.</t>
        </is>
      </c>
      <c r="I93" s="3" t="inlineStr">
        <is>
          <t>["evidence_batch_002_019", "https://jeminise.com/products/christmas-bedding-quilt-soft-microfiber-holiday-bedsprea-design-03", "serp_qa_019"]</t>
        </is>
      </c>
      <c r="J93" s="3" t="inlineStr">
        <is>
          <t>["ISS-019-IMG-03", "ISS-019-IMG-04", "R2-ISS-019-BODY", "ISS-019-ENC", "R2-ISS-019-PERS"]</t>
        </is>
      </c>
    </row>
    <row r="94" ht="42" customHeight="1">
      <c r="A94" s="2" t="inlineStr">
        <is>
          <t>jeminise.com+christmas-bedding-quilt-soft-microfiber-holiday-bedsprea-design-03</t>
        </is>
      </c>
      <c r="B94" s="2" t="inlineStr">
        <is>
          <t>K3</t>
        </is>
      </c>
      <c r="C94" s="2" t="n">
        <v>5</v>
      </c>
      <c r="D94" s="2" t="inlineStr">
        <is>
          <t>FULL</t>
        </is>
      </c>
      <c r="E94" s="5">
        <f>IF(B94="I1",AVERAGEIF('QA_Images'!$A$2:$A$65,A94,'QA_Images'!$T$2:$T$65)/100,IF(D94="FULL",1,IF(D94="PARTIAL",0.5,IF(D94="FAIL",0,""))))</f>
        <v/>
      </c>
      <c r="F94" s="5">
        <f>IF(E94="",0,C94*E94)</f>
        <v/>
      </c>
      <c r="G94" s="5">
        <f>IF(B94="I1",20*AVERAGEIF('QA_Images'!$A$2:$A$65,A94,'QA_Images'!$U$2:$U$65)/100,IF(D94="NOT_CHECKED",0,C94))</f>
        <v/>
      </c>
      <c r="H94" s="2" t="inlineStr">
        <is>
          <t>Không suy diễn volume; phân biệt SERP_ONLY và HYPOTHESIS_ONLY.</t>
        </is>
      </c>
      <c r="I94" s="2" t="inlineStr">
        <is>
          <t>["evidence_batch_002_019", "https://jeminise.com/products/christmas-bedding-quilt-soft-microfiber-holiday-bedsprea-design-03", "serp_qa_019"]</t>
        </is>
      </c>
      <c r="J94" s="2" t="inlineStr">
        <is>
          <t>["ISS-019-IMG-03", "ISS-019-IMG-04", "R2-ISS-019-BODY", "ISS-019-ENC", "R2-ISS-019-PERS"]</t>
        </is>
      </c>
    </row>
    <row r="95" ht="42" customHeight="1">
      <c r="A95" s="3" t="inlineStr">
        <is>
          <t>jeminise.com+christmas-bedding-quilt-soft-microfiber-holiday-bedsprea-design-03</t>
        </is>
      </c>
      <c r="B95" s="3" t="inlineStr">
        <is>
          <t>T1</t>
        </is>
      </c>
      <c r="C95" s="3" t="n">
        <v>10</v>
      </c>
      <c r="D95" s="3" t="inlineStr">
        <is>
          <t>FULL</t>
        </is>
      </c>
      <c r="E95" s="7">
        <f>IF(B95="I1",AVERAGEIF('QA_Images'!$A$2:$A$65,A95,'QA_Images'!$T$2:$T$65)/100,IF(D95="FULL",1,IF(D95="PARTIAL",0.5,IF(D95="FAIL",0,""))))</f>
        <v/>
      </c>
      <c r="F95" s="7">
        <f>IF(E95="",0,C95*E95)</f>
        <v/>
      </c>
      <c r="G95" s="7">
        <f>IF(B95="I1",20*AVERAGEIF('QA_Images'!$A$2:$A$65,A95,'QA_Images'!$U$2:$U$65)/100,IF(D95="NOT_CHECKED",0,C95))</f>
        <v/>
      </c>
      <c r="H95" s="3" t="inlineStr">
        <is>
          <t>Đánh giá SEO title English về độ đúng, tự nhiên, keyword và điểm phân biệt.</t>
        </is>
      </c>
      <c r="I95" s="3" t="inlineStr">
        <is>
          <t>["evidence_batch_002_019", "https://jeminise.com/products/christmas-bedding-quilt-soft-microfiber-holiday-bedsprea-design-03", "serp_qa_019"]</t>
        </is>
      </c>
      <c r="J95" s="3" t="inlineStr">
        <is>
          <t>["ISS-019-IMG-03", "ISS-019-IMG-04", "R2-ISS-019-BODY", "ISS-019-ENC", "R2-ISS-019-PERS"]</t>
        </is>
      </c>
    </row>
    <row r="96" ht="42" customHeight="1">
      <c r="A96" s="2" t="inlineStr">
        <is>
          <t>jeminise.com+christmas-bedding-quilt-soft-microfiber-holiday-bedsprea-design-03</t>
        </is>
      </c>
      <c r="B96" s="2" t="inlineStr">
        <is>
          <t>T2</t>
        </is>
      </c>
      <c r="C96" s="2" t="n">
        <v>5</v>
      </c>
      <c r="D96" s="2" t="inlineStr">
        <is>
          <t>FULL</t>
        </is>
      </c>
      <c r="E96" s="5">
        <f>IF(B96="I1",AVERAGEIF('QA_Images'!$A$2:$A$65,A96,'QA_Images'!$T$2:$T$65)/100,IF(D96="FULL",1,IF(D96="PARTIAL",0.5,IF(D96="FAIL",0,""))))</f>
        <v/>
      </c>
      <c r="F96" s="5">
        <f>IF(E96="",0,C96*E96)</f>
        <v/>
      </c>
      <c r="G96" s="5">
        <f>IF(B96="I1",20*AVERAGEIF('QA_Images'!$A$2:$A$65,A96,'QA_Images'!$U$2:$U$65)/100,IF(D96="NOT_CHECKED",0,C96))</f>
        <v/>
      </c>
      <c r="H96" s="2" t="inlineStr">
        <is>
          <t>Đánh giá H1 đề xuất độc lập với SEO title và đối chiếu lỗi ký tự nguồn.</t>
        </is>
      </c>
      <c r="I96" s="2" t="inlineStr">
        <is>
          <t>["evidence_batch_002_019", "https://jeminise.com/products/christmas-bedding-quilt-soft-microfiber-holiday-bedsprea-design-03", "serp_qa_019"]</t>
        </is>
      </c>
      <c r="J96" s="2" t="inlineStr">
        <is>
          <t>["ISS-019-IMG-03", "ISS-019-IMG-04", "R2-ISS-019-BODY", "ISS-019-ENC", "R2-ISS-019-PERS"]</t>
        </is>
      </c>
    </row>
    <row r="97" ht="42" customHeight="1">
      <c r="A97" s="3" t="inlineStr">
        <is>
          <t>jeminise.com+christmas-bedding-quilt-soft-microfiber-holiday-bedsprea-design-03</t>
        </is>
      </c>
      <c r="B97" s="3" t="inlineStr">
        <is>
          <t>D1</t>
        </is>
      </c>
      <c r="C97" s="3" t="n">
        <v>5</v>
      </c>
      <c r="D97" s="3" t="inlineStr">
        <is>
          <t>FULL</t>
        </is>
      </c>
      <c r="E97" s="7">
        <f>IF(B97="I1",AVERAGEIF('QA_Images'!$A$2:$A$65,A97,'QA_Images'!$T$2:$T$65)/100,IF(D97="FULL",1,IF(D97="PARTIAL",0.5,IF(D97="FAIL",0,""))))</f>
        <v/>
      </c>
      <c r="F97" s="7">
        <f>IF(E97="",0,C97*E97)</f>
        <v/>
      </c>
      <c r="G97" s="7">
        <f>IF(B97="I1",20*AVERAGEIF('QA_Images'!$A$2:$A$65,A97,'QA_Images'!$U$2:$U$65)/100,IF(D97="NOT_CHECKED",0,C97))</f>
        <v/>
      </c>
      <c r="H97" s="3" t="inlineStr">
        <is>
          <t>Đánh giá meta description về tính cụ thể và căn cứ claim.</t>
        </is>
      </c>
      <c r="I97" s="3" t="inlineStr">
        <is>
          <t>["evidence_batch_002_019", "https://jeminise.com/products/christmas-bedding-quilt-soft-microfiber-holiday-bedsprea-design-03", "serp_qa_019"]</t>
        </is>
      </c>
      <c r="J97" s="3" t="inlineStr">
        <is>
          <t>["ISS-019-IMG-03", "ISS-019-IMG-04", "R2-ISS-019-BODY", "ISS-019-ENC", "R2-ISS-019-PERS"]</t>
        </is>
      </c>
    </row>
    <row r="98" ht="42" customHeight="1">
      <c r="A98" s="2" t="inlineStr">
        <is>
          <t>jeminise.com+christmas-bedding-quilt-soft-microfiber-holiday-bedsprea-design-03</t>
        </is>
      </c>
      <c r="B98" s="2" t="inlineStr">
        <is>
          <t>D2</t>
        </is>
      </c>
      <c r="C98" s="2" t="n">
        <v>10</v>
      </c>
      <c r="D98" s="2" t="inlineStr">
        <is>
          <t>FAIL</t>
        </is>
      </c>
      <c r="E98" s="5">
        <f>IF(B98="I1",AVERAGEIF('QA_Images'!$A$2:$A$65,A98,'QA_Images'!$T$2:$T$65)/100,IF(D98="FULL",1,IF(D98="PARTIAL",0.5,IF(D98="FAIL",0,""))))</f>
        <v/>
      </c>
      <c r="F98" s="5">
        <f>IF(E98="",0,C98*E98)</f>
        <v/>
      </c>
      <c r="G98" s="5">
        <f>IF(B98="I1",20*AVERAGEIF('QA_Images'!$A$2:$A$65,A98,'QA_Images'!$U$2:$U$65)/100,IF(D98="NOT_CHECKED",0,C98))</f>
        <v/>
      </c>
      <c r="H98" s="2" t="inlineStr">
        <is>
          <t>Description SET có HTML đầy đủ nhưng chứa câu nội bộ 'This draft should be reviewed...' và dữ liệu nguồn thô/mâu thuẫn; chưa phải nội dung publish-ready.</t>
        </is>
      </c>
      <c r="I98" s="2" t="inlineStr">
        <is>
          <t>["evidence_batch_002_019", "https://jeminise.com/products/christmas-bedding-quilt-soft-microfiber-holiday-bedsprea-design-03", "serp_qa_019"]</t>
        </is>
      </c>
      <c r="J98" s="2" t="inlineStr">
        <is>
          <t>["ISS-019-IMG-03", "ISS-019-IMG-04", "R2-ISS-019-BODY", "ISS-019-ENC", "R2-ISS-019-PERS"]</t>
        </is>
      </c>
    </row>
    <row r="99" ht="42" customHeight="1">
      <c r="A99" s="3" t="inlineStr">
        <is>
          <t>jeminise.com+christmas-bedding-quilt-soft-microfiber-holiday-bedsprea-design-03</t>
        </is>
      </c>
      <c r="B99" s="3" t="inlineStr">
        <is>
          <t>I1</t>
        </is>
      </c>
      <c r="C99" s="3" t="n">
        <v>20</v>
      </c>
      <c r="D99" s="3" t="inlineStr">
        <is>
          <t>DERIVED</t>
        </is>
      </c>
      <c r="E99" s="7">
        <f>IF(B99="I1",AVERAGEIF('QA_Images'!$A$2:$A$65,A99,'QA_Images'!$T$2:$T$65)/100,IF(D99="FULL",1,IF(D99="PARTIAL",0.5,IF(D99="FAIL",0,""))))</f>
        <v/>
      </c>
      <c r="F99" s="7">
        <f>IF(E99="",0,C99*E99)</f>
        <v/>
      </c>
      <c r="G99" s="7">
        <f>IF(B99="I1",20*AVERAGEIF('QA_Images'!$A$2:$A$65,A99,'QA_Images'!$U$2:$U$65)/100,IF(D99="NOT_CHECKED",0,C99))</f>
        <v/>
      </c>
      <c r="H99" s="3" t="inlineStr">
        <is>
          <t>Tính từ trung bình 5 ảnh: 80.0000/100.</t>
        </is>
      </c>
      <c r="I99" s="3" t="inlineStr">
        <is>
          <t>["evidence_batch_002_019", "https://jeminise.com/products/christmas-bedding-quilt-soft-microfiber-holiday-bedsprea-design-03", "serp_qa_019"]</t>
        </is>
      </c>
      <c r="J99" s="3" t="inlineStr">
        <is>
          <t>["ISS-019-IMG-03", "ISS-019-IMG-04", "R2-ISS-019-BODY", "ISS-019-ENC", "R2-ISS-019-PERS"]</t>
        </is>
      </c>
    </row>
    <row r="100" ht="42" customHeight="1">
      <c r="A100" s="2" t="inlineStr">
        <is>
          <t>jeminise.com+christmas-bedding-quilt-soft-microfiber-holiday-bedsprea-design-03</t>
        </is>
      </c>
      <c r="B100" s="2" t="inlineStr">
        <is>
          <t>E1</t>
        </is>
      </c>
      <c r="C100" s="2" t="n">
        <v>5</v>
      </c>
      <c r="D100" s="2" t="inlineStr">
        <is>
          <t>PARTIAL</t>
        </is>
      </c>
      <c r="E100" s="5">
        <f>IF(B100="I1",AVERAGEIF('QA_Images'!$A$2:$A$65,A100,'QA_Images'!$T$2:$T$65)/100,IF(D100="FULL",1,IF(D100="PARTIAL",0.5,IF(D100="FAIL",0,""))))</f>
        <v/>
      </c>
      <c r="F100" s="5">
        <f>IF(E100="",0,C100*E100)</f>
        <v/>
      </c>
      <c r="G100" s="5">
        <f>IF(B100="I1",20*AVERAGEIF('QA_Images'!$A$2:$A$65,A100,'QA_Images'!$U$2:$U$65)/100,IF(D100="NOT_CHECKED",0,C100))</f>
        <v/>
      </c>
      <c r="H100" s="2" t="inlineStr">
        <is>
          <t>Kiểm tra liên kết product key/handle/evidence/revision giữa workbook, snapshot và nguồn live.</t>
        </is>
      </c>
      <c r="I100" s="2" t="inlineStr">
        <is>
          <t>["evidence_batch_002_019", "https://jeminise.com/products/christmas-bedding-quilt-soft-microfiber-holiday-bedsprea-design-03", "serp_qa_019"]</t>
        </is>
      </c>
      <c r="J100" s="2" t="inlineStr">
        <is>
          <t>["ISS-019-IMG-03", "ISS-019-IMG-04", "R2-ISS-019-BODY", "ISS-019-ENC", "R2-ISS-019-PERS"]</t>
        </is>
      </c>
    </row>
    <row r="101" ht="42" customHeight="1">
      <c r="A101" s="3" t="inlineStr">
        <is>
          <t>jeminise.com+christmas-bedding-quilt-soft-microfiber-holiday-bedsprea-design-04</t>
        </is>
      </c>
      <c r="B101" s="3" t="inlineStr">
        <is>
          <t>P1</t>
        </is>
      </c>
      <c r="C101" s="3" t="n">
        <v>15</v>
      </c>
      <c r="D101" s="3" t="inlineStr">
        <is>
          <t>FULL</t>
        </is>
      </c>
      <c r="E101" s="7">
        <f>IF(B101="I1",AVERAGEIF('QA_Images'!$A$2:$A$65,A101,'QA_Images'!$T$2:$T$65)/100,IF(D101="FULL",1,IF(D101="PARTIAL",0.5,IF(D101="FAIL",0,""))))</f>
        <v/>
      </c>
      <c r="F101" s="7">
        <f>IF(E101="",0,C101*E101)</f>
        <v/>
      </c>
      <c r="G101" s="7">
        <f>IF(B101="I1",20*AVERAGEIF('QA_Images'!$A$2:$A$65,A101,'QA_Images'!$U$2:$U$65)/100,IF(D101="NOT_CHECKED",0,C101))</f>
        <v/>
      </c>
      <c r="H101" s="3" t="inlineStr">
        <is>
          <t>Đối chiếu loại sản phẩm, thiết kế và màu với product JSON, H1 live và toàn bộ gallery.</t>
        </is>
      </c>
      <c r="I101" s="3" t="inlineStr">
        <is>
          <t>["evidence_batch_002_020", "https://jeminise.com/products/christmas-bedding-quilt-soft-microfiber-holiday-bedsprea-design-04", "serp_qa_020"]</t>
        </is>
      </c>
      <c r="J101" s="3" t="inlineStr">
        <is>
          <t>["ISS-020-IMG-03", "ISS-020-IMG-04", "R2-ISS-020-BODY", "ISS-020-ENC", "R2-ISS-020-PERS"]</t>
        </is>
      </c>
    </row>
    <row r="102" ht="42" customHeight="1">
      <c r="A102" s="2" t="inlineStr">
        <is>
          <t>jeminise.com+christmas-bedding-quilt-soft-microfiber-holiday-bedsprea-design-04</t>
        </is>
      </c>
      <c r="B102" s="2" t="inlineStr">
        <is>
          <t>P2</t>
        </is>
      </c>
      <c r="C102" s="2" t="n">
        <v>10</v>
      </c>
      <c r="D102" s="2" t="inlineStr">
        <is>
          <t>FULL</t>
        </is>
      </c>
      <c r="E102" s="5">
        <f>IF(B102="I1",AVERAGEIF('QA_Images'!$A$2:$A$65,A102,'QA_Images'!$T$2:$T$65)/100,IF(D102="FULL",1,IF(D102="PARTIAL",0.5,IF(D102="FAIL",0,""))))</f>
        <v/>
      </c>
      <c r="F102" s="5">
        <f>IF(E102="",0,C102*E102)</f>
        <v/>
      </c>
      <c r="G102" s="5">
        <f>IF(B102="I1",20*AVERAGEIF('QA_Images'!$A$2:$A$65,A102,'QA_Images'!$U$2:$U$65)/100,IF(D102="NOT_CHECKED",0,C102))</f>
        <v/>
      </c>
      <c r="H102" s="2" t="inlineStr">
        <is>
          <t>Đối chiếu chất liệu, kích thước, thành phần đi kèm, biến thể và personalization với product.js live, body HTML và toàn bộ gallery.</t>
        </is>
      </c>
      <c r="I102" s="2" t="inlineStr">
        <is>
          <t>["evidence_batch_002_020", "https://jeminise.com/products/christmas-bedding-quilt-soft-microfiber-holiday-bedsprea-design-04", "serp_qa_020"]</t>
        </is>
      </c>
      <c r="J102" s="2" t="inlineStr">
        <is>
          <t>["ISS-020-IMG-03", "ISS-020-IMG-04", "R2-ISS-020-BODY", "ISS-020-ENC", "R2-ISS-020-PERS"]</t>
        </is>
      </c>
    </row>
    <row r="103" ht="42" customHeight="1">
      <c r="A103" s="3" t="inlineStr">
        <is>
          <t>jeminise.com+christmas-bedding-quilt-soft-microfiber-holiday-bedsprea-design-04</t>
        </is>
      </c>
      <c r="B103" s="3" t="inlineStr">
        <is>
          <t>K1</t>
        </is>
      </c>
      <c r="C103" s="3" t="n">
        <v>10</v>
      </c>
      <c r="D103" s="3" t="inlineStr">
        <is>
          <t>PARTIAL</t>
        </is>
      </c>
      <c r="E103" s="7">
        <f>IF(B103="I1",AVERAGEIF('QA_Images'!$A$2:$A$65,A103,'QA_Images'!$T$2:$T$65)/100,IF(D103="FULL",1,IF(D103="PARTIAL",0.5,IF(D103="FAIL",0,""))))</f>
        <v/>
      </c>
      <c r="F103" s="7">
        <f>IF(E103="",0,C103*E103)</f>
        <v/>
      </c>
      <c r="G103" s="7">
        <f>IF(B103="I1",20*AVERAGEIF('QA_Images'!$A$2:$A$65,A103,'QA_Images'!$U$2:$U$65)/100,IF(D103="NOT_CHECKED",0,C103))</f>
        <v/>
      </c>
      <c r="H103" s="3" t="inlineStr">
        <is>
          <t>Đối chiếu long-tail với thiết kế riêng, nhóm Christian/Christmas và mức độ trùng intent giữa các trang cùng cụm.</t>
        </is>
      </c>
      <c r="I103" s="3" t="inlineStr">
        <is>
          <t>["evidence_batch_002_020", "https://jeminise.com/products/christmas-bedding-quilt-soft-microfiber-holiday-bedsprea-design-04", "serp_qa_020"]</t>
        </is>
      </c>
      <c r="J103" s="3" t="inlineStr">
        <is>
          <t>["ISS-020-IMG-03", "ISS-020-IMG-04", "R2-ISS-020-BODY", "ISS-020-ENC", "R2-ISS-020-PERS"]</t>
        </is>
      </c>
    </row>
    <row r="104" ht="42" customHeight="1">
      <c r="A104" s="2" t="inlineStr">
        <is>
          <t>jeminise.com+christmas-bedding-quilt-soft-microfiber-holiday-bedsprea-design-04</t>
        </is>
      </c>
      <c r="B104" s="2" t="inlineStr">
        <is>
          <t>K2</t>
        </is>
      </c>
      <c r="C104" s="2" t="n">
        <v>5</v>
      </c>
      <c r="D104" s="2" t="inlineStr">
        <is>
          <t>FULL</t>
        </is>
      </c>
      <c r="E104" s="5">
        <f>IF(B104="I1",AVERAGEIF('QA_Images'!$A$2:$A$65,A104,'QA_Images'!$T$2:$T$65)/100,IF(D104="FULL",1,IF(D104="PARTIAL",0.5,IF(D104="FAIL",0,""))))</f>
        <v/>
      </c>
      <c r="F104" s="5">
        <f>IF(E104="",0,C104*E104)</f>
        <v/>
      </c>
      <c r="G104" s="5">
        <f>IF(B104="I1",20*AVERAGEIF('QA_Images'!$A$2:$A$65,A104,'QA_Images'!$U$2:$U$65)/100,IF(D104="NOT_CHECKED",0,C104))</f>
        <v/>
      </c>
      <c r="H104" s="2" t="inlineStr">
        <is>
          <t>Đã đọc lại hai SERP query cho mỗi sản phẩm tại intent US; ghi URL thực đọc và không suy diễn volume.</t>
        </is>
      </c>
      <c r="I104" s="2" t="inlineStr">
        <is>
          <t>["evidence_batch_002_020", "https://jeminise.com/products/christmas-bedding-quilt-soft-microfiber-holiday-bedsprea-design-04", "serp_qa_020"]</t>
        </is>
      </c>
      <c r="J104" s="2" t="inlineStr">
        <is>
          <t>["ISS-020-IMG-03", "ISS-020-IMG-04", "R2-ISS-020-BODY", "ISS-020-ENC", "R2-ISS-020-PERS"]</t>
        </is>
      </c>
    </row>
    <row r="105" ht="42" customHeight="1">
      <c r="A105" s="3" t="inlineStr">
        <is>
          <t>jeminise.com+christmas-bedding-quilt-soft-microfiber-holiday-bedsprea-design-04</t>
        </is>
      </c>
      <c r="B105" s="3" t="inlineStr">
        <is>
          <t>K3</t>
        </is>
      </c>
      <c r="C105" s="3" t="n">
        <v>5</v>
      </c>
      <c r="D105" s="3" t="inlineStr">
        <is>
          <t>FULL</t>
        </is>
      </c>
      <c r="E105" s="7">
        <f>IF(B105="I1",AVERAGEIF('QA_Images'!$A$2:$A$65,A105,'QA_Images'!$T$2:$T$65)/100,IF(D105="FULL",1,IF(D105="PARTIAL",0.5,IF(D105="FAIL",0,""))))</f>
        <v/>
      </c>
      <c r="F105" s="7">
        <f>IF(E105="",0,C105*E105)</f>
        <v/>
      </c>
      <c r="G105" s="7">
        <f>IF(B105="I1",20*AVERAGEIF('QA_Images'!$A$2:$A$65,A105,'QA_Images'!$U$2:$U$65)/100,IF(D105="NOT_CHECKED",0,C105))</f>
        <v/>
      </c>
      <c r="H105" s="3" t="inlineStr">
        <is>
          <t>Không suy diễn volume; phân biệt SERP_ONLY và HYPOTHESIS_ONLY.</t>
        </is>
      </c>
      <c r="I105" s="3" t="inlineStr">
        <is>
          <t>["evidence_batch_002_020", "https://jeminise.com/products/christmas-bedding-quilt-soft-microfiber-holiday-bedsprea-design-04", "serp_qa_020"]</t>
        </is>
      </c>
      <c r="J105" s="3" t="inlineStr">
        <is>
          <t>["ISS-020-IMG-03", "ISS-020-IMG-04", "R2-ISS-020-BODY", "ISS-020-ENC", "R2-ISS-020-PERS"]</t>
        </is>
      </c>
    </row>
    <row r="106" ht="42" customHeight="1">
      <c r="A106" s="2" t="inlineStr">
        <is>
          <t>jeminise.com+christmas-bedding-quilt-soft-microfiber-holiday-bedsprea-design-04</t>
        </is>
      </c>
      <c r="B106" s="2" t="inlineStr">
        <is>
          <t>T1</t>
        </is>
      </c>
      <c r="C106" s="2" t="n">
        <v>10</v>
      </c>
      <c r="D106" s="2" t="inlineStr">
        <is>
          <t>PARTIAL</t>
        </is>
      </c>
      <c r="E106" s="5">
        <f>IF(B106="I1",AVERAGEIF('QA_Images'!$A$2:$A$65,A106,'QA_Images'!$T$2:$T$65)/100,IF(D106="FULL",1,IF(D106="PARTIAL",0.5,IF(D106="FAIL",0,""))))</f>
        <v/>
      </c>
      <c r="F106" s="5">
        <f>IF(E106="",0,C106*E106)</f>
        <v/>
      </c>
      <c r="G106" s="5">
        <f>IF(B106="I1",20*AVERAGEIF('QA_Images'!$A$2:$A$65,A106,'QA_Images'!$U$2:$U$65)/100,IF(D106="NOT_CHECKED",0,C106))</f>
        <v/>
      </c>
      <c r="H106" s="2" t="inlineStr">
        <is>
          <t>Đánh giá SEO title English về độ đúng, tự nhiên, keyword và điểm phân biệt.</t>
        </is>
      </c>
      <c r="I106" s="2" t="inlineStr">
        <is>
          <t>["evidence_batch_002_020", "https://jeminise.com/products/christmas-bedding-quilt-soft-microfiber-holiday-bedsprea-design-04", "serp_qa_020"]</t>
        </is>
      </c>
      <c r="J106" s="2" t="inlineStr">
        <is>
          <t>["ISS-020-IMG-03", "ISS-020-IMG-04", "R2-ISS-020-BODY", "ISS-020-ENC", "R2-ISS-020-PERS"]</t>
        </is>
      </c>
    </row>
    <row r="107" ht="42" customHeight="1">
      <c r="A107" s="3" t="inlineStr">
        <is>
          <t>jeminise.com+christmas-bedding-quilt-soft-microfiber-holiday-bedsprea-design-04</t>
        </is>
      </c>
      <c r="B107" s="3" t="inlineStr">
        <is>
          <t>T2</t>
        </is>
      </c>
      <c r="C107" s="3" t="n">
        <v>5</v>
      </c>
      <c r="D107" s="3" t="inlineStr">
        <is>
          <t>FULL</t>
        </is>
      </c>
      <c r="E107" s="7">
        <f>IF(B107="I1",AVERAGEIF('QA_Images'!$A$2:$A$65,A107,'QA_Images'!$T$2:$T$65)/100,IF(D107="FULL",1,IF(D107="PARTIAL",0.5,IF(D107="FAIL",0,""))))</f>
        <v/>
      </c>
      <c r="F107" s="7">
        <f>IF(E107="",0,C107*E107)</f>
        <v/>
      </c>
      <c r="G107" s="7">
        <f>IF(B107="I1",20*AVERAGEIF('QA_Images'!$A$2:$A$65,A107,'QA_Images'!$U$2:$U$65)/100,IF(D107="NOT_CHECKED",0,C107))</f>
        <v/>
      </c>
      <c r="H107" s="3" t="inlineStr">
        <is>
          <t>Đánh giá H1 đề xuất độc lập với SEO title và đối chiếu lỗi ký tự nguồn.</t>
        </is>
      </c>
      <c r="I107" s="3" t="inlineStr">
        <is>
          <t>["evidence_batch_002_020", "https://jeminise.com/products/christmas-bedding-quilt-soft-microfiber-holiday-bedsprea-design-04", "serp_qa_020"]</t>
        </is>
      </c>
      <c r="J107" s="3" t="inlineStr">
        <is>
          <t>["ISS-020-IMG-03", "ISS-020-IMG-04", "R2-ISS-020-BODY", "ISS-020-ENC", "R2-ISS-020-PERS"]</t>
        </is>
      </c>
    </row>
    <row r="108" ht="42" customHeight="1">
      <c r="A108" s="2" t="inlineStr">
        <is>
          <t>jeminise.com+christmas-bedding-quilt-soft-microfiber-holiday-bedsprea-design-04</t>
        </is>
      </c>
      <c r="B108" s="2" t="inlineStr">
        <is>
          <t>D1</t>
        </is>
      </c>
      <c r="C108" s="2" t="n">
        <v>5</v>
      </c>
      <c r="D108" s="2" t="inlineStr">
        <is>
          <t>FULL</t>
        </is>
      </c>
      <c r="E108" s="5">
        <f>IF(B108="I1",AVERAGEIF('QA_Images'!$A$2:$A$65,A108,'QA_Images'!$T$2:$T$65)/100,IF(D108="FULL",1,IF(D108="PARTIAL",0.5,IF(D108="FAIL",0,""))))</f>
        <v/>
      </c>
      <c r="F108" s="5">
        <f>IF(E108="",0,C108*E108)</f>
        <v/>
      </c>
      <c r="G108" s="5">
        <f>IF(B108="I1",20*AVERAGEIF('QA_Images'!$A$2:$A$65,A108,'QA_Images'!$U$2:$U$65)/100,IF(D108="NOT_CHECKED",0,C108))</f>
        <v/>
      </c>
      <c r="H108" s="2" t="inlineStr">
        <is>
          <t>Đánh giá meta description về tính cụ thể và căn cứ claim.</t>
        </is>
      </c>
      <c r="I108" s="2" t="inlineStr">
        <is>
          <t>["evidence_batch_002_020", "https://jeminise.com/products/christmas-bedding-quilt-soft-microfiber-holiday-bedsprea-design-04", "serp_qa_020"]</t>
        </is>
      </c>
      <c r="J108" s="2" t="inlineStr">
        <is>
          <t>["ISS-020-IMG-03", "ISS-020-IMG-04", "R2-ISS-020-BODY", "ISS-020-ENC", "R2-ISS-020-PERS"]</t>
        </is>
      </c>
    </row>
    <row r="109" ht="42" customHeight="1">
      <c r="A109" s="3" t="inlineStr">
        <is>
          <t>jeminise.com+christmas-bedding-quilt-soft-microfiber-holiday-bedsprea-design-04</t>
        </is>
      </c>
      <c r="B109" s="3" t="inlineStr">
        <is>
          <t>D2</t>
        </is>
      </c>
      <c r="C109" s="3" t="n">
        <v>10</v>
      </c>
      <c r="D109" s="3" t="inlineStr">
        <is>
          <t>FAIL</t>
        </is>
      </c>
      <c r="E109" s="7">
        <f>IF(B109="I1",AVERAGEIF('QA_Images'!$A$2:$A$65,A109,'QA_Images'!$T$2:$T$65)/100,IF(D109="FULL",1,IF(D109="PARTIAL",0.5,IF(D109="FAIL",0,""))))</f>
        <v/>
      </c>
      <c r="F109" s="7">
        <f>IF(E109="",0,C109*E109)</f>
        <v/>
      </c>
      <c r="G109" s="7">
        <f>IF(B109="I1",20*AVERAGEIF('QA_Images'!$A$2:$A$65,A109,'QA_Images'!$U$2:$U$65)/100,IF(D109="NOT_CHECKED",0,C109))</f>
        <v/>
      </c>
      <c r="H109" s="3" t="inlineStr">
        <is>
          <t>Description SET có HTML đầy đủ nhưng chứa câu nội bộ 'This draft should be reviewed...' và dữ liệu nguồn thô/mâu thuẫn; chưa phải nội dung publish-ready.</t>
        </is>
      </c>
      <c r="I109" s="3" t="inlineStr">
        <is>
          <t>["evidence_batch_002_020", "https://jeminise.com/products/christmas-bedding-quilt-soft-microfiber-holiday-bedsprea-design-04", "serp_qa_020"]</t>
        </is>
      </c>
      <c r="J109" s="3" t="inlineStr">
        <is>
          <t>["ISS-020-IMG-03", "ISS-020-IMG-04", "R2-ISS-020-BODY", "ISS-020-ENC", "R2-ISS-020-PERS"]</t>
        </is>
      </c>
    </row>
    <row r="110" ht="42" customHeight="1">
      <c r="A110" s="2" t="inlineStr">
        <is>
          <t>jeminise.com+christmas-bedding-quilt-soft-microfiber-holiday-bedsprea-design-04</t>
        </is>
      </c>
      <c r="B110" s="2" t="inlineStr">
        <is>
          <t>I1</t>
        </is>
      </c>
      <c r="C110" s="2" t="n">
        <v>20</v>
      </c>
      <c r="D110" s="2" t="inlineStr">
        <is>
          <t>DERIVED</t>
        </is>
      </c>
      <c r="E110" s="5">
        <f>IF(B110="I1",AVERAGEIF('QA_Images'!$A$2:$A$65,A110,'QA_Images'!$T$2:$T$65)/100,IF(D110="FULL",1,IF(D110="PARTIAL",0.5,IF(D110="FAIL",0,""))))</f>
        <v/>
      </c>
      <c r="F110" s="5">
        <f>IF(E110="",0,C110*E110)</f>
        <v/>
      </c>
      <c r="G110" s="5">
        <f>IF(B110="I1",20*AVERAGEIF('QA_Images'!$A$2:$A$65,A110,'QA_Images'!$U$2:$U$65)/100,IF(D110="NOT_CHECKED",0,C110))</f>
        <v/>
      </c>
      <c r="H110" s="2" t="inlineStr">
        <is>
          <t>Tính từ trung bình 5 ảnh: 87.0000/100.</t>
        </is>
      </c>
      <c r="I110" s="2" t="inlineStr">
        <is>
          <t>["evidence_batch_002_020", "https://jeminise.com/products/christmas-bedding-quilt-soft-microfiber-holiday-bedsprea-design-04", "serp_qa_020"]</t>
        </is>
      </c>
      <c r="J110" s="2" t="inlineStr">
        <is>
          <t>["ISS-020-IMG-03", "ISS-020-IMG-04", "R2-ISS-020-BODY", "ISS-020-ENC", "R2-ISS-020-PERS"]</t>
        </is>
      </c>
    </row>
    <row r="111" ht="42" customHeight="1">
      <c r="A111" s="3" t="inlineStr">
        <is>
          <t>jeminise.com+christmas-bedding-quilt-soft-microfiber-holiday-bedsprea-design-04</t>
        </is>
      </c>
      <c r="B111" s="3" t="inlineStr">
        <is>
          <t>E1</t>
        </is>
      </c>
      <c r="C111" s="3" t="n">
        <v>5</v>
      </c>
      <c r="D111" s="3" t="inlineStr">
        <is>
          <t>PARTIAL</t>
        </is>
      </c>
      <c r="E111" s="7">
        <f>IF(B111="I1",AVERAGEIF('QA_Images'!$A$2:$A$65,A111,'QA_Images'!$T$2:$T$65)/100,IF(D111="FULL",1,IF(D111="PARTIAL",0.5,IF(D111="FAIL",0,""))))</f>
        <v/>
      </c>
      <c r="F111" s="7">
        <f>IF(E111="",0,C111*E111)</f>
        <v/>
      </c>
      <c r="G111" s="7">
        <f>IF(B111="I1",20*AVERAGEIF('QA_Images'!$A$2:$A$65,A111,'QA_Images'!$U$2:$U$65)/100,IF(D111="NOT_CHECKED",0,C111))</f>
        <v/>
      </c>
      <c r="H111" s="3" t="inlineStr">
        <is>
          <t>Kiểm tra liên kết product key/handle/evidence/revision giữa workbook, snapshot và nguồn live.</t>
        </is>
      </c>
      <c r="I111" s="3" t="inlineStr">
        <is>
          <t>["evidence_batch_002_020", "https://jeminise.com/products/christmas-bedding-quilt-soft-microfiber-holiday-bedsprea-design-04", "serp_qa_020"]</t>
        </is>
      </c>
      <c r="J111" s="3" t="inlineStr">
        <is>
          <t>["ISS-020-IMG-03", "ISS-020-IMG-04", "R2-ISS-020-BODY", "ISS-020-ENC", "R2-ISS-020-PERS"]</t>
        </is>
      </c>
    </row>
  </sheetData>
  <autoFilter ref="A1:J111"/>
  <printOptions horizontalCentered="0"/>
  <pageMargins left="0.25" right="0.25" top="0.5" bottom="0.5"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Z65"/>
  <sheetViews>
    <sheetView showGridLines="0" workbookViewId="0">
      <pane ySplit="1" topLeftCell="A2" activePane="bottomLeft" state="frozen"/>
      <selection pane="bottomLeft" activeCell="A1" sqref="A1"/>
    </sheetView>
  </sheetViews>
  <sheetFormatPr baseColWidth="8" defaultRowHeight="15"/>
  <cols>
    <col width="42" customWidth="1" min="1" max="1"/>
    <col width="20" customWidth="1" min="2" max="2"/>
    <col width="38" customWidth="1" min="3" max="3"/>
    <col width="38" customWidth="1" min="4" max="4"/>
    <col width="20" customWidth="1" min="5" max="5"/>
    <col width="38" customWidth="1" min="6" max="6"/>
    <col width="11" customWidth="1" min="7" max="7"/>
    <col width="16" customWidth="1" min="8" max="8"/>
    <col width="23" customWidth="1" min="9" max="9"/>
    <col width="24" customWidth="1" min="10" max="10"/>
    <col width="42" customWidth="1" min="11" max="11"/>
    <col width="42" customWidth="1" min="12" max="12"/>
    <col width="24" customWidth="1" min="13" max="13"/>
    <col width="12" customWidth="1" min="14" max="14"/>
    <col width="42" customWidth="1" min="15" max="15"/>
    <col width="11" customWidth="1" min="16" max="16"/>
    <col width="11" customWidth="1" min="17" max="17"/>
    <col width="11" customWidth="1" min="18" max="18"/>
    <col width="11" customWidth="1" min="19" max="19"/>
    <col width="24" customWidth="1" min="20" max="20"/>
    <col width="24" customWidth="1" min="21" max="21"/>
    <col width="21" customWidth="1" min="22" max="22"/>
    <col width="24" customWidth="1" min="23" max="23"/>
    <col width="24" customWidth="1" min="24" max="24"/>
    <col width="42" customWidth="1" min="25" max="25"/>
    <col width="42" customWidth="1" min="26" max="26"/>
  </cols>
  <sheetData>
    <row r="1" ht="32" customHeight="1">
      <c r="A1" s="1" t="inlineStr">
        <is>
          <t>product_key</t>
        </is>
      </c>
      <c r="B1" s="1" t="inlineStr">
        <is>
          <t>qa_image_key</t>
        </is>
      </c>
      <c r="C1" s="1" t="inlineStr">
        <is>
          <t>image_url_source</t>
        </is>
      </c>
      <c r="D1" s="1" t="inlineStr">
        <is>
          <t>image_url_workbook</t>
        </is>
      </c>
      <c r="E1" s="1" t="inlineStr">
        <is>
          <t>media_id</t>
        </is>
      </c>
      <c r="F1" s="1" t="inlineStr">
        <is>
          <t>workbook_image_id</t>
        </is>
      </c>
      <c r="G1" s="1" t="inlineStr">
        <is>
          <t>variant</t>
        </is>
      </c>
      <c r="H1" s="1" t="inlineStr">
        <is>
          <t>image_location</t>
        </is>
      </c>
      <c r="I1" s="1" t="inlineStr">
        <is>
          <t>check_method</t>
        </is>
      </c>
      <c r="J1" s="1" t="inlineStr">
        <is>
          <t>checked_at</t>
        </is>
      </c>
      <c r="K1" s="1" t="inlineStr">
        <is>
          <t>qa_observation</t>
        </is>
      </c>
      <c r="L1" s="1" t="inlineStr">
        <is>
          <t>submitted_observation</t>
        </is>
      </c>
      <c r="M1" s="1" t="inlineStr">
        <is>
          <t>storefront_alt_observed</t>
        </is>
      </c>
      <c r="N1" s="1" t="inlineStr">
        <is>
          <t>alt_action</t>
        </is>
      </c>
      <c r="O1" s="1" t="inlineStr">
        <is>
          <t>alt_effective</t>
        </is>
      </c>
      <c r="P1" s="1" t="inlineStr">
        <is>
          <t>IM1</t>
        </is>
      </c>
      <c r="Q1" s="1" t="inlineStr">
        <is>
          <t>IM2</t>
        </is>
      </c>
      <c r="R1" s="1" t="inlineStr">
        <is>
          <t>IM3</t>
        </is>
      </c>
      <c r="S1" s="1" t="inlineStr">
        <is>
          <t>IM4</t>
        </is>
      </c>
      <c r="T1" s="1" t="inlineStr">
        <is>
          <t>image_verified_points</t>
        </is>
      </c>
      <c r="U1" s="1" t="inlineStr">
        <is>
          <t>image_assessed_weight</t>
        </is>
      </c>
      <c r="V1" s="1" t="inlineStr">
        <is>
          <t>image_final_score</t>
        </is>
      </c>
      <c r="W1" s="1" t="inlineStr">
        <is>
          <t>image_score_lower_bound</t>
        </is>
      </c>
      <c r="X1" s="1" t="inlineStr">
        <is>
          <t>image_score_upper_bound</t>
        </is>
      </c>
      <c r="Y1" s="1" t="inlineStr">
        <is>
          <t>issue_refs</t>
        </is>
      </c>
      <c r="Z1" s="1" t="inlineStr">
        <is>
          <t>evidence_refs</t>
        </is>
      </c>
    </row>
    <row r="2" ht="66" customHeight="1">
      <c r="A2" s="2" t="inlineStr">
        <is>
          <t>jeminise.com+christian-bedding-set-inspirational-bible-verse-comforte-design-02</t>
        </is>
      </c>
      <c r="B2" s="2" t="inlineStr">
        <is>
          <t>qaimg_5ccbda6129fd07b5</t>
        </is>
      </c>
      <c r="C2" s="4" t="inlineStr">
        <is>
          <t>https://cdn.shopify.com/s/files/1/0792/5098/1063/files/8f8cbae7d7dc8a5bb8d1fd9af7a3d36dfe9b26d76e6c99b9b36c2f64aeb5f0ae.jpg?v=1787237735</t>
        </is>
      </c>
      <c r="D2" s="4" t="inlineStr">
        <is>
          <t>https://cdn.shopify.com/s/files/1/0792/5098/1063/files/8f8cbae7d7dc8a5bb8d1fd9af7a3d36dfe9b26d76e6c99b9b36c2f64aeb5f0ae.jpg?v=1787237735</t>
        </is>
      </c>
      <c r="E2" s="2" t="inlineStr">
        <is>
          <t>38895080014023</t>
        </is>
      </c>
      <c r="F2" s="2" t="inlineStr">
        <is>
          <t>47933842489543</t>
        </is>
      </c>
      <c r="G2" s="2" t="inlineStr"/>
      <c r="H2" s="2" t="inlineStr">
        <is>
          <t>GALLERY</t>
        </is>
      </c>
      <c r="I2" s="2" t="inlineStr">
        <is>
          <t>DIRECT_ORIGINAL_IMAGE</t>
        </is>
      </c>
      <c r="J2" s="2" t="inlineStr">
        <is>
          <t>2026-09-07T13:47:49.662355+07:00</t>
        </is>
      </c>
      <c r="K2" s="2" t="inlineStr">
        <is>
          <t>Main bed mockup with orange-and-white God Says I Am design, sample name Jessica, carnation flowers, butterflies and Bible-reference affirmations.</t>
        </is>
      </c>
      <c r="L2" s="2" t="inlineStr">
        <is>
          <t>Main bed mockup showing orange God Says I Am Christian design with the name Jessica, roses and butterflies.</t>
        </is>
      </c>
      <c r="M2" s="2" t="inlineStr">
        <is>
          <t>Christian Bedding Set – Inspirational Bible Verse Comforter – Religious Bedding for Women, Faith Gift for Mom, Daughter, Sister, Birthday &amp; Religious Gifts (God Says I am #2)</t>
        </is>
      </c>
      <c r="N2" s="2" t="inlineStr">
        <is>
          <t>SET</t>
        </is>
      </c>
      <c r="O2" s="2" t="inlineStr">
        <is>
          <t>God Says I Am Christian Comforter Set displayed on a bed</t>
        </is>
      </c>
      <c r="P2" s="2" t="inlineStr">
        <is>
          <t>FULL</t>
        </is>
      </c>
      <c r="Q2" s="2" t="inlineStr">
        <is>
          <t>FULL</t>
        </is>
      </c>
      <c r="R2" s="2" t="inlineStr">
        <is>
          <t>FULL</t>
        </is>
      </c>
      <c r="S2" s="2" t="inlineStr">
        <is>
          <t>FULL</t>
        </is>
      </c>
      <c r="T2" s="5">
        <f>IF(P2="FULL",40,IF(P2="PARTIAL",40/2,0))+IF(Q2="FULL",30,IF(Q2="PARTIAL",30/2,0))+IF(R2="FULL",20,IF(R2="PARTIAL",20/2,0))+IF(S2="FULL",10,IF(S2="PARTIAL",10/2,0))</f>
        <v/>
      </c>
      <c r="U2" s="5">
        <f>IF(P2="NOT_CHECKED",0,40)+IF(Q2="NOT_CHECKED",0,30)+IF(R2="NOT_CHECKED",0,20)+IF(S2="NOT_CHECKED",0,10)</f>
        <v/>
      </c>
      <c r="V2" s="5">
        <f>IF(U2=100,T2,"")</f>
        <v/>
      </c>
      <c r="W2" s="5">
        <f>T2</f>
        <v/>
      </c>
      <c r="X2" s="5">
        <f>T2+(100-U2)</f>
        <v/>
      </c>
      <c r="Y2" s="2" t="inlineStr">
        <is>
          <t>[]</t>
        </is>
      </c>
      <c r="Z2" s="2" t="inlineStr">
        <is>
          <t>["seo_runs\\jeminise.com\\20260906_234129\\evidence\\images\\11_christian-bedding-set-inspirational-bible-verse-comforte-design-02\\image_01_47933842489543.jpg; seo_runs\\jeminise.com\\20260906_234129\\evidence\\contact_sheets\\11_christian-bedding-set-inspirational-bible-verse-comforte-design-02.jpg", "https://jeminise.com/products/christian-bedding-set-inspirational-bible-verse-comforte-design-02", "https://cdn.shopify.com/s/files/1/0792/5098/1063/files/8f8cbae7d7dc8a5bb8d1fd9af7a3d36dfe9b26d76e6c99b9b36c2f64aeb5f0ae.jpg?v=1787237735"]</t>
        </is>
      </c>
    </row>
    <row r="3" ht="66" customHeight="1">
      <c r="A3" s="3" t="inlineStr">
        <is>
          <t>jeminise.com+christian-bedding-set-inspirational-bible-verse-comforte-design-02</t>
        </is>
      </c>
      <c r="B3" s="3" t="inlineStr">
        <is>
          <t>qaimg_4ff35572985d0550</t>
        </is>
      </c>
      <c r="C3" s="4" t="inlineStr">
        <is>
          <t>https://cdn.shopify.com/s/files/1/0792/5098/1063/files/f8aafdfb4c8162ca9e2e2a98539d9758b42cf390e7a8828716dc849e251afcb1.jpg?v=1787237735</t>
        </is>
      </c>
      <c r="D3" s="4" t="inlineStr">
        <is>
          <t>https://cdn.shopify.com/s/files/1/0792/5098/1063/files/f8aafdfb4c8162ca9e2e2a98539d9758b42cf390e7a8828716dc849e251afcb1.jpg?v=1787237735</t>
        </is>
      </c>
      <c r="E3" s="3" t="inlineStr">
        <is>
          <t>38895080046791</t>
        </is>
      </c>
      <c r="F3" s="3" t="inlineStr">
        <is>
          <t>47933842522311</t>
        </is>
      </c>
      <c r="G3" s="3" t="inlineStr"/>
      <c r="H3" s="3" t="inlineStr">
        <is>
          <t>GALLERY</t>
        </is>
      </c>
      <c r="I3" s="3" t="inlineStr">
        <is>
          <t>DIRECT_ORIGINAL_IMAGE</t>
        </is>
      </c>
      <c r="J3" s="3" t="inlineStr">
        <is>
          <t>2026-09-07T13:47:49.662355+07:00</t>
        </is>
      </c>
      <c r="K3" s="3" t="inlineStr">
        <is>
          <t>Alternate bedroom mockup of the same Jessica Christian affirmation bedding.</t>
        </is>
      </c>
      <c r="L3" s="3" t="inlineStr">
        <is>
          <t>Secondary detail or room mockup showing orange God Says I Am Christian design with the name Jessica, roses and butterflies and visible quilted/printed texture.</t>
        </is>
      </c>
      <c r="M3" s="3" t="inlineStr">
        <is>
          <t>Christian Bedding Set – Inspirational Bible Verse Comforter – Religious Bedding for Women, Faith Gift for Mom, Daughter, Sister, Birthday &amp; Religious Gifts (God Says I am #2)</t>
        </is>
      </c>
      <c r="N3" s="3" t="inlineStr">
        <is>
          <t>SET</t>
        </is>
      </c>
      <c r="O3" s="3" t="inlineStr">
        <is>
          <t>Close view of orange God Says I Am Christian design with the name Jessica, roses and butterflies on the comforter set</t>
        </is>
      </c>
      <c r="P3" s="3" t="inlineStr">
        <is>
          <t>FULL</t>
        </is>
      </c>
      <c r="Q3" s="3" t="inlineStr">
        <is>
          <t>PARTIAL</t>
        </is>
      </c>
      <c r="R3" s="3" t="inlineStr">
        <is>
          <t>PARTIAL</t>
        </is>
      </c>
      <c r="S3" s="3" t="inlineStr">
        <is>
          <t>FULL</t>
        </is>
      </c>
      <c r="T3" s="7">
        <f>IF(P3="FULL",40,IF(P3="PARTIAL",40/2,0))+IF(Q3="FULL",30,IF(Q3="PARTIAL",30/2,0))+IF(R3="FULL",20,IF(R3="PARTIAL",20/2,0))+IF(S3="FULL",10,IF(S3="PARTIAL",10/2,0))</f>
        <v/>
      </c>
      <c r="U3" s="7">
        <f>IF(P3="NOT_CHECKED",0,40)+IF(Q3="NOT_CHECKED",0,30)+IF(R3="NOT_CHECKED",0,20)+IF(S3="NOT_CHECKED",0,10)</f>
        <v/>
      </c>
      <c r="V3" s="7">
        <f>IF(U3=100,T3,"")</f>
        <v/>
      </c>
      <c r="W3" s="7">
        <f>T3</f>
        <v/>
      </c>
      <c r="X3" s="7">
        <f>T3+(100-U3)</f>
        <v/>
      </c>
      <c r="Y3" s="3" t="inlineStr">
        <is>
          <t>["ISS-011-IMG-02"]</t>
        </is>
      </c>
      <c r="Z3" s="3" t="inlineStr">
        <is>
          <t>["seo_runs\\jeminise.com\\20260906_234129\\evidence\\images\\11_christian-bedding-set-inspirational-bible-verse-comforte-design-02\\image_02_47933842522311.jpg; seo_runs\\jeminise.com\\20260906_234129\\evidence\\contact_sheets\\11_christian-bedding-set-inspirational-bible-verse-comforte-design-02.jpg", "https://jeminise.com/products/christian-bedding-set-inspirational-bible-verse-comforte-design-02", "https://cdn.shopify.com/s/files/1/0792/5098/1063/files/f8aafdfb4c8162ca9e2e2a98539d9758b42cf390e7a8828716dc849e251afcb1.jpg?v=1787237735"]</t>
        </is>
      </c>
    </row>
    <row r="4" ht="66" customHeight="1">
      <c r="A4" s="2" t="inlineStr">
        <is>
          <t>jeminise.com+christian-bedding-set-inspirational-bible-verse-comforte-design-02</t>
        </is>
      </c>
      <c r="B4" s="2" t="inlineStr">
        <is>
          <t>qaimg_c106289a9648e372</t>
        </is>
      </c>
      <c r="C4" s="4" t="inlineStr">
        <is>
          <t>https://cdn.shopify.com/s/files/1/0792/5098/1063/files/50f96559dd878ae5bbee14ba7a34337ccd740d21a8ffe86a8a1be819656d26c0_ae8608eb-bf72-43da-b626-8fd454d536c7.jpg?v=1787237735</t>
        </is>
      </c>
      <c r="D4" s="4" t="inlineStr">
        <is>
          <t>https://cdn.shopify.com/s/files/1/0792/5098/1063/files/50f96559dd878ae5bbee14ba7a34337ccd740d21a8ffe86a8a1be819656d26c0_ae8608eb-bf72-43da-b626-8fd454d536c7.jpg?v=1787237735</t>
        </is>
      </c>
      <c r="E4" s="2" t="inlineStr">
        <is>
          <t>38895080079559</t>
        </is>
      </c>
      <c r="F4" s="2" t="inlineStr">
        <is>
          <t>47933842555079</t>
        </is>
      </c>
      <c r="G4" s="2" t="inlineStr"/>
      <c r="H4" s="2" t="inlineStr">
        <is>
          <t>GALLERY</t>
        </is>
      </c>
      <c r="I4" s="2" t="inlineStr">
        <is>
          <t>DIRECT_ORIGINAL_IMAGE</t>
        </is>
      </c>
      <c r="J4" s="2" t="inlineStr">
        <is>
          <t>2026-09-07T13:47:49.662355+07:00</t>
        </is>
      </c>
      <c r="K4" s="2" t="inlineStr">
        <is>
          <t>Comparison graphic explaining Duvet Cover Set versus Comforter Set.</t>
        </is>
      </c>
      <c r="L4" s="2" t="inlineStr">
        <is>
          <t>Matching pillow sham or bedding detail using the same orange God Says I Am Christian design with the name Jessica, roses and butterflies artwork.</t>
        </is>
      </c>
      <c r="M4" s="2" t="inlineStr">
        <is>
          <t>Christian Bedding Set – Inspirational Bible Verse Comforter – Religious Bedding for Women, Faith Gift for Mom, Daughter, Sister, Birthday &amp; Religious Gifts (God Says I am #2)</t>
        </is>
      </c>
      <c r="N4" s="2" t="inlineStr">
        <is>
          <t>SET</t>
        </is>
      </c>
      <c r="O4" s="2" t="inlineStr">
        <is>
          <t>Matching pillow sham for God Says I Am Christian Comforter Set</t>
        </is>
      </c>
      <c r="P4" s="2" t="inlineStr">
        <is>
          <t>FULL</t>
        </is>
      </c>
      <c r="Q4" s="2" t="inlineStr">
        <is>
          <t>FAIL</t>
        </is>
      </c>
      <c r="R4" s="2" t="inlineStr">
        <is>
          <t>FAIL</t>
        </is>
      </c>
      <c r="S4" s="2" t="inlineStr">
        <is>
          <t>FULL</t>
        </is>
      </c>
      <c r="T4" s="5">
        <f>IF(P4="FULL",40,IF(P4="PARTIAL",40/2,0))+IF(Q4="FULL",30,IF(Q4="PARTIAL",30/2,0))+IF(R4="FULL",20,IF(R4="PARTIAL",20/2,0))+IF(S4="FULL",10,IF(S4="PARTIAL",10/2,0))</f>
        <v/>
      </c>
      <c r="U4" s="5">
        <f>IF(P4="NOT_CHECKED",0,40)+IF(Q4="NOT_CHECKED",0,30)+IF(R4="NOT_CHECKED",0,20)+IF(S4="NOT_CHECKED",0,10)</f>
        <v/>
      </c>
      <c r="V4" s="5">
        <f>IF(U4=100,T4,"")</f>
        <v/>
      </c>
      <c r="W4" s="5">
        <f>T4</f>
        <v/>
      </c>
      <c r="X4" s="5">
        <f>T4+(100-U4)</f>
        <v/>
      </c>
      <c r="Y4" s="2" t="inlineStr">
        <is>
          <t>["ISS-011-IMG-03"]</t>
        </is>
      </c>
      <c r="Z4" s="2" t="inlineStr">
        <is>
          <t>["seo_runs\\jeminise.com\\20260906_234129\\evidence\\images\\11_christian-bedding-set-inspirational-bible-verse-comforte-design-02\\image_03_47933842555079.jpg; seo_runs\\jeminise.com\\20260906_234129\\evidence\\contact_sheets\\11_christian-bedding-set-inspirational-bible-verse-comforte-design-02.jpg", "https://jeminise.com/products/christian-bedding-set-inspirational-bible-verse-comforte-design-02", "https://cdn.shopify.com/s/files/1/0792/5098/1063/files/50f96559dd878ae5bbee14ba7a34337ccd740d21a8ffe86a8a1be819656d26c0_ae8608eb-bf72-43da-b626-8fd454d536c7.jpg?v=1787237735"]</t>
        </is>
      </c>
    </row>
    <row r="5" ht="66" customHeight="1">
      <c r="A5" s="3" t="inlineStr">
        <is>
          <t>jeminise.com+christian-bedding-set-inspirational-bible-verse-comforte-design-02</t>
        </is>
      </c>
      <c r="B5" s="3" t="inlineStr">
        <is>
          <t>qaimg_a62cb10f1696b94a</t>
        </is>
      </c>
      <c r="C5" s="4" t="inlineStr">
        <is>
          <t>https://cdn.shopify.com/s/files/1/0792/5098/1063/files/27f7ed18554cde6fb1921b3b4261b0f7a6d2176eda09e52bedf7b7fe5cb0399a.jpg?v=1787237735</t>
        </is>
      </c>
      <c r="D5" s="4" t="inlineStr">
        <is>
          <t>https://cdn.shopify.com/s/files/1/0792/5098/1063/files/27f7ed18554cde6fb1921b3b4261b0f7a6d2176eda09e52bedf7b7fe5cb0399a.jpg?v=1787237735</t>
        </is>
      </c>
      <c r="E5" s="3" t="inlineStr">
        <is>
          <t>38895080112327</t>
        </is>
      </c>
      <c r="F5" s="3" t="inlineStr">
        <is>
          <t>47933842587847</t>
        </is>
      </c>
      <c r="G5" s="3" t="inlineStr"/>
      <c r="H5" s="3" t="inlineStr">
        <is>
          <t>GALLERY</t>
        </is>
      </c>
      <c r="I5" s="3" t="inlineStr">
        <is>
          <t>DIRECT_ORIGINAL_IMAGE</t>
        </is>
      </c>
      <c r="J5" s="3" t="inlineStr">
        <is>
          <t>2026-09-07T13:47:49.662355+07:00</t>
        </is>
      </c>
      <c r="K5" s="3" t="inlineStr">
        <is>
          <t>Feature graphic stating 100% microfiber, 3D printed pattern, soft touch, lightweight and breathable.</t>
        </is>
      </c>
      <c r="L5" s="3" t="inlineStr">
        <is>
          <t>Room/folded product or fabric information image tied to the orange God Says I Am Christian design with the name Jessica, roses and butterflies design.</t>
        </is>
      </c>
      <c r="M5" s="3" t="inlineStr">
        <is>
          <t>Christian Bedding Set – Inspirational Bible Verse Comforter – Religious Bedding for Women, Faith Gift for Mom, Daughter, Sister, Birthday &amp; Religious Gifts (God Says I am #2)</t>
        </is>
      </c>
      <c r="N5" s="3" t="inlineStr">
        <is>
          <t>SET</t>
        </is>
      </c>
      <c r="O5" s="3" t="inlineStr">
        <is>
          <t>God Says I Am Christian Comforter Set shown in a bedroom setting</t>
        </is>
      </c>
      <c r="P5" s="3" t="inlineStr">
        <is>
          <t>FULL</t>
        </is>
      </c>
      <c r="Q5" s="3" t="inlineStr">
        <is>
          <t>FAIL</t>
        </is>
      </c>
      <c r="R5" s="3" t="inlineStr">
        <is>
          <t>FAIL</t>
        </is>
      </c>
      <c r="S5" s="3" t="inlineStr">
        <is>
          <t>FULL</t>
        </is>
      </c>
      <c r="T5" s="7">
        <f>IF(P5="FULL",40,IF(P5="PARTIAL",40/2,0))+IF(Q5="FULL",30,IF(Q5="PARTIAL",30/2,0))+IF(R5="FULL",20,IF(R5="PARTIAL",20/2,0))+IF(S5="FULL",10,IF(S5="PARTIAL",10/2,0))</f>
        <v/>
      </c>
      <c r="U5" s="7">
        <f>IF(P5="NOT_CHECKED",0,40)+IF(Q5="NOT_CHECKED",0,30)+IF(R5="NOT_CHECKED",0,20)+IF(S5="NOT_CHECKED",0,10)</f>
        <v/>
      </c>
      <c r="V5" s="7">
        <f>IF(U5=100,T5,"")</f>
        <v/>
      </c>
      <c r="W5" s="7">
        <f>T5</f>
        <v/>
      </c>
      <c r="X5" s="7">
        <f>T5+(100-U5)</f>
        <v/>
      </c>
      <c r="Y5" s="3" t="inlineStr">
        <is>
          <t>["ISS-011-IMG-04"]</t>
        </is>
      </c>
      <c r="Z5" s="3" t="inlineStr">
        <is>
          <t>["seo_runs\\jeminise.com\\20260906_234129\\evidence\\images\\11_christian-bedding-set-inspirational-bible-verse-comforte-design-02\\image_04_47933842587847.jpg; seo_runs\\jeminise.com\\20260906_234129\\evidence\\contact_sheets\\11_christian-bedding-set-inspirational-bible-verse-comforte-design-02.jpg", "https://jeminise.com/products/christian-bedding-set-inspirational-bible-verse-comforte-design-02", "https://cdn.shopify.com/s/files/1/0792/5098/1063/files/27f7ed18554cde6fb1921b3b4261b0f7a6d2176eda09e52bedf7b7fe5cb0399a.jpg?v=1787237735"]</t>
        </is>
      </c>
    </row>
    <row r="6" ht="66" customHeight="1">
      <c r="A6" s="2" t="inlineStr">
        <is>
          <t>jeminise.com+christian-bedding-set-inspirational-bible-verse-comforte-design-02</t>
        </is>
      </c>
      <c r="B6" s="2" t="inlineStr">
        <is>
          <t>qaimg_e83ff3bda096596b</t>
        </is>
      </c>
      <c r="C6" s="4" t="inlineStr">
        <is>
          <t>https://cdn.shopify.com/s/files/1/0792/5098/1063/files/c0229b109e769b68f8c9f35623479c094bab31ad756f2c9dfcf50eadd39d92c5_9c3ec9d7-9121-432a-b4e5-640cc3768a2a.jpg?v=1787237735</t>
        </is>
      </c>
      <c r="D6" s="4" t="inlineStr">
        <is>
          <t>https://cdn.shopify.com/s/files/1/0792/5098/1063/files/c0229b109e769b68f8c9f35623479c094bab31ad756f2c9dfcf50eadd39d92c5_9c3ec9d7-9121-432a-b4e5-640cc3768a2a.jpg?v=1787237735</t>
        </is>
      </c>
      <c r="E6" s="2" t="inlineStr">
        <is>
          <t>38895080145095</t>
        </is>
      </c>
      <c r="F6" s="2" t="inlineStr">
        <is>
          <t>47933842620615</t>
        </is>
      </c>
      <c r="G6" s="2" t="inlineStr"/>
      <c r="H6" s="2" t="inlineStr">
        <is>
          <t>GALLERY</t>
        </is>
      </c>
      <c r="I6" s="2" t="inlineStr">
        <is>
          <t>DIRECT_ORIGINAL_IMAGE</t>
        </is>
      </c>
      <c r="J6" s="2" t="inlineStr">
        <is>
          <t>2026-09-07T13:47:49.662355+07:00</t>
        </is>
      </c>
      <c r="K6" s="2" t="inlineStr">
        <is>
          <t>Birth Month Flowers chart for January through December.</t>
        </is>
      </c>
      <c r="L6" s="2" t="inlineStr">
        <is>
          <t>Sizing or included-components information image for the bedding set.</t>
        </is>
      </c>
      <c r="M6" s="2" t="inlineStr">
        <is>
          <t>Christian Bedding Set – Inspirational Bible Verse Comforter – Religious Bedding for Women, Faith Gift for Mom, Daughter, Sister, Birthday &amp; Religious Gifts (God Says I am #2)</t>
        </is>
      </c>
      <c r="N6" s="2" t="inlineStr">
        <is>
          <t>SET</t>
        </is>
      </c>
      <c r="O6" s="2" t="inlineStr">
        <is>
          <t>Size guide for God Says I Am Christian Comforter Set</t>
        </is>
      </c>
      <c r="P6" s="2" t="inlineStr">
        <is>
          <t>FULL</t>
        </is>
      </c>
      <c r="Q6" s="2" t="inlineStr">
        <is>
          <t>FAIL</t>
        </is>
      </c>
      <c r="R6" s="2" t="inlineStr">
        <is>
          <t>FAIL</t>
        </is>
      </c>
      <c r="S6" s="2" t="inlineStr">
        <is>
          <t>FULL</t>
        </is>
      </c>
      <c r="T6" s="5">
        <f>IF(P6="FULL",40,IF(P6="PARTIAL",40/2,0))+IF(Q6="FULL",30,IF(Q6="PARTIAL",30/2,0))+IF(R6="FULL",20,IF(R6="PARTIAL",20/2,0))+IF(S6="FULL",10,IF(S6="PARTIAL",10/2,0))</f>
        <v/>
      </c>
      <c r="U6" s="5">
        <f>IF(P6="NOT_CHECKED",0,40)+IF(Q6="NOT_CHECKED",0,30)+IF(R6="NOT_CHECKED",0,20)+IF(S6="NOT_CHECKED",0,10)</f>
        <v/>
      </c>
      <c r="V6" s="5">
        <f>IF(U6=100,T6,"")</f>
        <v/>
      </c>
      <c r="W6" s="5">
        <f>T6</f>
        <v/>
      </c>
      <c r="X6" s="5">
        <f>T6+(100-U6)</f>
        <v/>
      </c>
      <c r="Y6" s="2" t="inlineStr">
        <is>
          <t>["ISS-011-IMG-05"]</t>
        </is>
      </c>
      <c r="Z6" s="2" t="inlineStr">
        <is>
          <t>["seo_runs\\jeminise.com\\20260906_234129\\evidence\\images\\11_christian-bedding-set-inspirational-bible-verse-comforte-design-02\\image_05_47933842620615.jpg; seo_runs\\jeminise.com\\20260906_234129\\evidence\\contact_sheets\\11_christian-bedding-set-inspirational-bible-verse-comforte-design-02.jpg", "https://jeminise.com/products/christian-bedding-set-inspirational-bible-verse-comforte-design-02", "https://cdn.shopify.com/s/files/1/0792/5098/1063/files/c0229b109e769b68f8c9f35623479c094bab31ad756f2c9dfcf50eadd39d92c5_9c3ec9d7-9121-432a-b4e5-640cc3768a2a.jpg?v=1787237735"]</t>
        </is>
      </c>
    </row>
    <row r="7" ht="66" customHeight="1">
      <c r="A7" s="3" t="inlineStr">
        <is>
          <t>jeminise.com+christian-bedding-set-inspirational-bible-verse-comforte-design-02</t>
        </is>
      </c>
      <c r="B7" s="3" t="inlineStr">
        <is>
          <t>qaimg_5bfe673cef116796</t>
        </is>
      </c>
      <c r="C7" s="4" t="inlineStr">
        <is>
          <t>https://cdn.shopify.com/s/files/1/0792/5098/1063/files/0e22a9fec09643a714af054217066178d4f7bc4d6266b6d2ff5c33c09cc10e88_963c3f22-9265-4b21-8847-4b1a66ac13e5.jpg?v=1787237735</t>
        </is>
      </c>
      <c r="D7" s="4" t="inlineStr">
        <is>
          <t>https://cdn.shopify.com/s/files/1/0792/5098/1063/files/0e22a9fec09643a714af054217066178d4f7bc4d6266b6d2ff5c33c09cc10e88_963c3f22-9265-4b21-8847-4b1a66ac13e5.jpg?v=1787237735</t>
        </is>
      </c>
      <c r="E7" s="3" t="inlineStr">
        <is>
          <t>38895080177863</t>
        </is>
      </c>
      <c r="F7" s="3" t="inlineStr">
        <is>
          <t>47933842653383</t>
        </is>
      </c>
      <c r="G7" s="3" t="inlineStr"/>
      <c r="H7" s="3" t="inlineStr">
        <is>
          <t>GALLERY</t>
        </is>
      </c>
      <c r="I7" s="3" t="inlineStr">
        <is>
          <t>DIRECT_ORIGINAL_IMAGE</t>
        </is>
      </c>
      <c r="J7" s="3" t="inlineStr">
        <is>
          <t>2026-09-07T13:47:49.662355+07:00</t>
        </is>
      </c>
      <c r="K7" s="3" t="inlineStr">
        <is>
          <t>Easy-care graphic stating wrinkle-free, stain-proof, anti-pilling and won't fade in the wash.</t>
        </is>
      </c>
      <c r="L7" s="3" t="inlineStr">
        <is>
          <t>Feature image describing fabric layers, softness, breathability or care details.</t>
        </is>
      </c>
      <c r="M7" s="3" t="inlineStr">
        <is>
          <t>Christian Bedding Set – Inspirational Bible Verse Comforter – Religious Bedding for Women, Faith Gift for Mom, Daughter, Sister, Birthday &amp; Religious Gifts (God Says I am #2)</t>
        </is>
      </c>
      <c r="N7" s="3" t="inlineStr">
        <is>
          <t>SET</t>
        </is>
      </c>
      <c r="O7" s="3" t="inlineStr">
        <is>
          <t>Fabric feature graphic for God Says I Am Christian Comforter Set</t>
        </is>
      </c>
      <c r="P7" s="3" t="inlineStr">
        <is>
          <t>FULL</t>
        </is>
      </c>
      <c r="Q7" s="3" t="inlineStr">
        <is>
          <t>PARTIAL</t>
        </is>
      </c>
      <c r="R7" s="3" t="inlineStr">
        <is>
          <t>FAIL</t>
        </is>
      </c>
      <c r="S7" s="3" t="inlineStr">
        <is>
          <t>FULL</t>
        </is>
      </c>
      <c r="T7" s="7">
        <f>IF(P7="FULL",40,IF(P7="PARTIAL",40/2,0))+IF(Q7="FULL",30,IF(Q7="PARTIAL",30/2,0))+IF(R7="FULL",20,IF(R7="PARTIAL",20/2,0))+IF(S7="FULL",10,IF(S7="PARTIAL",10/2,0))</f>
        <v/>
      </c>
      <c r="U7" s="7">
        <f>IF(P7="NOT_CHECKED",0,40)+IF(Q7="NOT_CHECKED",0,30)+IF(R7="NOT_CHECKED",0,20)+IF(S7="NOT_CHECKED",0,10)</f>
        <v/>
      </c>
      <c r="V7" s="7">
        <f>IF(U7=100,T7,"")</f>
        <v/>
      </c>
      <c r="W7" s="7">
        <f>T7</f>
        <v/>
      </c>
      <c r="X7" s="7">
        <f>T7+(100-U7)</f>
        <v/>
      </c>
      <c r="Y7" s="3" t="inlineStr">
        <is>
          <t>["ISS-011-IMG-06"]</t>
        </is>
      </c>
      <c r="Z7" s="3" t="inlineStr">
        <is>
          <t>["seo_runs\\jeminise.com\\20260906_234129\\evidence\\images\\11_christian-bedding-set-inspirational-bible-verse-comforte-design-02\\image_06_47933842653383.jpg; seo_runs\\jeminise.com\\20260906_234129\\evidence\\contact_sheets\\11_christian-bedding-set-inspirational-bible-verse-comforte-design-02.jpg", "https://jeminise.com/products/christian-bedding-set-inspirational-bible-verse-comforte-design-02", "https://cdn.shopify.com/s/files/1/0792/5098/1063/files/0e22a9fec09643a714af054217066178d4f7bc4d6266b6d2ff5c33c09cc10e88_963c3f22-9265-4b21-8847-4b1a66ac13e5.jpg?v=1787237735"]</t>
        </is>
      </c>
    </row>
    <row r="8" ht="66" customHeight="1">
      <c r="A8" s="2" t="inlineStr">
        <is>
          <t>jeminise.com+christian-bedding-set-inspirational-bible-verse-comforte-design-02</t>
        </is>
      </c>
      <c r="B8" s="2" t="inlineStr">
        <is>
          <t>qaimg_589b7006b0cae7ca</t>
        </is>
      </c>
      <c r="C8" s="4" t="inlineStr">
        <is>
          <t>https://cdn.shopify.com/s/files/1/0792/5098/1063/files/03ac15a4de6fdc4759048838b9e69d3ab841369c3b081159e5bf995fe1ff2483.jpg?v=1787237735</t>
        </is>
      </c>
      <c r="D8" s="4" t="inlineStr">
        <is>
          <t>https://cdn.shopify.com/s/files/1/0792/5098/1063/files/03ac15a4de6fdc4759048838b9e69d3ab841369c3b081159e5bf995fe1ff2483.jpg?v=1787237735</t>
        </is>
      </c>
      <c r="E8" s="2" t="inlineStr">
        <is>
          <t>38895080210631</t>
        </is>
      </c>
      <c r="F8" s="2" t="inlineStr">
        <is>
          <t>47933842686151</t>
        </is>
      </c>
      <c r="G8" s="2" t="inlineStr"/>
      <c r="H8" s="2" t="inlineStr">
        <is>
          <t>GALLERY</t>
        </is>
      </c>
      <c r="I8" s="2" t="inlineStr">
        <is>
          <t>DIRECT_ORIGINAL_IMAGE</t>
        </is>
      </c>
      <c r="J8" s="2" t="inlineStr">
        <is>
          <t>2026-09-07T13:47:49.662355+07:00</t>
        </is>
      </c>
      <c r="K8" s="2" t="inlineStr">
        <is>
          <t>Bedroom close-up with soft, lightweight, durable and breathable feature icons.</t>
        </is>
      </c>
      <c r="L8" s="2" t="inlineStr">
        <is>
          <t>Additional bedroom mockup showing the orange God Says I Am Christian design with the name Jessica, roses and butterflies design on a bed.</t>
        </is>
      </c>
      <c r="M8" s="2" t="inlineStr">
        <is>
          <t>Christian Bedding Set – Inspirational Bible Verse Comforter – Religious Bedding for Women, Faith Gift for Mom, Daughter, Sister, Birthday &amp; Religious Gifts (God Says I am #2)</t>
        </is>
      </c>
      <c r="N8" s="2" t="inlineStr">
        <is>
          <t>SET</t>
        </is>
      </c>
      <c r="O8" s="2" t="inlineStr">
        <is>
          <t>Bedroom mockup of God Says I Am Christian Comforter Set</t>
        </is>
      </c>
      <c r="P8" s="2" t="inlineStr">
        <is>
          <t>FULL</t>
        </is>
      </c>
      <c r="Q8" s="2" t="inlineStr">
        <is>
          <t>PARTIAL</t>
        </is>
      </c>
      <c r="R8" s="2" t="inlineStr">
        <is>
          <t>PARTIAL</t>
        </is>
      </c>
      <c r="S8" s="2" t="inlineStr">
        <is>
          <t>FULL</t>
        </is>
      </c>
      <c r="T8" s="5">
        <f>IF(P8="FULL",40,IF(P8="PARTIAL",40/2,0))+IF(Q8="FULL",30,IF(Q8="PARTIAL",30/2,0))+IF(R8="FULL",20,IF(R8="PARTIAL",20/2,0))+IF(S8="FULL",10,IF(S8="PARTIAL",10/2,0))</f>
        <v/>
      </c>
      <c r="U8" s="5">
        <f>IF(P8="NOT_CHECKED",0,40)+IF(Q8="NOT_CHECKED",0,30)+IF(R8="NOT_CHECKED",0,20)+IF(S8="NOT_CHECKED",0,10)</f>
        <v/>
      </c>
      <c r="V8" s="5">
        <f>IF(U8=100,T8,"")</f>
        <v/>
      </c>
      <c r="W8" s="5">
        <f>T8</f>
        <v/>
      </c>
      <c r="X8" s="5">
        <f>T8+(100-U8)</f>
        <v/>
      </c>
      <c r="Y8" s="2" t="inlineStr">
        <is>
          <t>["ISS-011-IMG-07"]</t>
        </is>
      </c>
      <c r="Z8" s="2" t="inlineStr">
        <is>
          <t>["seo_runs\\jeminise.com\\20260906_234129\\evidence\\images\\11_christian-bedding-set-inspirational-bible-verse-comforte-design-02\\image_07_47933842686151.jpg; seo_runs\\jeminise.com\\20260906_234129\\evidence\\contact_sheets\\11_christian-bedding-set-inspirational-bible-verse-comforte-design-02.jpg", "https://jeminise.com/products/christian-bedding-set-inspirational-bible-verse-comforte-design-02", "https://cdn.shopify.com/s/files/1/0792/5098/1063/files/03ac15a4de6fdc4759048838b9e69d3ab841369c3b081159e5bf995fe1ff2483.jpg?v=1787237735"]</t>
        </is>
      </c>
    </row>
    <row r="9" ht="66" customHeight="1">
      <c r="A9" s="3" t="inlineStr">
        <is>
          <t>jeminise.com+christian-bedding-set-inspirational-bible-verse-comforte-design-02</t>
        </is>
      </c>
      <c r="B9" s="3" t="inlineStr">
        <is>
          <t>qaimg_a48e2074ece64973</t>
        </is>
      </c>
      <c r="C9" s="4" t="inlineStr">
        <is>
          <t>https://cdn.shopify.com/s/files/1/0792/5098/1063/files/d6b8438a259ef28ba839a68ba108f40464bc9629b0bc2168779fc7776c9cbffa_433fa23f-2790-4b1e-8f60-9cb3f933e7c9.jpg?v=1787237735</t>
        </is>
      </c>
      <c r="D9" s="4" t="inlineStr">
        <is>
          <t>https://cdn.shopify.com/s/files/1/0792/5098/1063/files/d6b8438a259ef28ba839a68ba108f40464bc9629b0bc2168779fc7776c9cbffa_433fa23f-2790-4b1e-8f60-9cb3f933e7c9.jpg?v=1787237735</t>
        </is>
      </c>
      <c r="E9" s="3" t="inlineStr">
        <is>
          <t>38895080243399</t>
        </is>
      </c>
      <c r="F9" s="3" t="inlineStr">
        <is>
          <t>47933842718919</t>
        </is>
      </c>
      <c r="G9" s="3" t="inlineStr"/>
      <c r="H9" s="3" t="inlineStr">
        <is>
          <t>GALLERY</t>
        </is>
      </c>
      <c r="I9" s="3" t="inlineStr">
        <is>
          <t>DIRECT_ORIGINAL_IMAGE</t>
        </is>
      </c>
      <c r="J9" s="3" t="inlineStr">
        <is>
          <t>2026-09-07T13:47:49.662355+07:00</t>
        </is>
      </c>
      <c r="K9" s="3" t="inlineStr">
        <is>
          <t>Twin, Full, Queen and King dimension chart; heading reads SIZE DIMENTION.</t>
        </is>
      </c>
      <c r="L9" s="3" t="inlineStr">
        <is>
          <t>Additional product information image for size, care, personalization or bedding type.</t>
        </is>
      </c>
      <c r="M9" s="3" t="inlineStr">
        <is>
          <t>Christian Bedding Set – Inspirational Bible Verse Comforter – Religious Bedding for Women, Faith Gift for Mom, Daughter, Sister, Birthday &amp; Religious Gifts (God Says I am #2)</t>
        </is>
      </c>
      <c r="N9" s="3" t="inlineStr">
        <is>
          <t>SET</t>
        </is>
      </c>
      <c r="O9" s="3" t="inlineStr">
        <is>
          <t>Size or product option guide for God Says I Am Christian Comforter Set</t>
        </is>
      </c>
      <c r="P9" s="3" t="inlineStr">
        <is>
          <t>FULL</t>
        </is>
      </c>
      <c r="Q9" s="3" t="inlineStr">
        <is>
          <t>PARTIAL</t>
        </is>
      </c>
      <c r="R9" s="3" t="inlineStr">
        <is>
          <t>PARTIAL</t>
        </is>
      </c>
      <c r="S9" s="3" t="inlineStr">
        <is>
          <t>FULL</t>
        </is>
      </c>
      <c r="T9" s="7">
        <f>IF(P9="FULL",40,IF(P9="PARTIAL",40/2,0))+IF(Q9="FULL",30,IF(Q9="PARTIAL",30/2,0))+IF(R9="FULL",20,IF(R9="PARTIAL",20/2,0))+IF(S9="FULL",10,IF(S9="PARTIAL",10/2,0))</f>
        <v/>
      </c>
      <c r="U9" s="7">
        <f>IF(P9="NOT_CHECKED",0,40)+IF(Q9="NOT_CHECKED",0,30)+IF(R9="NOT_CHECKED",0,20)+IF(S9="NOT_CHECKED",0,10)</f>
        <v/>
      </c>
      <c r="V9" s="7">
        <f>IF(U9=100,T9,"")</f>
        <v/>
      </c>
      <c r="W9" s="7">
        <f>T9</f>
        <v/>
      </c>
      <c r="X9" s="7">
        <f>T9+(100-U9)</f>
        <v/>
      </c>
      <c r="Y9" s="3" t="inlineStr">
        <is>
          <t>["ISS-011-IMG-08"]</t>
        </is>
      </c>
      <c r="Z9" s="3" t="inlineStr">
        <is>
          <t>["seo_runs\\jeminise.com\\20260906_234129\\evidence\\images\\11_christian-bedding-set-inspirational-bible-verse-comforte-design-02\\image_08_47933842718919.jpg; seo_runs\\jeminise.com\\20260906_234129\\evidence\\contact_sheets\\11_christian-bedding-set-inspirational-bible-verse-comforte-design-02.jpg", "https://jeminise.com/products/christian-bedding-set-inspirational-bible-verse-comforte-design-02", "https://cdn.shopify.com/s/files/1/0792/5098/1063/files/d6b8438a259ef28ba839a68ba108f40464bc9629b0bc2168779fc7776c9cbffa_433fa23f-2790-4b1e-8f60-9cb3f933e7c9.jpg?v=1787237735"]</t>
        </is>
      </c>
    </row>
    <row r="10" ht="66" customHeight="1">
      <c r="A10" s="2" t="inlineStr">
        <is>
          <t>jeminise.com+christian-bedding-set-inspirational-bible-verse-comforte-design-03</t>
        </is>
      </c>
      <c r="B10" s="2" t="inlineStr">
        <is>
          <t>qaimg_d09bcd4d7a0c6ae8</t>
        </is>
      </c>
      <c r="C10" s="4" t="inlineStr">
        <is>
          <t>https://cdn.shopify.com/s/files/1/0792/5098/1063/files/f92da9391db0dc6b3922463b3a830c7068091ba905b6f543f5ed21537c343ff7.jpg?v=1787237775</t>
        </is>
      </c>
      <c r="D10" s="4" t="inlineStr">
        <is>
          <t>https://cdn.shopify.com/s/files/1/0792/5098/1063/files/f92da9391db0dc6b3922463b3a830c7068091ba905b6f543f5ed21537c343ff7.jpg?v=1787237775</t>
        </is>
      </c>
      <c r="E10" s="2" t="inlineStr">
        <is>
          <t>38895084536007</t>
        </is>
      </c>
      <c r="F10" s="2" t="inlineStr">
        <is>
          <t>47933847044295</t>
        </is>
      </c>
      <c r="G10" s="2" t="inlineStr"/>
      <c r="H10" s="2" t="inlineStr">
        <is>
          <t>GALLERY</t>
        </is>
      </c>
      <c r="I10" s="2" t="inlineStr">
        <is>
          <t>DIRECT_ORIGINAL_IMAGE</t>
        </is>
      </c>
      <c r="J10" s="2" t="inlineStr">
        <is>
          <t>2026-09-07T13:47:49.662355+07:00</t>
        </is>
      </c>
      <c r="K10" s="2" t="inlineStr">
        <is>
          <t>Main bed mockup with white Evelyn Christian bedding, crosses, faith symbols and Bible-reference affirmations.</t>
        </is>
      </c>
      <c r="L10" s="2" t="inlineStr">
        <is>
          <t>Main bed mockup showing white personalized Christian affirmation design with the name Evelyn and Bible verse words.</t>
        </is>
      </c>
      <c r="M10" s="2" t="inlineStr">
        <is>
          <t>Christian Bedding Set – Inspirational Bible Verse Comforter – Religious Bedding for Women, Faith Gift for Mom, Daughter, Sister, Birthday &amp; Religious Gifts (God Says I am #3)</t>
        </is>
      </c>
      <c r="N10" s="2" t="inlineStr">
        <is>
          <t>SET</t>
        </is>
      </c>
      <c r="O10" s="2" t="inlineStr">
        <is>
          <t>Christian Bible Verse Comforter Set displayed on a bed</t>
        </is>
      </c>
      <c r="P10" s="2" t="inlineStr">
        <is>
          <t>FULL</t>
        </is>
      </c>
      <c r="Q10" s="2" t="inlineStr">
        <is>
          <t>FULL</t>
        </is>
      </c>
      <c r="R10" s="2" t="inlineStr">
        <is>
          <t>FULL</t>
        </is>
      </c>
      <c r="S10" s="2" t="inlineStr">
        <is>
          <t>FULL</t>
        </is>
      </c>
      <c r="T10" s="5">
        <f>IF(P10="FULL",40,IF(P10="PARTIAL",40/2,0))+IF(Q10="FULL",30,IF(Q10="PARTIAL",30/2,0))+IF(R10="FULL",20,IF(R10="PARTIAL",20/2,0))+IF(S10="FULL",10,IF(S10="PARTIAL",10/2,0))</f>
        <v/>
      </c>
      <c r="U10" s="5">
        <f>IF(P10="NOT_CHECKED",0,40)+IF(Q10="NOT_CHECKED",0,30)+IF(R10="NOT_CHECKED",0,20)+IF(S10="NOT_CHECKED",0,10)</f>
        <v/>
      </c>
      <c r="V10" s="5">
        <f>IF(U10=100,T10,"")</f>
        <v/>
      </c>
      <c r="W10" s="5">
        <f>T10</f>
        <v/>
      </c>
      <c r="X10" s="5">
        <f>T10+(100-U10)</f>
        <v/>
      </c>
      <c r="Y10" s="2" t="inlineStr">
        <is>
          <t>[]</t>
        </is>
      </c>
      <c r="Z10" s="2" t="inlineStr">
        <is>
          <t>["seo_runs\\jeminise.com\\20260906_234129\\evidence\\images\\12_christian-bedding-set-inspirational-bible-verse-comforte-design-03\\image_01_47933847044295.jpg; seo_runs\\jeminise.com\\20260906_234129\\evidence\\contact_sheets\\12_christian-bedding-set-inspirational-bible-verse-comforte-design-03.jpg", "https://jeminise.com/products/christian-bedding-set-inspirational-bible-verse-comforte-design-03", "https://cdn.shopify.com/s/files/1/0792/5098/1063/files/f92da9391db0dc6b3922463b3a830c7068091ba905b6f543f5ed21537c343ff7.jpg?v=1787237775"]</t>
        </is>
      </c>
    </row>
    <row r="11" ht="66" customHeight="1">
      <c r="A11" s="3" t="inlineStr">
        <is>
          <t>jeminise.com+christian-bedding-set-inspirational-bible-verse-comforte-design-03</t>
        </is>
      </c>
      <c r="B11" s="3" t="inlineStr">
        <is>
          <t>qaimg_b47d22f3ec4bb409</t>
        </is>
      </c>
      <c r="C11" s="4" t="inlineStr">
        <is>
          <t>https://cdn.shopify.com/s/files/1/0792/5098/1063/files/38662725a37694575465781c6a07cc74254226a1182579802ffa9912a4e7768f.jpg?v=1787237775</t>
        </is>
      </c>
      <c r="D11" s="4" t="inlineStr">
        <is>
          <t>https://cdn.shopify.com/s/files/1/0792/5098/1063/files/38662725a37694575465781c6a07cc74254226a1182579802ffa9912a4e7768f.jpg?v=1787237775</t>
        </is>
      </c>
      <c r="E11" s="3" t="inlineStr">
        <is>
          <t>38895084568775</t>
        </is>
      </c>
      <c r="F11" s="3" t="inlineStr">
        <is>
          <t>47933847077063</t>
        </is>
      </c>
      <c r="G11" s="3" t="inlineStr"/>
      <c r="H11" s="3" t="inlineStr">
        <is>
          <t>GALLERY</t>
        </is>
      </c>
      <c r="I11" s="3" t="inlineStr">
        <is>
          <t>DIRECT_ORIGINAL_IMAGE</t>
        </is>
      </c>
      <c r="J11" s="3" t="inlineStr">
        <is>
          <t>2026-09-07T13:47:49.662355+07:00</t>
        </is>
      </c>
      <c r="K11" s="3" t="inlineStr">
        <is>
          <t>Alternate bedroom mockup of the same Evelyn Christian affirmation bedding.</t>
        </is>
      </c>
      <c r="L11" s="3" t="inlineStr">
        <is>
          <t>Secondary detail or room mockup showing white personalized Christian affirmation design with the name Evelyn and Bible verse words and visible quilted/printed texture.</t>
        </is>
      </c>
      <c r="M11" s="3" t="inlineStr">
        <is>
          <t>Christian Bedding Set – Inspirational Bible Verse Comforter – Religious Bedding for Women, Faith Gift for Mom, Daughter, Sister, Birthday &amp; Religious Gifts (God Says I am #3)</t>
        </is>
      </c>
      <c r="N11" s="3" t="inlineStr">
        <is>
          <t>SET</t>
        </is>
      </c>
      <c r="O11" s="3" t="inlineStr">
        <is>
          <t>Close view of white Christian affirmation design with the name Evelyn and Bible verse words on the comforter set</t>
        </is>
      </c>
      <c r="P11" s="3" t="inlineStr">
        <is>
          <t>FULL</t>
        </is>
      </c>
      <c r="Q11" s="3" t="inlineStr">
        <is>
          <t>PARTIAL</t>
        </is>
      </c>
      <c r="R11" s="3" t="inlineStr">
        <is>
          <t>PARTIAL</t>
        </is>
      </c>
      <c r="S11" s="3" t="inlineStr">
        <is>
          <t>FULL</t>
        </is>
      </c>
      <c r="T11" s="7">
        <f>IF(P11="FULL",40,IF(P11="PARTIAL",40/2,0))+IF(Q11="FULL",30,IF(Q11="PARTIAL",30/2,0))+IF(R11="FULL",20,IF(R11="PARTIAL",20/2,0))+IF(S11="FULL",10,IF(S11="PARTIAL",10/2,0))</f>
        <v/>
      </c>
      <c r="U11" s="7">
        <f>IF(P11="NOT_CHECKED",0,40)+IF(Q11="NOT_CHECKED",0,30)+IF(R11="NOT_CHECKED",0,20)+IF(S11="NOT_CHECKED",0,10)</f>
        <v/>
      </c>
      <c r="V11" s="7">
        <f>IF(U11=100,T11,"")</f>
        <v/>
      </c>
      <c r="W11" s="7">
        <f>T11</f>
        <v/>
      </c>
      <c r="X11" s="7">
        <f>T11+(100-U11)</f>
        <v/>
      </c>
      <c r="Y11" s="3" t="inlineStr">
        <is>
          <t>["ISS-012-IMG-02"]</t>
        </is>
      </c>
      <c r="Z11" s="3" t="inlineStr">
        <is>
          <t>["seo_runs\\jeminise.com\\20260906_234129\\evidence\\images\\12_christian-bedding-set-inspirational-bible-verse-comforte-design-03\\image_02_47933847077063.jpg; seo_runs\\jeminise.com\\20260906_234129\\evidence\\contact_sheets\\12_christian-bedding-set-inspirational-bible-verse-comforte-design-03.jpg", "https://jeminise.com/products/christian-bedding-set-inspirational-bible-verse-comforte-design-03", "https://cdn.shopify.com/s/files/1/0792/5098/1063/files/38662725a37694575465781c6a07cc74254226a1182579802ffa9912a4e7768f.jpg?v=1787237775"]</t>
        </is>
      </c>
    </row>
    <row r="12" ht="66" customHeight="1">
      <c r="A12" s="2" t="inlineStr">
        <is>
          <t>jeminise.com+christian-bedding-set-inspirational-bible-verse-comforte-design-03</t>
        </is>
      </c>
      <c r="B12" s="2" t="inlineStr">
        <is>
          <t>qaimg_e219b7977479aba5</t>
        </is>
      </c>
      <c r="C12" s="4" t="inlineStr">
        <is>
          <t>https://cdn.shopify.com/s/files/1/0792/5098/1063/files/50f96559dd878ae5bbee14ba7a34337ccd740d21a8ffe86a8a1be819656d26c0_55aad209-cbed-473d-b39c-7f6a67c4001e.jpg?v=1787237775</t>
        </is>
      </c>
      <c r="D12" s="4" t="inlineStr">
        <is>
          <t>https://cdn.shopify.com/s/files/1/0792/5098/1063/files/50f96559dd878ae5bbee14ba7a34337ccd740d21a8ffe86a8a1be819656d26c0_55aad209-cbed-473d-b39c-7f6a67c4001e.jpg?v=1787237775</t>
        </is>
      </c>
      <c r="E12" s="2" t="inlineStr">
        <is>
          <t>38895084601543</t>
        </is>
      </c>
      <c r="F12" s="2" t="inlineStr">
        <is>
          <t>47933847109831</t>
        </is>
      </c>
      <c r="G12" s="2" t="inlineStr"/>
      <c r="H12" s="2" t="inlineStr">
        <is>
          <t>GALLERY</t>
        </is>
      </c>
      <c r="I12" s="2" t="inlineStr">
        <is>
          <t>DIRECT_ORIGINAL_IMAGE</t>
        </is>
      </c>
      <c r="J12" s="2" t="inlineStr">
        <is>
          <t>2026-09-07T13:47:49.662355+07:00</t>
        </is>
      </c>
      <c r="K12" s="2" t="inlineStr">
        <is>
          <t>Comparison graphic explaining Duvet Cover Set versus Comforter Set.</t>
        </is>
      </c>
      <c r="L12" s="2" t="inlineStr">
        <is>
          <t>Matching pillow sham or bedding detail using the same white personalized Christian affirmation design with the name Evelyn and Bible verse words artwork.</t>
        </is>
      </c>
      <c r="M12" s="2" t="inlineStr">
        <is>
          <t>Christian Bedding Set – Inspirational Bible Verse Comforter – Religious Bedding for Women, Faith Gift for Mom, Daughter, Sister, Birthday &amp; Religious Gifts (God Says I am #3)</t>
        </is>
      </c>
      <c r="N12" s="2" t="inlineStr">
        <is>
          <t>SET</t>
        </is>
      </c>
      <c r="O12" s="2" t="inlineStr">
        <is>
          <t>Matching pillow sham for Christian Bible Verse Comforter Set</t>
        </is>
      </c>
      <c r="P12" s="2" t="inlineStr">
        <is>
          <t>FULL</t>
        </is>
      </c>
      <c r="Q12" s="2" t="inlineStr">
        <is>
          <t>FAIL</t>
        </is>
      </c>
      <c r="R12" s="2" t="inlineStr">
        <is>
          <t>FAIL</t>
        </is>
      </c>
      <c r="S12" s="2" t="inlineStr">
        <is>
          <t>FULL</t>
        </is>
      </c>
      <c r="T12" s="5">
        <f>IF(P12="FULL",40,IF(P12="PARTIAL",40/2,0))+IF(Q12="FULL",30,IF(Q12="PARTIAL",30/2,0))+IF(R12="FULL",20,IF(R12="PARTIAL",20/2,0))+IF(S12="FULL",10,IF(S12="PARTIAL",10/2,0))</f>
        <v/>
      </c>
      <c r="U12" s="5">
        <f>IF(P12="NOT_CHECKED",0,40)+IF(Q12="NOT_CHECKED",0,30)+IF(R12="NOT_CHECKED",0,20)+IF(S12="NOT_CHECKED",0,10)</f>
        <v/>
      </c>
      <c r="V12" s="5">
        <f>IF(U12=100,T12,"")</f>
        <v/>
      </c>
      <c r="W12" s="5">
        <f>T12</f>
        <v/>
      </c>
      <c r="X12" s="5">
        <f>T12+(100-U12)</f>
        <v/>
      </c>
      <c r="Y12" s="2" t="inlineStr">
        <is>
          <t>["ISS-012-IMG-03"]</t>
        </is>
      </c>
      <c r="Z12" s="2" t="inlineStr">
        <is>
          <t>["seo_runs\\jeminise.com\\20260906_234129\\evidence\\images\\12_christian-bedding-set-inspirational-bible-verse-comforte-design-03\\image_03_47933847109831.jpg; seo_runs\\jeminise.com\\20260906_234129\\evidence\\contact_sheets\\12_christian-bedding-set-inspirational-bible-verse-comforte-design-03.jpg", "https://jeminise.com/products/christian-bedding-set-inspirational-bible-verse-comforte-design-03", "https://cdn.shopify.com/s/files/1/0792/5098/1063/files/50f96559dd878ae5bbee14ba7a34337ccd740d21a8ffe86a8a1be819656d26c0_55aad209-cbed-473d-b39c-7f6a67c4001e.jpg?v=1787237775"]</t>
        </is>
      </c>
    </row>
    <row r="13" ht="66" customHeight="1">
      <c r="A13" s="3" t="inlineStr">
        <is>
          <t>jeminise.com+christian-bedding-set-inspirational-bible-verse-comforte-design-03</t>
        </is>
      </c>
      <c r="B13" s="3" t="inlineStr">
        <is>
          <t>qaimg_1d80ea156f5f9e4c</t>
        </is>
      </c>
      <c r="C13" s="4" t="inlineStr">
        <is>
          <t>https://cdn.shopify.com/s/files/1/0792/5098/1063/files/6f7120179ef66c1c3b1345bc6dcaf03449e1ffefc7fbda9577faecc3e3db4447.jpg?v=1787237775</t>
        </is>
      </c>
      <c r="D13" s="4" t="inlineStr">
        <is>
          <t>https://cdn.shopify.com/s/files/1/0792/5098/1063/files/6f7120179ef66c1c3b1345bc6dcaf03449e1ffefc7fbda9577faecc3e3db4447.jpg?v=1787237775</t>
        </is>
      </c>
      <c r="E13" s="3" t="inlineStr">
        <is>
          <t>38895084634311</t>
        </is>
      </c>
      <c r="F13" s="3" t="inlineStr">
        <is>
          <t>47933847142599</t>
        </is>
      </c>
      <c r="G13" s="3" t="inlineStr"/>
      <c r="H13" s="3" t="inlineStr">
        <is>
          <t>GALLERY</t>
        </is>
      </c>
      <c r="I13" s="3" t="inlineStr">
        <is>
          <t>DIRECT_ORIGINAL_IMAGE</t>
        </is>
      </c>
      <c r="J13" s="3" t="inlineStr">
        <is>
          <t>2026-09-07T13:47:49.662355+07:00</t>
        </is>
      </c>
      <c r="K13" s="3" t="inlineStr">
        <is>
          <t>Feature graphic stating 100% microfiber, 3D printed pattern, soft touch, lightweight and breathable.</t>
        </is>
      </c>
      <c r="L13" s="3" t="inlineStr">
        <is>
          <t>Room/folded product or fabric information image tied to the white personalized Christian affirmation design with the name Evelyn and Bible verse words design.</t>
        </is>
      </c>
      <c r="M13" s="3" t="inlineStr">
        <is>
          <t>Christian Bedding Set – Inspirational Bible Verse Comforter – Religious Bedding for Women, Faith Gift for Mom, Daughter, Sister, Birthday &amp; Religious Gifts (God Says I am #3)</t>
        </is>
      </c>
      <c r="N13" s="3" t="inlineStr">
        <is>
          <t>SET</t>
        </is>
      </c>
      <c r="O13" s="3" t="inlineStr">
        <is>
          <t>Christian Bible Verse Comforter Set shown in a bedroom setting</t>
        </is>
      </c>
      <c r="P13" s="3" t="inlineStr">
        <is>
          <t>FULL</t>
        </is>
      </c>
      <c r="Q13" s="3" t="inlineStr">
        <is>
          <t>FAIL</t>
        </is>
      </c>
      <c r="R13" s="3" t="inlineStr">
        <is>
          <t>FAIL</t>
        </is>
      </c>
      <c r="S13" s="3" t="inlineStr">
        <is>
          <t>FULL</t>
        </is>
      </c>
      <c r="T13" s="7">
        <f>IF(P13="FULL",40,IF(P13="PARTIAL",40/2,0))+IF(Q13="FULL",30,IF(Q13="PARTIAL",30/2,0))+IF(R13="FULL",20,IF(R13="PARTIAL",20/2,0))+IF(S13="FULL",10,IF(S13="PARTIAL",10/2,0))</f>
        <v/>
      </c>
      <c r="U13" s="7">
        <f>IF(P13="NOT_CHECKED",0,40)+IF(Q13="NOT_CHECKED",0,30)+IF(R13="NOT_CHECKED",0,20)+IF(S13="NOT_CHECKED",0,10)</f>
        <v/>
      </c>
      <c r="V13" s="7">
        <f>IF(U13=100,T13,"")</f>
        <v/>
      </c>
      <c r="W13" s="7">
        <f>T13</f>
        <v/>
      </c>
      <c r="X13" s="7">
        <f>T13+(100-U13)</f>
        <v/>
      </c>
      <c r="Y13" s="3" t="inlineStr">
        <is>
          <t>["ISS-012-IMG-04"]</t>
        </is>
      </c>
      <c r="Z13" s="3" t="inlineStr">
        <is>
          <t>["seo_runs\\jeminise.com\\20260906_234129\\evidence\\images\\12_christian-bedding-set-inspirational-bible-verse-comforte-design-03\\image_04_47933847142599.jpg; seo_runs\\jeminise.com\\20260906_234129\\evidence\\contact_sheets\\12_christian-bedding-set-inspirational-bible-verse-comforte-design-03.jpg", "https://jeminise.com/products/christian-bedding-set-inspirational-bible-verse-comforte-design-03", "https://cdn.shopify.com/s/files/1/0792/5098/1063/files/6f7120179ef66c1c3b1345bc6dcaf03449e1ffefc7fbda9577faecc3e3db4447.jpg?v=1787237775"]</t>
        </is>
      </c>
    </row>
    <row r="14" ht="66" customHeight="1">
      <c r="A14" s="2" t="inlineStr">
        <is>
          <t>jeminise.com+christian-bedding-set-inspirational-bible-verse-comforte-design-03</t>
        </is>
      </c>
      <c r="B14" s="2" t="inlineStr">
        <is>
          <t>qaimg_2413ef1710d427e4</t>
        </is>
      </c>
      <c r="C14" s="4" t="inlineStr">
        <is>
          <t>https://cdn.shopify.com/s/files/1/0792/5098/1063/files/3f1020e70fcfa8dc9427d83131c12eb3107fd27ba15741a814733e1974f31cb2.jpg?v=1787237775</t>
        </is>
      </c>
      <c r="D14" s="4" t="inlineStr">
        <is>
          <t>https://cdn.shopify.com/s/files/1/0792/5098/1063/files/3f1020e70fcfa8dc9427d83131c12eb3107fd27ba15741a814733e1974f31cb2.jpg?v=1787237775</t>
        </is>
      </c>
      <c r="E14" s="2" t="inlineStr">
        <is>
          <t>38895084667079</t>
        </is>
      </c>
      <c r="F14" s="2" t="inlineStr">
        <is>
          <t>47933847175367</t>
        </is>
      </c>
      <c r="G14" s="2" t="inlineStr"/>
      <c r="H14" s="2" t="inlineStr">
        <is>
          <t>GALLERY</t>
        </is>
      </c>
      <c r="I14" s="2" t="inlineStr">
        <is>
          <t>DIRECT_ORIGINAL_IMAGE</t>
        </is>
      </c>
      <c r="J14" s="2" t="inlineStr">
        <is>
          <t>2026-09-07T13:47:49.662355+07:00</t>
        </is>
      </c>
      <c r="K14" s="2" t="inlineStr">
        <is>
          <t>Bedroom close-up with soft, lightweight, durable and breathable feature icons.</t>
        </is>
      </c>
      <c r="L14" s="2" t="inlineStr">
        <is>
          <t>Sizing or included-components information image for the bedding set.</t>
        </is>
      </c>
      <c r="M14" s="2" t="inlineStr">
        <is>
          <t>Christian Bedding Set – Inspirational Bible Verse Comforter – Religious Bedding for Women, Faith Gift for Mom, Daughter, Sister, Birthday &amp; Religious Gifts (God Says I am #3)</t>
        </is>
      </c>
      <c r="N14" s="2" t="inlineStr">
        <is>
          <t>SET</t>
        </is>
      </c>
      <c r="O14" s="2" t="inlineStr">
        <is>
          <t>Size guide for Christian Bible Verse Comforter Set</t>
        </is>
      </c>
      <c r="P14" s="2" t="inlineStr">
        <is>
          <t>FULL</t>
        </is>
      </c>
      <c r="Q14" s="2" t="inlineStr">
        <is>
          <t>FAIL</t>
        </is>
      </c>
      <c r="R14" s="2" t="inlineStr">
        <is>
          <t>FAIL</t>
        </is>
      </c>
      <c r="S14" s="2" t="inlineStr">
        <is>
          <t>FULL</t>
        </is>
      </c>
      <c r="T14" s="5">
        <f>IF(P14="FULL",40,IF(P14="PARTIAL",40/2,0))+IF(Q14="FULL",30,IF(Q14="PARTIAL",30/2,0))+IF(R14="FULL",20,IF(R14="PARTIAL",20/2,0))+IF(S14="FULL",10,IF(S14="PARTIAL",10/2,0))</f>
        <v/>
      </c>
      <c r="U14" s="5">
        <f>IF(P14="NOT_CHECKED",0,40)+IF(Q14="NOT_CHECKED",0,30)+IF(R14="NOT_CHECKED",0,20)+IF(S14="NOT_CHECKED",0,10)</f>
        <v/>
      </c>
      <c r="V14" s="5">
        <f>IF(U14=100,T14,"")</f>
        <v/>
      </c>
      <c r="W14" s="5">
        <f>T14</f>
        <v/>
      </c>
      <c r="X14" s="5">
        <f>T14+(100-U14)</f>
        <v/>
      </c>
      <c r="Y14" s="2" t="inlineStr">
        <is>
          <t>["ISS-012-IMG-05"]</t>
        </is>
      </c>
      <c r="Z14" s="2" t="inlineStr">
        <is>
          <t>["seo_runs\\jeminise.com\\20260906_234129\\evidence\\images\\12_christian-bedding-set-inspirational-bible-verse-comforte-design-03\\image_05_47933847175367.jpg; seo_runs\\jeminise.com\\20260906_234129\\evidence\\contact_sheets\\12_christian-bedding-set-inspirational-bible-verse-comforte-design-03.jpg", "https://jeminise.com/products/christian-bedding-set-inspirational-bible-verse-comforte-design-03", "https://cdn.shopify.com/s/files/1/0792/5098/1063/files/3f1020e70fcfa8dc9427d83131c12eb3107fd27ba15741a814733e1974f31cb2.jpg?v=1787237775"]</t>
        </is>
      </c>
    </row>
    <row r="15" ht="66" customHeight="1">
      <c r="A15" s="3" t="inlineStr">
        <is>
          <t>jeminise.com+christian-bedding-set-inspirational-bible-verse-comforte-design-03</t>
        </is>
      </c>
      <c r="B15" s="3" t="inlineStr">
        <is>
          <t>qaimg_bf5165b14f62028f</t>
        </is>
      </c>
      <c r="C15" s="4" t="inlineStr">
        <is>
          <t>https://cdn.shopify.com/s/files/1/0792/5098/1063/files/0e22a9fec09643a714af054217066178d4f7bc4d6266b6d2ff5c33c09cc10e88_aa1ee109-258c-49b7-8e15-9f96d009b1e0.jpg?v=1787237775</t>
        </is>
      </c>
      <c r="D15" s="4" t="inlineStr">
        <is>
          <t>https://cdn.shopify.com/s/files/1/0792/5098/1063/files/0e22a9fec09643a714af054217066178d4f7bc4d6266b6d2ff5c33c09cc10e88_aa1ee109-258c-49b7-8e15-9f96d009b1e0.jpg?v=1787237775</t>
        </is>
      </c>
      <c r="E15" s="3" t="inlineStr">
        <is>
          <t>38895084699847</t>
        </is>
      </c>
      <c r="F15" s="3" t="inlineStr">
        <is>
          <t>47933847208135</t>
        </is>
      </c>
      <c r="G15" s="3" t="inlineStr"/>
      <c r="H15" s="3" t="inlineStr">
        <is>
          <t>GALLERY</t>
        </is>
      </c>
      <c r="I15" s="3" t="inlineStr">
        <is>
          <t>DIRECT_ORIGINAL_IMAGE</t>
        </is>
      </c>
      <c r="J15" s="3" t="inlineStr">
        <is>
          <t>2026-09-07T13:47:49.662355+07:00</t>
        </is>
      </c>
      <c r="K15" s="3" t="inlineStr">
        <is>
          <t>Easy-care graphic stating wrinkle-free, stain-proof, anti-pilling and won't fade in the wash.</t>
        </is>
      </c>
      <c r="L15" s="3" t="inlineStr">
        <is>
          <t>Feature image describing fabric layers, softness, breathability or care details.</t>
        </is>
      </c>
      <c r="M15" s="3" t="inlineStr">
        <is>
          <t>Christian Bedding Set – Inspirational Bible Verse Comforter – Religious Bedding for Women, Faith Gift for Mom, Daughter, Sister, Birthday &amp; Religious Gifts (God Says I am #3)</t>
        </is>
      </c>
      <c r="N15" s="3" t="inlineStr">
        <is>
          <t>SET</t>
        </is>
      </c>
      <c r="O15" s="3" t="inlineStr">
        <is>
          <t>Fabric feature graphic for Christian Bible Verse Comforter Set</t>
        </is>
      </c>
      <c r="P15" s="3" t="inlineStr">
        <is>
          <t>FULL</t>
        </is>
      </c>
      <c r="Q15" s="3" t="inlineStr">
        <is>
          <t>PARTIAL</t>
        </is>
      </c>
      <c r="R15" s="3" t="inlineStr">
        <is>
          <t>FAIL</t>
        </is>
      </c>
      <c r="S15" s="3" t="inlineStr">
        <is>
          <t>FULL</t>
        </is>
      </c>
      <c r="T15" s="7">
        <f>IF(P15="FULL",40,IF(P15="PARTIAL",40/2,0))+IF(Q15="FULL",30,IF(Q15="PARTIAL",30/2,0))+IF(R15="FULL",20,IF(R15="PARTIAL",20/2,0))+IF(S15="FULL",10,IF(S15="PARTIAL",10/2,0))</f>
        <v/>
      </c>
      <c r="U15" s="7">
        <f>IF(P15="NOT_CHECKED",0,40)+IF(Q15="NOT_CHECKED",0,30)+IF(R15="NOT_CHECKED",0,20)+IF(S15="NOT_CHECKED",0,10)</f>
        <v/>
      </c>
      <c r="V15" s="7">
        <f>IF(U15=100,T15,"")</f>
        <v/>
      </c>
      <c r="W15" s="7">
        <f>T15</f>
        <v/>
      </c>
      <c r="X15" s="7">
        <f>T15+(100-U15)</f>
        <v/>
      </c>
      <c r="Y15" s="3" t="inlineStr">
        <is>
          <t>["ISS-012-IMG-06"]</t>
        </is>
      </c>
      <c r="Z15" s="3" t="inlineStr">
        <is>
          <t>["seo_runs\\jeminise.com\\20260906_234129\\evidence\\images\\12_christian-bedding-set-inspirational-bible-verse-comforte-design-03\\image_06_47933847208135.jpg; seo_runs\\jeminise.com\\20260906_234129\\evidence\\contact_sheets\\12_christian-bedding-set-inspirational-bible-verse-comforte-design-03.jpg", "https://jeminise.com/products/christian-bedding-set-inspirational-bible-verse-comforte-design-03", "https://cdn.shopify.com/s/files/1/0792/5098/1063/files/0e22a9fec09643a714af054217066178d4f7bc4d6266b6d2ff5c33c09cc10e88_aa1ee109-258c-49b7-8e15-9f96d009b1e0.jpg?v=1787237775"]</t>
        </is>
      </c>
    </row>
    <row r="16" ht="66" customHeight="1">
      <c r="A16" s="2" t="inlineStr">
        <is>
          <t>jeminise.com+christian-bedding-set-inspirational-bible-verse-comforte-design-03</t>
        </is>
      </c>
      <c r="B16" s="2" t="inlineStr">
        <is>
          <t>qaimg_7f1dc53c39364d86</t>
        </is>
      </c>
      <c r="C16" s="4" t="inlineStr">
        <is>
          <t>https://cdn.shopify.com/s/files/1/0792/5098/1063/files/d6b8438a259ef28ba839a68ba108f40464bc9629b0bc2168779fc7776c9cbffa_6f72bb77-1b12-4ea3-9e0c-1b5e684c5f9f.jpg?v=1787237775</t>
        </is>
      </c>
      <c r="D16" s="4" t="inlineStr">
        <is>
          <t>https://cdn.shopify.com/s/files/1/0792/5098/1063/files/d6b8438a259ef28ba839a68ba108f40464bc9629b0bc2168779fc7776c9cbffa_6f72bb77-1b12-4ea3-9e0c-1b5e684c5f9f.jpg?v=1787237775</t>
        </is>
      </c>
      <c r="E16" s="2" t="inlineStr">
        <is>
          <t>38895084732615</t>
        </is>
      </c>
      <c r="F16" s="2" t="inlineStr">
        <is>
          <t>47933847240903</t>
        </is>
      </c>
      <c r="G16" s="2" t="inlineStr"/>
      <c r="H16" s="2" t="inlineStr">
        <is>
          <t>GALLERY</t>
        </is>
      </c>
      <c r="I16" s="2" t="inlineStr">
        <is>
          <t>DIRECT_ORIGINAL_IMAGE</t>
        </is>
      </c>
      <c r="J16" s="2" t="inlineStr">
        <is>
          <t>2026-09-07T13:47:49.662355+07:00</t>
        </is>
      </c>
      <c r="K16" s="2" t="inlineStr">
        <is>
          <t>Twin, Full, Queen and King dimension chart; heading reads SIZE DIMENTION.</t>
        </is>
      </c>
      <c r="L16" s="2" t="inlineStr">
        <is>
          <t>Additional bedroom mockup showing the white personalized Christian affirmation design with the name Evelyn and Bible verse words design on a bed.</t>
        </is>
      </c>
      <c r="M16" s="2" t="inlineStr">
        <is>
          <t>Christian Bedding Set – Inspirational Bible Verse Comforter – Religious Bedding for Women, Faith Gift for Mom, Daughter, Sister, Birthday &amp; Religious Gifts (God Says I am #3)</t>
        </is>
      </c>
      <c r="N16" s="2" t="inlineStr">
        <is>
          <t>SET</t>
        </is>
      </c>
      <c r="O16" s="2" t="inlineStr">
        <is>
          <t>Bedroom mockup of Christian Bible Verse Comforter Set</t>
        </is>
      </c>
      <c r="P16" s="2" t="inlineStr">
        <is>
          <t>FULL</t>
        </is>
      </c>
      <c r="Q16" s="2" t="inlineStr">
        <is>
          <t>FAIL</t>
        </is>
      </c>
      <c r="R16" s="2" t="inlineStr">
        <is>
          <t>FAIL</t>
        </is>
      </c>
      <c r="S16" s="2" t="inlineStr">
        <is>
          <t>FULL</t>
        </is>
      </c>
      <c r="T16" s="5">
        <f>IF(P16="FULL",40,IF(P16="PARTIAL",40/2,0))+IF(Q16="FULL",30,IF(Q16="PARTIAL",30/2,0))+IF(R16="FULL",20,IF(R16="PARTIAL",20/2,0))+IF(S16="FULL",10,IF(S16="PARTIAL",10/2,0))</f>
        <v/>
      </c>
      <c r="U16" s="5">
        <f>IF(P16="NOT_CHECKED",0,40)+IF(Q16="NOT_CHECKED",0,30)+IF(R16="NOT_CHECKED",0,20)+IF(S16="NOT_CHECKED",0,10)</f>
        <v/>
      </c>
      <c r="V16" s="5">
        <f>IF(U16=100,T16,"")</f>
        <v/>
      </c>
      <c r="W16" s="5">
        <f>T16</f>
        <v/>
      </c>
      <c r="X16" s="5">
        <f>T16+(100-U16)</f>
        <v/>
      </c>
      <c r="Y16" s="2" t="inlineStr">
        <is>
          <t>["ISS-012-IMG-07"]</t>
        </is>
      </c>
      <c r="Z16" s="2" t="inlineStr">
        <is>
          <t>["seo_runs\\jeminise.com\\20260906_234129\\evidence\\images\\12_christian-bedding-set-inspirational-bible-verse-comforte-design-03\\image_07_47933847240903.jpg; seo_runs\\jeminise.com\\20260906_234129\\evidence\\contact_sheets\\12_christian-bedding-set-inspirational-bible-verse-comforte-design-03.jpg", "https://jeminise.com/products/christian-bedding-set-inspirational-bible-verse-comforte-design-03", "https://cdn.shopify.com/s/files/1/0792/5098/1063/files/d6b8438a259ef28ba839a68ba108f40464bc9629b0bc2168779fc7776c9cbffa_6f72bb77-1b12-4ea3-9e0c-1b5e684c5f9f.jpg?v=1787237775"]</t>
        </is>
      </c>
    </row>
    <row r="17" ht="66" customHeight="1">
      <c r="A17" s="3" t="inlineStr">
        <is>
          <t>jeminise.com+christian-bedding-set-inspirational-bible-verse-comforte-design-04</t>
        </is>
      </c>
      <c r="B17" s="3" t="inlineStr">
        <is>
          <t>qaimg_2fa49ce4990a1a02</t>
        </is>
      </c>
      <c r="C17" s="4" t="inlineStr">
        <is>
          <t>https://cdn.shopify.com/s/files/1/0792/5098/1063/files/14ca1683130f1520ade50aa0650701fd1150fe4d09f367ab221b63a53783709e.jpg?v=1787237794</t>
        </is>
      </c>
      <c r="D17" s="4" t="inlineStr">
        <is>
          <t>https://cdn.shopify.com/s/files/1/0792/5098/1063/files/14ca1683130f1520ade50aa0650701fd1150fe4d09f367ab221b63a53783709e.jpg?v=1787237794</t>
        </is>
      </c>
      <c r="E17" s="3" t="inlineStr">
        <is>
          <t>38895087321287</t>
        </is>
      </c>
      <c r="F17" s="3" t="inlineStr">
        <is>
          <t>47933849829575</t>
        </is>
      </c>
      <c r="G17" s="3" t="inlineStr"/>
      <c r="H17" s="3" t="inlineStr">
        <is>
          <t>GALLERY</t>
        </is>
      </c>
      <c r="I17" s="3" t="inlineStr">
        <is>
          <t>DIRECT_ORIGINAL_IMAGE</t>
        </is>
      </c>
      <c r="J17" s="3" t="inlineStr">
        <is>
          <t>2026-09-07T13:47:49.662355+07:00</t>
        </is>
      </c>
      <c r="K17" s="3" t="inlineStr">
        <is>
          <t>Main bed mockup with black-and-gold Olivia design, woman silhouette, butterflies, flowers and God Is Within Her text.</t>
        </is>
      </c>
      <c r="L17" s="3" t="inlineStr">
        <is>
          <t>Main bed mockup showing black and gold Christian design with the name Olivia, butterflies and God is within her text.</t>
        </is>
      </c>
      <c r="M17" s="3" t="inlineStr">
        <is>
          <t>Christian Bedding Set – Inspirational Bible Verse Comforter – Religious Bedding for Women, Faith Gift for Mom, Daughter, Sister, Birthday &amp; Religious Gifts (Christian Girl)</t>
        </is>
      </c>
      <c r="N17" s="3" t="inlineStr">
        <is>
          <t>SET</t>
        </is>
      </c>
      <c r="O17" s="3" t="inlineStr">
        <is>
          <t>God Is Within Her Christian Comforter displayed on a bed</t>
        </is>
      </c>
      <c r="P17" s="3" t="inlineStr">
        <is>
          <t>FULL</t>
        </is>
      </c>
      <c r="Q17" s="3" t="inlineStr">
        <is>
          <t>FULL</t>
        </is>
      </c>
      <c r="R17" s="3" t="inlineStr">
        <is>
          <t>FULL</t>
        </is>
      </c>
      <c r="S17" s="3" t="inlineStr">
        <is>
          <t>FULL</t>
        </is>
      </c>
      <c r="T17" s="7">
        <f>IF(P17="FULL",40,IF(P17="PARTIAL",40/2,0))+IF(Q17="FULL",30,IF(Q17="PARTIAL",30/2,0))+IF(R17="FULL",20,IF(R17="PARTIAL",20/2,0))+IF(S17="FULL",10,IF(S17="PARTIAL",10/2,0))</f>
        <v/>
      </c>
      <c r="U17" s="7">
        <f>IF(P17="NOT_CHECKED",0,40)+IF(Q17="NOT_CHECKED",0,30)+IF(R17="NOT_CHECKED",0,20)+IF(S17="NOT_CHECKED",0,10)</f>
        <v/>
      </c>
      <c r="V17" s="7">
        <f>IF(U17=100,T17,"")</f>
        <v/>
      </c>
      <c r="W17" s="7">
        <f>T17</f>
        <v/>
      </c>
      <c r="X17" s="7">
        <f>T17+(100-U17)</f>
        <v/>
      </c>
      <c r="Y17" s="3" t="inlineStr">
        <is>
          <t>[]</t>
        </is>
      </c>
      <c r="Z17" s="3" t="inlineStr">
        <is>
          <t>["seo_runs\\jeminise.com\\20260906_234129\\evidence\\images\\13_christian-bedding-set-inspirational-bible-verse-comforte-design-04\\image_01_47933849829575.jpg; seo_runs\\jeminise.com\\20260906_234129\\evidence\\contact_sheets\\13_christian-bedding-set-inspirational-bible-verse-comforte-design-04.jpg", "https://jeminise.com/products/christian-bedding-set-inspirational-bible-verse-comforte-design-04", "https://cdn.shopify.com/s/files/1/0792/5098/1063/files/14ca1683130f1520ade50aa0650701fd1150fe4d09f367ab221b63a53783709e.jpg?v=1787237794"]</t>
        </is>
      </c>
    </row>
    <row r="18" ht="66" customHeight="1">
      <c r="A18" s="2" t="inlineStr">
        <is>
          <t>jeminise.com+christian-bedding-set-inspirational-bible-verse-comforte-design-04</t>
        </is>
      </c>
      <c r="B18" s="2" t="inlineStr">
        <is>
          <t>qaimg_968dec4fd615f426</t>
        </is>
      </c>
      <c r="C18" s="4" t="inlineStr">
        <is>
          <t>https://cdn.shopify.com/s/files/1/0792/5098/1063/files/1892152d87d62b43a0e3a2b26a3397d09584e40f761ce2e9fd4940acfae699dc.jpg?v=1787237794</t>
        </is>
      </c>
      <c r="D18" s="4" t="inlineStr">
        <is>
          <t>https://cdn.shopify.com/s/files/1/0792/5098/1063/files/1892152d87d62b43a0e3a2b26a3397d09584e40f761ce2e9fd4940acfae699dc.jpg?v=1787237794</t>
        </is>
      </c>
      <c r="E18" s="2" t="inlineStr">
        <is>
          <t>38895087354055</t>
        </is>
      </c>
      <c r="F18" s="2" t="inlineStr">
        <is>
          <t>47933849862343</t>
        </is>
      </c>
      <c r="G18" s="2" t="inlineStr"/>
      <c r="H18" s="2" t="inlineStr">
        <is>
          <t>GALLERY</t>
        </is>
      </c>
      <c r="I18" s="2" t="inlineStr">
        <is>
          <t>DIRECT_ORIGINAL_IMAGE</t>
        </is>
      </c>
      <c r="J18" s="2" t="inlineStr">
        <is>
          <t>2026-09-07T13:47:49.662355+07:00</t>
        </is>
      </c>
      <c r="K18" s="2" t="inlineStr">
        <is>
          <t>Alternate bedroom mockup of the same Olivia Christian bedding.</t>
        </is>
      </c>
      <c r="L18" s="2" t="inlineStr">
        <is>
          <t>Secondary detail or room mockup showing black and gold Christian design with the name Olivia, butterflies and God is within her text and visible quilted/printed texture.</t>
        </is>
      </c>
      <c r="M18" s="2" t="inlineStr">
        <is>
          <t>Christian Bedding Set – Inspirational Bible Verse Comforter – Religious Bedding for Women, Faith Gift for Mom, Daughter, Sister, Birthday &amp; Religious Gifts (Christian Girl)</t>
        </is>
      </c>
      <c r="N18" s="2" t="inlineStr">
        <is>
          <t>SET</t>
        </is>
      </c>
      <c r="O18" s="2" t="inlineStr">
        <is>
          <t>Close view of black and gold Christian design with the name Olivia, butterflies and God is within her text on the comforter s</t>
        </is>
      </c>
      <c r="P18" s="2" t="inlineStr">
        <is>
          <t>FULL</t>
        </is>
      </c>
      <c r="Q18" s="2" t="inlineStr">
        <is>
          <t>PARTIAL</t>
        </is>
      </c>
      <c r="R18" s="2" t="inlineStr">
        <is>
          <t>PARTIAL</t>
        </is>
      </c>
      <c r="S18" s="2" t="inlineStr">
        <is>
          <t>FULL</t>
        </is>
      </c>
      <c r="T18" s="5">
        <f>IF(P18="FULL",40,IF(P18="PARTIAL",40/2,0))+IF(Q18="FULL",30,IF(Q18="PARTIAL",30/2,0))+IF(R18="FULL",20,IF(R18="PARTIAL",20/2,0))+IF(S18="FULL",10,IF(S18="PARTIAL",10/2,0))</f>
        <v/>
      </c>
      <c r="U18" s="5">
        <f>IF(P18="NOT_CHECKED",0,40)+IF(Q18="NOT_CHECKED",0,30)+IF(R18="NOT_CHECKED",0,20)+IF(S18="NOT_CHECKED",0,10)</f>
        <v/>
      </c>
      <c r="V18" s="5">
        <f>IF(U18=100,T18,"")</f>
        <v/>
      </c>
      <c r="W18" s="5">
        <f>T18</f>
        <v/>
      </c>
      <c r="X18" s="5">
        <f>T18+(100-U18)</f>
        <v/>
      </c>
      <c r="Y18" s="2" t="inlineStr">
        <is>
          <t>["ISS-013-IMG-02"]</t>
        </is>
      </c>
      <c r="Z18" s="2" t="inlineStr">
        <is>
          <t>["seo_runs\\jeminise.com\\20260906_234129\\evidence\\images\\13_christian-bedding-set-inspirational-bible-verse-comforte-design-04\\image_02_47933849862343.jpg; seo_runs\\jeminise.com\\20260906_234129\\evidence\\contact_sheets\\13_christian-bedding-set-inspirational-bible-verse-comforte-design-04.jpg", "https://jeminise.com/products/christian-bedding-set-inspirational-bible-verse-comforte-design-04", "https://cdn.shopify.com/s/files/1/0792/5098/1063/files/1892152d87d62b43a0e3a2b26a3397d09584e40f761ce2e9fd4940acfae699dc.jpg?v=1787237794"]</t>
        </is>
      </c>
    </row>
    <row r="19" ht="66" customHeight="1">
      <c r="A19" s="3" t="inlineStr">
        <is>
          <t>jeminise.com+christian-bedding-set-inspirational-bible-verse-comforte-design-04</t>
        </is>
      </c>
      <c r="B19" s="3" t="inlineStr">
        <is>
          <t>qaimg_a6d3df0e47c5b795</t>
        </is>
      </c>
      <c r="C19" s="4" t="inlineStr">
        <is>
          <t>https://cdn.shopify.com/s/files/1/0792/5098/1063/files/50f96559dd878ae5bbee14ba7a34337ccd740d21a8ffe86a8a1be819656d26c0_06b27f7a-14c6-4267-b5df-12ac25afd52c.jpg?v=1787237794</t>
        </is>
      </c>
      <c r="D19" s="4" t="inlineStr">
        <is>
          <t>https://cdn.shopify.com/s/files/1/0792/5098/1063/files/50f96559dd878ae5bbee14ba7a34337ccd740d21a8ffe86a8a1be819656d26c0_06b27f7a-14c6-4267-b5df-12ac25afd52c.jpg?v=1787237794</t>
        </is>
      </c>
      <c r="E19" s="3" t="inlineStr">
        <is>
          <t>38895087386823</t>
        </is>
      </c>
      <c r="F19" s="3" t="inlineStr">
        <is>
          <t>47933849895111</t>
        </is>
      </c>
      <c r="G19" s="3" t="inlineStr"/>
      <c r="H19" s="3" t="inlineStr">
        <is>
          <t>GALLERY</t>
        </is>
      </c>
      <c r="I19" s="3" t="inlineStr">
        <is>
          <t>DIRECT_ORIGINAL_IMAGE</t>
        </is>
      </c>
      <c r="J19" s="3" t="inlineStr">
        <is>
          <t>2026-09-07T13:47:49.662355+07:00</t>
        </is>
      </c>
      <c r="K19" s="3" t="inlineStr">
        <is>
          <t>Comparison graphic explaining Duvet Cover Set versus Comforter Set.</t>
        </is>
      </c>
      <c r="L19" s="3" t="inlineStr">
        <is>
          <t>Matching pillow sham or bedding detail using the same black and gold Christian design with the name Olivia, butterflies and God is within her text artwork.</t>
        </is>
      </c>
      <c r="M19" s="3" t="inlineStr">
        <is>
          <t>Christian Bedding Set – Inspirational Bible Verse Comforter – Religious Bedding for Women, Faith Gift for Mom, Daughter, Sister, Birthday &amp; Religious Gifts (Christian Girl)</t>
        </is>
      </c>
      <c r="N19" s="3" t="inlineStr">
        <is>
          <t>SET</t>
        </is>
      </c>
      <c r="O19" s="3" t="inlineStr">
        <is>
          <t>Matching pillow sham for God Is Within Her Christian Comforter</t>
        </is>
      </c>
      <c r="P19" s="3" t="inlineStr">
        <is>
          <t>FULL</t>
        </is>
      </c>
      <c r="Q19" s="3" t="inlineStr">
        <is>
          <t>FAIL</t>
        </is>
      </c>
      <c r="R19" s="3" t="inlineStr">
        <is>
          <t>FAIL</t>
        </is>
      </c>
      <c r="S19" s="3" t="inlineStr">
        <is>
          <t>FULL</t>
        </is>
      </c>
      <c r="T19" s="7">
        <f>IF(P19="FULL",40,IF(P19="PARTIAL",40/2,0))+IF(Q19="FULL",30,IF(Q19="PARTIAL",30/2,0))+IF(R19="FULL",20,IF(R19="PARTIAL",20/2,0))+IF(S19="FULL",10,IF(S19="PARTIAL",10/2,0))</f>
        <v/>
      </c>
      <c r="U19" s="7">
        <f>IF(P19="NOT_CHECKED",0,40)+IF(Q19="NOT_CHECKED",0,30)+IF(R19="NOT_CHECKED",0,20)+IF(S19="NOT_CHECKED",0,10)</f>
        <v/>
      </c>
      <c r="V19" s="7">
        <f>IF(U19=100,T19,"")</f>
        <v/>
      </c>
      <c r="W19" s="7">
        <f>T19</f>
        <v/>
      </c>
      <c r="X19" s="7">
        <f>T19+(100-U19)</f>
        <v/>
      </c>
      <c r="Y19" s="3" t="inlineStr">
        <is>
          <t>["ISS-013-IMG-03"]</t>
        </is>
      </c>
      <c r="Z19" s="3" t="inlineStr">
        <is>
          <t>["seo_runs\\jeminise.com\\20260906_234129\\evidence\\images\\13_christian-bedding-set-inspirational-bible-verse-comforte-design-04\\image_03_47933849895111.jpg; seo_runs\\jeminise.com\\20260906_234129\\evidence\\contact_sheets\\13_christian-bedding-set-inspirational-bible-verse-comforte-design-04.jpg", "https://jeminise.com/products/christian-bedding-set-inspirational-bible-verse-comforte-design-04", "https://cdn.shopify.com/s/files/1/0792/5098/1063/files/50f96559dd878ae5bbee14ba7a34337ccd740d21a8ffe86a8a1be819656d26c0_06b27f7a-14c6-4267-b5df-12ac25afd52c.jpg?v=1787237794"]</t>
        </is>
      </c>
    </row>
    <row r="20" ht="66" customHeight="1">
      <c r="A20" s="2" t="inlineStr">
        <is>
          <t>jeminise.com+christian-bedding-set-inspirational-bible-verse-comforte-design-04</t>
        </is>
      </c>
      <c r="B20" s="2" t="inlineStr">
        <is>
          <t>qaimg_ab2bce2736a3e8e1</t>
        </is>
      </c>
      <c r="C20" s="4" t="inlineStr">
        <is>
          <t>https://cdn.shopify.com/s/files/1/0792/5098/1063/files/7da6a24b7604ad0ef3673f41696bea7a0fccfe1eb412a1cda572ca856ef48593.jpg?v=1787237794</t>
        </is>
      </c>
      <c r="D20" s="4" t="inlineStr">
        <is>
          <t>https://cdn.shopify.com/s/files/1/0792/5098/1063/files/7da6a24b7604ad0ef3673f41696bea7a0fccfe1eb412a1cda572ca856ef48593.jpg?v=1787237794</t>
        </is>
      </c>
      <c r="E20" s="2" t="inlineStr">
        <is>
          <t>38895087419591</t>
        </is>
      </c>
      <c r="F20" s="2" t="inlineStr">
        <is>
          <t>47933849927879</t>
        </is>
      </c>
      <c r="G20" s="2" t="inlineStr"/>
      <c r="H20" s="2" t="inlineStr">
        <is>
          <t>GALLERY</t>
        </is>
      </c>
      <c r="I20" s="2" t="inlineStr">
        <is>
          <t>DIRECT_ORIGINAL_IMAGE</t>
        </is>
      </c>
      <c r="J20" s="2" t="inlineStr">
        <is>
          <t>2026-09-07T13:47:49.662355+07:00</t>
        </is>
      </c>
      <c r="K20" s="2" t="inlineStr">
        <is>
          <t>Feature graphic stating 100% microfiber, 3D printed pattern, soft touch, lightweight and breathable.</t>
        </is>
      </c>
      <c r="L20" s="2" t="inlineStr">
        <is>
          <t>Room/folded product or fabric information image tied to the black and gold Christian design with the name Olivia, butterflies and God is within her text design.</t>
        </is>
      </c>
      <c r="M20" s="2" t="inlineStr">
        <is>
          <t>Christian Bedding Set – Inspirational Bible Verse Comforter – Religious Bedding for Women, Faith Gift for Mom, Daughter, Sister, Birthday &amp; Religious Gifts (Christian Girl)</t>
        </is>
      </c>
      <c r="N20" s="2" t="inlineStr">
        <is>
          <t>SET</t>
        </is>
      </c>
      <c r="O20" s="2" t="inlineStr">
        <is>
          <t>God Is Within Her Christian Comforter shown in a bedroom setting</t>
        </is>
      </c>
      <c r="P20" s="2" t="inlineStr">
        <is>
          <t>FULL</t>
        </is>
      </c>
      <c r="Q20" s="2" t="inlineStr">
        <is>
          <t>FAIL</t>
        </is>
      </c>
      <c r="R20" s="2" t="inlineStr">
        <is>
          <t>FAIL</t>
        </is>
      </c>
      <c r="S20" s="2" t="inlineStr">
        <is>
          <t>FULL</t>
        </is>
      </c>
      <c r="T20" s="5">
        <f>IF(P20="FULL",40,IF(P20="PARTIAL",40/2,0))+IF(Q20="FULL",30,IF(Q20="PARTIAL",30/2,0))+IF(R20="FULL",20,IF(R20="PARTIAL",20/2,0))+IF(S20="FULL",10,IF(S20="PARTIAL",10/2,0))</f>
        <v/>
      </c>
      <c r="U20" s="5">
        <f>IF(P20="NOT_CHECKED",0,40)+IF(Q20="NOT_CHECKED",0,30)+IF(R20="NOT_CHECKED",0,20)+IF(S20="NOT_CHECKED",0,10)</f>
        <v/>
      </c>
      <c r="V20" s="5">
        <f>IF(U20=100,T20,"")</f>
        <v/>
      </c>
      <c r="W20" s="5">
        <f>T20</f>
        <v/>
      </c>
      <c r="X20" s="5">
        <f>T20+(100-U20)</f>
        <v/>
      </c>
      <c r="Y20" s="2" t="inlineStr">
        <is>
          <t>["ISS-013-IMG-04"]</t>
        </is>
      </c>
      <c r="Z20" s="2" t="inlineStr">
        <is>
          <t>["seo_runs\\jeminise.com\\20260906_234129\\evidence\\images\\13_christian-bedding-set-inspirational-bible-verse-comforte-design-04\\image_04_47933849927879.jpg; seo_runs\\jeminise.com\\20260906_234129\\evidence\\contact_sheets\\13_christian-bedding-set-inspirational-bible-verse-comforte-design-04.jpg", "https://jeminise.com/products/christian-bedding-set-inspirational-bible-verse-comforte-design-04", "https://cdn.shopify.com/s/files/1/0792/5098/1063/files/7da6a24b7604ad0ef3673f41696bea7a0fccfe1eb412a1cda572ca856ef48593.jpg?v=1787237794"]</t>
        </is>
      </c>
    </row>
    <row r="21" ht="66" customHeight="1">
      <c r="A21" s="3" t="inlineStr">
        <is>
          <t>jeminise.com+christian-bedding-set-inspirational-bible-verse-comforte-design-04</t>
        </is>
      </c>
      <c r="B21" s="3" t="inlineStr">
        <is>
          <t>qaimg_07f7dd0a59d6a67e</t>
        </is>
      </c>
      <c r="C21" s="4" t="inlineStr">
        <is>
          <t>https://cdn.shopify.com/s/files/1/0792/5098/1063/files/226b0655da5d59ac974c47bf8332fcc934206146b46faa31fb8bab794613c1f0.jpg?v=1787237794</t>
        </is>
      </c>
      <c r="D21" s="4" t="inlineStr">
        <is>
          <t>https://cdn.shopify.com/s/files/1/0792/5098/1063/files/226b0655da5d59ac974c47bf8332fcc934206146b46faa31fb8bab794613c1f0.jpg?v=1787237794</t>
        </is>
      </c>
      <c r="E21" s="3" t="inlineStr">
        <is>
          <t>38895087452359</t>
        </is>
      </c>
      <c r="F21" s="3" t="inlineStr">
        <is>
          <t>47933849960647</t>
        </is>
      </c>
      <c r="G21" s="3" t="inlineStr"/>
      <c r="H21" s="3" t="inlineStr">
        <is>
          <t>GALLERY</t>
        </is>
      </c>
      <c r="I21" s="3" t="inlineStr">
        <is>
          <t>DIRECT_ORIGINAL_IMAGE</t>
        </is>
      </c>
      <c r="J21" s="3" t="inlineStr">
        <is>
          <t>2026-09-07T13:47:49.662355+07:00</t>
        </is>
      </c>
      <c r="K21" s="3" t="inlineStr">
        <is>
          <t>Bedroom close-up with soft, lightweight, durable and breathable feature icons.</t>
        </is>
      </c>
      <c r="L21" s="3" t="inlineStr">
        <is>
          <t>Sizing or included-components information image for the bedding set.</t>
        </is>
      </c>
      <c r="M21" s="3" t="inlineStr">
        <is>
          <t>Christian Bedding Set – Inspirational Bible Verse Comforter – Religious Bedding for Women, Faith Gift for Mom, Daughter, Sister, Birthday &amp; Religious Gifts (Christian Girl)</t>
        </is>
      </c>
      <c r="N21" s="3" t="inlineStr">
        <is>
          <t>SET</t>
        </is>
      </c>
      <c r="O21" s="3" t="inlineStr">
        <is>
          <t>Size guide for God Is Within Her Christian Comforter</t>
        </is>
      </c>
      <c r="P21" s="3" t="inlineStr">
        <is>
          <t>FULL</t>
        </is>
      </c>
      <c r="Q21" s="3" t="inlineStr">
        <is>
          <t>FAIL</t>
        </is>
      </c>
      <c r="R21" s="3" t="inlineStr">
        <is>
          <t>FAIL</t>
        </is>
      </c>
      <c r="S21" s="3" t="inlineStr">
        <is>
          <t>FULL</t>
        </is>
      </c>
      <c r="T21" s="7">
        <f>IF(P21="FULL",40,IF(P21="PARTIAL",40/2,0))+IF(Q21="FULL",30,IF(Q21="PARTIAL",30/2,0))+IF(R21="FULL",20,IF(R21="PARTIAL",20/2,0))+IF(S21="FULL",10,IF(S21="PARTIAL",10/2,0))</f>
        <v/>
      </c>
      <c r="U21" s="7">
        <f>IF(P21="NOT_CHECKED",0,40)+IF(Q21="NOT_CHECKED",0,30)+IF(R21="NOT_CHECKED",0,20)+IF(S21="NOT_CHECKED",0,10)</f>
        <v/>
      </c>
      <c r="V21" s="7">
        <f>IF(U21=100,T21,"")</f>
        <v/>
      </c>
      <c r="W21" s="7">
        <f>T21</f>
        <v/>
      </c>
      <c r="X21" s="7">
        <f>T21+(100-U21)</f>
        <v/>
      </c>
      <c r="Y21" s="3" t="inlineStr">
        <is>
          <t>["ISS-013-IMG-05"]</t>
        </is>
      </c>
      <c r="Z21" s="3" t="inlineStr">
        <is>
          <t>["seo_runs\\jeminise.com\\20260906_234129\\evidence\\images\\13_christian-bedding-set-inspirational-bible-verse-comforte-design-04\\image_05_47933849960647.jpg; seo_runs\\jeminise.com\\20260906_234129\\evidence\\contact_sheets\\13_christian-bedding-set-inspirational-bible-verse-comforte-design-04.jpg", "https://jeminise.com/products/christian-bedding-set-inspirational-bible-verse-comforte-design-04", "https://cdn.shopify.com/s/files/1/0792/5098/1063/files/226b0655da5d59ac974c47bf8332fcc934206146b46faa31fb8bab794613c1f0.jpg?v=1787237794"]</t>
        </is>
      </c>
    </row>
    <row r="22" ht="66" customHeight="1">
      <c r="A22" s="2" t="inlineStr">
        <is>
          <t>jeminise.com+christian-bedding-set-inspirational-bible-verse-comforte-design-04</t>
        </is>
      </c>
      <c r="B22" s="2" t="inlineStr">
        <is>
          <t>qaimg_c95689a978dc7eb5</t>
        </is>
      </c>
      <c r="C22" s="4" t="inlineStr">
        <is>
          <t>https://cdn.shopify.com/s/files/1/0792/5098/1063/files/0e22a9fec09643a714af054217066178d4f7bc4d6266b6d2ff5c33c09cc10e88_2cef02df-e481-4c1b-91ca-baace2312c0a.jpg?v=1787237794</t>
        </is>
      </c>
      <c r="D22" s="4" t="inlineStr">
        <is>
          <t>https://cdn.shopify.com/s/files/1/0792/5098/1063/files/0e22a9fec09643a714af054217066178d4f7bc4d6266b6d2ff5c33c09cc10e88_2cef02df-e481-4c1b-91ca-baace2312c0a.jpg?v=1787237794</t>
        </is>
      </c>
      <c r="E22" s="2" t="inlineStr">
        <is>
          <t>38895087485127</t>
        </is>
      </c>
      <c r="F22" s="2" t="inlineStr">
        <is>
          <t>47933849993415</t>
        </is>
      </c>
      <c r="G22" s="2" t="inlineStr"/>
      <c r="H22" s="2" t="inlineStr">
        <is>
          <t>GALLERY</t>
        </is>
      </c>
      <c r="I22" s="2" t="inlineStr">
        <is>
          <t>DIRECT_ORIGINAL_IMAGE</t>
        </is>
      </c>
      <c r="J22" s="2" t="inlineStr">
        <is>
          <t>2026-09-07T13:47:49.662355+07:00</t>
        </is>
      </c>
      <c r="K22" s="2" t="inlineStr">
        <is>
          <t>Easy-care graphic stating wrinkle-free, stain-proof, anti-pilling and won't fade in the wash.</t>
        </is>
      </c>
      <c r="L22" s="2" t="inlineStr">
        <is>
          <t>Feature image describing fabric layers, softness, breathability or care details.</t>
        </is>
      </c>
      <c r="M22" s="2" t="inlineStr">
        <is>
          <t>Christian Bedding Set – Inspirational Bible Verse Comforter – Religious Bedding for Women, Faith Gift for Mom, Daughter, Sister, Birthday &amp; Religious Gifts (Christian Girl)</t>
        </is>
      </c>
      <c r="N22" s="2" t="inlineStr">
        <is>
          <t>SET</t>
        </is>
      </c>
      <c r="O22" s="2" t="inlineStr">
        <is>
          <t>Fabric feature graphic for God Is Within Her Christian Comforter</t>
        </is>
      </c>
      <c r="P22" s="2" t="inlineStr">
        <is>
          <t>FULL</t>
        </is>
      </c>
      <c r="Q22" s="2" t="inlineStr">
        <is>
          <t>PARTIAL</t>
        </is>
      </c>
      <c r="R22" s="2" t="inlineStr">
        <is>
          <t>FAIL</t>
        </is>
      </c>
      <c r="S22" s="2" t="inlineStr">
        <is>
          <t>FULL</t>
        </is>
      </c>
      <c r="T22" s="5">
        <f>IF(P22="FULL",40,IF(P22="PARTIAL",40/2,0))+IF(Q22="FULL",30,IF(Q22="PARTIAL",30/2,0))+IF(R22="FULL",20,IF(R22="PARTIAL",20/2,0))+IF(S22="FULL",10,IF(S22="PARTIAL",10/2,0))</f>
        <v/>
      </c>
      <c r="U22" s="5">
        <f>IF(P22="NOT_CHECKED",0,40)+IF(Q22="NOT_CHECKED",0,30)+IF(R22="NOT_CHECKED",0,20)+IF(S22="NOT_CHECKED",0,10)</f>
        <v/>
      </c>
      <c r="V22" s="5">
        <f>IF(U22=100,T22,"")</f>
        <v/>
      </c>
      <c r="W22" s="5">
        <f>T22</f>
        <v/>
      </c>
      <c r="X22" s="5">
        <f>T22+(100-U22)</f>
        <v/>
      </c>
      <c r="Y22" s="2" t="inlineStr">
        <is>
          <t>["ISS-013-IMG-06"]</t>
        </is>
      </c>
      <c r="Z22" s="2" t="inlineStr">
        <is>
          <t>["seo_runs\\jeminise.com\\20260906_234129\\evidence\\images\\13_christian-bedding-set-inspirational-bible-verse-comforte-design-04\\image_06_47933849993415.jpg; seo_runs\\jeminise.com\\20260906_234129\\evidence\\contact_sheets\\13_christian-bedding-set-inspirational-bible-verse-comforte-design-04.jpg", "https://jeminise.com/products/christian-bedding-set-inspirational-bible-verse-comforte-design-04", "https://cdn.shopify.com/s/files/1/0792/5098/1063/files/0e22a9fec09643a714af054217066178d4f7bc4d6266b6d2ff5c33c09cc10e88_2cef02df-e481-4c1b-91ca-baace2312c0a.jpg?v=1787237794"]</t>
        </is>
      </c>
    </row>
    <row r="23" ht="66" customHeight="1">
      <c r="A23" s="3" t="inlineStr">
        <is>
          <t>jeminise.com+christian-bedding-set-inspirational-bible-verse-comforte-design-04</t>
        </is>
      </c>
      <c r="B23" s="3" t="inlineStr">
        <is>
          <t>qaimg_bf69849eda59ee13</t>
        </is>
      </c>
      <c r="C23" s="4" t="inlineStr">
        <is>
          <t>https://cdn.shopify.com/s/files/1/0792/5098/1063/files/d6b8438a259ef28ba839a68ba108f40464bc9629b0bc2168779fc7776c9cbffa_5b109a66-32e6-4a36-bd31-f408dd22e6aa.jpg?v=1787237794</t>
        </is>
      </c>
      <c r="D23" s="4" t="inlineStr">
        <is>
          <t>https://cdn.shopify.com/s/files/1/0792/5098/1063/files/d6b8438a259ef28ba839a68ba108f40464bc9629b0bc2168779fc7776c9cbffa_5b109a66-32e6-4a36-bd31-f408dd22e6aa.jpg?v=1787237794</t>
        </is>
      </c>
      <c r="E23" s="3" t="inlineStr">
        <is>
          <t>38895087517895</t>
        </is>
      </c>
      <c r="F23" s="3" t="inlineStr">
        <is>
          <t>47933850026183</t>
        </is>
      </c>
      <c r="G23" s="3" t="inlineStr"/>
      <c r="H23" s="3" t="inlineStr">
        <is>
          <t>GALLERY</t>
        </is>
      </c>
      <c r="I23" s="3" t="inlineStr">
        <is>
          <t>DIRECT_ORIGINAL_IMAGE</t>
        </is>
      </c>
      <c r="J23" s="3" t="inlineStr">
        <is>
          <t>2026-09-07T13:47:49.662355+07:00</t>
        </is>
      </c>
      <c r="K23" s="3" t="inlineStr">
        <is>
          <t>Twin, Full, Queen and King dimension chart; heading reads SIZE DIMENTION.</t>
        </is>
      </c>
      <c r="L23" s="3" t="inlineStr">
        <is>
          <t>Additional bedroom mockup showing the black and gold Christian design with the name Olivia, butterflies and God is within her text design on a bed.</t>
        </is>
      </c>
      <c r="M23" s="3" t="inlineStr">
        <is>
          <t>Christian Bedding Set – Inspirational Bible Verse Comforter – Religious Bedding for Women, Faith Gift for Mom, Daughter, Sister, Birthday &amp; Religious Gifts (Christian Girl)</t>
        </is>
      </c>
      <c r="N23" s="3" t="inlineStr">
        <is>
          <t>SET</t>
        </is>
      </c>
      <c r="O23" s="3" t="inlineStr">
        <is>
          <t>Bedroom mockup of God Is Within Her Christian Comforter</t>
        </is>
      </c>
      <c r="P23" s="3" t="inlineStr">
        <is>
          <t>FULL</t>
        </is>
      </c>
      <c r="Q23" s="3" t="inlineStr">
        <is>
          <t>FAIL</t>
        </is>
      </c>
      <c r="R23" s="3" t="inlineStr">
        <is>
          <t>FAIL</t>
        </is>
      </c>
      <c r="S23" s="3" t="inlineStr">
        <is>
          <t>FULL</t>
        </is>
      </c>
      <c r="T23" s="7">
        <f>IF(P23="FULL",40,IF(P23="PARTIAL",40/2,0))+IF(Q23="FULL",30,IF(Q23="PARTIAL",30/2,0))+IF(R23="FULL",20,IF(R23="PARTIAL",20/2,0))+IF(S23="FULL",10,IF(S23="PARTIAL",10/2,0))</f>
        <v/>
      </c>
      <c r="U23" s="7">
        <f>IF(P23="NOT_CHECKED",0,40)+IF(Q23="NOT_CHECKED",0,30)+IF(R23="NOT_CHECKED",0,20)+IF(S23="NOT_CHECKED",0,10)</f>
        <v/>
      </c>
      <c r="V23" s="7">
        <f>IF(U23=100,T23,"")</f>
        <v/>
      </c>
      <c r="W23" s="7">
        <f>T23</f>
        <v/>
      </c>
      <c r="X23" s="7">
        <f>T23+(100-U23)</f>
        <v/>
      </c>
      <c r="Y23" s="3" t="inlineStr">
        <is>
          <t>["ISS-013-IMG-07"]</t>
        </is>
      </c>
      <c r="Z23" s="3" t="inlineStr">
        <is>
          <t>["seo_runs\\jeminise.com\\20260906_234129\\evidence\\images\\13_christian-bedding-set-inspirational-bible-verse-comforte-design-04\\image_07_47933850026183.jpg; seo_runs\\jeminise.com\\20260906_234129\\evidence\\contact_sheets\\13_christian-bedding-set-inspirational-bible-verse-comforte-design-04.jpg", "https://jeminise.com/products/christian-bedding-set-inspirational-bible-verse-comforte-design-04", "https://cdn.shopify.com/s/files/1/0792/5098/1063/files/d6b8438a259ef28ba839a68ba108f40464bc9629b0bc2168779fc7776c9cbffa_5b109a66-32e6-4a36-bd31-f408dd22e6aa.jpg?v=1787237794"]</t>
        </is>
      </c>
    </row>
    <row r="24" ht="66" customHeight="1">
      <c r="A24" s="2" t="inlineStr">
        <is>
          <t>jeminise.com+christian-bedding-set-inspirational-bible-verse-comforte-design-05</t>
        </is>
      </c>
      <c r="B24" s="2" t="inlineStr">
        <is>
          <t>qaimg_aaf18f482cca5edf</t>
        </is>
      </c>
      <c r="C24" s="4" t="inlineStr">
        <is>
          <t>https://cdn.shopify.com/s/files/1/0792/5098/1063/files/8863051f9429c76751f57504cfec521d6b6841af138c38cf4dbf60905dcd8fd5.jpg?v=1787237801</t>
        </is>
      </c>
      <c r="D24" s="4" t="inlineStr">
        <is>
          <t>https://cdn.shopify.com/s/files/1/0792/5098/1063/files/8863051f9429c76751f57504cfec521d6b6841af138c38cf4dbf60905dcd8fd5.jpg?v=1787237801</t>
        </is>
      </c>
      <c r="E24" s="2" t="inlineStr">
        <is>
          <t>38895088271559</t>
        </is>
      </c>
      <c r="F24" s="2" t="inlineStr">
        <is>
          <t>47933850812615</t>
        </is>
      </c>
      <c r="G24" s="2" t="inlineStr"/>
      <c r="H24" s="2" t="inlineStr">
        <is>
          <t>GALLERY</t>
        </is>
      </c>
      <c r="I24" s="2" t="inlineStr">
        <is>
          <t>DIRECT_ORIGINAL_IMAGE</t>
        </is>
      </c>
      <c r="J24" s="2" t="inlineStr">
        <is>
          <t>2026-09-07T13:47:49.662355+07:00</t>
        </is>
      </c>
      <c r="K24" s="2" t="inlineStr">
        <is>
          <t>Main bed mockup with blue-and-white God Says I Am design, sample name Emily, floral border and Bible-reference acrostic.</t>
        </is>
      </c>
      <c r="L24" s="2" t="inlineStr">
        <is>
          <t>Main bed mockup showing blue God Says I Am Christian design with the name Emily and floral border.</t>
        </is>
      </c>
      <c r="M24" s="2" t="inlineStr">
        <is>
          <t>Christian Bedding Set – Inspirational Bible Verse Comforter – Religious Bedding for Women, Faith Gift for Mom, Daughter, Sister, Birthday &amp; Religious Gifts (Christian Art)</t>
        </is>
      </c>
      <c r="N24" s="2" t="inlineStr">
        <is>
          <t>SET</t>
        </is>
      </c>
      <c r="O24" s="2" t="inlineStr">
        <is>
          <t>Blue God Says I Am Christian Comforter Set displayed on a bed</t>
        </is>
      </c>
      <c r="P24" s="2" t="inlineStr">
        <is>
          <t>FULL</t>
        </is>
      </c>
      <c r="Q24" s="2" t="inlineStr">
        <is>
          <t>FULL</t>
        </is>
      </c>
      <c r="R24" s="2" t="inlineStr">
        <is>
          <t>FULL</t>
        </is>
      </c>
      <c r="S24" s="2" t="inlineStr">
        <is>
          <t>FULL</t>
        </is>
      </c>
      <c r="T24" s="5">
        <f>IF(P24="FULL",40,IF(P24="PARTIAL",40/2,0))+IF(Q24="FULL",30,IF(Q24="PARTIAL",30/2,0))+IF(R24="FULL",20,IF(R24="PARTIAL",20/2,0))+IF(S24="FULL",10,IF(S24="PARTIAL",10/2,0))</f>
        <v/>
      </c>
      <c r="U24" s="5">
        <f>IF(P24="NOT_CHECKED",0,40)+IF(Q24="NOT_CHECKED",0,30)+IF(R24="NOT_CHECKED",0,20)+IF(S24="NOT_CHECKED",0,10)</f>
        <v/>
      </c>
      <c r="V24" s="5">
        <f>IF(U24=100,T24,"")</f>
        <v/>
      </c>
      <c r="W24" s="5">
        <f>T24</f>
        <v/>
      </c>
      <c r="X24" s="5">
        <f>T24+(100-U24)</f>
        <v/>
      </c>
      <c r="Y24" s="2" t="inlineStr">
        <is>
          <t>[]</t>
        </is>
      </c>
      <c r="Z24" s="2" t="inlineStr">
        <is>
          <t>["seo_runs\\jeminise.com\\20260906_234129\\evidence\\images\\14_christian-bedding-set-inspirational-bible-verse-comforte-design-05\\image_01_47933850812615.jpg; seo_runs\\jeminise.com\\20260906_234129\\evidence\\contact_sheets\\14_christian-bedding-set-inspirational-bible-verse-comforte-design-05.jpg", "https://jeminise.com/products/christian-bedding-set-inspirational-bible-verse-comforte-design-05", "https://cdn.shopify.com/s/files/1/0792/5098/1063/files/8863051f9429c76751f57504cfec521d6b6841af138c38cf4dbf60905dcd8fd5.jpg?v=1787237801"]</t>
        </is>
      </c>
    </row>
    <row r="25" ht="66" customHeight="1">
      <c r="A25" s="3" t="inlineStr">
        <is>
          <t>jeminise.com+christian-bedding-set-inspirational-bible-verse-comforte-design-05</t>
        </is>
      </c>
      <c r="B25" s="3" t="inlineStr">
        <is>
          <t>qaimg_16dfc2606217829c</t>
        </is>
      </c>
      <c r="C25" s="4" t="inlineStr">
        <is>
          <t>https://cdn.shopify.com/s/files/1/0792/5098/1063/files/b5194765e0cae48306ed2e7b908325a37d813710ea8355976fd4bdad98268bcf.jpg?v=1787237801</t>
        </is>
      </c>
      <c r="D25" s="4" t="inlineStr">
        <is>
          <t>https://cdn.shopify.com/s/files/1/0792/5098/1063/files/b5194765e0cae48306ed2e7b908325a37d813710ea8355976fd4bdad98268bcf.jpg?v=1787237801</t>
        </is>
      </c>
      <c r="E25" s="3" t="inlineStr">
        <is>
          <t>38895088304327</t>
        </is>
      </c>
      <c r="F25" s="3" t="inlineStr">
        <is>
          <t>47933850845383</t>
        </is>
      </c>
      <c r="G25" s="3" t="inlineStr"/>
      <c r="H25" s="3" t="inlineStr">
        <is>
          <t>GALLERY</t>
        </is>
      </c>
      <c r="I25" s="3" t="inlineStr">
        <is>
          <t>DIRECT_ORIGINAL_IMAGE</t>
        </is>
      </c>
      <c r="J25" s="3" t="inlineStr">
        <is>
          <t>2026-09-07T13:47:49.662355+07:00</t>
        </is>
      </c>
      <c r="K25" s="3" t="inlineStr">
        <is>
          <t>Alternate bedroom mockup of the same Emily Christian bedding.</t>
        </is>
      </c>
      <c r="L25" s="3" t="inlineStr">
        <is>
          <t>Secondary detail or room mockup showing blue God Says I Am Christian design with the name Emily and floral border and visible quilted/printed texture.</t>
        </is>
      </c>
      <c r="M25" s="3" t="inlineStr">
        <is>
          <t>Christian Bedding Set – Inspirational Bible Verse Comforter – Religious Bedding for Women, Faith Gift for Mom, Daughter, Sister, Birthday &amp; Religious Gifts (Christian Art)</t>
        </is>
      </c>
      <c r="N25" s="3" t="inlineStr">
        <is>
          <t>SET</t>
        </is>
      </c>
      <c r="O25" s="3" t="inlineStr">
        <is>
          <t>Close view of blue God Says I Am Christian design with the name Emily and floral border on the comforter set</t>
        </is>
      </c>
      <c r="P25" s="3" t="inlineStr">
        <is>
          <t>FULL</t>
        </is>
      </c>
      <c r="Q25" s="3" t="inlineStr">
        <is>
          <t>PARTIAL</t>
        </is>
      </c>
      <c r="R25" s="3" t="inlineStr">
        <is>
          <t>PARTIAL</t>
        </is>
      </c>
      <c r="S25" s="3" t="inlineStr">
        <is>
          <t>FULL</t>
        </is>
      </c>
      <c r="T25" s="7">
        <f>IF(P25="FULL",40,IF(P25="PARTIAL",40/2,0))+IF(Q25="FULL",30,IF(Q25="PARTIAL",30/2,0))+IF(R25="FULL",20,IF(R25="PARTIAL",20/2,0))+IF(S25="FULL",10,IF(S25="PARTIAL",10/2,0))</f>
        <v/>
      </c>
      <c r="U25" s="7">
        <f>IF(P25="NOT_CHECKED",0,40)+IF(Q25="NOT_CHECKED",0,30)+IF(R25="NOT_CHECKED",0,20)+IF(S25="NOT_CHECKED",0,10)</f>
        <v/>
      </c>
      <c r="V25" s="7">
        <f>IF(U25=100,T25,"")</f>
        <v/>
      </c>
      <c r="W25" s="7">
        <f>T25</f>
        <v/>
      </c>
      <c r="X25" s="7">
        <f>T25+(100-U25)</f>
        <v/>
      </c>
      <c r="Y25" s="3" t="inlineStr">
        <is>
          <t>["ISS-014-IMG-02"]</t>
        </is>
      </c>
      <c r="Z25" s="3" t="inlineStr">
        <is>
          <t>["seo_runs\\jeminise.com\\20260906_234129\\evidence\\images\\14_christian-bedding-set-inspirational-bible-verse-comforte-design-05\\image_02_47933850845383.jpg; seo_runs\\jeminise.com\\20260906_234129\\evidence\\contact_sheets\\14_christian-bedding-set-inspirational-bible-verse-comforte-design-05.jpg", "https://jeminise.com/products/christian-bedding-set-inspirational-bible-verse-comforte-design-05", "https://cdn.shopify.com/s/files/1/0792/5098/1063/files/b5194765e0cae48306ed2e7b908325a37d813710ea8355976fd4bdad98268bcf.jpg?v=1787237801"]</t>
        </is>
      </c>
    </row>
    <row r="26" ht="66" customHeight="1">
      <c r="A26" s="2" t="inlineStr">
        <is>
          <t>jeminise.com+christian-bedding-set-inspirational-bible-verse-comforte-design-05</t>
        </is>
      </c>
      <c r="B26" s="2" t="inlineStr">
        <is>
          <t>qaimg_bc6d1526b2534f74</t>
        </is>
      </c>
      <c r="C26" s="4" t="inlineStr">
        <is>
          <t>https://cdn.shopify.com/s/files/1/0792/5098/1063/files/50f96559dd878ae5bbee14ba7a34337ccd740d21a8ffe86a8a1be819656d26c0_32920277-9b92-44f8-8046-5ec5bbe0e622.jpg?v=1787237801</t>
        </is>
      </c>
      <c r="D26" s="4" t="inlineStr">
        <is>
          <t>https://cdn.shopify.com/s/files/1/0792/5098/1063/files/50f96559dd878ae5bbee14ba7a34337ccd740d21a8ffe86a8a1be819656d26c0_32920277-9b92-44f8-8046-5ec5bbe0e622.jpg?v=1787237801</t>
        </is>
      </c>
      <c r="E26" s="2" t="inlineStr">
        <is>
          <t>38895088337095</t>
        </is>
      </c>
      <c r="F26" s="2" t="inlineStr">
        <is>
          <t>47933850878151</t>
        </is>
      </c>
      <c r="G26" s="2" t="inlineStr"/>
      <c r="H26" s="2" t="inlineStr">
        <is>
          <t>GALLERY</t>
        </is>
      </c>
      <c r="I26" s="2" t="inlineStr">
        <is>
          <t>DIRECT_ORIGINAL_IMAGE</t>
        </is>
      </c>
      <c r="J26" s="2" t="inlineStr">
        <is>
          <t>2026-09-07T13:47:49.662355+07:00</t>
        </is>
      </c>
      <c r="K26" s="2" t="inlineStr">
        <is>
          <t>Comparison graphic explaining Duvet Cover Set versus Comforter Set.</t>
        </is>
      </c>
      <c r="L26" s="2" t="inlineStr">
        <is>
          <t>Matching pillow sham or bedding detail using the same blue God Says I Am Christian design with the name Emily and floral border artwork.</t>
        </is>
      </c>
      <c r="M26" s="2" t="inlineStr">
        <is>
          <t>Christian Bedding Set – Inspirational Bible Verse Comforter – Religious Bedding for Women, Faith Gift for Mom, Daughter, Sister, Birthday &amp; Religious Gifts (Christian Art)</t>
        </is>
      </c>
      <c r="N26" s="2" t="inlineStr">
        <is>
          <t>SET</t>
        </is>
      </c>
      <c r="O26" s="2" t="inlineStr">
        <is>
          <t>Matching pillow sham for Blue God Says I Am Christian Comforter Set</t>
        </is>
      </c>
      <c r="P26" s="2" t="inlineStr">
        <is>
          <t>FULL</t>
        </is>
      </c>
      <c r="Q26" s="2" t="inlineStr">
        <is>
          <t>FAIL</t>
        </is>
      </c>
      <c r="R26" s="2" t="inlineStr">
        <is>
          <t>FAIL</t>
        </is>
      </c>
      <c r="S26" s="2" t="inlineStr">
        <is>
          <t>FULL</t>
        </is>
      </c>
      <c r="T26" s="5">
        <f>IF(P26="FULL",40,IF(P26="PARTIAL",40/2,0))+IF(Q26="FULL",30,IF(Q26="PARTIAL",30/2,0))+IF(R26="FULL",20,IF(R26="PARTIAL",20/2,0))+IF(S26="FULL",10,IF(S26="PARTIAL",10/2,0))</f>
        <v/>
      </c>
      <c r="U26" s="5">
        <f>IF(P26="NOT_CHECKED",0,40)+IF(Q26="NOT_CHECKED",0,30)+IF(R26="NOT_CHECKED",0,20)+IF(S26="NOT_CHECKED",0,10)</f>
        <v/>
      </c>
      <c r="V26" s="5">
        <f>IF(U26=100,T26,"")</f>
        <v/>
      </c>
      <c r="W26" s="5">
        <f>T26</f>
        <v/>
      </c>
      <c r="X26" s="5">
        <f>T26+(100-U26)</f>
        <v/>
      </c>
      <c r="Y26" s="2" t="inlineStr">
        <is>
          <t>["ISS-014-IMG-03"]</t>
        </is>
      </c>
      <c r="Z26" s="2" t="inlineStr">
        <is>
          <t>["seo_runs\\jeminise.com\\20260906_234129\\evidence\\images\\14_christian-bedding-set-inspirational-bible-verse-comforte-design-05\\image_03_47933850878151.jpg; seo_runs\\jeminise.com\\20260906_234129\\evidence\\contact_sheets\\14_christian-bedding-set-inspirational-bible-verse-comforte-design-05.jpg", "https://jeminise.com/products/christian-bedding-set-inspirational-bible-verse-comforte-design-05", "https://cdn.shopify.com/s/files/1/0792/5098/1063/files/50f96559dd878ae5bbee14ba7a34337ccd740d21a8ffe86a8a1be819656d26c0_32920277-9b92-44f8-8046-5ec5bbe0e622.jpg?v=1787237801"]</t>
        </is>
      </c>
    </row>
    <row r="27" ht="66" customHeight="1">
      <c r="A27" s="3" t="inlineStr">
        <is>
          <t>jeminise.com+christian-bedding-set-inspirational-bible-verse-comforte-design-05</t>
        </is>
      </c>
      <c r="B27" s="3" t="inlineStr">
        <is>
          <t>qaimg_f7d246eca83ea2cc</t>
        </is>
      </c>
      <c r="C27" s="4" t="inlineStr">
        <is>
          <t>https://cdn.shopify.com/s/files/1/0792/5098/1063/files/a3e33ead7835eefa65523c45bf48420d56f8ee5c29d0aa8d4a6fb0717bc0d53e.jpg?v=1787237801</t>
        </is>
      </c>
      <c r="D27" s="4" t="inlineStr">
        <is>
          <t>https://cdn.shopify.com/s/files/1/0792/5098/1063/files/a3e33ead7835eefa65523c45bf48420d56f8ee5c29d0aa8d4a6fb0717bc0d53e.jpg?v=1787237801</t>
        </is>
      </c>
      <c r="E27" s="3" t="inlineStr">
        <is>
          <t>38895088369863</t>
        </is>
      </c>
      <c r="F27" s="3" t="inlineStr">
        <is>
          <t>47933850910919</t>
        </is>
      </c>
      <c r="G27" s="3" t="inlineStr"/>
      <c r="H27" s="3" t="inlineStr">
        <is>
          <t>GALLERY</t>
        </is>
      </c>
      <c r="I27" s="3" t="inlineStr">
        <is>
          <t>DIRECT_ORIGINAL_IMAGE</t>
        </is>
      </c>
      <c r="J27" s="3" t="inlineStr">
        <is>
          <t>2026-09-07T13:47:49.662355+07:00</t>
        </is>
      </c>
      <c r="K27" s="3" t="inlineStr">
        <is>
          <t>Feature graphic stating 100% microfiber, 3D printed pattern, soft touch, lightweight and breathable.</t>
        </is>
      </c>
      <c r="L27" s="3" t="inlineStr">
        <is>
          <t>Room/folded product or fabric information image tied to the blue God Says I Am Christian design with the name Emily and floral border design.</t>
        </is>
      </c>
      <c r="M27" s="3" t="inlineStr">
        <is>
          <t>Christian Bedding Set – Inspirational Bible Verse Comforter – Religious Bedding for Women, Faith Gift for Mom, Daughter, Sister, Birthday &amp; Religious Gifts (Christian Art)</t>
        </is>
      </c>
      <c r="N27" s="3" t="inlineStr">
        <is>
          <t>SET</t>
        </is>
      </c>
      <c r="O27" s="3" t="inlineStr">
        <is>
          <t>Blue God Says I Am Christian Comforter Set shown in a bedroom setting</t>
        </is>
      </c>
      <c r="P27" s="3" t="inlineStr">
        <is>
          <t>FULL</t>
        </is>
      </c>
      <c r="Q27" s="3" t="inlineStr">
        <is>
          <t>FAIL</t>
        </is>
      </c>
      <c r="R27" s="3" t="inlineStr">
        <is>
          <t>FAIL</t>
        </is>
      </c>
      <c r="S27" s="3" t="inlineStr">
        <is>
          <t>FULL</t>
        </is>
      </c>
      <c r="T27" s="7">
        <f>IF(P27="FULL",40,IF(P27="PARTIAL",40/2,0))+IF(Q27="FULL",30,IF(Q27="PARTIAL",30/2,0))+IF(R27="FULL",20,IF(R27="PARTIAL",20/2,0))+IF(S27="FULL",10,IF(S27="PARTIAL",10/2,0))</f>
        <v/>
      </c>
      <c r="U27" s="7">
        <f>IF(P27="NOT_CHECKED",0,40)+IF(Q27="NOT_CHECKED",0,30)+IF(R27="NOT_CHECKED",0,20)+IF(S27="NOT_CHECKED",0,10)</f>
        <v/>
      </c>
      <c r="V27" s="7">
        <f>IF(U27=100,T27,"")</f>
        <v/>
      </c>
      <c r="W27" s="7">
        <f>T27</f>
        <v/>
      </c>
      <c r="X27" s="7">
        <f>T27+(100-U27)</f>
        <v/>
      </c>
      <c r="Y27" s="3" t="inlineStr">
        <is>
          <t>["ISS-014-IMG-04"]</t>
        </is>
      </c>
      <c r="Z27" s="3" t="inlineStr">
        <is>
          <t>["seo_runs\\jeminise.com\\20260906_234129\\evidence\\images\\14_christian-bedding-set-inspirational-bible-verse-comforte-design-05\\image_04_47933850910919.jpg; seo_runs\\jeminise.com\\20260906_234129\\evidence\\contact_sheets\\14_christian-bedding-set-inspirational-bible-verse-comforte-design-05.jpg", "https://jeminise.com/products/christian-bedding-set-inspirational-bible-verse-comforte-design-05", "https://cdn.shopify.com/s/files/1/0792/5098/1063/files/a3e33ead7835eefa65523c45bf48420d56f8ee5c29d0aa8d4a6fb0717bc0d53e.jpg?v=1787237801"]</t>
        </is>
      </c>
    </row>
    <row r="28" ht="66" customHeight="1">
      <c r="A28" s="2" t="inlineStr">
        <is>
          <t>jeminise.com+christian-bedding-set-inspirational-bible-verse-comforte-design-05</t>
        </is>
      </c>
      <c r="B28" s="2" t="inlineStr">
        <is>
          <t>qaimg_67fa0f472d1b8177</t>
        </is>
      </c>
      <c r="C28" s="4" t="inlineStr">
        <is>
          <t>https://cdn.shopify.com/s/files/1/0792/5098/1063/files/c90ac7079a8d005c71bbed0da31d73d3243eb764fe402b271b85e05efec937b6.jpg?v=1787237801</t>
        </is>
      </c>
      <c r="D28" s="4" t="inlineStr">
        <is>
          <t>https://cdn.shopify.com/s/files/1/0792/5098/1063/files/c90ac7079a8d005c71bbed0da31d73d3243eb764fe402b271b85e05efec937b6.jpg?v=1787237801</t>
        </is>
      </c>
      <c r="E28" s="2" t="inlineStr">
        <is>
          <t>38895088402631</t>
        </is>
      </c>
      <c r="F28" s="2" t="inlineStr">
        <is>
          <t>47933850943687</t>
        </is>
      </c>
      <c r="G28" s="2" t="inlineStr"/>
      <c r="H28" s="2" t="inlineStr">
        <is>
          <t>GALLERY</t>
        </is>
      </c>
      <c r="I28" s="2" t="inlineStr">
        <is>
          <t>DIRECT_ORIGINAL_IMAGE</t>
        </is>
      </c>
      <c r="J28" s="2" t="inlineStr">
        <is>
          <t>2026-09-07T13:47:49.662355+07:00</t>
        </is>
      </c>
      <c r="K28" s="2" t="inlineStr">
        <is>
          <t>Bedroom close-up with soft, lightweight, durable and breathable feature icons.</t>
        </is>
      </c>
      <c r="L28" s="2" t="inlineStr">
        <is>
          <t>Sizing or included-components information image for the bedding set.</t>
        </is>
      </c>
      <c r="M28" s="2" t="inlineStr">
        <is>
          <t>Christian Bedding Set – Inspirational Bible Verse Comforter – Religious Bedding for Women, Faith Gift for Mom, Daughter, Sister, Birthday &amp; Religious Gifts (Christian Art)</t>
        </is>
      </c>
      <c r="N28" s="2" t="inlineStr">
        <is>
          <t>SET</t>
        </is>
      </c>
      <c r="O28" s="2" t="inlineStr">
        <is>
          <t>Size guide for Blue God Says I Am Christian Comforter Set</t>
        </is>
      </c>
      <c r="P28" s="2" t="inlineStr">
        <is>
          <t>FULL</t>
        </is>
      </c>
      <c r="Q28" s="2" t="inlineStr">
        <is>
          <t>FAIL</t>
        </is>
      </c>
      <c r="R28" s="2" t="inlineStr">
        <is>
          <t>FAIL</t>
        </is>
      </c>
      <c r="S28" s="2" t="inlineStr">
        <is>
          <t>FULL</t>
        </is>
      </c>
      <c r="T28" s="5">
        <f>IF(P28="FULL",40,IF(P28="PARTIAL",40/2,0))+IF(Q28="FULL",30,IF(Q28="PARTIAL",30/2,0))+IF(R28="FULL",20,IF(R28="PARTIAL",20/2,0))+IF(S28="FULL",10,IF(S28="PARTIAL",10/2,0))</f>
        <v/>
      </c>
      <c r="U28" s="5">
        <f>IF(P28="NOT_CHECKED",0,40)+IF(Q28="NOT_CHECKED",0,30)+IF(R28="NOT_CHECKED",0,20)+IF(S28="NOT_CHECKED",0,10)</f>
        <v/>
      </c>
      <c r="V28" s="5">
        <f>IF(U28=100,T28,"")</f>
        <v/>
      </c>
      <c r="W28" s="5">
        <f>T28</f>
        <v/>
      </c>
      <c r="X28" s="5">
        <f>T28+(100-U28)</f>
        <v/>
      </c>
      <c r="Y28" s="2" t="inlineStr">
        <is>
          <t>["ISS-014-IMG-05"]</t>
        </is>
      </c>
      <c r="Z28" s="2" t="inlineStr">
        <is>
          <t>["seo_runs\\jeminise.com\\20260906_234129\\evidence\\images\\14_christian-bedding-set-inspirational-bible-verse-comforte-design-05\\image_05_47933850943687.jpg; seo_runs\\jeminise.com\\20260906_234129\\evidence\\contact_sheets\\14_christian-bedding-set-inspirational-bible-verse-comforte-design-05.jpg", "https://jeminise.com/products/christian-bedding-set-inspirational-bible-verse-comforte-design-05", "https://cdn.shopify.com/s/files/1/0792/5098/1063/files/c90ac7079a8d005c71bbed0da31d73d3243eb764fe402b271b85e05efec937b6.jpg?v=1787237801"]</t>
        </is>
      </c>
    </row>
    <row r="29" ht="66" customHeight="1">
      <c r="A29" s="3" t="inlineStr">
        <is>
          <t>jeminise.com+christian-bedding-set-inspirational-bible-verse-comforte-design-05</t>
        </is>
      </c>
      <c r="B29" s="3" t="inlineStr">
        <is>
          <t>qaimg_ea4541fdca00e820</t>
        </is>
      </c>
      <c r="C29" s="4" t="inlineStr">
        <is>
          <t>https://cdn.shopify.com/s/files/1/0792/5098/1063/files/0e22a9fec09643a714af054217066178d4f7bc4d6266b6d2ff5c33c09cc10e88_37f50064-c16f-4107-bf6d-b3b50080fc75.jpg?v=1787237802</t>
        </is>
      </c>
      <c r="D29" s="4" t="inlineStr">
        <is>
          <t>https://cdn.shopify.com/s/files/1/0792/5098/1063/files/0e22a9fec09643a714af054217066178d4f7bc4d6266b6d2ff5c33c09cc10e88_37f50064-c16f-4107-bf6d-b3b50080fc75.jpg?v=1787237802</t>
        </is>
      </c>
      <c r="E29" s="3" t="inlineStr">
        <is>
          <t>38895088435399</t>
        </is>
      </c>
      <c r="F29" s="3" t="inlineStr">
        <is>
          <t>47933850976455</t>
        </is>
      </c>
      <c r="G29" s="3" t="inlineStr"/>
      <c r="H29" s="3" t="inlineStr">
        <is>
          <t>GALLERY</t>
        </is>
      </c>
      <c r="I29" s="3" t="inlineStr">
        <is>
          <t>DIRECT_ORIGINAL_IMAGE</t>
        </is>
      </c>
      <c r="J29" s="3" t="inlineStr">
        <is>
          <t>2026-09-07T13:47:49.662355+07:00</t>
        </is>
      </c>
      <c r="K29" s="3" t="inlineStr">
        <is>
          <t>Easy-care graphic stating wrinkle-free, stain-proof, anti-pilling and won't fade in the wash.</t>
        </is>
      </c>
      <c r="L29" s="3" t="inlineStr">
        <is>
          <t>Feature image describing fabric layers, softness, breathability or care details.</t>
        </is>
      </c>
      <c r="M29" s="3" t="inlineStr">
        <is>
          <t>Christian Bedding Set – Inspirational Bible Verse Comforter – Religious Bedding for Women, Faith Gift for Mom, Daughter, Sister, Birthday &amp; Religious Gifts (Christian Art)</t>
        </is>
      </c>
      <c r="N29" s="3" t="inlineStr">
        <is>
          <t>SET</t>
        </is>
      </c>
      <c r="O29" s="3" t="inlineStr">
        <is>
          <t>Fabric feature graphic for Blue God Says I Am Christian Comforter Set</t>
        </is>
      </c>
      <c r="P29" s="3" t="inlineStr">
        <is>
          <t>FULL</t>
        </is>
      </c>
      <c r="Q29" s="3" t="inlineStr">
        <is>
          <t>PARTIAL</t>
        </is>
      </c>
      <c r="R29" s="3" t="inlineStr">
        <is>
          <t>FAIL</t>
        </is>
      </c>
      <c r="S29" s="3" t="inlineStr">
        <is>
          <t>FULL</t>
        </is>
      </c>
      <c r="T29" s="7">
        <f>IF(P29="FULL",40,IF(P29="PARTIAL",40/2,0))+IF(Q29="FULL",30,IF(Q29="PARTIAL",30/2,0))+IF(R29="FULL",20,IF(R29="PARTIAL",20/2,0))+IF(S29="FULL",10,IF(S29="PARTIAL",10/2,0))</f>
        <v/>
      </c>
      <c r="U29" s="7">
        <f>IF(P29="NOT_CHECKED",0,40)+IF(Q29="NOT_CHECKED",0,30)+IF(R29="NOT_CHECKED",0,20)+IF(S29="NOT_CHECKED",0,10)</f>
        <v/>
      </c>
      <c r="V29" s="7">
        <f>IF(U29=100,T29,"")</f>
        <v/>
      </c>
      <c r="W29" s="7">
        <f>T29</f>
        <v/>
      </c>
      <c r="X29" s="7">
        <f>T29+(100-U29)</f>
        <v/>
      </c>
      <c r="Y29" s="3" t="inlineStr">
        <is>
          <t>["ISS-014-IMG-06"]</t>
        </is>
      </c>
      <c r="Z29" s="3" t="inlineStr">
        <is>
          <t>["seo_runs\\jeminise.com\\20260906_234129\\evidence\\images\\14_christian-bedding-set-inspirational-bible-verse-comforte-design-05\\image_06_47933850976455.jpg; seo_runs\\jeminise.com\\20260906_234129\\evidence\\contact_sheets\\14_christian-bedding-set-inspirational-bible-verse-comforte-design-05.jpg", "https://jeminise.com/products/christian-bedding-set-inspirational-bible-verse-comforte-design-05", "https://cdn.shopify.com/s/files/1/0792/5098/1063/files/0e22a9fec09643a714af054217066178d4f7bc4d6266b6d2ff5c33c09cc10e88_37f50064-c16f-4107-bf6d-b3b50080fc75.jpg?v=1787237802"]</t>
        </is>
      </c>
    </row>
    <row r="30" ht="66" customHeight="1">
      <c r="A30" s="2" t="inlineStr">
        <is>
          <t>jeminise.com+christian-bedding-set-inspirational-bible-verse-comforte-design-05</t>
        </is>
      </c>
      <c r="B30" s="2" t="inlineStr">
        <is>
          <t>qaimg_5fb9fd52ffff0cd7</t>
        </is>
      </c>
      <c r="C30" s="4" t="inlineStr">
        <is>
          <t>https://cdn.shopify.com/s/files/1/0792/5098/1063/files/d6b8438a259ef28ba839a68ba108f40464bc9629b0bc2168779fc7776c9cbffa_fb8b4e17-519d-4d0c-b0e5-03dce3811442.jpg?v=1787237801</t>
        </is>
      </c>
      <c r="D30" s="4" t="inlineStr">
        <is>
          <t>https://cdn.shopify.com/s/files/1/0792/5098/1063/files/d6b8438a259ef28ba839a68ba108f40464bc9629b0bc2168779fc7776c9cbffa_fb8b4e17-519d-4d0c-b0e5-03dce3811442.jpg?v=1787237801</t>
        </is>
      </c>
      <c r="E30" s="2" t="inlineStr">
        <is>
          <t>38895088468167</t>
        </is>
      </c>
      <c r="F30" s="2" t="inlineStr">
        <is>
          <t>47933851009223</t>
        </is>
      </c>
      <c r="G30" s="2" t="inlineStr"/>
      <c r="H30" s="2" t="inlineStr">
        <is>
          <t>GALLERY</t>
        </is>
      </c>
      <c r="I30" s="2" t="inlineStr">
        <is>
          <t>DIRECT_ORIGINAL_IMAGE</t>
        </is>
      </c>
      <c r="J30" s="2" t="inlineStr">
        <is>
          <t>2026-09-07T13:47:49.662355+07:00</t>
        </is>
      </c>
      <c r="K30" s="2" t="inlineStr">
        <is>
          <t>Twin, Full, Queen and King dimension chart; heading reads SIZE DIMENTION.</t>
        </is>
      </c>
      <c r="L30" s="2" t="inlineStr">
        <is>
          <t>Additional bedroom mockup showing the blue God Says I Am Christian design with the name Emily and floral border design on a bed.</t>
        </is>
      </c>
      <c r="M30" s="2" t="inlineStr">
        <is>
          <t>Christian Bedding Set – Inspirational Bible Verse Comforter – Religious Bedding for Women, Faith Gift for Mom, Daughter, Sister, Birthday &amp; Religious Gifts (Christian Art)</t>
        </is>
      </c>
      <c r="N30" s="2" t="inlineStr">
        <is>
          <t>SET</t>
        </is>
      </c>
      <c r="O30" s="2" t="inlineStr">
        <is>
          <t>Bedroom mockup of Blue God Says I Am Christian Comforter Set</t>
        </is>
      </c>
      <c r="P30" s="2" t="inlineStr">
        <is>
          <t>FULL</t>
        </is>
      </c>
      <c r="Q30" s="2" t="inlineStr">
        <is>
          <t>FAIL</t>
        </is>
      </c>
      <c r="R30" s="2" t="inlineStr">
        <is>
          <t>FAIL</t>
        </is>
      </c>
      <c r="S30" s="2" t="inlineStr">
        <is>
          <t>FULL</t>
        </is>
      </c>
      <c r="T30" s="5">
        <f>IF(P30="FULL",40,IF(P30="PARTIAL",40/2,0))+IF(Q30="FULL",30,IF(Q30="PARTIAL",30/2,0))+IF(R30="FULL",20,IF(R30="PARTIAL",20/2,0))+IF(S30="FULL",10,IF(S30="PARTIAL",10/2,0))</f>
        <v/>
      </c>
      <c r="U30" s="5">
        <f>IF(P30="NOT_CHECKED",0,40)+IF(Q30="NOT_CHECKED",0,30)+IF(R30="NOT_CHECKED",0,20)+IF(S30="NOT_CHECKED",0,10)</f>
        <v/>
      </c>
      <c r="V30" s="5">
        <f>IF(U30=100,T30,"")</f>
        <v/>
      </c>
      <c r="W30" s="5">
        <f>T30</f>
        <v/>
      </c>
      <c r="X30" s="5">
        <f>T30+(100-U30)</f>
        <v/>
      </c>
      <c r="Y30" s="2" t="inlineStr">
        <is>
          <t>["ISS-014-IMG-07"]</t>
        </is>
      </c>
      <c r="Z30" s="2" t="inlineStr">
        <is>
          <t>["seo_runs\\jeminise.com\\20260906_234129\\evidence\\images\\14_christian-bedding-set-inspirational-bible-verse-comforte-design-05\\image_07_47933851009223.jpg; seo_runs\\jeminise.com\\20260906_234129\\evidence\\contact_sheets\\14_christian-bedding-set-inspirational-bible-verse-comforte-design-05.jpg", "https://jeminise.com/products/christian-bedding-set-inspirational-bible-verse-comforte-design-05", "https://cdn.shopify.com/s/files/1/0792/5098/1063/files/d6b8438a259ef28ba839a68ba108f40464bc9629b0bc2168779fc7776c9cbffa_fb8b4e17-519d-4d0c-b0e5-03dce3811442.jpg?v=1787237801"]</t>
        </is>
      </c>
    </row>
    <row r="31" ht="66" customHeight="1">
      <c r="A31" s="3" t="inlineStr">
        <is>
          <t>jeminise.com+christian-bedding-set-inspirational-bible-verse-comforte-design-06</t>
        </is>
      </c>
      <c r="B31" s="3" t="inlineStr">
        <is>
          <t>qaimg_92695c9e5cd567f8</t>
        </is>
      </c>
      <c r="C31" s="4" t="inlineStr">
        <is>
          <t>https://cdn.shopify.com/s/files/1/0792/5098/1063/files/7d1ce2040466699184d4d34be5a513af5f29c64a38cbd8b469c68ae7253f4630.jpg?v=1787237807</t>
        </is>
      </c>
      <c r="D31" s="4" t="inlineStr">
        <is>
          <t>https://cdn.shopify.com/s/files/1/0792/5098/1063/files/7d1ce2040466699184d4d34be5a513af5f29c64a38cbd8b469c68ae7253f4630.jpg?v=1787237807</t>
        </is>
      </c>
      <c r="E31" s="3" t="inlineStr">
        <is>
          <t>38895089025223</t>
        </is>
      </c>
      <c r="F31" s="3" t="inlineStr">
        <is>
          <t>47933851533511</t>
        </is>
      </c>
      <c r="G31" s="3" t="inlineStr"/>
      <c r="H31" s="3" t="inlineStr">
        <is>
          <t>GALLERY</t>
        </is>
      </c>
      <c r="I31" s="3" t="inlineStr">
        <is>
          <t>DIRECT_ORIGINAL_IMAGE</t>
        </is>
      </c>
      <c r="J31" s="3" t="inlineStr">
        <is>
          <t>2026-09-07T13:47:49.662355+07:00</t>
        </is>
      </c>
      <c r="K31" s="3" t="inlineStr">
        <is>
          <t>Main bed mockup with brown Charlotte butterfly bedding, God Is Within Her text and Bible-reference acrostic.</t>
        </is>
      </c>
      <c r="L31" s="3" t="inlineStr">
        <is>
          <t>Main bed mockup showing brown Christian butterfly design with the name Charlotte and God is within her text.</t>
        </is>
      </c>
      <c r="M31" s="3" t="inlineStr">
        <is>
          <t>Christian Bedding Set – Inspirational Bible Verse Comforter – Religious Bedding for Women, Faith Gift for Mom, Daughter, Sister, Birthday &amp; Religious Gifts (Butterfly Affirmation)</t>
        </is>
      </c>
      <c r="N31" s="3" t="inlineStr">
        <is>
          <t>SET</t>
        </is>
      </c>
      <c r="O31" s="3" t="inlineStr">
        <is>
          <t>Christian Butterfly Comforter Set displayed on a bed</t>
        </is>
      </c>
      <c r="P31" s="3" t="inlineStr">
        <is>
          <t>FULL</t>
        </is>
      </c>
      <c r="Q31" s="3" t="inlineStr">
        <is>
          <t>FULL</t>
        </is>
      </c>
      <c r="R31" s="3" t="inlineStr">
        <is>
          <t>FULL</t>
        </is>
      </c>
      <c r="S31" s="3" t="inlineStr">
        <is>
          <t>FULL</t>
        </is>
      </c>
      <c r="T31" s="7">
        <f>IF(P31="FULL",40,IF(P31="PARTIAL",40/2,0))+IF(Q31="FULL",30,IF(Q31="PARTIAL",30/2,0))+IF(R31="FULL",20,IF(R31="PARTIAL",20/2,0))+IF(S31="FULL",10,IF(S31="PARTIAL",10/2,0))</f>
        <v/>
      </c>
      <c r="U31" s="7">
        <f>IF(P31="NOT_CHECKED",0,40)+IF(Q31="NOT_CHECKED",0,30)+IF(R31="NOT_CHECKED",0,20)+IF(S31="NOT_CHECKED",0,10)</f>
        <v/>
      </c>
      <c r="V31" s="7">
        <f>IF(U31=100,T31,"")</f>
        <v/>
      </c>
      <c r="W31" s="7">
        <f>T31</f>
        <v/>
      </c>
      <c r="X31" s="7">
        <f>T31+(100-U31)</f>
        <v/>
      </c>
      <c r="Y31" s="3" t="inlineStr">
        <is>
          <t>[]</t>
        </is>
      </c>
      <c r="Z31" s="3" t="inlineStr">
        <is>
          <t>["seo_runs\\jeminise.com\\20260906_234129\\evidence\\images\\15_christian-bedding-set-inspirational-bible-verse-comforte-design-06\\image_01_47933851533511.jpg; seo_runs\\jeminise.com\\20260906_234129\\evidence\\contact_sheets\\15_christian-bedding-set-inspirational-bible-verse-comforte-design-06.jpg", "https://jeminise.com/products/christian-bedding-set-inspirational-bible-verse-comforte-design-06", "https://cdn.shopify.com/s/files/1/0792/5098/1063/files/7d1ce2040466699184d4d34be5a513af5f29c64a38cbd8b469c68ae7253f4630.jpg?v=1787237807"]</t>
        </is>
      </c>
    </row>
    <row r="32" ht="66" customHeight="1">
      <c r="A32" s="2" t="inlineStr">
        <is>
          <t>jeminise.com+christian-bedding-set-inspirational-bible-verse-comforte-design-06</t>
        </is>
      </c>
      <c r="B32" s="2" t="inlineStr">
        <is>
          <t>qaimg_f79f50ec24dc2544</t>
        </is>
      </c>
      <c r="C32" s="4" t="inlineStr">
        <is>
          <t>https://cdn.shopify.com/s/files/1/0792/5098/1063/files/85e882bcf89deebcdc3c8d5fea6db005c41297d04fabf6b4dedfb33c5d8fa653.jpg?v=1787237807</t>
        </is>
      </c>
      <c r="D32" s="4" t="inlineStr">
        <is>
          <t>https://cdn.shopify.com/s/files/1/0792/5098/1063/files/85e882bcf89deebcdc3c8d5fea6db005c41297d04fabf6b4dedfb33c5d8fa653.jpg?v=1787237807</t>
        </is>
      </c>
      <c r="E32" s="2" t="inlineStr">
        <is>
          <t>38895089057991</t>
        </is>
      </c>
      <c r="F32" s="2" t="inlineStr">
        <is>
          <t>47933851566279</t>
        </is>
      </c>
      <c r="G32" s="2" t="inlineStr"/>
      <c r="H32" s="2" t="inlineStr">
        <is>
          <t>GALLERY</t>
        </is>
      </c>
      <c r="I32" s="2" t="inlineStr">
        <is>
          <t>DIRECT_ORIGINAL_IMAGE</t>
        </is>
      </c>
      <c r="J32" s="2" t="inlineStr">
        <is>
          <t>2026-09-07T13:47:49.662355+07:00</t>
        </is>
      </c>
      <c r="K32" s="2" t="inlineStr">
        <is>
          <t>Alternate bedroom mockup of the same Charlotte Christian bedding.</t>
        </is>
      </c>
      <c r="L32" s="2" t="inlineStr">
        <is>
          <t>Secondary detail or room mockup showing brown Christian butterfly design with the name Charlotte and God is within her text and visible quilted/printed texture.</t>
        </is>
      </c>
      <c r="M32" s="2" t="inlineStr">
        <is>
          <t>Christian Bedding Set – Inspirational Bible Verse Comforter – Religious Bedding for Women, Faith Gift for Mom, Daughter, Sister, Birthday &amp; Religious Gifts (Butterfly Affirmation)</t>
        </is>
      </c>
      <c r="N32" s="2" t="inlineStr">
        <is>
          <t>SET</t>
        </is>
      </c>
      <c r="O32" s="2" t="inlineStr">
        <is>
          <t>Close view of brown Christian butterfly design with the name Charlotte and God is within her text on the comforter set</t>
        </is>
      </c>
      <c r="P32" s="2" t="inlineStr">
        <is>
          <t>FULL</t>
        </is>
      </c>
      <c r="Q32" s="2" t="inlineStr">
        <is>
          <t>PARTIAL</t>
        </is>
      </c>
      <c r="R32" s="2" t="inlineStr">
        <is>
          <t>PARTIAL</t>
        </is>
      </c>
      <c r="S32" s="2" t="inlineStr">
        <is>
          <t>FULL</t>
        </is>
      </c>
      <c r="T32" s="5">
        <f>IF(P32="FULL",40,IF(P32="PARTIAL",40/2,0))+IF(Q32="FULL",30,IF(Q32="PARTIAL",30/2,0))+IF(R32="FULL",20,IF(R32="PARTIAL",20/2,0))+IF(S32="FULL",10,IF(S32="PARTIAL",10/2,0))</f>
        <v/>
      </c>
      <c r="U32" s="5">
        <f>IF(P32="NOT_CHECKED",0,40)+IF(Q32="NOT_CHECKED",0,30)+IF(R32="NOT_CHECKED",0,20)+IF(S32="NOT_CHECKED",0,10)</f>
        <v/>
      </c>
      <c r="V32" s="5">
        <f>IF(U32=100,T32,"")</f>
        <v/>
      </c>
      <c r="W32" s="5">
        <f>T32</f>
        <v/>
      </c>
      <c r="X32" s="5">
        <f>T32+(100-U32)</f>
        <v/>
      </c>
      <c r="Y32" s="2" t="inlineStr">
        <is>
          <t>["ISS-015-IMG-02"]</t>
        </is>
      </c>
      <c r="Z32" s="2" t="inlineStr">
        <is>
          <t>["seo_runs\\jeminise.com\\20260906_234129\\evidence\\images\\15_christian-bedding-set-inspirational-bible-verse-comforte-design-06\\image_02_47933851566279.jpg; seo_runs\\jeminise.com\\20260906_234129\\evidence\\contact_sheets\\15_christian-bedding-set-inspirational-bible-verse-comforte-design-06.jpg", "https://jeminise.com/products/christian-bedding-set-inspirational-bible-verse-comforte-design-06", "https://cdn.shopify.com/s/files/1/0792/5098/1063/files/85e882bcf89deebcdc3c8d5fea6db005c41297d04fabf6b4dedfb33c5d8fa653.jpg?v=1787237807"]</t>
        </is>
      </c>
    </row>
    <row r="33" ht="66" customHeight="1">
      <c r="A33" s="3" t="inlineStr">
        <is>
          <t>jeminise.com+christian-bedding-set-inspirational-bible-verse-comforte-design-06</t>
        </is>
      </c>
      <c r="B33" s="3" t="inlineStr">
        <is>
          <t>qaimg_74f2eed842241f10</t>
        </is>
      </c>
      <c r="C33" s="4" t="inlineStr">
        <is>
          <t>https://cdn.shopify.com/s/files/1/0792/5098/1063/files/50f96559dd878ae5bbee14ba7a34337ccd740d21a8ffe86a8a1be819656d26c0_8c8fa0f7-48a1-41f8-86e6-9b423fbaf03e.jpg?v=1787237806</t>
        </is>
      </c>
      <c r="D33" s="4" t="inlineStr">
        <is>
          <t>https://cdn.shopify.com/s/files/1/0792/5098/1063/files/50f96559dd878ae5bbee14ba7a34337ccd740d21a8ffe86a8a1be819656d26c0_8c8fa0f7-48a1-41f8-86e6-9b423fbaf03e.jpg?v=1787237806</t>
        </is>
      </c>
      <c r="E33" s="3" t="inlineStr">
        <is>
          <t>38895089090759</t>
        </is>
      </c>
      <c r="F33" s="3" t="inlineStr">
        <is>
          <t>47933851599047</t>
        </is>
      </c>
      <c r="G33" s="3" t="inlineStr"/>
      <c r="H33" s="3" t="inlineStr">
        <is>
          <t>GALLERY</t>
        </is>
      </c>
      <c r="I33" s="3" t="inlineStr">
        <is>
          <t>DIRECT_ORIGINAL_IMAGE</t>
        </is>
      </c>
      <c r="J33" s="3" t="inlineStr">
        <is>
          <t>2026-09-07T13:47:49.662355+07:00</t>
        </is>
      </c>
      <c r="K33" s="3" t="inlineStr">
        <is>
          <t>Comparison graphic explaining Duvet Cover Set versus Comforter Set.</t>
        </is>
      </c>
      <c r="L33" s="3" t="inlineStr">
        <is>
          <t>Matching pillow sham or bedding detail using the same brown Christian butterfly design with the name Charlotte and God is within her text artwork.</t>
        </is>
      </c>
      <c r="M33" s="3" t="inlineStr">
        <is>
          <t>Christian Bedding Set – Inspirational Bible Verse Comforter – Religious Bedding for Women, Faith Gift for Mom, Daughter, Sister, Birthday &amp; Religious Gifts (Butterfly Affirmation)</t>
        </is>
      </c>
      <c r="N33" s="3" t="inlineStr">
        <is>
          <t>SET</t>
        </is>
      </c>
      <c r="O33" s="3" t="inlineStr">
        <is>
          <t>Matching pillow sham for Christian Butterfly Comforter Set</t>
        </is>
      </c>
      <c r="P33" s="3" t="inlineStr">
        <is>
          <t>FULL</t>
        </is>
      </c>
      <c r="Q33" s="3" t="inlineStr">
        <is>
          <t>FAIL</t>
        </is>
      </c>
      <c r="R33" s="3" t="inlineStr">
        <is>
          <t>FAIL</t>
        </is>
      </c>
      <c r="S33" s="3" t="inlineStr">
        <is>
          <t>FULL</t>
        </is>
      </c>
      <c r="T33" s="7">
        <f>IF(P33="FULL",40,IF(P33="PARTIAL",40/2,0))+IF(Q33="FULL",30,IF(Q33="PARTIAL",30/2,0))+IF(R33="FULL",20,IF(R33="PARTIAL",20/2,0))+IF(S33="FULL",10,IF(S33="PARTIAL",10/2,0))</f>
        <v/>
      </c>
      <c r="U33" s="7">
        <f>IF(P33="NOT_CHECKED",0,40)+IF(Q33="NOT_CHECKED",0,30)+IF(R33="NOT_CHECKED",0,20)+IF(S33="NOT_CHECKED",0,10)</f>
        <v/>
      </c>
      <c r="V33" s="7">
        <f>IF(U33=100,T33,"")</f>
        <v/>
      </c>
      <c r="W33" s="7">
        <f>T33</f>
        <v/>
      </c>
      <c r="X33" s="7">
        <f>T33+(100-U33)</f>
        <v/>
      </c>
      <c r="Y33" s="3" t="inlineStr">
        <is>
          <t>["ISS-015-IMG-03"]</t>
        </is>
      </c>
      <c r="Z33" s="3" t="inlineStr">
        <is>
          <t>["seo_runs\\jeminise.com\\20260906_234129\\evidence\\images\\15_christian-bedding-set-inspirational-bible-verse-comforte-design-06\\image_03_47933851599047.jpg; seo_runs\\jeminise.com\\20260906_234129\\evidence\\contact_sheets\\15_christian-bedding-set-inspirational-bible-verse-comforte-design-06.jpg", "https://jeminise.com/products/christian-bedding-set-inspirational-bible-verse-comforte-design-06", "https://cdn.shopify.com/s/files/1/0792/5098/1063/files/50f96559dd878ae5bbee14ba7a34337ccd740d21a8ffe86a8a1be819656d26c0_8c8fa0f7-48a1-41f8-86e6-9b423fbaf03e.jpg?v=1787237806"]</t>
        </is>
      </c>
    </row>
    <row r="34" ht="66" customHeight="1">
      <c r="A34" s="2" t="inlineStr">
        <is>
          <t>jeminise.com+christian-bedding-set-inspirational-bible-verse-comforte-design-06</t>
        </is>
      </c>
      <c r="B34" s="2" t="inlineStr">
        <is>
          <t>qaimg_4ab1c93dd13617ef</t>
        </is>
      </c>
      <c r="C34" s="4" t="inlineStr">
        <is>
          <t>https://cdn.shopify.com/s/files/1/0792/5098/1063/files/1ad4193b437e09b52f40b15573e722e1cfbac19500da9f78c83773943449fcde.jpg?v=1787237807</t>
        </is>
      </c>
      <c r="D34" s="4" t="inlineStr">
        <is>
          <t>https://cdn.shopify.com/s/files/1/0792/5098/1063/files/1ad4193b437e09b52f40b15573e722e1cfbac19500da9f78c83773943449fcde.jpg?v=1787237807</t>
        </is>
      </c>
      <c r="E34" s="2" t="inlineStr">
        <is>
          <t>38895089123527</t>
        </is>
      </c>
      <c r="F34" s="2" t="inlineStr">
        <is>
          <t>47933851631815</t>
        </is>
      </c>
      <c r="G34" s="2" t="inlineStr"/>
      <c r="H34" s="2" t="inlineStr">
        <is>
          <t>GALLERY</t>
        </is>
      </c>
      <c r="I34" s="2" t="inlineStr">
        <is>
          <t>DIRECT_ORIGINAL_IMAGE</t>
        </is>
      </c>
      <c r="J34" s="2" t="inlineStr">
        <is>
          <t>2026-09-07T13:47:49.662355+07:00</t>
        </is>
      </c>
      <c r="K34" s="2" t="inlineStr">
        <is>
          <t>Feature graphic stating 100% microfiber, 3D printed pattern, soft touch, lightweight and breathable.</t>
        </is>
      </c>
      <c r="L34" s="2" t="inlineStr">
        <is>
          <t>Room/folded product or fabric information image tied to the brown Christian butterfly design with the name Charlotte and God is within her text design.</t>
        </is>
      </c>
      <c r="M34" s="2" t="inlineStr">
        <is>
          <t>Christian Bedding Set – Inspirational Bible Verse Comforter – Religious Bedding for Women, Faith Gift for Mom, Daughter, Sister, Birthday &amp; Religious Gifts (Butterfly Affirmation)</t>
        </is>
      </c>
      <c r="N34" s="2" t="inlineStr">
        <is>
          <t>SET</t>
        </is>
      </c>
      <c r="O34" s="2" t="inlineStr">
        <is>
          <t>Christian Butterfly Comforter Set shown in a bedroom setting</t>
        </is>
      </c>
      <c r="P34" s="2" t="inlineStr">
        <is>
          <t>FULL</t>
        </is>
      </c>
      <c r="Q34" s="2" t="inlineStr">
        <is>
          <t>FAIL</t>
        </is>
      </c>
      <c r="R34" s="2" t="inlineStr">
        <is>
          <t>FAIL</t>
        </is>
      </c>
      <c r="S34" s="2" t="inlineStr">
        <is>
          <t>FULL</t>
        </is>
      </c>
      <c r="T34" s="5">
        <f>IF(P34="FULL",40,IF(P34="PARTIAL",40/2,0))+IF(Q34="FULL",30,IF(Q34="PARTIAL",30/2,0))+IF(R34="FULL",20,IF(R34="PARTIAL",20/2,0))+IF(S34="FULL",10,IF(S34="PARTIAL",10/2,0))</f>
        <v/>
      </c>
      <c r="U34" s="5">
        <f>IF(P34="NOT_CHECKED",0,40)+IF(Q34="NOT_CHECKED",0,30)+IF(R34="NOT_CHECKED",0,20)+IF(S34="NOT_CHECKED",0,10)</f>
        <v/>
      </c>
      <c r="V34" s="5">
        <f>IF(U34=100,T34,"")</f>
        <v/>
      </c>
      <c r="W34" s="5">
        <f>T34</f>
        <v/>
      </c>
      <c r="X34" s="5">
        <f>T34+(100-U34)</f>
        <v/>
      </c>
      <c r="Y34" s="2" t="inlineStr">
        <is>
          <t>["ISS-015-IMG-04"]</t>
        </is>
      </c>
      <c r="Z34" s="2" t="inlineStr">
        <is>
          <t>["seo_runs\\jeminise.com\\20260906_234129\\evidence\\images\\15_christian-bedding-set-inspirational-bible-verse-comforte-design-06\\image_04_47933851631815.jpg; seo_runs\\jeminise.com\\20260906_234129\\evidence\\contact_sheets\\15_christian-bedding-set-inspirational-bible-verse-comforte-design-06.jpg", "https://jeminise.com/products/christian-bedding-set-inspirational-bible-verse-comforte-design-06", "https://cdn.shopify.com/s/files/1/0792/5098/1063/files/1ad4193b437e09b52f40b15573e722e1cfbac19500da9f78c83773943449fcde.jpg?v=1787237807"]</t>
        </is>
      </c>
    </row>
    <row r="35" ht="66" customHeight="1">
      <c r="A35" s="3" t="inlineStr">
        <is>
          <t>jeminise.com+christian-bedding-set-inspirational-bible-verse-comforte-design-06</t>
        </is>
      </c>
      <c r="B35" s="3" t="inlineStr">
        <is>
          <t>qaimg_26ebb495bcbedd39</t>
        </is>
      </c>
      <c r="C35" s="4" t="inlineStr">
        <is>
          <t>https://cdn.shopify.com/s/files/1/0792/5098/1063/files/26024e9472d2220f9f56e7b3a0762d7d9615e5a2536a0848fc513ad70f872f30.jpg?v=1787237807</t>
        </is>
      </c>
      <c r="D35" s="4" t="inlineStr">
        <is>
          <t>https://cdn.shopify.com/s/files/1/0792/5098/1063/files/26024e9472d2220f9f56e7b3a0762d7d9615e5a2536a0848fc513ad70f872f30.jpg?v=1787237807</t>
        </is>
      </c>
      <c r="E35" s="3" t="inlineStr">
        <is>
          <t>38895089156295</t>
        </is>
      </c>
      <c r="F35" s="3" t="inlineStr">
        <is>
          <t>47933851664583</t>
        </is>
      </c>
      <c r="G35" s="3" t="inlineStr"/>
      <c r="H35" s="3" t="inlineStr">
        <is>
          <t>GALLERY</t>
        </is>
      </c>
      <c r="I35" s="3" t="inlineStr">
        <is>
          <t>DIRECT_ORIGINAL_IMAGE</t>
        </is>
      </c>
      <c r="J35" s="3" t="inlineStr">
        <is>
          <t>2026-09-07T13:47:49.662355+07:00</t>
        </is>
      </c>
      <c r="K35" s="3" t="inlineStr">
        <is>
          <t>Bedroom close-up with soft, lightweight, durable and breathable feature icons.</t>
        </is>
      </c>
      <c r="L35" s="3" t="inlineStr">
        <is>
          <t>Sizing or included-components information image for the bedding set.</t>
        </is>
      </c>
      <c r="M35" s="3" t="inlineStr">
        <is>
          <t>Christian Bedding Set – Inspirational Bible Verse Comforter – Religious Bedding for Women, Faith Gift for Mom, Daughter, Sister, Birthday &amp; Religious Gifts (Butterfly Affirmation)</t>
        </is>
      </c>
      <c r="N35" s="3" t="inlineStr">
        <is>
          <t>SET</t>
        </is>
      </c>
      <c r="O35" s="3" t="inlineStr">
        <is>
          <t>Size guide for Christian Butterfly Comforter Set</t>
        </is>
      </c>
      <c r="P35" s="3" t="inlineStr">
        <is>
          <t>FULL</t>
        </is>
      </c>
      <c r="Q35" s="3" t="inlineStr">
        <is>
          <t>FAIL</t>
        </is>
      </c>
      <c r="R35" s="3" t="inlineStr">
        <is>
          <t>FAIL</t>
        </is>
      </c>
      <c r="S35" s="3" t="inlineStr">
        <is>
          <t>FULL</t>
        </is>
      </c>
      <c r="T35" s="7">
        <f>IF(P35="FULL",40,IF(P35="PARTIAL",40/2,0))+IF(Q35="FULL",30,IF(Q35="PARTIAL",30/2,0))+IF(R35="FULL",20,IF(R35="PARTIAL",20/2,0))+IF(S35="FULL",10,IF(S35="PARTIAL",10/2,0))</f>
        <v/>
      </c>
      <c r="U35" s="7">
        <f>IF(P35="NOT_CHECKED",0,40)+IF(Q35="NOT_CHECKED",0,30)+IF(R35="NOT_CHECKED",0,20)+IF(S35="NOT_CHECKED",0,10)</f>
        <v/>
      </c>
      <c r="V35" s="7">
        <f>IF(U35=100,T35,"")</f>
        <v/>
      </c>
      <c r="W35" s="7">
        <f>T35</f>
        <v/>
      </c>
      <c r="X35" s="7">
        <f>T35+(100-U35)</f>
        <v/>
      </c>
      <c r="Y35" s="3" t="inlineStr">
        <is>
          <t>["ISS-015-IMG-05"]</t>
        </is>
      </c>
      <c r="Z35" s="3" t="inlineStr">
        <is>
          <t>["seo_runs\\jeminise.com\\20260906_234129\\evidence\\images\\15_christian-bedding-set-inspirational-bible-verse-comforte-design-06\\image_05_47933851664583.jpg; seo_runs\\jeminise.com\\20260906_234129\\evidence\\contact_sheets\\15_christian-bedding-set-inspirational-bible-verse-comforte-design-06.jpg", "https://jeminise.com/products/christian-bedding-set-inspirational-bible-verse-comforte-design-06", "https://cdn.shopify.com/s/files/1/0792/5098/1063/files/26024e9472d2220f9f56e7b3a0762d7d9615e5a2536a0848fc513ad70f872f30.jpg?v=1787237807"]</t>
        </is>
      </c>
    </row>
    <row r="36" ht="66" customHeight="1">
      <c r="A36" s="2" t="inlineStr">
        <is>
          <t>jeminise.com+christian-bedding-set-inspirational-bible-verse-comforte-design-06</t>
        </is>
      </c>
      <c r="B36" s="2" t="inlineStr">
        <is>
          <t>qaimg_9169bef117a8fca6</t>
        </is>
      </c>
      <c r="C36" s="4" t="inlineStr">
        <is>
          <t>https://cdn.shopify.com/s/files/1/0792/5098/1063/files/0e22a9fec09643a714af054217066178d4f7bc4d6266b6d2ff5c33c09cc10e88_7566f5e2-6bfd-446e-a1f2-f06764ec2dc3.jpg?v=1787237807</t>
        </is>
      </c>
      <c r="D36" s="4" t="inlineStr">
        <is>
          <t>https://cdn.shopify.com/s/files/1/0792/5098/1063/files/0e22a9fec09643a714af054217066178d4f7bc4d6266b6d2ff5c33c09cc10e88_7566f5e2-6bfd-446e-a1f2-f06764ec2dc3.jpg?v=1787237807</t>
        </is>
      </c>
      <c r="E36" s="2" t="inlineStr">
        <is>
          <t>38895089189063</t>
        </is>
      </c>
      <c r="F36" s="2" t="inlineStr">
        <is>
          <t>47933851697351</t>
        </is>
      </c>
      <c r="G36" s="2" t="inlineStr"/>
      <c r="H36" s="2" t="inlineStr">
        <is>
          <t>GALLERY</t>
        </is>
      </c>
      <c r="I36" s="2" t="inlineStr">
        <is>
          <t>DIRECT_ORIGINAL_IMAGE</t>
        </is>
      </c>
      <c r="J36" s="2" t="inlineStr">
        <is>
          <t>2026-09-07T13:47:49.662355+07:00</t>
        </is>
      </c>
      <c r="K36" s="2" t="inlineStr">
        <is>
          <t>Easy-care graphic stating wrinkle-free, stain-proof, anti-pilling and won't fade in the wash.</t>
        </is>
      </c>
      <c r="L36" s="2" t="inlineStr">
        <is>
          <t>Feature image describing fabric layers, softness, breathability or care details.</t>
        </is>
      </c>
      <c r="M36" s="2" t="inlineStr">
        <is>
          <t>Christian Bedding Set – Inspirational Bible Verse Comforter – Religious Bedding for Women, Faith Gift for Mom, Daughter, Sister, Birthday &amp; Religious Gifts (Butterfly Affirmation)</t>
        </is>
      </c>
      <c r="N36" s="2" t="inlineStr">
        <is>
          <t>SET</t>
        </is>
      </c>
      <c r="O36" s="2" t="inlineStr">
        <is>
          <t>Fabric feature graphic for Christian Butterfly Comforter Set</t>
        </is>
      </c>
      <c r="P36" s="2" t="inlineStr">
        <is>
          <t>FULL</t>
        </is>
      </c>
      <c r="Q36" s="2" t="inlineStr">
        <is>
          <t>PARTIAL</t>
        </is>
      </c>
      <c r="R36" s="2" t="inlineStr">
        <is>
          <t>FAIL</t>
        </is>
      </c>
      <c r="S36" s="2" t="inlineStr">
        <is>
          <t>FULL</t>
        </is>
      </c>
      <c r="T36" s="5">
        <f>IF(P36="FULL",40,IF(P36="PARTIAL",40/2,0))+IF(Q36="FULL",30,IF(Q36="PARTIAL",30/2,0))+IF(R36="FULL",20,IF(R36="PARTIAL",20/2,0))+IF(S36="FULL",10,IF(S36="PARTIAL",10/2,0))</f>
        <v/>
      </c>
      <c r="U36" s="5">
        <f>IF(P36="NOT_CHECKED",0,40)+IF(Q36="NOT_CHECKED",0,30)+IF(R36="NOT_CHECKED",0,20)+IF(S36="NOT_CHECKED",0,10)</f>
        <v/>
      </c>
      <c r="V36" s="5">
        <f>IF(U36=100,T36,"")</f>
        <v/>
      </c>
      <c r="W36" s="5">
        <f>T36</f>
        <v/>
      </c>
      <c r="X36" s="5">
        <f>T36+(100-U36)</f>
        <v/>
      </c>
      <c r="Y36" s="2" t="inlineStr">
        <is>
          <t>["ISS-015-IMG-06"]</t>
        </is>
      </c>
      <c r="Z36" s="2" t="inlineStr">
        <is>
          <t>["seo_runs\\jeminise.com\\20260906_234129\\evidence\\images\\15_christian-bedding-set-inspirational-bible-verse-comforte-design-06\\image_06_47933851697351.jpg; seo_runs\\jeminise.com\\20260906_234129\\evidence\\contact_sheets\\15_christian-bedding-set-inspirational-bible-verse-comforte-design-06.jpg", "https://jeminise.com/products/christian-bedding-set-inspirational-bible-verse-comforte-design-06", "https://cdn.shopify.com/s/files/1/0792/5098/1063/files/0e22a9fec09643a714af054217066178d4f7bc4d6266b6d2ff5c33c09cc10e88_7566f5e2-6bfd-446e-a1f2-f06764ec2dc3.jpg?v=1787237807"]</t>
        </is>
      </c>
    </row>
    <row r="37" ht="66" customHeight="1">
      <c r="A37" s="3" t="inlineStr">
        <is>
          <t>jeminise.com+christian-bedding-set-inspirational-bible-verse-comforte-design-06</t>
        </is>
      </c>
      <c r="B37" s="3" t="inlineStr">
        <is>
          <t>qaimg_58daa41cec565ce2</t>
        </is>
      </c>
      <c r="C37" s="4" t="inlineStr">
        <is>
          <t>https://cdn.shopify.com/s/files/1/0792/5098/1063/files/d6b8438a259ef28ba839a68ba108f40464bc9629b0bc2168779fc7776c9cbffa_d87fd534-9194-441e-98a8-aa1a5591cb0d.jpg?v=1787237807</t>
        </is>
      </c>
      <c r="D37" s="4" t="inlineStr">
        <is>
          <t>https://cdn.shopify.com/s/files/1/0792/5098/1063/files/d6b8438a259ef28ba839a68ba108f40464bc9629b0bc2168779fc7776c9cbffa_d87fd534-9194-441e-98a8-aa1a5591cb0d.jpg?v=1787237807</t>
        </is>
      </c>
      <c r="E37" s="3" t="inlineStr">
        <is>
          <t>38895089221831</t>
        </is>
      </c>
      <c r="F37" s="3" t="inlineStr">
        <is>
          <t>47933851730119</t>
        </is>
      </c>
      <c r="G37" s="3" t="inlineStr"/>
      <c r="H37" s="3" t="inlineStr">
        <is>
          <t>GALLERY</t>
        </is>
      </c>
      <c r="I37" s="3" t="inlineStr">
        <is>
          <t>DIRECT_ORIGINAL_IMAGE</t>
        </is>
      </c>
      <c r="J37" s="3" t="inlineStr">
        <is>
          <t>2026-09-07T13:47:49.662355+07:00</t>
        </is>
      </c>
      <c r="K37" s="3" t="inlineStr">
        <is>
          <t>Twin, Full, Queen and King dimension chart; heading reads SIZE DIMENTION.</t>
        </is>
      </c>
      <c r="L37" s="3" t="inlineStr">
        <is>
          <t>Additional bedroom mockup showing the brown Christian butterfly design with the name Charlotte and God is within her text design on a bed.</t>
        </is>
      </c>
      <c r="M37" s="3" t="inlineStr">
        <is>
          <t>Christian Bedding Set – Inspirational Bible Verse Comforter – Religious Bedding for Women, Faith Gift for Mom, Daughter, Sister, Birthday &amp; Religious Gifts (Butterfly Affirmation)</t>
        </is>
      </c>
      <c r="N37" s="3" t="inlineStr">
        <is>
          <t>SET</t>
        </is>
      </c>
      <c r="O37" s="3" t="inlineStr">
        <is>
          <t>Bedroom mockup of Christian Butterfly Comforter Set</t>
        </is>
      </c>
      <c r="P37" s="3" t="inlineStr">
        <is>
          <t>FULL</t>
        </is>
      </c>
      <c r="Q37" s="3" t="inlineStr">
        <is>
          <t>FAIL</t>
        </is>
      </c>
      <c r="R37" s="3" t="inlineStr">
        <is>
          <t>FAIL</t>
        </is>
      </c>
      <c r="S37" s="3" t="inlineStr">
        <is>
          <t>FULL</t>
        </is>
      </c>
      <c r="T37" s="7">
        <f>IF(P37="FULL",40,IF(P37="PARTIAL",40/2,0))+IF(Q37="FULL",30,IF(Q37="PARTIAL",30/2,0))+IF(R37="FULL",20,IF(R37="PARTIAL",20/2,0))+IF(S37="FULL",10,IF(S37="PARTIAL",10/2,0))</f>
        <v/>
      </c>
      <c r="U37" s="7">
        <f>IF(P37="NOT_CHECKED",0,40)+IF(Q37="NOT_CHECKED",0,30)+IF(R37="NOT_CHECKED",0,20)+IF(S37="NOT_CHECKED",0,10)</f>
        <v/>
      </c>
      <c r="V37" s="7">
        <f>IF(U37=100,T37,"")</f>
        <v/>
      </c>
      <c r="W37" s="7">
        <f>T37</f>
        <v/>
      </c>
      <c r="X37" s="7">
        <f>T37+(100-U37)</f>
        <v/>
      </c>
      <c r="Y37" s="3" t="inlineStr">
        <is>
          <t>["ISS-015-IMG-07"]</t>
        </is>
      </c>
      <c r="Z37" s="3" t="inlineStr">
        <is>
          <t>["seo_runs\\jeminise.com\\20260906_234129\\evidence\\images\\15_christian-bedding-set-inspirational-bible-verse-comforte-design-06\\image_07_47933851730119.jpg; seo_runs\\jeminise.com\\20260906_234129\\evidence\\contact_sheets\\15_christian-bedding-set-inspirational-bible-verse-comforte-design-06.jpg", "https://jeminise.com/products/christian-bedding-set-inspirational-bible-verse-comforte-design-06", "https://cdn.shopify.com/s/files/1/0792/5098/1063/files/d6b8438a259ef28ba839a68ba108f40464bc9629b0bc2168779fc7776c9cbffa_d87fd534-9194-441e-98a8-aa1a5591cb0d.jpg?v=1787237807"]</t>
        </is>
      </c>
    </row>
    <row r="38" ht="66" customHeight="1">
      <c r="A38" s="2" t="inlineStr">
        <is>
          <t>jeminise.com+christian-bedding-set-inspirational-bible-verse-comforter</t>
        </is>
      </c>
      <c r="B38" s="2" t="inlineStr">
        <is>
          <t>qaimg_a3c5b4730957222d</t>
        </is>
      </c>
      <c r="C38" s="4" t="inlineStr">
        <is>
          <t>https://cdn.shopify.com/s/files/1/0792/5098/1063/files/08e481dcf1c9bf3e7363eb63d66874dc22230e7e462b0f7ac8407a6a55b4e8e2.jpg?v=1787237716</t>
        </is>
      </c>
      <c r="D38" s="4" t="inlineStr">
        <is>
          <t>https://cdn.shopify.com/s/files/1/0792/5098/1063/files/08e481dcf1c9bf3e7363eb63d66874dc22230e7e462b0f7ac8407a6a55b4e8e2.jpg?v=1787237716</t>
        </is>
      </c>
      <c r="E38" s="2" t="inlineStr">
        <is>
          <t>38895077490887</t>
        </is>
      </c>
      <c r="F38" s="2" t="inlineStr">
        <is>
          <t>47933839999175</t>
        </is>
      </c>
      <c r="G38" s="2" t="inlineStr"/>
      <c r="H38" s="2" t="inlineStr">
        <is>
          <t>GALLERY</t>
        </is>
      </c>
      <c r="I38" s="2" t="inlineStr">
        <is>
          <t>DIRECT_ORIGINAL_IMAGE</t>
        </is>
      </c>
      <c r="J38" s="2" t="inlineStr">
        <is>
          <t>2026-09-07T13:47:49.662355+07:00</t>
        </is>
      </c>
      <c r="K38" s="2" t="inlineStr">
        <is>
          <t>Main bed mockup with black David design, white cross, lion, armored warrior and Christian affirmation text.</t>
        </is>
      </c>
      <c r="L38" s="2" t="inlineStr">
        <is>
          <t>Main bed mockup showing black Christian warrior lion design with the name David and large white cross.</t>
        </is>
      </c>
      <c r="M38" s="2" t="inlineStr">
        <is>
          <t>Christian Bedding Set – Inspirational Bible Verse Comforter – Religious Bedding for Women, Faith Gift for Mom, Daughter, Sister, Birthday &amp; Religious Gifts (Christian Knight Templar)</t>
        </is>
      </c>
      <c r="N38" s="2" t="inlineStr">
        <is>
          <t>SET</t>
        </is>
      </c>
      <c r="O38" s="2" t="inlineStr">
        <is>
          <t>Christian Warrior Comforter Set displayed on a bed</t>
        </is>
      </c>
      <c r="P38" s="2" t="inlineStr">
        <is>
          <t>FULL</t>
        </is>
      </c>
      <c r="Q38" s="2" t="inlineStr">
        <is>
          <t>FULL</t>
        </is>
      </c>
      <c r="R38" s="2" t="inlineStr">
        <is>
          <t>FULL</t>
        </is>
      </c>
      <c r="S38" s="2" t="inlineStr">
        <is>
          <t>FULL</t>
        </is>
      </c>
      <c r="T38" s="5">
        <f>IF(P38="FULL",40,IF(P38="PARTIAL",40/2,0))+IF(Q38="FULL",30,IF(Q38="PARTIAL",30/2,0))+IF(R38="FULL",20,IF(R38="PARTIAL",20/2,0))+IF(S38="FULL",10,IF(S38="PARTIAL",10/2,0))</f>
        <v/>
      </c>
      <c r="U38" s="5">
        <f>IF(P38="NOT_CHECKED",0,40)+IF(Q38="NOT_CHECKED",0,30)+IF(R38="NOT_CHECKED",0,20)+IF(S38="NOT_CHECKED",0,10)</f>
        <v/>
      </c>
      <c r="V38" s="5">
        <f>IF(U38=100,T38,"")</f>
        <v/>
      </c>
      <c r="W38" s="5">
        <f>T38</f>
        <v/>
      </c>
      <c r="X38" s="5">
        <f>T38+(100-U38)</f>
        <v/>
      </c>
      <c r="Y38" s="2" t="inlineStr">
        <is>
          <t>[]</t>
        </is>
      </c>
      <c r="Z38" s="2" t="inlineStr">
        <is>
          <t>["seo_runs\\jeminise.com\\20260906_234129\\evidence\\images\\16_christian-bedding-set-inspirational-bible-verse-comforter\\image_01_47933839999175.jpg; seo_runs\\jeminise.com\\20260906_234129\\evidence\\contact_sheets\\16_christian-bedding-set-inspirational-bible-verse-comforter.jpg", "https://jeminise.com/products/christian-bedding-set-inspirational-bible-verse-comforter", "https://cdn.shopify.com/s/files/1/0792/5098/1063/files/08e481dcf1c9bf3e7363eb63d66874dc22230e7e462b0f7ac8407a6a55b4e8e2.jpg?v=1787237716"]</t>
        </is>
      </c>
    </row>
    <row r="39" ht="66" customHeight="1">
      <c r="A39" s="3" t="inlineStr">
        <is>
          <t>jeminise.com+christian-bedding-set-inspirational-bible-verse-comforter</t>
        </is>
      </c>
      <c r="B39" s="3" t="inlineStr">
        <is>
          <t>qaimg_cb9c481fadbb7899</t>
        </is>
      </c>
      <c r="C39" s="4" t="inlineStr">
        <is>
          <t>https://cdn.shopify.com/s/files/1/0792/5098/1063/files/6e5cfd81b4f318ba88e105e450bd24fcccf9830bd9c69ac7d722e92e36bbe4e1.jpg?v=1787237716</t>
        </is>
      </c>
      <c r="D39" s="4" t="inlineStr">
        <is>
          <t>https://cdn.shopify.com/s/files/1/0792/5098/1063/files/6e5cfd81b4f318ba88e105e450bd24fcccf9830bd9c69ac7d722e92e36bbe4e1.jpg?v=1787237716</t>
        </is>
      </c>
      <c r="E39" s="3" t="inlineStr">
        <is>
          <t>38895077523655</t>
        </is>
      </c>
      <c r="F39" s="3" t="inlineStr">
        <is>
          <t>47933840031943</t>
        </is>
      </c>
      <c r="G39" s="3" t="inlineStr"/>
      <c r="H39" s="3" t="inlineStr">
        <is>
          <t>GALLERY</t>
        </is>
      </c>
      <c r="I39" s="3" t="inlineStr">
        <is>
          <t>DIRECT_ORIGINAL_IMAGE</t>
        </is>
      </c>
      <c r="J39" s="3" t="inlineStr">
        <is>
          <t>2026-09-07T13:47:49.662355+07:00</t>
        </is>
      </c>
      <c r="K39" s="3" t="inlineStr">
        <is>
          <t>Second front-facing mockup of the same David Christian warrior bedding.</t>
        </is>
      </c>
      <c r="L39" s="3" t="inlineStr">
        <is>
          <t>Secondary detail or room mockup showing black Christian warrior lion design with the name David and large white cross and visible quilted/printed texture.</t>
        </is>
      </c>
      <c r="M39" s="3" t="inlineStr">
        <is>
          <t>Christian Bedding Set – Inspirational Bible Verse Comforter – Religious Bedding for Women, Faith Gift for Mom, Daughter, Sister, Birthday &amp; Religious Gifts (Christian Knight Templar)</t>
        </is>
      </c>
      <c r="N39" s="3" t="inlineStr">
        <is>
          <t>SET</t>
        </is>
      </c>
      <c r="O39" s="3" t="inlineStr">
        <is>
          <t>Close view of black Christian warrior lion design with the name David and large white cross on the comforter set</t>
        </is>
      </c>
      <c r="P39" s="3" t="inlineStr">
        <is>
          <t>FULL</t>
        </is>
      </c>
      <c r="Q39" s="3" t="inlineStr">
        <is>
          <t>PARTIAL</t>
        </is>
      </c>
      <c r="R39" s="3" t="inlineStr">
        <is>
          <t>PARTIAL</t>
        </is>
      </c>
      <c r="S39" s="3" t="inlineStr">
        <is>
          <t>FULL</t>
        </is>
      </c>
      <c r="T39" s="7">
        <f>IF(P39="FULL",40,IF(P39="PARTIAL",40/2,0))+IF(Q39="FULL",30,IF(Q39="PARTIAL",30/2,0))+IF(R39="FULL",20,IF(R39="PARTIAL",20/2,0))+IF(S39="FULL",10,IF(S39="PARTIAL",10/2,0))</f>
        <v/>
      </c>
      <c r="U39" s="7">
        <f>IF(P39="NOT_CHECKED",0,40)+IF(Q39="NOT_CHECKED",0,30)+IF(R39="NOT_CHECKED",0,20)+IF(S39="NOT_CHECKED",0,10)</f>
        <v/>
      </c>
      <c r="V39" s="7">
        <f>IF(U39=100,T39,"")</f>
        <v/>
      </c>
      <c r="W39" s="7">
        <f>T39</f>
        <v/>
      </c>
      <c r="X39" s="7">
        <f>T39+(100-U39)</f>
        <v/>
      </c>
      <c r="Y39" s="3" t="inlineStr">
        <is>
          <t>["ISS-016-IMG-02"]</t>
        </is>
      </c>
      <c r="Z39" s="3" t="inlineStr">
        <is>
          <t>["seo_runs\\jeminise.com\\20260906_234129\\evidence\\images\\16_christian-bedding-set-inspirational-bible-verse-comforter\\image_02_47933840031943.jpg; seo_runs\\jeminise.com\\20260906_234129\\evidence\\contact_sheets\\16_christian-bedding-set-inspirational-bible-verse-comforter.jpg", "https://jeminise.com/products/christian-bedding-set-inspirational-bible-verse-comforter", "https://cdn.shopify.com/s/files/1/0792/5098/1063/files/6e5cfd81b4f318ba88e105e450bd24fcccf9830bd9c69ac7d722e92e36bbe4e1.jpg?v=1787237716"]</t>
        </is>
      </c>
    </row>
    <row r="40" ht="66" customHeight="1">
      <c r="A40" s="2" t="inlineStr">
        <is>
          <t>jeminise.com+christian-bedding-set-inspirational-bible-verse-comforter</t>
        </is>
      </c>
      <c r="B40" s="2" t="inlineStr">
        <is>
          <t>qaimg_4eacac7a749fa007</t>
        </is>
      </c>
      <c r="C40" s="4" t="inlineStr">
        <is>
          <t>https://cdn.shopify.com/s/files/1/0792/5098/1063/files/fd6ace7cb84d9e404b44ba028d1e0be3f00d0c9dc52fac3c12f3dc02d48000e7.jpg?v=1787237716</t>
        </is>
      </c>
      <c r="D40" s="4" t="inlineStr">
        <is>
          <t>https://cdn.shopify.com/s/files/1/0792/5098/1063/files/fd6ace7cb84d9e404b44ba028d1e0be3f00d0c9dc52fac3c12f3dc02d48000e7.jpg?v=1787237716</t>
        </is>
      </c>
      <c r="E40" s="2" t="inlineStr">
        <is>
          <t>38895077556423</t>
        </is>
      </c>
      <c r="F40" s="2" t="inlineStr">
        <is>
          <t>47933840064711</t>
        </is>
      </c>
      <c r="G40" s="2" t="inlineStr"/>
      <c r="H40" s="2" t="inlineStr">
        <is>
          <t>GALLERY</t>
        </is>
      </c>
      <c r="I40" s="2" t="inlineStr">
        <is>
          <t>DIRECT_ORIGINAL_IMAGE</t>
        </is>
      </c>
      <c r="J40" s="2" t="inlineStr">
        <is>
          <t>2026-09-07T13:47:49.662355+07:00</t>
        </is>
      </c>
      <c r="K40" s="2" t="inlineStr">
        <is>
          <t>Alternate bedroom mockup of the same David Christian warrior bedding.</t>
        </is>
      </c>
      <c r="L40" s="2" t="inlineStr">
        <is>
          <t>Matching pillow sham or bedding detail using the same black Christian warrior lion design with the name David and large white cross artwork.</t>
        </is>
      </c>
      <c r="M40" s="2" t="inlineStr">
        <is>
          <t>Christian Bedding Set – Inspirational Bible Verse Comforter – Religious Bedding for Women, Faith Gift for Mom, Daughter, Sister, Birthday &amp; Religious Gifts (Christian Knight Templar)</t>
        </is>
      </c>
      <c r="N40" s="2" t="inlineStr">
        <is>
          <t>SET</t>
        </is>
      </c>
      <c r="O40" s="2" t="inlineStr">
        <is>
          <t>Matching pillow sham for Christian Warrior Comforter Set</t>
        </is>
      </c>
      <c r="P40" s="2" t="inlineStr">
        <is>
          <t>FULL</t>
        </is>
      </c>
      <c r="Q40" s="2" t="inlineStr">
        <is>
          <t>PARTIAL</t>
        </is>
      </c>
      <c r="R40" s="2" t="inlineStr">
        <is>
          <t>FAIL</t>
        </is>
      </c>
      <c r="S40" s="2" t="inlineStr">
        <is>
          <t>FULL</t>
        </is>
      </c>
      <c r="T40" s="5">
        <f>IF(P40="FULL",40,IF(P40="PARTIAL",40/2,0))+IF(Q40="FULL",30,IF(Q40="PARTIAL",30/2,0))+IF(R40="FULL",20,IF(R40="PARTIAL",20/2,0))+IF(S40="FULL",10,IF(S40="PARTIAL",10/2,0))</f>
        <v/>
      </c>
      <c r="U40" s="5">
        <f>IF(P40="NOT_CHECKED",0,40)+IF(Q40="NOT_CHECKED",0,30)+IF(R40="NOT_CHECKED",0,20)+IF(S40="NOT_CHECKED",0,10)</f>
        <v/>
      </c>
      <c r="V40" s="5">
        <f>IF(U40=100,T40,"")</f>
        <v/>
      </c>
      <c r="W40" s="5">
        <f>T40</f>
        <v/>
      </c>
      <c r="X40" s="5">
        <f>T40+(100-U40)</f>
        <v/>
      </c>
      <c r="Y40" s="2" t="inlineStr">
        <is>
          <t>["ISS-016-IMG-03"]</t>
        </is>
      </c>
      <c r="Z40" s="2" t="inlineStr">
        <is>
          <t>["seo_runs\\jeminise.com\\20260906_234129\\evidence\\images\\16_christian-bedding-set-inspirational-bible-verse-comforter\\image_03_47933840064711.jpg; seo_runs\\jeminise.com\\20260906_234129\\evidence\\contact_sheets\\16_christian-bedding-set-inspirational-bible-verse-comforter.jpg", "https://jeminise.com/products/christian-bedding-set-inspirational-bible-verse-comforter", "https://cdn.shopify.com/s/files/1/0792/5098/1063/files/fd6ace7cb84d9e404b44ba028d1e0be3f00d0c9dc52fac3c12f3dc02d48000e7.jpg?v=1787237716"]</t>
        </is>
      </c>
    </row>
    <row r="41" ht="66" customHeight="1">
      <c r="A41" s="3" t="inlineStr">
        <is>
          <t>jeminise.com+christian-bedding-set-inspirational-bible-verse-comforter</t>
        </is>
      </c>
      <c r="B41" s="3" t="inlineStr">
        <is>
          <t>qaimg_ee5faae4fb19e666</t>
        </is>
      </c>
      <c r="C41" s="4" t="inlineStr">
        <is>
          <t>https://cdn.shopify.com/s/files/1/0792/5098/1063/files/1391672888660b8306032c6cd51a0340e0460a1f8b324b0577c2d0a44ea28c9d.jpg?v=1787237716</t>
        </is>
      </c>
      <c r="D41" s="4" t="inlineStr">
        <is>
          <t>https://cdn.shopify.com/s/files/1/0792/5098/1063/files/1391672888660b8306032c6cd51a0340e0460a1f8b324b0577c2d0a44ea28c9d.jpg?v=1787237716</t>
        </is>
      </c>
      <c r="E41" s="3" t="inlineStr">
        <is>
          <t>38895077589191</t>
        </is>
      </c>
      <c r="F41" s="3" t="inlineStr">
        <is>
          <t>47933840097479</t>
        </is>
      </c>
      <c r="G41" s="3" t="inlineStr"/>
      <c r="H41" s="3" t="inlineStr">
        <is>
          <t>GALLERY</t>
        </is>
      </c>
      <c r="I41" s="3" t="inlineStr">
        <is>
          <t>DIRECT_ORIGINAL_IMAGE</t>
        </is>
      </c>
      <c r="J41" s="3" t="inlineStr">
        <is>
          <t>2026-09-07T13:47:49.662355+07:00</t>
        </is>
      </c>
      <c r="K41" s="3" t="inlineStr">
        <is>
          <t>Comparison graphic explaining Duvet Cover Set versus Comforter Set.</t>
        </is>
      </c>
      <c r="L41" s="3" t="inlineStr">
        <is>
          <t>Room/folded product or fabric information image tied to the black Christian warrior lion design with the name David and large white cross design.</t>
        </is>
      </c>
      <c r="M41" s="3" t="inlineStr">
        <is>
          <t>Christian Bedding Set – Inspirational Bible Verse Comforter – Religious Bedding for Women, Faith Gift for Mom, Daughter, Sister, Birthday &amp; Religious Gifts (Christian Knight Templar)</t>
        </is>
      </c>
      <c r="N41" s="3" t="inlineStr">
        <is>
          <t>SET</t>
        </is>
      </c>
      <c r="O41" s="3" t="inlineStr">
        <is>
          <t>Christian Warrior Comforter Set shown in a bedroom setting</t>
        </is>
      </c>
      <c r="P41" s="3" t="inlineStr">
        <is>
          <t>FULL</t>
        </is>
      </c>
      <c r="Q41" s="3" t="inlineStr">
        <is>
          <t>FAIL</t>
        </is>
      </c>
      <c r="R41" s="3" t="inlineStr">
        <is>
          <t>FAIL</t>
        </is>
      </c>
      <c r="S41" s="3" t="inlineStr">
        <is>
          <t>FULL</t>
        </is>
      </c>
      <c r="T41" s="7">
        <f>IF(P41="FULL",40,IF(P41="PARTIAL",40/2,0))+IF(Q41="FULL",30,IF(Q41="PARTIAL",30/2,0))+IF(R41="FULL",20,IF(R41="PARTIAL",20/2,0))+IF(S41="FULL",10,IF(S41="PARTIAL",10/2,0))</f>
        <v/>
      </c>
      <c r="U41" s="7">
        <f>IF(P41="NOT_CHECKED",0,40)+IF(Q41="NOT_CHECKED",0,30)+IF(R41="NOT_CHECKED",0,20)+IF(S41="NOT_CHECKED",0,10)</f>
        <v/>
      </c>
      <c r="V41" s="7">
        <f>IF(U41=100,T41,"")</f>
        <v/>
      </c>
      <c r="W41" s="7">
        <f>T41</f>
        <v/>
      </c>
      <c r="X41" s="7">
        <f>T41+(100-U41)</f>
        <v/>
      </c>
      <c r="Y41" s="3" t="inlineStr">
        <is>
          <t>["ISS-016-IMG-04"]</t>
        </is>
      </c>
      <c r="Z41" s="3" t="inlineStr">
        <is>
          <t>["seo_runs\\jeminise.com\\20260906_234129\\evidence\\images\\16_christian-bedding-set-inspirational-bible-verse-comforter\\image_04_47933840097479.jpg; seo_runs\\jeminise.com\\20260906_234129\\evidence\\contact_sheets\\16_christian-bedding-set-inspirational-bible-verse-comforter.jpg", "https://jeminise.com/products/christian-bedding-set-inspirational-bible-verse-comforter", "https://cdn.shopify.com/s/files/1/0792/5098/1063/files/1391672888660b8306032c6cd51a0340e0460a1f8b324b0577c2d0a44ea28c9d.jpg?v=1787237716"]</t>
        </is>
      </c>
    </row>
    <row r="42" ht="66" customHeight="1">
      <c r="A42" s="2" t="inlineStr">
        <is>
          <t>jeminise.com+christian-bedding-set-inspirational-bible-verse-comforter</t>
        </is>
      </c>
      <c r="B42" s="2" t="inlineStr">
        <is>
          <t>qaimg_2d6ac9c705235f17</t>
        </is>
      </c>
      <c r="C42" s="4" t="inlineStr">
        <is>
          <t>https://cdn.shopify.com/s/files/1/0792/5098/1063/files/e27fc1e04888a4c2e14d4ffbdcdb670ffbe1f1f1b9be43f941b96dffb8e5689d.jpg?v=1787237716</t>
        </is>
      </c>
      <c r="D42" s="4" t="inlineStr">
        <is>
          <t>https://cdn.shopify.com/s/files/1/0792/5098/1063/files/e27fc1e04888a4c2e14d4ffbdcdb670ffbe1f1f1b9be43f941b96dffb8e5689d.jpg?v=1787237716</t>
        </is>
      </c>
      <c r="E42" s="2" t="inlineStr">
        <is>
          <t>38895077621959</t>
        </is>
      </c>
      <c r="F42" s="2" t="inlineStr">
        <is>
          <t>47933840130247</t>
        </is>
      </c>
      <c r="G42" s="2" t="inlineStr"/>
      <c r="H42" s="2" t="inlineStr">
        <is>
          <t>GALLERY</t>
        </is>
      </c>
      <c r="I42" s="2" t="inlineStr">
        <is>
          <t>DIRECT_ORIGINAL_IMAGE</t>
        </is>
      </c>
      <c r="J42" s="2" t="inlineStr">
        <is>
          <t>2026-09-07T13:47:49.662355+07:00</t>
        </is>
      </c>
      <c r="K42" s="2" t="inlineStr">
        <is>
          <t>Feature graphic stating 100% microfiber, 3D printed pattern, soft touch, lightweight and breathable.</t>
        </is>
      </c>
      <c r="L42" s="2" t="inlineStr">
        <is>
          <t>Sizing or included-components information image for the bedding set.</t>
        </is>
      </c>
      <c r="M42" s="2" t="inlineStr">
        <is>
          <t>Christian Bedding Set – Inspirational Bible Verse Comforter – Religious Bedding for Women, Faith Gift for Mom, Daughter, Sister, Birthday &amp; Religious Gifts (Christian Knight Templar)</t>
        </is>
      </c>
      <c r="N42" s="2" t="inlineStr">
        <is>
          <t>SET</t>
        </is>
      </c>
      <c r="O42" s="2" t="inlineStr">
        <is>
          <t>Size guide for Christian Warrior Comforter Set</t>
        </is>
      </c>
      <c r="P42" s="2" t="inlineStr">
        <is>
          <t>FULL</t>
        </is>
      </c>
      <c r="Q42" s="2" t="inlineStr">
        <is>
          <t>FAIL</t>
        </is>
      </c>
      <c r="R42" s="2" t="inlineStr">
        <is>
          <t>FAIL</t>
        </is>
      </c>
      <c r="S42" s="2" t="inlineStr">
        <is>
          <t>FULL</t>
        </is>
      </c>
      <c r="T42" s="5">
        <f>IF(P42="FULL",40,IF(P42="PARTIAL",40/2,0))+IF(Q42="FULL",30,IF(Q42="PARTIAL",30/2,0))+IF(R42="FULL",20,IF(R42="PARTIAL",20/2,0))+IF(S42="FULL",10,IF(S42="PARTIAL",10/2,0))</f>
        <v/>
      </c>
      <c r="U42" s="5">
        <f>IF(P42="NOT_CHECKED",0,40)+IF(Q42="NOT_CHECKED",0,30)+IF(R42="NOT_CHECKED",0,20)+IF(S42="NOT_CHECKED",0,10)</f>
        <v/>
      </c>
      <c r="V42" s="5">
        <f>IF(U42=100,T42,"")</f>
        <v/>
      </c>
      <c r="W42" s="5">
        <f>T42</f>
        <v/>
      </c>
      <c r="X42" s="5">
        <f>T42+(100-U42)</f>
        <v/>
      </c>
      <c r="Y42" s="2" t="inlineStr">
        <is>
          <t>["ISS-016-IMG-05"]</t>
        </is>
      </c>
      <c r="Z42" s="2" t="inlineStr">
        <is>
          <t>["seo_runs\\jeminise.com\\20260906_234129\\evidence\\images\\16_christian-bedding-set-inspirational-bible-verse-comforter\\image_05_47933840130247.jpg; seo_runs\\jeminise.com\\20260906_234129\\evidence\\contact_sheets\\16_christian-bedding-set-inspirational-bible-verse-comforter.jpg", "https://jeminise.com/products/christian-bedding-set-inspirational-bible-verse-comforter", "https://cdn.shopify.com/s/files/1/0792/5098/1063/files/e27fc1e04888a4c2e14d4ffbdcdb670ffbe1f1f1b9be43f941b96dffb8e5689d.jpg?v=1787237716"]</t>
        </is>
      </c>
    </row>
    <row r="43" ht="66" customHeight="1">
      <c r="A43" s="3" t="inlineStr">
        <is>
          <t>jeminise.com+christian-bedding-set-inspirational-bible-verse-comforter</t>
        </is>
      </c>
      <c r="B43" s="3" t="inlineStr">
        <is>
          <t>qaimg_f4bc1994c6a2c67e</t>
        </is>
      </c>
      <c r="C43" s="4" t="inlineStr">
        <is>
          <t>https://cdn.shopify.com/s/files/1/0792/5098/1063/files/59b4136c5b8aaddd702f3dda4c3ac549a9ea83142b9e5a1ba73fdbc00be22132.jpg?v=1787237716</t>
        </is>
      </c>
      <c r="D43" s="4" t="inlineStr">
        <is>
          <t>https://cdn.shopify.com/s/files/1/0792/5098/1063/files/59b4136c5b8aaddd702f3dda4c3ac549a9ea83142b9e5a1ba73fdbc00be22132.jpg?v=1787237716</t>
        </is>
      </c>
      <c r="E43" s="3" t="inlineStr">
        <is>
          <t>38895077654727</t>
        </is>
      </c>
      <c r="F43" s="3" t="inlineStr">
        <is>
          <t>47933840163015</t>
        </is>
      </c>
      <c r="G43" s="3" t="inlineStr"/>
      <c r="H43" s="3" t="inlineStr">
        <is>
          <t>GALLERY</t>
        </is>
      </c>
      <c r="I43" s="3" t="inlineStr">
        <is>
          <t>DIRECT_ORIGINAL_IMAGE</t>
        </is>
      </c>
      <c r="J43" s="3" t="inlineStr">
        <is>
          <t>2026-09-07T13:47:49.662355+07:00</t>
        </is>
      </c>
      <c r="K43" s="3" t="inlineStr">
        <is>
          <t>Bedroom close-up with soft, lightweight, durable and breathable feature icons.</t>
        </is>
      </c>
      <c r="L43" s="3" t="inlineStr">
        <is>
          <t>Feature image describing fabric layers, softness, breathability or care details.</t>
        </is>
      </c>
      <c r="M43" s="3" t="inlineStr">
        <is>
          <t>Christian Bedding Set – Inspirational Bible Verse Comforter – Religious Bedding for Women, Faith Gift for Mom, Daughter, Sister, Birthday &amp; Religious Gifts (Christian Knight Templar)</t>
        </is>
      </c>
      <c r="N43" s="3" t="inlineStr">
        <is>
          <t>SET</t>
        </is>
      </c>
      <c r="O43" s="3" t="inlineStr">
        <is>
          <t>Fabric feature graphic for Christian Warrior Comforter Set</t>
        </is>
      </c>
      <c r="P43" s="3" t="inlineStr">
        <is>
          <t>FULL</t>
        </is>
      </c>
      <c r="Q43" s="3" t="inlineStr">
        <is>
          <t>FULL</t>
        </is>
      </c>
      <c r="R43" s="3" t="inlineStr">
        <is>
          <t>FULL</t>
        </is>
      </c>
      <c r="S43" s="3" t="inlineStr">
        <is>
          <t>FULL</t>
        </is>
      </c>
      <c r="T43" s="7">
        <f>IF(P43="FULL",40,IF(P43="PARTIAL",40/2,0))+IF(Q43="FULL",30,IF(Q43="PARTIAL",30/2,0))+IF(R43="FULL",20,IF(R43="PARTIAL",20/2,0))+IF(S43="FULL",10,IF(S43="PARTIAL",10/2,0))</f>
        <v/>
      </c>
      <c r="U43" s="7">
        <f>IF(P43="NOT_CHECKED",0,40)+IF(Q43="NOT_CHECKED",0,30)+IF(R43="NOT_CHECKED",0,20)+IF(S43="NOT_CHECKED",0,10)</f>
        <v/>
      </c>
      <c r="V43" s="7">
        <f>IF(U43=100,T43,"")</f>
        <v/>
      </c>
      <c r="W43" s="7">
        <f>T43</f>
        <v/>
      </c>
      <c r="X43" s="7">
        <f>T43+(100-U43)</f>
        <v/>
      </c>
      <c r="Y43" s="3" t="inlineStr">
        <is>
          <t>[]</t>
        </is>
      </c>
      <c r="Z43" s="3" t="inlineStr">
        <is>
          <t>["seo_runs\\jeminise.com\\20260906_234129\\evidence\\images\\16_christian-bedding-set-inspirational-bible-verse-comforter\\image_06_47933840163015.jpg; seo_runs\\jeminise.com\\20260906_234129\\evidence\\contact_sheets\\16_christian-bedding-set-inspirational-bible-verse-comforter.jpg", "https://jeminise.com/products/christian-bedding-set-inspirational-bible-verse-comforter", "https://cdn.shopify.com/s/files/1/0792/5098/1063/files/59b4136c5b8aaddd702f3dda4c3ac549a9ea83142b9e5a1ba73fdbc00be22132.jpg?v=1787237716"]</t>
        </is>
      </c>
    </row>
    <row r="44" ht="66" customHeight="1">
      <c r="A44" s="2" t="inlineStr">
        <is>
          <t>jeminise.com+christian-bedding-set-inspirational-bible-verse-comforter</t>
        </is>
      </c>
      <c r="B44" s="2" t="inlineStr">
        <is>
          <t>qaimg_99da286e0c6a5df7</t>
        </is>
      </c>
      <c r="C44" s="4" t="inlineStr">
        <is>
          <t>https://cdn.shopify.com/s/files/1/0792/5098/1063/files/700766e63cdebb7f3088f7ecaf56b3bae4ce4d1ffe15a4a258d5814894208554.jpg?v=1787237716</t>
        </is>
      </c>
      <c r="D44" s="4" t="inlineStr">
        <is>
          <t>https://cdn.shopify.com/s/files/1/0792/5098/1063/files/700766e63cdebb7f3088f7ecaf56b3bae4ce4d1ffe15a4a258d5814894208554.jpg?v=1787237716</t>
        </is>
      </c>
      <c r="E44" s="2" t="inlineStr">
        <is>
          <t>38895077687495</t>
        </is>
      </c>
      <c r="F44" s="2" t="inlineStr">
        <is>
          <t>47933840195783</t>
        </is>
      </c>
      <c r="G44" s="2" t="inlineStr"/>
      <c r="H44" s="2" t="inlineStr">
        <is>
          <t>GALLERY</t>
        </is>
      </c>
      <c r="I44" s="2" t="inlineStr">
        <is>
          <t>DIRECT_ORIGINAL_IMAGE</t>
        </is>
      </c>
      <c r="J44" s="2" t="inlineStr">
        <is>
          <t>2026-09-07T13:47:49.662355+07:00</t>
        </is>
      </c>
      <c r="K44" s="2" t="inlineStr">
        <is>
          <t>Easy-care graphic stating wrinkle-free, stain-proof, anti-pilling and won't fade in the wash.</t>
        </is>
      </c>
      <c r="L44" s="2" t="inlineStr">
        <is>
          <t>Additional bedroom mockup showing the black Christian warrior lion design with the name David and large white cross design on a bed.</t>
        </is>
      </c>
      <c r="M44" s="2" t="inlineStr">
        <is>
          <t>Christian Bedding Set – Inspirational Bible Verse Comforter – Religious Bedding for Women, Faith Gift for Mom, Daughter, Sister, Birthday &amp; Religious Gifts (Christian Knight Templar)</t>
        </is>
      </c>
      <c r="N44" s="2" t="inlineStr">
        <is>
          <t>SET</t>
        </is>
      </c>
      <c r="O44" s="2" t="inlineStr">
        <is>
          <t>Bedroom mockup of Christian Warrior Comforter Set</t>
        </is>
      </c>
      <c r="P44" s="2" t="inlineStr">
        <is>
          <t>FULL</t>
        </is>
      </c>
      <c r="Q44" s="2" t="inlineStr">
        <is>
          <t>FAIL</t>
        </is>
      </c>
      <c r="R44" s="2" t="inlineStr">
        <is>
          <t>FAIL</t>
        </is>
      </c>
      <c r="S44" s="2" t="inlineStr">
        <is>
          <t>FULL</t>
        </is>
      </c>
      <c r="T44" s="5">
        <f>IF(P44="FULL",40,IF(P44="PARTIAL",40/2,0))+IF(Q44="FULL",30,IF(Q44="PARTIAL",30/2,0))+IF(R44="FULL",20,IF(R44="PARTIAL",20/2,0))+IF(S44="FULL",10,IF(S44="PARTIAL",10/2,0))</f>
        <v/>
      </c>
      <c r="U44" s="5">
        <f>IF(P44="NOT_CHECKED",0,40)+IF(Q44="NOT_CHECKED",0,30)+IF(R44="NOT_CHECKED",0,20)+IF(S44="NOT_CHECKED",0,10)</f>
        <v/>
      </c>
      <c r="V44" s="5">
        <f>IF(U44=100,T44,"")</f>
        <v/>
      </c>
      <c r="W44" s="5">
        <f>T44</f>
        <v/>
      </c>
      <c r="X44" s="5">
        <f>T44+(100-U44)</f>
        <v/>
      </c>
      <c r="Y44" s="2" t="inlineStr">
        <is>
          <t>["ISS-016-IMG-07"]</t>
        </is>
      </c>
      <c r="Z44" s="2" t="inlineStr">
        <is>
          <t>["seo_runs\\jeminise.com\\20260906_234129\\evidence\\images\\16_christian-bedding-set-inspirational-bible-verse-comforter\\image_07_47933840195783.jpg; seo_runs\\jeminise.com\\20260906_234129\\evidence\\contact_sheets\\16_christian-bedding-set-inspirational-bible-verse-comforter.jpg", "https://jeminise.com/products/christian-bedding-set-inspirational-bible-verse-comforter", "https://cdn.shopify.com/s/files/1/0792/5098/1063/files/700766e63cdebb7f3088f7ecaf56b3bae4ce4d1ffe15a4a258d5814894208554.jpg?v=1787237716"]</t>
        </is>
      </c>
    </row>
    <row r="45" ht="66" customHeight="1">
      <c r="A45" s="3" t="inlineStr">
        <is>
          <t>jeminise.com+christian-bedding-set-inspirational-bible-verse-comforter</t>
        </is>
      </c>
      <c r="B45" s="3" t="inlineStr">
        <is>
          <t>qaimg_b6f3b14622752957</t>
        </is>
      </c>
      <c r="C45" s="4" t="inlineStr">
        <is>
          <t>https://cdn.shopify.com/s/files/1/0792/5098/1063/files/f21374c2239f926c348f6641a7e0f8929698fa199fd8f23e654037e1384e4214.jpg?v=1787237716</t>
        </is>
      </c>
      <c r="D45" s="4" t="inlineStr">
        <is>
          <t>https://cdn.shopify.com/s/files/1/0792/5098/1063/files/f21374c2239f926c348f6641a7e0f8929698fa199fd8f23e654037e1384e4214.jpg?v=1787237716</t>
        </is>
      </c>
      <c r="E45" s="3" t="inlineStr">
        <is>
          <t>38895077720263</t>
        </is>
      </c>
      <c r="F45" s="3" t="inlineStr">
        <is>
          <t>47933840228551</t>
        </is>
      </c>
      <c r="G45" s="3" t="inlineStr"/>
      <c r="H45" s="3" t="inlineStr">
        <is>
          <t>GALLERY</t>
        </is>
      </c>
      <c r="I45" s="3" t="inlineStr">
        <is>
          <t>DIRECT_ORIGINAL_IMAGE</t>
        </is>
      </c>
      <c r="J45" s="3" t="inlineStr">
        <is>
          <t>2026-09-07T13:47:49.662355+07:00</t>
        </is>
      </c>
      <c r="K45" s="3" t="inlineStr">
        <is>
          <t>Twin, Full, Queen and King dimension chart; heading reads SIZE DIMENTION.</t>
        </is>
      </c>
      <c r="L45" s="3" t="inlineStr">
        <is>
          <t>Additional product information image for size, care, personalization or bedding type.</t>
        </is>
      </c>
      <c r="M45" s="3" t="inlineStr">
        <is>
          <t>Christian Bedding Set – Inspirational Bible Verse Comforter – Religious Bedding for Women, Faith Gift for Mom, Daughter, Sister, Birthday &amp; Religious Gifts (Christian Knight Templar)</t>
        </is>
      </c>
      <c r="N45" s="3" t="inlineStr">
        <is>
          <t>SET</t>
        </is>
      </c>
      <c r="O45" s="3" t="inlineStr">
        <is>
          <t>Size or product option guide for Christian Warrior Comforter Set</t>
        </is>
      </c>
      <c r="P45" s="3" t="inlineStr">
        <is>
          <t>FULL</t>
        </is>
      </c>
      <c r="Q45" s="3" t="inlineStr">
        <is>
          <t>PARTIAL</t>
        </is>
      </c>
      <c r="R45" s="3" t="inlineStr">
        <is>
          <t>PARTIAL</t>
        </is>
      </c>
      <c r="S45" s="3" t="inlineStr">
        <is>
          <t>FULL</t>
        </is>
      </c>
      <c r="T45" s="7">
        <f>IF(P45="FULL",40,IF(P45="PARTIAL",40/2,0))+IF(Q45="FULL",30,IF(Q45="PARTIAL",30/2,0))+IF(R45="FULL",20,IF(R45="PARTIAL",20/2,0))+IF(S45="FULL",10,IF(S45="PARTIAL",10/2,0))</f>
        <v/>
      </c>
      <c r="U45" s="7">
        <f>IF(P45="NOT_CHECKED",0,40)+IF(Q45="NOT_CHECKED",0,30)+IF(R45="NOT_CHECKED",0,20)+IF(S45="NOT_CHECKED",0,10)</f>
        <v/>
      </c>
      <c r="V45" s="7">
        <f>IF(U45=100,T45,"")</f>
        <v/>
      </c>
      <c r="W45" s="7">
        <f>T45</f>
        <v/>
      </c>
      <c r="X45" s="7">
        <f>T45+(100-U45)</f>
        <v/>
      </c>
      <c r="Y45" s="3" t="inlineStr">
        <is>
          <t>["ISS-016-IMG-08"]</t>
        </is>
      </c>
      <c r="Z45" s="3" t="inlineStr">
        <is>
          <t>["seo_runs\\jeminise.com\\20260906_234129\\evidence\\images\\16_christian-bedding-set-inspirational-bible-verse-comforter\\image_08_47933840228551.jpg; seo_runs\\jeminise.com\\20260906_234129\\evidence\\contact_sheets\\16_christian-bedding-set-inspirational-bible-verse-comforter.jpg", "https://jeminise.com/products/christian-bedding-set-inspirational-bible-verse-comforter", "https://cdn.shopify.com/s/files/1/0792/5098/1063/files/f21374c2239f926c348f6641a7e0f8929698fa199fd8f23e654037e1384e4214.jpg?v=1787237716"]</t>
        </is>
      </c>
    </row>
    <row r="46" ht="66" customHeight="1">
      <c r="A46" s="2" t="inlineStr">
        <is>
          <t>jeminise.com+christmas-bedding-quilt-soft-microfiber-holiday-bedsprea-design-01</t>
        </is>
      </c>
      <c r="B46" s="2" t="inlineStr">
        <is>
          <t>qaimg_df5c014b46f12d12</t>
        </is>
      </c>
      <c r="C46" s="4" t="inlineStr">
        <is>
          <t>https://cdn.shopify.com/s/files/1/0792/5098/1063/files/98667aa304d1cce79ae2ca099f84c182034fb8adc27fbd823eb0c5c00bd2999d.jpg?v=1787239344</t>
        </is>
      </c>
      <c r="D46" s="4" t="inlineStr">
        <is>
          <t>https://cdn.shopify.com/s/files/1/0792/5098/1063/files/98667aa304d1cce79ae2ca099f84c182034fb8adc27fbd823eb0c5c00bd2999d.jpg?v=1787239344</t>
        </is>
      </c>
      <c r="E46" s="2" t="inlineStr">
        <is>
          <t>38895273902279</t>
        </is>
      </c>
      <c r="F46" s="2" t="inlineStr">
        <is>
          <t>47934037360839</t>
        </is>
      </c>
      <c r="G46" s="2" t="inlineStr"/>
      <c r="H46" s="2" t="inlineStr">
        <is>
          <t>GALLERY</t>
        </is>
      </c>
      <c r="I46" s="2" t="inlineStr">
        <is>
          <t>DIRECT_ORIGINAL_IMAGE</t>
        </is>
      </c>
      <c r="J46" s="2" t="inlineStr">
        <is>
          <t>2026-09-07T13:47:49.662355+07:00</t>
        </is>
      </c>
      <c r="K46" s="2" t="inlineStr">
        <is>
          <t>Front bedroom mockup of a red, navy, olive and cream Christmas-tree patchwork quilt.</t>
        </is>
      </c>
      <c r="L46" s="2" t="inlineStr">
        <is>
          <t>Main bed mockup showing Christmas tree patchwork quilt in red, navy, green and cream squares.</t>
        </is>
      </c>
      <c r="M46" s="2" t="inlineStr">
        <is>
          <t>Christmas Bedding Quilt – Soft Microfiber Holiday Bedspread, Lightweight Winter Bedding, Cozy Xmas Quilts for Couch, Bedroom &amp; Seasonal Home Decorations (Christmas Quilt-DS01)</t>
        </is>
      </c>
      <c r="N46" s="2" t="inlineStr">
        <is>
          <t>SET</t>
        </is>
      </c>
      <c r="O46" s="2" t="inlineStr">
        <is>
          <t>Christmas Tree Patchwork Quilt Set displayed on a bed</t>
        </is>
      </c>
      <c r="P46" s="2" t="inlineStr">
        <is>
          <t>FULL</t>
        </is>
      </c>
      <c r="Q46" s="2" t="inlineStr">
        <is>
          <t>FULL</t>
        </is>
      </c>
      <c r="R46" s="2" t="inlineStr">
        <is>
          <t>FULL</t>
        </is>
      </c>
      <c r="S46" s="2" t="inlineStr">
        <is>
          <t>FULL</t>
        </is>
      </c>
      <c r="T46" s="5">
        <f>IF(P46="FULL",40,IF(P46="PARTIAL",40/2,0))+IF(Q46="FULL",30,IF(Q46="PARTIAL",30/2,0))+IF(R46="FULL",20,IF(R46="PARTIAL",20/2,0))+IF(S46="FULL",10,IF(S46="PARTIAL",10/2,0))</f>
        <v/>
      </c>
      <c r="U46" s="5">
        <f>IF(P46="NOT_CHECKED",0,40)+IF(Q46="NOT_CHECKED",0,30)+IF(R46="NOT_CHECKED",0,20)+IF(S46="NOT_CHECKED",0,10)</f>
        <v/>
      </c>
      <c r="V46" s="5">
        <f>IF(U46=100,T46,"")</f>
        <v/>
      </c>
      <c r="W46" s="5">
        <f>T46</f>
        <v/>
      </c>
      <c r="X46" s="5">
        <f>T46+(100-U46)</f>
        <v/>
      </c>
      <c r="Y46" s="2" t="inlineStr">
        <is>
          <t>[]</t>
        </is>
      </c>
      <c r="Z46" s="2" t="inlineStr">
        <is>
          <t>["seo_runs\\jeminise.com\\20260906_234129\\evidence\\images\\17_christmas-bedding-quilt-soft-microfiber-holiday-bedsprea-design-01\\image_01_47934037360839.jpg; seo_runs\\jeminise.com\\20260906_234129\\evidence\\contact_sheets\\17_christmas-bedding-quilt-soft-microfiber-holiday-bedsprea-design-01.jpg", "https://jeminise.com/products/christmas-bedding-quilt-soft-microfiber-holiday-bedsprea-design-01", "https://cdn.shopify.com/s/files/1/0792/5098/1063/files/98667aa304d1cce79ae2ca099f84c182034fb8adc27fbd823eb0c5c00bd2999d.jpg?v=1787239344"]</t>
        </is>
      </c>
    </row>
    <row r="47" ht="66" customHeight="1">
      <c r="A47" s="3" t="inlineStr">
        <is>
          <t>jeminise.com+christmas-bedding-quilt-soft-microfiber-holiday-bedsprea-design-01</t>
        </is>
      </c>
      <c r="B47" s="3" t="inlineStr">
        <is>
          <t>qaimg_9c8b4dfb6ba046b3</t>
        </is>
      </c>
      <c r="C47" s="4" t="inlineStr">
        <is>
          <t>https://cdn.shopify.com/s/files/1/0792/5098/1063/files/ef5fb0f3b4abe84445884164b3fe8a9b60849f27d9f160dbf6202e551cd44354.jpg?v=1787239344</t>
        </is>
      </c>
      <c r="D47" s="4" t="inlineStr">
        <is>
          <t>https://cdn.shopify.com/s/files/1/0792/5098/1063/files/ef5fb0f3b4abe84445884164b3fe8a9b60849f27d9f160dbf6202e551cd44354.jpg?v=1787239344</t>
        </is>
      </c>
      <c r="E47" s="3" t="inlineStr">
        <is>
          <t>38895273935047</t>
        </is>
      </c>
      <c r="F47" s="3" t="inlineStr">
        <is>
          <t>47934037393607</t>
        </is>
      </c>
      <c r="G47" s="3" t="inlineStr"/>
      <c r="H47" s="3" t="inlineStr">
        <is>
          <t>GALLERY</t>
        </is>
      </c>
      <c r="I47" s="3" t="inlineStr">
        <is>
          <t>DIRECT_ORIGINAL_IMAGE</t>
        </is>
      </c>
      <c r="J47" s="3" t="inlineStr">
        <is>
          <t>2026-09-07T13:47:49.662355+07:00</t>
        </is>
      </c>
      <c r="K47" s="3" t="inlineStr">
        <is>
          <t>Angled bedroom mockup of the same Christmas-tree patchwork quilt.</t>
        </is>
      </c>
      <c r="L47" s="3" t="inlineStr">
        <is>
          <t>Secondary detail or room mockup showing Christmas tree patchwork quilt in red, navy, green and cream squares and visible quilted/printed texture.</t>
        </is>
      </c>
      <c r="M47" s="3" t="inlineStr">
        <is>
          <t>Christmas Bedding Quilt – Soft Microfiber Holiday Bedspread, Lightweight Winter Bedding, Cozy Xmas Quilts for Couch, Bedroom &amp; Seasonal Home Decorations (Christmas Quilt-DS01)</t>
        </is>
      </c>
      <c r="N47" s="3" t="inlineStr">
        <is>
          <t>SET</t>
        </is>
      </c>
      <c r="O47" s="3" t="inlineStr">
        <is>
          <t>Close view of Christmas tree patchwork quilt in red, navy, green and cream squares on the quilt set</t>
        </is>
      </c>
      <c r="P47" s="3" t="inlineStr">
        <is>
          <t>FULL</t>
        </is>
      </c>
      <c r="Q47" s="3" t="inlineStr">
        <is>
          <t>FULL</t>
        </is>
      </c>
      <c r="R47" s="3" t="inlineStr">
        <is>
          <t>FULL</t>
        </is>
      </c>
      <c r="S47" s="3" t="inlineStr">
        <is>
          <t>FULL</t>
        </is>
      </c>
      <c r="T47" s="7">
        <f>IF(P47="FULL",40,IF(P47="PARTIAL",40/2,0))+IF(Q47="FULL",30,IF(Q47="PARTIAL",30/2,0))+IF(R47="FULL",20,IF(R47="PARTIAL",20/2,0))+IF(S47="FULL",10,IF(S47="PARTIAL",10/2,0))</f>
        <v/>
      </c>
      <c r="U47" s="7">
        <f>IF(P47="NOT_CHECKED",0,40)+IF(Q47="NOT_CHECKED",0,30)+IF(R47="NOT_CHECKED",0,20)+IF(S47="NOT_CHECKED",0,10)</f>
        <v/>
      </c>
      <c r="V47" s="7">
        <f>IF(U47=100,T47,"")</f>
        <v/>
      </c>
      <c r="W47" s="7">
        <f>T47</f>
        <v/>
      </c>
      <c r="X47" s="7">
        <f>T47+(100-U47)</f>
        <v/>
      </c>
      <c r="Y47" s="3" t="inlineStr">
        <is>
          <t>[]</t>
        </is>
      </c>
      <c r="Z47" s="3" t="inlineStr">
        <is>
          <t>["seo_runs\\jeminise.com\\20260906_234129\\evidence\\images\\17_christmas-bedding-quilt-soft-microfiber-holiday-bedsprea-design-01\\image_02_47934037393607.jpg; seo_runs\\jeminise.com\\20260906_234129\\evidence\\contact_sheets\\17_christmas-bedding-quilt-soft-microfiber-holiday-bedsprea-design-01.jpg", "https://jeminise.com/products/christmas-bedding-quilt-soft-microfiber-holiday-bedsprea-design-01", "https://cdn.shopify.com/s/files/1/0792/5098/1063/files/ef5fb0f3b4abe84445884164b3fe8a9b60849f27d9f160dbf6202e551cd44354.jpg?v=1787239344"]</t>
        </is>
      </c>
    </row>
    <row r="48" ht="66" customHeight="1">
      <c r="A48" s="2" t="inlineStr">
        <is>
          <t>jeminise.com+christmas-bedding-quilt-soft-microfiber-holiday-bedsprea-design-01</t>
        </is>
      </c>
      <c r="B48" s="2" t="inlineStr">
        <is>
          <t>qaimg_5ec1c83c3b06a01d</t>
        </is>
      </c>
      <c r="C48" s="4" t="inlineStr">
        <is>
          <t>https://cdn.shopify.com/s/files/1/0792/5098/1063/files/4b19b345400162da6ca516cd83b37574ed8b518e4fb7f48520940b3fc7b5f9df.jpg?v=1787239344</t>
        </is>
      </c>
      <c r="D48" s="4" t="inlineStr">
        <is>
          <t>https://cdn.shopify.com/s/files/1/0792/5098/1063/files/4b19b345400162da6ca516cd83b37574ed8b518e4fb7f48520940b3fc7b5f9df.jpg?v=1787239344</t>
        </is>
      </c>
      <c r="E48" s="2" t="inlineStr">
        <is>
          <t>38895273967815</t>
        </is>
      </c>
      <c r="F48" s="2" t="inlineStr">
        <is>
          <t>47934037426375</t>
        </is>
      </c>
      <c r="G48" s="2" t="inlineStr"/>
      <c r="H48" s="2" t="inlineStr">
        <is>
          <t>GALLERY</t>
        </is>
      </c>
      <c r="I48" s="2" t="inlineStr">
        <is>
          <t>DIRECT_ORIGINAL_IMAGE</t>
        </is>
      </c>
      <c r="J48" s="2" t="inlineStr">
        <is>
          <t>2026-09-07T13:47:49.662355+07:00</t>
        </is>
      </c>
      <c r="K48" s="2" t="inlineStr">
        <is>
          <t>Isolated matching pillow sham with the Christmas-tree patchwork print.</t>
        </is>
      </c>
      <c r="L48" s="2" t="inlineStr">
        <is>
          <t>Matching pillow sham or bedding detail using the same Christmas tree patchwork quilt in red, navy, green and cream squares artwork.</t>
        </is>
      </c>
      <c r="M48" s="2" t="inlineStr">
        <is>
          <t>Christmas Bedding Quilt – Soft Microfiber Holiday Bedspread, Lightweight Winter Bedding, Cozy Xmas Quilts for Couch, Bedroom &amp; Seasonal Home Decorations (Christmas Quilt-DS01)</t>
        </is>
      </c>
      <c r="N48" s="2" t="inlineStr">
        <is>
          <t>SET</t>
        </is>
      </c>
      <c r="O48" s="2" t="inlineStr">
        <is>
          <t>Matching pillow sham for Christmas Tree Patchwork Quilt Set</t>
        </is>
      </c>
      <c r="P48" s="2" t="inlineStr">
        <is>
          <t>FULL</t>
        </is>
      </c>
      <c r="Q48" s="2" t="inlineStr">
        <is>
          <t>FULL</t>
        </is>
      </c>
      <c r="R48" s="2" t="inlineStr">
        <is>
          <t>FULL</t>
        </is>
      </c>
      <c r="S48" s="2" t="inlineStr">
        <is>
          <t>FULL</t>
        </is>
      </c>
      <c r="T48" s="5">
        <f>IF(P48="FULL",40,IF(P48="PARTIAL",40/2,0))+IF(Q48="FULL",30,IF(Q48="PARTIAL",30/2,0))+IF(R48="FULL",20,IF(R48="PARTIAL",20/2,0))+IF(S48="FULL",10,IF(S48="PARTIAL",10/2,0))</f>
        <v/>
      </c>
      <c r="U48" s="5">
        <f>IF(P48="NOT_CHECKED",0,40)+IF(Q48="NOT_CHECKED",0,30)+IF(R48="NOT_CHECKED",0,20)+IF(S48="NOT_CHECKED",0,10)</f>
        <v/>
      </c>
      <c r="V48" s="5">
        <f>IF(U48=100,T48,"")</f>
        <v/>
      </c>
      <c r="W48" s="5">
        <f>T48</f>
        <v/>
      </c>
      <c r="X48" s="5">
        <f>T48+(100-U48)</f>
        <v/>
      </c>
      <c r="Y48" s="2" t="inlineStr">
        <is>
          <t>[]</t>
        </is>
      </c>
      <c r="Z48" s="2" t="inlineStr">
        <is>
          <t>["seo_runs\\jeminise.com\\20260906_234129\\evidence\\images\\17_christmas-bedding-quilt-soft-microfiber-holiday-bedsprea-design-01\\image_03_47934037426375.jpg; seo_runs\\jeminise.com\\20260906_234129\\evidence\\contact_sheets\\17_christmas-bedding-quilt-soft-microfiber-holiday-bedsprea-design-01.jpg", "https://jeminise.com/products/christmas-bedding-quilt-soft-microfiber-holiday-bedsprea-design-01", "https://cdn.shopify.com/s/files/1/0792/5098/1063/files/4b19b345400162da6ca516cd83b37574ed8b518e4fb7f48520940b3fc7b5f9df.jpg?v=1787239344"]</t>
        </is>
      </c>
    </row>
    <row r="49" ht="66" customHeight="1">
      <c r="A49" s="3" t="inlineStr">
        <is>
          <t>jeminise.com+christmas-bedding-quilt-soft-microfiber-holiday-bedsprea-design-01</t>
        </is>
      </c>
      <c r="B49" s="3" t="inlineStr">
        <is>
          <t>qaimg_2eab440c26c84af6</t>
        </is>
      </c>
      <c r="C49" s="4" t="inlineStr">
        <is>
          <t>https://cdn.shopify.com/s/files/1/0792/5098/1063/files/c7fc88ca9ec64e57ac466c010b032d865a04a5f7efbdb4acdfcaf38397afc4e5.jpg?v=1787239344</t>
        </is>
      </c>
      <c r="D49" s="4" t="inlineStr">
        <is>
          <t>https://cdn.shopify.com/s/files/1/0792/5098/1063/files/c7fc88ca9ec64e57ac466c010b032d865a04a5f7efbdb4acdfcaf38397afc4e5.jpg?v=1787239344</t>
        </is>
      </c>
      <c r="E49" s="3" t="inlineStr">
        <is>
          <t>38895274000583</t>
        </is>
      </c>
      <c r="F49" s="3" t="inlineStr">
        <is>
          <t>47934037459143</t>
        </is>
      </c>
      <c r="G49" s="3" t="inlineStr"/>
      <c r="H49" s="3" t="inlineStr">
        <is>
          <t>GALLERY</t>
        </is>
      </c>
      <c r="I49" s="3" t="inlineStr">
        <is>
          <t>DIRECT_ORIGINAL_IMAGE</t>
        </is>
      </c>
      <c r="J49" s="3" t="inlineStr">
        <is>
          <t>2026-09-07T13:47:49.662355+07:00</t>
        </is>
      </c>
      <c r="K49" s="3" t="inlineStr">
        <is>
          <t>Close-up of the printed faux-patchwork surface and visible quilting lines.</t>
        </is>
      </c>
      <c r="L49" s="3" t="inlineStr">
        <is>
          <t>Room/folded product or fabric information image tied to the Christmas tree patchwork quilt in red, navy, green and cream squares design.</t>
        </is>
      </c>
      <c r="M49" s="3" t="inlineStr">
        <is>
          <t>Christmas Bedding Quilt – Soft Microfiber Holiday Bedspread, Lightweight Winter Bedding, Cozy Xmas Quilts for Couch, Bedroom &amp; Seasonal Home Decorations (Christmas Quilt-DS01)</t>
        </is>
      </c>
      <c r="N49" s="3" t="inlineStr">
        <is>
          <t>SET</t>
        </is>
      </c>
      <c r="O49" s="3" t="inlineStr">
        <is>
          <t>Christmas Tree Patchwork Quilt Set shown in a bedroom setting</t>
        </is>
      </c>
      <c r="P49" s="3" t="inlineStr">
        <is>
          <t>FULL</t>
        </is>
      </c>
      <c r="Q49" s="3" t="inlineStr">
        <is>
          <t>FAIL</t>
        </is>
      </c>
      <c r="R49" s="3" t="inlineStr">
        <is>
          <t>FAIL</t>
        </is>
      </c>
      <c r="S49" s="3" t="inlineStr">
        <is>
          <t>FULL</t>
        </is>
      </c>
      <c r="T49" s="7">
        <f>IF(P49="FULL",40,IF(P49="PARTIAL",40/2,0))+IF(Q49="FULL",30,IF(Q49="PARTIAL",30/2,0))+IF(R49="FULL",20,IF(R49="PARTIAL",20/2,0))+IF(S49="FULL",10,IF(S49="PARTIAL",10/2,0))</f>
        <v/>
      </c>
      <c r="U49" s="7">
        <f>IF(P49="NOT_CHECKED",0,40)+IF(Q49="NOT_CHECKED",0,30)+IF(R49="NOT_CHECKED",0,20)+IF(S49="NOT_CHECKED",0,10)</f>
        <v/>
      </c>
      <c r="V49" s="7">
        <f>IF(U49=100,T49,"")</f>
        <v/>
      </c>
      <c r="W49" s="7">
        <f>T49</f>
        <v/>
      </c>
      <c r="X49" s="7">
        <f>T49+(100-U49)</f>
        <v/>
      </c>
      <c r="Y49" s="3" t="inlineStr">
        <is>
          <t>["ISS-017-IMG-04"]</t>
        </is>
      </c>
      <c r="Z49" s="3" t="inlineStr">
        <is>
          <t>["seo_runs\\jeminise.com\\20260906_234129\\evidence\\images\\17_christmas-bedding-quilt-soft-microfiber-holiday-bedsprea-design-01\\image_04_47934037459143.jpg; seo_runs\\jeminise.com\\20260906_234129\\evidence\\contact_sheets\\17_christmas-bedding-quilt-soft-microfiber-holiday-bedsprea-design-01.jpg", "https://jeminise.com/products/christmas-bedding-quilt-soft-microfiber-holiday-bedsprea-design-01", "https://cdn.shopify.com/s/files/1/0792/5098/1063/files/c7fc88ca9ec64e57ac466c010b032d865a04a5f7efbdb4acdfcaf38397afc4e5.jpg?v=1787239344"]</t>
        </is>
      </c>
    </row>
    <row r="50" ht="66" customHeight="1">
      <c r="A50" s="2" t="inlineStr">
        <is>
          <t>jeminise.com+christmas-bedding-quilt-soft-microfiber-holiday-bedsprea-design-01</t>
        </is>
      </c>
      <c r="B50" s="2" t="inlineStr">
        <is>
          <t>qaimg_3b2404c3a47bca9a</t>
        </is>
      </c>
      <c r="C50" s="4" t="inlineStr">
        <is>
          <t>https://cdn.shopify.com/s/files/1/0792/5098/1063/files/f9918abc28c263da8a27b5d2771f223f596735f0b41e35025e4ec8c4b1213901.jpg?v=1787239344</t>
        </is>
      </c>
      <c r="D50" s="4" t="inlineStr">
        <is>
          <t>https://cdn.shopify.com/s/files/1/0792/5098/1063/files/f9918abc28c263da8a27b5d2771f223f596735f0b41e35025e4ec8c4b1213901.jpg?v=1787239344</t>
        </is>
      </c>
      <c r="E50" s="2" t="inlineStr">
        <is>
          <t>38895274033351</t>
        </is>
      </c>
      <c r="F50" s="2" t="inlineStr">
        <is>
          <t>47934037491911</t>
        </is>
      </c>
      <c r="G50" s="2" t="inlineStr"/>
      <c r="H50" s="2" t="inlineStr">
        <is>
          <t>GALLERY</t>
        </is>
      </c>
      <c r="I50" s="2" t="inlineStr">
        <is>
          <t>DIRECT_ORIGINAL_IMAGE</t>
        </is>
      </c>
      <c r="J50" s="2" t="inlineStr">
        <is>
          <t>2026-09-07T13:47:49.662355+07:00</t>
        </is>
      </c>
      <c r="K50" s="2" t="inlineStr">
        <is>
          <t>Included-components and size graphic: one premium quilt plus two optional standard shams; Throw, Twin, Queen and King dimensions.</t>
        </is>
      </c>
      <c r="L50" s="2" t="inlineStr">
        <is>
          <t>Sizing or included-components information image for the bedding set.</t>
        </is>
      </c>
      <c r="M50" s="2" t="inlineStr">
        <is>
          <t>Christmas Bedding Quilt – Soft Microfiber Holiday Bedspread, Lightweight Winter Bedding, Cozy Xmas Quilts for Couch, Bedroom &amp; Seasonal Home Decorations (Christmas Quilt-DS01)</t>
        </is>
      </c>
      <c r="N50" s="2" t="inlineStr">
        <is>
          <t>SET</t>
        </is>
      </c>
      <c r="O50" s="2" t="inlineStr">
        <is>
          <t>Size guide for Christmas Tree Patchwork Quilt Set</t>
        </is>
      </c>
      <c r="P50" s="2" t="inlineStr">
        <is>
          <t>FULL</t>
        </is>
      </c>
      <c r="Q50" s="2" t="inlineStr">
        <is>
          <t>FULL</t>
        </is>
      </c>
      <c r="R50" s="2" t="inlineStr">
        <is>
          <t>FULL</t>
        </is>
      </c>
      <c r="S50" s="2" t="inlineStr">
        <is>
          <t>FULL</t>
        </is>
      </c>
      <c r="T50" s="5">
        <f>IF(P50="FULL",40,IF(P50="PARTIAL",40/2,0))+IF(Q50="FULL",30,IF(Q50="PARTIAL",30/2,0))+IF(R50="FULL",20,IF(R50="PARTIAL",20/2,0))+IF(S50="FULL",10,IF(S50="PARTIAL",10/2,0))</f>
        <v/>
      </c>
      <c r="U50" s="5">
        <f>IF(P50="NOT_CHECKED",0,40)+IF(Q50="NOT_CHECKED",0,30)+IF(R50="NOT_CHECKED",0,20)+IF(S50="NOT_CHECKED",0,10)</f>
        <v/>
      </c>
      <c r="V50" s="5">
        <f>IF(U50=100,T50,"")</f>
        <v/>
      </c>
      <c r="W50" s="5">
        <f>T50</f>
        <v/>
      </c>
      <c r="X50" s="5">
        <f>T50+(100-U50)</f>
        <v/>
      </c>
      <c r="Y50" s="2" t="inlineStr">
        <is>
          <t>[]</t>
        </is>
      </c>
      <c r="Z50" s="2" t="inlineStr">
        <is>
          <t>["seo_runs\\jeminise.com\\20260906_234129\\evidence\\images\\17_christmas-bedding-quilt-soft-microfiber-holiday-bedsprea-design-01\\image_05_47934037491911.jpg; seo_runs\\jeminise.com\\20260906_234129\\evidence\\contact_sheets\\17_christmas-bedding-quilt-soft-microfiber-holiday-bedsprea-design-01.jpg", "https://jeminise.com/products/christmas-bedding-quilt-soft-microfiber-holiday-bedsprea-design-01", "https://cdn.shopify.com/s/files/1/0792/5098/1063/files/f9918abc28c263da8a27b5d2771f223f596735f0b41e35025e4ec8c4b1213901.jpg?v=1787239344"]</t>
        </is>
      </c>
    </row>
    <row r="51" ht="66" customHeight="1">
      <c r="A51" s="3" t="inlineStr">
        <is>
          <t>jeminise.com+christmas-bedding-quilt-soft-microfiber-holiday-bedsprea-design-02</t>
        </is>
      </c>
      <c r="B51" s="3" t="inlineStr">
        <is>
          <t>qaimg_a5aa70c5e4ea5177</t>
        </is>
      </c>
      <c r="C51" s="4" t="inlineStr">
        <is>
          <t>https://cdn.shopify.com/s/files/1/0792/5098/1063/files/57a7ce08a0f83d12377baee8b7269bba25dd26fdd9c91110fbdc7c49acd6cd46.jpg?v=1787239348</t>
        </is>
      </c>
      <c r="D51" s="4" t="inlineStr">
        <is>
          <t>https://cdn.shopify.com/s/files/1/0792/5098/1063/files/57a7ce08a0f83d12377baee8b7269bba25dd26fdd9c91110fbdc7c49acd6cd46.jpg?v=1787239348</t>
        </is>
      </c>
      <c r="E51" s="3" t="inlineStr">
        <is>
          <t>38895274459335</t>
        </is>
      </c>
      <c r="F51" s="3" t="inlineStr">
        <is>
          <t>47934037917895</t>
        </is>
      </c>
      <c r="G51" s="3" t="inlineStr"/>
      <c r="H51" s="3" t="inlineStr">
        <is>
          <t>GALLERY</t>
        </is>
      </c>
      <c r="I51" s="3" t="inlineStr">
        <is>
          <t>DIRECT_ORIGINAL_IMAGE</t>
        </is>
      </c>
      <c r="J51" s="3" t="inlineStr">
        <is>
          <t>2026-09-07T13:47:49.662355+07:00</t>
        </is>
      </c>
      <c r="K51" s="3" t="inlineStr">
        <is>
          <t>Front bedroom mockup of a red-and-green patchwork quilt with Santa, snowmen, reindeer, trees and snowflakes.</t>
        </is>
      </c>
      <c r="L51" s="3" t="inlineStr">
        <is>
          <t>Main bed mockup showing Santa, snowman, reindeer and Christmas tree patchwork quilt.</t>
        </is>
      </c>
      <c r="M51" s="3" t="inlineStr">
        <is>
          <t>Christmas Bedding Quilt – Soft Microfiber Holiday Bedspread, Lightweight Winter Bedding, Cozy Xmas Quilts for Couch, Bedroom &amp; Seasonal Home Decorations (Christmas Quilt-DS02)</t>
        </is>
      </c>
      <c r="N51" s="3" t="inlineStr">
        <is>
          <t>SET</t>
        </is>
      </c>
      <c r="O51" s="3" t="inlineStr">
        <is>
          <t>Santa and gingerbread Christmas Quilt Set displayed on a bed</t>
        </is>
      </c>
      <c r="P51" s="3" t="inlineStr">
        <is>
          <t>FULL</t>
        </is>
      </c>
      <c r="Q51" s="3" t="inlineStr">
        <is>
          <t>FULL</t>
        </is>
      </c>
      <c r="R51" s="3" t="inlineStr">
        <is>
          <t>FULL</t>
        </is>
      </c>
      <c r="S51" s="3" t="inlineStr">
        <is>
          <t>FULL</t>
        </is>
      </c>
      <c r="T51" s="7">
        <f>IF(P51="FULL",40,IF(P51="PARTIAL",40/2,0))+IF(Q51="FULL",30,IF(Q51="PARTIAL",30/2,0))+IF(R51="FULL",20,IF(R51="PARTIAL",20/2,0))+IF(S51="FULL",10,IF(S51="PARTIAL",10/2,0))</f>
        <v/>
      </c>
      <c r="U51" s="7">
        <f>IF(P51="NOT_CHECKED",0,40)+IF(Q51="NOT_CHECKED",0,30)+IF(R51="NOT_CHECKED",0,20)+IF(S51="NOT_CHECKED",0,10)</f>
        <v/>
      </c>
      <c r="V51" s="7">
        <f>IF(U51=100,T51,"")</f>
        <v/>
      </c>
      <c r="W51" s="7">
        <f>T51</f>
        <v/>
      </c>
      <c r="X51" s="7">
        <f>T51+(100-U51)</f>
        <v/>
      </c>
      <c r="Y51" s="3" t="inlineStr">
        <is>
          <t>[]</t>
        </is>
      </c>
      <c r="Z51" s="3" t="inlineStr">
        <is>
          <t>["seo_runs\\jeminise.com\\20260906_234129\\evidence\\images\\18_christmas-bedding-quilt-soft-microfiber-holiday-bedsprea-design-02\\image_01_47934037917895.jpg; seo_runs\\jeminise.com\\20260906_234129\\evidence\\contact_sheets\\18_christmas-bedding-quilt-soft-microfiber-holiday-bedsprea-design-02.jpg", "https://jeminise.com/products/christmas-bedding-quilt-soft-microfiber-holiday-bedsprea-design-02", "https://cdn.shopify.com/s/files/1/0792/5098/1063/files/57a7ce08a0f83d12377baee8b7269bba25dd26fdd9c91110fbdc7c49acd6cd46.jpg?v=1787239348"]</t>
        </is>
      </c>
    </row>
    <row r="52" ht="66" customHeight="1">
      <c r="A52" s="2" t="inlineStr">
        <is>
          <t>jeminise.com+christmas-bedding-quilt-soft-microfiber-holiday-bedsprea-design-02</t>
        </is>
      </c>
      <c r="B52" s="2" t="inlineStr">
        <is>
          <t>qaimg_2a300c2de643da7f</t>
        </is>
      </c>
      <c r="C52" s="4" t="inlineStr">
        <is>
          <t>https://cdn.shopify.com/s/files/1/0792/5098/1063/files/5c29dd6655367de605661f28975aea64ef7bf3fe97fa2040469c83a862519be6.jpg?v=1787239348</t>
        </is>
      </c>
      <c r="D52" s="4" t="inlineStr">
        <is>
          <t>https://cdn.shopify.com/s/files/1/0792/5098/1063/files/5c29dd6655367de605661f28975aea64ef7bf3fe97fa2040469c83a862519be6.jpg?v=1787239348</t>
        </is>
      </c>
      <c r="E52" s="2" t="inlineStr">
        <is>
          <t>38895274492103</t>
        </is>
      </c>
      <c r="F52" s="2" t="inlineStr">
        <is>
          <t>47934037950663</t>
        </is>
      </c>
      <c r="G52" s="2" t="inlineStr"/>
      <c r="H52" s="2" t="inlineStr">
        <is>
          <t>GALLERY</t>
        </is>
      </c>
      <c r="I52" s="2" t="inlineStr">
        <is>
          <t>DIRECT_ORIGINAL_IMAGE</t>
        </is>
      </c>
      <c r="J52" s="2" t="inlineStr">
        <is>
          <t>2026-09-07T13:47:49.662355+07:00</t>
        </is>
      </c>
      <c r="K52" s="2" t="inlineStr">
        <is>
          <t>Angled bedroom mockup of the same Christmas character quilt.</t>
        </is>
      </c>
      <c r="L52" s="2" t="inlineStr">
        <is>
          <t>Secondary detail or room mockup showing Santa, snowman, reindeer and Christmas tree patchwork quilt and visible quilted/printed texture.</t>
        </is>
      </c>
      <c r="M52" s="2" t="inlineStr">
        <is>
          <t>Christmas Bedding Quilt – Soft Microfiber Holiday Bedspread, Lightweight Winter Bedding, Cozy Xmas Quilts for Couch, Bedroom &amp; Seasonal Home Decorations (Christmas Quilt-DS02)</t>
        </is>
      </c>
      <c r="N52" s="2" t="inlineStr">
        <is>
          <t>SET</t>
        </is>
      </c>
      <c r="O52" s="2" t="inlineStr">
        <is>
          <t>Close view of Santa, gingerbread figure, reindeer and Christmas tree patchwork quilt on the quilt set</t>
        </is>
      </c>
      <c r="P52" s="2" t="inlineStr">
        <is>
          <t>FULL</t>
        </is>
      </c>
      <c r="Q52" s="2" t="inlineStr">
        <is>
          <t>FULL</t>
        </is>
      </c>
      <c r="R52" s="2" t="inlineStr">
        <is>
          <t>FULL</t>
        </is>
      </c>
      <c r="S52" s="2" t="inlineStr">
        <is>
          <t>FULL</t>
        </is>
      </c>
      <c r="T52" s="5">
        <f>IF(P52="FULL",40,IF(P52="PARTIAL",40/2,0))+IF(Q52="FULL",30,IF(Q52="PARTIAL",30/2,0))+IF(R52="FULL",20,IF(R52="PARTIAL",20/2,0))+IF(S52="FULL",10,IF(S52="PARTIAL",10/2,0))</f>
        <v/>
      </c>
      <c r="U52" s="5">
        <f>IF(P52="NOT_CHECKED",0,40)+IF(Q52="NOT_CHECKED",0,30)+IF(R52="NOT_CHECKED",0,20)+IF(S52="NOT_CHECKED",0,10)</f>
        <v/>
      </c>
      <c r="V52" s="5">
        <f>IF(U52=100,T52,"")</f>
        <v/>
      </c>
      <c r="W52" s="5">
        <f>T52</f>
        <v/>
      </c>
      <c r="X52" s="5">
        <f>T52+(100-U52)</f>
        <v/>
      </c>
      <c r="Y52" s="2" t="inlineStr">
        <is>
          <t>[]</t>
        </is>
      </c>
      <c r="Z52" s="2" t="inlineStr">
        <is>
          <t>["seo_runs\\jeminise.com\\20260906_234129\\evidence\\images\\18_christmas-bedding-quilt-soft-microfiber-holiday-bedsprea-design-02\\image_02_47934037950663.jpg; seo_runs\\jeminise.com\\20260906_234129\\evidence\\contact_sheets\\18_christmas-bedding-quilt-soft-microfiber-holiday-bedsprea-design-02.jpg", "https://jeminise.com/products/christmas-bedding-quilt-soft-microfiber-holiday-bedsprea-design-02", "https://cdn.shopify.com/s/files/1/0792/5098/1063/files/5c29dd6655367de605661f28975aea64ef7bf3fe97fa2040469c83a862519be6.jpg?v=1787239348"]</t>
        </is>
      </c>
    </row>
    <row r="53" ht="66" customHeight="1">
      <c r="A53" s="3" t="inlineStr">
        <is>
          <t>jeminise.com+christmas-bedding-quilt-soft-microfiber-holiday-bedsprea-design-02</t>
        </is>
      </c>
      <c r="B53" s="3" t="inlineStr">
        <is>
          <t>qaimg_f2b384723c7f1b30</t>
        </is>
      </c>
      <c r="C53" s="4" t="inlineStr">
        <is>
          <t>https://cdn.shopify.com/s/files/1/0792/5098/1063/files/0497bbb180b270bb821aa012be14278640ab96779bd2279f6fde75e9a69bc981.jpg?v=1787239348</t>
        </is>
      </c>
      <c r="D53" s="4" t="inlineStr">
        <is>
          <t>https://cdn.shopify.com/s/files/1/0792/5098/1063/files/0497bbb180b270bb821aa012be14278640ab96779bd2279f6fde75e9a69bc981.jpg?v=1787239348</t>
        </is>
      </c>
      <c r="E53" s="3" t="inlineStr">
        <is>
          <t>38895274524871</t>
        </is>
      </c>
      <c r="F53" s="3" t="inlineStr">
        <is>
          <t>47934037983431</t>
        </is>
      </c>
      <c r="G53" s="3" t="inlineStr"/>
      <c r="H53" s="3" t="inlineStr">
        <is>
          <t>GALLERY</t>
        </is>
      </c>
      <c r="I53" s="3" t="inlineStr">
        <is>
          <t>DIRECT_ORIGINAL_IMAGE</t>
        </is>
      </c>
      <c r="J53" s="3" t="inlineStr">
        <is>
          <t>2026-09-07T13:47:49.662355+07:00</t>
        </is>
      </c>
      <c r="K53" s="3" t="inlineStr">
        <is>
          <t>Close-up of the printed faux-patchwork surface and visible quilting lines.</t>
        </is>
      </c>
      <c r="L53" s="3" t="inlineStr">
        <is>
          <t>Matching pillow sham or bedding detail using the same Santa, snowman, reindeer and Christmas tree patchwork quilt artwork.</t>
        </is>
      </c>
      <c r="M53" s="3" t="inlineStr">
        <is>
          <t>Christmas Bedding Quilt – Soft Microfiber Holiday Bedspread, Lightweight Winter Bedding, Cozy Xmas Quilts for Couch, Bedroom &amp; Seasonal Home Decorations (Christmas Quilt-DS02)</t>
        </is>
      </c>
      <c r="N53" s="3" t="inlineStr">
        <is>
          <t>SET</t>
        </is>
      </c>
      <c r="O53" s="3" t="inlineStr">
        <is>
          <t>Matching pillow sham for Santa and gingerbread Christmas Quilt Set</t>
        </is>
      </c>
      <c r="P53" s="3" t="inlineStr">
        <is>
          <t>FULL</t>
        </is>
      </c>
      <c r="Q53" s="3" t="inlineStr">
        <is>
          <t>FAIL</t>
        </is>
      </c>
      <c r="R53" s="3" t="inlineStr">
        <is>
          <t>FAIL</t>
        </is>
      </c>
      <c r="S53" s="3" t="inlineStr">
        <is>
          <t>FULL</t>
        </is>
      </c>
      <c r="T53" s="7">
        <f>IF(P53="FULL",40,IF(P53="PARTIAL",40/2,0))+IF(Q53="FULL",30,IF(Q53="PARTIAL",30/2,0))+IF(R53="FULL",20,IF(R53="PARTIAL",20/2,0))+IF(S53="FULL",10,IF(S53="PARTIAL",10/2,0))</f>
        <v/>
      </c>
      <c r="U53" s="7">
        <f>IF(P53="NOT_CHECKED",0,40)+IF(Q53="NOT_CHECKED",0,30)+IF(R53="NOT_CHECKED",0,20)+IF(S53="NOT_CHECKED",0,10)</f>
        <v/>
      </c>
      <c r="V53" s="7">
        <f>IF(U53=100,T53,"")</f>
        <v/>
      </c>
      <c r="W53" s="7">
        <f>T53</f>
        <v/>
      </c>
      <c r="X53" s="7">
        <f>T53+(100-U53)</f>
        <v/>
      </c>
      <c r="Y53" s="3" t="inlineStr">
        <is>
          <t>["ISS-018-IMG-03"]</t>
        </is>
      </c>
      <c r="Z53" s="3" t="inlineStr">
        <is>
          <t>["seo_runs\\jeminise.com\\20260906_234129\\evidence\\images\\18_christmas-bedding-quilt-soft-microfiber-holiday-bedsprea-design-02\\image_03_47934037983431.jpg; seo_runs\\jeminise.com\\20260906_234129\\evidence\\contact_sheets\\18_christmas-bedding-quilt-soft-microfiber-holiday-bedsprea-design-02.jpg", "https://jeminise.com/products/christmas-bedding-quilt-soft-microfiber-holiday-bedsprea-design-02", "https://cdn.shopify.com/s/files/1/0792/5098/1063/files/0497bbb180b270bb821aa012be14278640ab96779bd2279f6fde75e9a69bc981.jpg?v=1787239348"]</t>
        </is>
      </c>
    </row>
    <row r="54" ht="66" customHeight="1">
      <c r="A54" s="2" t="inlineStr">
        <is>
          <t>jeminise.com+christmas-bedding-quilt-soft-microfiber-holiday-bedsprea-design-02</t>
        </is>
      </c>
      <c r="B54" s="2" t="inlineStr">
        <is>
          <t>qaimg_b9d194fcd7779d6b</t>
        </is>
      </c>
      <c r="C54" s="4" t="inlineStr">
        <is>
          <t>https://cdn.shopify.com/s/files/1/0792/5098/1063/files/c905e081df2beed08b734c876c22d231c44cf1610294b7c0b8f756a1008190b1.jpg?v=1787239348</t>
        </is>
      </c>
      <c r="D54" s="4" t="inlineStr">
        <is>
          <t>https://cdn.shopify.com/s/files/1/0792/5098/1063/files/c905e081df2beed08b734c876c22d231c44cf1610294b7c0b8f756a1008190b1.jpg?v=1787239348</t>
        </is>
      </c>
      <c r="E54" s="2" t="inlineStr">
        <is>
          <t>38895274557639</t>
        </is>
      </c>
      <c r="F54" s="2" t="inlineStr">
        <is>
          <t>47934038016199</t>
        </is>
      </c>
      <c r="G54" s="2" t="inlineStr"/>
      <c r="H54" s="2" t="inlineStr">
        <is>
          <t>GALLERY</t>
        </is>
      </c>
      <c r="I54" s="2" t="inlineStr">
        <is>
          <t>DIRECT_ORIGINAL_IMAGE</t>
        </is>
      </c>
      <c r="J54" s="2" t="inlineStr">
        <is>
          <t>2026-09-07T13:47:49.662355+07:00</t>
        </is>
      </c>
      <c r="K54" s="2" t="inlineStr">
        <is>
          <t>Isolated matching pillow sham with Santa, snowman, reindeer and tree blocks.</t>
        </is>
      </c>
      <c r="L54" s="2" t="inlineStr">
        <is>
          <t>Room/folded product or fabric information image tied to the Santa, snowman, reindeer and Christmas tree patchwork quilt design.</t>
        </is>
      </c>
      <c r="M54" s="2" t="inlineStr">
        <is>
          <t>Christmas Bedding Quilt – Soft Microfiber Holiday Bedspread, Lightweight Winter Bedding, Cozy Xmas Quilts for Couch, Bedroom &amp; Seasonal Home Decorations (Christmas Quilt-DS02)</t>
        </is>
      </c>
      <c r="N54" s="2" t="inlineStr">
        <is>
          <t>SET</t>
        </is>
      </c>
      <c r="O54" s="2" t="inlineStr">
        <is>
          <t>Santa and gingerbread Christmas Quilt Set shown in a bedroom setting</t>
        </is>
      </c>
      <c r="P54" s="2" t="inlineStr">
        <is>
          <t>FULL</t>
        </is>
      </c>
      <c r="Q54" s="2" t="inlineStr">
        <is>
          <t>FAIL</t>
        </is>
      </c>
      <c r="R54" s="2" t="inlineStr">
        <is>
          <t>FAIL</t>
        </is>
      </c>
      <c r="S54" s="2" t="inlineStr">
        <is>
          <t>FULL</t>
        </is>
      </c>
      <c r="T54" s="5">
        <f>IF(P54="FULL",40,IF(P54="PARTIAL",40/2,0))+IF(Q54="FULL",30,IF(Q54="PARTIAL",30/2,0))+IF(R54="FULL",20,IF(R54="PARTIAL",20/2,0))+IF(S54="FULL",10,IF(S54="PARTIAL",10/2,0))</f>
        <v/>
      </c>
      <c r="U54" s="5">
        <f>IF(P54="NOT_CHECKED",0,40)+IF(Q54="NOT_CHECKED",0,30)+IF(R54="NOT_CHECKED",0,20)+IF(S54="NOT_CHECKED",0,10)</f>
        <v/>
      </c>
      <c r="V54" s="5">
        <f>IF(U54=100,T54,"")</f>
        <v/>
      </c>
      <c r="W54" s="5">
        <f>T54</f>
        <v/>
      </c>
      <c r="X54" s="5">
        <f>T54+(100-U54)</f>
        <v/>
      </c>
      <c r="Y54" s="2" t="inlineStr">
        <is>
          <t>["ISS-018-IMG-04"]</t>
        </is>
      </c>
      <c r="Z54" s="2" t="inlineStr">
        <is>
          <t>["seo_runs\\jeminise.com\\20260906_234129\\evidence\\images\\18_christmas-bedding-quilt-soft-microfiber-holiday-bedsprea-design-02\\image_04_47934038016199.jpg; seo_runs\\jeminise.com\\20260906_234129\\evidence\\contact_sheets\\18_christmas-bedding-quilt-soft-microfiber-holiday-bedsprea-design-02.jpg", "https://jeminise.com/products/christmas-bedding-quilt-soft-microfiber-holiday-bedsprea-design-02", "https://cdn.shopify.com/s/files/1/0792/5098/1063/files/c905e081df2beed08b734c876c22d231c44cf1610294b7c0b8f756a1008190b1.jpg?v=1787239348"]</t>
        </is>
      </c>
    </row>
    <row r="55" ht="66" customHeight="1">
      <c r="A55" s="3" t="inlineStr">
        <is>
          <t>jeminise.com+christmas-bedding-quilt-soft-microfiber-holiday-bedsprea-design-02</t>
        </is>
      </c>
      <c r="B55" s="3" t="inlineStr">
        <is>
          <t>qaimg_529933e13b525b8d</t>
        </is>
      </c>
      <c r="C55" s="4" t="inlineStr">
        <is>
          <t>https://cdn.shopify.com/s/files/1/0792/5098/1063/files/7f25263bf8ff6f505b2102e6286f57302397b98b0f9fdb7978daa38539f3f1ac.jpg?v=1787239348</t>
        </is>
      </c>
      <c r="D55" s="4" t="inlineStr">
        <is>
          <t>https://cdn.shopify.com/s/files/1/0792/5098/1063/files/7f25263bf8ff6f505b2102e6286f57302397b98b0f9fdb7978daa38539f3f1ac.jpg?v=1787239348</t>
        </is>
      </c>
      <c r="E55" s="3" t="inlineStr">
        <is>
          <t>38895274590407</t>
        </is>
      </c>
      <c r="F55" s="3" t="inlineStr">
        <is>
          <t>47934038048967</t>
        </is>
      </c>
      <c r="G55" s="3" t="inlineStr"/>
      <c r="H55" s="3" t="inlineStr">
        <is>
          <t>GALLERY</t>
        </is>
      </c>
      <c r="I55" s="3" t="inlineStr">
        <is>
          <t>DIRECT_ORIGINAL_IMAGE</t>
        </is>
      </c>
      <c r="J55" s="3" t="inlineStr">
        <is>
          <t>2026-09-07T13:47:49.662355+07:00</t>
        </is>
      </c>
      <c r="K55" s="3" t="inlineStr">
        <is>
          <t>Included-components and size graphic: one premium quilt plus two optional standard shams; Throw, Twin, Queen and King dimensions.</t>
        </is>
      </c>
      <c r="L55" s="3" t="inlineStr">
        <is>
          <t>Sizing or included-components information image for the bedding set.</t>
        </is>
      </c>
      <c r="M55" s="3" t="inlineStr">
        <is>
          <t>Christmas Bedding Quilt – Soft Microfiber Holiday Bedspread, Lightweight Winter Bedding, Cozy Xmas Quilts for Couch, Bedroom &amp; Seasonal Home Decorations (Christmas Quilt-DS02)</t>
        </is>
      </c>
      <c r="N55" s="3" t="inlineStr">
        <is>
          <t>SET</t>
        </is>
      </c>
      <c r="O55" s="3" t="inlineStr">
        <is>
          <t>Size guide for Santa and gingerbread Christmas Quilt Set</t>
        </is>
      </c>
      <c r="P55" s="3" t="inlineStr">
        <is>
          <t>FULL</t>
        </is>
      </c>
      <c r="Q55" s="3" t="inlineStr">
        <is>
          <t>FULL</t>
        </is>
      </c>
      <c r="R55" s="3" t="inlineStr">
        <is>
          <t>FULL</t>
        </is>
      </c>
      <c r="S55" s="3" t="inlineStr">
        <is>
          <t>FULL</t>
        </is>
      </c>
      <c r="T55" s="7">
        <f>IF(P55="FULL",40,IF(P55="PARTIAL",40/2,0))+IF(Q55="FULL",30,IF(Q55="PARTIAL",30/2,0))+IF(R55="FULL",20,IF(R55="PARTIAL",20/2,0))+IF(S55="FULL",10,IF(S55="PARTIAL",10/2,0))</f>
        <v/>
      </c>
      <c r="U55" s="7">
        <f>IF(P55="NOT_CHECKED",0,40)+IF(Q55="NOT_CHECKED",0,30)+IF(R55="NOT_CHECKED",0,20)+IF(S55="NOT_CHECKED",0,10)</f>
        <v/>
      </c>
      <c r="V55" s="7">
        <f>IF(U55=100,T55,"")</f>
        <v/>
      </c>
      <c r="W55" s="7">
        <f>T55</f>
        <v/>
      </c>
      <c r="X55" s="7">
        <f>T55+(100-U55)</f>
        <v/>
      </c>
      <c r="Y55" s="3" t="inlineStr">
        <is>
          <t>[]</t>
        </is>
      </c>
      <c r="Z55" s="3" t="inlineStr">
        <is>
          <t>["seo_runs\\jeminise.com\\20260906_234129\\evidence\\images\\18_christmas-bedding-quilt-soft-microfiber-holiday-bedsprea-design-02\\image_05_47934038048967.jpg; seo_runs\\jeminise.com\\20260906_234129\\evidence\\contact_sheets\\18_christmas-bedding-quilt-soft-microfiber-holiday-bedsprea-design-02.jpg", "https://jeminise.com/products/christmas-bedding-quilt-soft-microfiber-holiday-bedsprea-design-02", "https://cdn.shopify.com/s/files/1/0792/5098/1063/files/7f25263bf8ff6f505b2102e6286f57302397b98b0f9fdb7978daa38539f3f1ac.jpg?v=1787239348"]</t>
        </is>
      </c>
    </row>
    <row r="56" ht="66" customHeight="1">
      <c r="A56" s="2" t="inlineStr">
        <is>
          <t>jeminise.com+christmas-bedding-quilt-soft-microfiber-holiday-bedsprea-design-03</t>
        </is>
      </c>
      <c r="B56" s="2" t="inlineStr">
        <is>
          <t>qaimg_54ac2c5f338be6e8</t>
        </is>
      </c>
      <c r="C56" s="4" t="inlineStr">
        <is>
          <t>https://cdn.shopify.com/s/files/1/0792/5098/1063/files/bbbc5063a842a4025b83691360e26a0f48bd6b628bfe51d0f66000c5bde9160f.jpg?v=1787239363</t>
        </is>
      </c>
      <c r="D56" s="4" t="inlineStr">
        <is>
          <t>https://cdn.shopify.com/s/files/1/0792/5098/1063/files/bbbc5063a842a4025b83691360e26a0f48bd6b628bfe51d0f66000c5bde9160f.jpg?v=1787239363</t>
        </is>
      </c>
      <c r="E56" s="2" t="inlineStr">
        <is>
          <t>38895275901127</t>
        </is>
      </c>
      <c r="F56" s="2" t="inlineStr">
        <is>
          <t>47934039261383</t>
        </is>
      </c>
      <c r="G56" s="2" t="inlineStr"/>
      <c r="H56" s="2" t="inlineStr">
        <is>
          <t>GALLERY</t>
        </is>
      </c>
      <c r="I56" s="2" t="inlineStr">
        <is>
          <t>DIRECT_ORIGINAL_IMAGE</t>
        </is>
      </c>
      <c r="J56" s="2" t="inlineStr">
        <is>
          <t>2026-09-07T13:47:49.662355+07:00</t>
        </is>
      </c>
      <c r="K56" s="2" t="inlineStr">
        <is>
          <t>Front bedroom mockup of a red gingerbread-man quilt with candy cane, holly, pine and floral accents.</t>
        </is>
      </c>
      <c r="L56" s="2" t="inlineStr">
        <is>
          <t>Main bed mockup showing gingerbread man Christmas quilt with candy cane and holly on a red background.</t>
        </is>
      </c>
      <c r="M56" s="2" t="inlineStr">
        <is>
          <t>Christmas Bedding Quilt – Soft Microfiber Holiday Bedspread, Lightweight Winter Bedding, Cozy Xmas Quilts for Couch, Bedroom &amp; Seasonal Home Decorations (Christmas Quilt-DS03)</t>
        </is>
      </c>
      <c r="N56" s="2" t="inlineStr">
        <is>
          <t>SET</t>
        </is>
      </c>
      <c r="O56" s="2" t="inlineStr">
        <is>
          <t>Gingerbread Christmas Quilt Set displayed on a bed</t>
        </is>
      </c>
      <c r="P56" s="2" t="inlineStr">
        <is>
          <t>FULL</t>
        </is>
      </c>
      <c r="Q56" s="2" t="inlineStr">
        <is>
          <t>FULL</t>
        </is>
      </c>
      <c r="R56" s="2" t="inlineStr">
        <is>
          <t>FULL</t>
        </is>
      </c>
      <c r="S56" s="2" t="inlineStr">
        <is>
          <t>FULL</t>
        </is>
      </c>
      <c r="T56" s="5">
        <f>IF(P56="FULL",40,IF(P56="PARTIAL",40/2,0))+IF(Q56="FULL",30,IF(Q56="PARTIAL",30/2,0))+IF(R56="FULL",20,IF(R56="PARTIAL",20/2,0))+IF(S56="FULL",10,IF(S56="PARTIAL",10/2,0))</f>
        <v/>
      </c>
      <c r="U56" s="5">
        <f>IF(P56="NOT_CHECKED",0,40)+IF(Q56="NOT_CHECKED",0,30)+IF(R56="NOT_CHECKED",0,20)+IF(S56="NOT_CHECKED",0,10)</f>
        <v/>
      </c>
      <c r="V56" s="5">
        <f>IF(U56=100,T56,"")</f>
        <v/>
      </c>
      <c r="W56" s="5">
        <f>T56</f>
        <v/>
      </c>
      <c r="X56" s="5">
        <f>T56+(100-U56)</f>
        <v/>
      </c>
      <c r="Y56" s="2" t="inlineStr">
        <is>
          <t>[]</t>
        </is>
      </c>
      <c r="Z56" s="2" t="inlineStr">
        <is>
          <t>["seo_runs\\jeminise.com\\20260906_234129\\evidence\\images\\19_christmas-bedding-quilt-soft-microfiber-holiday-bedsprea-design-03\\image_01_47934039261383.jpg; seo_runs\\jeminise.com\\20260906_234129\\evidence\\contact_sheets\\19_christmas-bedding-quilt-soft-microfiber-holiday-bedsprea-design-03.jpg", "https://jeminise.com/products/christmas-bedding-quilt-soft-microfiber-holiday-bedsprea-design-03", "https://cdn.shopify.com/s/files/1/0792/5098/1063/files/bbbc5063a842a4025b83691360e26a0f48bd6b628bfe51d0f66000c5bde9160f.jpg?v=1787239363"]</t>
        </is>
      </c>
    </row>
    <row r="57" ht="66" customHeight="1">
      <c r="A57" s="3" t="inlineStr">
        <is>
          <t>jeminise.com+christmas-bedding-quilt-soft-microfiber-holiday-bedsprea-design-03</t>
        </is>
      </c>
      <c r="B57" s="3" t="inlineStr">
        <is>
          <t>qaimg_4a826ccdaa05f591</t>
        </is>
      </c>
      <c r="C57" s="4" t="inlineStr">
        <is>
          <t>https://cdn.shopify.com/s/files/1/0792/5098/1063/files/1d962e1fd3d6fb1ccbe82d1b9d96746919c0028a56d90f2f5e5b1206422676d9.jpg?v=1787239363</t>
        </is>
      </c>
      <c r="D57" s="4" t="inlineStr">
        <is>
          <t>https://cdn.shopify.com/s/files/1/0792/5098/1063/files/1d962e1fd3d6fb1ccbe82d1b9d96746919c0028a56d90f2f5e5b1206422676d9.jpg?v=1787239363</t>
        </is>
      </c>
      <c r="E57" s="3" t="inlineStr">
        <is>
          <t>38895275933895</t>
        </is>
      </c>
      <c r="F57" s="3" t="inlineStr">
        <is>
          <t>47934039294151</t>
        </is>
      </c>
      <c r="G57" s="3" t="inlineStr"/>
      <c r="H57" s="3" t="inlineStr">
        <is>
          <t>GALLERY</t>
        </is>
      </c>
      <c r="I57" s="3" t="inlineStr">
        <is>
          <t>DIRECT_ORIGINAL_IMAGE</t>
        </is>
      </c>
      <c r="J57" s="3" t="inlineStr">
        <is>
          <t>2026-09-07T13:47:49.662355+07:00</t>
        </is>
      </c>
      <c r="K57" s="3" t="inlineStr">
        <is>
          <t>Angled bedroom mockup of the same red gingerbread Christmas quilt.</t>
        </is>
      </c>
      <c r="L57" s="3" t="inlineStr">
        <is>
          <t>Secondary detail or room mockup showing gingerbread man Christmas quilt with candy cane and holly on a red background and visible quilted/printed texture.</t>
        </is>
      </c>
      <c r="M57" s="3" t="inlineStr">
        <is>
          <t>Christmas Bedding Quilt – Soft Microfiber Holiday Bedspread, Lightweight Winter Bedding, Cozy Xmas Quilts for Couch, Bedroom &amp; Seasonal Home Decorations (Christmas Quilt-DS03)</t>
        </is>
      </c>
      <c r="N57" s="3" t="inlineStr">
        <is>
          <t>SET</t>
        </is>
      </c>
      <c r="O57" s="3" t="inlineStr">
        <is>
          <t>Close view of gingerbread man Christmas quilt with candy cane and holly on a red background on the quilt set</t>
        </is>
      </c>
      <c r="P57" s="3" t="inlineStr">
        <is>
          <t>FULL</t>
        </is>
      </c>
      <c r="Q57" s="3" t="inlineStr">
        <is>
          <t>FULL</t>
        </is>
      </c>
      <c r="R57" s="3" t="inlineStr">
        <is>
          <t>FULL</t>
        </is>
      </c>
      <c r="S57" s="3" t="inlineStr">
        <is>
          <t>FULL</t>
        </is>
      </c>
      <c r="T57" s="7">
        <f>IF(P57="FULL",40,IF(P57="PARTIAL",40/2,0))+IF(Q57="FULL",30,IF(Q57="PARTIAL",30/2,0))+IF(R57="FULL",20,IF(R57="PARTIAL",20/2,0))+IF(S57="FULL",10,IF(S57="PARTIAL",10/2,0))</f>
        <v/>
      </c>
      <c r="U57" s="7">
        <f>IF(P57="NOT_CHECKED",0,40)+IF(Q57="NOT_CHECKED",0,30)+IF(R57="NOT_CHECKED",0,20)+IF(S57="NOT_CHECKED",0,10)</f>
        <v/>
      </c>
      <c r="V57" s="7">
        <f>IF(U57=100,T57,"")</f>
        <v/>
      </c>
      <c r="W57" s="7">
        <f>T57</f>
        <v/>
      </c>
      <c r="X57" s="7">
        <f>T57+(100-U57)</f>
        <v/>
      </c>
      <c r="Y57" s="3" t="inlineStr">
        <is>
          <t>[]</t>
        </is>
      </c>
      <c r="Z57" s="3" t="inlineStr">
        <is>
          <t>["seo_runs\\jeminise.com\\20260906_234129\\evidence\\images\\19_christmas-bedding-quilt-soft-microfiber-holiday-bedsprea-design-03\\image_02_47934039294151.jpg; seo_runs\\jeminise.com\\20260906_234129\\evidence\\contact_sheets\\19_christmas-bedding-quilt-soft-microfiber-holiday-bedsprea-design-03.jpg", "https://jeminise.com/products/christmas-bedding-quilt-soft-microfiber-holiday-bedsprea-design-03", "https://cdn.shopify.com/s/files/1/0792/5098/1063/files/1d962e1fd3d6fb1ccbe82d1b9d96746919c0028a56d90f2f5e5b1206422676d9.jpg?v=1787239363"]</t>
        </is>
      </c>
    </row>
    <row r="58" ht="66" customHeight="1">
      <c r="A58" s="2" t="inlineStr">
        <is>
          <t>jeminise.com+christmas-bedding-quilt-soft-microfiber-holiday-bedsprea-design-03</t>
        </is>
      </c>
      <c r="B58" s="2" t="inlineStr">
        <is>
          <t>qaimg_57cd95af61fa1fa9</t>
        </is>
      </c>
      <c r="C58" s="4" t="inlineStr">
        <is>
          <t>https://cdn.shopify.com/s/files/1/0792/5098/1063/files/fc9d9bb7a4157494e84e2760896b163917544674147d59e79260c06c7047b8fa.jpg?v=1787239363</t>
        </is>
      </c>
      <c r="D58" s="4" t="inlineStr">
        <is>
          <t>https://cdn.shopify.com/s/files/1/0792/5098/1063/files/fc9d9bb7a4157494e84e2760896b163917544674147d59e79260c06c7047b8fa.jpg?v=1787239363</t>
        </is>
      </c>
      <c r="E58" s="2" t="inlineStr">
        <is>
          <t>38895275966663</t>
        </is>
      </c>
      <c r="F58" s="2" t="inlineStr">
        <is>
          <t>47934039326919</t>
        </is>
      </c>
      <c r="G58" s="2" t="inlineStr"/>
      <c r="H58" s="2" t="inlineStr">
        <is>
          <t>GALLERY</t>
        </is>
      </c>
      <c r="I58" s="2" t="inlineStr">
        <is>
          <t>DIRECT_ORIGINAL_IMAGE</t>
        </is>
      </c>
      <c r="J58" s="2" t="inlineStr">
        <is>
          <t>2026-09-07T13:47:49.662355+07:00</t>
        </is>
      </c>
      <c r="K58" s="2" t="inlineStr">
        <is>
          <t>Close-up of the printed gingerbread surface and visible quilting lines.</t>
        </is>
      </c>
      <c r="L58" s="2" t="inlineStr">
        <is>
          <t>Matching pillow sham or bedding detail using the same gingerbread man Christmas quilt with candy cane and holly on a red background artwork.</t>
        </is>
      </c>
      <c r="M58" s="2" t="inlineStr">
        <is>
          <t>Christmas Bedding Quilt – Soft Microfiber Holiday Bedspread, Lightweight Winter Bedding, Cozy Xmas Quilts for Couch, Bedroom &amp; Seasonal Home Decorations (Christmas Quilt-DS03)</t>
        </is>
      </c>
      <c r="N58" s="2" t="inlineStr">
        <is>
          <t>SET</t>
        </is>
      </c>
      <c r="O58" s="2" t="inlineStr">
        <is>
          <t>Matching pillow sham for Gingerbread Christmas Quilt Set</t>
        </is>
      </c>
      <c r="P58" s="2" t="inlineStr">
        <is>
          <t>FULL</t>
        </is>
      </c>
      <c r="Q58" s="2" t="inlineStr">
        <is>
          <t>FAIL</t>
        </is>
      </c>
      <c r="R58" s="2" t="inlineStr">
        <is>
          <t>FAIL</t>
        </is>
      </c>
      <c r="S58" s="2" t="inlineStr">
        <is>
          <t>FULL</t>
        </is>
      </c>
      <c r="T58" s="5">
        <f>IF(P58="FULL",40,IF(P58="PARTIAL",40/2,0))+IF(Q58="FULL",30,IF(Q58="PARTIAL",30/2,0))+IF(R58="FULL",20,IF(R58="PARTIAL",20/2,0))+IF(S58="FULL",10,IF(S58="PARTIAL",10/2,0))</f>
        <v/>
      </c>
      <c r="U58" s="5">
        <f>IF(P58="NOT_CHECKED",0,40)+IF(Q58="NOT_CHECKED",0,30)+IF(R58="NOT_CHECKED",0,20)+IF(S58="NOT_CHECKED",0,10)</f>
        <v/>
      </c>
      <c r="V58" s="5">
        <f>IF(U58=100,T58,"")</f>
        <v/>
      </c>
      <c r="W58" s="5">
        <f>T58</f>
        <v/>
      </c>
      <c r="X58" s="5">
        <f>T58+(100-U58)</f>
        <v/>
      </c>
      <c r="Y58" s="2" t="inlineStr">
        <is>
          <t>["ISS-019-IMG-03"]</t>
        </is>
      </c>
      <c r="Z58" s="2" t="inlineStr">
        <is>
          <t>["seo_runs\\jeminise.com\\20260906_234129\\evidence\\images\\19_christmas-bedding-quilt-soft-microfiber-holiday-bedsprea-design-03\\image_03_47934039326919.jpg; seo_runs\\jeminise.com\\20260906_234129\\evidence\\contact_sheets\\19_christmas-bedding-quilt-soft-microfiber-holiday-bedsprea-design-03.jpg", "https://jeminise.com/products/christmas-bedding-quilt-soft-microfiber-holiday-bedsprea-design-03", "https://cdn.shopify.com/s/files/1/0792/5098/1063/files/fc9d9bb7a4157494e84e2760896b163917544674147d59e79260c06c7047b8fa.jpg?v=1787239363"]</t>
        </is>
      </c>
    </row>
    <row r="59" ht="66" customHeight="1">
      <c r="A59" s="3" t="inlineStr">
        <is>
          <t>jeminise.com+christmas-bedding-quilt-soft-microfiber-holiday-bedsprea-design-03</t>
        </is>
      </c>
      <c r="B59" s="3" t="inlineStr">
        <is>
          <t>qaimg_0720fd612d328acd</t>
        </is>
      </c>
      <c r="C59" s="4" t="inlineStr">
        <is>
          <t>https://cdn.shopify.com/s/files/1/0792/5098/1063/files/ed1f801ef63b58d7c0fa153b8385667b922eaf1d12c757a8abe5554bf16b8de3.jpg?v=1787239363</t>
        </is>
      </c>
      <c r="D59" s="4" t="inlineStr">
        <is>
          <t>https://cdn.shopify.com/s/files/1/0792/5098/1063/files/ed1f801ef63b58d7c0fa153b8385667b922eaf1d12c757a8abe5554bf16b8de3.jpg?v=1787239363</t>
        </is>
      </c>
      <c r="E59" s="3" t="inlineStr">
        <is>
          <t>38895275999431</t>
        </is>
      </c>
      <c r="F59" s="3" t="inlineStr">
        <is>
          <t>47934039359687</t>
        </is>
      </c>
      <c r="G59" s="3" t="inlineStr"/>
      <c r="H59" s="3" t="inlineStr">
        <is>
          <t>GALLERY</t>
        </is>
      </c>
      <c r="I59" s="3" t="inlineStr">
        <is>
          <t>DIRECT_ORIGINAL_IMAGE</t>
        </is>
      </c>
      <c r="J59" s="3" t="inlineStr">
        <is>
          <t>2026-09-07T13:47:49.662355+07:00</t>
        </is>
      </c>
      <c r="K59" s="3" t="inlineStr">
        <is>
          <t>Isolated matching pillow sham with gingerbread man and candy cane artwork.</t>
        </is>
      </c>
      <c r="L59" s="3" t="inlineStr">
        <is>
          <t>Room/folded product or fabric information image tied to the gingerbread man Christmas quilt with candy cane and holly on a red background design.</t>
        </is>
      </c>
      <c r="M59" s="3" t="inlineStr">
        <is>
          <t>Christmas Bedding Quilt – Soft Microfiber Holiday Bedspread, Lightweight Winter Bedding, Cozy Xmas Quilts for Couch, Bedroom &amp; Seasonal Home Decorations (Christmas Quilt-DS03)</t>
        </is>
      </c>
      <c r="N59" s="3" t="inlineStr">
        <is>
          <t>SET</t>
        </is>
      </c>
      <c r="O59" s="3" t="inlineStr">
        <is>
          <t>Gingerbread Christmas Quilt Set shown in a bedroom setting</t>
        </is>
      </c>
      <c r="P59" s="3" t="inlineStr">
        <is>
          <t>FULL</t>
        </is>
      </c>
      <c r="Q59" s="3" t="inlineStr">
        <is>
          <t>FAIL</t>
        </is>
      </c>
      <c r="R59" s="3" t="inlineStr">
        <is>
          <t>FAIL</t>
        </is>
      </c>
      <c r="S59" s="3" t="inlineStr">
        <is>
          <t>FULL</t>
        </is>
      </c>
      <c r="T59" s="7">
        <f>IF(P59="FULL",40,IF(P59="PARTIAL",40/2,0))+IF(Q59="FULL",30,IF(Q59="PARTIAL",30/2,0))+IF(R59="FULL",20,IF(R59="PARTIAL",20/2,0))+IF(S59="FULL",10,IF(S59="PARTIAL",10/2,0))</f>
        <v/>
      </c>
      <c r="U59" s="7">
        <f>IF(P59="NOT_CHECKED",0,40)+IF(Q59="NOT_CHECKED",0,30)+IF(R59="NOT_CHECKED",0,20)+IF(S59="NOT_CHECKED",0,10)</f>
        <v/>
      </c>
      <c r="V59" s="7">
        <f>IF(U59=100,T59,"")</f>
        <v/>
      </c>
      <c r="W59" s="7">
        <f>T59</f>
        <v/>
      </c>
      <c r="X59" s="7">
        <f>T59+(100-U59)</f>
        <v/>
      </c>
      <c r="Y59" s="3" t="inlineStr">
        <is>
          <t>["ISS-019-IMG-04"]</t>
        </is>
      </c>
      <c r="Z59" s="3" t="inlineStr">
        <is>
          <t>["seo_runs\\jeminise.com\\20260906_234129\\evidence\\images\\19_christmas-bedding-quilt-soft-microfiber-holiday-bedsprea-design-03\\image_04_47934039359687.jpg; seo_runs\\jeminise.com\\20260906_234129\\evidence\\contact_sheets\\19_christmas-bedding-quilt-soft-microfiber-holiday-bedsprea-design-03.jpg", "https://jeminise.com/products/christmas-bedding-quilt-soft-microfiber-holiday-bedsprea-design-03", "https://cdn.shopify.com/s/files/1/0792/5098/1063/files/ed1f801ef63b58d7c0fa153b8385667b922eaf1d12c757a8abe5554bf16b8de3.jpg?v=1787239363"]</t>
        </is>
      </c>
    </row>
    <row r="60" ht="66" customHeight="1">
      <c r="A60" s="2" t="inlineStr">
        <is>
          <t>jeminise.com+christmas-bedding-quilt-soft-microfiber-holiday-bedsprea-design-03</t>
        </is>
      </c>
      <c r="B60" s="2" t="inlineStr">
        <is>
          <t>qaimg_5e13ab76158835ae</t>
        </is>
      </c>
      <c r="C60" s="4" t="inlineStr">
        <is>
          <t>https://cdn.shopify.com/s/files/1/0792/5098/1063/files/c75960e3ddc81d77c391212f67c79d9add41e8f685321e4f6ca1230660fcd8de.jpg?v=1787239363</t>
        </is>
      </c>
      <c r="D60" s="4" t="inlineStr">
        <is>
          <t>https://cdn.shopify.com/s/files/1/0792/5098/1063/files/c75960e3ddc81d77c391212f67c79d9add41e8f685321e4f6ca1230660fcd8de.jpg?v=1787239363</t>
        </is>
      </c>
      <c r="E60" s="2" t="inlineStr">
        <is>
          <t>38895276032199</t>
        </is>
      </c>
      <c r="F60" s="2" t="inlineStr">
        <is>
          <t>47934039392455</t>
        </is>
      </c>
      <c r="G60" s="2" t="inlineStr"/>
      <c r="H60" s="2" t="inlineStr">
        <is>
          <t>GALLERY</t>
        </is>
      </c>
      <c r="I60" s="2" t="inlineStr">
        <is>
          <t>DIRECT_ORIGINAL_IMAGE</t>
        </is>
      </c>
      <c r="J60" s="2" t="inlineStr">
        <is>
          <t>2026-09-07T13:47:49.662355+07:00</t>
        </is>
      </c>
      <c r="K60" s="2" t="inlineStr">
        <is>
          <t>Included-components and size graphic: one premium quilt plus two optional standard shams; Throw, Twin, Queen and King dimensions.</t>
        </is>
      </c>
      <c r="L60" s="2" t="inlineStr">
        <is>
          <t>Sizing or included-components information image for the bedding set.</t>
        </is>
      </c>
      <c r="M60" s="2" t="inlineStr">
        <is>
          <t>Christmas Bedding Quilt – Soft Microfiber Holiday Bedspread, Lightweight Winter Bedding, Cozy Xmas Quilts for Couch, Bedroom &amp; Seasonal Home Decorations (Christmas Quilt-DS03)</t>
        </is>
      </c>
      <c r="N60" s="2" t="inlineStr">
        <is>
          <t>SET</t>
        </is>
      </c>
      <c r="O60" s="2" t="inlineStr">
        <is>
          <t>Size guide for Gingerbread Christmas Quilt Set</t>
        </is>
      </c>
      <c r="P60" s="2" t="inlineStr">
        <is>
          <t>FULL</t>
        </is>
      </c>
      <c r="Q60" s="2" t="inlineStr">
        <is>
          <t>FULL</t>
        </is>
      </c>
      <c r="R60" s="2" t="inlineStr">
        <is>
          <t>FULL</t>
        </is>
      </c>
      <c r="S60" s="2" t="inlineStr">
        <is>
          <t>FULL</t>
        </is>
      </c>
      <c r="T60" s="5">
        <f>IF(P60="FULL",40,IF(P60="PARTIAL",40/2,0))+IF(Q60="FULL",30,IF(Q60="PARTIAL",30/2,0))+IF(R60="FULL",20,IF(R60="PARTIAL",20/2,0))+IF(S60="FULL",10,IF(S60="PARTIAL",10/2,0))</f>
        <v/>
      </c>
      <c r="U60" s="5">
        <f>IF(P60="NOT_CHECKED",0,40)+IF(Q60="NOT_CHECKED",0,30)+IF(R60="NOT_CHECKED",0,20)+IF(S60="NOT_CHECKED",0,10)</f>
        <v/>
      </c>
      <c r="V60" s="5">
        <f>IF(U60=100,T60,"")</f>
        <v/>
      </c>
      <c r="W60" s="5">
        <f>T60</f>
        <v/>
      </c>
      <c r="X60" s="5">
        <f>T60+(100-U60)</f>
        <v/>
      </c>
      <c r="Y60" s="2" t="inlineStr">
        <is>
          <t>[]</t>
        </is>
      </c>
      <c r="Z60" s="2" t="inlineStr">
        <is>
          <t>["seo_runs\\jeminise.com\\20260906_234129\\evidence\\images\\19_christmas-bedding-quilt-soft-microfiber-holiday-bedsprea-design-03\\image_05_47934039392455.jpg; seo_runs\\jeminise.com\\20260906_234129\\evidence\\contact_sheets\\19_christmas-bedding-quilt-soft-microfiber-holiday-bedsprea-design-03.jpg", "https://jeminise.com/products/christmas-bedding-quilt-soft-microfiber-holiday-bedsprea-design-03", "https://cdn.shopify.com/s/files/1/0792/5098/1063/files/c75960e3ddc81d77c391212f67c79d9add41e8f685321e4f6ca1230660fcd8de.jpg?v=1787239363"]</t>
        </is>
      </c>
    </row>
    <row r="61" ht="66" customHeight="1">
      <c r="A61" s="3" t="inlineStr">
        <is>
          <t>jeminise.com+christmas-bedding-quilt-soft-microfiber-holiday-bedsprea-design-04</t>
        </is>
      </c>
      <c r="B61" s="3" t="inlineStr">
        <is>
          <t>qaimg_6edf61ad44a71138</t>
        </is>
      </c>
      <c r="C61" s="4" t="inlineStr">
        <is>
          <t>https://cdn.shopify.com/s/files/1/0792/5098/1063/files/c995fe84801c09d910dc409c0566ec9afe487b8804ac002dd8b540abd448435d.jpg?v=1787239355</t>
        </is>
      </c>
      <c r="D61" s="4" t="inlineStr">
        <is>
          <t>https://cdn.shopify.com/s/files/1/0792/5098/1063/files/c995fe84801c09d910dc409c0566ec9afe487b8804ac002dd8b540abd448435d.jpg?v=1787239355</t>
        </is>
      </c>
      <c r="E61" s="3" t="inlineStr">
        <is>
          <t>38895275212999</t>
        </is>
      </c>
      <c r="F61" s="3" t="inlineStr">
        <is>
          <t>47934038638791</t>
        </is>
      </c>
      <c r="G61" s="3" t="inlineStr"/>
      <c r="H61" s="3" t="inlineStr">
        <is>
          <t>GALLERY</t>
        </is>
      </c>
      <c r="I61" s="3" t="inlineStr">
        <is>
          <t>DIRECT_ORIGINAL_IMAGE</t>
        </is>
      </c>
      <c r="J61" s="3" t="inlineStr">
        <is>
          <t>2026-09-07T13:47:49.662355+07:00</t>
        </is>
      </c>
      <c r="K61" s="3" t="inlineStr">
        <is>
          <t>Front bedroom mockup of a light gingerbread Christmas quilt with two cookie figures, gifts, candy canes and holly.</t>
        </is>
      </c>
      <c r="L61" s="3" t="inlineStr">
        <is>
          <t>Main bed mockup showing two gingerbread figures with Christmas gifts, candy cane and holly.</t>
        </is>
      </c>
      <c r="M61" s="3" t="inlineStr">
        <is>
          <t>Christmas Bedding Quilt – Soft Microfiber Holiday Bedspread, Lightweight Winter Bedding, Cozy Xmas Quilts for Couch, Bedroom &amp; Seasonal Home Decorations (Christmas Quilt-DS04)</t>
        </is>
      </c>
      <c r="N61" s="3" t="inlineStr">
        <is>
          <t>SET</t>
        </is>
      </c>
      <c r="O61" s="3" t="inlineStr">
        <is>
          <t>Gingerbread Gift Christmas Quilt Set displayed on a bed</t>
        </is>
      </c>
      <c r="P61" s="3" t="inlineStr">
        <is>
          <t>FULL</t>
        </is>
      </c>
      <c r="Q61" s="3" t="inlineStr">
        <is>
          <t>FULL</t>
        </is>
      </c>
      <c r="R61" s="3" t="inlineStr">
        <is>
          <t>FULL</t>
        </is>
      </c>
      <c r="S61" s="3" t="inlineStr">
        <is>
          <t>FULL</t>
        </is>
      </c>
      <c r="T61" s="7">
        <f>IF(P61="FULL",40,IF(P61="PARTIAL",40/2,0))+IF(Q61="FULL",30,IF(Q61="PARTIAL",30/2,0))+IF(R61="FULL",20,IF(R61="PARTIAL",20/2,0))+IF(S61="FULL",10,IF(S61="PARTIAL",10/2,0))</f>
        <v/>
      </c>
      <c r="U61" s="7">
        <f>IF(P61="NOT_CHECKED",0,40)+IF(Q61="NOT_CHECKED",0,30)+IF(R61="NOT_CHECKED",0,20)+IF(S61="NOT_CHECKED",0,10)</f>
        <v/>
      </c>
      <c r="V61" s="7">
        <f>IF(U61=100,T61,"")</f>
        <v/>
      </c>
      <c r="W61" s="7">
        <f>T61</f>
        <v/>
      </c>
      <c r="X61" s="7">
        <f>T61+(100-U61)</f>
        <v/>
      </c>
      <c r="Y61" s="3" t="inlineStr">
        <is>
          <t>[]</t>
        </is>
      </c>
      <c r="Z61" s="3" t="inlineStr">
        <is>
          <t>["seo_runs\\jeminise.com\\20260906_234129\\evidence\\images\\20_christmas-bedding-quilt-soft-microfiber-holiday-bedsprea-design-04\\image_01_47934038638791.jpg; seo_runs\\jeminise.com\\20260906_234129\\evidence\\contact_sheets\\20_christmas-bedding-quilt-soft-microfiber-holiday-bedsprea-design-04.jpg", "https://jeminise.com/products/christmas-bedding-quilt-soft-microfiber-holiday-bedsprea-design-04", "https://cdn.shopify.com/s/files/1/0792/5098/1063/files/c995fe84801c09d910dc409c0566ec9afe487b8804ac002dd8b540abd448435d.jpg?v=1787239355"]</t>
        </is>
      </c>
    </row>
    <row r="62" ht="66" customHeight="1">
      <c r="A62" s="2" t="inlineStr">
        <is>
          <t>jeminise.com+christmas-bedding-quilt-soft-microfiber-holiday-bedsprea-design-04</t>
        </is>
      </c>
      <c r="B62" s="2" t="inlineStr">
        <is>
          <t>qaimg_5b7df27b5eb3d15b</t>
        </is>
      </c>
      <c r="C62" s="4" t="inlineStr">
        <is>
          <t>https://cdn.shopify.com/s/files/1/0792/5098/1063/files/ada23d8192c9d327e2ca7af4d3ab7ad5b2f163980c27341d8ad218b41e8125d5.jpg?v=1787239355</t>
        </is>
      </c>
      <c r="D62" s="4" t="inlineStr">
        <is>
          <t>https://cdn.shopify.com/s/files/1/0792/5098/1063/files/ada23d8192c9d327e2ca7af4d3ab7ad5b2f163980c27341d8ad218b41e8125d5.jpg?v=1787239355</t>
        </is>
      </c>
      <c r="E62" s="2" t="inlineStr">
        <is>
          <t>38895275245767</t>
        </is>
      </c>
      <c r="F62" s="2" t="inlineStr">
        <is>
          <t>47934038671559</t>
        </is>
      </c>
      <c r="G62" s="2" t="inlineStr"/>
      <c r="H62" s="2" t="inlineStr">
        <is>
          <t>GALLERY</t>
        </is>
      </c>
      <c r="I62" s="2" t="inlineStr">
        <is>
          <t>DIRECT_ORIGINAL_IMAGE</t>
        </is>
      </c>
      <c r="J62" s="2" t="inlineStr">
        <is>
          <t>2026-09-07T13:47:49.662355+07:00</t>
        </is>
      </c>
      <c r="K62" s="2" t="inlineStr">
        <is>
          <t>Angled bedroom mockup of the same gingerbread-and-gifts quilt.</t>
        </is>
      </c>
      <c r="L62" s="2" t="inlineStr">
        <is>
          <t>Secondary detail or room mockup showing two gingerbread figures with Christmas gifts, candy cane and holly and visible quilted/printed texture.</t>
        </is>
      </c>
      <c r="M62" s="2" t="inlineStr">
        <is>
          <t>Christmas Bedding Quilt – Soft Microfiber Holiday Bedspread, Lightweight Winter Bedding, Cozy Xmas Quilts for Couch, Bedroom &amp; Seasonal Home Decorations (Christmas Quilt-DS04)</t>
        </is>
      </c>
      <c r="N62" s="2" t="inlineStr">
        <is>
          <t>SET</t>
        </is>
      </c>
      <c r="O62" s="2" t="inlineStr">
        <is>
          <t>Close view of two gingerbread figures with Christmas gifts, candy cane and holly on the quilt set</t>
        </is>
      </c>
      <c r="P62" s="2" t="inlineStr">
        <is>
          <t>FULL</t>
        </is>
      </c>
      <c r="Q62" s="2" t="inlineStr">
        <is>
          <t>FULL</t>
        </is>
      </c>
      <c r="R62" s="2" t="inlineStr">
        <is>
          <t>FULL</t>
        </is>
      </c>
      <c r="S62" s="2" t="inlineStr">
        <is>
          <t>FULL</t>
        </is>
      </c>
      <c r="T62" s="5">
        <f>IF(P62="FULL",40,IF(P62="PARTIAL",40/2,0))+IF(Q62="FULL",30,IF(Q62="PARTIAL",30/2,0))+IF(R62="FULL",20,IF(R62="PARTIAL",20/2,0))+IF(S62="FULL",10,IF(S62="PARTIAL",10/2,0))</f>
        <v/>
      </c>
      <c r="U62" s="5">
        <f>IF(P62="NOT_CHECKED",0,40)+IF(Q62="NOT_CHECKED",0,30)+IF(R62="NOT_CHECKED",0,20)+IF(S62="NOT_CHECKED",0,10)</f>
        <v/>
      </c>
      <c r="V62" s="5">
        <f>IF(U62=100,T62,"")</f>
        <v/>
      </c>
      <c r="W62" s="5">
        <f>T62</f>
        <v/>
      </c>
      <c r="X62" s="5">
        <f>T62+(100-U62)</f>
        <v/>
      </c>
      <c r="Y62" s="2" t="inlineStr">
        <is>
          <t>[]</t>
        </is>
      </c>
      <c r="Z62" s="2" t="inlineStr">
        <is>
          <t>["seo_runs\\jeminise.com\\20260906_234129\\evidence\\images\\20_christmas-bedding-quilt-soft-microfiber-holiday-bedsprea-design-04\\image_02_47934038671559.jpg; seo_runs\\jeminise.com\\20260906_234129\\evidence\\contact_sheets\\20_christmas-bedding-quilt-soft-microfiber-holiday-bedsprea-design-04.jpg", "https://jeminise.com/products/christmas-bedding-quilt-soft-microfiber-holiday-bedsprea-design-04", "https://cdn.shopify.com/s/files/1/0792/5098/1063/files/ada23d8192c9d327e2ca7af4d3ab7ad5b2f163980c27341d8ad218b41e8125d5.jpg?v=1787239355"]</t>
        </is>
      </c>
    </row>
    <row r="63" ht="66" customHeight="1">
      <c r="A63" s="3" t="inlineStr">
        <is>
          <t>jeminise.com+christmas-bedding-quilt-soft-microfiber-holiday-bedsprea-design-04</t>
        </is>
      </c>
      <c r="B63" s="3" t="inlineStr">
        <is>
          <t>qaimg_8c124437c257a823</t>
        </is>
      </c>
      <c r="C63" s="4" t="inlineStr">
        <is>
          <t>https://cdn.shopify.com/s/files/1/0792/5098/1063/files/e80ea2d2d8dcc4ea9023f55162873b983177fa3a8f595e088474768ad799ed5c.jpg?v=1787239355</t>
        </is>
      </c>
      <c r="D63" s="4" t="inlineStr">
        <is>
          <t>https://cdn.shopify.com/s/files/1/0792/5098/1063/files/e80ea2d2d8dcc4ea9023f55162873b983177fa3a8f595e088474768ad799ed5c.jpg?v=1787239355</t>
        </is>
      </c>
      <c r="E63" s="3" t="inlineStr">
        <is>
          <t>38895275278535</t>
        </is>
      </c>
      <c r="F63" s="3" t="inlineStr">
        <is>
          <t>47934038704327</t>
        </is>
      </c>
      <c r="G63" s="3" t="inlineStr"/>
      <c r="H63" s="3" t="inlineStr">
        <is>
          <t>GALLERY</t>
        </is>
      </c>
      <c r="I63" s="3" t="inlineStr">
        <is>
          <t>DIRECT_ORIGINAL_IMAGE</t>
        </is>
      </c>
      <c r="J63" s="3" t="inlineStr">
        <is>
          <t>2026-09-07T13:47:49.662355+07:00</t>
        </is>
      </c>
      <c r="K63" s="3" t="inlineStr">
        <is>
          <t>Isolated matching pillow sham with two gingerbread figures and wrapped gifts.</t>
        </is>
      </c>
      <c r="L63" s="3" t="inlineStr">
        <is>
          <t>Matching pillow sham or bedding detail using the same two gingerbread figures with Christmas gifts, candy cane and holly artwork.</t>
        </is>
      </c>
      <c r="M63" s="3" t="inlineStr">
        <is>
          <t>Christmas Bedding Quilt – Soft Microfiber Holiday Bedspread, Lightweight Winter Bedding, Cozy Xmas Quilts for Couch, Bedroom &amp; Seasonal Home Decorations (Christmas Quilt-DS04)</t>
        </is>
      </c>
      <c r="N63" s="3" t="inlineStr">
        <is>
          <t>SET</t>
        </is>
      </c>
      <c r="O63" s="3" t="inlineStr">
        <is>
          <t>Matching pillow sham for Gingerbread Gift Christmas Quilt Set</t>
        </is>
      </c>
      <c r="P63" s="3" t="inlineStr">
        <is>
          <t>FULL</t>
        </is>
      </c>
      <c r="Q63" s="3" t="inlineStr">
        <is>
          <t>PARTIAL</t>
        </is>
      </c>
      <c r="R63" s="3" t="inlineStr">
        <is>
          <t>FULL</t>
        </is>
      </c>
      <c r="S63" s="3" t="inlineStr">
        <is>
          <t>FULL</t>
        </is>
      </c>
      <c r="T63" s="7">
        <f>IF(P63="FULL",40,IF(P63="PARTIAL",40/2,0))+IF(Q63="FULL",30,IF(Q63="PARTIAL",30/2,0))+IF(R63="FULL",20,IF(R63="PARTIAL",20/2,0))+IF(S63="FULL",10,IF(S63="PARTIAL",10/2,0))</f>
        <v/>
      </c>
      <c r="U63" s="7">
        <f>IF(P63="NOT_CHECKED",0,40)+IF(Q63="NOT_CHECKED",0,30)+IF(R63="NOT_CHECKED",0,20)+IF(S63="NOT_CHECKED",0,10)</f>
        <v/>
      </c>
      <c r="V63" s="7">
        <f>IF(U63=100,T63,"")</f>
        <v/>
      </c>
      <c r="W63" s="7">
        <f>T63</f>
        <v/>
      </c>
      <c r="X63" s="7">
        <f>T63+(100-U63)</f>
        <v/>
      </c>
      <c r="Y63" s="3" t="inlineStr">
        <is>
          <t>["ISS-020-IMG-03"]</t>
        </is>
      </c>
      <c r="Z63" s="3" t="inlineStr">
        <is>
          <t>["seo_runs\\jeminise.com\\20260906_234129\\evidence\\images\\20_christmas-bedding-quilt-soft-microfiber-holiday-bedsprea-design-04\\image_03_47934038704327.jpg; seo_runs\\jeminise.com\\20260906_234129\\evidence\\contact_sheets\\20_christmas-bedding-quilt-soft-microfiber-holiday-bedsprea-design-04.jpg", "https://jeminise.com/products/christmas-bedding-quilt-soft-microfiber-holiday-bedsprea-design-04", "https://cdn.shopify.com/s/files/1/0792/5098/1063/files/e80ea2d2d8dcc4ea9023f55162873b983177fa3a8f595e088474768ad799ed5c.jpg?v=1787239355"]</t>
        </is>
      </c>
    </row>
    <row r="64" ht="66" customHeight="1">
      <c r="A64" s="2" t="inlineStr">
        <is>
          <t>jeminise.com+christmas-bedding-quilt-soft-microfiber-holiday-bedsprea-design-04</t>
        </is>
      </c>
      <c r="B64" s="2" t="inlineStr">
        <is>
          <t>qaimg_e39a54370ad87c7c</t>
        </is>
      </c>
      <c r="C64" s="4" t="inlineStr">
        <is>
          <t>https://cdn.shopify.com/s/files/1/0792/5098/1063/files/f3fc13bb561a00481ad014ca51c18eab68958750857b4d44f0ceee5c393efef5.jpg?v=1787239355</t>
        </is>
      </c>
      <c r="D64" s="4" t="inlineStr">
        <is>
          <t>https://cdn.shopify.com/s/files/1/0792/5098/1063/files/f3fc13bb561a00481ad014ca51c18eab68958750857b4d44f0ceee5c393efef5.jpg?v=1787239355</t>
        </is>
      </c>
      <c r="E64" s="2" t="inlineStr">
        <is>
          <t>38895275311303</t>
        </is>
      </c>
      <c r="F64" s="2" t="inlineStr">
        <is>
          <t>47934038737095</t>
        </is>
      </c>
      <c r="G64" s="2" t="inlineStr"/>
      <c r="H64" s="2" t="inlineStr">
        <is>
          <t>GALLERY</t>
        </is>
      </c>
      <c r="I64" s="2" t="inlineStr">
        <is>
          <t>DIRECT_ORIGINAL_IMAGE</t>
        </is>
      </c>
      <c r="J64" s="2" t="inlineStr">
        <is>
          <t>2026-09-07T13:47:49.662355+07:00</t>
        </is>
      </c>
      <c r="K64" s="2" t="inlineStr">
        <is>
          <t>Close-up of the printed gingerbread surface and visible quilting lines.</t>
        </is>
      </c>
      <c r="L64" s="2" t="inlineStr">
        <is>
          <t>Room/folded product or fabric information image tied to the two gingerbread figures with Christmas gifts, candy cane and holly design.</t>
        </is>
      </c>
      <c r="M64" s="2" t="inlineStr">
        <is>
          <t>Christmas Bedding Quilt – Soft Microfiber Holiday Bedspread, Lightweight Winter Bedding, Cozy Xmas Quilts for Couch, Bedroom &amp; Seasonal Home Decorations (Christmas Quilt-DS04)</t>
        </is>
      </c>
      <c r="N64" s="2" t="inlineStr">
        <is>
          <t>SET</t>
        </is>
      </c>
      <c r="O64" s="2" t="inlineStr">
        <is>
          <t>Gingerbread Gift Christmas Quilt Set shown in a bedroom setting</t>
        </is>
      </c>
      <c r="P64" s="2" t="inlineStr">
        <is>
          <t>FULL</t>
        </is>
      </c>
      <c r="Q64" s="2" t="inlineStr">
        <is>
          <t>FAIL</t>
        </is>
      </c>
      <c r="R64" s="2" t="inlineStr">
        <is>
          <t>FAIL</t>
        </is>
      </c>
      <c r="S64" s="2" t="inlineStr">
        <is>
          <t>FULL</t>
        </is>
      </c>
      <c r="T64" s="5">
        <f>IF(P64="FULL",40,IF(P64="PARTIAL",40/2,0))+IF(Q64="FULL",30,IF(Q64="PARTIAL",30/2,0))+IF(R64="FULL",20,IF(R64="PARTIAL",20/2,0))+IF(S64="FULL",10,IF(S64="PARTIAL",10/2,0))</f>
        <v/>
      </c>
      <c r="U64" s="5">
        <f>IF(P64="NOT_CHECKED",0,40)+IF(Q64="NOT_CHECKED",0,30)+IF(R64="NOT_CHECKED",0,20)+IF(S64="NOT_CHECKED",0,10)</f>
        <v/>
      </c>
      <c r="V64" s="5">
        <f>IF(U64=100,T64,"")</f>
        <v/>
      </c>
      <c r="W64" s="5">
        <f>T64</f>
        <v/>
      </c>
      <c r="X64" s="5">
        <f>T64+(100-U64)</f>
        <v/>
      </c>
      <c r="Y64" s="2" t="inlineStr">
        <is>
          <t>["ISS-020-IMG-04"]</t>
        </is>
      </c>
      <c r="Z64" s="2" t="inlineStr">
        <is>
          <t>["seo_runs\\jeminise.com\\20260906_234129\\evidence\\images\\20_christmas-bedding-quilt-soft-microfiber-holiday-bedsprea-design-04\\image_04_47934038737095.jpg; seo_runs\\jeminise.com\\20260906_234129\\evidence\\contact_sheets\\20_christmas-bedding-quilt-soft-microfiber-holiday-bedsprea-design-04.jpg", "https://jeminise.com/products/christmas-bedding-quilt-soft-microfiber-holiday-bedsprea-design-04", "https://cdn.shopify.com/s/files/1/0792/5098/1063/files/f3fc13bb561a00481ad014ca51c18eab68958750857b4d44f0ceee5c393efef5.jpg?v=1787239355"]</t>
        </is>
      </c>
    </row>
    <row r="65" ht="66" customHeight="1">
      <c r="A65" s="3" t="inlineStr">
        <is>
          <t>jeminise.com+christmas-bedding-quilt-soft-microfiber-holiday-bedsprea-design-04</t>
        </is>
      </c>
      <c r="B65" s="3" t="inlineStr">
        <is>
          <t>qaimg_e79c0325ec850f37</t>
        </is>
      </c>
      <c r="C65" s="4" t="inlineStr">
        <is>
          <t>https://cdn.shopify.com/s/files/1/0792/5098/1063/files/cc08a444fe29784e5b49094b0a886c70090b4e7ca551d385fed2daee54bfd77a.jpg?v=1787239355</t>
        </is>
      </c>
      <c r="D65" s="4" t="inlineStr">
        <is>
          <t>https://cdn.shopify.com/s/files/1/0792/5098/1063/files/cc08a444fe29784e5b49094b0a886c70090b4e7ca551d385fed2daee54bfd77a.jpg?v=1787239355</t>
        </is>
      </c>
      <c r="E65" s="3" t="inlineStr">
        <is>
          <t>38895275344071</t>
        </is>
      </c>
      <c r="F65" s="3" t="inlineStr">
        <is>
          <t>47934038769863</t>
        </is>
      </c>
      <c r="G65" s="3" t="inlineStr"/>
      <c r="H65" s="3" t="inlineStr">
        <is>
          <t>GALLERY</t>
        </is>
      </c>
      <c r="I65" s="3" t="inlineStr">
        <is>
          <t>DIRECT_ORIGINAL_IMAGE</t>
        </is>
      </c>
      <c r="J65" s="3" t="inlineStr">
        <is>
          <t>2026-09-07T13:47:49.662355+07:00</t>
        </is>
      </c>
      <c r="K65" s="3" t="inlineStr">
        <is>
          <t>Included-components and size graphic: one premium quilt plus two optional standard shams; Throw, Twin, Queen and King dimensions.</t>
        </is>
      </c>
      <c r="L65" s="3" t="inlineStr">
        <is>
          <t>Sizing or included-components information image for the bedding set.</t>
        </is>
      </c>
      <c r="M65" s="3" t="inlineStr">
        <is>
          <t>Christmas Bedding Quilt – Soft Microfiber Holiday Bedspread, Lightweight Winter Bedding, Cozy Xmas Quilts for Couch, Bedroom &amp; Seasonal Home Decorations (Christmas Quilt-DS04)</t>
        </is>
      </c>
      <c r="N65" s="3" t="inlineStr">
        <is>
          <t>SET</t>
        </is>
      </c>
      <c r="O65" s="3" t="inlineStr">
        <is>
          <t>Size guide for Gingerbread Gift Christmas Quilt Set</t>
        </is>
      </c>
      <c r="P65" s="3" t="inlineStr">
        <is>
          <t>FULL</t>
        </is>
      </c>
      <c r="Q65" s="3" t="inlineStr">
        <is>
          <t>FULL</t>
        </is>
      </c>
      <c r="R65" s="3" t="inlineStr">
        <is>
          <t>FULL</t>
        </is>
      </c>
      <c r="S65" s="3" t="inlineStr">
        <is>
          <t>FULL</t>
        </is>
      </c>
      <c r="T65" s="7">
        <f>IF(P65="FULL",40,IF(P65="PARTIAL",40/2,0))+IF(Q65="FULL",30,IF(Q65="PARTIAL",30/2,0))+IF(R65="FULL",20,IF(R65="PARTIAL",20/2,0))+IF(S65="FULL",10,IF(S65="PARTIAL",10/2,0))</f>
        <v/>
      </c>
      <c r="U65" s="7">
        <f>IF(P65="NOT_CHECKED",0,40)+IF(Q65="NOT_CHECKED",0,30)+IF(R65="NOT_CHECKED",0,20)+IF(S65="NOT_CHECKED",0,10)</f>
        <v/>
      </c>
      <c r="V65" s="7">
        <f>IF(U65=100,T65,"")</f>
        <v/>
      </c>
      <c r="W65" s="7">
        <f>T65</f>
        <v/>
      </c>
      <c r="X65" s="7">
        <f>T65+(100-U65)</f>
        <v/>
      </c>
      <c r="Y65" s="3" t="inlineStr">
        <is>
          <t>[]</t>
        </is>
      </c>
      <c r="Z65" s="3" t="inlineStr">
        <is>
          <t>["seo_runs\\jeminise.com\\20260906_234129\\evidence\\images\\20_christmas-bedding-quilt-soft-microfiber-holiday-bedsprea-design-04\\image_05_47934038769863.jpg; seo_runs\\jeminise.com\\20260906_234129\\evidence\\contact_sheets\\20_christmas-bedding-quilt-soft-microfiber-holiday-bedsprea-design-04.jpg", "https://jeminise.com/products/christmas-bedding-quilt-soft-microfiber-holiday-bedsprea-design-04", "https://cdn.shopify.com/s/files/1/0792/5098/1063/files/cc08a444fe29784e5b49094b0a886c70090b4e7ca551d385fed2daee54bfd77a.jpg?v=1787239355"]</t>
        </is>
      </c>
    </row>
  </sheetData>
  <autoFilter ref="A1:Z65"/>
  <hyperlinks>
    <hyperlink xmlns:r="http://schemas.openxmlformats.org/officeDocument/2006/relationships" ref="C2" r:id="rId1"/>
    <hyperlink xmlns:r="http://schemas.openxmlformats.org/officeDocument/2006/relationships" ref="D2" r:id="rId2"/>
    <hyperlink xmlns:r="http://schemas.openxmlformats.org/officeDocument/2006/relationships" ref="C3" r:id="rId3"/>
    <hyperlink xmlns:r="http://schemas.openxmlformats.org/officeDocument/2006/relationships" ref="D3" r:id="rId4"/>
    <hyperlink xmlns:r="http://schemas.openxmlformats.org/officeDocument/2006/relationships" ref="C4" r:id="rId5"/>
    <hyperlink xmlns:r="http://schemas.openxmlformats.org/officeDocument/2006/relationships" ref="D4" r:id="rId6"/>
    <hyperlink xmlns:r="http://schemas.openxmlformats.org/officeDocument/2006/relationships" ref="C5" r:id="rId7"/>
    <hyperlink xmlns:r="http://schemas.openxmlformats.org/officeDocument/2006/relationships" ref="D5" r:id="rId8"/>
    <hyperlink xmlns:r="http://schemas.openxmlformats.org/officeDocument/2006/relationships" ref="C6" r:id="rId9"/>
    <hyperlink xmlns:r="http://schemas.openxmlformats.org/officeDocument/2006/relationships" ref="D6" r:id="rId10"/>
    <hyperlink xmlns:r="http://schemas.openxmlformats.org/officeDocument/2006/relationships" ref="C7" r:id="rId11"/>
    <hyperlink xmlns:r="http://schemas.openxmlformats.org/officeDocument/2006/relationships" ref="D7" r:id="rId12"/>
    <hyperlink xmlns:r="http://schemas.openxmlformats.org/officeDocument/2006/relationships" ref="C8" r:id="rId13"/>
    <hyperlink xmlns:r="http://schemas.openxmlformats.org/officeDocument/2006/relationships" ref="D8" r:id="rId14"/>
    <hyperlink xmlns:r="http://schemas.openxmlformats.org/officeDocument/2006/relationships" ref="C9" r:id="rId15"/>
    <hyperlink xmlns:r="http://schemas.openxmlformats.org/officeDocument/2006/relationships" ref="D9" r:id="rId16"/>
    <hyperlink xmlns:r="http://schemas.openxmlformats.org/officeDocument/2006/relationships" ref="C10" r:id="rId17"/>
    <hyperlink xmlns:r="http://schemas.openxmlformats.org/officeDocument/2006/relationships" ref="D10" r:id="rId18"/>
    <hyperlink xmlns:r="http://schemas.openxmlformats.org/officeDocument/2006/relationships" ref="C11" r:id="rId19"/>
    <hyperlink xmlns:r="http://schemas.openxmlformats.org/officeDocument/2006/relationships" ref="D11" r:id="rId20"/>
    <hyperlink xmlns:r="http://schemas.openxmlformats.org/officeDocument/2006/relationships" ref="C12" r:id="rId21"/>
    <hyperlink xmlns:r="http://schemas.openxmlformats.org/officeDocument/2006/relationships" ref="D12" r:id="rId22"/>
    <hyperlink xmlns:r="http://schemas.openxmlformats.org/officeDocument/2006/relationships" ref="C13" r:id="rId23"/>
    <hyperlink xmlns:r="http://schemas.openxmlformats.org/officeDocument/2006/relationships" ref="D13" r:id="rId24"/>
    <hyperlink xmlns:r="http://schemas.openxmlformats.org/officeDocument/2006/relationships" ref="C14" r:id="rId25"/>
    <hyperlink xmlns:r="http://schemas.openxmlformats.org/officeDocument/2006/relationships" ref="D14" r:id="rId26"/>
    <hyperlink xmlns:r="http://schemas.openxmlformats.org/officeDocument/2006/relationships" ref="C15" r:id="rId27"/>
    <hyperlink xmlns:r="http://schemas.openxmlformats.org/officeDocument/2006/relationships" ref="D15" r:id="rId28"/>
    <hyperlink xmlns:r="http://schemas.openxmlformats.org/officeDocument/2006/relationships" ref="C16" r:id="rId29"/>
    <hyperlink xmlns:r="http://schemas.openxmlformats.org/officeDocument/2006/relationships" ref="D16" r:id="rId30"/>
    <hyperlink xmlns:r="http://schemas.openxmlformats.org/officeDocument/2006/relationships" ref="C17" r:id="rId31"/>
    <hyperlink xmlns:r="http://schemas.openxmlformats.org/officeDocument/2006/relationships" ref="D17" r:id="rId32"/>
    <hyperlink xmlns:r="http://schemas.openxmlformats.org/officeDocument/2006/relationships" ref="C18" r:id="rId33"/>
    <hyperlink xmlns:r="http://schemas.openxmlformats.org/officeDocument/2006/relationships" ref="D18" r:id="rId34"/>
    <hyperlink xmlns:r="http://schemas.openxmlformats.org/officeDocument/2006/relationships" ref="C19" r:id="rId35"/>
    <hyperlink xmlns:r="http://schemas.openxmlformats.org/officeDocument/2006/relationships" ref="D19" r:id="rId36"/>
    <hyperlink xmlns:r="http://schemas.openxmlformats.org/officeDocument/2006/relationships" ref="C20" r:id="rId37"/>
    <hyperlink xmlns:r="http://schemas.openxmlformats.org/officeDocument/2006/relationships" ref="D20" r:id="rId38"/>
    <hyperlink xmlns:r="http://schemas.openxmlformats.org/officeDocument/2006/relationships" ref="C21" r:id="rId39"/>
    <hyperlink xmlns:r="http://schemas.openxmlformats.org/officeDocument/2006/relationships" ref="D21" r:id="rId40"/>
    <hyperlink xmlns:r="http://schemas.openxmlformats.org/officeDocument/2006/relationships" ref="C22" r:id="rId41"/>
    <hyperlink xmlns:r="http://schemas.openxmlformats.org/officeDocument/2006/relationships" ref="D22" r:id="rId42"/>
    <hyperlink xmlns:r="http://schemas.openxmlformats.org/officeDocument/2006/relationships" ref="C23" r:id="rId43"/>
    <hyperlink xmlns:r="http://schemas.openxmlformats.org/officeDocument/2006/relationships" ref="D23" r:id="rId44"/>
    <hyperlink xmlns:r="http://schemas.openxmlformats.org/officeDocument/2006/relationships" ref="C24" r:id="rId45"/>
    <hyperlink xmlns:r="http://schemas.openxmlformats.org/officeDocument/2006/relationships" ref="D24" r:id="rId46"/>
    <hyperlink xmlns:r="http://schemas.openxmlformats.org/officeDocument/2006/relationships" ref="C25" r:id="rId47"/>
    <hyperlink xmlns:r="http://schemas.openxmlformats.org/officeDocument/2006/relationships" ref="D25" r:id="rId48"/>
    <hyperlink xmlns:r="http://schemas.openxmlformats.org/officeDocument/2006/relationships" ref="C26" r:id="rId49"/>
    <hyperlink xmlns:r="http://schemas.openxmlformats.org/officeDocument/2006/relationships" ref="D26" r:id="rId50"/>
    <hyperlink xmlns:r="http://schemas.openxmlformats.org/officeDocument/2006/relationships" ref="C27" r:id="rId51"/>
    <hyperlink xmlns:r="http://schemas.openxmlformats.org/officeDocument/2006/relationships" ref="D27" r:id="rId52"/>
    <hyperlink xmlns:r="http://schemas.openxmlformats.org/officeDocument/2006/relationships" ref="C28" r:id="rId53"/>
    <hyperlink xmlns:r="http://schemas.openxmlformats.org/officeDocument/2006/relationships" ref="D28" r:id="rId54"/>
    <hyperlink xmlns:r="http://schemas.openxmlformats.org/officeDocument/2006/relationships" ref="C29" r:id="rId55"/>
    <hyperlink xmlns:r="http://schemas.openxmlformats.org/officeDocument/2006/relationships" ref="D29" r:id="rId56"/>
    <hyperlink xmlns:r="http://schemas.openxmlformats.org/officeDocument/2006/relationships" ref="C30" r:id="rId57"/>
    <hyperlink xmlns:r="http://schemas.openxmlformats.org/officeDocument/2006/relationships" ref="D30" r:id="rId58"/>
    <hyperlink xmlns:r="http://schemas.openxmlformats.org/officeDocument/2006/relationships" ref="C31" r:id="rId59"/>
    <hyperlink xmlns:r="http://schemas.openxmlformats.org/officeDocument/2006/relationships" ref="D31" r:id="rId60"/>
    <hyperlink xmlns:r="http://schemas.openxmlformats.org/officeDocument/2006/relationships" ref="C32" r:id="rId61"/>
    <hyperlink xmlns:r="http://schemas.openxmlformats.org/officeDocument/2006/relationships" ref="D32" r:id="rId62"/>
    <hyperlink xmlns:r="http://schemas.openxmlformats.org/officeDocument/2006/relationships" ref="C33" r:id="rId63"/>
    <hyperlink xmlns:r="http://schemas.openxmlformats.org/officeDocument/2006/relationships" ref="D33" r:id="rId64"/>
    <hyperlink xmlns:r="http://schemas.openxmlformats.org/officeDocument/2006/relationships" ref="C34" r:id="rId65"/>
    <hyperlink xmlns:r="http://schemas.openxmlformats.org/officeDocument/2006/relationships" ref="D34" r:id="rId66"/>
    <hyperlink xmlns:r="http://schemas.openxmlformats.org/officeDocument/2006/relationships" ref="C35" r:id="rId67"/>
    <hyperlink xmlns:r="http://schemas.openxmlformats.org/officeDocument/2006/relationships" ref="D35" r:id="rId68"/>
    <hyperlink xmlns:r="http://schemas.openxmlformats.org/officeDocument/2006/relationships" ref="C36" r:id="rId69"/>
    <hyperlink xmlns:r="http://schemas.openxmlformats.org/officeDocument/2006/relationships" ref="D36" r:id="rId70"/>
    <hyperlink xmlns:r="http://schemas.openxmlformats.org/officeDocument/2006/relationships" ref="C37" r:id="rId71"/>
    <hyperlink xmlns:r="http://schemas.openxmlformats.org/officeDocument/2006/relationships" ref="D37" r:id="rId72"/>
    <hyperlink xmlns:r="http://schemas.openxmlformats.org/officeDocument/2006/relationships" ref="C38" r:id="rId73"/>
    <hyperlink xmlns:r="http://schemas.openxmlformats.org/officeDocument/2006/relationships" ref="D38" r:id="rId74"/>
    <hyperlink xmlns:r="http://schemas.openxmlformats.org/officeDocument/2006/relationships" ref="C39" r:id="rId75"/>
    <hyperlink xmlns:r="http://schemas.openxmlformats.org/officeDocument/2006/relationships" ref="D39" r:id="rId76"/>
    <hyperlink xmlns:r="http://schemas.openxmlformats.org/officeDocument/2006/relationships" ref="C40" r:id="rId77"/>
    <hyperlink xmlns:r="http://schemas.openxmlformats.org/officeDocument/2006/relationships" ref="D40" r:id="rId78"/>
    <hyperlink xmlns:r="http://schemas.openxmlformats.org/officeDocument/2006/relationships" ref="C41" r:id="rId79"/>
    <hyperlink xmlns:r="http://schemas.openxmlformats.org/officeDocument/2006/relationships" ref="D41" r:id="rId80"/>
    <hyperlink xmlns:r="http://schemas.openxmlformats.org/officeDocument/2006/relationships" ref="C42" r:id="rId81"/>
    <hyperlink xmlns:r="http://schemas.openxmlformats.org/officeDocument/2006/relationships" ref="D42" r:id="rId82"/>
    <hyperlink xmlns:r="http://schemas.openxmlformats.org/officeDocument/2006/relationships" ref="C43" r:id="rId83"/>
    <hyperlink xmlns:r="http://schemas.openxmlformats.org/officeDocument/2006/relationships" ref="D43" r:id="rId84"/>
    <hyperlink xmlns:r="http://schemas.openxmlformats.org/officeDocument/2006/relationships" ref="C44" r:id="rId85"/>
    <hyperlink xmlns:r="http://schemas.openxmlformats.org/officeDocument/2006/relationships" ref="D44" r:id="rId86"/>
    <hyperlink xmlns:r="http://schemas.openxmlformats.org/officeDocument/2006/relationships" ref="C45" r:id="rId87"/>
    <hyperlink xmlns:r="http://schemas.openxmlformats.org/officeDocument/2006/relationships" ref="D45" r:id="rId88"/>
    <hyperlink xmlns:r="http://schemas.openxmlformats.org/officeDocument/2006/relationships" ref="C46" r:id="rId89"/>
    <hyperlink xmlns:r="http://schemas.openxmlformats.org/officeDocument/2006/relationships" ref="D46" r:id="rId90"/>
    <hyperlink xmlns:r="http://schemas.openxmlformats.org/officeDocument/2006/relationships" ref="C47" r:id="rId91"/>
    <hyperlink xmlns:r="http://schemas.openxmlformats.org/officeDocument/2006/relationships" ref="D47" r:id="rId92"/>
    <hyperlink xmlns:r="http://schemas.openxmlformats.org/officeDocument/2006/relationships" ref="C48" r:id="rId93"/>
    <hyperlink xmlns:r="http://schemas.openxmlformats.org/officeDocument/2006/relationships" ref="D48" r:id="rId94"/>
    <hyperlink xmlns:r="http://schemas.openxmlformats.org/officeDocument/2006/relationships" ref="C49" r:id="rId95"/>
    <hyperlink xmlns:r="http://schemas.openxmlformats.org/officeDocument/2006/relationships" ref="D49" r:id="rId96"/>
    <hyperlink xmlns:r="http://schemas.openxmlformats.org/officeDocument/2006/relationships" ref="C50" r:id="rId97"/>
    <hyperlink xmlns:r="http://schemas.openxmlformats.org/officeDocument/2006/relationships" ref="D50" r:id="rId98"/>
    <hyperlink xmlns:r="http://schemas.openxmlformats.org/officeDocument/2006/relationships" ref="C51" r:id="rId99"/>
    <hyperlink xmlns:r="http://schemas.openxmlformats.org/officeDocument/2006/relationships" ref="D51" r:id="rId100"/>
    <hyperlink xmlns:r="http://schemas.openxmlformats.org/officeDocument/2006/relationships" ref="C52" r:id="rId101"/>
    <hyperlink xmlns:r="http://schemas.openxmlformats.org/officeDocument/2006/relationships" ref="D52" r:id="rId102"/>
    <hyperlink xmlns:r="http://schemas.openxmlformats.org/officeDocument/2006/relationships" ref="C53" r:id="rId103"/>
    <hyperlink xmlns:r="http://schemas.openxmlformats.org/officeDocument/2006/relationships" ref="D53" r:id="rId104"/>
    <hyperlink xmlns:r="http://schemas.openxmlformats.org/officeDocument/2006/relationships" ref="C54" r:id="rId105"/>
    <hyperlink xmlns:r="http://schemas.openxmlformats.org/officeDocument/2006/relationships" ref="D54" r:id="rId106"/>
    <hyperlink xmlns:r="http://schemas.openxmlformats.org/officeDocument/2006/relationships" ref="C55" r:id="rId107"/>
    <hyperlink xmlns:r="http://schemas.openxmlformats.org/officeDocument/2006/relationships" ref="D55" r:id="rId108"/>
    <hyperlink xmlns:r="http://schemas.openxmlformats.org/officeDocument/2006/relationships" ref="C56" r:id="rId109"/>
    <hyperlink xmlns:r="http://schemas.openxmlformats.org/officeDocument/2006/relationships" ref="D56" r:id="rId110"/>
    <hyperlink xmlns:r="http://schemas.openxmlformats.org/officeDocument/2006/relationships" ref="C57" r:id="rId111"/>
    <hyperlink xmlns:r="http://schemas.openxmlformats.org/officeDocument/2006/relationships" ref="D57" r:id="rId112"/>
    <hyperlink xmlns:r="http://schemas.openxmlformats.org/officeDocument/2006/relationships" ref="C58" r:id="rId113"/>
    <hyperlink xmlns:r="http://schemas.openxmlformats.org/officeDocument/2006/relationships" ref="D58" r:id="rId114"/>
    <hyperlink xmlns:r="http://schemas.openxmlformats.org/officeDocument/2006/relationships" ref="C59" r:id="rId115"/>
    <hyperlink xmlns:r="http://schemas.openxmlformats.org/officeDocument/2006/relationships" ref="D59" r:id="rId116"/>
    <hyperlink xmlns:r="http://schemas.openxmlformats.org/officeDocument/2006/relationships" ref="C60" r:id="rId117"/>
    <hyperlink xmlns:r="http://schemas.openxmlformats.org/officeDocument/2006/relationships" ref="D60" r:id="rId118"/>
    <hyperlink xmlns:r="http://schemas.openxmlformats.org/officeDocument/2006/relationships" ref="C61" r:id="rId119"/>
    <hyperlink xmlns:r="http://schemas.openxmlformats.org/officeDocument/2006/relationships" ref="D61" r:id="rId120"/>
    <hyperlink xmlns:r="http://schemas.openxmlformats.org/officeDocument/2006/relationships" ref="C62" r:id="rId121"/>
    <hyperlink xmlns:r="http://schemas.openxmlformats.org/officeDocument/2006/relationships" ref="D62" r:id="rId122"/>
    <hyperlink xmlns:r="http://schemas.openxmlformats.org/officeDocument/2006/relationships" ref="C63" r:id="rId123"/>
    <hyperlink xmlns:r="http://schemas.openxmlformats.org/officeDocument/2006/relationships" ref="D63" r:id="rId124"/>
    <hyperlink xmlns:r="http://schemas.openxmlformats.org/officeDocument/2006/relationships" ref="C64" r:id="rId125"/>
    <hyperlink xmlns:r="http://schemas.openxmlformats.org/officeDocument/2006/relationships" ref="D64" r:id="rId126"/>
    <hyperlink xmlns:r="http://schemas.openxmlformats.org/officeDocument/2006/relationships" ref="C65" r:id="rId127"/>
    <hyperlink xmlns:r="http://schemas.openxmlformats.org/officeDocument/2006/relationships" ref="D65" r:id="rId128"/>
  </hyperlinks>
  <printOptions horizontalCentered="0"/>
  <pageMargins left="0.25" right="0.25" top="0.5" bottom="0.5" header="0.5" footer="0.5"/>
  <pageSetup orientation="landscape" fitToHeight="0" fitToWidth="3"/>
</worksheet>
</file>

<file path=xl/worksheets/sheet5.xml><?xml version="1.0" encoding="utf-8"?>
<worksheet xmlns="http://schemas.openxmlformats.org/spreadsheetml/2006/main">
  <sheetPr>
    <outlinePr summaryBelow="1" summaryRight="1"/>
    <pageSetUpPr fitToPage="1"/>
  </sheetPr>
  <dimension ref="A1:K77"/>
  <sheetViews>
    <sheetView showGridLines="0" workbookViewId="0">
      <pane ySplit="1" topLeftCell="A2" activePane="bottomLeft" state="frozen"/>
      <selection pane="bottomLeft" activeCell="A1" sqref="A1"/>
    </sheetView>
  </sheetViews>
  <sheetFormatPr baseColWidth="8" defaultRowHeight="15"/>
  <cols>
    <col width="21" customWidth="1" min="1" max="1"/>
    <col width="42" customWidth="1" min="2" max="2"/>
    <col width="20" customWidth="1" min="3" max="3"/>
    <col width="20" customWidth="1" min="4" max="4"/>
    <col width="24" customWidth="1" min="5" max="5"/>
    <col width="42" customWidth="1" min="6" max="6"/>
    <col width="42" customWidth="1" min="7" max="7"/>
    <col width="42" customWidth="1" min="8" max="8"/>
    <col width="42" customWidth="1" min="9" max="9"/>
    <col width="42" customWidth="1" min="10" max="10"/>
    <col width="42" customWidth="1" min="11" max="11"/>
  </cols>
  <sheetData>
    <row r="1" ht="32" customHeight="1">
      <c r="A1" s="1" t="inlineStr">
        <is>
          <t>issue_id</t>
        </is>
      </c>
      <c r="B1" s="1" t="inlineStr">
        <is>
          <t>product_key</t>
        </is>
      </c>
      <c r="C1" s="1" t="inlineStr">
        <is>
          <t>qa_image_key</t>
        </is>
      </c>
      <c r="D1" s="1" t="inlineStr">
        <is>
          <t>severity</t>
        </is>
      </c>
      <c r="E1" s="1" t="inlineStr">
        <is>
          <t>field</t>
        </is>
      </c>
      <c r="F1" s="1" t="inlineStr">
        <is>
          <t>submitted_value</t>
        </is>
      </c>
      <c r="G1" s="1" t="inlineStr">
        <is>
          <t>source_observation</t>
        </is>
      </c>
      <c r="H1" s="1" t="inlineStr">
        <is>
          <t>reason</t>
        </is>
      </c>
      <c r="I1" s="1" t="inlineStr">
        <is>
          <t>recommended_fix</t>
        </is>
      </c>
      <c r="J1" s="1" t="inlineStr">
        <is>
          <t>supporting_evidence</t>
        </is>
      </c>
      <c r="K1" s="1" t="inlineStr">
        <is>
          <t>recheck_condition</t>
        </is>
      </c>
    </row>
    <row r="2" ht="84" customHeight="1">
      <c r="A2" s="2" t="inlineStr">
        <is>
          <t>ISS-011-IMG-02</t>
        </is>
      </c>
      <c r="B2" s="2" t="inlineStr">
        <is>
          <t>jeminise.com+christian-bedding-set-inspirational-bible-verse-comforte-design-02</t>
        </is>
      </c>
      <c r="C2" s="2" t="inlineStr">
        <is>
          <t>qaimg_4ff35572985d0550</t>
        </is>
      </c>
      <c r="D2" s="2" t="inlineStr">
        <is>
          <t>MINOR</t>
        </is>
      </c>
      <c r="E2" s="2" t="inlineStr">
        <is>
          <t>image_observation/alt_effective</t>
        </is>
      </c>
      <c r="F2" s="2" t="inlineStr">
        <is>
          <t>Secondary detail or room mockup showing orange God Says I Am Christian design with the name Jessica, roses and butterflies and visible quilted/printed texture. | Close view of orange God Says I Am Christian design with the name Jessica, roses and butterflies on the comforter set</t>
        </is>
      </c>
      <c r="G2" s="2" t="inlineStr">
        <is>
          <t>Alternate bedroom mockup of the same Jessica Christian affirmation bedding.</t>
        </is>
      </c>
      <c r="H2" s="2" t="inlineStr">
        <is>
          <t>Observation hoặc alt được gán theo vị trí mẫu và không phản ánh đúng ảnh gốc.</t>
        </is>
      </c>
      <c r="I2" s="2" t="inlineStr">
        <is>
          <t>God Says I Am Christian bedding with Jessica in an alternate bedroom view</t>
        </is>
      </c>
      <c r="J2" s="2" t="inlineStr">
        <is>
          <t>seo_runs\jeminise.com\20260906_234129\evidence\images\11_christian-bedding-set-inspirational-bible-verse-comforte-design-02\image_02_47933842522311.jpg; seo_runs\jeminise.com\20260906_234129\evidence\contact_sheets\11_christian-bedding-set-inspirational-bible-verse-comforte-design-02.jpg; https://jeminise.com/products/christian-bedding-set-inspirational-bible-verse-comforte-design-02; https://cdn.shopify.com/s/files/1/0792/5098/1063/files/f8aafdfb4c8162ca9e2e2a98539d9758b42cf390e7a8828716dc849e251afcb1.jpg?v=1787237735</t>
        </is>
      </c>
      <c r="K2" s="2" t="inlineStr">
        <is>
          <t>Mở lại ảnh gốc và xác nhận observation/alt mới mô tả đúng ảnh.</t>
        </is>
      </c>
    </row>
    <row r="3" ht="84" customHeight="1">
      <c r="A3" s="3" t="inlineStr">
        <is>
          <t>ISS-011-IMG-03</t>
        </is>
      </c>
      <c r="B3" s="3" t="inlineStr">
        <is>
          <t>jeminise.com+christian-bedding-set-inspirational-bible-verse-comforte-design-02</t>
        </is>
      </c>
      <c r="C3" s="3" t="inlineStr">
        <is>
          <t>qaimg_c106289a9648e372</t>
        </is>
      </c>
      <c r="D3" s="3" t="inlineStr">
        <is>
          <t>MAJOR</t>
        </is>
      </c>
      <c r="E3" s="3" t="inlineStr">
        <is>
          <t>image_observation/alt_effective</t>
        </is>
      </c>
      <c r="F3" s="3" t="inlineStr">
        <is>
          <t>Matching pillow sham or bedding detail using the same orange God Says I Am Christian design with the name Jessica, roses and butterflies artwork. | Matching pillow sham for God Says I Am Christian Comforter Set</t>
        </is>
      </c>
      <c r="G3" s="3" t="inlineStr">
        <is>
          <t>Comparison graphic explaining Duvet Cover Set versus Comforter Set.</t>
        </is>
      </c>
      <c r="H3" s="3" t="inlineStr">
        <is>
          <t>Observation hoặc alt được gán theo vị trí mẫu và không phản ánh đúng ảnh gốc.</t>
        </is>
      </c>
      <c r="I3" s="3" t="inlineStr">
        <is>
          <t>Duvet cover and comforter set construction comparison</t>
        </is>
      </c>
      <c r="J3" s="3" t="inlineStr">
        <is>
          <t>seo_runs\jeminise.com\20260906_234129\evidence\images\11_christian-bedding-set-inspirational-bible-verse-comforte-design-02\image_03_47933842555079.jpg; seo_runs\jeminise.com\20260906_234129\evidence\contact_sheets\11_christian-bedding-set-inspirational-bible-verse-comforte-design-02.jpg; https://jeminise.com/products/christian-bedding-set-inspirational-bible-verse-comforte-design-02; https://cdn.shopify.com/s/files/1/0792/5098/1063/files/50f96559dd878ae5bbee14ba7a34337ccd740d21a8ffe86a8a1be819656d26c0_ae8608eb-bf72-43da-b626-8fd454d536c7.jpg?v=1787237735</t>
        </is>
      </c>
      <c r="K3" s="3" t="inlineStr">
        <is>
          <t>Mở lại ảnh gốc và xác nhận observation/alt mới mô tả đúng ảnh.</t>
        </is>
      </c>
    </row>
    <row r="4" ht="84" customHeight="1">
      <c r="A4" s="2" t="inlineStr">
        <is>
          <t>ISS-011-IMG-04</t>
        </is>
      </c>
      <c r="B4" s="2" t="inlineStr">
        <is>
          <t>jeminise.com+christian-bedding-set-inspirational-bible-verse-comforte-design-02</t>
        </is>
      </c>
      <c r="C4" s="2" t="inlineStr">
        <is>
          <t>qaimg_a62cb10f1696b94a</t>
        </is>
      </c>
      <c r="D4" s="2" t="inlineStr">
        <is>
          <t>MAJOR</t>
        </is>
      </c>
      <c r="E4" s="2" t="inlineStr">
        <is>
          <t>image_observation/alt_effective</t>
        </is>
      </c>
      <c r="F4" s="2" t="inlineStr">
        <is>
          <t>Room/folded product or fabric information image tied to the orange God Says I Am Christian design with the name Jessica, roses and butterflies design. | God Says I Am Christian Comforter Set shown in a bedroom setting</t>
        </is>
      </c>
      <c r="G4" s="2" t="inlineStr">
        <is>
          <t>Feature graphic stating 100% microfiber, 3D printed pattern, soft touch, lightweight and breathable.</t>
        </is>
      </c>
      <c r="H4" s="2" t="inlineStr">
        <is>
          <t>Observation hoặc alt được gán theo vị trí mẫu và không phản ánh đúng ảnh gốc.</t>
        </is>
      </c>
      <c r="I4" s="2" t="inlineStr">
        <is>
          <t>God Says I Am bedding microfiber and breathable fabric features</t>
        </is>
      </c>
      <c r="J4" s="2" t="inlineStr">
        <is>
          <t>seo_runs\jeminise.com\20260906_234129\evidence\images\11_christian-bedding-set-inspirational-bible-verse-comforte-design-02\image_04_47933842587847.jpg; seo_runs\jeminise.com\20260906_234129\evidence\contact_sheets\11_christian-bedding-set-inspirational-bible-verse-comforte-design-02.jpg; https://jeminise.com/products/christian-bedding-set-inspirational-bible-verse-comforte-design-02; https://cdn.shopify.com/s/files/1/0792/5098/1063/files/27f7ed18554cde6fb1921b3b4261b0f7a6d2176eda09e52bedf7b7fe5cb0399a.jpg?v=1787237735</t>
        </is>
      </c>
      <c r="K4" s="2" t="inlineStr">
        <is>
          <t>Mở lại ảnh gốc và xác nhận observation/alt mới mô tả đúng ảnh.</t>
        </is>
      </c>
    </row>
    <row r="5" ht="84" customHeight="1">
      <c r="A5" s="3" t="inlineStr">
        <is>
          <t>ISS-011-IMG-05</t>
        </is>
      </c>
      <c r="B5" s="3" t="inlineStr">
        <is>
          <t>jeminise.com+christian-bedding-set-inspirational-bible-verse-comforte-design-02</t>
        </is>
      </c>
      <c r="C5" s="3" t="inlineStr">
        <is>
          <t>qaimg_e83ff3bda096596b</t>
        </is>
      </c>
      <c r="D5" s="3" t="inlineStr">
        <is>
          <t>MAJOR</t>
        </is>
      </c>
      <c r="E5" s="3" t="inlineStr">
        <is>
          <t>image_observation/alt_effective</t>
        </is>
      </c>
      <c r="F5" s="3" t="inlineStr">
        <is>
          <t>Sizing or included-components information image for the bedding set. | Size guide for God Says I Am Christian Comforter Set</t>
        </is>
      </c>
      <c r="G5" s="3" t="inlineStr">
        <is>
          <t>Birth Month Flowers chart for January through December.</t>
        </is>
      </c>
      <c r="H5" s="3" t="inlineStr">
        <is>
          <t>Observation hoặc alt được gán theo vị trí mẫu và không phản ánh đúng ảnh gốc.</t>
        </is>
      </c>
      <c r="I5" s="3" t="inlineStr">
        <is>
          <t>Birth month flower options from January through December</t>
        </is>
      </c>
      <c r="J5" s="3" t="inlineStr">
        <is>
          <t>seo_runs\jeminise.com\20260906_234129\evidence\images\11_christian-bedding-set-inspirational-bible-verse-comforte-design-02\image_05_47933842620615.jpg; seo_runs\jeminise.com\20260906_234129\evidence\contact_sheets\11_christian-bedding-set-inspirational-bible-verse-comforte-design-02.jpg; https://jeminise.com/products/christian-bedding-set-inspirational-bible-verse-comforte-design-02; https://cdn.shopify.com/s/files/1/0792/5098/1063/files/c0229b109e769b68f8c9f35623479c094bab31ad756f2c9dfcf50eadd39d92c5_9c3ec9d7-9121-432a-b4e5-640cc3768a2a.jpg?v=1787237735</t>
        </is>
      </c>
      <c r="K5" s="3" t="inlineStr">
        <is>
          <t>Mở lại ảnh gốc và xác nhận observation/alt mới mô tả đúng ảnh.</t>
        </is>
      </c>
    </row>
    <row r="6" ht="84" customHeight="1">
      <c r="A6" s="2" t="inlineStr">
        <is>
          <t>ISS-011-IMG-06</t>
        </is>
      </c>
      <c r="B6" s="2" t="inlineStr">
        <is>
          <t>jeminise.com+christian-bedding-set-inspirational-bible-verse-comforte-design-02</t>
        </is>
      </c>
      <c r="C6" s="2" t="inlineStr">
        <is>
          <t>qaimg_5bfe673cef116796</t>
        </is>
      </c>
      <c r="D6" s="2" t="inlineStr">
        <is>
          <t>MAJOR</t>
        </is>
      </c>
      <c r="E6" s="2" t="inlineStr">
        <is>
          <t>image_observation/alt_effective</t>
        </is>
      </c>
      <c r="F6" s="2" t="inlineStr">
        <is>
          <t>Feature image describing fabric layers, softness, breathability or care details. | Fabric feature graphic for God Says I Am Christian Comforter Set</t>
        </is>
      </c>
      <c r="G6" s="2" t="inlineStr">
        <is>
          <t>Easy-care graphic stating wrinkle-free, stain-proof, anti-pilling and won't fade in the wash.</t>
        </is>
      </c>
      <c r="H6" s="2" t="inlineStr">
        <is>
          <t>Observation hoặc alt được gán theo vị trí mẫu và không phản ánh đúng ảnh gốc.</t>
        </is>
      </c>
      <c r="I6" s="2" t="inlineStr">
        <is>
          <t>Bedding easy-care, anti-pilling and fade-resistance features</t>
        </is>
      </c>
      <c r="J6" s="2" t="inlineStr">
        <is>
          <t>seo_runs\jeminise.com\20260906_234129\evidence\images\11_christian-bedding-set-inspirational-bible-verse-comforte-design-02\image_06_47933842653383.jpg; seo_runs\jeminise.com\20260906_234129\evidence\contact_sheets\11_christian-bedding-set-inspirational-bible-verse-comforte-design-02.jpg; https://jeminise.com/products/christian-bedding-set-inspirational-bible-verse-comforte-design-02; https://cdn.shopify.com/s/files/1/0792/5098/1063/files/0e22a9fec09643a714af054217066178d4f7bc4d6266b6d2ff5c33c09cc10e88_963c3f22-9265-4b21-8847-4b1a66ac13e5.jpg?v=1787237735</t>
        </is>
      </c>
      <c r="K6" s="2" t="inlineStr">
        <is>
          <t>Mở lại ảnh gốc và xác nhận observation/alt mới mô tả đúng ảnh.</t>
        </is>
      </c>
    </row>
    <row r="7" ht="84" customHeight="1">
      <c r="A7" s="3" t="inlineStr">
        <is>
          <t>ISS-011-IMG-07</t>
        </is>
      </c>
      <c r="B7" s="3" t="inlineStr">
        <is>
          <t>jeminise.com+christian-bedding-set-inspirational-bible-verse-comforte-design-02</t>
        </is>
      </c>
      <c r="C7" s="3" t="inlineStr">
        <is>
          <t>qaimg_589b7006b0cae7ca</t>
        </is>
      </c>
      <c r="D7" s="3" t="inlineStr">
        <is>
          <t>MINOR</t>
        </is>
      </c>
      <c r="E7" s="3" t="inlineStr">
        <is>
          <t>image_observation/alt_effective</t>
        </is>
      </c>
      <c r="F7" s="3" t="inlineStr">
        <is>
          <t>Additional bedroom mockup showing the orange God Says I Am Christian design with the name Jessica, roses and butterflies design on a bed. | Bedroom mockup of God Says I Am Christian Comforter Set</t>
        </is>
      </c>
      <c r="G7" s="3" t="inlineStr">
        <is>
          <t>Bedroom close-up with soft, lightweight, durable and breathable feature icons.</t>
        </is>
      </c>
      <c r="H7" s="3" t="inlineStr">
        <is>
          <t>Observation hoặc alt được gán theo vị trí mẫu và không phản ánh đúng ảnh gốc.</t>
        </is>
      </c>
      <c r="I7" s="3" t="inlineStr">
        <is>
          <t>God Says I Am bedding softness and durability feature graphic</t>
        </is>
      </c>
      <c r="J7" s="3" t="inlineStr">
        <is>
          <t>seo_runs\jeminise.com\20260906_234129\evidence\images\11_christian-bedding-set-inspirational-bible-verse-comforte-design-02\image_07_47933842686151.jpg; seo_runs\jeminise.com\20260906_234129\evidence\contact_sheets\11_christian-bedding-set-inspirational-bible-verse-comforte-design-02.jpg; https://jeminise.com/products/christian-bedding-set-inspirational-bible-verse-comforte-design-02; https://cdn.shopify.com/s/files/1/0792/5098/1063/files/03ac15a4de6fdc4759048838b9e69d3ab841369c3b081159e5bf995fe1ff2483.jpg?v=1787237735</t>
        </is>
      </c>
      <c r="K7" s="3" t="inlineStr">
        <is>
          <t>Mở lại ảnh gốc và xác nhận observation/alt mới mô tả đúng ảnh.</t>
        </is>
      </c>
    </row>
    <row r="8" ht="84" customHeight="1">
      <c r="A8" s="2" t="inlineStr">
        <is>
          <t>ISS-011-IMG-08</t>
        </is>
      </c>
      <c r="B8" s="2" t="inlineStr">
        <is>
          <t>jeminise.com+christian-bedding-set-inspirational-bible-verse-comforte-design-02</t>
        </is>
      </c>
      <c r="C8" s="2" t="inlineStr">
        <is>
          <t>qaimg_a48e2074ece64973</t>
        </is>
      </c>
      <c r="D8" s="2" t="inlineStr">
        <is>
          <t>MINOR</t>
        </is>
      </c>
      <c r="E8" s="2" t="inlineStr">
        <is>
          <t>image_observation/alt_effective</t>
        </is>
      </c>
      <c r="F8" s="2" t="inlineStr">
        <is>
          <t>Additional product information image for size, care, personalization or bedding type. | Size or product option guide for God Says I Am Christian Comforter Set</t>
        </is>
      </c>
      <c r="G8" s="2" t="inlineStr">
        <is>
          <t>Twin, Full, Queen and King dimension chart; heading reads SIZE DIMENTION.</t>
        </is>
      </c>
      <c r="H8" s="2" t="inlineStr">
        <is>
          <t>Observation hoặc alt được gán theo vị trí mẫu và không phản ánh đúng ảnh gốc.</t>
        </is>
      </c>
      <c r="I8" s="2" t="inlineStr">
        <is>
          <t>Christian bedding size chart for Twin through King</t>
        </is>
      </c>
      <c r="J8" s="2" t="inlineStr">
        <is>
          <t>seo_runs\jeminise.com\20260906_234129\evidence\images\11_christian-bedding-set-inspirational-bible-verse-comforte-design-02\image_08_47933842718919.jpg; seo_runs\jeminise.com\20260906_234129\evidence\contact_sheets\11_christian-bedding-set-inspirational-bible-verse-comforte-design-02.jpg; https://jeminise.com/products/christian-bedding-set-inspirational-bible-verse-comforte-design-02; https://cdn.shopify.com/s/files/1/0792/5098/1063/files/d6b8438a259ef28ba839a68ba108f40464bc9629b0bc2168779fc7776c9cbffa_433fa23f-2790-4b1e-8f60-9cb3f933e7c9.jpg?v=1787237735</t>
        </is>
      </c>
      <c r="K8" s="2" t="inlineStr">
        <is>
          <t>Mở lại ảnh gốc và xác nhận observation/alt mới mô tả đúng ảnh.</t>
        </is>
      </c>
    </row>
    <row r="9" ht="84" customHeight="1">
      <c r="A9" s="3" t="inlineStr">
        <is>
          <t>ISS-012-IMG-02</t>
        </is>
      </c>
      <c r="B9" s="3" t="inlineStr">
        <is>
          <t>jeminise.com+christian-bedding-set-inspirational-bible-verse-comforte-design-03</t>
        </is>
      </c>
      <c r="C9" s="3" t="inlineStr">
        <is>
          <t>qaimg_b47d22f3ec4bb409</t>
        </is>
      </c>
      <c r="D9" s="3" t="inlineStr">
        <is>
          <t>MINOR</t>
        </is>
      </c>
      <c r="E9" s="3" t="inlineStr">
        <is>
          <t>image_observation/alt_effective</t>
        </is>
      </c>
      <c r="F9" s="3" t="inlineStr">
        <is>
          <t>Secondary detail or room mockup showing white personalized Christian affirmation design with the name Evelyn and Bible verse words and visible quilted/printed texture. | Close view of white Christian affirmation design with the name Evelyn and Bible verse words on the comforter set</t>
        </is>
      </c>
      <c r="G9" s="3" t="inlineStr">
        <is>
          <t>Alternate bedroom mockup of the same Evelyn Christian affirmation bedding.</t>
        </is>
      </c>
      <c r="H9" s="3" t="inlineStr">
        <is>
          <t>Observation hoặc alt được gán theo vị trí mẫu và không phản ánh đúng ảnh gốc.</t>
        </is>
      </c>
      <c r="I9" s="3" t="inlineStr">
        <is>
          <t>Evelyn Christian Bible verse bedding in an alternate bedroom view</t>
        </is>
      </c>
      <c r="J9" s="3" t="inlineStr">
        <is>
          <t>seo_runs\jeminise.com\20260906_234129\evidence\images\12_christian-bedding-set-inspirational-bible-verse-comforte-design-03\image_02_47933847077063.jpg; seo_runs\jeminise.com\20260906_234129\evidence\contact_sheets\12_christian-bedding-set-inspirational-bible-verse-comforte-design-03.jpg; https://jeminise.com/products/christian-bedding-set-inspirational-bible-verse-comforte-design-03; https://cdn.shopify.com/s/files/1/0792/5098/1063/files/38662725a37694575465781c6a07cc74254226a1182579802ffa9912a4e7768f.jpg?v=1787237775</t>
        </is>
      </c>
      <c r="K9" s="3" t="inlineStr">
        <is>
          <t>Mở lại ảnh gốc và xác nhận observation/alt mới mô tả đúng ảnh.</t>
        </is>
      </c>
    </row>
    <row r="10" ht="84" customHeight="1">
      <c r="A10" s="2" t="inlineStr">
        <is>
          <t>ISS-012-IMG-03</t>
        </is>
      </c>
      <c r="B10" s="2" t="inlineStr">
        <is>
          <t>jeminise.com+christian-bedding-set-inspirational-bible-verse-comforte-design-03</t>
        </is>
      </c>
      <c r="C10" s="2" t="inlineStr">
        <is>
          <t>qaimg_e219b7977479aba5</t>
        </is>
      </c>
      <c r="D10" s="2" t="inlineStr">
        <is>
          <t>MAJOR</t>
        </is>
      </c>
      <c r="E10" s="2" t="inlineStr">
        <is>
          <t>image_observation/alt_effective</t>
        </is>
      </c>
      <c r="F10" s="2" t="inlineStr">
        <is>
          <t>Matching pillow sham or bedding detail using the same white personalized Christian affirmation design with the name Evelyn and Bible verse words artwork. | Matching pillow sham for Christian Bible Verse Comforter Set</t>
        </is>
      </c>
      <c r="G10" s="2" t="inlineStr">
        <is>
          <t>Comparison graphic explaining Duvet Cover Set versus Comforter Set.</t>
        </is>
      </c>
      <c r="H10" s="2" t="inlineStr">
        <is>
          <t>Observation hoặc alt được gán theo vị trí mẫu và không phản ánh đúng ảnh gốc.</t>
        </is>
      </c>
      <c r="I10" s="2" t="inlineStr">
        <is>
          <t>Duvet cover and comforter set construction comparison</t>
        </is>
      </c>
      <c r="J10" s="2" t="inlineStr">
        <is>
          <t>seo_runs\jeminise.com\20260906_234129\evidence\images\12_christian-bedding-set-inspirational-bible-verse-comforte-design-03\image_03_47933847109831.jpg; seo_runs\jeminise.com\20260906_234129\evidence\contact_sheets\12_christian-bedding-set-inspirational-bible-verse-comforte-design-03.jpg; https://jeminise.com/products/christian-bedding-set-inspirational-bible-verse-comforte-design-03; https://cdn.shopify.com/s/files/1/0792/5098/1063/files/50f96559dd878ae5bbee14ba7a34337ccd740d21a8ffe86a8a1be819656d26c0_55aad209-cbed-473d-b39c-7f6a67c4001e.jpg?v=1787237775</t>
        </is>
      </c>
      <c r="K10" s="2" t="inlineStr">
        <is>
          <t>Mở lại ảnh gốc và xác nhận observation/alt mới mô tả đúng ảnh.</t>
        </is>
      </c>
    </row>
    <row r="11" ht="84" customHeight="1">
      <c r="A11" s="3" t="inlineStr">
        <is>
          <t>ISS-012-IMG-04</t>
        </is>
      </c>
      <c r="B11" s="3" t="inlineStr">
        <is>
          <t>jeminise.com+christian-bedding-set-inspirational-bible-verse-comforte-design-03</t>
        </is>
      </c>
      <c r="C11" s="3" t="inlineStr">
        <is>
          <t>qaimg_1d80ea156f5f9e4c</t>
        </is>
      </c>
      <c r="D11" s="3" t="inlineStr">
        <is>
          <t>MAJOR</t>
        </is>
      </c>
      <c r="E11" s="3" t="inlineStr">
        <is>
          <t>image_observation/alt_effective</t>
        </is>
      </c>
      <c r="F11" s="3" t="inlineStr">
        <is>
          <t>Room/folded product or fabric information image tied to the white personalized Christian affirmation design with the name Evelyn and Bible verse words design. | Christian Bible Verse Comforter Set shown in a bedroom setting</t>
        </is>
      </c>
      <c r="G11" s="3" t="inlineStr">
        <is>
          <t>Feature graphic stating 100% microfiber, 3D printed pattern, soft touch, lightweight and breathable.</t>
        </is>
      </c>
      <c r="H11" s="3" t="inlineStr">
        <is>
          <t>Observation hoặc alt được gán theo vị trí mẫu và không phản ánh đúng ảnh gốc.</t>
        </is>
      </c>
      <c r="I11" s="3" t="inlineStr">
        <is>
          <t>Christian bedding microfiber and breathable fabric features</t>
        </is>
      </c>
      <c r="J11" s="3" t="inlineStr">
        <is>
          <t>seo_runs\jeminise.com\20260906_234129\evidence\images\12_christian-bedding-set-inspirational-bible-verse-comforte-design-03\image_04_47933847142599.jpg; seo_runs\jeminise.com\20260906_234129\evidence\contact_sheets\12_christian-bedding-set-inspirational-bible-verse-comforte-design-03.jpg; https://jeminise.com/products/christian-bedding-set-inspirational-bible-verse-comforte-design-03; https://cdn.shopify.com/s/files/1/0792/5098/1063/files/6f7120179ef66c1c3b1345bc6dcaf03449e1ffefc7fbda9577faecc3e3db4447.jpg?v=1787237775</t>
        </is>
      </c>
      <c r="K11" s="3" t="inlineStr">
        <is>
          <t>Mở lại ảnh gốc và xác nhận observation/alt mới mô tả đúng ảnh.</t>
        </is>
      </c>
    </row>
    <row r="12" ht="84" customHeight="1">
      <c r="A12" s="2" t="inlineStr">
        <is>
          <t>ISS-012-IMG-05</t>
        </is>
      </c>
      <c r="B12" s="2" t="inlineStr">
        <is>
          <t>jeminise.com+christian-bedding-set-inspirational-bible-verse-comforte-design-03</t>
        </is>
      </c>
      <c r="C12" s="2" t="inlineStr">
        <is>
          <t>qaimg_2413ef1710d427e4</t>
        </is>
      </c>
      <c r="D12" s="2" t="inlineStr">
        <is>
          <t>MAJOR</t>
        </is>
      </c>
      <c r="E12" s="2" t="inlineStr">
        <is>
          <t>image_observation/alt_effective</t>
        </is>
      </c>
      <c r="F12" s="2" t="inlineStr">
        <is>
          <t>Sizing or included-components information image for the bedding set. | Size guide for Christian Bible Verse Comforter Set</t>
        </is>
      </c>
      <c r="G12" s="2" t="inlineStr">
        <is>
          <t>Bedroom close-up with soft, lightweight, durable and breathable feature icons.</t>
        </is>
      </c>
      <c r="H12" s="2" t="inlineStr">
        <is>
          <t>Observation hoặc alt được gán theo vị trí mẫu và không phản ánh đúng ảnh gốc.</t>
        </is>
      </c>
      <c r="I12" s="2" t="inlineStr">
        <is>
          <t>Christian bedding softness and durability feature graphic</t>
        </is>
      </c>
      <c r="J12" s="2" t="inlineStr">
        <is>
          <t>seo_runs\jeminise.com\20260906_234129\evidence\images\12_christian-bedding-set-inspirational-bible-verse-comforte-design-03\image_05_47933847175367.jpg; seo_runs\jeminise.com\20260906_234129\evidence\contact_sheets\12_christian-bedding-set-inspirational-bible-verse-comforte-design-03.jpg; https://jeminise.com/products/christian-bedding-set-inspirational-bible-verse-comforte-design-03; https://cdn.shopify.com/s/files/1/0792/5098/1063/files/3f1020e70fcfa8dc9427d83131c12eb3107fd27ba15741a814733e1974f31cb2.jpg?v=1787237775</t>
        </is>
      </c>
      <c r="K12" s="2" t="inlineStr">
        <is>
          <t>Mở lại ảnh gốc và xác nhận observation/alt mới mô tả đúng ảnh.</t>
        </is>
      </c>
    </row>
    <row r="13" ht="84" customHeight="1">
      <c r="A13" s="3" t="inlineStr">
        <is>
          <t>ISS-012-IMG-06</t>
        </is>
      </c>
      <c r="B13" s="3" t="inlineStr">
        <is>
          <t>jeminise.com+christian-bedding-set-inspirational-bible-verse-comforte-design-03</t>
        </is>
      </c>
      <c r="C13" s="3" t="inlineStr">
        <is>
          <t>qaimg_bf5165b14f62028f</t>
        </is>
      </c>
      <c r="D13" s="3" t="inlineStr">
        <is>
          <t>MAJOR</t>
        </is>
      </c>
      <c r="E13" s="3" t="inlineStr">
        <is>
          <t>image_observation/alt_effective</t>
        </is>
      </c>
      <c r="F13" s="3" t="inlineStr">
        <is>
          <t>Feature image describing fabric layers, softness, breathability or care details. | Fabric feature graphic for Christian Bible Verse Comforter Set</t>
        </is>
      </c>
      <c r="G13" s="3" t="inlineStr">
        <is>
          <t>Easy-care graphic stating wrinkle-free, stain-proof, anti-pilling and won't fade in the wash.</t>
        </is>
      </c>
      <c r="H13" s="3" t="inlineStr">
        <is>
          <t>Observation hoặc alt được gán theo vị trí mẫu và không phản ánh đúng ảnh gốc.</t>
        </is>
      </c>
      <c r="I13" s="3" t="inlineStr">
        <is>
          <t>Bedding easy-care, anti-pilling and fade-resistance features</t>
        </is>
      </c>
      <c r="J13" s="3" t="inlineStr">
        <is>
          <t>seo_runs\jeminise.com\20260906_234129\evidence\images\12_christian-bedding-set-inspirational-bible-verse-comforte-design-03\image_06_47933847208135.jpg; seo_runs\jeminise.com\20260906_234129\evidence\contact_sheets\12_christian-bedding-set-inspirational-bible-verse-comforte-design-03.jpg; https://jeminise.com/products/christian-bedding-set-inspirational-bible-verse-comforte-design-03; https://cdn.shopify.com/s/files/1/0792/5098/1063/files/0e22a9fec09643a714af054217066178d4f7bc4d6266b6d2ff5c33c09cc10e88_aa1ee109-258c-49b7-8e15-9f96d009b1e0.jpg?v=1787237775</t>
        </is>
      </c>
      <c r="K13" s="3" t="inlineStr">
        <is>
          <t>Mở lại ảnh gốc và xác nhận observation/alt mới mô tả đúng ảnh.</t>
        </is>
      </c>
    </row>
    <row r="14" ht="84" customHeight="1">
      <c r="A14" s="2" t="inlineStr">
        <is>
          <t>ISS-012-IMG-07</t>
        </is>
      </c>
      <c r="B14" s="2" t="inlineStr">
        <is>
          <t>jeminise.com+christian-bedding-set-inspirational-bible-verse-comforte-design-03</t>
        </is>
      </c>
      <c r="C14" s="2" t="inlineStr">
        <is>
          <t>qaimg_7f1dc53c39364d86</t>
        </is>
      </c>
      <c r="D14" s="2" t="inlineStr">
        <is>
          <t>MAJOR</t>
        </is>
      </c>
      <c r="E14" s="2" t="inlineStr">
        <is>
          <t>image_observation/alt_effective</t>
        </is>
      </c>
      <c r="F14" s="2" t="inlineStr">
        <is>
          <t>Additional bedroom mockup showing the white personalized Christian affirmation design with the name Evelyn and Bible verse words design on a bed. | Bedroom mockup of Christian Bible Verse Comforter Set</t>
        </is>
      </c>
      <c r="G14" s="2" t="inlineStr">
        <is>
          <t>Twin, Full, Queen and King dimension chart; heading reads SIZE DIMENTION.</t>
        </is>
      </c>
      <c r="H14" s="2" t="inlineStr">
        <is>
          <t>Observation hoặc alt được gán theo vị trí mẫu và không phản ánh đúng ảnh gốc.</t>
        </is>
      </c>
      <c r="I14" s="2" t="inlineStr">
        <is>
          <t>Christian bedding size chart for Twin through King</t>
        </is>
      </c>
      <c r="J14" s="2" t="inlineStr">
        <is>
          <t>seo_runs\jeminise.com\20260906_234129\evidence\images\12_christian-bedding-set-inspirational-bible-verse-comforte-design-03\image_07_47933847240903.jpg; seo_runs\jeminise.com\20260906_234129\evidence\contact_sheets\12_christian-bedding-set-inspirational-bible-verse-comforte-design-03.jpg; https://jeminise.com/products/christian-bedding-set-inspirational-bible-verse-comforte-design-03; https://cdn.shopify.com/s/files/1/0792/5098/1063/files/d6b8438a259ef28ba839a68ba108f40464bc9629b0bc2168779fc7776c9cbffa_6f72bb77-1b12-4ea3-9e0c-1b5e684c5f9f.jpg?v=1787237775</t>
        </is>
      </c>
      <c r="K14" s="2" t="inlineStr">
        <is>
          <t>Mở lại ảnh gốc và xác nhận observation/alt mới mô tả đúng ảnh.</t>
        </is>
      </c>
    </row>
    <row r="15" ht="84" customHeight="1">
      <c r="A15" s="3" t="inlineStr">
        <is>
          <t>ISS-013-IMG-02</t>
        </is>
      </c>
      <c r="B15" s="3" t="inlineStr">
        <is>
          <t>jeminise.com+christian-bedding-set-inspirational-bible-verse-comforte-design-04</t>
        </is>
      </c>
      <c r="C15" s="3" t="inlineStr">
        <is>
          <t>qaimg_968dec4fd615f426</t>
        </is>
      </c>
      <c r="D15" s="3" t="inlineStr">
        <is>
          <t>MINOR</t>
        </is>
      </c>
      <c r="E15" s="3" t="inlineStr">
        <is>
          <t>image_observation/alt_effective</t>
        </is>
      </c>
      <c r="F15" s="3" t="inlineStr">
        <is>
          <t>Secondary detail or room mockup showing black and gold Christian design with the name Olivia, butterflies and God is within her text and visible quilted/printed texture. | Close view of black and gold Christian design with the name Olivia, butterflies and God is within her text on the comforter s</t>
        </is>
      </c>
      <c r="G15" s="3" t="inlineStr">
        <is>
          <t>Alternate bedroom mockup of the same Olivia Christian bedding.</t>
        </is>
      </c>
      <c r="H15" s="3" t="inlineStr">
        <is>
          <t>Observation hoặc alt được gán theo vị trí mẫu và không phản ánh đúng ảnh gốc.</t>
        </is>
      </c>
      <c r="I15" s="3" t="inlineStr">
        <is>
          <t>Olivia God Is Within Her bedding in an alternate bedroom view</t>
        </is>
      </c>
      <c r="J15" s="3" t="inlineStr">
        <is>
          <t>seo_runs\jeminise.com\20260906_234129\evidence\images\13_christian-bedding-set-inspirational-bible-verse-comforte-design-04\image_02_47933849862343.jpg; seo_runs\jeminise.com\20260906_234129\evidence\contact_sheets\13_christian-bedding-set-inspirational-bible-verse-comforte-design-04.jpg; https://jeminise.com/products/christian-bedding-set-inspirational-bible-verse-comforte-design-04; https://cdn.shopify.com/s/files/1/0792/5098/1063/files/1892152d87d62b43a0e3a2b26a3397d09584e40f761ce2e9fd4940acfae699dc.jpg?v=1787237794</t>
        </is>
      </c>
      <c r="K15" s="3" t="inlineStr">
        <is>
          <t>Mở lại ảnh gốc và xác nhận observation/alt mới mô tả đúng ảnh.</t>
        </is>
      </c>
    </row>
    <row r="16" ht="84" customHeight="1">
      <c r="A16" s="2" t="inlineStr">
        <is>
          <t>ISS-013-IMG-03</t>
        </is>
      </c>
      <c r="B16" s="2" t="inlineStr">
        <is>
          <t>jeminise.com+christian-bedding-set-inspirational-bible-verse-comforte-design-04</t>
        </is>
      </c>
      <c r="C16" s="2" t="inlineStr">
        <is>
          <t>qaimg_a6d3df0e47c5b795</t>
        </is>
      </c>
      <c r="D16" s="2" t="inlineStr">
        <is>
          <t>MAJOR</t>
        </is>
      </c>
      <c r="E16" s="2" t="inlineStr">
        <is>
          <t>image_observation/alt_effective</t>
        </is>
      </c>
      <c r="F16" s="2" t="inlineStr">
        <is>
          <t>Matching pillow sham or bedding detail using the same black and gold Christian design with the name Olivia, butterflies and God is within her text artwork. | Matching pillow sham for God Is Within Her Christian Comforter</t>
        </is>
      </c>
      <c r="G16" s="2" t="inlineStr">
        <is>
          <t>Comparison graphic explaining Duvet Cover Set versus Comforter Set.</t>
        </is>
      </c>
      <c r="H16" s="2" t="inlineStr">
        <is>
          <t>Observation hoặc alt được gán theo vị trí mẫu và không phản ánh đúng ảnh gốc.</t>
        </is>
      </c>
      <c r="I16" s="2" t="inlineStr">
        <is>
          <t>Duvet cover and comforter set construction comparison</t>
        </is>
      </c>
      <c r="J16" s="2" t="inlineStr">
        <is>
          <t>seo_runs\jeminise.com\20260906_234129\evidence\images\13_christian-bedding-set-inspirational-bible-verse-comforte-design-04\image_03_47933849895111.jpg; seo_runs\jeminise.com\20260906_234129\evidence\contact_sheets\13_christian-bedding-set-inspirational-bible-verse-comforte-design-04.jpg; https://jeminise.com/products/christian-bedding-set-inspirational-bible-verse-comforte-design-04; https://cdn.shopify.com/s/files/1/0792/5098/1063/files/50f96559dd878ae5bbee14ba7a34337ccd740d21a8ffe86a8a1be819656d26c0_06b27f7a-14c6-4267-b5df-12ac25afd52c.jpg?v=1787237794</t>
        </is>
      </c>
      <c r="K16" s="2" t="inlineStr">
        <is>
          <t>Mở lại ảnh gốc và xác nhận observation/alt mới mô tả đúng ảnh.</t>
        </is>
      </c>
    </row>
    <row r="17" ht="84" customHeight="1">
      <c r="A17" s="3" t="inlineStr">
        <is>
          <t>ISS-013-IMG-04</t>
        </is>
      </c>
      <c r="B17" s="3" t="inlineStr">
        <is>
          <t>jeminise.com+christian-bedding-set-inspirational-bible-verse-comforte-design-04</t>
        </is>
      </c>
      <c r="C17" s="3" t="inlineStr">
        <is>
          <t>qaimg_ab2bce2736a3e8e1</t>
        </is>
      </c>
      <c r="D17" s="3" t="inlineStr">
        <is>
          <t>MAJOR</t>
        </is>
      </c>
      <c r="E17" s="3" t="inlineStr">
        <is>
          <t>image_observation/alt_effective</t>
        </is>
      </c>
      <c r="F17" s="3" t="inlineStr">
        <is>
          <t>Room/folded product or fabric information image tied to the black and gold Christian design with the name Olivia, butterflies and God is within her text design. | God Is Within Her Christian Comforter shown in a bedroom setting</t>
        </is>
      </c>
      <c r="G17" s="3" t="inlineStr">
        <is>
          <t>Feature graphic stating 100% microfiber, 3D printed pattern, soft touch, lightweight and breathable.</t>
        </is>
      </c>
      <c r="H17" s="3" t="inlineStr">
        <is>
          <t>Observation hoặc alt được gán theo vị trí mẫu và không phản ánh đúng ảnh gốc.</t>
        </is>
      </c>
      <c r="I17" s="3" t="inlineStr">
        <is>
          <t>Christian bedding microfiber and breathable fabric features</t>
        </is>
      </c>
      <c r="J17" s="3" t="inlineStr">
        <is>
          <t>seo_runs\jeminise.com\20260906_234129\evidence\images\13_christian-bedding-set-inspirational-bible-verse-comforte-design-04\image_04_47933849927879.jpg; seo_runs\jeminise.com\20260906_234129\evidence\contact_sheets\13_christian-bedding-set-inspirational-bible-verse-comforte-design-04.jpg; https://jeminise.com/products/christian-bedding-set-inspirational-bible-verse-comforte-design-04; https://cdn.shopify.com/s/files/1/0792/5098/1063/files/7da6a24b7604ad0ef3673f41696bea7a0fccfe1eb412a1cda572ca856ef48593.jpg?v=1787237794</t>
        </is>
      </c>
      <c r="K17" s="3" t="inlineStr">
        <is>
          <t>Mở lại ảnh gốc và xác nhận observation/alt mới mô tả đúng ảnh.</t>
        </is>
      </c>
    </row>
    <row r="18" ht="84" customHeight="1">
      <c r="A18" s="2" t="inlineStr">
        <is>
          <t>ISS-013-IMG-05</t>
        </is>
      </c>
      <c r="B18" s="2" t="inlineStr">
        <is>
          <t>jeminise.com+christian-bedding-set-inspirational-bible-verse-comforte-design-04</t>
        </is>
      </c>
      <c r="C18" s="2" t="inlineStr">
        <is>
          <t>qaimg_07f7dd0a59d6a67e</t>
        </is>
      </c>
      <c r="D18" s="2" t="inlineStr">
        <is>
          <t>MAJOR</t>
        </is>
      </c>
      <c r="E18" s="2" t="inlineStr">
        <is>
          <t>image_observation/alt_effective</t>
        </is>
      </c>
      <c r="F18" s="2" t="inlineStr">
        <is>
          <t>Sizing or included-components information image for the bedding set. | Size guide for God Is Within Her Christian Comforter</t>
        </is>
      </c>
      <c r="G18" s="2" t="inlineStr">
        <is>
          <t>Bedroom close-up with soft, lightweight, durable and breathable feature icons.</t>
        </is>
      </c>
      <c r="H18" s="2" t="inlineStr">
        <is>
          <t>Observation hoặc alt được gán theo vị trí mẫu và không phản ánh đúng ảnh gốc.</t>
        </is>
      </c>
      <c r="I18" s="2" t="inlineStr">
        <is>
          <t>Christian bedding softness and durability feature graphic</t>
        </is>
      </c>
      <c r="J18" s="2" t="inlineStr">
        <is>
          <t>seo_runs\jeminise.com\20260906_234129\evidence\images\13_christian-bedding-set-inspirational-bible-verse-comforte-design-04\image_05_47933849960647.jpg; seo_runs\jeminise.com\20260906_234129\evidence\contact_sheets\13_christian-bedding-set-inspirational-bible-verse-comforte-design-04.jpg; https://jeminise.com/products/christian-bedding-set-inspirational-bible-verse-comforte-design-04; https://cdn.shopify.com/s/files/1/0792/5098/1063/files/226b0655da5d59ac974c47bf8332fcc934206146b46faa31fb8bab794613c1f0.jpg?v=1787237794</t>
        </is>
      </c>
      <c r="K18" s="2" t="inlineStr">
        <is>
          <t>Mở lại ảnh gốc và xác nhận observation/alt mới mô tả đúng ảnh.</t>
        </is>
      </c>
    </row>
    <row r="19" ht="84" customHeight="1">
      <c r="A19" s="3" t="inlineStr">
        <is>
          <t>ISS-013-IMG-06</t>
        </is>
      </c>
      <c r="B19" s="3" t="inlineStr">
        <is>
          <t>jeminise.com+christian-bedding-set-inspirational-bible-verse-comforte-design-04</t>
        </is>
      </c>
      <c r="C19" s="3" t="inlineStr">
        <is>
          <t>qaimg_c95689a978dc7eb5</t>
        </is>
      </c>
      <c r="D19" s="3" t="inlineStr">
        <is>
          <t>MAJOR</t>
        </is>
      </c>
      <c r="E19" s="3" t="inlineStr">
        <is>
          <t>image_observation/alt_effective</t>
        </is>
      </c>
      <c r="F19" s="3" t="inlineStr">
        <is>
          <t>Feature image describing fabric layers, softness, breathability or care details. | Fabric feature graphic for God Is Within Her Christian Comforter</t>
        </is>
      </c>
      <c r="G19" s="3" t="inlineStr">
        <is>
          <t>Easy-care graphic stating wrinkle-free, stain-proof, anti-pilling and won't fade in the wash.</t>
        </is>
      </c>
      <c r="H19" s="3" t="inlineStr">
        <is>
          <t>Observation hoặc alt được gán theo vị trí mẫu và không phản ánh đúng ảnh gốc.</t>
        </is>
      </c>
      <c r="I19" s="3" t="inlineStr">
        <is>
          <t>Bedding easy-care, anti-pilling and fade-resistance features</t>
        </is>
      </c>
      <c r="J19" s="3" t="inlineStr">
        <is>
          <t>seo_runs\jeminise.com\20260906_234129\evidence\images\13_christian-bedding-set-inspirational-bible-verse-comforte-design-04\image_06_47933849993415.jpg; seo_runs\jeminise.com\20260906_234129\evidence\contact_sheets\13_christian-bedding-set-inspirational-bible-verse-comforte-design-04.jpg; https://jeminise.com/products/christian-bedding-set-inspirational-bible-verse-comforte-design-04; https://cdn.shopify.com/s/files/1/0792/5098/1063/files/0e22a9fec09643a714af054217066178d4f7bc4d6266b6d2ff5c33c09cc10e88_2cef02df-e481-4c1b-91ca-baace2312c0a.jpg?v=1787237794</t>
        </is>
      </c>
      <c r="K19" s="3" t="inlineStr">
        <is>
          <t>Mở lại ảnh gốc và xác nhận observation/alt mới mô tả đúng ảnh.</t>
        </is>
      </c>
    </row>
    <row r="20" ht="84" customHeight="1">
      <c r="A20" s="2" t="inlineStr">
        <is>
          <t>ISS-013-IMG-07</t>
        </is>
      </c>
      <c r="B20" s="2" t="inlineStr">
        <is>
          <t>jeminise.com+christian-bedding-set-inspirational-bible-verse-comforte-design-04</t>
        </is>
      </c>
      <c r="C20" s="2" t="inlineStr">
        <is>
          <t>qaimg_bf69849eda59ee13</t>
        </is>
      </c>
      <c r="D20" s="2" t="inlineStr">
        <is>
          <t>MAJOR</t>
        </is>
      </c>
      <c r="E20" s="2" t="inlineStr">
        <is>
          <t>image_observation/alt_effective</t>
        </is>
      </c>
      <c r="F20" s="2" t="inlineStr">
        <is>
          <t>Additional bedroom mockup showing the black and gold Christian design with the name Olivia, butterflies and God is within her text design on a bed. | Bedroom mockup of God Is Within Her Christian Comforter</t>
        </is>
      </c>
      <c r="G20" s="2" t="inlineStr">
        <is>
          <t>Twin, Full, Queen and King dimension chart; heading reads SIZE DIMENTION.</t>
        </is>
      </c>
      <c r="H20" s="2" t="inlineStr">
        <is>
          <t>Observation hoặc alt được gán theo vị trí mẫu và không phản ánh đúng ảnh gốc.</t>
        </is>
      </c>
      <c r="I20" s="2" t="inlineStr">
        <is>
          <t>Christian bedding size chart for Twin through King</t>
        </is>
      </c>
      <c r="J20" s="2" t="inlineStr">
        <is>
          <t>seo_runs\jeminise.com\20260906_234129\evidence\images\13_christian-bedding-set-inspirational-bible-verse-comforte-design-04\image_07_47933850026183.jpg; seo_runs\jeminise.com\20260906_234129\evidence\contact_sheets\13_christian-bedding-set-inspirational-bible-verse-comforte-design-04.jpg; https://jeminise.com/products/christian-bedding-set-inspirational-bible-verse-comforte-design-04; https://cdn.shopify.com/s/files/1/0792/5098/1063/files/d6b8438a259ef28ba839a68ba108f40464bc9629b0bc2168779fc7776c9cbffa_5b109a66-32e6-4a36-bd31-f408dd22e6aa.jpg?v=1787237794</t>
        </is>
      </c>
      <c r="K20" s="2" t="inlineStr">
        <is>
          <t>Mở lại ảnh gốc và xác nhận observation/alt mới mô tả đúng ảnh.</t>
        </is>
      </c>
    </row>
    <row r="21" ht="84" customHeight="1">
      <c r="A21" s="3" t="inlineStr">
        <is>
          <t>ISS-014-IMG-02</t>
        </is>
      </c>
      <c r="B21" s="3" t="inlineStr">
        <is>
          <t>jeminise.com+christian-bedding-set-inspirational-bible-verse-comforte-design-05</t>
        </is>
      </c>
      <c r="C21" s="3" t="inlineStr">
        <is>
          <t>qaimg_16dfc2606217829c</t>
        </is>
      </c>
      <c r="D21" s="3" t="inlineStr">
        <is>
          <t>MINOR</t>
        </is>
      </c>
      <c r="E21" s="3" t="inlineStr">
        <is>
          <t>image_observation/alt_effective</t>
        </is>
      </c>
      <c r="F21" s="3" t="inlineStr">
        <is>
          <t>Secondary detail or room mockup showing blue God Says I Am Christian design with the name Emily and floral border and visible quilted/printed texture. | Close view of blue God Says I Am Christian design with the name Emily and floral border on the comforter set</t>
        </is>
      </c>
      <c r="G21" s="3" t="inlineStr">
        <is>
          <t>Alternate bedroom mockup of the same Emily Christian bedding.</t>
        </is>
      </c>
      <c r="H21" s="3" t="inlineStr">
        <is>
          <t>Observation hoặc alt được gán theo vị trí mẫu và không phản ánh đúng ảnh gốc.</t>
        </is>
      </c>
      <c r="I21" s="3" t="inlineStr">
        <is>
          <t>Emily God Says I Am bedding in an alternate bedroom view</t>
        </is>
      </c>
      <c r="J21" s="3" t="inlineStr">
        <is>
          <t>seo_runs\jeminise.com\20260906_234129\evidence\images\14_christian-bedding-set-inspirational-bible-verse-comforte-design-05\image_02_47933850845383.jpg; seo_runs\jeminise.com\20260906_234129\evidence\contact_sheets\14_christian-bedding-set-inspirational-bible-verse-comforte-design-05.jpg; https://jeminise.com/products/christian-bedding-set-inspirational-bible-verse-comforte-design-05; https://cdn.shopify.com/s/files/1/0792/5098/1063/files/b5194765e0cae48306ed2e7b908325a37d813710ea8355976fd4bdad98268bcf.jpg?v=1787237801</t>
        </is>
      </c>
      <c r="K21" s="3" t="inlineStr">
        <is>
          <t>Mở lại ảnh gốc và xác nhận observation/alt mới mô tả đúng ảnh.</t>
        </is>
      </c>
    </row>
    <row r="22" ht="84" customHeight="1">
      <c r="A22" s="2" t="inlineStr">
        <is>
          <t>ISS-014-IMG-03</t>
        </is>
      </c>
      <c r="B22" s="2" t="inlineStr">
        <is>
          <t>jeminise.com+christian-bedding-set-inspirational-bible-verse-comforte-design-05</t>
        </is>
      </c>
      <c r="C22" s="2" t="inlineStr">
        <is>
          <t>qaimg_bc6d1526b2534f74</t>
        </is>
      </c>
      <c r="D22" s="2" t="inlineStr">
        <is>
          <t>MAJOR</t>
        </is>
      </c>
      <c r="E22" s="2" t="inlineStr">
        <is>
          <t>image_observation/alt_effective</t>
        </is>
      </c>
      <c r="F22" s="2" t="inlineStr">
        <is>
          <t>Matching pillow sham or bedding detail using the same blue God Says I Am Christian design with the name Emily and floral border artwork. | Matching pillow sham for Blue God Says I Am Christian Comforter Set</t>
        </is>
      </c>
      <c r="G22" s="2" t="inlineStr">
        <is>
          <t>Comparison graphic explaining Duvet Cover Set versus Comforter Set.</t>
        </is>
      </c>
      <c r="H22" s="2" t="inlineStr">
        <is>
          <t>Observation hoặc alt được gán theo vị trí mẫu và không phản ánh đúng ảnh gốc.</t>
        </is>
      </c>
      <c r="I22" s="2" t="inlineStr">
        <is>
          <t>Duvet cover and comforter set construction comparison</t>
        </is>
      </c>
      <c r="J22" s="2" t="inlineStr">
        <is>
          <t>seo_runs\jeminise.com\20260906_234129\evidence\images\14_christian-bedding-set-inspirational-bible-verse-comforte-design-05\image_03_47933850878151.jpg; seo_runs\jeminise.com\20260906_234129\evidence\contact_sheets\14_christian-bedding-set-inspirational-bible-verse-comforte-design-05.jpg; https://jeminise.com/products/christian-bedding-set-inspirational-bible-verse-comforte-design-05; https://cdn.shopify.com/s/files/1/0792/5098/1063/files/50f96559dd878ae5bbee14ba7a34337ccd740d21a8ffe86a8a1be819656d26c0_32920277-9b92-44f8-8046-5ec5bbe0e622.jpg?v=1787237801</t>
        </is>
      </c>
      <c r="K22" s="2" t="inlineStr">
        <is>
          <t>Mở lại ảnh gốc và xác nhận observation/alt mới mô tả đúng ảnh.</t>
        </is>
      </c>
    </row>
    <row r="23" ht="84" customHeight="1">
      <c r="A23" s="3" t="inlineStr">
        <is>
          <t>ISS-014-IMG-04</t>
        </is>
      </c>
      <c r="B23" s="3" t="inlineStr">
        <is>
          <t>jeminise.com+christian-bedding-set-inspirational-bible-verse-comforte-design-05</t>
        </is>
      </c>
      <c r="C23" s="3" t="inlineStr">
        <is>
          <t>qaimg_f7d246eca83ea2cc</t>
        </is>
      </c>
      <c r="D23" s="3" t="inlineStr">
        <is>
          <t>MAJOR</t>
        </is>
      </c>
      <c r="E23" s="3" t="inlineStr">
        <is>
          <t>image_observation/alt_effective</t>
        </is>
      </c>
      <c r="F23" s="3" t="inlineStr">
        <is>
          <t>Room/folded product or fabric information image tied to the blue God Says I Am Christian design with the name Emily and floral border design. | Blue God Says I Am Christian Comforter Set shown in a bedroom setting</t>
        </is>
      </c>
      <c r="G23" s="3" t="inlineStr">
        <is>
          <t>Feature graphic stating 100% microfiber, 3D printed pattern, soft touch, lightweight and breathable.</t>
        </is>
      </c>
      <c r="H23" s="3" t="inlineStr">
        <is>
          <t>Observation hoặc alt được gán theo vị trí mẫu và không phản ánh đúng ảnh gốc.</t>
        </is>
      </c>
      <c r="I23" s="3" t="inlineStr">
        <is>
          <t>Christian bedding microfiber and breathable fabric features</t>
        </is>
      </c>
      <c r="J23" s="3" t="inlineStr">
        <is>
          <t>seo_runs\jeminise.com\20260906_234129\evidence\images\14_christian-bedding-set-inspirational-bible-verse-comforte-design-05\image_04_47933850910919.jpg; seo_runs\jeminise.com\20260906_234129\evidence\contact_sheets\14_christian-bedding-set-inspirational-bible-verse-comforte-design-05.jpg; https://jeminise.com/products/christian-bedding-set-inspirational-bible-verse-comforte-design-05; https://cdn.shopify.com/s/files/1/0792/5098/1063/files/a3e33ead7835eefa65523c45bf48420d56f8ee5c29d0aa8d4a6fb0717bc0d53e.jpg?v=1787237801</t>
        </is>
      </c>
      <c r="K23" s="3" t="inlineStr">
        <is>
          <t>Mở lại ảnh gốc và xác nhận observation/alt mới mô tả đúng ảnh.</t>
        </is>
      </c>
    </row>
    <row r="24" ht="84" customHeight="1">
      <c r="A24" s="2" t="inlineStr">
        <is>
          <t>ISS-014-IMG-05</t>
        </is>
      </c>
      <c r="B24" s="2" t="inlineStr">
        <is>
          <t>jeminise.com+christian-bedding-set-inspirational-bible-verse-comforte-design-05</t>
        </is>
      </c>
      <c r="C24" s="2" t="inlineStr">
        <is>
          <t>qaimg_67fa0f472d1b8177</t>
        </is>
      </c>
      <c r="D24" s="2" t="inlineStr">
        <is>
          <t>MAJOR</t>
        </is>
      </c>
      <c r="E24" s="2" t="inlineStr">
        <is>
          <t>image_observation/alt_effective</t>
        </is>
      </c>
      <c r="F24" s="2" t="inlineStr">
        <is>
          <t>Sizing or included-components information image for the bedding set. | Size guide for Blue God Says I Am Christian Comforter Set</t>
        </is>
      </c>
      <c r="G24" s="2" t="inlineStr">
        <is>
          <t>Bedroom close-up with soft, lightweight, durable and breathable feature icons.</t>
        </is>
      </c>
      <c r="H24" s="2" t="inlineStr">
        <is>
          <t>Observation hoặc alt được gán theo vị trí mẫu và không phản ánh đúng ảnh gốc.</t>
        </is>
      </c>
      <c r="I24" s="2" t="inlineStr">
        <is>
          <t>Christian bedding softness and durability feature graphic</t>
        </is>
      </c>
      <c r="J24" s="2" t="inlineStr">
        <is>
          <t>seo_runs\jeminise.com\20260906_234129\evidence\images\14_christian-bedding-set-inspirational-bible-verse-comforte-design-05\image_05_47933850943687.jpg; seo_runs\jeminise.com\20260906_234129\evidence\contact_sheets\14_christian-bedding-set-inspirational-bible-verse-comforte-design-05.jpg; https://jeminise.com/products/christian-bedding-set-inspirational-bible-verse-comforte-design-05; https://cdn.shopify.com/s/files/1/0792/5098/1063/files/c90ac7079a8d005c71bbed0da31d73d3243eb764fe402b271b85e05efec937b6.jpg?v=1787237801</t>
        </is>
      </c>
      <c r="K24" s="2" t="inlineStr">
        <is>
          <t>Mở lại ảnh gốc và xác nhận observation/alt mới mô tả đúng ảnh.</t>
        </is>
      </c>
    </row>
    <row r="25" ht="84" customHeight="1">
      <c r="A25" s="3" t="inlineStr">
        <is>
          <t>ISS-014-IMG-06</t>
        </is>
      </c>
      <c r="B25" s="3" t="inlineStr">
        <is>
          <t>jeminise.com+christian-bedding-set-inspirational-bible-verse-comforte-design-05</t>
        </is>
      </c>
      <c r="C25" s="3" t="inlineStr">
        <is>
          <t>qaimg_ea4541fdca00e820</t>
        </is>
      </c>
      <c r="D25" s="3" t="inlineStr">
        <is>
          <t>MAJOR</t>
        </is>
      </c>
      <c r="E25" s="3" t="inlineStr">
        <is>
          <t>image_observation/alt_effective</t>
        </is>
      </c>
      <c r="F25" s="3" t="inlineStr">
        <is>
          <t>Feature image describing fabric layers, softness, breathability or care details. | Fabric feature graphic for Blue God Says I Am Christian Comforter Set</t>
        </is>
      </c>
      <c r="G25" s="3" t="inlineStr">
        <is>
          <t>Easy-care graphic stating wrinkle-free, stain-proof, anti-pilling and won't fade in the wash.</t>
        </is>
      </c>
      <c r="H25" s="3" t="inlineStr">
        <is>
          <t>Observation hoặc alt được gán theo vị trí mẫu và không phản ánh đúng ảnh gốc.</t>
        </is>
      </c>
      <c r="I25" s="3" t="inlineStr">
        <is>
          <t>Bedding easy-care, anti-pilling and fade-resistance features</t>
        </is>
      </c>
      <c r="J25" s="3" t="inlineStr">
        <is>
          <t>seo_runs\jeminise.com\20260906_234129\evidence\images\14_christian-bedding-set-inspirational-bible-verse-comforte-design-05\image_06_47933850976455.jpg; seo_runs\jeminise.com\20260906_234129\evidence\contact_sheets\14_christian-bedding-set-inspirational-bible-verse-comforte-design-05.jpg; https://jeminise.com/products/christian-bedding-set-inspirational-bible-verse-comforte-design-05; https://cdn.shopify.com/s/files/1/0792/5098/1063/files/0e22a9fec09643a714af054217066178d4f7bc4d6266b6d2ff5c33c09cc10e88_37f50064-c16f-4107-bf6d-b3b50080fc75.jpg?v=1787237802</t>
        </is>
      </c>
      <c r="K25" s="3" t="inlineStr">
        <is>
          <t>Mở lại ảnh gốc và xác nhận observation/alt mới mô tả đúng ảnh.</t>
        </is>
      </c>
    </row>
    <row r="26" ht="84" customHeight="1">
      <c r="A26" s="2" t="inlineStr">
        <is>
          <t>ISS-014-IMG-07</t>
        </is>
      </c>
      <c r="B26" s="2" t="inlineStr">
        <is>
          <t>jeminise.com+christian-bedding-set-inspirational-bible-verse-comforte-design-05</t>
        </is>
      </c>
      <c r="C26" s="2" t="inlineStr">
        <is>
          <t>qaimg_5fb9fd52ffff0cd7</t>
        </is>
      </c>
      <c r="D26" s="2" t="inlineStr">
        <is>
          <t>MAJOR</t>
        </is>
      </c>
      <c r="E26" s="2" t="inlineStr">
        <is>
          <t>image_observation/alt_effective</t>
        </is>
      </c>
      <c r="F26" s="2" t="inlineStr">
        <is>
          <t>Additional bedroom mockup showing the blue God Says I Am Christian design with the name Emily and floral border design on a bed. | Bedroom mockup of Blue God Says I Am Christian Comforter Set</t>
        </is>
      </c>
      <c r="G26" s="2" t="inlineStr">
        <is>
          <t>Twin, Full, Queen and King dimension chart; heading reads SIZE DIMENTION.</t>
        </is>
      </c>
      <c r="H26" s="2" t="inlineStr">
        <is>
          <t>Observation hoặc alt được gán theo vị trí mẫu và không phản ánh đúng ảnh gốc.</t>
        </is>
      </c>
      <c r="I26" s="2" t="inlineStr">
        <is>
          <t>Christian bedding size chart for Twin through King</t>
        </is>
      </c>
      <c r="J26" s="2" t="inlineStr">
        <is>
          <t>seo_runs\jeminise.com\20260906_234129\evidence\images\14_christian-bedding-set-inspirational-bible-verse-comforte-design-05\image_07_47933851009223.jpg; seo_runs\jeminise.com\20260906_234129\evidence\contact_sheets\14_christian-bedding-set-inspirational-bible-verse-comforte-design-05.jpg; https://jeminise.com/products/christian-bedding-set-inspirational-bible-verse-comforte-design-05; https://cdn.shopify.com/s/files/1/0792/5098/1063/files/d6b8438a259ef28ba839a68ba108f40464bc9629b0bc2168779fc7776c9cbffa_fb8b4e17-519d-4d0c-b0e5-03dce3811442.jpg?v=1787237801</t>
        </is>
      </c>
      <c r="K26" s="2" t="inlineStr">
        <is>
          <t>Mở lại ảnh gốc và xác nhận observation/alt mới mô tả đúng ảnh.</t>
        </is>
      </c>
    </row>
    <row r="27" ht="84" customHeight="1">
      <c r="A27" s="3" t="inlineStr">
        <is>
          <t>ISS-015-IMG-02</t>
        </is>
      </c>
      <c r="B27" s="3" t="inlineStr">
        <is>
          <t>jeminise.com+christian-bedding-set-inspirational-bible-verse-comforte-design-06</t>
        </is>
      </c>
      <c r="C27" s="3" t="inlineStr">
        <is>
          <t>qaimg_f79f50ec24dc2544</t>
        </is>
      </c>
      <c r="D27" s="3" t="inlineStr">
        <is>
          <t>MINOR</t>
        </is>
      </c>
      <c r="E27" s="3" t="inlineStr">
        <is>
          <t>image_observation/alt_effective</t>
        </is>
      </c>
      <c r="F27" s="3" t="inlineStr">
        <is>
          <t>Secondary detail or room mockup showing brown Christian butterfly design with the name Charlotte and God is within her text and visible quilted/printed texture. | Close view of brown Christian butterfly design with the name Charlotte and God is within her text on the comforter set</t>
        </is>
      </c>
      <c r="G27" s="3" t="inlineStr">
        <is>
          <t>Alternate bedroom mockup of the same Charlotte Christian bedding.</t>
        </is>
      </c>
      <c r="H27" s="3" t="inlineStr">
        <is>
          <t>Observation hoặc alt được gán theo vị trí mẫu và không phản ánh đúng ảnh gốc.</t>
        </is>
      </c>
      <c r="I27" s="3" t="inlineStr">
        <is>
          <t>Charlotte Christian butterfly bedding in an alternate bedroom view</t>
        </is>
      </c>
      <c r="J27" s="3" t="inlineStr">
        <is>
          <t>seo_runs\jeminise.com\20260906_234129\evidence\images\15_christian-bedding-set-inspirational-bible-verse-comforte-design-06\image_02_47933851566279.jpg; seo_runs\jeminise.com\20260906_234129\evidence\contact_sheets\15_christian-bedding-set-inspirational-bible-verse-comforte-design-06.jpg; https://jeminise.com/products/christian-bedding-set-inspirational-bible-verse-comforte-design-06; https://cdn.shopify.com/s/files/1/0792/5098/1063/files/85e882bcf89deebcdc3c8d5fea6db005c41297d04fabf6b4dedfb33c5d8fa653.jpg?v=1787237807</t>
        </is>
      </c>
      <c r="K27" s="3" t="inlineStr">
        <is>
          <t>Mở lại ảnh gốc và xác nhận observation/alt mới mô tả đúng ảnh.</t>
        </is>
      </c>
    </row>
    <row r="28" ht="84" customHeight="1">
      <c r="A28" s="2" t="inlineStr">
        <is>
          <t>ISS-015-IMG-03</t>
        </is>
      </c>
      <c r="B28" s="2" t="inlineStr">
        <is>
          <t>jeminise.com+christian-bedding-set-inspirational-bible-verse-comforte-design-06</t>
        </is>
      </c>
      <c r="C28" s="2" t="inlineStr">
        <is>
          <t>qaimg_74f2eed842241f10</t>
        </is>
      </c>
      <c r="D28" s="2" t="inlineStr">
        <is>
          <t>MAJOR</t>
        </is>
      </c>
      <c r="E28" s="2" t="inlineStr">
        <is>
          <t>image_observation/alt_effective</t>
        </is>
      </c>
      <c r="F28" s="2" t="inlineStr">
        <is>
          <t>Matching pillow sham or bedding detail using the same brown Christian butterfly design with the name Charlotte and God is within her text artwork. | Matching pillow sham for Christian Butterfly Comforter Set</t>
        </is>
      </c>
      <c r="G28" s="2" t="inlineStr">
        <is>
          <t>Comparison graphic explaining Duvet Cover Set versus Comforter Set.</t>
        </is>
      </c>
      <c r="H28" s="2" t="inlineStr">
        <is>
          <t>Observation hoặc alt được gán theo vị trí mẫu và không phản ánh đúng ảnh gốc.</t>
        </is>
      </c>
      <c r="I28" s="2" t="inlineStr">
        <is>
          <t>Duvet cover and comforter set construction comparison</t>
        </is>
      </c>
      <c r="J28" s="2" t="inlineStr">
        <is>
          <t>seo_runs\jeminise.com\20260906_234129\evidence\images\15_christian-bedding-set-inspirational-bible-verse-comforte-design-06\image_03_47933851599047.jpg; seo_runs\jeminise.com\20260906_234129\evidence\contact_sheets\15_christian-bedding-set-inspirational-bible-verse-comforte-design-06.jpg; https://jeminise.com/products/christian-bedding-set-inspirational-bible-verse-comforte-design-06; https://cdn.shopify.com/s/files/1/0792/5098/1063/files/50f96559dd878ae5bbee14ba7a34337ccd740d21a8ffe86a8a1be819656d26c0_8c8fa0f7-48a1-41f8-86e6-9b423fbaf03e.jpg?v=1787237806</t>
        </is>
      </c>
      <c r="K28" s="2" t="inlineStr">
        <is>
          <t>Mở lại ảnh gốc và xác nhận observation/alt mới mô tả đúng ảnh.</t>
        </is>
      </c>
    </row>
    <row r="29" ht="84" customHeight="1">
      <c r="A29" s="3" t="inlineStr">
        <is>
          <t>ISS-015-IMG-04</t>
        </is>
      </c>
      <c r="B29" s="3" t="inlineStr">
        <is>
          <t>jeminise.com+christian-bedding-set-inspirational-bible-verse-comforte-design-06</t>
        </is>
      </c>
      <c r="C29" s="3" t="inlineStr">
        <is>
          <t>qaimg_4ab1c93dd13617ef</t>
        </is>
      </c>
      <c r="D29" s="3" t="inlineStr">
        <is>
          <t>MAJOR</t>
        </is>
      </c>
      <c r="E29" s="3" t="inlineStr">
        <is>
          <t>image_observation/alt_effective</t>
        </is>
      </c>
      <c r="F29" s="3" t="inlineStr">
        <is>
          <t>Room/folded product or fabric information image tied to the brown Christian butterfly design with the name Charlotte and God is within her text design. | Christian Butterfly Comforter Set shown in a bedroom setting</t>
        </is>
      </c>
      <c r="G29" s="3" t="inlineStr">
        <is>
          <t>Feature graphic stating 100% microfiber, 3D printed pattern, soft touch, lightweight and breathable.</t>
        </is>
      </c>
      <c r="H29" s="3" t="inlineStr">
        <is>
          <t>Observation hoặc alt được gán theo vị trí mẫu và không phản ánh đúng ảnh gốc.</t>
        </is>
      </c>
      <c r="I29" s="3" t="inlineStr">
        <is>
          <t>Christian bedding microfiber and breathable fabric features</t>
        </is>
      </c>
      <c r="J29" s="3" t="inlineStr">
        <is>
          <t>seo_runs\jeminise.com\20260906_234129\evidence\images\15_christian-bedding-set-inspirational-bible-verse-comforte-design-06\image_04_47933851631815.jpg; seo_runs\jeminise.com\20260906_234129\evidence\contact_sheets\15_christian-bedding-set-inspirational-bible-verse-comforte-design-06.jpg; https://jeminise.com/products/christian-bedding-set-inspirational-bible-verse-comforte-design-06; https://cdn.shopify.com/s/files/1/0792/5098/1063/files/1ad4193b437e09b52f40b15573e722e1cfbac19500da9f78c83773943449fcde.jpg?v=1787237807</t>
        </is>
      </c>
      <c r="K29" s="3" t="inlineStr">
        <is>
          <t>Mở lại ảnh gốc và xác nhận observation/alt mới mô tả đúng ảnh.</t>
        </is>
      </c>
    </row>
    <row r="30" ht="84" customHeight="1">
      <c r="A30" s="2" t="inlineStr">
        <is>
          <t>ISS-015-IMG-05</t>
        </is>
      </c>
      <c r="B30" s="2" t="inlineStr">
        <is>
          <t>jeminise.com+christian-bedding-set-inspirational-bible-verse-comforte-design-06</t>
        </is>
      </c>
      <c r="C30" s="2" t="inlineStr">
        <is>
          <t>qaimg_26ebb495bcbedd39</t>
        </is>
      </c>
      <c r="D30" s="2" t="inlineStr">
        <is>
          <t>MAJOR</t>
        </is>
      </c>
      <c r="E30" s="2" t="inlineStr">
        <is>
          <t>image_observation/alt_effective</t>
        </is>
      </c>
      <c r="F30" s="2" t="inlineStr">
        <is>
          <t>Sizing or included-components information image for the bedding set. | Size guide for Christian Butterfly Comforter Set</t>
        </is>
      </c>
      <c r="G30" s="2" t="inlineStr">
        <is>
          <t>Bedroom close-up with soft, lightweight, durable and breathable feature icons.</t>
        </is>
      </c>
      <c r="H30" s="2" t="inlineStr">
        <is>
          <t>Observation hoặc alt được gán theo vị trí mẫu và không phản ánh đúng ảnh gốc.</t>
        </is>
      </c>
      <c r="I30" s="2" t="inlineStr">
        <is>
          <t>Christian bedding softness and durability feature graphic</t>
        </is>
      </c>
      <c r="J30" s="2" t="inlineStr">
        <is>
          <t>seo_runs\jeminise.com\20260906_234129\evidence\images\15_christian-bedding-set-inspirational-bible-verse-comforte-design-06\image_05_47933851664583.jpg; seo_runs\jeminise.com\20260906_234129\evidence\contact_sheets\15_christian-bedding-set-inspirational-bible-verse-comforte-design-06.jpg; https://jeminise.com/products/christian-bedding-set-inspirational-bible-verse-comforte-design-06; https://cdn.shopify.com/s/files/1/0792/5098/1063/files/26024e9472d2220f9f56e7b3a0762d7d9615e5a2536a0848fc513ad70f872f30.jpg?v=1787237807</t>
        </is>
      </c>
      <c r="K30" s="2" t="inlineStr">
        <is>
          <t>Mở lại ảnh gốc và xác nhận observation/alt mới mô tả đúng ảnh.</t>
        </is>
      </c>
    </row>
    <row r="31" ht="84" customHeight="1">
      <c r="A31" s="3" t="inlineStr">
        <is>
          <t>ISS-015-IMG-06</t>
        </is>
      </c>
      <c r="B31" s="3" t="inlineStr">
        <is>
          <t>jeminise.com+christian-bedding-set-inspirational-bible-verse-comforte-design-06</t>
        </is>
      </c>
      <c r="C31" s="3" t="inlineStr">
        <is>
          <t>qaimg_9169bef117a8fca6</t>
        </is>
      </c>
      <c r="D31" s="3" t="inlineStr">
        <is>
          <t>MAJOR</t>
        </is>
      </c>
      <c r="E31" s="3" t="inlineStr">
        <is>
          <t>image_observation/alt_effective</t>
        </is>
      </c>
      <c r="F31" s="3" t="inlineStr">
        <is>
          <t>Feature image describing fabric layers, softness, breathability or care details. | Fabric feature graphic for Christian Butterfly Comforter Set</t>
        </is>
      </c>
      <c r="G31" s="3" t="inlineStr">
        <is>
          <t>Easy-care graphic stating wrinkle-free, stain-proof, anti-pilling and won't fade in the wash.</t>
        </is>
      </c>
      <c r="H31" s="3" t="inlineStr">
        <is>
          <t>Observation hoặc alt được gán theo vị trí mẫu và không phản ánh đúng ảnh gốc.</t>
        </is>
      </c>
      <c r="I31" s="3" t="inlineStr">
        <is>
          <t>Bedding easy-care, anti-pilling and fade-resistance features</t>
        </is>
      </c>
      <c r="J31" s="3" t="inlineStr">
        <is>
          <t>seo_runs\jeminise.com\20260906_234129\evidence\images\15_christian-bedding-set-inspirational-bible-verse-comforte-design-06\image_06_47933851697351.jpg; seo_runs\jeminise.com\20260906_234129\evidence\contact_sheets\15_christian-bedding-set-inspirational-bible-verse-comforte-design-06.jpg; https://jeminise.com/products/christian-bedding-set-inspirational-bible-verse-comforte-design-06; https://cdn.shopify.com/s/files/1/0792/5098/1063/files/0e22a9fec09643a714af054217066178d4f7bc4d6266b6d2ff5c33c09cc10e88_7566f5e2-6bfd-446e-a1f2-f06764ec2dc3.jpg?v=1787237807</t>
        </is>
      </c>
      <c r="K31" s="3" t="inlineStr">
        <is>
          <t>Mở lại ảnh gốc và xác nhận observation/alt mới mô tả đúng ảnh.</t>
        </is>
      </c>
    </row>
    <row r="32" ht="84" customHeight="1">
      <c r="A32" s="2" t="inlineStr">
        <is>
          <t>ISS-015-IMG-07</t>
        </is>
      </c>
      <c r="B32" s="2" t="inlineStr">
        <is>
          <t>jeminise.com+christian-bedding-set-inspirational-bible-verse-comforte-design-06</t>
        </is>
      </c>
      <c r="C32" s="2" t="inlineStr">
        <is>
          <t>qaimg_58daa41cec565ce2</t>
        </is>
      </c>
      <c r="D32" s="2" t="inlineStr">
        <is>
          <t>MAJOR</t>
        </is>
      </c>
      <c r="E32" s="2" t="inlineStr">
        <is>
          <t>image_observation/alt_effective</t>
        </is>
      </c>
      <c r="F32" s="2" t="inlineStr">
        <is>
          <t>Additional bedroom mockup showing the brown Christian butterfly design with the name Charlotte and God is within her text design on a bed. | Bedroom mockup of Christian Butterfly Comforter Set</t>
        </is>
      </c>
      <c r="G32" s="2" t="inlineStr">
        <is>
          <t>Twin, Full, Queen and King dimension chart; heading reads SIZE DIMENTION.</t>
        </is>
      </c>
      <c r="H32" s="2" t="inlineStr">
        <is>
          <t>Observation hoặc alt được gán theo vị trí mẫu và không phản ánh đúng ảnh gốc.</t>
        </is>
      </c>
      <c r="I32" s="2" t="inlineStr">
        <is>
          <t>Christian bedding size chart for Twin through King</t>
        </is>
      </c>
      <c r="J32" s="2" t="inlineStr">
        <is>
          <t>seo_runs\jeminise.com\20260906_234129\evidence\images\15_christian-bedding-set-inspirational-bible-verse-comforte-design-06\image_07_47933851730119.jpg; seo_runs\jeminise.com\20260906_234129\evidence\contact_sheets\15_christian-bedding-set-inspirational-bible-verse-comforte-design-06.jpg; https://jeminise.com/products/christian-bedding-set-inspirational-bible-verse-comforte-design-06; https://cdn.shopify.com/s/files/1/0792/5098/1063/files/d6b8438a259ef28ba839a68ba108f40464bc9629b0bc2168779fc7776c9cbffa_d87fd534-9194-441e-98a8-aa1a5591cb0d.jpg?v=1787237807</t>
        </is>
      </c>
      <c r="K32" s="2" t="inlineStr">
        <is>
          <t>Mở lại ảnh gốc và xác nhận observation/alt mới mô tả đúng ảnh.</t>
        </is>
      </c>
    </row>
    <row r="33" ht="84" customHeight="1">
      <c r="A33" s="3" t="inlineStr">
        <is>
          <t>ISS-016-IMG-02</t>
        </is>
      </c>
      <c r="B33" s="3" t="inlineStr">
        <is>
          <t>jeminise.com+christian-bedding-set-inspirational-bible-verse-comforter</t>
        </is>
      </c>
      <c r="C33" s="3" t="inlineStr">
        <is>
          <t>qaimg_cb9c481fadbb7899</t>
        </is>
      </c>
      <c r="D33" s="3" t="inlineStr">
        <is>
          <t>MINOR</t>
        </is>
      </c>
      <c r="E33" s="3" t="inlineStr">
        <is>
          <t>image_observation/alt_effective</t>
        </is>
      </c>
      <c r="F33" s="3" t="inlineStr">
        <is>
          <t>Secondary detail or room mockup showing black Christian warrior lion design with the name David and large white cross and visible quilted/printed texture. | Close view of black Christian warrior lion design with the name David and large white cross on the comforter set</t>
        </is>
      </c>
      <c r="G33" s="3" t="inlineStr">
        <is>
          <t>Second front-facing mockup of the same David Christian warrior bedding.</t>
        </is>
      </c>
      <c r="H33" s="3" t="inlineStr">
        <is>
          <t>Observation hoặc alt được gán theo vị trí mẫu và không phản ánh đúng ảnh gốc.</t>
        </is>
      </c>
      <c r="I33" s="3" t="inlineStr">
        <is>
          <t>David Christian warrior bedding in a front bedroom mockup</t>
        </is>
      </c>
      <c r="J33" s="3" t="inlineStr">
        <is>
          <t>seo_runs\jeminise.com\20260906_234129\evidence\images\16_christian-bedding-set-inspirational-bible-verse-comforter\image_02_47933840031943.jpg; seo_runs\jeminise.com\20260906_234129\evidence\contact_sheets\16_christian-bedding-set-inspirational-bible-verse-comforter.jpg; https://jeminise.com/products/christian-bedding-set-inspirational-bible-verse-comforter; https://cdn.shopify.com/s/files/1/0792/5098/1063/files/6e5cfd81b4f318ba88e105e450bd24fcccf9830bd9c69ac7d722e92e36bbe4e1.jpg?v=1787237716</t>
        </is>
      </c>
      <c r="K33" s="3" t="inlineStr">
        <is>
          <t>Mở lại ảnh gốc và xác nhận observation/alt mới mô tả đúng ảnh.</t>
        </is>
      </c>
    </row>
    <row r="34" ht="84" customHeight="1">
      <c r="A34" s="2" t="inlineStr">
        <is>
          <t>ISS-016-IMG-03</t>
        </is>
      </c>
      <c r="B34" s="2" t="inlineStr">
        <is>
          <t>jeminise.com+christian-bedding-set-inspirational-bible-verse-comforter</t>
        </is>
      </c>
      <c r="C34" s="2" t="inlineStr">
        <is>
          <t>qaimg_4eacac7a749fa007</t>
        </is>
      </c>
      <c r="D34" s="2" t="inlineStr">
        <is>
          <t>MAJOR</t>
        </is>
      </c>
      <c r="E34" s="2" t="inlineStr">
        <is>
          <t>image_observation/alt_effective</t>
        </is>
      </c>
      <c r="F34" s="2" t="inlineStr">
        <is>
          <t>Matching pillow sham or bedding detail using the same black Christian warrior lion design with the name David and large white cross artwork. | Matching pillow sham for Christian Warrior Comforter Set</t>
        </is>
      </c>
      <c r="G34" s="2" t="inlineStr">
        <is>
          <t>Alternate bedroom mockup of the same David Christian warrior bedding.</t>
        </is>
      </c>
      <c r="H34" s="2" t="inlineStr">
        <is>
          <t>Observation hoặc alt được gán theo vị trí mẫu và không phản ánh đúng ảnh gốc.</t>
        </is>
      </c>
      <c r="I34" s="2" t="inlineStr">
        <is>
          <t>David Christian warrior bedding in an alternate bedroom view</t>
        </is>
      </c>
      <c r="J34" s="2" t="inlineStr">
        <is>
          <t>seo_runs\jeminise.com\20260906_234129\evidence\images\16_christian-bedding-set-inspirational-bible-verse-comforter\image_03_47933840064711.jpg; seo_runs\jeminise.com\20260906_234129\evidence\contact_sheets\16_christian-bedding-set-inspirational-bible-verse-comforter.jpg; https://jeminise.com/products/christian-bedding-set-inspirational-bible-verse-comforter; https://cdn.shopify.com/s/files/1/0792/5098/1063/files/fd6ace7cb84d9e404b44ba028d1e0be3f00d0c9dc52fac3c12f3dc02d48000e7.jpg?v=1787237716</t>
        </is>
      </c>
      <c r="K34" s="2" t="inlineStr">
        <is>
          <t>Mở lại ảnh gốc và xác nhận observation/alt mới mô tả đúng ảnh.</t>
        </is>
      </c>
    </row>
    <row r="35" ht="84" customHeight="1">
      <c r="A35" s="3" t="inlineStr">
        <is>
          <t>ISS-016-IMG-04</t>
        </is>
      </c>
      <c r="B35" s="3" t="inlineStr">
        <is>
          <t>jeminise.com+christian-bedding-set-inspirational-bible-verse-comforter</t>
        </is>
      </c>
      <c r="C35" s="3" t="inlineStr">
        <is>
          <t>qaimg_ee5faae4fb19e666</t>
        </is>
      </c>
      <c r="D35" s="3" t="inlineStr">
        <is>
          <t>MAJOR</t>
        </is>
      </c>
      <c r="E35" s="3" t="inlineStr">
        <is>
          <t>image_observation/alt_effective</t>
        </is>
      </c>
      <c r="F35" s="3" t="inlineStr">
        <is>
          <t>Room/folded product or fabric information image tied to the black Christian warrior lion design with the name David and large white cross design. | Christian Warrior Comforter Set shown in a bedroom setting</t>
        </is>
      </c>
      <c r="G35" s="3" t="inlineStr">
        <is>
          <t>Comparison graphic explaining Duvet Cover Set versus Comforter Set.</t>
        </is>
      </c>
      <c r="H35" s="3" t="inlineStr">
        <is>
          <t>Observation hoặc alt được gán theo vị trí mẫu và không phản ánh đúng ảnh gốc.</t>
        </is>
      </c>
      <c r="I35" s="3" t="inlineStr">
        <is>
          <t>Duvet cover and comforter set construction comparison</t>
        </is>
      </c>
      <c r="J35" s="3" t="inlineStr">
        <is>
          <t>seo_runs\jeminise.com\20260906_234129\evidence\images\16_christian-bedding-set-inspirational-bible-verse-comforter\image_04_47933840097479.jpg; seo_runs\jeminise.com\20260906_234129\evidence\contact_sheets\16_christian-bedding-set-inspirational-bible-verse-comforter.jpg; https://jeminise.com/products/christian-bedding-set-inspirational-bible-verse-comforter; https://cdn.shopify.com/s/files/1/0792/5098/1063/files/1391672888660b8306032c6cd51a0340e0460a1f8b324b0577c2d0a44ea28c9d.jpg?v=1787237716</t>
        </is>
      </c>
      <c r="K35" s="3" t="inlineStr">
        <is>
          <t>Mở lại ảnh gốc và xác nhận observation/alt mới mô tả đúng ảnh.</t>
        </is>
      </c>
    </row>
    <row r="36" ht="84" customHeight="1">
      <c r="A36" s="2" t="inlineStr">
        <is>
          <t>ISS-016-IMG-05</t>
        </is>
      </c>
      <c r="B36" s="2" t="inlineStr">
        <is>
          <t>jeminise.com+christian-bedding-set-inspirational-bible-verse-comforter</t>
        </is>
      </c>
      <c r="C36" s="2" t="inlineStr">
        <is>
          <t>qaimg_2d6ac9c705235f17</t>
        </is>
      </c>
      <c r="D36" s="2" t="inlineStr">
        <is>
          <t>MAJOR</t>
        </is>
      </c>
      <c r="E36" s="2" t="inlineStr">
        <is>
          <t>image_observation/alt_effective</t>
        </is>
      </c>
      <c r="F36" s="2" t="inlineStr">
        <is>
          <t>Sizing or included-components information image for the bedding set. | Size guide for Christian Warrior Comforter Set</t>
        </is>
      </c>
      <c r="G36" s="2" t="inlineStr">
        <is>
          <t>Feature graphic stating 100% microfiber, 3D printed pattern, soft touch, lightweight and breathable.</t>
        </is>
      </c>
      <c r="H36" s="2" t="inlineStr">
        <is>
          <t>Observation hoặc alt được gán theo vị trí mẫu và không phản ánh đúng ảnh gốc.</t>
        </is>
      </c>
      <c r="I36" s="2" t="inlineStr">
        <is>
          <t>Christian warrior bedding microfiber and breathable fabric features</t>
        </is>
      </c>
      <c r="J36" s="2" t="inlineStr">
        <is>
          <t>seo_runs\jeminise.com\20260906_234129\evidence\images\16_christian-bedding-set-inspirational-bible-verse-comforter\image_05_47933840130247.jpg; seo_runs\jeminise.com\20260906_234129\evidence\contact_sheets\16_christian-bedding-set-inspirational-bible-verse-comforter.jpg; https://jeminise.com/products/christian-bedding-set-inspirational-bible-verse-comforter; https://cdn.shopify.com/s/files/1/0792/5098/1063/files/e27fc1e04888a4c2e14d4ffbdcdb670ffbe1f1f1b9be43f941b96dffb8e5689d.jpg?v=1787237716</t>
        </is>
      </c>
      <c r="K36" s="2" t="inlineStr">
        <is>
          <t>Mở lại ảnh gốc và xác nhận observation/alt mới mô tả đúng ảnh.</t>
        </is>
      </c>
    </row>
    <row r="37" ht="84" customHeight="1">
      <c r="A37" s="3" t="inlineStr">
        <is>
          <t>ISS-016-IMG-07</t>
        </is>
      </c>
      <c r="B37" s="3" t="inlineStr">
        <is>
          <t>jeminise.com+christian-bedding-set-inspirational-bible-verse-comforter</t>
        </is>
      </c>
      <c r="C37" s="3" t="inlineStr">
        <is>
          <t>qaimg_99da286e0c6a5df7</t>
        </is>
      </c>
      <c r="D37" s="3" t="inlineStr">
        <is>
          <t>MAJOR</t>
        </is>
      </c>
      <c r="E37" s="3" t="inlineStr">
        <is>
          <t>image_observation/alt_effective</t>
        </is>
      </c>
      <c r="F37" s="3" t="inlineStr">
        <is>
          <t>Additional bedroom mockup showing the black Christian warrior lion design with the name David and large white cross design on a bed. | Bedroom mockup of Christian Warrior Comforter Set</t>
        </is>
      </c>
      <c r="G37" s="3" t="inlineStr">
        <is>
          <t>Easy-care graphic stating wrinkle-free, stain-proof, anti-pilling and won't fade in the wash.</t>
        </is>
      </c>
      <c r="H37" s="3" t="inlineStr">
        <is>
          <t>Observation hoặc alt được gán theo vị trí mẫu và không phản ánh đúng ảnh gốc.</t>
        </is>
      </c>
      <c r="I37" s="3" t="inlineStr">
        <is>
          <t>Bedding easy-care, anti-pilling and fade-resistance features</t>
        </is>
      </c>
      <c r="J37" s="3" t="inlineStr">
        <is>
          <t>seo_runs\jeminise.com\20260906_234129\evidence\images\16_christian-bedding-set-inspirational-bible-verse-comforter\image_07_47933840195783.jpg; seo_runs\jeminise.com\20260906_234129\evidence\contact_sheets\16_christian-bedding-set-inspirational-bible-verse-comforter.jpg; https://jeminise.com/products/christian-bedding-set-inspirational-bible-verse-comforter; https://cdn.shopify.com/s/files/1/0792/5098/1063/files/700766e63cdebb7f3088f7ecaf56b3bae4ce4d1ffe15a4a258d5814894208554.jpg?v=1787237716</t>
        </is>
      </c>
      <c r="K37" s="3" t="inlineStr">
        <is>
          <t>Mở lại ảnh gốc và xác nhận observation/alt mới mô tả đúng ảnh.</t>
        </is>
      </c>
    </row>
    <row r="38" ht="84" customHeight="1">
      <c r="A38" s="2" t="inlineStr">
        <is>
          <t>ISS-016-IMG-08</t>
        </is>
      </c>
      <c r="B38" s="2" t="inlineStr">
        <is>
          <t>jeminise.com+christian-bedding-set-inspirational-bible-verse-comforter</t>
        </is>
      </c>
      <c r="C38" s="2" t="inlineStr">
        <is>
          <t>qaimg_b6f3b14622752957</t>
        </is>
      </c>
      <c r="D38" s="2" t="inlineStr">
        <is>
          <t>MINOR</t>
        </is>
      </c>
      <c r="E38" s="2" t="inlineStr">
        <is>
          <t>image_observation/alt_effective</t>
        </is>
      </c>
      <c r="F38" s="2" t="inlineStr">
        <is>
          <t>Additional product information image for size, care, personalization or bedding type. | Size or product option guide for Christian Warrior Comforter Set</t>
        </is>
      </c>
      <c r="G38" s="2" t="inlineStr">
        <is>
          <t>Twin, Full, Queen and King dimension chart; heading reads SIZE DIMENTION.</t>
        </is>
      </c>
      <c r="H38" s="2" t="inlineStr">
        <is>
          <t>Observation hoặc alt được gán theo vị trí mẫu và không phản ánh đúng ảnh gốc.</t>
        </is>
      </c>
      <c r="I38" s="2" t="inlineStr">
        <is>
          <t>Christian bedding size chart for Twin through King</t>
        </is>
      </c>
      <c r="J38" s="2" t="inlineStr">
        <is>
          <t>seo_runs\jeminise.com\20260906_234129\evidence\images\16_christian-bedding-set-inspirational-bible-verse-comforter\image_08_47933840228551.jpg; seo_runs\jeminise.com\20260906_234129\evidence\contact_sheets\16_christian-bedding-set-inspirational-bible-verse-comforter.jpg; https://jeminise.com/products/christian-bedding-set-inspirational-bible-verse-comforter; https://cdn.shopify.com/s/files/1/0792/5098/1063/files/f21374c2239f926c348f6641a7e0f8929698fa199fd8f23e654037e1384e4214.jpg?v=1787237716</t>
        </is>
      </c>
      <c r="K38" s="2" t="inlineStr">
        <is>
          <t>Mở lại ảnh gốc và xác nhận observation/alt mới mô tả đúng ảnh.</t>
        </is>
      </c>
    </row>
    <row r="39" ht="84" customHeight="1">
      <c r="A39" s="3" t="inlineStr">
        <is>
          <t>ISS-017-IMG-04</t>
        </is>
      </c>
      <c r="B39" s="3" t="inlineStr">
        <is>
          <t>jeminise.com+christmas-bedding-quilt-soft-microfiber-holiday-bedsprea-design-01</t>
        </is>
      </c>
      <c r="C39" s="3" t="inlineStr">
        <is>
          <t>qaimg_2eab440c26c84af6</t>
        </is>
      </c>
      <c r="D39" s="3" t="inlineStr">
        <is>
          <t>MAJOR</t>
        </is>
      </c>
      <c r="E39" s="3" t="inlineStr">
        <is>
          <t>image_observation/alt_effective</t>
        </is>
      </c>
      <c r="F39" s="3" t="inlineStr">
        <is>
          <t>Room/folded product or fabric information image tied to the Christmas tree patchwork quilt in red, navy, green and cream squares design. | Christmas Tree Patchwork Quilt Set shown in a bedroom setting</t>
        </is>
      </c>
      <c r="G39" s="3" t="inlineStr">
        <is>
          <t>Close-up of the printed faux-patchwork surface and visible quilting lines.</t>
        </is>
      </c>
      <c r="H39" s="3" t="inlineStr">
        <is>
          <t>Observation hoặc alt được gán theo vị trí mẫu và không phản ánh đúng ảnh gốc.</t>
        </is>
      </c>
      <c r="I39" s="3" t="inlineStr">
        <is>
          <t>Close-up of Christmas tree patchwork quilt print and quilting</t>
        </is>
      </c>
      <c r="J39" s="3" t="inlineStr">
        <is>
          <t>seo_runs\jeminise.com\20260906_234129\evidence\images\17_christmas-bedding-quilt-soft-microfiber-holiday-bedsprea-design-01\image_04_47934037459143.jpg; seo_runs\jeminise.com\20260906_234129\evidence\contact_sheets\17_christmas-bedding-quilt-soft-microfiber-holiday-bedsprea-design-01.jpg; https://jeminise.com/products/christmas-bedding-quilt-soft-microfiber-holiday-bedsprea-design-01; https://cdn.shopify.com/s/files/1/0792/5098/1063/files/c7fc88ca9ec64e57ac466c010b032d865a04a5f7efbdb4acdfcaf38397afc4e5.jpg?v=1787239344</t>
        </is>
      </c>
      <c r="K39" s="3" t="inlineStr">
        <is>
          <t>Mở lại ảnh gốc và xác nhận observation/alt mới mô tả đúng ảnh.</t>
        </is>
      </c>
    </row>
    <row r="40" ht="84" customHeight="1">
      <c r="A40" s="2" t="inlineStr">
        <is>
          <t>ISS-018-IMG-03</t>
        </is>
      </c>
      <c r="B40" s="2" t="inlineStr">
        <is>
          <t>jeminise.com+christmas-bedding-quilt-soft-microfiber-holiday-bedsprea-design-02</t>
        </is>
      </c>
      <c r="C40" s="2" t="inlineStr">
        <is>
          <t>qaimg_f2b384723c7f1b30</t>
        </is>
      </c>
      <c r="D40" s="2" t="inlineStr">
        <is>
          <t>MAJOR</t>
        </is>
      </c>
      <c r="E40" s="2" t="inlineStr">
        <is>
          <t>image_observation/alt_effective</t>
        </is>
      </c>
      <c r="F40" s="2" t="inlineStr">
        <is>
          <t>Matching pillow sham or bedding detail using the same Santa, snowman, reindeer and Christmas tree patchwork quilt artwork. | Matching pillow sham for Santa and gingerbread Christmas Quilt Set</t>
        </is>
      </c>
      <c r="G40" s="2" t="inlineStr">
        <is>
          <t>Close-up of the printed faux-patchwork surface and visible quilting lines.</t>
        </is>
      </c>
      <c r="H40" s="2" t="inlineStr">
        <is>
          <t>Observation hoặc alt được gán theo vị trí mẫu và không phản ánh đúng ảnh gốc.</t>
        </is>
      </c>
      <c r="I40" s="2" t="inlineStr">
        <is>
          <t>Close-up of Santa and snowman Christmas quilt print and quilting</t>
        </is>
      </c>
      <c r="J40" s="2" t="inlineStr">
        <is>
          <t>seo_runs\jeminise.com\20260906_234129\evidence\images\18_christmas-bedding-quilt-soft-microfiber-holiday-bedsprea-design-02\image_03_47934037983431.jpg; seo_runs\jeminise.com\20260906_234129\evidence\contact_sheets\18_christmas-bedding-quilt-soft-microfiber-holiday-bedsprea-design-02.jpg; https://jeminise.com/products/christmas-bedding-quilt-soft-microfiber-holiday-bedsprea-design-02; https://cdn.shopify.com/s/files/1/0792/5098/1063/files/0497bbb180b270bb821aa012be14278640ab96779bd2279f6fde75e9a69bc981.jpg?v=1787239348</t>
        </is>
      </c>
      <c r="K40" s="2" t="inlineStr">
        <is>
          <t>Mở lại ảnh gốc và xác nhận observation/alt mới mô tả đúng ảnh.</t>
        </is>
      </c>
    </row>
    <row r="41" ht="84" customHeight="1">
      <c r="A41" s="3" t="inlineStr">
        <is>
          <t>ISS-018-IMG-04</t>
        </is>
      </c>
      <c r="B41" s="3" t="inlineStr">
        <is>
          <t>jeminise.com+christmas-bedding-quilt-soft-microfiber-holiday-bedsprea-design-02</t>
        </is>
      </c>
      <c r="C41" s="3" t="inlineStr">
        <is>
          <t>qaimg_b9d194fcd7779d6b</t>
        </is>
      </c>
      <c r="D41" s="3" t="inlineStr">
        <is>
          <t>MAJOR</t>
        </is>
      </c>
      <c r="E41" s="3" t="inlineStr">
        <is>
          <t>image_observation/alt_effective</t>
        </is>
      </c>
      <c r="F41" s="3" t="inlineStr">
        <is>
          <t>Room/folded product or fabric information image tied to the Santa, snowman, reindeer and Christmas tree patchwork quilt design. | Santa and gingerbread Christmas Quilt Set shown in a bedroom setting</t>
        </is>
      </c>
      <c r="G41" s="3" t="inlineStr">
        <is>
          <t>Isolated matching pillow sham with Santa, snowman, reindeer and tree blocks.</t>
        </is>
      </c>
      <c r="H41" s="3" t="inlineStr">
        <is>
          <t>Observation hoặc alt được gán theo vị trí mẫu và không phản ánh đúng ảnh gốc.</t>
        </is>
      </c>
      <c r="I41" s="3" t="inlineStr">
        <is>
          <t>Matching Santa and snowman Christmas quilt pillow sham</t>
        </is>
      </c>
      <c r="J41" s="3" t="inlineStr">
        <is>
          <t>seo_runs\jeminise.com\20260906_234129\evidence\images\18_christmas-bedding-quilt-soft-microfiber-holiday-bedsprea-design-02\image_04_47934038016199.jpg; seo_runs\jeminise.com\20260906_234129\evidence\contact_sheets\18_christmas-bedding-quilt-soft-microfiber-holiday-bedsprea-design-02.jpg; https://jeminise.com/products/christmas-bedding-quilt-soft-microfiber-holiday-bedsprea-design-02; https://cdn.shopify.com/s/files/1/0792/5098/1063/files/c905e081df2beed08b734c876c22d231c44cf1610294b7c0b8f756a1008190b1.jpg?v=1787239348</t>
        </is>
      </c>
      <c r="K41" s="3" t="inlineStr">
        <is>
          <t>Mở lại ảnh gốc và xác nhận observation/alt mới mô tả đúng ảnh.</t>
        </is>
      </c>
    </row>
    <row r="42" ht="84" customHeight="1">
      <c r="A42" s="2" t="inlineStr">
        <is>
          <t>ISS-019-IMG-03</t>
        </is>
      </c>
      <c r="B42" s="2" t="inlineStr">
        <is>
          <t>jeminise.com+christmas-bedding-quilt-soft-microfiber-holiday-bedsprea-design-03</t>
        </is>
      </c>
      <c r="C42" s="2" t="inlineStr">
        <is>
          <t>qaimg_57cd95af61fa1fa9</t>
        </is>
      </c>
      <c r="D42" s="2" t="inlineStr">
        <is>
          <t>MAJOR</t>
        </is>
      </c>
      <c r="E42" s="2" t="inlineStr">
        <is>
          <t>image_observation/alt_effective</t>
        </is>
      </c>
      <c r="F42" s="2" t="inlineStr">
        <is>
          <t>Matching pillow sham or bedding detail using the same gingerbread man Christmas quilt with candy cane and holly on a red background artwork. | Matching pillow sham for Gingerbread Christmas Quilt Set</t>
        </is>
      </c>
      <c r="G42" s="2" t="inlineStr">
        <is>
          <t>Close-up of the printed gingerbread surface and visible quilting lines.</t>
        </is>
      </c>
      <c r="H42" s="2" t="inlineStr">
        <is>
          <t>Observation hoặc alt được gán theo vị trí mẫu và không phản ánh đúng ảnh gốc.</t>
        </is>
      </c>
      <c r="I42" s="2" t="inlineStr">
        <is>
          <t>Close-up of gingerbread Christmas quilt print and quilting</t>
        </is>
      </c>
      <c r="J42" s="2" t="inlineStr">
        <is>
          <t>seo_runs\jeminise.com\20260906_234129\evidence\images\19_christmas-bedding-quilt-soft-microfiber-holiday-bedsprea-design-03\image_03_47934039326919.jpg; seo_runs\jeminise.com\20260906_234129\evidence\contact_sheets\19_christmas-bedding-quilt-soft-microfiber-holiday-bedsprea-design-03.jpg; https://jeminise.com/products/christmas-bedding-quilt-soft-microfiber-holiday-bedsprea-design-03; https://cdn.shopify.com/s/files/1/0792/5098/1063/files/fc9d9bb7a4157494e84e2760896b163917544674147d59e79260c06c7047b8fa.jpg?v=1787239363</t>
        </is>
      </c>
      <c r="K42" s="2" t="inlineStr">
        <is>
          <t>Mở lại ảnh gốc và xác nhận observation/alt mới mô tả đúng ảnh.</t>
        </is>
      </c>
    </row>
    <row r="43" ht="84" customHeight="1">
      <c r="A43" s="3" t="inlineStr">
        <is>
          <t>ISS-019-IMG-04</t>
        </is>
      </c>
      <c r="B43" s="3" t="inlineStr">
        <is>
          <t>jeminise.com+christmas-bedding-quilt-soft-microfiber-holiday-bedsprea-design-03</t>
        </is>
      </c>
      <c r="C43" s="3" t="inlineStr">
        <is>
          <t>qaimg_0720fd612d328acd</t>
        </is>
      </c>
      <c r="D43" s="3" t="inlineStr">
        <is>
          <t>MAJOR</t>
        </is>
      </c>
      <c r="E43" s="3" t="inlineStr">
        <is>
          <t>image_observation/alt_effective</t>
        </is>
      </c>
      <c r="F43" s="3" t="inlineStr">
        <is>
          <t>Room/folded product or fabric information image tied to the gingerbread man Christmas quilt with candy cane and holly on a red background design. | Gingerbread Christmas Quilt Set shown in a bedroom setting</t>
        </is>
      </c>
      <c r="G43" s="3" t="inlineStr">
        <is>
          <t>Isolated matching pillow sham with gingerbread man and candy cane artwork.</t>
        </is>
      </c>
      <c r="H43" s="3" t="inlineStr">
        <is>
          <t>Observation hoặc alt được gán theo vị trí mẫu và không phản ánh đúng ảnh gốc.</t>
        </is>
      </c>
      <c r="I43" s="3" t="inlineStr">
        <is>
          <t>Matching gingerbread Christmas quilt pillow sham</t>
        </is>
      </c>
      <c r="J43" s="3" t="inlineStr">
        <is>
          <t>seo_runs\jeminise.com\20260906_234129\evidence\images\19_christmas-bedding-quilt-soft-microfiber-holiday-bedsprea-design-03\image_04_47934039359687.jpg; seo_runs\jeminise.com\20260906_234129\evidence\contact_sheets\19_christmas-bedding-quilt-soft-microfiber-holiday-bedsprea-design-03.jpg; https://jeminise.com/products/christmas-bedding-quilt-soft-microfiber-holiday-bedsprea-design-03; https://cdn.shopify.com/s/files/1/0792/5098/1063/files/ed1f801ef63b58d7c0fa153b8385667b922eaf1d12c757a8abe5554bf16b8de3.jpg?v=1787239363</t>
        </is>
      </c>
      <c r="K43" s="3" t="inlineStr">
        <is>
          <t>Mở lại ảnh gốc và xác nhận observation/alt mới mô tả đúng ảnh.</t>
        </is>
      </c>
    </row>
    <row r="44" ht="84" customHeight="1">
      <c r="A44" s="2" t="inlineStr">
        <is>
          <t>ISS-020-IMG-03</t>
        </is>
      </c>
      <c r="B44" s="2" t="inlineStr">
        <is>
          <t>jeminise.com+christmas-bedding-quilt-soft-microfiber-holiday-bedsprea-design-04</t>
        </is>
      </c>
      <c r="C44" s="2" t="inlineStr">
        <is>
          <t>qaimg_8c124437c257a823</t>
        </is>
      </c>
      <c r="D44" s="2" t="inlineStr">
        <is>
          <t>MINOR</t>
        </is>
      </c>
      <c r="E44" s="2" t="inlineStr">
        <is>
          <t>image_observation/alt_effective</t>
        </is>
      </c>
      <c r="F44" s="2" t="inlineStr">
        <is>
          <t>Matching pillow sham or bedding detail using the same two gingerbread figures with Christmas gifts, candy cane and holly artwork. | Matching pillow sham for Gingerbread Gift Christmas Quilt Set</t>
        </is>
      </c>
      <c r="G44" s="2" t="inlineStr">
        <is>
          <t>Isolated matching pillow sham with two gingerbread figures and wrapped gifts.</t>
        </is>
      </c>
      <c r="H44" s="2" t="inlineStr">
        <is>
          <t>Observation hoặc alt được gán theo vị trí mẫu và không phản ánh đúng ảnh gốc.</t>
        </is>
      </c>
      <c r="I44" s="2" t="inlineStr">
        <is>
          <t>Matching gingerbread gift Christmas quilt pillow sham</t>
        </is>
      </c>
      <c r="J44" s="2" t="inlineStr">
        <is>
          <t>seo_runs\jeminise.com\20260906_234129\evidence\images\20_christmas-bedding-quilt-soft-microfiber-holiday-bedsprea-design-04\image_03_47934038704327.jpg; seo_runs\jeminise.com\20260906_234129\evidence\contact_sheets\20_christmas-bedding-quilt-soft-microfiber-holiday-bedsprea-design-04.jpg; https://jeminise.com/products/christmas-bedding-quilt-soft-microfiber-holiday-bedsprea-design-04; https://cdn.shopify.com/s/files/1/0792/5098/1063/files/e80ea2d2d8dcc4ea9023f55162873b983177fa3a8f595e088474768ad799ed5c.jpg?v=1787239355</t>
        </is>
      </c>
      <c r="K44" s="2" t="inlineStr">
        <is>
          <t>Mở lại ảnh gốc và xác nhận observation/alt mới mô tả đúng ảnh.</t>
        </is>
      </c>
    </row>
    <row r="45" ht="84" customHeight="1">
      <c r="A45" s="3" t="inlineStr">
        <is>
          <t>ISS-020-IMG-04</t>
        </is>
      </c>
      <c r="B45" s="3" t="inlineStr">
        <is>
          <t>jeminise.com+christmas-bedding-quilt-soft-microfiber-holiday-bedsprea-design-04</t>
        </is>
      </c>
      <c r="C45" s="3" t="inlineStr">
        <is>
          <t>qaimg_e39a54370ad87c7c</t>
        </is>
      </c>
      <c r="D45" s="3" t="inlineStr">
        <is>
          <t>MAJOR</t>
        </is>
      </c>
      <c r="E45" s="3" t="inlineStr">
        <is>
          <t>image_observation/alt_effective</t>
        </is>
      </c>
      <c r="F45" s="3" t="inlineStr">
        <is>
          <t>Room/folded product or fabric information image tied to the two gingerbread figures with Christmas gifts, candy cane and holly design. | Gingerbread Gift Christmas Quilt Set shown in a bedroom setting</t>
        </is>
      </c>
      <c r="G45" s="3" t="inlineStr">
        <is>
          <t>Close-up of the printed gingerbread surface and visible quilting lines.</t>
        </is>
      </c>
      <c r="H45" s="3" t="inlineStr">
        <is>
          <t>Observation hoặc alt được gán theo vị trí mẫu và không phản ánh đúng ảnh gốc.</t>
        </is>
      </c>
      <c r="I45" s="3" t="inlineStr">
        <is>
          <t>Close-up of gingerbread gift Christmas quilt print and quilting</t>
        </is>
      </c>
      <c r="J45" s="3" t="inlineStr">
        <is>
          <t>seo_runs\jeminise.com\20260906_234129\evidence\images\20_christmas-bedding-quilt-soft-microfiber-holiday-bedsprea-design-04\image_04_47934038737095.jpg; seo_runs\jeminise.com\20260906_234129\evidence\contact_sheets\20_christmas-bedding-quilt-soft-microfiber-holiday-bedsprea-design-04.jpg; https://jeminise.com/products/christmas-bedding-quilt-soft-microfiber-holiday-bedsprea-design-04; https://cdn.shopify.com/s/files/1/0792/5098/1063/files/f3fc13bb561a00481ad014ca51c18eab68958750857b4d44f0ceee5c393efef5.jpg?v=1787239355</t>
        </is>
      </c>
      <c r="K45" s="3" t="inlineStr">
        <is>
          <t>Mở lại ảnh gốc và xác nhận observation/alt mới mô tả đúng ảnh.</t>
        </is>
      </c>
    </row>
    <row r="46" ht="84" customHeight="1">
      <c r="A46" s="2" t="inlineStr">
        <is>
          <t>R2-ISS-011-BODY</t>
        </is>
      </c>
      <c r="B46" s="2" t="inlineStr">
        <is>
          <t>jeminise.com+christian-bedding-set-inspirational-bible-verse-comforte-design-02</t>
        </is>
      </c>
      <c r="C46" s="2" t="inlineStr"/>
      <c r="D46" s="2" t="inlineStr">
        <is>
          <t>MAJOR</t>
        </is>
      </c>
      <c r="E46" s="2" t="inlineStr">
        <is>
          <t>description_proposed_html</t>
        </is>
      </c>
      <c r="F46" s="2" t="inlineStr">
        <is>
          <t>&lt;p&gt;Add themed style to the bedroom with this Jeminise comforter set featuring Orange and white christian bedding with god says i am text, the name jessica, rose flowers, butterflies, bible verse affirmation blocks and product information images. The artwork is shown across the main bedding mockup and coordinated pillow or sham images where included.&lt;/p&gt;&lt;h3&gt;Design Details&lt;/h3&gt;&lt;ul&gt;&lt;li&gt;Artwork focus: Orange and white christian bedding with god says i am text, the name jessica, rose flowers, butterflies, bible verse affirmation blocks and product information images.&lt;/li&gt;&lt;li&gt;Gallery images show the main bedding view, detail views, fabric or care graphics, and included-component visuals where available.&lt;/li&gt;&lt;/ul&gt;&lt;h3&gt;Product Options&lt;/h3&gt;&lt;ul&gt;&lt;li&gt;Choose from the available size and pillowcase options shown on the product page.&lt;/li&gt;&lt;li&gt;Review the live product options before checkout to confirm the selected configuration.&lt;/li&gt;&lt;/ul&gt;</t>
        </is>
      </c>
      <c r="G46" s="2" t="inlineStr">
        <is>
          <t>Nội dung nội bộ đã được loại bỏ nhưng phần mô tả r2 còn chung chung và bỏ sót chi tiết mua hàng đã xác minh.</t>
        </is>
      </c>
      <c r="H46" s="2" t="inlineStr">
        <is>
          <t>Mô tả chưa tận dụng dimensions, thành phần, material/care và tùy chọn thực tế.</t>
        </is>
      </c>
      <c r="I46" s="2" t="inlineStr">
        <is>
          <t>Rewrite concise customer-facing English HTML using only verified product-specific facts and exact option/component wording.</t>
        </is>
      </c>
      <c r="J46" s="2" t="inlineStr">
        <is>
          <t>evidence_batch_002_011</t>
        </is>
      </c>
      <c r="K46" s="2" t="inlineStr">
        <is>
          <t>Render HTML and confirm product-specific facts are complete and source-backed.</t>
        </is>
      </c>
    </row>
    <row r="47" ht="84" customHeight="1">
      <c r="A47" s="3" t="inlineStr">
        <is>
          <t>ISS-011-ENC</t>
        </is>
      </c>
      <c r="B47" s="3" t="inlineStr">
        <is>
          <t>jeminise.com+christian-bedding-set-inspirational-bible-verse-comforte-design-02</t>
        </is>
      </c>
      <c r="C47" s="3" t="inlineStr"/>
      <c r="D47" s="3" t="inlineStr">
        <is>
          <t>MINOR</t>
        </is>
      </c>
      <c r="E47" s="3" t="inlineStr">
        <is>
          <t>title_current/H1_current</t>
        </is>
      </c>
      <c r="F47" s="3" t="inlineStr">
        <is>
          <t>Christian Bedding Set – Inspirational Bible Verse Comforte - Design 02</t>
        </is>
      </c>
      <c r="G47" s="3" t="inlineStr">
        <is>
          <t>Christian Bedding Set – Inspirational Bible Verse Comforte - Design 02</t>
        </is>
      </c>
      <c r="H47" s="3" t="inlineStr">
        <is>
          <t>Title/H1 live chứa ký tự thay thế U+FFFD và từ bị cắt.</t>
        </is>
      </c>
      <c r="I47" s="3" t="inlineStr">
        <is>
          <t>God Says I Am Christian Comforter Set</t>
        </is>
      </c>
      <c r="J47" s="3" t="inlineStr">
        <is>
          <t>https://jeminise.com/products/christian-bedding-set-inspirational-bible-verse-comforte-design-02</t>
        </is>
      </c>
      <c r="K47" s="3" t="inlineStr">
        <is>
          <t>Rendered title and H1 no longer contain U+FFFD or truncated words.</t>
        </is>
      </c>
    </row>
    <row r="48" ht="84" customHeight="1">
      <c r="A48" s="2" t="inlineStr">
        <is>
          <t>R2-ISS-012-BODY</t>
        </is>
      </c>
      <c r="B48" s="2" t="inlineStr">
        <is>
          <t>jeminise.com+christian-bedding-set-inspirational-bible-verse-comforte-design-03</t>
        </is>
      </c>
      <c r="C48" s="2" t="inlineStr"/>
      <c r="D48" s="2" t="inlineStr">
        <is>
          <t>MAJOR</t>
        </is>
      </c>
      <c r="E48" s="2" t="inlineStr">
        <is>
          <t>description_proposed_html</t>
        </is>
      </c>
      <c r="F48" s="2" t="inlineStr">
        <is>
          <t>&lt;p&gt;Add themed style to the bedroom with this Jeminise comforter set featuring White christian bedding with the name evelyn, cross icons, dove and fish symbols, many bible affirmation words and product information images. The artwork is shown across the main bedding mockup and coordinated pillow or sham images where included.&lt;/p&gt;&lt;h3&gt;Design Details&lt;/h3&gt;&lt;ul&gt;&lt;li&gt;Artwork focus: White christian bedding with the name evelyn, cross icons, dove and fish symbols, many bible affirmation words and product information images.&lt;/li&gt;&lt;li&gt;Gallery images show the main bedding view, detail views, fabric or care graphics, and included-component visuals where available.&lt;/li&gt;&lt;/ul&gt;&lt;h3&gt;Product Options&lt;/h3&gt;&lt;ul&gt;&lt;li&gt;Choose from the available size and pillowcase options shown on the product page.&lt;/li&gt;&lt;li&gt;Review the live product options before checkout to confirm the selected configuration.&lt;/li&gt;&lt;/ul&gt;</t>
        </is>
      </c>
      <c r="G48" s="2" t="inlineStr">
        <is>
          <t>Nội dung nội bộ đã được loại bỏ nhưng phần mô tả r2 còn chung chung và bỏ sót chi tiết mua hàng đã xác minh.</t>
        </is>
      </c>
      <c r="H48" s="2" t="inlineStr">
        <is>
          <t>Mô tả chưa tận dụng dimensions, thành phần, material/care và tùy chọn thực tế.</t>
        </is>
      </c>
      <c r="I48" s="2" t="inlineStr">
        <is>
          <t>Rewrite concise customer-facing English HTML using only verified product-specific facts and exact option/component wording.</t>
        </is>
      </c>
      <c r="J48" s="2" t="inlineStr">
        <is>
          <t>evidence_batch_002_012</t>
        </is>
      </c>
      <c r="K48" s="2" t="inlineStr">
        <is>
          <t>Render HTML and confirm product-specific facts are complete and source-backed.</t>
        </is>
      </c>
    </row>
    <row r="49" ht="84" customHeight="1">
      <c r="A49" s="3" t="inlineStr">
        <is>
          <t>ISS-012-ENC</t>
        </is>
      </c>
      <c r="B49" s="3" t="inlineStr">
        <is>
          <t>jeminise.com+christian-bedding-set-inspirational-bible-verse-comforte-design-03</t>
        </is>
      </c>
      <c r="C49" s="3" t="inlineStr"/>
      <c r="D49" s="3" t="inlineStr">
        <is>
          <t>MINOR</t>
        </is>
      </c>
      <c r="E49" s="3" t="inlineStr">
        <is>
          <t>title_current/H1_current</t>
        </is>
      </c>
      <c r="F49" s="3" t="inlineStr">
        <is>
          <t>Christian Bedding Set – Inspirational Bible Verse Comforte - Design 03</t>
        </is>
      </c>
      <c r="G49" s="3" t="inlineStr">
        <is>
          <t>Christian Bedding Set – Inspirational Bible Verse Comforte - Design 03</t>
        </is>
      </c>
      <c r="H49" s="3" t="inlineStr">
        <is>
          <t>Title/H1 live chứa ký tự thay thế U+FFFD và từ bị cắt.</t>
        </is>
      </c>
      <c r="I49" s="3" t="inlineStr">
        <is>
          <t>Christian Bible Verse Comforter Set</t>
        </is>
      </c>
      <c r="J49" s="3" t="inlineStr">
        <is>
          <t>https://jeminise.com/products/christian-bedding-set-inspirational-bible-verse-comforte-design-03</t>
        </is>
      </c>
      <c r="K49" s="3" t="inlineStr">
        <is>
          <t>Rendered title and H1 no longer contain U+FFFD or truncated words.</t>
        </is>
      </c>
    </row>
    <row r="50" ht="84" customHeight="1">
      <c r="A50" s="2" t="inlineStr">
        <is>
          <t>R2-ISS-013-BODY</t>
        </is>
      </c>
      <c r="B50" s="2" t="inlineStr">
        <is>
          <t>jeminise.com+christian-bedding-set-inspirational-bible-verse-comforte-design-04</t>
        </is>
      </c>
      <c r="C50" s="2" t="inlineStr"/>
      <c r="D50" s="2" t="inlineStr">
        <is>
          <t>MAJOR</t>
        </is>
      </c>
      <c r="E50" s="2" t="inlineStr">
        <is>
          <t>description_proposed_html</t>
        </is>
      </c>
      <c r="F50" s="2" t="inlineStr">
        <is>
          <t>&lt;p&gt;Add themed style to the bedroom with this Jeminise comforter set featuring Black, brown and gold christian bedding with the name olivia, butterflies, floral vine artwork, god is within her she will not fall text and affirmation blocks. The artwork is shown across the main bedding mockup and coordinated pillow or sham images where included.&lt;/p&gt;&lt;h3&gt;Design Details&lt;/h3&gt;&lt;ul&gt;&lt;li&gt;Artwork focus: Black, brown and gold christian bedding with the name olivia, butterflies, floral vine artwork, god is within her she will not fall text and affirmation blocks.&lt;/li&gt;&lt;li&gt;Gallery images show the main bedding view, detail views, fabric or care graphics, and included-component visuals where available.&lt;/li&gt;&lt;/ul&gt;&lt;h3&gt;Product Options&lt;/h3&gt;&lt;ul&gt;&lt;li&gt;Choose from the available size and pillowcase options shown on the product page.&lt;/li&gt;&lt;li&gt;Review the live product options before checkout to confirm the selected configuration.&lt;/li&gt;&lt;/ul&gt;</t>
        </is>
      </c>
      <c r="G50" s="2" t="inlineStr">
        <is>
          <t>Nội dung nội bộ đã được loại bỏ nhưng phần mô tả r2 còn chung chung và bỏ sót chi tiết mua hàng đã xác minh.</t>
        </is>
      </c>
      <c r="H50" s="2" t="inlineStr">
        <is>
          <t>Mô tả chưa tận dụng dimensions, thành phần, material/care và tùy chọn thực tế.</t>
        </is>
      </c>
      <c r="I50" s="2" t="inlineStr">
        <is>
          <t>Rewrite concise customer-facing English HTML using only verified product-specific facts and exact option/component wording.</t>
        </is>
      </c>
      <c r="J50" s="2" t="inlineStr">
        <is>
          <t>evidence_batch_002_013</t>
        </is>
      </c>
      <c r="K50" s="2" t="inlineStr">
        <is>
          <t>Render HTML and confirm product-specific facts are complete and source-backed.</t>
        </is>
      </c>
    </row>
    <row r="51" ht="84" customHeight="1">
      <c r="A51" s="3" t="inlineStr">
        <is>
          <t>ISS-013-ENC</t>
        </is>
      </c>
      <c r="B51" s="3" t="inlineStr">
        <is>
          <t>jeminise.com+christian-bedding-set-inspirational-bible-verse-comforte-design-04</t>
        </is>
      </c>
      <c r="C51" s="3" t="inlineStr"/>
      <c r="D51" s="3" t="inlineStr">
        <is>
          <t>MINOR</t>
        </is>
      </c>
      <c r="E51" s="3" t="inlineStr">
        <is>
          <t>title_current/H1_current</t>
        </is>
      </c>
      <c r="F51" s="3" t="inlineStr">
        <is>
          <t>Christian Bedding Set – Inspirational Bible Verse Comforte - Design 04</t>
        </is>
      </c>
      <c r="G51" s="3" t="inlineStr">
        <is>
          <t>Christian Bedding Set – Inspirational Bible Verse Comforte - Design 04</t>
        </is>
      </c>
      <c r="H51" s="3" t="inlineStr">
        <is>
          <t>Title/H1 live chứa ký tự thay thế U+FFFD và từ bị cắt.</t>
        </is>
      </c>
      <c r="I51" s="3" t="inlineStr">
        <is>
          <t>God Is Within Her Christian Comforter</t>
        </is>
      </c>
      <c r="J51" s="3" t="inlineStr">
        <is>
          <t>https://jeminise.com/products/christian-bedding-set-inspirational-bible-verse-comforte-design-04</t>
        </is>
      </c>
      <c r="K51" s="3" t="inlineStr">
        <is>
          <t>Rendered title and H1 no longer contain U+FFFD or truncated words.</t>
        </is>
      </c>
    </row>
    <row r="52" ht="84" customHeight="1">
      <c r="A52" s="2" t="inlineStr">
        <is>
          <t>R2-ISS-014-BODY</t>
        </is>
      </c>
      <c r="B52" s="2" t="inlineStr">
        <is>
          <t>jeminise.com+christian-bedding-set-inspirational-bible-verse-comforte-design-05</t>
        </is>
      </c>
      <c r="C52" s="2" t="inlineStr"/>
      <c r="D52" s="2" t="inlineStr">
        <is>
          <t>MAJOR</t>
        </is>
      </c>
      <c r="E52" s="2" t="inlineStr">
        <is>
          <t>description_proposed_html</t>
        </is>
      </c>
      <c r="F52" s="2" t="inlineStr">
        <is>
          <t>&lt;p&gt;Add themed style to the bedroom with this Jeminise comforter set featuring White and blue christian bedding with the name emily, god says i am text, blue floral border and affirmation blocks. The artwork is shown across the main bedding mockup and coordinated pillow or sham images where included.&lt;/p&gt;&lt;h3&gt;Design Details&lt;/h3&gt;&lt;ul&gt;&lt;li&gt;Artwork focus: White and blue christian bedding with the name emily, god says i am text, blue floral border and affirmation blocks.&lt;/li&gt;&lt;li&gt;Gallery images show the main bedding view, detail views, fabric or care graphics, and included-component visuals where available.&lt;/li&gt;&lt;/ul&gt;&lt;h3&gt;Product Options&lt;/h3&gt;&lt;ul&gt;&lt;li&gt;Choose from the available size and pillowcase options shown on the product page.&lt;/li&gt;&lt;li&gt;Review the live product options before checkout to confirm the selected configuration.&lt;/li&gt;&lt;/ul&gt;</t>
        </is>
      </c>
      <c r="G52" s="2" t="inlineStr">
        <is>
          <t>Nội dung nội bộ đã được loại bỏ nhưng phần mô tả r2 còn chung chung và bỏ sót chi tiết mua hàng đã xác minh.</t>
        </is>
      </c>
      <c r="H52" s="2" t="inlineStr">
        <is>
          <t>Mô tả chưa tận dụng dimensions, thành phần, material/care và tùy chọn thực tế.</t>
        </is>
      </c>
      <c r="I52" s="2" t="inlineStr">
        <is>
          <t>Rewrite concise customer-facing English HTML using only verified product-specific facts and exact option/component wording.</t>
        </is>
      </c>
      <c r="J52" s="2" t="inlineStr">
        <is>
          <t>evidence_batch_002_014</t>
        </is>
      </c>
      <c r="K52" s="2" t="inlineStr">
        <is>
          <t>Render HTML and confirm product-specific facts are complete and source-backed.</t>
        </is>
      </c>
    </row>
    <row r="53" ht="84" customHeight="1">
      <c r="A53" s="3" t="inlineStr">
        <is>
          <t>ISS-014-ENC</t>
        </is>
      </c>
      <c r="B53" s="3" t="inlineStr">
        <is>
          <t>jeminise.com+christian-bedding-set-inspirational-bible-verse-comforte-design-05</t>
        </is>
      </c>
      <c r="C53" s="3" t="inlineStr"/>
      <c r="D53" s="3" t="inlineStr">
        <is>
          <t>MINOR</t>
        </is>
      </c>
      <c r="E53" s="3" t="inlineStr">
        <is>
          <t>title_current/H1_current</t>
        </is>
      </c>
      <c r="F53" s="3" t="inlineStr">
        <is>
          <t>Christian Bedding Set – Inspirational Bible Verse Comforte - Design 05</t>
        </is>
      </c>
      <c r="G53" s="3" t="inlineStr">
        <is>
          <t>Christian Bedding Set – Inspirational Bible Verse Comforte - Design 05</t>
        </is>
      </c>
      <c r="H53" s="3" t="inlineStr">
        <is>
          <t>Title/H1 live chứa ký tự thay thế U+FFFD và từ bị cắt.</t>
        </is>
      </c>
      <c r="I53" s="3" t="inlineStr">
        <is>
          <t>Blue God Says I Am Christian Comforter Set</t>
        </is>
      </c>
      <c r="J53" s="3" t="inlineStr">
        <is>
          <t>https://jeminise.com/products/christian-bedding-set-inspirational-bible-verse-comforte-design-05</t>
        </is>
      </c>
      <c r="K53" s="3" t="inlineStr">
        <is>
          <t>Rendered title and H1 no longer contain U+FFFD or truncated words.</t>
        </is>
      </c>
    </row>
    <row r="54" ht="84" customHeight="1">
      <c r="A54" s="2" t="inlineStr">
        <is>
          <t>R2-ISS-015-BODY</t>
        </is>
      </c>
      <c r="B54" s="2" t="inlineStr">
        <is>
          <t>jeminise.com+christian-bedding-set-inspirational-bible-verse-comforte-design-06</t>
        </is>
      </c>
      <c r="C54" s="2" t="inlineStr"/>
      <c r="D54" s="2" t="inlineStr">
        <is>
          <t>MAJOR</t>
        </is>
      </c>
      <c r="E54" s="2" t="inlineStr">
        <is>
          <t>description_proposed_html</t>
        </is>
      </c>
      <c r="F54" s="2" t="inlineStr">
        <is>
          <t>&lt;p&gt;Add themed style to the bedroom with this Jeminise comforter set featuring Brown christian bedding with the name charlotte, butterfly artwork, god is within her she will not fall text and vertical affirmation blocks. The artwork is shown across the main bedding mockup and coordinated pillow or sham images where included.&lt;/p&gt;&lt;h3&gt;Design Details&lt;/h3&gt;&lt;ul&gt;&lt;li&gt;Artwork focus: Brown christian bedding with the name charlotte, butterfly artwork, god is within her she will not fall text and vertical affirmation blocks.&lt;/li&gt;&lt;li&gt;Gallery images show the main bedding view, detail views, fabric or care graphics, and included-component visuals where available.&lt;/li&gt;&lt;/ul&gt;&lt;h3&gt;Product Options&lt;/h3&gt;&lt;ul&gt;&lt;li&gt;Choose from the available size and pillowcase options shown on the product page.&lt;/li&gt;&lt;li&gt;Review the live product options before checkout to confirm the selected configuration.&lt;/li&gt;&lt;/ul&gt;</t>
        </is>
      </c>
      <c r="G54" s="2" t="inlineStr">
        <is>
          <t>Nội dung nội bộ đã được loại bỏ nhưng phần mô tả r2 còn chung chung và bỏ sót chi tiết mua hàng đã xác minh.</t>
        </is>
      </c>
      <c r="H54" s="2" t="inlineStr">
        <is>
          <t>Mô tả chưa tận dụng dimensions, thành phần, material/care và tùy chọn thực tế.</t>
        </is>
      </c>
      <c r="I54" s="2" t="inlineStr">
        <is>
          <t>Rewrite concise customer-facing English HTML using only verified product-specific facts and exact option/component wording.</t>
        </is>
      </c>
      <c r="J54" s="2" t="inlineStr">
        <is>
          <t>evidence_batch_002_015</t>
        </is>
      </c>
      <c r="K54" s="2" t="inlineStr">
        <is>
          <t>Render HTML and confirm product-specific facts are complete and source-backed.</t>
        </is>
      </c>
    </row>
    <row r="55" ht="84" customHeight="1">
      <c r="A55" s="3" t="inlineStr">
        <is>
          <t>ISS-015-ENC</t>
        </is>
      </c>
      <c r="B55" s="3" t="inlineStr">
        <is>
          <t>jeminise.com+christian-bedding-set-inspirational-bible-verse-comforte-design-06</t>
        </is>
      </c>
      <c r="C55" s="3" t="inlineStr"/>
      <c r="D55" s="3" t="inlineStr">
        <is>
          <t>MINOR</t>
        </is>
      </c>
      <c r="E55" s="3" t="inlineStr">
        <is>
          <t>title_current/H1_current</t>
        </is>
      </c>
      <c r="F55" s="3" t="inlineStr">
        <is>
          <t>Christian Bedding Set – Inspirational Bible Verse Comforte - Design 06</t>
        </is>
      </c>
      <c r="G55" s="3" t="inlineStr">
        <is>
          <t>Christian Bedding Set – Inspirational Bible Verse Comforte - Design 06</t>
        </is>
      </c>
      <c r="H55" s="3" t="inlineStr">
        <is>
          <t>Title/H1 live chứa ký tự thay thế U+FFFD và từ bị cắt.</t>
        </is>
      </c>
      <c r="I55" s="3" t="inlineStr">
        <is>
          <t>Christian Butterfly Comforter Set</t>
        </is>
      </c>
      <c r="J55" s="3" t="inlineStr">
        <is>
          <t>https://jeminise.com/products/christian-bedding-set-inspirational-bible-verse-comforte-design-06</t>
        </is>
      </c>
      <c r="K55" s="3" t="inlineStr">
        <is>
          <t>Rendered title and H1 no longer contain U+FFFD or truncated words.</t>
        </is>
      </c>
    </row>
    <row r="56" ht="84" customHeight="1">
      <c r="A56" s="2" t="inlineStr">
        <is>
          <t>R2-ISS-016-BODY</t>
        </is>
      </c>
      <c r="B56" s="2" t="inlineStr">
        <is>
          <t>jeminise.com+christian-bedding-set-inspirational-bible-verse-comforter</t>
        </is>
      </c>
      <c r="C56" s="2" t="inlineStr"/>
      <c r="D56" s="2" t="inlineStr">
        <is>
          <t>MAJOR</t>
        </is>
      </c>
      <c r="E56" s="2" t="inlineStr">
        <is>
          <t>description_proposed_html</t>
        </is>
      </c>
      <c r="F56" s="2" t="inlineStr">
        <is>
          <t>&lt;p&gt;Add themed style to the bedroom with this Jeminise comforter set featuring Black christian comforter with the name david, large white cross, lion and armored warrior artwork, and text about being chosen and made for a purpose. The artwork is shown across the main bedding mockup and coordinated pillow or sham images where included.&lt;/p&gt;&lt;h3&gt;Design Details&lt;/h3&gt;&lt;ul&gt;&lt;li&gt;Artwork focus: Black christian comforter with the name david, large white cross, lion and armored warrior artwork, and text about being chosen and made for a purpose.&lt;/li&gt;&lt;li&gt;Gallery images show the main bedding view, detail views, fabric or care graphics, and included-component visuals where available.&lt;/li&gt;&lt;/ul&gt;&lt;h3&gt;Product Options&lt;/h3&gt;&lt;ul&gt;&lt;li&gt;Choose from the available size and pillowcase options shown on the product page.&lt;/li&gt;&lt;li&gt;Review the live product options before checkout to confirm the selected configuration.&lt;/li&gt;&lt;/ul&gt;</t>
        </is>
      </c>
      <c r="G56" s="2" t="inlineStr">
        <is>
          <t>Nội dung nội bộ đã được loại bỏ nhưng phần mô tả r2 còn chung chung và bỏ sót chi tiết mua hàng đã xác minh.</t>
        </is>
      </c>
      <c r="H56" s="2" t="inlineStr">
        <is>
          <t>Mô tả chưa tận dụng dimensions, thành phần, material/care và tùy chọn thực tế.</t>
        </is>
      </c>
      <c r="I56" s="2" t="inlineStr">
        <is>
          <t>Rewrite concise customer-facing English HTML using only verified product-specific facts and exact option/component wording.</t>
        </is>
      </c>
      <c r="J56" s="2" t="inlineStr">
        <is>
          <t>evidence_batch_002_016</t>
        </is>
      </c>
      <c r="K56" s="2" t="inlineStr">
        <is>
          <t>Render HTML and confirm product-specific facts are complete and source-backed.</t>
        </is>
      </c>
    </row>
    <row r="57" ht="84" customHeight="1">
      <c r="A57" s="3" t="inlineStr">
        <is>
          <t>ISS-016-ENC</t>
        </is>
      </c>
      <c r="B57" s="3" t="inlineStr">
        <is>
          <t>jeminise.com+christian-bedding-set-inspirational-bible-verse-comforter</t>
        </is>
      </c>
      <c r="C57" s="3" t="inlineStr"/>
      <c r="D57" s="3" t="inlineStr">
        <is>
          <t>MINOR</t>
        </is>
      </c>
      <c r="E57" s="3" t="inlineStr">
        <is>
          <t>title_current/H1_current</t>
        </is>
      </c>
      <c r="F57" s="3" t="inlineStr">
        <is>
          <t>Christian Bedding Set – Inspirational Bible Verse Comforter</t>
        </is>
      </c>
      <c r="G57" s="3" t="inlineStr">
        <is>
          <t>Christian Bedding Set – Inspirational Bible Verse Comforter</t>
        </is>
      </c>
      <c r="H57" s="3" t="inlineStr">
        <is>
          <t>Title/H1 live chứa ký tự thay thế U+FFFD và từ bị cắt.</t>
        </is>
      </c>
      <c r="I57" s="3" t="inlineStr">
        <is>
          <t>Christian Warrior Comforter Set</t>
        </is>
      </c>
      <c r="J57" s="3" t="inlineStr">
        <is>
          <t>https://jeminise.com/products/christian-bedding-set-inspirational-bible-verse-comforter</t>
        </is>
      </c>
      <c r="K57" s="3" t="inlineStr">
        <is>
          <t>Rendered title and H1 no longer contain U+FFFD or truncated words.</t>
        </is>
      </c>
    </row>
    <row r="58" ht="84" customHeight="1">
      <c r="A58" s="2" t="inlineStr">
        <is>
          <t>R2-ISS-017-BODY</t>
        </is>
      </c>
      <c r="B58" s="2" t="inlineStr">
        <is>
          <t>jeminise.com+christmas-bedding-quilt-soft-microfiber-holiday-bedsprea-design-01</t>
        </is>
      </c>
      <c r="C58" s="2" t="inlineStr"/>
      <c r="D58" s="2" t="inlineStr">
        <is>
          <t>MAJOR</t>
        </is>
      </c>
      <c r="E58" s="2" t="inlineStr">
        <is>
          <t>description_proposed_html</t>
        </is>
      </c>
      <c r="F58" s="2" t="inlineStr">
        <is>
          <t>&lt;p&gt;Add themed style to the bedroom with this Jeminise quilt set featuring Christmas quilt set with patchwork squares, tree silhouettes, red, navy, olive and cream fabric-look blocks, matching sham, close-up texture and size image. The artwork is shown across the main bedding mockup and coordinated pillow or sham images where included.&lt;/p&gt;&lt;h3&gt;Design Details&lt;/h3&gt;&lt;ul&gt;&lt;li&gt;Artwork focus: Christmas quilt set with patchwork squares, tree silhouettes, red, navy, olive and cream fabric-look blocks, matching sham, close-up texture and size image.&lt;/li&gt;&lt;li&gt;Gallery images show the main bedding view, detail views, fabric or care graphics, and included-component visuals where available.&lt;/li&gt;&lt;/ul&gt;&lt;h3&gt;Product Options&lt;/h3&gt;&lt;ul&gt;&lt;li&gt;Choose from the available size and pillowcase options shown on the product page.&lt;/li&gt;&lt;li&gt;Review the live product options before checkout to confirm the selected configuration.&lt;/li&gt;&lt;/ul&gt;</t>
        </is>
      </c>
      <c r="G58" s="2" t="inlineStr">
        <is>
          <t>Nội dung nội bộ đã được loại bỏ nhưng phần mô tả r2 còn chung chung và bỏ sót chi tiết mua hàng đã xác minh.</t>
        </is>
      </c>
      <c r="H58" s="2" t="inlineStr">
        <is>
          <t>Mô tả chưa tận dụng dimensions, thành phần, material/care và tùy chọn thực tế.</t>
        </is>
      </c>
      <c r="I58" s="2" t="inlineStr">
        <is>
          <t>Rewrite concise customer-facing English HTML using only verified product-specific facts and exact option/component wording.</t>
        </is>
      </c>
      <c r="J58" s="2" t="inlineStr">
        <is>
          <t>evidence_batch_002_017</t>
        </is>
      </c>
      <c r="K58" s="2" t="inlineStr">
        <is>
          <t>Render HTML and confirm product-specific facts are complete and source-backed.</t>
        </is>
      </c>
    </row>
    <row r="59" ht="84" customHeight="1">
      <c r="A59" s="3" t="inlineStr">
        <is>
          <t>ISS-017-ENC</t>
        </is>
      </c>
      <c r="B59" s="3" t="inlineStr">
        <is>
          <t>jeminise.com+christmas-bedding-quilt-soft-microfiber-holiday-bedsprea-design-01</t>
        </is>
      </c>
      <c r="C59" s="3" t="inlineStr"/>
      <c r="D59" s="3" t="inlineStr">
        <is>
          <t>MINOR</t>
        </is>
      </c>
      <c r="E59" s="3" t="inlineStr">
        <is>
          <t>title_current/H1_current</t>
        </is>
      </c>
      <c r="F59" s="3" t="inlineStr">
        <is>
          <t>Christmas Bedding Quilt – Soft Microfiber Holiday Bedsprea - Design 01</t>
        </is>
      </c>
      <c r="G59" s="3" t="inlineStr">
        <is>
          <t>Christmas Bedding Quilt – Soft Microfiber Holiday Bedsprea - Design 01</t>
        </is>
      </c>
      <c r="H59" s="3" t="inlineStr">
        <is>
          <t>Title/H1 live chứa ký tự thay thế U+FFFD và từ bị cắt.</t>
        </is>
      </c>
      <c r="I59" s="3" t="inlineStr">
        <is>
          <t>Christmas Tree Patchwork Quilt Set</t>
        </is>
      </c>
      <c r="J59" s="3" t="inlineStr">
        <is>
          <t>https://jeminise.com/products/christmas-bedding-quilt-soft-microfiber-holiday-bedsprea-design-01</t>
        </is>
      </c>
      <c r="K59" s="3" t="inlineStr">
        <is>
          <t>Rendered title and H1 no longer contain U+FFFD or truncated words.</t>
        </is>
      </c>
    </row>
    <row r="60" ht="84" customHeight="1">
      <c r="A60" s="2" t="inlineStr">
        <is>
          <t>R2-ISS-018-BODY</t>
        </is>
      </c>
      <c r="B60" s="2" t="inlineStr">
        <is>
          <t>jeminise.com+christmas-bedding-quilt-soft-microfiber-holiday-bedsprea-design-02</t>
        </is>
      </c>
      <c r="C60" s="2" t="inlineStr"/>
      <c r="D60" s="2" t="inlineStr">
        <is>
          <t>MAJOR</t>
        </is>
      </c>
      <c r="E60" s="2" t="inlineStr">
        <is>
          <t>description_proposed_html</t>
        </is>
      </c>
      <c r="F60" s="2" t="inlineStr">
        <is>
          <t>&lt;p&gt;Add themed style to the bedroom with this Jeminise quilt set featuring Christmas quilt set with santa faces, snowmen, reindeer, green trees, snowflakes, red and green patchwork blocks, matching sham and size image. The artwork is shown across the main bedding mockup and coordinated pillow or sham images where included.&lt;/p&gt;&lt;h3&gt;Design Details&lt;/h3&gt;&lt;ul&gt;&lt;li&gt;Artwork focus: Christmas quilt set with santa faces, snowmen, reindeer, green trees, snowflakes, red and green patchwork blocks, matching sham and size image.&lt;/li&gt;&lt;li&gt;Gallery images show the main bedding view, detail views, fabric or care graphics, and included-component visuals where available.&lt;/li&gt;&lt;/ul&gt;&lt;h3&gt;Product Options&lt;/h3&gt;&lt;ul&gt;&lt;li&gt;Choose from the available size and pillowcase options shown on the product page.&lt;/li&gt;&lt;li&gt;Review the live product options before checkout to confirm the selected configuration.&lt;/li&gt;&lt;/ul&gt;</t>
        </is>
      </c>
      <c r="G60" s="2" t="inlineStr">
        <is>
          <t>Nội dung nội bộ đã được loại bỏ nhưng phần mô tả r2 còn chung chung và bỏ sót chi tiết mua hàng đã xác minh.</t>
        </is>
      </c>
      <c r="H60" s="2" t="inlineStr">
        <is>
          <t>Mô tả chưa tận dụng dimensions, thành phần, material/care và tùy chọn thực tế.</t>
        </is>
      </c>
      <c r="I60" s="2" t="inlineStr">
        <is>
          <t>Rewrite concise customer-facing English HTML using only verified product-specific facts and exact option/component wording.</t>
        </is>
      </c>
      <c r="J60" s="2" t="inlineStr">
        <is>
          <t>evidence_batch_002_018</t>
        </is>
      </c>
      <c r="K60" s="2" t="inlineStr">
        <is>
          <t>Render HTML and confirm product-specific facts are complete and source-backed.</t>
        </is>
      </c>
    </row>
    <row r="61" ht="84" customHeight="1">
      <c r="A61" s="3" t="inlineStr">
        <is>
          <t>ISS-018-ENC</t>
        </is>
      </c>
      <c r="B61" s="3" t="inlineStr">
        <is>
          <t>jeminise.com+christmas-bedding-quilt-soft-microfiber-holiday-bedsprea-design-02</t>
        </is>
      </c>
      <c r="C61" s="3" t="inlineStr"/>
      <c r="D61" s="3" t="inlineStr">
        <is>
          <t>MINOR</t>
        </is>
      </c>
      <c r="E61" s="3" t="inlineStr">
        <is>
          <t>title_current/H1_current</t>
        </is>
      </c>
      <c r="F61" s="3" t="inlineStr">
        <is>
          <t>Christmas Bedding Quilt – Soft Microfiber Holiday Bedsprea - Design 02</t>
        </is>
      </c>
      <c r="G61" s="3" t="inlineStr">
        <is>
          <t>Christmas Bedding Quilt – Soft Microfiber Holiday Bedsprea - Design 02</t>
        </is>
      </c>
      <c r="H61" s="3" t="inlineStr">
        <is>
          <t>Title/H1 live chứa ký tự thay thế U+FFFD và từ bị cắt.</t>
        </is>
      </c>
      <c r="I61" s="3" t="inlineStr">
        <is>
          <t>Santa and gingerbread Christmas Quilt Set</t>
        </is>
      </c>
      <c r="J61" s="3" t="inlineStr">
        <is>
          <t>https://jeminise.com/products/christmas-bedding-quilt-soft-microfiber-holiday-bedsprea-design-02</t>
        </is>
      </c>
      <c r="K61" s="3" t="inlineStr">
        <is>
          <t>Rendered title and H1 no longer contain U+FFFD or truncated words.</t>
        </is>
      </c>
    </row>
    <row r="62" ht="84" customHeight="1">
      <c r="A62" s="2" t="inlineStr">
        <is>
          <t>R2-ISS-019-BODY</t>
        </is>
      </c>
      <c r="B62" s="2" t="inlineStr">
        <is>
          <t>jeminise.com+christmas-bedding-quilt-soft-microfiber-holiday-bedsprea-design-03</t>
        </is>
      </c>
      <c r="C62" s="2" t="inlineStr"/>
      <c r="D62" s="2" t="inlineStr">
        <is>
          <t>MAJOR</t>
        </is>
      </c>
      <c r="E62" s="2" t="inlineStr">
        <is>
          <t>description_proposed_html</t>
        </is>
      </c>
      <c r="F62" s="2" t="inlineStr">
        <is>
          <t>&lt;p&gt;Add themed style to the bedroom with this Jeminise quilt set featuring Red christmas quilt set with a large gingerbread man, candy cane, holly leaves, peppermint details, matching pillow sham and size image. The artwork is shown across the main bedding mockup and coordinated pillow or sham images where included.&lt;/p&gt;&lt;h3&gt;Design Details&lt;/h3&gt;&lt;ul&gt;&lt;li&gt;Artwork focus: Red christmas quilt set with a large gingerbread man, candy cane, holly leaves, peppermint details, matching pillow sham and size image.&lt;/li&gt;&lt;li&gt;Gallery images show the main bedding view, detail views, fabric or care graphics, and included-component visuals where available.&lt;/li&gt;&lt;/ul&gt;&lt;h3&gt;Product Options&lt;/h3&gt;&lt;ul&gt;&lt;li&gt;Choose from the available size and pillowcase options shown on the product page.&lt;/li&gt;&lt;li&gt;Review the live product options before checkout to confirm the selected configuration.&lt;/li&gt;&lt;/ul&gt;</t>
        </is>
      </c>
      <c r="G62" s="2" t="inlineStr">
        <is>
          <t>Nội dung nội bộ đã được loại bỏ nhưng phần mô tả r2 còn chung chung và bỏ sót chi tiết mua hàng đã xác minh.</t>
        </is>
      </c>
      <c r="H62" s="2" t="inlineStr">
        <is>
          <t>Mô tả chưa tận dụng dimensions, thành phần, material/care và tùy chọn thực tế.</t>
        </is>
      </c>
      <c r="I62" s="2" t="inlineStr">
        <is>
          <t>Rewrite concise customer-facing English HTML using only verified product-specific facts and exact option/component wording.</t>
        </is>
      </c>
      <c r="J62" s="2" t="inlineStr">
        <is>
          <t>evidence_batch_002_019</t>
        </is>
      </c>
      <c r="K62" s="2" t="inlineStr">
        <is>
          <t>Render HTML and confirm product-specific facts are complete and source-backed.</t>
        </is>
      </c>
    </row>
    <row r="63" ht="84" customHeight="1">
      <c r="A63" s="3" t="inlineStr">
        <is>
          <t>ISS-019-ENC</t>
        </is>
      </c>
      <c r="B63" s="3" t="inlineStr">
        <is>
          <t>jeminise.com+christmas-bedding-quilt-soft-microfiber-holiday-bedsprea-design-03</t>
        </is>
      </c>
      <c r="C63" s="3" t="inlineStr"/>
      <c r="D63" s="3" t="inlineStr">
        <is>
          <t>MINOR</t>
        </is>
      </c>
      <c r="E63" s="3" t="inlineStr">
        <is>
          <t>title_current/H1_current</t>
        </is>
      </c>
      <c r="F63" s="3" t="inlineStr">
        <is>
          <t>Christmas Bedding Quilt – Soft Microfiber Holiday Bedsprea - Design 03</t>
        </is>
      </c>
      <c r="G63" s="3" t="inlineStr">
        <is>
          <t>Christmas Bedding Quilt – Soft Microfiber Holiday Bedsprea - Design 03</t>
        </is>
      </c>
      <c r="H63" s="3" t="inlineStr">
        <is>
          <t>Title/H1 live chứa ký tự thay thế U+FFFD và từ bị cắt.</t>
        </is>
      </c>
      <c r="I63" s="3" t="inlineStr">
        <is>
          <t>Gingerbread Christmas Quilt Set</t>
        </is>
      </c>
      <c r="J63" s="3" t="inlineStr">
        <is>
          <t>https://jeminise.com/products/christmas-bedding-quilt-soft-microfiber-holiday-bedsprea-design-03</t>
        </is>
      </c>
      <c r="K63" s="3" t="inlineStr">
        <is>
          <t>Rendered title and H1 no longer contain U+FFFD or truncated words.</t>
        </is>
      </c>
    </row>
    <row r="64" ht="84" customHeight="1">
      <c r="A64" s="2" t="inlineStr">
        <is>
          <t>R2-ISS-020-BODY</t>
        </is>
      </c>
      <c r="B64" s="2" t="inlineStr">
        <is>
          <t>jeminise.com+christmas-bedding-quilt-soft-microfiber-holiday-bedsprea-design-04</t>
        </is>
      </c>
      <c r="C64" s="2" t="inlineStr"/>
      <c r="D64" s="2" t="inlineStr">
        <is>
          <t>MAJOR</t>
        </is>
      </c>
      <c r="E64" s="2" t="inlineStr">
        <is>
          <t>description_proposed_html</t>
        </is>
      </c>
      <c r="F64" s="2" t="inlineStr">
        <is>
          <t>&lt;p&gt;Add themed style to the bedroom with this Jeminise quilt set featuring Light christmas quilt set with two gingerbread figures, wrapped gifts, candy cane, holly greenery, red bows, matching pillow sham and size image. The artwork is shown across the main bedding mockup and coordinated pillow or sham images where included.&lt;/p&gt;&lt;h3&gt;Design Details&lt;/h3&gt;&lt;ul&gt;&lt;li&gt;Artwork focus: Light christmas quilt set with two gingerbread figures, wrapped gifts, candy cane, holly greenery, red bows, matching pillow sham and size image.&lt;/li&gt;&lt;li&gt;Gallery images show the main bedding view, detail views, fabric or care graphics, and included-component visuals where available.&lt;/li&gt;&lt;/ul&gt;&lt;h3&gt;Product Options&lt;/h3&gt;&lt;ul&gt;&lt;li&gt;Choose from the available size and pillowcase options shown on the product page.&lt;/li&gt;&lt;li&gt;Review the live product options before checkout to confirm the selected configuration.&lt;/li&gt;&lt;/ul&gt;</t>
        </is>
      </c>
      <c r="G64" s="2" t="inlineStr">
        <is>
          <t>Nội dung nội bộ đã được loại bỏ nhưng phần mô tả r2 còn chung chung và bỏ sót chi tiết mua hàng đã xác minh.</t>
        </is>
      </c>
      <c r="H64" s="2" t="inlineStr">
        <is>
          <t>Mô tả chưa tận dụng dimensions, thành phần, material/care và tùy chọn thực tế.</t>
        </is>
      </c>
      <c r="I64" s="2" t="inlineStr">
        <is>
          <t>Rewrite concise customer-facing English HTML using only verified product-specific facts and exact option/component wording.</t>
        </is>
      </c>
      <c r="J64" s="2" t="inlineStr">
        <is>
          <t>evidence_batch_002_020</t>
        </is>
      </c>
      <c r="K64" s="2" t="inlineStr">
        <is>
          <t>Render HTML and confirm product-specific facts are complete and source-backed.</t>
        </is>
      </c>
    </row>
    <row r="65" ht="84" customHeight="1">
      <c r="A65" s="3" t="inlineStr">
        <is>
          <t>ISS-020-ENC</t>
        </is>
      </c>
      <c r="B65" s="3" t="inlineStr">
        <is>
          <t>jeminise.com+christmas-bedding-quilt-soft-microfiber-holiday-bedsprea-design-04</t>
        </is>
      </c>
      <c r="C65" s="3" t="inlineStr"/>
      <c r="D65" s="3" t="inlineStr">
        <is>
          <t>MINOR</t>
        </is>
      </c>
      <c r="E65" s="3" t="inlineStr">
        <is>
          <t>title_current/H1_current</t>
        </is>
      </c>
      <c r="F65" s="3" t="inlineStr">
        <is>
          <t>Christmas Bedding Quilt – Soft Microfiber Holiday Bedsprea - Design 04</t>
        </is>
      </c>
      <c r="G65" s="3" t="inlineStr">
        <is>
          <t>Christmas Bedding Quilt – Soft Microfiber Holiday Bedsprea - Design 04</t>
        </is>
      </c>
      <c r="H65" s="3" t="inlineStr">
        <is>
          <t>Title/H1 live chứa ký tự thay thế U+FFFD và từ bị cắt.</t>
        </is>
      </c>
      <c r="I65" s="3" t="inlineStr">
        <is>
          <t>Gingerbread Gift Christmas Quilt Set</t>
        </is>
      </c>
      <c r="J65" s="3" t="inlineStr">
        <is>
          <t>https://jeminise.com/products/christmas-bedding-quilt-soft-microfiber-holiday-bedsprea-design-04</t>
        </is>
      </c>
      <c r="K65" s="3" t="inlineStr">
        <is>
          <t>Rendered title and H1 no longer contain U+FFFD or truncated words.</t>
        </is>
      </c>
    </row>
    <row r="66" ht="84" customHeight="1">
      <c r="A66" s="2" t="inlineStr">
        <is>
          <t>ISS-013-FACT</t>
        </is>
      </c>
      <c r="B66" s="2" t="inlineStr">
        <is>
          <t>jeminise.com+christian-bedding-set-inspirational-bible-verse-comforte-design-04</t>
        </is>
      </c>
      <c r="C66" s="2" t="inlineStr"/>
      <c r="D66" s="2" t="inlineStr">
        <is>
          <t>MAJOR</t>
        </is>
      </c>
      <c r="E66" s="2" t="inlineStr">
        <is>
          <t>description_proposed_html/source facts</t>
        </is>
      </c>
      <c r="F66" s="2" t="inlineStr">
        <is>
          <t>Style: Christian Knight Templar</t>
        </is>
      </c>
      <c r="G66" s="2" t="inlineStr">
        <is>
          <t>Main bed mockup with black-and-gold Olivia design, woman silhouette, butterflies, flowers and God Is Within Her text.</t>
        </is>
      </c>
      <c r="H66" s="2" t="inlineStr">
        <is>
          <t>Structured style label conflicts with the visible women-focused God Is Within Her design and was copied into the draft.</t>
        </is>
      </c>
      <c r="I66" s="2" t="inlineStr">
        <is>
          <t>Remove 'Christian Knight Templar' from customer copy unless the admin source mapping is corrected and evidenced.</t>
        </is>
      </c>
      <c r="J66" s="2" t="inlineStr">
        <is>
          <t>evidence_batch_002_013; https://jeminise.com/products/christian-bedding-set-inspirational-bible-verse-comforte-design-04</t>
        </is>
      </c>
      <c r="K66" s="2" t="inlineStr">
        <is>
          <t>Revised source mapping and HTML agree with the visible design.</t>
        </is>
      </c>
    </row>
    <row r="67" ht="84" customHeight="1">
      <c r="A67" s="3" t="inlineStr">
        <is>
          <t>R2-ISS-011-PERS</t>
        </is>
      </c>
      <c r="B67" s="3" t="inlineStr">
        <is>
          <t>jeminise.com+christian-bedding-set-inspirational-bible-verse-comforte-design-02</t>
        </is>
      </c>
      <c r="C67" s="3" t="inlineStr"/>
      <c r="D67" s="3" t="inlineStr">
        <is>
          <t>MAJOR</t>
        </is>
      </c>
      <c r="E67" s="3" t="inlineStr">
        <is>
          <t>personalization wording/Customizer mapping</t>
        </is>
      </c>
      <c r="F67" s="3" t="inlineStr">
        <is>
          <t>God Says I Am Christian Comforter Set</t>
        </is>
      </c>
      <c r="G67" s="3" t="inlineStr">
        <is>
          <t>Live Customizer exposes an Enter Name or Custom Your Name field, but r2 does not map the field accurately in the SEO copy.</t>
        </is>
      </c>
      <c r="H67" s="3" t="inlineStr">
        <is>
          <t>The copy must describe only the verified input label, required/optional state and character limit.</t>
        </is>
      </c>
      <c r="I67" s="3" t="inlineStr">
        <is>
          <t>Add accurate English customization wording from the live Customizer audit, including the exact field limit where present.</t>
        </is>
      </c>
      <c r="J67" s="3" t="inlineStr">
        <is>
          <t>https://jeminise.com/products/christian-bedding-set-inspirational-bible-verse-comforte-design-02; customizer_audit.json</t>
        </is>
      </c>
      <c r="K67" s="3" t="inlineStr">
        <is>
          <t>Open Customize and verify the field label, required state and persistence.</t>
        </is>
      </c>
    </row>
    <row r="68" ht="84" customHeight="1">
      <c r="A68" s="2" t="inlineStr">
        <is>
          <t>R2-ISS-012-PERS</t>
        </is>
      </c>
      <c r="B68" s="2" t="inlineStr">
        <is>
          <t>jeminise.com+christian-bedding-set-inspirational-bible-verse-comforte-design-03</t>
        </is>
      </c>
      <c r="C68" s="2" t="inlineStr"/>
      <c r="D68" s="2" t="inlineStr">
        <is>
          <t>MAJOR</t>
        </is>
      </c>
      <c r="E68" s="2" t="inlineStr">
        <is>
          <t>personalization wording/Customizer mapping</t>
        </is>
      </c>
      <c r="F68" s="2" t="inlineStr">
        <is>
          <t>Christian Bible Verse Comforter Set</t>
        </is>
      </c>
      <c r="G68" s="2" t="inlineStr">
        <is>
          <t>Live Customizer exposes an Enter Name or Custom Your Name field, but r2 does not map the field accurately in the SEO copy.</t>
        </is>
      </c>
      <c r="H68" s="2" t="inlineStr">
        <is>
          <t>The copy must describe only the verified input label, required/optional state and character limit.</t>
        </is>
      </c>
      <c r="I68" s="2" t="inlineStr">
        <is>
          <t>Add accurate English customization wording from the live Customizer audit, including the exact field limit where present.</t>
        </is>
      </c>
      <c r="J68" s="2" t="inlineStr">
        <is>
          <t>https://jeminise.com/products/christian-bedding-set-inspirational-bible-verse-comforte-design-03; customizer_audit.json</t>
        </is>
      </c>
      <c r="K68" s="2" t="inlineStr">
        <is>
          <t>Open Customize and verify the field label, required state and persistence.</t>
        </is>
      </c>
    </row>
    <row r="69" ht="84" customHeight="1">
      <c r="A69" s="3" t="inlineStr">
        <is>
          <t>R2-ISS-013-PERS</t>
        </is>
      </c>
      <c r="B69" s="3" t="inlineStr">
        <is>
          <t>jeminise.com+christian-bedding-set-inspirational-bible-verse-comforte-design-04</t>
        </is>
      </c>
      <c r="C69" s="3" t="inlineStr"/>
      <c r="D69" s="3" t="inlineStr">
        <is>
          <t>MAJOR</t>
        </is>
      </c>
      <c r="E69" s="3" t="inlineStr">
        <is>
          <t>personalization wording/Customizer mapping</t>
        </is>
      </c>
      <c r="F69" s="3" t="inlineStr">
        <is>
          <t>God Is Within Her Christian Comforter</t>
        </is>
      </c>
      <c r="G69" s="3" t="inlineStr">
        <is>
          <t>Live Customizer exposes an Enter Name or Custom Your Name field, but r2 does not map the field accurately in the SEO copy.</t>
        </is>
      </c>
      <c r="H69" s="3" t="inlineStr">
        <is>
          <t>The copy must describe only the verified input label, required/optional state and character limit.</t>
        </is>
      </c>
      <c r="I69" s="3" t="inlineStr">
        <is>
          <t>Add accurate English customization wording from the live Customizer audit, including the exact field limit where present.</t>
        </is>
      </c>
      <c r="J69" s="3" t="inlineStr">
        <is>
          <t>https://jeminise.com/products/christian-bedding-set-inspirational-bible-verse-comforte-design-04; customizer_audit.json</t>
        </is>
      </c>
      <c r="K69" s="3" t="inlineStr">
        <is>
          <t>Open Customize and verify the field label, required state and persistence.</t>
        </is>
      </c>
    </row>
    <row r="70" ht="84" customHeight="1">
      <c r="A70" s="2" t="inlineStr">
        <is>
          <t>R2-ISS-014-PERS</t>
        </is>
      </c>
      <c r="B70" s="2" t="inlineStr">
        <is>
          <t>jeminise.com+christian-bedding-set-inspirational-bible-verse-comforte-design-05</t>
        </is>
      </c>
      <c r="C70" s="2" t="inlineStr"/>
      <c r="D70" s="2" t="inlineStr">
        <is>
          <t>MAJOR</t>
        </is>
      </c>
      <c r="E70" s="2" t="inlineStr">
        <is>
          <t>personalization wording/Customizer mapping</t>
        </is>
      </c>
      <c r="F70" s="2" t="inlineStr">
        <is>
          <t>Blue God Says I Am Christian Comforter Set</t>
        </is>
      </c>
      <c r="G70" s="2" t="inlineStr">
        <is>
          <t>Live Customizer exposes an Enter Name or Custom Your Name field, but r2 does not map the field accurately in the SEO copy.</t>
        </is>
      </c>
      <c r="H70" s="2" t="inlineStr">
        <is>
          <t>The copy must describe only the verified input label, required/optional state and character limit.</t>
        </is>
      </c>
      <c r="I70" s="2" t="inlineStr">
        <is>
          <t>Add accurate English customization wording from the live Customizer audit, including the exact field limit where present.</t>
        </is>
      </c>
      <c r="J70" s="2" t="inlineStr">
        <is>
          <t>https://jeminise.com/products/christian-bedding-set-inspirational-bible-verse-comforte-design-05; customizer_audit.json</t>
        </is>
      </c>
      <c r="K70" s="2" t="inlineStr">
        <is>
          <t>Open Customize and verify the field label, required state and persistence.</t>
        </is>
      </c>
    </row>
    <row r="71" ht="84" customHeight="1">
      <c r="A71" s="3" t="inlineStr">
        <is>
          <t>R2-ISS-015-PERS</t>
        </is>
      </c>
      <c r="B71" s="3" t="inlineStr">
        <is>
          <t>jeminise.com+christian-bedding-set-inspirational-bible-verse-comforte-design-06</t>
        </is>
      </c>
      <c r="C71" s="3" t="inlineStr"/>
      <c r="D71" s="3" t="inlineStr">
        <is>
          <t>MAJOR</t>
        </is>
      </c>
      <c r="E71" s="3" t="inlineStr">
        <is>
          <t>personalization wording/Customizer mapping</t>
        </is>
      </c>
      <c r="F71" s="3" t="inlineStr">
        <is>
          <t>Christian Butterfly Comforter Set</t>
        </is>
      </c>
      <c r="G71" s="3" t="inlineStr">
        <is>
          <t>Live Customizer exposes an Enter Name or Custom Your Name field, but r2 does not map the field accurately in the SEO copy.</t>
        </is>
      </c>
      <c r="H71" s="3" t="inlineStr">
        <is>
          <t>The copy must describe only the verified input label, required/optional state and character limit.</t>
        </is>
      </c>
      <c r="I71" s="3" t="inlineStr">
        <is>
          <t>Add accurate English customization wording from the live Customizer audit, including the exact field limit where present.</t>
        </is>
      </c>
      <c r="J71" s="3" t="inlineStr">
        <is>
          <t>https://jeminise.com/products/christian-bedding-set-inspirational-bible-verse-comforte-design-06; customizer_audit.json</t>
        </is>
      </c>
      <c r="K71" s="3" t="inlineStr">
        <is>
          <t>Open Customize and verify the field label, required state and persistence.</t>
        </is>
      </c>
    </row>
    <row r="72" ht="84" customHeight="1">
      <c r="A72" s="2" t="inlineStr">
        <is>
          <t>R2-ISS-016-PERS</t>
        </is>
      </c>
      <c r="B72" s="2" t="inlineStr">
        <is>
          <t>jeminise.com+christian-bedding-set-inspirational-bible-verse-comforter</t>
        </is>
      </c>
      <c r="C72" s="2" t="inlineStr"/>
      <c r="D72" s="2" t="inlineStr">
        <is>
          <t>MAJOR</t>
        </is>
      </c>
      <c r="E72" s="2" t="inlineStr">
        <is>
          <t>personalization wording/Customizer mapping</t>
        </is>
      </c>
      <c r="F72" s="2" t="inlineStr">
        <is>
          <t>Christian Warrior Comforter Set</t>
        </is>
      </c>
      <c r="G72" s="2" t="inlineStr">
        <is>
          <t>Live Customizer exposes an Enter Name or Custom Your Name field, but r2 does not map the field accurately in the SEO copy.</t>
        </is>
      </c>
      <c r="H72" s="2" t="inlineStr">
        <is>
          <t>The copy must describe only the verified input label, required/optional state and character limit.</t>
        </is>
      </c>
      <c r="I72" s="2" t="inlineStr">
        <is>
          <t>Add accurate English customization wording from the live Customizer audit, including the exact field limit where present.</t>
        </is>
      </c>
      <c r="J72" s="2" t="inlineStr">
        <is>
          <t>https://jeminise.com/products/christian-bedding-set-inspirational-bible-verse-comforter; customizer_audit.json</t>
        </is>
      </c>
      <c r="K72" s="2" t="inlineStr">
        <is>
          <t>Open Customize and verify the field label, required state and persistence.</t>
        </is>
      </c>
    </row>
    <row r="73" ht="84" customHeight="1">
      <c r="A73" s="3" t="inlineStr">
        <is>
          <t>R2-ISS-017-PERS</t>
        </is>
      </c>
      <c r="B73" s="3" t="inlineStr">
        <is>
          <t>jeminise.com+christmas-bedding-quilt-soft-microfiber-holiday-bedsprea-design-01</t>
        </is>
      </c>
      <c r="C73" s="3" t="inlineStr"/>
      <c r="D73" s="3" t="inlineStr">
        <is>
          <t>MAJOR</t>
        </is>
      </c>
      <c r="E73" s="3" t="inlineStr">
        <is>
          <t>personalization wording/Customizer mapping</t>
        </is>
      </c>
      <c r="F73" s="3" t="inlineStr">
        <is>
          <t>Christmas Tree Patchwork Quilt Set</t>
        </is>
      </c>
      <c r="G73" s="3" t="inlineStr">
        <is>
          <t>Live Customizer exposes an Enter Name or Custom Your Name field, but r2 does not map the field accurately in the SEO copy.</t>
        </is>
      </c>
      <c r="H73" s="3" t="inlineStr">
        <is>
          <t>The copy must describe only the verified input label, required/optional state and character limit.</t>
        </is>
      </c>
      <c r="I73" s="3" t="inlineStr">
        <is>
          <t>Add accurate English customization wording from the live Customizer audit, including the exact field limit where present.</t>
        </is>
      </c>
      <c r="J73" s="3" t="inlineStr">
        <is>
          <t>https://jeminise.com/products/christmas-bedding-quilt-soft-microfiber-holiday-bedsprea-design-01; customizer_audit.json</t>
        </is>
      </c>
      <c r="K73" s="3" t="inlineStr">
        <is>
          <t>Open Customize and verify the field label, required state and persistence.</t>
        </is>
      </c>
    </row>
    <row r="74" ht="84" customHeight="1">
      <c r="A74" s="2" t="inlineStr">
        <is>
          <t>R2-ISS-018-PERS</t>
        </is>
      </c>
      <c r="B74" s="2" t="inlineStr">
        <is>
          <t>jeminise.com+christmas-bedding-quilt-soft-microfiber-holiday-bedsprea-design-02</t>
        </is>
      </c>
      <c r="C74" s="2" t="inlineStr"/>
      <c r="D74" s="2" t="inlineStr">
        <is>
          <t>MAJOR</t>
        </is>
      </c>
      <c r="E74" s="2" t="inlineStr">
        <is>
          <t>personalization wording/Customizer mapping</t>
        </is>
      </c>
      <c r="F74" s="2" t="inlineStr">
        <is>
          <t>Santa and gingerbread Christmas Quilt Set</t>
        </is>
      </c>
      <c r="G74" s="2" t="inlineStr">
        <is>
          <t>Live Customizer exposes an Enter Name or Custom Your Name field, but r2 does not map the field accurately in the SEO copy.</t>
        </is>
      </c>
      <c r="H74" s="2" t="inlineStr">
        <is>
          <t>The copy must describe only the verified input label, required/optional state and character limit.</t>
        </is>
      </c>
      <c r="I74" s="2" t="inlineStr">
        <is>
          <t>Add accurate English customization wording from the live Customizer audit, including the exact field limit where present.</t>
        </is>
      </c>
      <c r="J74" s="2" t="inlineStr">
        <is>
          <t>https://jeminise.com/products/christmas-bedding-quilt-soft-microfiber-holiday-bedsprea-design-02; customizer_audit.json</t>
        </is>
      </c>
      <c r="K74" s="2" t="inlineStr">
        <is>
          <t>Open Customize and verify the field label, required state and persistence.</t>
        </is>
      </c>
    </row>
    <row r="75" ht="84" customHeight="1">
      <c r="A75" s="3" t="inlineStr">
        <is>
          <t>R2-ISS-019-PERS</t>
        </is>
      </c>
      <c r="B75" s="3" t="inlineStr">
        <is>
          <t>jeminise.com+christmas-bedding-quilt-soft-microfiber-holiday-bedsprea-design-03</t>
        </is>
      </c>
      <c r="C75" s="3" t="inlineStr"/>
      <c r="D75" s="3" t="inlineStr">
        <is>
          <t>MAJOR</t>
        </is>
      </c>
      <c r="E75" s="3" t="inlineStr">
        <is>
          <t>personalization wording/Customizer mapping</t>
        </is>
      </c>
      <c r="F75" s="3" t="inlineStr">
        <is>
          <t>Gingerbread Christmas Quilt Set</t>
        </is>
      </c>
      <c r="G75" s="3" t="inlineStr">
        <is>
          <t>Live Customizer exposes an Enter Name or Custom Your Name field, but r2 does not map the field accurately in the SEO copy.</t>
        </is>
      </c>
      <c r="H75" s="3" t="inlineStr">
        <is>
          <t>The copy must describe only the verified input label, required/optional state and character limit.</t>
        </is>
      </c>
      <c r="I75" s="3" t="inlineStr">
        <is>
          <t>Add accurate English customization wording from the live Customizer audit, including the exact field limit where present.</t>
        </is>
      </c>
      <c r="J75" s="3" t="inlineStr">
        <is>
          <t>https://jeminise.com/products/christmas-bedding-quilt-soft-microfiber-holiday-bedsprea-design-03; customizer_audit.json</t>
        </is>
      </c>
      <c r="K75" s="3" t="inlineStr">
        <is>
          <t>Open Customize and verify the field label, required state and persistence.</t>
        </is>
      </c>
    </row>
    <row r="76" ht="84" customHeight="1">
      <c r="A76" s="2" t="inlineStr">
        <is>
          <t>R2-ISS-020-PERS</t>
        </is>
      </c>
      <c r="B76" s="2" t="inlineStr">
        <is>
          <t>jeminise.com+christmas-bedding-quilt-soft-microfiber-holiday-bedsprea-design-04</t>
        </is>
      </c>
      <c r="C76" s="2" t="inlineStr"/>
      <c r="D76" s="2" t="inlineStr">
        <is>
          <t>MAJOR</t>
        </is>
      </c>
      <c r="E76" s="2" t="inlineStr">
        <is>
          <t>personalization wording/Customizer mapping</t>
        </is>
      </c>
      <c r="F76" s="2" t="inlineStr">
        <is>
          <t>Gingerbread Gift Christmas Quilt Set</t>
        </is>
      </c>
      <c r="G76" s="2" t="inlineStr">
        <is>
          <t>Live Customizer exposes an Enter Name or Custom Your Name field, but r2 does not map the field accurately in the SEO copy.</t>
        </is>
      </c>
      <c r="H76" s="2" t="inlineStr">
        <is>
          <t>The copy must describe only the verified input label, required/optional state and character limit.</t>
        </is>
      </c>
      <c r="I76" s="2" t="inlineStr">
        <is>
          <t>Add accurate English customization wording from the live Customizer audit, including the exact field limit where present.</t>
        </is>
      </c>
      <c r="J76" s="2" t="inlineStr">
        <is>
          <t>https://jeminise.com/products/christmas-bedding-quilt-soft-microfiber-holiday-bedsprea-design-04; customizer_audit.json</t>
        </is>
      </c>
      <c r="K76" s="2" t="inlineStr">
        <is>
          <t>Open Customize and verify the field label, required state and persistence.</t>
        </is>
      </c>
    </row>
    <row r="77" ht="84" customHeight="1">
      <c r="A77" s="3" t="inlineStr">
        <is>
          <t>R2-ISS-GLOBAL-ADMIN</t>
        </is>
      </c>
      <c r="B77" s="3" t="inlineStr"/>
      <c r="C77" s="3" t="inlineStr"/>
      <c r="D77" s="3" t="inlineStr">
        <is>
          <t>LIMITATION</t>
        </is>
      </c>
      <c r="E77" s="3" t="inlineStr">
        <is>
          <t>current admin SEO fields/current admin alt</t>
        </is>
      </c>
      <c r="F77" s="3" t="inlineStr">
        <is>
          <t>Not supplied</t>
        </is>
      </c>
      <c r="G77" s="3" t="inlineStr">
        <is>
          <t>Storefront metadata and product.js media alt were readable, but no Shopify admin export was provided.</t>
        </is>
      </c>
      <c r="H77" s="3" t="inlineStr">
        <is>
          <t>Storefront values cannot prove current admin fields or future import mapping.</t>
        </is>
      </c>
      <c r="I77" s="3" t="inlineStr">
        <is>
          <t>Provide a frozen Shopify admin/export snapshot before approval or import mapping.</t>
        </is>
      </c>
      <c r="J77" s="3" t="inlineStr">
        <is>
          <t>D:\Shopify_Workspace\jeminise_seo\resutls\jeminise.com\20260906_234129\revisions\qa_batch_002_r2\SEO_Product_Optimization_qa_batch_002_r2.xlsx</t>
        </is>
      </c>
      <c r="K77" s="3" t="inlineStr">
        <is>
          <t>Admin export revision and hash are frozen and compared to storefront/workbook.</t>
        </is>
      </c>
    </row>
  </sheetData>
  <autoFilter ref="A1:K77"/>
  <conditionalFormatting sqref="D2:D77">
    <cfRule type="expression" priority="1" dxfId="3">
      <formula>D2="CRITICAL"</formula>
    </cfRule>
    <cfRule type="expression" priority="2" dxfId="2">
      <formula>D2="MAJOR"</formula>
    </cfRule>
    <cfRule type="expression" priority="3" dxfId="1">
      <formula>D2="MINOR"</formula>
    </cfRule>
    <cfRule type="expression" priority="4" dxfId="4">
      <formula>D2="LIMITATION"</formula>
    </cfRule>
  </conditionalFormatting>
  <printOptions horizontalCentered="0"/>
  <pageMargins left="0.25" right="0.25" top="0.5" bottom="0.5" header="0.5" footer="0.5"/>
  <pageSetup orientation="landscape" fitToHeight="0" fitToWidth="2"/>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2026-09-07T06:48:16Z</dcterms:created>
  <dcterms:modified xmlns:dcterms="http://purl.org/dc/terms/" xmlns:xsi="http://www.w3.org/2001/XMLSchema-instance" xsi:type="dcterms:W3CDTF">2026-09-07T06:48:16Z</dcterms:modified>
</cp:coreProperties>
</file>