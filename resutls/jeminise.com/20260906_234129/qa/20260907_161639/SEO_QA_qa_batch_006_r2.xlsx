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'QA_Images'!$A$1:$Z$79</definedName>
    <definedName name="_xlnm.Print_Titles" localSheetId="3">'QA_Images'!$1:$1</definedName>
    <definedName name="_xlnm._FilterDatabase" localSheetId="4" hidden="1">'QA_Issues'!$A$1:$K$73</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christian-scripture-floral-blanket-machine-washable-d10" TargetMode="External" Id="rId1"/><Relationship Type="http://schemas.openxmlformats.org/officeDocument/2006/relationships/hyperlink" Target="https://jeminise.com/products/custom-emily-god-says-i-am-blanket-machine-washable-d9" TargetMode="External" Id="rId2"/><Relationship Type="http://schemas.openxmlformats.org/officeDocument/2006/relationships/hyperlink" Target="https://jeminise.com/products/custom-exploding-soccer-ball-comforter-set-machine-washable-a10" TargetMode="External" Id="rId3"/><Relationship Type="http://schemas.openxmlformats.org/officeDocument/2006/relationships/hyperlink" Target="https://jeminise.com/products/custom-fiery-soccer-ball-custom-name-comforter-set-machin-design-5" TargetMode="External" Id="rId4"/><Relationship Type="http://schemas.openxmlformats.org/officeDocument/2006/relationships/hyperlink" Target="https://jeminise.com/products/custom-flaming-soccer-ball-with-custom-name-comforter-set-a12" TargetMode="External" Id="rId5"/><Relationship Type="http://schemas.openxmlformats.org/officeDocument/2006/relationships/hyperlink" Target="https://jeminise.com/products/custom-flaming-soccer-ball-with-name-comforter-set-machine-washable" TargetMode="External" Id="rId6"/><Relationship Type="http://schemas.openxmlformats.org/officeDocument/2006/relationships/hyperlink" Target="https://jeminise.com/products/custom-floral-butterfly-inspirational-blanket-machine-wash-design-8" TargetMode="External" Id="rId7"/><Relationship Type="http://schemas.openxmlformats.org/officeDocument/2006/relationships/hyperlink" Target="https://jeminise.com/products/custom-floral-butterfly-inspirational-blanket-machine-washable-d3" TargetMode="External" Id="rId8"/><Relationship Type="http://schemas.openxmlformats.org/officeDocument/2006/relationships/hyperlink" Target="https://jeminise.com/products/custom-floral-cross-bible-verse-blanket-machine-washable-d13" TargetMode="External" Id="rId9"/><Relationship Type="http://schemas.openxmlformats.org/officeDocument/2006/relationships/hyperlink" Target="https://jeminise.com/products/custom-floral-cross-with-butterflies-blanket-machine-washable-d6"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14dd0c0f30fcfd28e1f8975ca547107bf2f18cd4e870a1c4dd402fb77fa109ae.jpg?v=1786596944" TargetMode="External" Id="rId1"/><Relationship Type="http://schemas.openxmlformats.org/officeDocument/2006/relationships/hyperlink" Target="https://cdn.shopify.com/s/files/1/0792/5098/1063/files/14dd0c0f30fcfd28e1f8975ca547107bf2f18cd4e870a1c4dd402fb77fa109ae.jpg?v=1786596944" TargetMode="External" Id="rId2"/><Relationship Type="http://schemas.openxmlformats.org/officeDocument/2006/relationships/hyperlink" Target="https://cdn.shopify.com/s/files/1/0792/5098/1063/files/3035ddad60f0c45fa193d7a6451a2fc3df75aa29b39b6303c8de9ae138c1fa7a.jpg?v=1786596944" TargetMode="External" Id="rId3"/><Relationship Type="http://schemas.openxmlformats.org/officeDocument/2006/relationships/hyperlink" Target="https://cdn.shopify.com/s/files/1/0792/5098/1063/files/3035ddad60f0c45fa193d7a6451a2fc3df75aa29b39b6303c8de9ae138c1fa7a.jpg?v=1786596944" TargetMode="External" Id="rId4"/><Relationship Type="http://schemas.openxmlformats.org/officeDocument/2006/relationships/hyperlink" Target="https://cdn.shopify.com/s/files/1/0792/5098/1063/files/55f355538113be81167be98854e695de1038b0d76b233b5b75d00ebe3809b04a.jpg?v=1786596944" TargetMode="External" Id="rId5"/><Relationship Type="http://schemas.openxmlformats.org/officeDocument/2006/relationships/hyperlink" Target="https://cdn.shopify.com/s/files/1/0792/5098/1063/files/55f355538113be81167be98854e695de1038b0d76b233b5b75d00ebe3809b04a.jpg?v=1786596944" TargetMode="External" Id="rId6"/><Relationship Type="http://schemas.openxmlformats.org/officeDocument/2006/relationships/hyperlink" Target="https://cdn.shopify.com/s/files/1/0792/5098/1063/files/f080c96407dbf1941ada8d3611cbf5489f32ed2db06c951fda081e2d9bd1746e.jpg?v=1786596944" TargetMode="External" Id="rId7"/><Relationship Type="http://schemas.openxmlformats.org/officeDocument/2006/relationships/hyperlink" Target="https://cdn.shopify.com/s/files/1/0792/5098/1063/files/f080c96407dbf1941ada8d3611cbf5489f32ed2db06c951fda081e2d9bd1746e.jpg?v=1786596944" TargetMode="External" Id="rId8"/><Relationship Type="http://schemas.openxmlformats.org/officeDocument/2006/relationships/hyperlink" Target="https://cdn.shopify.com/s/files/1/0792/5098/1063/files/c8e7403737eb50deddf014f714c4b268f2bced3797508ca336b6e63761050ea1.jpg?v=1786596944" TargetMode="External" Id="rId9"/><Relationship Type="http://schemas.openxmlformats.org/officeDocument/2006/relationships/hyperlink" Target="https://cdn.shopify.com/s/files/1/0792/5098/1063/files/c8e7403737eb50deddf014f714c4b268f2bced3797508ca336b6e63761050ea1.jpg?v=1786596944" TargetMode="External" Id="rId10"/><Relationship Type="http://schemas.openxmlformats.org/officeDocument/2006/relationships/hyperlink" Target="https://cdn.shopify.com/s/files/1/0792/5098/1063/files/aa3d32f3f3ea36d848002ec9691f58c355d4b160688300f3233e63943f210b46.jpg?v=1786596944" TargetMode="External" Id="rId11"/><Relationship Type="http://schemas.openxmlformats.org/officeDocument/2006/relationships/hyperlink" Target="https://cdn.shopify.com/s/files/1/0792/5098/1063/files/aa3d32f3f3ea36d848002ec9691f58c355d4b160688300f3233e63943f210b46.jpg?v=1786596944" TargetMode="External" Id="rId12"/><Relationship Type="http://schemas.openxmlformats.org/officeDocument/2006/relationships/hyperlink" Target="https://cdn.shopify.com/s/files/1/0792/5098/1063/files/4a0dab86b5bacc2a06f2dcdede895972a2cff70323306354b340e990014ca363.jpg?v=1786596944" TargetMode="External" Id="rId13"/><Relationship Type="http://schemas.openxmlformats.org/officeDocument/2006/relationships/hyperlink" Target="https://cdn.shopify.com/s/files/1/0792/5098/1063/files/4a0dab86b5bacc2a06f2dcdede895972a2cff70323306354b340e990014ca363.jpg?v=1786596944" TargetMode="External" Id="rId14"/><Relationship Type="http://schemas.openxmlformats.org/officeDocument/2006/relationships/hyperlink" Target="https://cdn.shopify.com/s/files/1/0792/5098/1063/files/ea1a859cc89e6d530481c10b14251d51f07bca99c1557d81d7238b2950f73318.jpg?v=1786596303" TargetMode="External" Id="rId15"/><Relationship Type="http://schemas.openxmlformats.org/officeDocument/2006/relationships/hyperlink" Target="https://cdn.shopify.com/s/files/1/0792/5098/1063/files/ea1a859cc89e6d530481c10b14251d51f07bca99c1557d81d7238b2950f73318.jpg?v=1786596303" TargetMode="External" Id="rId16"/><Relationship Type="http://schemas.openxmlformats.org/officeDocument/2006/relationships/hyperlink" Target="https://cdn.shopify.com/s/files/1/0792/5098/1063/files/da60abeadf27954f435a5067790d42779dee58fec05921c244d8b22bba8dd263.jpg?v=1786596303" TargetMode="External" Id="rId17"/><Relationship Type="http://schemas.openxmlformats.org/officeDocument/2006/relationships/hyperlink" Target="https://cdn.shopify.com/s/files/1/0792/5098/1063/files/da60abeadf27954f435a5067790d42779dee58fec05921c244d8b22bba8dd263.jpg?v=1786596303" TargetMode="External" Id="rId18"/><Relationship Type="http://schemas.openxmlformats.org/officeDocument/2006/relationships/hyperlink" Target="https://cdn.shopify.com/s/files/1/0792/5098/1063/files/8eb3de5c797e28b152fb201a4d5610f3858cf54a5a08a8ec4d56152cce30e873.jpg?v=1786596303" TargetMode="External" Id="rId19"/><Relationship Type="http://schemas.openxmlformats.org/officeDocument/2006/relationships/hyperlink" Target="https://cdn.shopify.com/s/files/1/0792/5098/1063/files/8eb3de5c797e28b152fb201a4d5610f3858cf54a5a08a8ec4d56152cce30e873.jpg?v=1786596303" TargetMode="External" Id="rId20"/><Relationship Type="http://schemas.openxmlformats.org/officeDocument/2006/relationships/hyperlink" Target="https://cdn.shopify.com/s/files/1/0792/5098/1063/files/23d5a0d5bd7cc256fa047fad39129214f40e3b5aa19bbfd83c02d5e2db76dda1.jpg?v=1786596303" TargetMode="External" Id="rId21"/><Relationship Type="http://schemas.openxmlformats.org/officeDocument/2006/relationships/hyperlink" Target="https://cdn.shopify.com/s/files/1/0792/5098/1063/files/23d5a0d5bd7cc256fa047fad39129214f40e3b5aa19bbfd83c02d5e2db76dda1.jpg?v=1786596303" TargetMode="External" Id="rId22"/><Relationship Type="http://schemas.openxmlformats.org/officeDocument/2006/relationships/hyperlink" Target="https://cdn.shopify.com/s/files/1/0792/5098/1063/files/f49ae969102b24924407ad308497e2ad394e649a5cec11a244c20852f99c5342.jpg?v=1786596303" TargetMode="External" Id="rId23"/><Relationship Type="http://schemas.openxmlformats.org/officeDocument/2006/relationships/hyperlink" Target="https://cdn.shopify.com/s/files/1/0792/5098/1063/files/f49ae969102b24924407ad308497e2ad394e649a5cec11a244c20852f99c5342.jpg?v=1786596303" TargetMode="External" Id="rId24"/><Relationship Type="http://schemas.openxmlformats.org/officeDocument/2006/relationships/hyperlink" Target="https://cdn.shopify.com/s/files/1/0792/5098/1063/files/1109d42d870fee7a62ea7d8e5b8a2d1590e02b2f5fbdfedf2c48280dcd71949e.jpg?v=1786596304" TargetMode="External" Id="rId25"/><Relationship Type="http://schemas.openxmlformats.org/officeDocument/2006/relationships/hyperlink" Target="https://cdn.shopify.com/s/files/1/0792/5098/1063/files/1109d42d870fee7a62ea7d8e5b8a2d1590e02b2f5fbdfedf2c48280dcd71949e.jpg?v=1786596304" TargetMode="External" Id="rId26"/><Relationship Type="http://schemas.openxmlformats.org/officeDocument/2006/relationships/hyperlink" Target="https://cdn.shopify.com/s/files/1/0792/5098/1063/files/cee7c0b8719354e1df9ef32806cf32f0314a3ff352d9e77c651d1afcf3d36f00.jpg?v=1786596303" TargetMode="External" Id="rId27"/><Relationship Type="http://schemas.openxmlformats.org/officeDocument/2006/relationships/hyperlink" Target="https://cdn.shopify.com/s/files/1/0792/5098/1063/files/cee7c0b8719354e1df9ef32806cf32f0314a3ff352d9e77c651d1afcf3d36f00.jpg?v=1786596303" TargetMode="External" Id="rId28"/><Relationship Type="http://schemas.openxmlformats.org/officeDocument/2006/relationships/hyperlink" Target="https://cdn.shopify.com/s/files/1/0792/5098/1063/files/89dbadebe78d692d88c6886ef590efeeae4ca99faff77c1ce998a2ddc7a988e4.jpg?v=1786596304" TargetMode="External" Id="rId29"/><Relationship Type="http://schemas.openxmlformats.org/officeDocument/2006/relationships/hyperlink" Target="https://cdn.shopify.com/s/files/1/0792/5098/1063/files/89dbadebe78d692d88c6886ef590efeeae4ca99faff77c1ce998a2ddc7a988e4.jpg?v=1786596304" TargetMode="External" Id="rId30"/><Relationship Type="http://schemas.openxmlformats.org/officeDocument/2006/relationships/hyperlink" Target="https://cdn.shopify.com/s/files/1/0792/5098/1063/files/25da0fbc3913b96e24dfa3f4379e828b035ada4a02f246ec000a760815423dad.jpg?v=1786610945" TargetMode="External" Id="rId31"/><Relationship Type="http://schemas.openxmlformats.org/officeDocument/2006/relationships/hyperlink" Target="https://cdn.shopify.com/s/files/1/0792/5098/1063/files/25da0fbc3913b96e24dfa3f4379e828b035ada4a02f246ec000a760815423dad.jpg?v=1786610945" TargetMode="External" Id="rId32"/><Relationship Type="http://schemas.openxmlformats.org/officeDocument/2006/relationships/hyperlink" Target="https://cdn.shopify.com/s/files/1/0792/5098/1063/files/fda00b32bfb1f0f6b8cd7d08129f5a20672727be6a983732f50ce6de63121686.jpg?v=1786610945" TargetMode="External" Id="rId33"/><Relationship Type="http://schemas.openxmlformats.org/officeDocument/2006/relationships/hyperlink" Target="https://cdn.shopify.com/s/files/1/0792/5098/1063/files/fda00b32bfb1f0f6b8cd7d08129f5a20672727be6a983732f50ce6de63121686.jpg?v=1786610945" TargetMode="External" Id="rId34"/><Relationship Type="http://schemas.openxmlformats.org/officeDocument/2006/relationships/hyperlink" Target="https://cdn.shopify.com/s/files/1/0792/5098/1063/files/582b042d72bf556232feaea473d58f3dc2874b1c369af5cf7826982fb833bc96.jpg?v=1786610945" TargetMode="External" Id="rId35"/><Relationship Type="http://schemas.openxmlformats.org/officeDocument/2006/relationships/hyperlink" Target="https://cdn.shopify.com/s/files/1/0792/5098/1063/files/582b042d72bf556232feaea473d58f3dc2874b1c369af5cf7826982fb833bc96.jpg?v=1786610945" TargetMode="External" Id="rId36"/><Relationship Type="http://schemas.openxmlformats.org/officeDocument/2006/relationships/hyperlink" Target="https://cdn.shopify.com/s/files/1/0792/5098/1063/files/0b1d1e19cab6d757366a36700f895ecca060303e705a8aece2f5fa486b6770da.jpg?v=1786610945" TargetMode="External" Id="rId37"/><Relationship Type="http://schemas.openxmlformats.org/officeDocument/2006/relationships/hyperlink" Target="https://cdn.shopify.com/s/files/1/0792/5098/1063/files/0b1d1e19cab6d757366a36700f895ecca060303e705a8aece2f5fa486b6770da.jpg?v=1786610945" TargetMode="External" Id="rId38"/><Relationship Type="http://schemas.openxmlformats.org/officeDocument/2006/relationships/hyperlink" Target="https://cdn.shopify.com/s/files/1/0792/5098/1063/files/8d826046337227bb116db8d2bc71f03f760486575e643a9219515f8f443f53aa.jpg?v=1786610945" TargetMode="External" Id="rId39"/><Relationship Type="http://schemas.openxmlformats.org/officeDocument/2006/relationships/hyperlink" Target="https://cdn.shopify.com/s/files/1/0792/5098/1063/files/8d826046337227bb116db8d2bc71f03f760486575e643a9219515f8f443f53aa.jpg?v=1786610945" TargetMode="External" Id="rId40"/><Relationship Type="http://schemas.openxmlformats.org/officeDocument/2006/relationships/hyperlink" Target="https://cdn.shopify.com/s/files/1/0792/5098/1063/files/f3390a3244de5fb4bcd359962db27187cfb1130a6590c3e92b8b5ab6e248e076.jpg?v=1786610944" TargetMode="External" Id="rId41"/><Relationship Type="http://schemas.openxmlformats.org/officeDocument/2006/relationships/hyperlink" Target="https://cdn.shopify.com/s/files/1/0792/5098/1063/files/f3390a3244de5fb4bcd359962db27187cfb1130a6590c3e92b8b5ab6e248e076.jpg?v=1786610944" TargetMode="External" Id="rId42"/><Relationship Type="http://schemas.openxmlformats.org/officeDocument/2006/relationships/hyperlink" Target="https://cdn.shopify.com/s/files/1/0792/5098/1063/files/d761ea3ae4f4c0b26b7473177b21a616c5199552823ec637c64fe7b0d6b0f12f.jpg?v=1786610945" TargetMode="External" Id="rId43"/><Relationship Type="http://schemas.openxmlformats.org/officeDocument/2006/relationships/hyperlink" Target="https://cdn.shopify.com/s/files/1/0792/5098/1063/files/d761ea3ae4f4c0b26b7473177b21a616c5199552823ec637c64fe7b0d6b0f12f.jpg?v=1786610945" TargetMode="External" Id="rId44"/><Relationship Type="http://schemas.openxmlformats.org/officeDocument/2006/relationships/hyperlink" Target="https://cdn.shopify.com/s/files/1/0792/5098/1063/files/dd6b2f75d5d331064be3e2ace151f6872c3f1f67675d8c1c7fa00f207341180b.jpg?v=1786610945" TargetMode="External" Id="rId45"/><Relationship Type="http://schemas.openxmlformats.org/officeDocument/2006/relationships/hyperlink" Target="https://cdn.shopify.com/s/files/1/0792/5098/1063/files/dd6b2f75d5d331064be3e2ace151f6872c3f1f67675d8c1c7fa00f207341180b.jpg?v=1786610945" TargetMode="External" Id="rId46"/><Relationship Type="http://schemas.openxmlformats.org/officeDocument/2006/relationships/hyperlink" Target="https://cdn.shopify.com/s/files/1/0792/5098/1063/files/aeb1f1bd9597eeeb3493ff3a126b43bf0243adc8c650c453d23f5bbb65329de7.jpg?v=1786611050" TargetMode="External" Id="rId47"/><Relationship Type="http://schemas.openxmlformats.org/officeDocument/2006/relationships/hyperlink" Target="https://cdn.shopify.com/s/files/1/0792/5098/1063/files/aeb1f1bd9597eeeb3493ff3a126b43bf0243adc8c650c453d23f5bbb65329de7.jpg?v=1786611050" TargetMode="External" Id="rId48"/><Relationship Type="http://schemas.openxmlformats.org/officeDocument/2006/relationships/hyperlink" Target="https://cdn.shopify.com/s/files/1/0792/5098/1063/files/15783a9b72566ee839de08d817d4c4ae542366426a617c752a2a2ec56795a839.jpg?v=1786611050" TargetMode="External" Id="rId49"/><Relationship Type="http://schemas.openxmlformats.org/officeDocument/2006/relationships/hyperlink" Target="https://cdn.shopify.com/s/files/1/0792/5098/1063/files/15783a9b72566ee839de08d817d4c4ae542366426a617c752a2a2ec56795a839.jpg?v=1786611050" TargetMode="External" Id="rId50"/><Relationship Type="http://schemas.openxmlformats.org/officeDocument/2006/relationships/hyperlink" Target="https://cdn.shopify.com/s/files/1/0792/5098/1063/files/108156a85e5ed8e0f89e87c5a0afbaf1ca703e27351914d449d30dbcd85190de.jpg?v=1786611050" TargetMode="External" Id="rId51"/><Relationship Type="http://schemas.openxmlformats.org/officeDocument/2006/relationships/hyperlink" Target="https://cdn.shopify.com/s/files/1/0792/5098/1063/files/108156a85e5ed8e0f89e87c5a0afbaf1ca703e27351914d449d30dbcd85190de.jpg?v=1786611050" TargetMode="External" Id="rId52"/><Relationship Type="http://schemas.openxmlformats.org/officeDocument/2006/relationships/hyperlink" Target="https://cdn.shopify.com/s/files/1/0792/5098/1063/files/0b1d1e19cab6d757366a36700f895ecca060303e705a8aece2f5fa486b6770da_64b5d257-8ea5-49cb-a401-ed867ecd84ae.jpg?v=1786611050" TargetMode="External" Id="rId53"/><Relationship Type="http://schemas.openxmlformats.org/officeDocument/2006/relationships/hyperlink" Target="https://cdn.shopify.com/s/files/1/0792/5098/1063/files/0b1d1e19cab6d757366a36700f895ecca060303e705a8aece2f5fa486b6770da_64b5d257-8ea5-49cb-a401-ed867ecd84ae.jpg?v=1786611050" TargetMode="External" Id="rId54"/><Relationship Type="http://schemas.openxmlformats.org/officeDocument/2006/relationships/hyperlink" Target="https://cdn.shopify.com/s/files/1/0792/5098/1063/files/599e8755b60848885d33718bf5b398d605840c8d487d71e87c022c5564dfaed5.jpg?v=1786611050" TargetMode="External" Id="rId55"/><Relationship Type="http://schemas.openxmlformats.org/officeDocument/2006/relationships/hyperlink" Target="https://cdn.shopify.com/s/files/1/0792/5098/1063/files/599e8755b60848885d33718bf5b398d605840c8d487d71e87c022c5564dfaed5.jpg?v=1786611050" TargetMode="External" Id="rId56"/><Relationship Type="http://schemas.openxmlformats.org/officeDocument/2006/relationships/hyperlink" Target="https://cdn.shopify.com/s/files/1/0792/5098/1063/files/4c5cc9e2c66f88cdde3b7e6fd0952987f1dca5ac52876a538b6310d316350bf2.jpg?v=1786611050" TargetMode="External" Id="rId57"/><Relationship Type="http://schemas.openxmlformats.org/officeDocument/2006/relationships/hyperlink" Target="https://cdn.shopify.com/s/files/1/0792/5098/1063/files/4c5cc9e2c66f88cdde3b7e6fd0952987f1dca5ac52876a538b6310d316350bf2.jpg?v=1786611050" TargetMode="External" Id="rId58"/><Relationship Type="http://schemas.openxmlformats.org/officeDocument/2006/relationships/hyperlink" Target="https://cdn.shopify.com/s/files/1/0792/5098/1063/files/dd6b2f75d5d331064be3e2ace151f6872c3f1f67675d8c1c7fa00f207341180b_bff19a79-92d6-4271-a1ed-900a991b0a6f.jpg?v=1786611050" TargetMode="External" Id="rId59"/><Relationship Type="http://schemas.openxmlformats.org/officeDocument/2006/relationships/hyperlink" Target="https://cdn.shopify.com/s/files/1/0792/5098/1063/files/dd6b2f75d5d331064be3e2ace151f6872c3f1f67675d8c1c7fa00f207341180b_bff19a79-92d6-4271-a1ed-900a991b0a6f.jpg?v=1786611050" TargetMode="External" Id="rId60"/><Relationship Type="http://schemas.openxmlformats.org/officeDocument/2006/relationships/hyperlink" Target="https://cdn.shopify.com/s/files/1/0792/5098/1063/files/6d780fd2bd1485daf0f8dd70e68878d90adefc90340848da9af8ecf4a3230a83.jpg?v=1786611006" TargetMode="External" Id="rId61"/><Relationship Type="http://schemas.openxmlformats.org/officeDocument/2006/relationships/hyperlink" Target="https://cdn.shopify.com/s/files/1/0792/5098/1063/files/6d780fd2bd1485daf0f8dd70e68878d90adefc90340848da9af8ecf4a3230a83.jpg?v=1786611006" TargetMode="External" Id="rId62"/><Relationship Type="http://schemas.openxmlformats.org/officeDocument/2006/relationships/hyperlink" Target="https://cdn.shopify.com/s/files/1/0792/5098/1063/files/1eb56ecd83f16a1b486faa5f948f85e2ce8be491db0b7164e9a4a95a6443f9fa.jpg?v=1786611006" TargetMode="External" Id="rId63"/><Relationship Type="http://schemas.openxmlformats.org/officeDocument/2006/relationships/hyperlink" Target="https://cdn.shopify.com/s/files/1/0792/5098/1063/files/1eb56ecd83f16a1b486faa5f948f85e2ce8be491db0b7164e9a4a95a6443f9fa.jpg?v=1786611006" TargetMode="External" Id="rId64"/><Relationship Type="http://schemas.openxmlformats.org/officeDocument/2006/relationships/hyperlink" Target="https://cdn.shopify.com/s/files/1/0792/5098/1063/files/212eb0529b543882b770a709780a04d8591438420c86396e40be579a1140763c.jpg?v=1786611006" TargetMode="External" Id="rId65"/><Relationship Type="http://schemas.openxmlformats.org/officeDocument/2006/relationships/hyperlink" Target="https://cdn.shopify.com/s/files/1/0792/5098/1063/files/212eb0529b543882b770a709780a04d8591438420c86396e40be579a1140763c.jpg?v=1786611006" TargetMode="External" Id="rId66"/><Relationship Type="http://schemas.openxmlformats.org/officeDocument/2006/relationships/hyperlink" Target="https://cdn.shopify.com/s/files/1/0792/5098/1063/files/396828b59fd53a9241601bb0cad4e9cffbbfd7f7c4237dfcb13e671c90b3f204_3a0944ca-a874-48f5-9d46-2506f3d9921a.jpg?v=1786611006" TargetMode="External" Id="rId67"/><Relationship Type="http://schemas.openxmlformats.org/officeDocument/2006/relationships/hyperlink" Target="https://cdn.shopify.com/s/files/1/0792/5098/1063/files/396828b59fd53a9241601bb0cad4e9cffbbfd7f7c4237dfcb13e671c90b3f204_3a0944ca-a874-48f5-9d46-2506f3d9921a.jpg?v=1786611006" TargetMode="External" Id="rId68"/><Relationship Type="http://schemas.openxmlformats.org/officeDocument/2006/relationships/hyperlink" Target="https://cdn.shopify.com/s/files/1/0792/5098/1063/files/0b1d1e19cab6d757366a36700f895ecca060303e705a8aece2f5fa486b6770da_82f2a957-1f09-4c71-8d62-717fadde4fa3.jpg?v=1786611006" TargetMode="External" Id="rId69"/><Relationship Type="http://schemas.openxmlformats.org/officeDocument/2006/relationships/hyperlink" Target="https://cdn.shopify.com/s/files/1/0792/5098/1063/files/0b1d1e19cab6d757366a36700f895ecca060303e705a8aece2f5fa486b6770da_82f2a957-1f09-4c71-8d62-717fadde4fa3.jpg?v=1786611006" TargetMode="External" Id="rId70"/><Relationship Type="http://schemas.openxmlformats.org/officeDocument/2006/relationships/hyperlink" Target="https://cdn.shopify.com/s/files/1/0792/5098/1063/files/d69c64abffcb16656c216f686764cc115bec8c445623c065690d8b65417d6aa1.jpg?v=1786611006" TargetMode="External" Id="rId71"/><Relationship Type="http://schemas.openxmlformats.org/officeDocument/2006/relationships/hyperlink" Target="https://cdn.shopify.com/s/files/1/0792/5098/1063/files/d69c64abffcb16656c216f686764cc115bec8c445623c065690d8b65417d6aa1.jpg?v=1786611006" TargetMode="External" Id="rId72"/><Relationship Type="http://schemas.openxmlformats.org/officeDocument/2006/relationships/hyperlink" Target="https://cdn.shopify.com/s/files/1/0792/5098/1063/files/f2d46460f3ab65a197a873e1c48899e5b5ee30da98a418af6121a8d7c8106e32.jpg?v=1786611006" TargetMode="External" Id="rId73"/><Relationship Type="http://schemas.openxmlformats.org/officeDocument/2006/relationships/hyperlink" Target="https://cdn.shopify.com/s/files/1/0792/5098/1063/files/f2d46460f3ab65a197a873e1c48899e5b5ee30da98a418af6121a8d7c8106e32.jpg?v=1786611006" TargetMode="External" Id="rId74"/><Relationship Type="http://schemas.openxmlformats.org/officeDocument/2006/relationships/hyperlink" Target="https://cdn.shopify.com/s/files/1/0792/5098/1063/files/d761ea3ae4f4c0b26b7473177b21a616c5199552823ec637c64fe7b0d6b0f12f_efa2fec9-9120-468f-a978-bf436a0a95d3.jpg?v=1786611006" TargetMode="External" Id="rId75"/><Relationship Type="http://schemas.openxmlformats.org/officeDocument/2006/relationships/hyperlink" Target="https://cdn.shopify.com/s/files/1/0792/5098/1063/files/d761ea3ae4f4c0b26b7473177b21a616c5199552823ec637c64fe7b0d6b0f12f_efa2fec9-9120-468f-a978-bf436a0a95d3.jpg?v=1786611006" TargetMode="External" Id="rId76"/><Relationship Type="http://schemas.openxmlformats.org/officeDocument/2006/relationships/hyperlink" Target="https://cdn.shopify.com/s/files/1/0792/5098/1063/files/f841a76d7426fae3bb23d0a8a59fe3fcadc00e404912a6b93baa3f5a7b3a6d2d.jpg?v=1786610967" TargetMode="External" Id="rId77"/><Relationship Type="http://schemas.openxmlformats.org/officeDocument/2006/relationships/hyperlink" Target="https://cdn.shopify.com/s/files/1/0792/5098/1063/files/f841a76d7426fae3bb23d0a8a59fe3fcadc00e404912a6b93baa3f5a7b3a6d2d.jpg?v=1786610967" TargetMode="External" Id="rId78"/><Relationship Type="http://schemas.openxmlformats.org/officeDocument/2006/relationships/hyperlink" Target="https://cdn.shopify.com/s/files/1/0792/5098/1063/files/3813f8c0ac9df910e2e4d8668cfc08c226f6d7481a56d5b1b4ea646d6c145d6d.jpg?v=1786610967" TargetMode="External" Id="rId79"/><Relationship Type="http://schemas.openxmlformats.org/officeDocument/2006/relationships/hyperlink" Target="https://cdn.shopify.com/s/files/1/0792/5098/1063/files/3813f8c0ac9df910e2e4d8668cfc08c226f6d7481a56d5b1b4ea646d6c145d6d.jpg?v=1786610967" TargetMode="External" Id="rId80"/><Relationship Type="http://schemas.openxmlformats.org/officeDocument/2006/relationships/hyperlink" Target="https://cdn.shopify.com/s/files/1/0792/5098/1063/files/573e8ec1b6fd48c4923442e47065a390b1812505c68979c51558d0642f76a14e.jpg?v=1786610967" TargetMode="External" Id="rId81"/><Relationship Type="http://schemas.openxmlformats.org/officeDocument/2006/relationships/hyperlink" Target="https://cdn.shopify.com/s/files/1/0792/5098/1063/files/573e8ec1b6fd48c4923442e47065a390b1812505c68979c51558d0642f76a14e.jpg?v=1786610967" TargetMode="External" Id="rId82"/><Relationship Type="http://schemas.openxmlformats.org/officeDocument/2006/relationships/hyperlink" Target="https://cdn.shopify.com/s/files/1/0792/5098/1063/files/396828b59fd53a9241601bb0cad4e9cffbbfd7f7c4237dfcb13e671c90b3f204.jpg?v=1786610967" TargetMode="External" Id="rId83"/><Relationship Type="http://schemas.openxmlformats.org/officeDocument/2006/relationships/hyperlink" Target="https://cdn.shopify.com/s/files/1/0792/5098/1063/files/396828b59fd53a9241601bb0cad4e9cffbbfd7f7c4237dfcb13e671c90b3f204.jpg?v=1786610967" TargetMode="External" Id="rId84"/><Relationship Type="http://schemas.openxmlformats.org/officeDocument/2006/relationships/hyperlink" Target="https://cdn.shopify.com/s/files/1/0792/5098/1063/files/0b1d1e19cab6d757366a36700f895ecca060303e705a8aece2f5fa486b6770da_9e358fbb-be3f-43b4-a914-017455b6e226.jpg?v=1786610967" TargetMode="External" Id="rId85"/><Relationship Type="http://schemas.openxmlformats.org/officeDocument/2006/relationships/hyperlink" Target="https://cdn.shopify.com/s/files/1/0792/5098/1063/files/0b1d1e19cab6d757366a36700f895ecca060303e705a8aece2f5fa486b6770da_9e358fbb-be3f-43b4-a914-017455b6e226.jpg?v=1786610967" TargetMode="External" Id="rId86"/><Relationship Type="http://schemas.openxmlformats.org/officeDocument/2006/relationships/hyperlink" Target="https://cdn.shopify.com/s/files/1/0792/5098/1063/files/a9822f49fb2659387abd7a7535d5701b1a37102e53679a13cd13a160a7bb04d3.jpg?v=1786610967" TargetMode="External" Id="rId87"/><Relationship Type="http://schemas.openxmlformats.org/officeDocument/2006/relationships/hyperlink" Target="https://cdn.shopify.com/s/files/1/0792/5098/1063/files/a9822f49fb2659387abd7a7535d5701b1a37102e53679a13cd13a160a7bb04d3.jpg?v=1786610967" TargetMode="External" Id="rId88"/><Relationship Type="http://schemas.openxmlformats.org/officeDocument/2006/relationships/hyperlink" Target="https://cdn.shopify.com/s/files/1/0792/5098/1063/files/c12a629ab2e208881c638fd6b75264afcd9525d164bbc35fc0d0579fd4c4f854.jpg?v=1786610967" TargetMode="External" Id="rId89"/><Relationship Type="http://schemas.openxmlformats.org/officeDocument/2006/relationships/hyperlink" Target="https://cdn.shopify.com/s/files/1/0792/5098/1063/files/c12a629ab2e208881c638fd6b75264afcd9525d164bbc35fc0d0579fd4c4f854.jpg?v=1786610967" TargetMode="External" Id="rId90"/><Relationship Type="http://schemas.openxmlformats.org/officeDocument/2006/relationships/hyperlink" Target="https://cdn.shopify.com/s/files/1/0792/5098/1063/files/d761ea3ae4f4c0b26b7473177b21a616c5199552823ec637c64fe7b0d6b0f12f_e0f1a0f2-8f9d-46e6-8b76-93ec1ddb8090.jpg?v=1786610967" TargetMode="External" Id="rId91"/><Relationship Type="http://schemas.openxmlformats.org/officeDocument/2006/relationships/hyperlink" Target="https://cdn.shopify.com/s/files/1/0792/5098/1063/files/d761ea3ae4f4c0b26b7473177b21a616c5199552823ec637c64fe7b0d6b0f12f_e0f1a0f2-8f9d-46e6-8b76-93ec1ddb8090.jpg?v=1786610967" TargetMode="External" Id="rId92"/><Relationship Type="http://schemas.openxmlformats.org/officeDocument/2006/relationships/hyperlink" Target="https://cdn.shopify.com/s/files/1/0792/5098/1063/files/e60a7f0c7875d9a23678ce107f7cc49276a08524f855f1c8123e8371efdc3ca1.jpg?v=1786596773" TargetMode="External" Id="rId93"/><Relationship Type="http://schemas.openxmlformats.org/officeDocument/2006/relationships/hyperlink" Target="https://cdn.shopify.com/s/files/1/0792/5098/1063/files/e60a7f0c7875d9a23678ce107f7cc49276a08524f855f1c8123e8371efdc3ca1.jpg?v=1786596773" TargetMode="External" Id="rId94"/><Relationship Type="http://schemas.openxmlformats.org/officeDocument/2006/relationships/hyperlink" Target="https://cdn.shopify.com/s/files/1/0792/5098/1063/files/ff8aa8b6f045be0fe67b76ae37f27d84f0ad0143e37095b88b29e63dee8d7eef.jpg?v=1786596773" TargetMode="External" Id="rId95"/><Relationship Type="http://schemas.openxmlformats.org/officeDocument/2006/relationships/hyperlink" Target="https://cdn.shopify.com/s/files/1/0792/5098/1063/files/ff8aa8b6f045be0fe67b76ae37f27d84f0ad0143e37095b88b29e63dee8d7eef.jpg?v=1786596773" TargetMode="External" Id="rId96"/><Relationship Type="http://schemas.openxmlformats.org/officeDocument/2006/relationships/hyperlink" Target="https://cdn.shopify.com/s/files/1/0792/5098/1063/files/a9a78fdf2c0420fd947c5f3e5cecd65b237be422aaaa98280fb5ebac60bef361.jpg?v=1786596773" TargetMode="External" Id="rId97"/><Relationship Type="http://schemas.openxmlformats.org/officeDocument/2006/relationships/hyperlink" Target="https://cdn.shopify.com/s/files/1/0792/5098/1063/files/a9a78fdf2c0420fd947c5f3e5cecd65b237be422aaaa98280fb5ebac60bef361.jpg?v=1786596773" TargetMode="External" Id="rId98"/><Relationship Type="http://schemas.openxmlformats.org/officeDocument/2006/relationships/hyperlink" Target="https://cdn.shopify.com/s/files/1/0792/5098/1063/files/305ae64e6952f9d9ff873f8a9c20017e4cb2b2f4331cd02060333804b4f23d24.jpg?v=1786596773" TargetMode="External" Id="rId99"/><Relationship Type="http://schemas.openxmlformats.org/officeDocument/2006/relationships/hyperlink" Target="https://cdn.shopify.com/s/files/1/0792/5098/1063/files/305ae64e6952f9d9ff873f8a9c20017e4cb2b2f4331cd02060333804b4f23d24.jpg?v=1786596773" TargetMode="External" Id="rId100"/><Relationship Type="http://schemas.openxmlformats.org/officeDocument/2006/relationships/hyperlink" Target="https://cdn.shopify.com/s/files/1/0792/5098/1063/files/5462259bf9f3c043578a523c3535ddff2364152d3563cdfd384d3c6187e6bd9e.jpg?v=1786596773" TargetMode="External" Id="rId101"/><Relationship Type="http://schemas.openxmlformats.org/officeDocument/2006/relationships/hyperlink" Target="https://cdn.shopify.com/s/files/1/0792/5098/1063/files/5462259bf9f3c043578a523c3535ddff2364152d3563cdfd384d3c6187e6bd9e.jpg?v=1786596773" TargetMode="External" Id="rId102"/><Relationship Type="http://schemas.openxmlformats.org/officeDocument/2006/relationships/hyperlink" Target="https://cdn.shopify.com/s/files/1/0792/5098/1063/files/2bad5058c746820e47f34d322a765767629d4fe60088c852a465d71609a1d184.jpg?v=1786596773" TargetMode="External" Id="rId103"/><Relationship Type="http://schemas.openxmlformats.org/officeDocument/2006/relationships/hyperlink" Target="https://cdn.shopify.com/s/files/1/0792/5098/1063/files/2bad5058c746820e47f34d322a765767629d4fe60088c852a465d71609a1d184.jpg?v=1786596773" TargetMode="External" Id="rId104"/><Relationship Type="http://schemas.openxmlformats.org/officeDocument/2006/relationships/hyperlink" Target="https://cdn.shopify.com/s/files/1/0792/5098/1063/files/bd2bdbc27d07a38dabe5b11feab835f5ac81fa7e9b596bc91e42123273183b6a.jpg?v=1786596773" TargetMode="External" Id="rId105"/><Relationship Type="http://schemas.openxmlformats.org/officeDocument/2006/relationships/hyperlink" Target="https://cdn.shopify.com/s/files/1/0792/5098/1063/files/bd2bdbc27d07a38dabe5b11feab835f5ac81fa7e9b596bc91e42123273183b6a.jpg?v=1786596773" TargetMode="External" Id="rId106"/><Relationship Type="http://schemas.openxmlformats.org/officeDocument/2006/relationships/hyperlink" Target="https://cdn.shopify.com/s/files/1/0792/5098/1063/files/7ea7887dbaa70e9fa2d52cc786f39814763d527191156ef97bf0d23afbdcc4d3.jpg?v=1786596773" TargetMode="External" Id="rId107"/><Relationship Type="http://schemas.openxmlformats.org/officeDocument/2006/relationships/hyperlink" Target="https://cdn.shopify.com/s/files/1/0792/5098/1063/files/7ea7887dbaa70e9fa2d52cc786f39814763d527191156ef97bf0d23afbdcc4d3.jpg?v=1786596773" TargetMode="External" Id="rId108"/><Relationship Type="http://schemas.openxmlformats.org/officeDocument/2006/relationships/hyperlink" Target="https://cdn.shopify.com/s/files/1/0792/5098/1063/files/7b2d759cc3474f8b380ea9f9ef6d4b141461fb49275363500310123df95ebadf.jpg?v=1786596316" TargetMode="External" Id="rId109"/><Relationship Type="http://schemas.openxmlformats.org/officeDocument/2006/relationships/hyperlink" Target="https://cdn.shopify.com/s/files/1/0792/5098/1063/files/7b2d759cc3474f8b380ea9f9ef6d4b141461fb49275363500310123df95ebadf.jpg?v=1786596316" TargetMode="External" Id="rId110"/><Relationship Type="http://schemas.openxmlformats.org/officeDocument/2006/relationships/hyperlink" Target="https://cdn.shopify.com/s/files/1/0792/5098/1063/files/2ce553ac0d114236f4d8b3e23520aaa409b8dca49927efd5843df78f67260cd9.jpg?v=1786596316" TargetMode="External" Id="rId111"/><Relationship Type="http://schemas.openxmlformats.org/officeDocument/2006/relationships/hyperlink" Target="https://cdn.shopify.com/s/files/1/0792/5098/1063/files/2ce553ac0d114236f4d8b3e23520aaa409b8dca49927efd5843df78f67260cd9.jpg?v=1786596316" TargetMode="External" Id="rId112"/><Relationship Type="http://schemas.openxmlformats.org/officeDocument/2006/relationships/hyperlink" Target="https://cdn.shopify.com/s/files/1/0792/5098/1063/files/703198759b702616a3500a475ce654b547c5fed941e5f8dadfccb45437948bef.jpg?v=1786596316" TargetMode="External" Id="rId113"/><Relationship Type="http://schemas.openxmlformats.org/officeDocument/2006/relationships/hyperlink" Target="https://cdn.shopify.com/s/files/1/0792/5098/1063/files/703198759b702616a3500a475ce654b547c5fed941e5f8dadfccb45437948bef.jpg?v=1786596316" TargetMode="External" Id="rId114"/><Relationship Type="http://schemas.openxmlformats.org/officeDocument/2006/relationships/hyperlink" Target="https://cdn.shopify.com/s/files/1/0792/5098/1063/files/5c3b5891d03eb13448d493becfaf9a384d04fa42c641a138fbbb13e85fd762e9.jpg?v=1786596316" TargetMode="External" Id="rId115"/><Relationship Type="http://schemas.openxmlformats.org/officeDocument/2006/relationships/hyperlink" Target="https://cdn.shopify.com/s/files/1/0792/5098/1063/files/5c3b5891d03eb13448d493becfaf9a384d04fa42c641a138fbbb13e85fd762e9.jpg?v=1786596316" TargetMode="External" Id="rId116"/><Relationship Type="http://schemas.openxmlformats.org/officeDocument/2006/relationships/hyperlink" Target="https://cdn.shopify.com/s/files/1/0792/5098/1063/files/c8a4d26fcd3d1ff5ed61b0a5c1d2b9d98969aa11bacf519f8d76e18208fe489f.jpg?v=1786596316" TargetMode="External" Id="rId117"/><Relationship Type="http://schemas.openxmlformats.org/officeDocument/2006/relationships/hyperlink" Target="https://cdn.shopify.com/s/files/1/0792/5098/1063/files/c8a4d26fcd3d1ff5ed61b0a5c1d2b9d98969aa11bacf519f8d76e18208fe489f.jpg?v=1786596316" TargetMode="External" Id="rId118"/><Relationship Type="http://schemas.openxmlformats.org/officeDocument/2006/relationships/hyperlink" Target="https://cdn.shopify.com/s/files/1/0792/5098/1063/files/2075703484a2851c9831b41fa7c93b7f2c1a14581fdd42005886499bead2d034.jpg?v=1786596316" TargetMode="External" Id="rId119"/><Relationship Type="http://schemas.openxmlformats.org/officeDocument/2006/relationships/hyperlink" Target="https://cdn.shopify.com/s/files/1/0792/5098/1063/files/2075703484a2851c9831b41fa7c93b7f2c1a14581fdd42005886499bead2d034.jpg?v=1786596316" TargetMode="External" Id="rId120"/><Relationship Type="http://schemas.openxmlformats.org/officeDocument/2006/relationships/hyperlink" Target="https://cdn.shopify.com/s/files/1/0792/5098/1063/files/dbaa1b9e2e9e88c8253a504824d6d6586ba526051890b872b7c52fe128a52757.jpg?v=1786596316" TargetMode="External" Id="rId121"/><Relationship Type="http://schemas.openxmlformats.org/officeDocument/2006/relationships/hyperlink" Target="https://cdn.shopify.com/s/files/1/0792/5098/1063/files/dbaa1b9e2e9e88c8253a504824d6d6586ba526051890b872b7c52fe128a52757.jpg?v=1786596316" TargetMode="External" Id="rId122"/><Relationship Type="http://schemas.openxmlformats.org/officeDocument/2006/relationships/hyperlink" Target="https://cdn.shopify.com/s/files/1/0792/5098/1063/files/139d0ca45b7480145218d55302ce28a8914b4044980407dc05e579b785dace61.jpg?v=1786596316" TargetMode="External" Id="rId123"/><Relationship Type="http://schemas.openxmlformats.org/officeDocument/2006/relationships/hyperlink" Target="https://cdn.shopify.com/s/files/1/0792/5098/1063/files/139d0ca45b7480145218d55302ce28a8914b4044980407dc05e579b785dace61.jpg?v=1786596316" TargetMode="External" Id="rId124"/><Relationship Type="http://schemas.openxmlformats.org/officeDocument/2006/relationships/hyperlink" Target="https://cdn.shopify.com/s/files/1/0792/5098/1063/files/9567025a041eead65c74e386ef5aa307e42a36b4156ebbad9a2346c965ea1380.jpg?v=1786596333" TargetMode="External" Id="rId125"/><Relationship Type="http://schemas.openxmlformats.org/officeDocument/2006/relationships/hyperlink" Target="https://cdn.shopify.com/s/files/1/0792/5098/1063/files/9567025a041eead65c74e386ef5aa307e42a36b4156ebbad9a2346c965ea1380.jpg?v=1786596333" TargetMode="External" Id="rId126"/><Relationship Type="http://schemas.openxmlformats.org/officeDocument/2006/relationships/hyperlink" Target="https://cdn.shopify.com/s/files/1/0792/5098/1063/files/810e40d16ff4bd13a758dbb0fff23faeedc6c4d91d4680fd59553b075b001a0a.jpg?v=1786596333" TargetMode="External" Id="rId127"/><Relationship Type="http://schemas.openxmlformats.org/officeDocument/2006/relationships/hyperlink" Target="https://cdn.shopify.com/s/files/1/0792/5098/1063/files/810e40d16ff4bd13a758dbb0fff23faeedc6c4d91d4680fd59553b075b001a0a.jpg?v=1786596333" TargetMode="External" Id="rId128"/><Relationship Type="http://schemas.openxmlformats.org/officeDocument/2006/relationships/hyperlink" Target="https://cdn.shopify.com/s/files/1/0792/5098/1063/files/734ea47441dca730cb74184d1f9a5a8df4dc473db392a9d94030798181e723c7.jpg?v=1786596333" TargetMode="External" Id="rId129"/><Relationship Type="http://schemas.openxmlformats.org/officeDocument/2006/relationships/hyperlink" Target="https://cdn.shopify.com/s/files/1/0792/5098/1063/files/734ea47441dca730cb74184d1f9a5a8df4dc473db392a9d94030798181e723c7.jpg?v=1786596333" TargetMode="External" Id="rId130"/><Relationship Type="http://schemas.openxmlformats.org/officeDocument/2006/relationships/hyperlink" Target="https://cdn.shopify.com/s/files/1/0792/5098/1063/files/9164e46c99988932b76d547d0088a1a3f0fb74fffaae86bf7b2bb4d0885e2bce.jpg?v=1786596333" TargetMode="External" Id="rId131"/><Relationship Type="http://schemas.openxmlformats.org/officeDocument/2006/relationships/hyperlink" Target="https://cdn.shopify.com/s/files/1/0792/5098/1063/files/9164e46c99988932b76d547d0088a1a3f0fb74fffaae86bf7b2bb4d0885e2bce.jpg?v=1786596333" TargetMode="External" Id="rId132"/><Relationship Type="http://schemas.openxmlformats.org/officeDocument/2006/relationships/hyperlink" Target="https://cdn.shopify.com/s/files/1/0792/5098/1063/files/044df06284c8807b67c3965bc174cb1dd2c20798b334a995dde92efb0a4ac33d.jpg?v=1786596333" TargetMode="External" Id="rId133"/><Relationship Type="http://schemas.openxmlformats.org/officeDocument/2006/relationships/hyperlink" Target="https://cdn.shopify.com/s/files/1/0792/5098/1063/files/044df06284c8807b67c3965bc174cb1dd2c20798b334a995dde92efb0a4ac33d.jpg?v=1786596333" TargetMode="External" Id="rId134"/><Relationship Type="http://schemas.openxmlformats.org/officeDocument/2006/relationships/hyperlink" Target="https://cdn.shopify.com/s/files/1/0792/5098/1063/files/684c046d236e48781d83021ed18e97f71edc975eba7241d547167c78d46c42d1.jpg?v=1786596333" TargetMode="External" Id="rId135"/><Relationship Type="http://schemas.openxmlformats.org/officeDocument/2006/relationships/hyperlink" Target="https://cdn.shopify.com/s/files/1/0792/5098/1063/files/684c046d236e48781d83021ed18e97f71edc975eba7241d547167c78d46c42d1.jpg?v=1786596333" TargetMode="External" Id="rId136"/><Relationship Type="http://schemas.openxmlformats.org/officeDocument/2006/relationships/hyperlink" Target="https://cdn.shopify.com/s/files/1/0792/5098/1063/files/76ac7df588ae004752bb4dbe5045fb3f03b5d78d355167e47889373a8d15384a.jpg?v=1786596333" TargetMode="External" Id="rId137"/><Relationship Type="http://schemas.openxmlformats.org/officeDocument/2006/relationships/hyperlink" Target="https://cdn.shopify.com/s/files/1/0792/5098/1063/files/76ac7df588ae004752bb4dbe5045fb3f03b5d78d355167e47889373a8d15384a.jpg?v=1786596333" TargetMode="External" Id="rId138"/><Relationship Type="http://schemas.openxmlformats.org/officeDocument/2006/relationships/hyperlink" Target="https://cdn.shopify.com/s/files/1/0792/5098/1063/files/f780832f6c709aefd1624020cbaf7826dff370d3398bcc5ea9dcf8cb2410ca76.jpg?v=1786596333" TargetMode="External" Id="rId139"/><Relationship Type="http://schemas.openxmlformats.org/officeDocument/2006/relationships/hyperlink" Target="https://cdn.shopify.com/s/files/1/0792/5098/1063/files/f780832f6c709aefd1624020cbaf7826dff370d3398bcc5ea9dcf8cb2410ca76.jpg?v=1786596333" TargetMode="External" Id="rId140"/><Relationship Type="http://schemas.openxmlformats.org/officeDocument/2006/relationships/hyperlink" Target="https://cdn.shopify.com/s/files/1/0792/5098/1063/files/fa4c87e3ad89fcb17154c6d08d008fe811e3ada64703d98c1fca09128ccb3a83.jpg?v=1786596475" TargetMode="External" Id="rId141"/><Relationship Type="http://schemas.openxmlformats.org/officeDocument/2006/relationships/hyperlink" Target="https://cdn.shopify.com/s/files/1/0792/5098/1063/files/fa4c87e3ad89fcb17154c6d08d008fe811e3ada64703d98c1fca09128ccb3a83.jpg?v=1786596475" TargetMode="External" Id="rId142"/><Relationship Type="http://schemas.openxmlformats.org/officeDocument/2006/relationships/hyperlink" Target="https://cdn.shopify.com/s/files/1/0792/5098/1063/files/d4e9a8539470072d5c5baf2c1e66d73f9ffc956ee3053533ff34bdaea36bc129.jpg?v=1786596475" TargetMode="External" Id="rId143"/><Relationship Type="http://schemas.openxmlformats.org/officeDocument/2006/relationships/hyperlink" Target="https://cdn.shopify.com/s/files/1/0792/5098/1063/files/d4e9a8539470072d5c5baf2c1e66d73f9ffc956ee3053533ff34bdaea36bc129.jpg?v=1786596475" TargetMode="External" Id="rId144"/><Relationship Type="http://schemas.openxmlformats.org/officeDocument/2006/relationships/hyperlink" Target="https://cdn.shopify.com/s/files/1/0792/5098/1063/files/759490c85c946c6771dab94f8a1364e1b84653ade2cb0950a374f68092d3199c.jpg?v=1786596478" TargetMode="External" Id="rId145"/><Relationship Type="http://schemas.openxmlformats.org/officeDocument/2006/relationships/hyperlink" Target="https://cdn.shopify.com/s/files/1/0792/5098/1063/files/759490c85c946c6771dab94f8a1364e1b84653ade2cb0950a374f68092d3199c.jpg?v=1786596478" TargetMode="External" Id="rId146"/><Relationship Type="http://schemas.openxmlformats.org/officeDocument/2006/relationships/hyperlink" Target="https://cdn.shopify.com/s/files/1/0792/5098/1063/files/bab294486e3013fbc619bbb3e71230eca4b927ab5f8abb1a8fb3c6d2e28d9193.jpg?v=1786596475" TargetMode="External" Id="rId147"/><Relationship Type="http://schemas.openxmlformats.org/officeDocument/2006/relationships/hyperlink" Target="https://cdn.shopify.com/s/files/1/0792/5098/1063/files/bab294486e3013fbc619bbb3e71230eca4b927ab5f8abb1a8fb3c6d2e28d9193.jpg?v=1786596475" TargetMode="External" Id="rId148"/><Relationship Type="http://schemas.openxmlformats.org/officeDocument/2006/relationships/hyperlink" Target="https://cdn.shopify.com/s/files/1/0792/5098/1063/files/0416735fb823a111c841d5d285553bea73d30b765a5545afa4086717e3e2c7d3.jpg?v=1786596475" TargetMode="External" Id="rId149"/><Relationship Type="http://schemas.openxmlformats.org/officeDocument/2006/relationships/hyperlink" Target="https://cdn.shopify.com/s/files/1/0792/5098/1063/files/0416735fb823a111c841d5d285553bea73d30b765a5545afa4086717e3e2c7d3.jpg?v=1786596475" TargetMode="External" Id="rId150"/><Relationship Type="http://schemas.openxmlformats.org/officeDocument/2006/relationships/hyperlink" Target="https://cdn.shopify.com/s/files/1/0792/5098/1063/files/e576d43eb2b191f065506be3fac0e45ce427db1e42efc5852ccc760dafb39887.jpg?v=1786596475" TargetMode="External" Id="rId151"/><Relationship Type="http://schemas.openxmlformats.org/officeDocument/2006/relationships/hyperlink" Target="https://cdn.shopify.com/s/files/1/0792/5098/1063/files/e576d43eb2b191f065506be3fac0e45ce427db1e42efc5852ccc760dafb39887.jpg?v=1786596475" TargetMode="External" Id="rId152"/><Relationship Type="http://schemas.openxmlformats.org/officeDocument/2006/relationships/hyperlink" Target="https://cdn.shopify.com/s/files/1/0792/5098/1063/files/7c29bc231473be38367a39696043dc9046e2ad0b9b02b847aba65a535c3d5c67.jpg?v=1786596475" TargetMode="External" Id="rId153"/><Relationship Type="http://schemas.openxmlformats.org/officeDocument/2006/relationships/hyperlink" Target="https://cdn.shopify.com/s/files/1/0792/5098/1063/files/7c29bc231473be38367a39696043dc9046e2ad0b9b02b847aba65a535c3d5c67.jpg?v=1786596475" TargetMode="External" Id="rId154"/><Relationship Type="http://schemas.openxmlformats.org/officeDocument/2006/relationships/hyperlink" Target="https://cdn.shopify.com/s/files/1/0792/5098/1063/files/03f1b1a7f237ec569ecd0df3e08ba9cf8b2d785c0925b3382d0ee3993ce0180b.jpg?v=1786596476" TargetMode="External" Id="rId155"/><Relationship Type="http://schemas.openxmlformats.org/officeDocument/2006/relationships/hyperlink" Target="https://cdn.shopify.com/s/files/1/0792/5098/1063/files/03f1b1a7f237ec569ecd0df3e08ba9cf8b2d785c0925b3382d0ee3993ce0180b.jpg?v=1786596476" TargetMode="External" Id="rId156"/></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Rubric QA áp dụng.</t>
        </is>
      </c>
    </row>
    <row r="3" ht="42" customHeight="1">
      <c r="A3" s="3" t="inlineStr">
        <is>
          <t>source_workbook</t>
        </is>
      </c>
      <c r="B3" s="3" t="inlineStr">
        <is>
          <t>D:\Shopify_Workspace\jeminise_seo\resutls\jeminise.com\20260906_234129\revisions\qa_batch_006_r2\SEO_Product_Optimization_qa_batch_006_r2.xlsx</t>
        </is>
      </c>
      <c r="C3" s="3" t="inlineStr">
        <is>
          <t>Workbook giai đoạn 1 đóng băng; không chỉnh sửa.</t>
        </is>
      </c>
    </row>
    <row r="4" ht="42" customHeight="1">
      <c r="A4" s="2" t="inlineStr">
        <is>
          <t>source_sha256_at_handoff</t>
        </is>
      </c>
      <c r="B4" s="2" t="inlineStr">
        <is>
          <t>AA0F1732725D0BE9A47DF898C5E8197EDA5B65FA4930719A2025B3015E200421</t>
        </is>
      </c>
      <c r="C4" s="2" t="inlineStr">
        <is>
          <t>Hash tính lại khi hoàn tất.</t>
        </is>
      </c>
    </row>
    <row r="5" ht="42" customHeight="1">
      <c r="A5" s="3" t="inlineStr">
        <is>
          <t>qa_run_id</t>
        </is>
      </c>
      <c r="B5" s="3" t="inlineStr">
        <is>
          <t>20260907_161639</t>
        </is>
      </c>
      <c r="C5" s="3" t="inlineStr">
        <is>
          <t>Run QA độc lập.</t>
        </is>
      </c>
    </row>
    <row r="6" ht="42" customHeight="1">
      <c r="A6" s="2" t="inlineStr">
        <is>
          <t>batch_id</t>
        </is>
      </c>
      <c r="B6" s="2" t="inlineStr">
        <is>
          <t>qa_batch_006_r2</t>
        </is>
      </c>
      <c r="C6" s="2" t="inlineStr">
        <is>
          <t>Inventory positions 51-60.</t>
        </is>
      </c>
    </row>
    <row r="7" ht="42" customHeight="1">
      <c r="A7" s="3" t="inlineStr">
        <is>
          <t>products_checked</t>
        </is>
      </c>
      <c r="B7" s="3" t="n">
        <v>10</v>
      </c>
      <c r="C7" s="3" t="inlineStr">
        <is>
          <t>Đúng 10 product key.</t>
        </is>
      </c>
    </row>
    <row r="8" ht="42" customHeight="1">
      <c r="A8" s="2" t="inlineStr">
        <is>
          <t>images_checked</t>
        </is>
      </c>
      <c r="B8" s="2" t="n">
        <v>78</v>
      </c>
      <c r="C8" s="2" t="inlineStr">
        <is>
          <t>78/78 ảnh mở trực tiếp ở độ phân giải gốc.</t>
        </is>
      </c>
    </row>
    <row r="9" ht="42" customHeight="1">
      <c r="A9" s="3" t="inlineStr">
        <is>
          <t>batch_final_score</t>
        </is>
      </c>
      <c r="B9" s="3">
        <f>AVERAGE('QA_Products'!$K$2:$K$11)</f>
        <v/>
      </c>
      <c r="C9" s="3" t="inlineStr">
        <is>
          <t>Trung bình 10 final_score; không bù lỗi chặn.</t>
        </is>
      </c>
    </row>
    <row r="10" ht="42" customHeight="1">
      <c r="A10" s="2" t="inlineStr">
        <is>
          <t>batch_result</t>
        </is>
      </c>
      <c r="B10" s="2">
        <f>IF(COUNTIF('QA_Products'!$L$2:$L$11,"QA_PASS")=ROWS('QA_Products'!$L$2:$L$11),"PASSED","NOT_PASSED")</f>
        <v/>
      </c>
      <c r="C10" s="2" t="inlineStr">
        <is>
          <t>Lô chỉ đạt khi mọi sản phẩm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Số sản phẩm theo kết luận.</t>
        </is>
      </c>
    </row>
    <row r="12" ht="42" customHeight="1">
      <c r="A12" s="2" t="inlineStr">
        <is>
          <t>issue_counts</t>
        </is>
      </c>
      <c r="B12" s="2" t="inlineStr">
        <is>
          <t>{"MAJOR": 57, "MINOR": 13, "LIMITATION": 2}</t>
        </is>
      </c>
      <c r="C12" s="2" t="inlineStr">
        <is>
          <t>Số phát hiện theo severity.</t>
        </is>
      </c>
    </row>
    <row r="13" ht="42" customHeight="1">
      <c r="A13" s="3" t="inlineStr">
        <is>
          <t>admin_limitation</t>
        </is>
      </c>
      <c r="B13" s="3" t="inlineStr">
        <is>
          <t>No Shopify admin export</t>
        </is>
      </c>
      <c r="C13" s="3" t="inlineStr">
        <is>
          <t>Không suy ra admin fields hoặc dynamic personalization app.</t>
        </is>
      </c>
    </row>
    <row r="14" ht="42" customHeight="1">
      <c r="A14" s="2" t="inlineStr">
        <is>
          <t>xlsx_status</t>
        </is>
      </c>
      <c r="B14" s="2" t="inlineStr">
        <is>
          <t>COMPLETE</t>
        </is>
      </c>
      <c r="C14" s="2" t="inlineStr">
        <is>
          <t>XLSX tạo bằng openpyxl, kiểm tra cấu trúc/công thức và render.</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51</v>
      </c>
      <c r="B2" s="2" t="inlineStr">
        <is>
          <t>jeminise.com+custom-christian-scripture-floral-blanket-machine-washable-d10</t>
        </is>
      </c>
      <c r="C2" s="4" t="inlineStr">
        <is>
          <t>https://jeminise.com/products/custom-christian-scripture-floral-blanket-machine-washable-d10</t>
        </is>
      </c>
      <c r="D2" s="2" t="inlineStr">
        <is>
          <t>custom-christian-scripture-floral-blanket-machine-washable-d10</t>
        </is>
      </c>
      <c r="E2" s="2" t="inlineStr">
        <is>
          <t>8860136046791</t>
        </is>
      </c>
      <c r="F2" s="2" t="inlineStr">
        <is>
          <t>r2</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7</v>
      </c>
      <c r="O2" s="2" t="n">
        <v>7</v>
      </c>
      <c r="P2" s="2" t="b">
        <v>1</v>
      </c>
      <c r="Q2" s="6" t="n">
        <v>1</v>
      </c>
      <c r="R2" s="2">
        <f>COUNTIFS('QA_Issues'!$B$2:$B$73,B2,'QA_Issues'!$D$2:$D$73,"CRITICAL")</f>
        <v/>
      </c>
      <c r="S2" s="2">
        <f>COUNTIFS('QA_Issues'!$B$2:$B$73,B2,'QA_Issues'!$D$2:$D$73,"MAJOR")</f>
        <v/>
      </c>
      <c r="T2" s="2">
        <f>COUNTIFS('QA_Issues'!$B$2:$B$73,B2,'QA_Issues'!$D$2:$D$73,"MINOR")</f>
        <v/>
      </c>
      <c r="U2" s="2">
        <f>COUNTIFS('QA_Issues'!$B$2:$B$73,B2,'QA_Issues'!$D$2:$D$73,"LIMITATION")</f>
        <v/>
      </c>
      <c r="V2" s="2" t="inlineStr">
        <is>
          <t>["R2-ISS-051-IMG-04", "R2-ISS-051-IMG-05", "R2-ISS-051-IMG-06", "R2-ISS-051-IMG-07", "R2-ISS-051-DESC", "R2-ISS-051-CUSTOMIZER", "R2-ISS-051-META-WORDING", "R2-ISS-051-CANN"]</t>
        </is>
      </c>
      <c r="W2" s="2" t="inlineStr">
        <is>
          <t>["evidence_batch_006_051", "https://jeminise.com/products/custom-christian-scripture-floral-blanket-machine-washable-d10", "serp_qa_051"]</t>
        </is>
      </c>
    </row>
    <row r="3" ht="42" customHeight="1">
      <c r="A3" s="3" t="n">
        <v>52</v>
      </c>
      <c r="B3" s="3" t="inlineStr">
        <is>
          <t>jeminise.com+custom-emily-god-says-i-am-blanket-machine-washable-d9</t>
        </is>
      </c>
      <c r="C3" s="4" t="inlineStr">
        <is>
          <t>https://jeminise.com/products/custom-emily-god-says-i-am-blanket-machine-washable-d9</t>
        </is>
      </c>
      <c r="D3" s="3" t="inlineStr">
        <is>
          <t>custom-emily-god-says-i-am-blanket-machine-washable-d9</t>
        </is>
      </c>
      <c r="E3" s="3" t="inlineStr">
        <is>
          <t>8860093972679</t>
        </is>
      </c>
      <c r="F3" s="3" t="inlineStr">
        <is>
          <t>r2</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8</v>
      </c>
      <c r="O3" s="3" t="n">
        <v>8</v>
      </c>
      <c r="P3" s="3" t="b">
        <v>1</v>
      </c>
      <c r="Q3" s="8" t="n">
        <v>1</v>
      </c>
      <c r="R3" s="3">
        <f>COUNTIFS('QA_Issues'!$B$2:$B$73,B3,'QA_Issues'!$D$2:$D$73,"CRITICAL")</f>
        <v/>
      </c>
      <c r="S3" s="3">
        <f>COUNTIFS('QA_Issues'!$B$2:$B$73,B3,'QA_Issues'!$D$2:$D$73,"MAJOR")</f>
        <v/>
      </c>
      <c r="T3" s="3">
        <f>COUNTIFS('QA_Issues'!$B$2:$B$73,B3,'QA_Issues'!$D$2:$D$73,"MINOR")</f>
        <v/>
      </c>
      <c r="U3" s="3">
        <f>COUNTIFS('QA_Issues'!$B$2:$B$73,B3,'QA_Issues'!$D$2:$D$73,"LIMITATION")</f>
        <v/>
      </c>
      <c r="V3" s="3" t="inlineStr">
        <is>
          <t>["R2-ISS-052-IMG-04", "R2-ISS-052-IMG-05", "R2-ISS-052-IMG-07", "R2-ISS-052-IMG-08", "R2-ISS-052-DESC", "R2-ISS-052-CUSTOMIZER", "R2-ISS-052-META-WORDING", "R2-ISS-052-CANN"]</t>
        </is>
      </c>
      <c r="W3" s="3" t="inlineStr">
        <is>
          <t>["evidence_batch_006_052", "https://jeminise.com/products/custom-emily-god-says-i-am-blanket-machine-washable-d9", "serp_qa_052"]</t>
        </is>
      </c>
    </row>
    <row r="4" ht="42" customHeight="1">
      <c r="A4" s="2" t="n">
        <v>53</v>
      </c>
      <c r="B4" s="2" t="inlineStr">
        <is>
          <t>jeminise.com+custom-exploding-soccer-ball-comforter-set-machine-washable-a10</t>
        </is>
      </c>
      <c r="C4" s="4" t="inlineStr">
        <is>
          <t>https://jeminise.com/products/custom-exploding-soccer-ball-comforter-set-machine-washable-a10</t>
        </is>
      </c>
      <c r="D4" s="2" t="inlineStr">
        <is>
          <t>custom-exploding-soccer-ball-comforter-set-machine-washable-a10</t>
        </is>
      </c>
      <c r="E4" s="2" t="inlineStr">
        <is>
          <t>8860497477831</t>
        </is>
      </c>
      <c r="F4" s="2" t="inlineStr">
        <is>
          <t>r2</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8</v>
      </c>
      <c r="O4" s="2" t="n">
        <v>8</v>
      </c>
      <c r="P4" s="2" t="b">
        <v>1</v>
      </c>
      <c r="Q4" s="6" t="n">
        <v>1</v>
      </c>
      <c r="R4" s="2">
        <f>COUNTIFS('QA_Issues'!$B$2:$B$73,B4,'QA_Issues'!$D$2:$D$73,"CRITICAL")</f>
        <v/>
      </c>
      <c r="S4" s="2">
        <f>COUNTIFS('QA_Issues'!$B$2:$B$73,B4,'QA_Issues'!$D$2:$D$73,"MAJOR")</f>
        <v/>
      </c>
      <c r="T4" s="2">
        <f>COUNTIFS('QA_Issues'!$B$2:$B$73,B4,'QA_Issues'!$D$2:$D$73,"MINOR")</f>
        <v/>
      </c>
      <c r="U4" s="2">
        <f>COUNTIFS('QA_Issues'!$B$2:$B$73,B4,'QA_Issues'!$D$2:$D$73,"LIMITATION")</f>
        <v/>
      </c>
      <c r="V4" s="2" t="inlineStr">
        <is>
          <t>["R2-ISS-053-IMG-02", "R2-ISS-053-IMG-07", "R2-ISS-053-IMG-08", "R2-ISS-053-DESC", "R2-ISS-053-CUSTOMIZER", "R2-ISS-053-META-WORDING", "R2-ISS-053-CANN"]</t>
        </is>
      </c>
      <c r="W4" s="2" t="inlineStr">
        <is>
          <t>["evidence_batch_006_053", "https://jeminise.com/products/custom-exploding-soccer-ball-comforter-set-machine-washable-a10", "serp_qa_053"]</t>
        </is>
      </c>
    </row>
    <row r="5" ht="42" customHeight="1">
      <c r="A5" s="3" t="n">
        <v>54</v>
      </c>
      <c r="B5" s="3" t="inlineStr">
        <is>
          <t>jeminise.com+custom-fiery-soccer-ball-custom-name-comforter-set-machin-design-5</t>
        </is>
      </c>
      <c r="C5" s="4" t="inlineStr">
        <is>
          <t>https://jeminise.com/products/custom-fiery-soccer-ball-custom-name-comforter-set-machin-design-5</t>
        </is>
      </c>
      <c r="D5" s="3" t="inlineStr">
        <is>
          <t>custom-fiery-soccer-ball-custom-name-comforter-set-machin-design-5</t>
        </is>
      </c>
      <c r="E5" s="3" t="inlineStr">
        <is>
          <t>8860499247303</t>
        </is>
      </c>
      <c r="F5" s="3" t="inlineStr">
        <is>
          <t>r2</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7</v>
      </c>
      <c r="O5" s="3" t="n">
        <v>7</v>
      </c>
      <c r="P5" s="3" t="b">
        <v>1</v>
      </c>
      <c r="Q5" s="8" t="n">
        <v>1</v>
      </c>
      <c r="R5" s="3">
        <f>COUNTIFS('QA_Issues'!$B$2:$B$73,B5,'QA_Issues'!$D$2:$D$73,"CRITICAL")</f>
        <v/>
      </c>
      <c r="S5" s="3">
        <f>COUNTIFS('QA_Issues'!$B$2:$B$73,B5,'QA_Issues'!$D$2:$D$73,"MAJOR")</f>
        <v/>
      </c>
      <c r="T5" s="3">
        <f>COUNTIFS('QA_Issues'!$B$2:$B$73,B5,'QA_Issues'!$D$2:$D$73,"MINOR")</f>
        <v/>
      </c>
      <c r="U5" s="3">
        <f>COUNTIFS('QA_Issues'!$B$2:$B$73,B5,'QA_Issues'!$D$2:$D$73,"LIMITATION")</f>
        <v/>
      </c>
      <c r="V5" s="3" t="inlineStr">
        <is>
          <t>["R2-ISS-054-IMG-02", "R2-ISS-054-IMG-05", "R2-ISS-054-IMG-06", "R2-ISS-054-IMG-07", "R2-ISS-054-DESC", "R2-ISS-054-CUSTOMIZER", "R2-ISS-054-META-WORDING", "R2-ISS-054-CANN", "R2-ISS-054-TYPO"]</t>
        </is>
      </c>
      <c r="W5" s="3" t="inlineStr">
        <is>
          <t>["evidence_batch_006_054", "https://jeminise.com/products/custom-fiery-soccer-ball-custom-name-comforter-set-machin-design-5", "serp_qa_054"]</t>
        </is>
      </c>
    </row>
    <row r="6" ht="42" customHeight="1">
      <c r="A6" s="2" t="n">
        <v>55</v>
      </c>
      <c r="B6" s="2" t="inlineStr">
        <is>
          <t>jeminise.com+custom-flaming-soccer-ball-with-custom-name-comforter-set-a12</t>
        </is>
      </c>
      <c r="C6" s="4" t="inlineStr">
        <is>
          <t>https://jeminise.com/products/custom-flaming-soccer-ball-with-custom-name-comforter-set-a12</t>
        </is>
      </c>
      <c r="D6" s="2" t="inlineStr">
        <is>
          <t>custom-flaming-soccer-ball-with-custom-name-comforter-set-a12</t>
        </is>
      </c>
      <c r="E6" s="2" t="inlineStr">
        <is>
          <t>8860498493639</t>
        </is>
      </c>
      <c r="F6" s="2" t="inlineStr">
        <is>
          <t>r2</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8</v>
      </c>
      <c r="O6" s="2" t="n">
        <v>8</v>
      </c>
      <c r="P6" s="2" t="b">
        <v>1</v>
      </c>
      <c r="Q6" s="6" t="n">
        <v>1</v>
      </c>
      <c r="R6" s="2">
        <f>COUNTIFS('QA_Issues'!$B$2:$B$73,B6,'QA_Issues'!$D$2:$D$73,"CRITICAL")</f>
        <v/>
      </c>
      <c r="S6" s="2">
        <f>COUNTIFS('QA_Issues'!$B$2:$B$73,B6,'QA_Issues'!$D$2:$D$73,"MAJOR")</f>
        <v/>
      </c>
      <c r="T6" s="2">
        <f>COUNTIFS('QA_Issues'!$B$2:$B$73,B6,'QA_Issues'!$D$2:$D$73,"MINOR")</f>
        <v/>
      </c>
      <c r="U6" s="2">
        <f>COUNTIFS('QA_Issues'!$B$2:$B$73,B6,'QA_Issues'!$D$2:$D$73,"LIMITATION")</f>
        <v/>
      </c>
      <c r="V6" s="2" t="inlineStr">
        <is>
          <t>["R2-ISS-055-IMG-02", "R2-ISS-055-IMG-05", "R2-ISS-055-IMG-06", "R2-ISS-055-IMG-08", "R2-ISS-055-DESC", "R2-ISS-055-CUSTOMIZER", "R2-ISS-055-META-WORDING", "R2-ISS-055-CANN"]</t>
        </is>
      </c>
      <c r="W6" s="2" t="inlineStr">
        <is>
          <t>["evidence_batch_006_055", "https://jeminise.com/products/custom-flaming-soccer-ball-with-custom-name-comforter-set-a12", "serp_qa_055"]</t>
        </is>
      </c>
    </row>
    <row r="7" ht="42" customHeight="1">
      <c r="A7" s="3" t="n">
        <v>56</v>
      </c>
      <c r="B7" s="3" t="inlineStr">
        <is>
          <t>jeminise.com+custom-flaming-soccer-ball-with-name-comforter-set-machine-washable</t>
        </is>
      </c>
      <c r="C7" s="4" t="inlineStr">
        <is>
          <t>https://jeminise.com/products/custom-flaming-soccer-ball-with-name-comforter-set-machine-washable</t>
        </is>
      </c>
      <c r="D7" s="3" t="inlineStr">
        <is>
          <t>custom-flaming-soccer-ball-with-name-comforter-set-machine-washable</t>
        </is>
      </c>
      <c r="E7" s="3" t="inlineStr">
        <is>
          <t>8860497838279</t>
        </is>
      </c>
      <c r="F7" s="3" t="inlineStr">
        <is>
          <t>r2</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8</v>
      </c>
      <c r="O7" s="3" t="n">
        <v>8</v>
      </c>
      <c r="P7" s="3" t="b">
        <v>1</v>
      </c>
      <c r="Q7" s="8" t="n">
        <v>1</v>
      </c>
      <c r="R7" s="3">
        <f>COUNTIFS('QA_Issues'!$B$2:$B$73,B7,'QA_Issues'!$D$2:$D$73,"CRITICAL")</f>
        <v/>
      </c>
      <c r="S7" s="3">
        <f>COUNTIFS('QA_Issues'!$B$2:$B$73,B7,'QA_Issues'!$D$2:$D$73,"MAJOR")</f>
        <v/>
      </c>
      <c r="T7" s="3">
        <f>COUNTIFS('QA_Issues'!$B$2:$B$73,B7,'QA_Issues'!$D$2:$D$73,"MINOR")</f>
        <v/>
      </c>
      <c r="U7" s="3">
        <f>COUNTIFS('QA_Issues'!$B$2:$B$73,B7,'QA_Issues'!$D$2:$D$73,"LIMITATION")</f>
        <v/>
      </c>
      <c r="V7" s="3" t="inlineStr">
        <is>
          <t>["R2-ISS-056-IMG-02", "R2-ISS-056-IMG-03", "R2-ISS-056-IMG-05", "R2-ISS-056-IMG-06", "R2-ISS-056-IMG-07", "R2-ISS-056-IMG-08", "R2-ISS-056-DESC", "R2-ISS-056-CUSTOMIZER", "R2-ISS-056-META-WORDING", "R2-ISS-056-CANN"]</t>
        </is>
      </c>
      <c r="W7" s="3" t="inlineStr">
        <is>
          <t>["evidence_batch_006_056", "https://jeminise.com/products/custom-flaming-soccer-ball-with-name-comforter-set-machine-washable", "serp_qa_056"]</t>
        </is>
      </c>
    </row>
    <row r="8" ht="42" customHeight="1">
      <c r="A8" s="2" t="n">
        <v>57</v>
      </c>
      <c r="B8" s="2" t="inlineStr">
        <is>
          <t>jeminise.com+custom-floral-butterfly-inspirational-blanket-machine-wash-design-8</t>
        </is>
      </c>
      <c r="C8" s="4" t="inlineStr">
        <is>
          <t>https://jeminise.com/products/custom-floral-butterfly-inspirational-blanket-machine-wash-design-8</t>
        </is>
      </c>
      <c r="D8" s="2" t="inlineStr">
        <is>
          <t>custom-floral-butterfly-inspirational-blanket-machine-wash-design-8</t>
        </is>
      </c>
      <c r="E8" s="2" t="inlineStr">
        <is>
          <t>8860127232199</t>
        </is>
      </c>
      <c r="F8" s="2" t="inlineStr">
        <is>
          <t>r2</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8</v>
      </c>
      <c r="O8" s="2" t="n">
        <v>8</v>
      </c>
      <c r="P8" s="2" t="b">
        <v>1</v>
      </c>
      <c r="Q8" s="6" t="n">
        <v>1</v>
      </c>
      <c r="R8" s="2">
        <f>COUNTIFS('QA_Issues'!$B$2:$B$73,B8,'QA_Issues'!$D$2:$D$73,"CRITICAL")</f>
        <v/>
      </c>
      <c r="S8" s="2">
        <f>COUNTIFS('QA_Issues'!$B$2:$B$73,B8,'QA_Issues'!$D$2:$D$73,"MAJOR")</f>
        <v/>
      </c>
      <c r="T8" s="2">
        <f>COUNTIFS('QA_Issues'!$B$2:$B$73,B8,'QA_Issues'!$D$2:$D$73,"MINOR")</f>
        <v/>
      </c>
      <c r="U8" s="2">
        <f>COUNTIFS('QA_Issues'!$B$2:$B$73,B8,'QA_Issues'!$D$2:$D$73,"LIMITATION")</f>
        <v/>
      </c>
      <c r="V8" s="2" t="inlineStr">
        <is>
          <t>["R2-ISS-057-DESC", "R2-ISS-057-CUSTOMIZER", "R2-ISS-057-META-WORDING", "R2-ISS-057-ALTGEN"]</t>
        </is>
      </c>
      <c r="W8" s="2" t="inlineStr">
        <is>
          <t>["evidence_batch_006_057", "https://jeminise.com/products/custom-floral-butterfly-inspirational-blanket-machine-wash-design-8", "serp_qa_057"]</t>
        </is>
      </c>
    </row>
    <row r="9" ht="42" customHeight="1">
      <c r="A9" s="3" t="n">
        <v>58</v>
      </c>
      <c r="B9" s="3" t="inlineStr">
        <is>
          <t>jeminise.com+custom-floral-butterfly-inspirational-blanket-machine-washable-d3</t>
        </is>
      </c>
      <c r="C9" s="4" t="inlineStr">
        <is>
          <t>https://jeminise.com/products/custom-floral-butterfly-inspirational-blanket-machine-washable-d3</t>
        </is>
      </c>
      <c r="D9" s="3" t="inlineStr">
        <is>
          <t>custom-floral-butterfly-inspirational-blanket-machine-washable-d3</t>
        </is>
      </c>
      <c r="E9" s="3" t="inlineStr">
        <is>
          <t>8860094922951</t>
        </is>
      </c>
      <c r="F9" s="3" t="inlineStr">
        <is>
          <t>r2</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8</v>
      </c>
      <c r="O9" s="3" t="n">
        <v>8</v>
      </c>
      <c r="P9" s="3" t="b">
        <v>1</v>
      </c>
      <c r="Q9" s="8" t="n">
        <v>1</v>
      </c>
      <c r="R9" s="3">
        <f>COUNTIFS('QA_Issues'!$B$2:$B$73,B9,'QA_Issues'!$D$2:$D$73,"CRITICAL")</f>
        <v/>
      </c>
      <c r="S9" s="3">
        <f>COUNTIFS('QA_Issues'!$B$2:$B$73,B9,'QA_Issues'!$D$2:$D$73,"MAJOR")</f>
        <v/>
      </c>
      <c r="T9" s="3">
        <f>COUNTIFS('QA_Issues'!$B$2:$B$73,B9,'QA_Issues'!$D$2:$D$73,"MINOR")</f>
        <v/>
      </c>
      <c r="U9" s="3">
        <f>COUNTIFS('QA_Issues'!$B$2:$B$73,B9,'QA_Issues'!$D$2:$D$73,"LIMITATION")</f>
        <v/>
      </c>
      <c r="V9" s="3" t="inlineStr">
        <is>
          <t>["R2-ISS-058-IMG-03", "R2-ISS-058-IMG-06", "R2-ISS-058-DESC", "R2-ISS-058-CUSTOMIZER", "R2-ISS-058-META-WORDING"]</t>
        </is>
      </c>
      <c r="W9" s="3" t="inlineStr">
        <is>
          <t>["evidence_batch_006_058", "https://jeminise.com/products/custom-floral-butterfly-inspirational-blanket-machine-washable-d3", "serp_qa_058"]</t>
        </is>
      </c>
    </row>
    <row r="10" ht="42" customHeight="1">
      <c r="A10" s="2" t="n">
        <v>59</v>
      </c>
      <c r="B10" s="2" t="inlineStr">
        <is>
          <t>jeminise.com+custom-floral-cross-bible-verse-blanket-machine-washable-d13</t>
        </is>
      </c>
      <c r="C10" s="4" t="inlineStr">
        <is>
          <t>https://jeminise.com/products/custom-floral-cross-bible-verse-blanket-machine-washable-d13</t>
        </is>
      </c>
      <c r="D10" s="2" t="inlineStr">
        <is>
          <t>custom-floral-cross-bible-verse-blanket-machine-washable-d13</t>
        </is>
      </c>
      <c r="E10" s="2" t="inlineStr">
        <is>
          <t>8860096168135</t>
        </is>
      </c>
      <c r="F10" s="2" t="inlineStr">
        <is>
          <t>r2</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8</v>
      </c>
      <c r="O10" s="2" t="n">
        <v>8</v>
      </c>
      <c r="P10" s="2" t="b">
        <v>1</v>
      </c>
      <c r="Q10" s="6" t="n">
        <v>1</v>
      </c>
      <c r="R10" s="2">
        <f>COUNTIFS('QA_Issues'!$B$2:$B$73,B10,'QA_Issues'!$D$2:$D$73,"CRITICAL")</f>
        <v/>
      </c>
      <c r="S10" s="2">
        <f>COUNTIFS('QA_Issues'!$B$2:$B$73,B10,'QA_Issues'!$D$2:$D$73,"MAJOR")</f>
        <v/>
      </c>
      <c r="T10" s="2">
        <f>COUNTIFS('QA_Issues'!$B$2:$B$73,B10,'QA_Issues'!$D$2:$D$73,"MINOR")</f>
        <v/>
      </c>
      <c r="U10" s="2">
        <f>COUNTIFS('QA_Issues'!$B$2:$B$73,B10,'QA_Issues'!$D$2:$D$73,"LIMITATION")</f>
        <v/>
      </c>
      <c r="V10" s="2" t="inlineStr">
        <is>
          <t>["R2-ISS-059-IMG-04", "R2-ISS-059-IMG-05", "R2-ISS-059-IMG-07", "R2-ISS-059-IMG-08", "R2-ISS-059-DESC", "R2-ISS-059-CUSTOMIZER", "R2-ISS-059-META-WORDING"]</t>
        </is>
      </c>
      <c r="W10" s="2" t="inlineStr">
        <is>
          <t>["evidence_batch_006_059", "https://jeminise.com/products/custom-floral-cross-bible-verse-blanket-machine-washable-d13", "serp_qa_059"]</t>
        </is>
      </c>
    </row>
    <row r="11" ht="42" customHeight="1">
      <c r="A11" s="3" t="n">
        <v>60</v>
      </c>
      <c r="B11" s="3" t="inlineStr">
        <is>
          <t>jeminise.com+custom-floral-cross-with-butterflies-blanket-machine-washable-d6</t>
        </is>
      </c>
      <c r="C11" s="4" t="inlineStr">
        <is>
          <t>https://jeminise.com/products/custom-floral-cross-with-butterflies-blanket-machine-washable-d6</t>
        </is>
      </c>
      <c r="D11" s="3" t="inlineStr">
        <is>
          <t>custom-floral-cross-with-butterflies-blanket-machine-washable-d6</t>
        </is>
      </c>
      <c r="E11" s="3" t="inlineStr">
        <is>
          <t>8860107505863</t>
        </is>
      </c>
      <c r="F11" s="3" t="inlineStr">
        <is>
          <t>r2</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8</v>
      </c>
      <c r="O11" s="3" t="n">
        <v>8</v>
      </c>
      <c r="P11" s="3" t="b">
        <v>1</v>
      </c>
      <c r="Q11" s="8" t="n">
        <v>1</v>
      </c>
      <c r="R11" s="3">
        <f>COUNTIFS('QA_Issues'!$B$2:$B$73,B11,'QA_Issues'!$D$2:$D$73,"CRITICAL")</f>
        <v/>
      </c>
      <c r="S11" s="3">
        <f>COUNTIFS('QA_Issues'!$B$2:$B$73,B11,'QA_Issues'!$D$2:$D$73,"MAJOR")</f>
        <v/>
      </c>
      <c r="T11" s="3">
        <f>COUNTIFS('QA_Issues'!$B$2:$B$73,B11,'QA_Issues'!$D$2:$D$73,"MINOR")</f>
        <v/>
      </c>
      <c r="U11" s="3">
        <f>COUNTIFS('QA_Issues'!$B$2:$B$73,B11,'QA_Issues'!$D$2:$D$73,"LIMITATION")</f>
        <v/>
      </c>
      <c r="V11" s="3" t="inlineStr">
        <is>
          <t>["R2-ISS-060-DESC", "R2-ISS-060-CUSTOMIZER", "R2-ISS-060-META-WORDING", "R2-ISS-060-ALTGEN"]</t>
        </is>
      </c>
      <c r="W11" s="3" t="inlineStr">
        <is>
          <t>["evidence_batch_006_060", "https://jeminise.com/products/custom-floral-cross-with-butterflies-blanket-machine-washable-d6", "serp_qa_060"]</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jeminise.com+custom-christian-scripture-floral-blanket-machine-washable-d10</t>
        </is>
      </c>
      <c r="B2" s="2" t="inlineStr">
        <is>
          <t>P1</t>
        </is>
      </c>
      <c r="C2" s="2" t="n">
        <v>15</v>
      </c>
      <c r="D2" s="2" t="inlineStr">
        <is>
          <t>FULL</t>
        </is>
      </c>
      <c r="E2" s="5">
        <f>IF(B2="I1",AVERAGEIF('QA_Images'!$A$2:$A$79,A2,'QA_Images'!$T$2:$T$79)/100,IF(D2="FULL",1,IF(D2="PARTIAL",0.5,IF(D2="FAIL",0,""))))</f>
        <v/>
      </c>
      <c r="F2" s="5">
        <f>IF(E2="",0,C2*E2)</f>
        <v/>
      </c>
      <c r="G2" s="5">
        <f>IF(B2="I1",20*AVERAGEIF('QA_Images'!$A$2:$A$79,A2,'QA_Images'!$U$2:$U$79)/100,IF(D2="NOT_CHECKED",0,C2))</f>
        <v/>
      </c>
      <c r="H2" s="2" t="inlineStr">
        <is>
          <t>Đối chiếu loại sản phẩm, thiết kế và màu với product JSON, H1 live và toàn bộ gallery.</t>
        </is>
      </c>
      <c r="I2" s="2" t="inlineStr">
        <is>
          <t>["evidence_batch_006_051", "https://jeminise.com/products/custom-christian-scripture-floral-blanket-machine-washable-d10", "serp_qa_051"]</t>
        </is>
      </c>
      <c r="J2" s="2" t="inlineStr">
        <is>
          <t>["R2-ISS-051-IMG-04", "R2-ISS-051-IMG-05", "R2-ISS-051-IMG-06", "R2-ISS-051-IMG-07", "R2-ISS-051-DESC", "R2-ISS-051-CUSTOMIZER", "R2-ISS-051-META-WORDING", "R2-ISS-051-CANN"]</t>
        </is>
      </c>
    </row>
    <row r="3" ht="42" customHeight="1">
      <c r="A3" s="3" t="inlineStr">
        <is>
          <t>jeminise.com+custom-christian-scripture-floral-blanket-machine-washable-d10</t>
        </is>
      </c>
      <c r="B3" s="3" t="inlineStr">
        <is>
          <t>P2</t>
        </is>
      </c>
      <c r="C3" s="3" t="n">
        <v>10</v>
      </c>
      <c r="D3" s="3" t="inlineStr">
        <is>
          <t>PARTIAL</t>
        </is>
      </c>
      <c r="E3" s="7">
        <f>IF(B3="I1",AVERAGEIF('QA_Images'!$A$2:$A$79,A3,'QA_Images'!$T$2:$T$79)/100,IF(D3="FULL",1,IF(D3="PARTIAL",0.5,IF(D3="FAIL",0,""))))</f>
        <v/>
      </c>
      <c r="F3" s="7">
        <f>IF(E3="",0,C3*E3)</f>
        <v/>
      </c>
      <c r="G3" s="7">
        <f>IF(B3="I1",20*AVERAGEIF('QA_Images'!$A$2:$A$79,A3,'QA_Images'!$U$2:$U$79)/100,IF(D3="NOT_CHECKED",0,C3))</f>
        <v/>
      </c>
      <c r="H3" s="3" t="inlineStr">
        <is>
          <t>Đối chiếu specification, variants, components và personalization với product.js live và ảnh gốc.</t>
        </is>
      </c>
      <c r="I3" s="3" t="inlineStr">
        <is>
          <t>["evidence_batch_006_051", "https://jeminise.com/products/custom-christian-scripture-floral-blanket-machine-washable-d10", "serp_qa_051"]</t>
        </is>
      </c>
      <c r="J3" s="3" t="inlineStr">
        <is>
          <t>["R2-ISS-051-IMG-04", "R2-ISS-051-IMG-05", "R2-ISS-051-IMG-06", "R2-ISS-051-IMG-07", "R2-ISS-051-DESC", "R2-ISS-051-CUSTOMIZER", "R2-ISS-051-META-WORDING", "R2-ISS-051-CANN"]</t>
        </is>
      </c>
    </row>
    <row r="4" ht="42" customHeight="1">
      <c r="A4" s="2" t="inlineStr">
        <is>
          <t>jeminise.com+custom-christian-scripture-floral-blanket-machine-washable-d10</t>
        </is>
      </c>
      <c r="B4" s="2" t="inlineStr">
        <is>
          <t>K1</t>
        </is>
      </c>
      <c r="C4" s="2" t="n">
        <v>10</v>
      </c>
      <c r="D4" s="2" t="inlineStr">
        <is>
          <t>FULL</t>
        </is>
      </c>
      <c r="E4" s="5">
        <f>IF(B4="I1",AVERAGEIF('QA_Images'!$A$2:$A$79,A4,'QA_Images'!$T$2:$T$79)/100,IF(D4="FULL",1,IF(D4="PARTIAL",0.5,IF(D4="FAIL",0,""))))</f>
        <v/>
      </c>
      <c r="F4" s="5">
        <f>IF(E4="",0,C4*E4)</f>
        <v/>
      </c>
      <c r="G4" s="5">
        <f>IF(B4="I1",20*AVERAGEIF('QA_Images'!$A$2:$A$79,A4,'QA_Images'!$U$2:$U$79)/100,IF(D4="NOT_CHECKED",0,C4))</f>
        <v/>
      </c>
      <c r="H4" s="2" t="inlineStr">
        <is>
          <t>Đối chiếu long-tail với thiết kế riêng và nguy cơ trùng intent trong cụm sản phẩm.</t>
        </is>
      </c>
      <c r="I4" s="2" t="inlineStr">
        <is>
          <t>["evidence_batch_006_051", "https://jeminise.com/products/custom-christian-scripture-floral-blanket-machine-washable-d10", "serp_qa_051"]</t>
        </is>
      </c>
      <c r="J4" s="2" t="inlineStr">
        <is>
          <t>["R2-ISS-051-IMG-04", "R2-ISS-051-IMG-05", "R2-ISS-051-IMG-06", "R2-ISS-051-IMG-07", "R2-ISS-051-DESC", "R2-ISS-051-CUSTOMIZER", "R2-ISS-051-META-WORDING", "R2-ISS-051-CANN"]</t>
        </is>
      </c>
    </row>
    <row r="5" ht="42" customHeight="1">
      <c r="A5" s="3" t="inlineStr">
        <is>
          <t>jeminise.com+custom-christian-scripture-floral-blanket-machine-washable-d10</t>
        </is>
      </c>
      <c r="B5" s="3" t="inlineStr">
        <is>
          <t>K2</t>
        </is>
      </c>
      <c r="C5" s="3" t="n">
        <v>5</v>
      </c>
      <c r="D5" s="3" t="inlineStr">
        <is>
          <t>FULL</t>
        </is>
      </c>
      <c r="E5" s="7">
        <f>IF(B5="I1",AVERAGEIF('QA_Images'!$A$2:$A$79,A5,'QA_Images'!$T$2:$T$79)/100,IF(D5="FULL",1,IF(D5="PARTIAL",0.5,IF(D5="FAIL",0,""))))</f>
        <v/>
      </c>
      <c r="F5" s="7">
        <f>IF(E5="",0,C5*E5)</f>
        <v/>
      </c>
      <c r="G5" s="7">
        <f>IF(B5="I1",20*AVERAGEIF('QA_Images'!$A$2:$A$79,A5,'QA_Images'!$U$2:$U$79)/100,IF(D5="NOT_CHECKED",0,C5))</f>
        <v/>
      </c>
      <c r="H5" s="3" t="inlineStr">
        <is>
          <t>Đã đọc primary và comparator SERP theo US commercial intent; không dùng claim volume.</t>
        </is>
      </c>
      <c r="I5" s="3" t="inlineStr">
        <is>
          <t>["evidence_batch_006_051", "https://jeminise.com/products/custom-christian-scripture-floral-blanket-machine-washable-d10", "serp_qa_051"]</t>
        </is>
      </c>
      <c r="J5" s="3" t="inlineStr">
        <is>
          <t>["R2-ISS-051-IMG-04", "R2-ISS-051-IMG-05", "R2-ISS-051-IMG-06", "R2-ISS-051-IMG-07", "R2-ISS-051-DESC", "R2-ISS-051-CUSTOMIZER", "R2-ISS-051-META-WORDING", "R2-ISS-051-CANN"]</t>
        </is>
      </c>
    </row>
    <row r="6" ht="42" customHeight="1">
      <c r="A6" s="2" t="inlineStr">
        <is>
          <t>jeminise.com+custom-christian-scripture-floral-blanket-machine-washable-d10</t>
        </is>
      </c>
      <c r="B6" s="2" t="inlineStr">
        <is>
          <t>K3</t>
        </is>
      </c>
      <c r="C6" s="2" t="n">
        <v>5</v>
      </c>
      <c r="D6" s="2" t="inlineStr">
        <is>
          <t>PARTIAL</t>
        </is>
      </c>
      <c r="E6" s="5">
        <f>IF(B6="I1",AVERAGEIF('QA_Images'!$A$2:$A$79,A6,'QA_Images'!$T$2:$T$79)/100,IF(D6="FULL",1,IF(D6="PARTIAL",0.5,IF(D6="FAIL",0,""))))</f>
        <v/>
      </c>
      <c r="F6" s="5">
        <f>IF(E6="",0,C6*E6)</f>
        <v/>
      </c>
      <c r="G6" s="5">
        <f>IF(B6="I1",20*AVERAGEIF('QA_Images'!$A$2:$A$79,A6,'QA_Images'!$U$2:$U$79)/100,IF(D6="NOT_CHECKED",0,C6))</f>
        <v/>
      </c>
      <c r="H6" s="2" t="inlineStr">
        <is>
          <t>Không suy diễn volume; phân biệt SERP_ONLY và HYPOTHESIS_ONLY.</t>
        </is>
      </c>
      <c r="I6" s="2" t="inlineStr">
        <is>
          <t>["evidence_batch_006_051", "https://jeminise.com/products/custom-christian-scripture-floral-blanket-machine-washable-d10", "serp_qa_051"]</t>
        </is>
      </c>
      <c r="J6" s="2" t="inlineStr">
        <is>
          <t>["R2-ISS-051-IMG-04", "R2-ISS-051-IMG-05", "R2-ISS-051-IMG-06", "R2-ISS-051-IMG-07", "R2-ISS-051-DESC", "R2-ISS-051-CUSTOMIZER", "R2-ISS-051-META-WORDING", "R2-ISS-051-CANN"]</t>
        </is>
      </c>
    </row>
    <row r="7" ht="42" customHeight="1">
      <c r="A7" s="3" t="inlineStr">
        <is>
          <t>jeminise.com+custom-christian-scripture-floral-blanket-machine-washable-d10</t>
        </is>
      </c>
      <c r="B7" s="3" t="inlineStr">
        <is>
          <t>T1</t>
        </is>
      </c>
      <c r="C7" s="3" t="n">
        <v>10</v>
      </c>
      <c r="D7" s="3" t="inlineStr">
        <is>
          <t>PARTIAL</t>
        </is>
      </c>
      <c r="E7" s="7">
        <f>IF(B7="I1",AVERAGEIF('QA_Images'!$A$2:$A$79,A7,'QA_Images'!$T$2:$T$79)/100,IF(D7="FULL",1,IF(D7="PARTIAL",0.5,IF(D7="FAIL",0,""))))</f>
        <v/>
      </c>
      <c r="F7" s="7">
        <f>IF(E7="",0,C7*E7)</f>
        <v/>
      </c>
      <c r="G7" s="7">
        <f>IF(B7="I1",20*AVERAGEIF('QA_Images'!$A$2:$A$79,A7,'QA_Images'!$U$2:$U$79)/100,IF(D7="NOT_CHECKED",0,C7))</f>
        <v/>
      </c>
      <c r="H7" s="3" t="inlineStr">
        <is>
          <t>Đánh giá SEO title English về độ đúng, tự nhiên, keyword và điểm phân biệt.</t>
        </is>
      </c>
      <c r="I7" s="3" t="inlineStr">
        <is>
          <t>["evidence_batch_006_051", "https://jeminise.com/products/custom-christian-scripture-floral-blanket-machine-washable-d10", "serp_qa_051"]</t>
        </is>
      </c>
      <c r="J7" s="3" t="inlineStr">
        <is>
          <t>["R2-ISS-051-IMG-04", "R2-ISS-051-IMG-05", "R2-ISS-051-IMG-06", "R2-ISS-051-IMG-07", "R2-ISS-051-DESC", "R2-ISS-051-CUSTOMIZER", "R2-ISS-051-META-WORDING", "R2-ISS-051-CANN"]</t>
        </is>
      </c>
    </row>
    <row r="8" ht="42" customHeight="1">
      <c r="A8" s="2" t="inlineStr">
        <is>
          <t>jeminise.com+custom-christian-scripture-floral-blanket-machine-washable-d10</t>
        </is>
      </c>
      <c r="B8" s="2" t="inlineStr">
        <is>
          <t>T2</t>
        </is>
      </c>
      <c r="C8" s="2" t="n">
        <v>5</v>
      </c>
      <c r="D8" s="2" t="inlineStr">
        <is>
          <t>PARTIAL</t>
        </is>
      </c>
      <c r="E8" s="5">
        <f>IF(B8="I1",AVERAGEIF('QA_Images'!$A$2:$A$79,A8,'QA_Images'!$T$2:$T$79)/100,IF(D8="FULL",1,IF(D8="PARTIAL",0.5,IF(D8="FAIL",0,""))))</f>
        <v/>
      </c>
      <c r="F8" s="5">
        <f>IF(E8="",0,C8*E8)</f>
        <v/>
      </c>
      <c r="G8" s="5">
        <f>IF(B8="I1",20*AVERAGEIF('QA_Images'!$A$2:$A$79,A8,'QA_Images'!$U$2:$U$79)/100,IF(D8="NOT_CHECKED",0,C8))</f>
        <v/>
      </c>
      <c r="H8" s="2" t="inlineStr">
        <is>
          <t>Đánh giá H1 đề xuất độc lập với SEO title và đối chiếu lỗi ký tự nguồn.</t>
        </is>
      </c>
      <c r="I8" s="2" t="inlineStr">
        <is>
          <t>["evidence_batch_006_051", "https://jeminise.com/products/custom-christian-scripture-floral-blanket-machine-washable-d10", "serp_qa_051"]</t>
        </is>
      </c>
      <c r="J8" s="2" t="inlineStr">
        <is>
          <t>["R2-ISS-051-IMG-04", "R2-ISS-051-IMG-05", "R2-ISS-051-IMG-06", "R2-ISS-051-IMG-07", "R2-ISS-051-DESC", "R2-ISS-051-CUSTOMIZER", "R2-ISS-051-META-WORDING", "R2-ISS-051-CANN"]</t>
        </is>
      </c>
    </row>
    <row r="9" ht="42" customHeight="1">
      <c r="A9" s="3" t="inlineStr">
        <is>
          <t>jeminise.com+custom-christian-scripture-floral-blanket-machine-washable-d10</t>
        </is>
      </c>
      <c r="B9" s="3" t="inlineStr">
        <is>
          <t>D1</t>
        </is>
      </c>
      <c r="C9" s="3" t="n">
        <v>5</v>
      </c>
      <c r="D9" s="3" t="inlineStr">
        <is>
          <t>PARTIAL</t>
        </is>
      </c>
      <c r="E9" s="7">
        <f>IF(B9="I1",AVERAGEIF('QA_Images'!$A$2:$A$79,A9,'QA_Images'!$T$2:$T$79)/100,IF(D9="FULL",1,IF(D9="PARTIAL",0.5,IF(D9="FAIL",0,""))))</f>
        <v/>
      </c>
      <c r="F9" s="7">
        <f>IF(E9="",0,C9*E9)</f>
        <v/>
      </c>
      <c r="G9" s="7">
        <f>IF(B9="I1",20*AVERAGEIF('QA_Images'!$A$2:$A$79,A9,'QA_Images'!$U$2:$U$79)/100,IF(D9="NOT_CHECKED",0,C9))</f>
        <v/>
      </c>
      <c r="H9" s="3" t="inlineStr">
        <is>
          <t>Đánh giá meta description về tính cụ thể và căn cứ claim.</t>
        </is>
      </c>
      <c r="I9" s="3" t="inlineStr">
        <is>
          <t>["evidence_batch_006_051", "https://jeminise.com/products/custom-christian-scripture-floral-blanket-machine-washable-d10", "serp_qa_051"]</t>
        </is>
      </c>
      <c r="J9" s="3" t="inlineStr">
        <is>
          <t>["R2-ISS-051-IMG-04", "R2-ISS-051-IMG-05", "R2-ISS-051-IMG-06", "R2-ISS-051-IMG-07", "R2-ISS-051-DESC", "R2-ISS-051-CUSTOMIZER", "R2-ISS-051-META-WORDING", "R2-ISS-051-CANN"]</t>
        </is>
      </c>
    </row>
    <row r="10" ht="42" customHeight="1">
      <c r="A10" s="2" t="inlineStr">
        <is>
          <t>jeminise.com+custom-christian-scripture-floral-blanket-machine-washable-d10</t>
        </is>
      </c>
      <c r="B10" s="2" t="inlineStr">
        <is>
          <t>D2</t>
        </is>
      </c>
      <c r="C10" s="2" t="n">
        <v>10</v>
      </c>
      <c r="D10" s="2" t="inlineStr">
        <is>
          <t>FAIL</t>
        </is>
      </c>
      <c r="E10" s="5">
        <f>IF(B10="I1",AVERAGEIF('QA_Images'!$A$2:$A$79,A10,'QA_Images'!$T$2:$T$79)/100,IF(D10="FULL",1,IF(D10="PARTIAL",0.5,IF(D10="FAIL",0,""))))</f>
        <v/>
      </c>
      <c r="F10" s="5">
        <f>IF(E10="",0,C10*E10)</f>
        <v/>
      </c>
      <c r="G10" s="5">
        <f>IF(B10="I1",20*AVERAGEIF('QA_Images'!$A$2:$A$79,A10,'QA_Images'!$U$2:$U$79)/100,IF(D10="NOT_CHECKED",0,C10))</f>
        <v/>
      </c>
      <c r="H10" s="2" t="inlineStr">
        <is>
          <t>Description SET có HTML đầy đủ nhưng chứa câu nội bộ 'This draft should be reviewed...' và dữ liệu nguồn thô/mâu thuẫn; chưa phải nội dung publish-ready.</t>
        </is>
      </c>
      <c r="I10" s="2" t="inlineStr">
        <is>
          <t>["evidence_batch_006_051", "https://jeminise.com/products/custom-christian-scripture-floral-blanket-machine-washable-d10", "serp_qa_051"]</t>
        </is>
      </c>
      <c r="J10" s="2" t="inlineStr">
        <is>
          <t>["R2-ISS-051-IMG-04", "R2-ISS-051-IMG-05", "R2-ISS-051-IMG-06", "R2-ISS-051-IMG-07", "R2-ISS-051-DESC", "R2-ISS-051-CUSTOMIZER", "R2-ISS-051-META-WORDING", "R2-ISS-051-CANN"]</t>
        </is>
      </c>
    </row>
    <row r="11" ht="42" customHeight="1">
      <c r="A11" s="3" t="inlineStr">
        <is>
          <t>jeminise.com+custom-christian-scripture-floral-blanket-machine-washable-d10</t>
        </is>
      </c>
      <c r="B11" s="3" t="inlineStr">
        <is>
          <t>I1</t>
        </is>
      </c>
      <c r="C11" s="3" t="n">
        <v>20</v>
      </c>
      <c r="D11" s="3" t="inlineStr">
        <is>
          <t>DERIVED</t>
        </is>
      </c>
      <c r="E11" s="7">
        <f>IF(B11="I1",AVERAGEIF('QA_Images'!$A$2:$A$79,A11,'QA_Images'!$T$2:$T$79)/100,IF(D11="FULL",1,IF(D11="PARTIAL",0.5,IF(D11="FAIL",0,""))))</f>
        <v/>
      </c>
      <c r="F11" s="7">
        <f>IF(E11="",0,C11*E11)</f>
        <v/>
      </c>
      <c r="G11" s="7">
        <f>IF(B11="I1",20*AVERAGEIF('QA_Images'!$A$2:$A$79,A11,'QA_Images'!$U$2:$U$79)/100,IF(D11="NOT_CHECKED",0,C11))</f>
        <v/>
      </c>
      <c r="H11" s="3" t="inlineStr">
        <is>
          <t>Tính từ trung bình 7 ảnh: 71.4286/100.</t>
        </is>
      </c>
      <c r="I11" s="3" t="inlineStr">
        <is>
          <t>["evidence_batch_006_051", "https://jeminise.com/products/custom-christian-scripture-floral-blanket-machine-washable-d10", "serp_qa_051"]</t>
        </is>
      </c>
      <c r="J11" s="3" t="inlineStr">
        <is>
          <t>["R2-ISS-051-IMG-04", "R2-ISS-051-IMG-05", "R2-ISS-051-IMG-06", "R2-ISS-051-IMG-07", "R2-ISS-051-DESC", "R2-ISS-051-CUSTOMIZER", "R2-ISS-051-META-WORDING", "R2-ISS-051-CANN"]</t>
        </is>
      </c>
    </row>
    <row r="12" ht="42" customHeight="1">
      <c r="A12" s="2" t="inlineStr">
        <is>
          <t>jeminise.com+custom-christian-scripture-floral-blanket-machine-washable-d10</t>
        </is>
      </c>
      <c r="B12" s="2" t="inlineStr">
        <is>
          <t>E1</t>
        </is>
      </c>
      <c r="C12" s="2" t="n">
        <v>5</v>
      </c>
      <c r="D12" s="2" t="inlineStr">
        <is>
          <t>PARTIAL</t>
        </is>
      </c>
      <c r="E12" s="5">
        <f>IF(B12="I1",AVERAGEIF('QA_Images'!$A$2:$A$79,A12,'QA_Images'!$T$2:$T$79)/100,IF(D12="FULL",1,IF(D12="PARTIAL",0.5,IF(D12="FAIL",0,""))))</f>
        <v/>
      </c>
      <c r="F12" s="5">
        <f>IF(E12="",0,C12*E12)</f>
        <v/>
      </c>
      <c r="G12" s="5">
        <f>IF(B12="I1",20*AVERAGEIF('QA_Images'!$A$2:$A$79,A12,'QA_Images'!$U$2:$U$79)/100,IF(D12="NOT_CHECKED",0,C12))</f>
        <v/>
      </c>
      <c r="H12" s="2" t="inlineStr">
        <is>
          <t>Kiểm tra chuỗi evidence và giới hạn do thiếu Shopify admin export.</t>
        </is>
      </c>
      <c r="I12" s="2" t="inlineStr">
        <is>
          <t>["evidence_batch_006_051", "https://jeminise.com/products/custom-christian-scripture-floral-blanket-machine-washable-d10", "serp_qa_051"]</t>
        </is>
      </c>
      <c r="J12" s="2" t="inlineStr">
        <is>
          <t>["R2-ISS-051-IMG-04", "R2-ISS-051-IMG-05", "R2-ISS-051-IMG-06", "R2-ISS-051-IMG-07", "R2-ISS-051-DESC", "R2-ISS-051-CUSTOMIZER", "R2-ISS-051-META-WORDING", "R2-ISS-051-CANN"]</t>
        </is>
      </c>
    </row>
    <row r="13" ht="42" customHeight="1">
      <c r="A13" s="3" t="inlineStr">
        <is>
          <t>jeminise.com+custom-emily-god-says-i-am-blanket-machine-washable-d9</t>
        </is>
      </c>
      <c r="B13" s="3" t="inlineStr">
        <is>
          <t>P1</t>
        </is>
      </c>
      <c r="C13" s="3" t="n">
        <v>15</v>
      </c>
      <c r="D13" s="3" t="inlineStr">
        <is>
          <t>FULL</t>
        </is>
      </c>
      <c r="E13" s="7">
        <f>IF(B13="I1",AVERAGEIF('QA_Images'!$A$2:$A$79,A13,'QA_Images'!$T$2:$T$79)/100,IF(D13="FULL",1,IF(D13="PARTIAL",0.5,IF(D13="FAIL",0,""))))</f>
        <v/>
      </c>
      <c r="F13" s="7">
        <f>IF(E13="",0,C13*E13)</f>
        <v/>
      </c>
      <c r="G13" s="7">
        <f>IF(B13="I1",20*AVERAGEIF('QA_Images'!$A$2:$A$79,A13,'QA_Images'!$U$2:$U$79)/100,IF(D13="NOT_CHECKED",0,C13))</f>
        <v/>
      </c>
      <c r="H13" s="3" t="inlineStr">
        <is>
          <t>Đối chiếu loại sản phẩm, thiết kế và màu với product JSON, H1 live và toàn bộ gallery.</t>
        </is>
      </c>
      <c r="I13" s="3" t="inlineStr">
        <is>
          <t>["evidence_batch_006_052", "https://jeminise.com/products/custom-emily-god-says-i-am-blanket-machine-washable-d9", "serp_qa_052"]</t>
        </is>
      </c>
      <c r="J13" s="3" t="inlineStr">
        <is>
          <t>["R2-ISS-052-IMG-04", "R2-ISS-052-IMG-05", "R2-ISS-052-IMG-07", "R2-ISS-052-IMG-08", "R2-ISS-052-DESC", "R2-ISS-052-CUSTOMIZER", "R2-ISS-052-META-WORDING", "R2-ISS-052-CANN"]</t>
        </is>
      </c>
    </row>
    <row r="14" ht="42" customHeight="1">
      <c r="A14" s="2" t="inlineStr">
        <is>
          <t>jeminise.com+custom-emily-god-says-i-am-blanket-machine-washable-d9</t>
        </is>
      </c>
      <c r="B14" s="2" t="inlineStr">
        <is>
          <t>P2</t>
        </is>
      </c>
      <c r="C14" s="2" t="n">
        <v>10</v>
      </c>
      <c r="D14" s="2" t="inlineStr">
        <is>
          <t>PARTIAL</t>
        </is>
      </c>
      <c r="E14" s="5">
        <f>IF(B14="I1",AVERAGEIF('QA_Images'!$A$2:$A$79,A14,'QA_Images'!$T$2:$T$79)/100,IF(D14="FULL",1,IF(D14="PARTIAL",0.5,IF(D14="FAIL",0,""))))</f>
        <v/>
      </c>
      <c r="F14" s="5">
        <f>IF(E14="",0,C14*E14)</f>
        <v/>
      </c>
      <c r="G14" s="5">
        <f>IF(B14="I1",20*AVERAGEIF('QA_Images'!$A$2:$A$79,A14,'QA_Images'!$U$2:$U$79)/100,IF(D14="NOT_CHECKED",0,C14))</f>
        <v/>
      </c>
      <c r="H14" s="2" t="inlineStr">
        <is>
          <t>Đối chiếu specification, variants, components và personalization với product.js live và ảnh gốc.</t>
        </is>
      </c>
      <c r="I14" s="2" t="inlineStr">
        <is>
          <t>["evidence_batch_006_052", "https://jeminise.com/products/custom-emily-god-says-i-am-blanket-machine-washable-d9", "serp_qa_052"]</t>
        </is>
      </c>
      <c r="J14" s="2" t="inlineStr">
        <is>
          <t>["R2-ISS-052-IMG-04", "R2-ISS-052-IMG-05", "R2-ISS-052-IMG-07", "R2-ISS-052-IMG-08", "R2-ISS-052-DESC", "R2-ISS-052-CUSTOMIZER", "R2-ISS-052-META-WORDING", "R2-ISS-052-CANN"]</t>
        </is>
      </c>
    </row>
    <row r="15" ht="42" customHeight="1">
      <c r="A15" s="3" t="inlineStr">
        <is>
          <t>jeminise.com+custom-emily-god-says-i-am-blanket-machine-washable-d9</t>
        </is>
      </c>
      <c r="B15" s="3" t="inlineStr">
        <is>
          <t>K1</t>
        </is>
      </c>
      <c r="C15" s="3" t="n">
        <v>10</v>
      </c>
      <c r="D15" s="3" t="inlineStr">
        <is>
          <t>PARTIAL</t>
        </is>
      </c>
      <c r="E15" s="7">
        <f>IF(B15="I1",AVERAGEIF('QA_Images'!$A$2:$A$79,A15,'QA_Images'!$T$2:$T$79)/100,IF(D15="FULL",1,IF(D15="PARTIAL",0.5,IF(D15="FAIL",0,""))))</f>
        <v/>
      </c>
      <c r="F15" s="7">
        <f>IF(E15="",0,C15*E15)</f>
        <v/>
      </c>
      <c r="G15" s="7">
        <f>IF(B15="I1",20*AVERAGEIF('QA_Images'!$A$2:$A$79,A15,'QA_Images'!$U$2:$U$79)/100,IF(D15="NOT_CHECKED",0,C15))</f>
        <v/>
      </c>
      <c r="H15" s="3" t="inlineStr">
        <is>
          <t>Đối chiếu long-tail với thiết kế riêng và nguy cơ trùng intent trong cụm sản phẩm.</t>
        </is>
      </c>
      <c r="I15" s="3" t="inlineStr">
        <is>
          <t>["evidence_batch_006_052", "https://jeminise.com/products/custom-emily-god-says-i-am-blanket-machine-washable-d9", "serp_qa_052"]</t>
        </is>
      </c>
      <c r="J15" s="3" t="inlineStr">
        <is>
          <t>["R2-ISS-052-IMG-04", "R2-ISS-052-IMG-05", "R2-ISS-052-IMG-07", "R2-ISS-052-IMG-08", "R2-ISS-052-DESC", "R2-ISS-052-CUSTOMIZER", "R2-ISS-052-META-WORDING", "R2-ISS-052-CANN"]</t>
        </is>
      </c>
    </row>
    <row r="16" ht="42" customHeight="1">
      <c r="A16" s="2" t="inlineStr">
        <is>
          <t>jeminise.com+custom-emily-god-says-i-am-blanket-machine-washable-d9</t>
        </is>
      </c>
      <c r="B16" s="2" t="inlineStr">
        <is>
          <t>K2</t>
        </is>
      </c>
      <c r="C16" s="2" t="n">
        <v>5</v>
      </c>
      <c r="D16" s="2" t="inlineStr">
        <is>
          <t>FULL</t>
        </is>
      </c>
      <c r="E16" s="5">
        <f>IF(B16="I1",AVERAGEIF('QA_Images'!$A$2:$A$79,A16,'QA_Images'!$T$2:$T$79)/100,IF(D16="FULL",1,IF(D16="PARTIAL",0.5,IF(D16="FAIL",0,""))))</f>
        <v/>
      </c>
      <c r="F16" s="5">
        <f>IF(E16="",0,C16*E16)</f>
        <v/>
      </c>
      <c r="G16" s="5">
        <f>IF(B16="I1",20*AVERAGEIF('QA_Images'!$A$2:$A$79,A16,'QA_Images'!$U$2:$U$79)/100,IF(D16="NOT_CHECKED",0,C16))</f>
        <v/>
      </c>
      <c r="H16" s="2" t="inlineStr">
        <is>
          <t>Đã đọc primary và comparator SERP theo US commercial intent; không dùng claim volume.</t>
        </is>
      </c>
      <c r="I16" s="2" t="inlineStr">
        <is>
          <t>["evidence_batch_006_052", "https://jeminise.com/products/custom-emily-god-says-i-am-blanket-machine-washable-d9", "serp_qa_052"]</t>
        </is>
      </c>
      <c r="J16" s="2" t="inlineStr">
        <is>
          <t>["R2-ISS-052-IMG-04", "R2-ISS-052-IMG-05", "R2-ISS-052-IMG-07", "R2-ISS-052-IMG-08", "R2-ISS-052-DESC", "R2-ISS-052-CUSTOMIZER", "R2-ISS-052-META-WORDING", "R2-ISS-052-CANN"]</t>
        </is>
      </c>
    </row>
    <row r="17" ht="42" customHeight="1">
      <c r="A17" s="3" t="inlineStr">
        <is>
          <t>jeminise.com+custom-emily-god-says-i-am-blanket-machine-washable-d9</t>
        </is>
      </c>
      <c r="B17" s="3" t="inlineStr">
        <is>
          <t>K3</t>
        </is>
      </c>
      <c r="C17" s="3" t="n">
        <v>5</v>
      </c>
      <c r="D17" s="3" t="inlineStr">
        <is>
          <t>PARTIAL</t>
        </is>
      </c>
      <c r="E17" s="7">
        <f>IF(B17="I1",AVERAGEIF('QA_Images'!$A$2:$A$79,A17,'QA_Images'!$T$2:$T$79)/100,IF(D17="FULL",1,IF(D17="PARTIAL",0.5,IF(D17="FAIL",0,""))))</f>
        <v/>
      </c>
      <c r="F17" s="7">
        <f>IF(E17="",0,C17*E17)</f>
        <v/>
      </c>
      <c r="G17" s="7">
        <f>IF(B17="I1",20*AVERAGEIF('QA_Images'!$A$2:$A$79,A17,'QA_Images'!$U$2:$U$79)/100,IF(D17="NOT_CHECKED",0,C17))</f>
        <v/>
      </c>
      <c r="H17" s="3" t="inlineStr">
        <is>
          <t>Không suy diễn volume; phân biệt SERP_ONLY và HYPOTHESIS_ONLY.</t>
        </is>
      </c>
      <c r="I17" s="3" t="inlineStr">
        <is>
          <t>["evidence_batch_006_052", "https://jeminise.com/products/custom-emily-god-says-i-am-blanket-machine-washable-d9", "serp_qa_052"]</t>
        </is>
      </c>
      <c r="J17" s="3" t="inlineStr">
        <is>
          <t>["R2-ISS-052-IMG-04", "R2-ISS-052-IMG-05", "R2-ISS-052-IMG-07", "R2-ISS-052-IMG-08", "R2-ISS-052-DESC", "R2-ISS-052-CUSTOMIZER", "R2-ISS-052-META-WORDING", "R2-ISS-052-CANN"]</t>
        </is>
      </c>
    </row>
    <row r="18" ht="42" customHeight="1">
      <c r="A18" s="2" t="inlineStr">
        <is>
          <t>jeminise.com+custom-emily-god-says-i-am-blanket-machine-washable-d9</t>
        </is>
      </c>
      <c r="B18" s="2" t="inlineStr">
        <is>
          <t>T1</t>
        </is>
      </c>
      <c r="C18" s="2" t="n">
        <v>10</v>
      </c>
      <c r="D18" s="2" t="inlineStr">
        <is>
          <t>PARTIAL</t>
        </is>
      </c>
      <c r="E18" s="5">
        <f>IF(B18="I1",AVERAGEIF('QA_Images'!$A$2:$A$79,A18,'QA_Images'!$T$2:$T$79)/100,IF(D18="FULL",1,IF(D18="PARTIAL",0.5,IF(D18="FAIL",0,""))))</f>
        <v/>
      </c>
      <c r="F18" s="5">
        <f>IF(E18="",0,C18*E18)</f>
        <v/>
      </c>
      <c r="G18" s="5">
        <f>IF(B18="I1",20*AVERAGEIF('QA_Images'!$A$2:$A$79,A18,'QA_Images'!$U$2:$U$79)/100,IF(D18="NOT_CHECKED",0,C18))</f>
        <v/>
      </c>
      <c r="H18" s="2" t="inlineStr">
        <is>
          <t>Đánh giá SEO title English về độ đúng, tự nhiên, keyword và điểm phân biệt.</t>
        </is>
      </c>
      <c r="I18" s="2" t="inlineStr">
        <is>
          <t>["evidence_batch_006_052", "https://jeminise.com/products/custom-emily-god-says-i-am-blanket-machine-washable-d9", "serp_qa_052"]</t>
        </is>
      </c>
      <c r="J18" s="2" t="inlineStr">
        <is>
          <t>["R2-ISS-052-IMG-04", "R2-ISS-052-IMG-05", "R2-ISS-052-IMG-07", "R2-ISS-052-IMG-08", "R2-ISS-052-DESC", "R2-ISS-052-CUSTOMIZER", "R2-ISS-052-META-WORDING", "R2-ISS-052-CANN"]</t>
        </is>
      </c>
    </row>
    <row r="19" ht="42" customHeight="1">
      <c r="A19" s="3" t="inlineStr">
        <is>
          <t>jeminise.com+custom-emily-god-says-i-am-blanket-machine-washable-d9</t>
        </is>
      </c>
      <c r="B19" s="3" t="inlineStr">
        <is>
          <t>T2</t>
        </is>
      </c>
      <c r="C19" s="3" t="n">
        <v>5</v>
      </c>
      <c r="D19" s="3" t="inlineStr">
        <is>
          <t>PARTIAL</t>
        </is>
      </c>
      <c r="E19" s="7">
        <f>IF(B19="I1",AVERAGEIF('QA_Images'!$A$2:$A$79,A19,'QA_Images'!$T$2:$T$79)/100,IF(D19="FULL",1,IF(D19="PARTIAL",0.5,IF(D19="FAIL",0,""))))</f>
        <v/>
      </c>
      <c r="F19" s="7">
        <f>IF(E19="",0,C19*E19)</f>
        <v/>
      </c>
      <c r="G19" s="7">
        <f>IF(B19="I1",20*AVERAGEIF('QA_Images'!$A$2:$A$79,A19,'QA_Images'!$U$2:$U$79)/100,IF(D19="NOT_CHECKED",0,C19))</f>
        <v/>
      </c>
      <c r="H19" s="3" t="inlineStr">
        <is>
          <t>Đánh giá H1 đề xuất độc lập với SEO title và đối chiếu lỗi ký tự nguồn.</t>
        </is>
      </c>
      <c r="I19" s="3" t="inlineStr">
        <is>
          <t>["evidence_batch_006_052", "https://jeminise.com/products/custom-emily-god-says-i-am-blanket-machine-washable-d9", "serp_qa_052"]</t>
        </is>
      </c>
      <c r="J19" s="3" t="inlineStr">
        <is>
          <t>["R2-ISS-052-IMG-04", "R2-ISS-052-IMG-05", "R2-ISS-052-IMG-07", "R2-ISS-052-IMG-08", "R2-ISS-052-DESC", "R2-ISS-052-CUSTOMIZER", "R2-ISS-052-META-WORDING", "R2-ISS-052-CANN"]</t>
        </is>
      </c>
    </row>
    <row r="20" ht="42" customHeight="1">
      <c r="A20" s="2" t="inlineStr">
        <is>
          <t>jeminise.com+custom-emily-god-says-i-am-blanket-machine-washable-d9</t>
        </is>
      </c>
      <c r="B20" s="2" t="inlineStr">
        <is>
          <t>D1</t>
        </is>
      </c>
      <c r="C20" s="2" t="n">
        <v>5</v>
      </c>
      <c r="D20" s="2" t="inlineStr">
        <is>
          <t>PARTIAL</t>
        </is>
      </c>
      <c r="E20" s="5">
        <f>IF(B20="I1",AVERAGEIF('QA_Images'!$A$2:$A$79,A20,'QA_Images'!$T$2:$T$79)/100,IF(D20="FULL",1,IF(D20="PARTIAL",0.5,IF(D20="FAIL",0,""))))</f>
        <v/>
      </c>
      <c r="F20" s="5">
        <f>IF(E20="",0,C20*E20)</f>
        <v/>
      </c>
      <c r="G20" s="5">
        <f>IF(B20="I1",20*AVERAGEIF('QA_Images'!$A$2:$A$79,A20,'QA_Images'!$U$2:$U$79)/100,IF(D20="NOT_CHECKED",0,C20))</f>
        <v/>
      </c>
      <c r="H20" s="2" t="inlineStr">
        <is>
          <t>Đánh giá meta description về tính cụ thể và căn cứ claim.</t>
        </is>
      </c>
      <c r="I20" s="2" t="inlineStr">
        <is>
          <t>["evidence_batch_006_052", "https://jeminise.com/products/custom-emily-god-says-i-am-blanket-machine-washable-d9", "serp_qa_052"]</t>
        </is>
      </c>
      <c r="J20" s="2" t="inlineStr">
        <is>
          <t>["R2-ISS-052-IMG-04", "R2-ISS-052-IMG-05", "R2-ISS-052-IMG-07", "R2-ISS-052-IMG-08", "R2-ISS-052-DESC", "R2-ISS-052-CUSTOMIZER", "R2-ISS-052-META-WORDING", "R2-ISS-052-CANN"]</t>
        </is>
      </c>
    </row>
    <row r="21" ht="42" customHeight="1">
      <c r="A21" s="3" t="inlineStr">
        <is>
          <t>jeminise.com+custom-emily-god-says-i-am-blanket-machine-washable-d9</t>
        </is>
      </c>
      <c r="B21" s="3" t="inlineStr">
        <is>
          <t>D2</t>
        </is>
      </c>
      <c r="C21" s="3" t="n">
        <v>10</v>
      </c>
      <c r="D21" s="3" t="inlineStr">
        <is>
          <t>FAIL</t>
        </is>
      </c>
      <c r="E21" s="7">
        <f>IF(B21="I1",AVERAGEIF('QA_Images'!$A$2:$A$79,A21,'QA_Images'!$T$2:$T$79)/100,IF(D21="FULL",1,IF(D21="PARTIAL",0.5,IF(D21="FAIL",0,""))))</f>
        <v/>
      </c>
      <c r="F21" s="7">
        <f>IF(E21="",0,C21*E21)</f>
        <v/>
      </c>
      <c r="G21" s="7">
        <f>IF(B21="I1",20*AVERAGEIF('QA_Images'!$A$2:$A$79,A21,'QA_Images'!$U$2:$U$79)/100,IF(D21="NOT_CHECKED",0,C21))</f>
        <v/>
      </c>
      <c r="H21" s="3" t="inlineStr">
        <is>
          <t>Description SET có HTML đầy đủ nhưng chứa câu nội bộ 'This draft should be reviewed...' và dữ liệu nguồn thô/mâu thuẫn; chưa phải nội dung publish-ready.</t>
        </is>
      </c>
      <c r="I21" s="3" t="inlineStr">
        <is>
          <t>["evidence_batch_006_052", "https://jeminise.com/products/custom-emily-god-says-i-am-blanket-machine-washable-d9", "serp_qa_052"]</t>
        </is>
      </c>
      <c r="J21" s="3" t="inlineStr">
        <is>
          <t>["R2-ISS-052-IMG-04", "R2-ISS-052-IMG-05", "R2-ISS-052-IMG-07", "R2-ISS-052-IMG-08", "R2-ISS-052-DESC", "R2-ISS-052-CUSTOMIZER", "R2-ISS-052-META-WORDING", "R2-ISS-052-CANN"]</t>
        </is>
      </c>
    </row>
    <row r="22" ht="42" customHeight="1">
      <c r="A22" s="2" t="inlineStr">
        <is>
          <t>jeminise.com+custom-emily-god-says-i-am-blanket-machine-washable-d9</t>
        </is>
      </c>
      <c r="B22" s="2" t="inlineStr">
        <is>
          <t>I1</t>
        </is>
      </c>
      <c r="C22" s="2" t="n">
        <v>20</v>
      </c>
      <c r="D22" s="2" t="inlineStr">
        <is>
          <t>DERIVED</t>
        </is>
      </c>
      <c r="E22" s="5">
        <f>IF(B22="I1",AVERAGEIF('QA_Images'!$A$2:$A$79,A22,'QA_Images'!$T$2:$T$79)/100,IF(D22="FULL",1,IF(D22="PARTIAL",0.5,IF(D22="FAIL",0,""))))</f>
        <v/>
      </c>
      <c r="F22" s="5">
        <f>IF(E22="",0,C22*E22)</f>
        <v/>
      </c>
      <c r="G22" s="5">
        <f>IF(B22="I1",20*AVERAGEIF('QA_Images'!$A$2:$A$79,A22,'QA_Images'!$U$2:$U$79)/100,IF(D22="NOT_CHECKED",0,C22))</f>
        <v/>
      </c>
      <c r="H22" s="2" t="inlineStr">
        <is>
          <t>Tính từ trung bình 8 ảnh: 75.0000/100.</t>
        </is>
      </c>
      <c r="I22" s="2" t="inlineStr">
        <is>
          <t>["evidence_batch_006_052", "https://jeminise.com/products/custom-emily-god-says-i-am-blanket-machine-washable-d9", "serp_qa_052"]</t>
        </is>
      </c>
      <c r="J22" s="2" t="inlineStr">
        <is>
          <t>["R2-ISS-052-IMG-04", "R2-ISS-052-IMG-05", "R2-ISS-052-IMG-07", "R2-ISS-052-IMG-08", "R2-ISS-052-DESC", "R2-ISS-052-CUSTOMIZER", "R2-ISS-052-META-WORDING", "R2-ISS-052-CANN"]</t>
        </is>
      </c>
    </row>
    <row r="23" ht="42" customHeight="1">
      <c r="A23" s="3" t="inlineStr">
        <is>
          <t>jeminise.com+custom-emily-god-says-i-am-blanket-machine-washable-d9</t>
        </is>
      </c>
      <c r="B23" s="3" t="inlineStr">
        <is>
          <t>E1</t>
        </is>
      </c>
      <c r="C23" s="3" t="n">
        <v>5</v>
      </c>
      <c r="D23" s="3" t="inlineStr">
        <is>
          <t>PARTIAL</t>
        </is>
      </c>
      <c r="E23" s="7">
        <f>IF(B23="I1",AVERAGEIF('QA_Images'!$A$2:$A$79,A23,'QA_Images'!$T$2:$T$79)/100,IF(D23="FULL",1,IF(D23="PARTIAL",0.5,IF(D23="FAIL",0,""))))</f>
        <v/>
      </c>
      <c r="F23" s="7">
        <f>IF(E23="",0,C23*E23)</f>
        <v/>
      </c>
      <c r="G23" s="7">
        <f>IF(B23="I1",20*AVERAGEIF('QA_Images'!$A$2:$A$79,A23,'QA_Images'!$U$2:$U$79)/100,IF(D23="NOT_CHECKED",0,C23))</f>
        <v/>
      </c>
      <c r="H23" s="3" t="inlineStr">
        <is>
          <t>Kiểm tra chuỗi evidence và giới hạn do thiếu Shopify admin export.</t>
        </is>
      </c>
      <c r="I23" s="3" t="inlineStr">
        <is>
          <t>["evidence_batch_006_052", "https://jeminise.com/products/custom-emily-god-says-i-am-blanket-machine-washable-d9", "serp_qa_052"]</t>
        </is>
      </c>
      <c r="J23" s="3" t="inlineStr">
        <is>
          <t>["R2-ISS-052-IMG-04", "R2-ISS-052-IMG-05", "R2-ISS-052-IMG-07", "R2-ISS-052-IMG-08", "R2-ISS-052-DESC", "R2-ISS-052-CUSTOMIZER", "R2-ISS-052-META-WORDING", "R2-ISS-052-CANN"]</t>
        </is>
      </c>
    </row>
    <row r="24" ht="42" customHeight="1">
      <c r="A24" s="2" t="inlineStr">
        <is>
          <t>jeminise.com+custom-exploding-soccer-ball-comforter-set-machine-washable-a10</t>
        </is>
      </c>
      <c r="B24" s="2" t="inlineStr">
        <is>
          <t>P1</t>
        </is>
      </c>
      <c r="C24" s="2" t="n">
        <v>15</v>
      </c>
      <c r="D24" s="2" t="inlineStr">
        <is>
          <t>FULL</t>
        </is>
      </c>
      <c r="E24" s="5">
        <f>IF(B24="I1",AVERAGEIF('QA_Images'!$A$2:$A$79,A24,'QA_Images'!$T$2:$T$79)/100,IF(D24="FULL",1,IF(D24="PARTIAL",0.5,IF(D24="FAIL",0,""))))</f>
        <v/>
      </c>
      <c r="F24" s="5">
        <f>IF(E24="",0,C24*E24)</f>
        <v/>
      </c>
      <c r="G24" s="5">
        <f>IF(B24="I1",20*AVERAGEIF('QA_Images'!$A$2:$A$79,A24,'QA_Images'!$U$2:$U$79)/100,IF(D24="NOT_CHECKED",0,C24))</f>
        <v/>
      </c>
      <c r="H24" s="2" t="inlineStr">
        <is>
          <t>Đối chiếu loại sản phẩm, thiết kế và màu với product JSON, H1 live và toàn bộ gallery.</t>
        </is>
      </c>
      <c r="I24" s="2" t="inlineStr">
        <is>
          <t>["evidence_batch_006_053", "https://jeminise.com/products/custom-exploding-soccer-ball-comforter-set-machine-washable-a10", "serp_qa_053"]</t>
        </is>
      </c>
      <c r="J24" s="2" t="inlineStr">
        <is>
          <t>["R2-ISS-053-IMG-02", "R2-ISS-053-IMG-07", "R2-ISS-053-IMG-08", "R2-ISS-053-DESC", "R2-ISS-053-CUSTOMIZER", "R2-ISS-053-META-WORDING", "R2-ISS-053-CANN"]</t>
        </is>
      </c>
    </row>
    <row r="25" ht="42" customHeight="1">
      <c r="A25" s="3" t="inlineStr">
        <is>
          <t>jeminise.com+custom-exploding-soccer-ball-comforter-set-machine-washable-a10</t>
        </is>
      </c>
      <c r="B25" s="3" t="inlineStr">
        <is>
          <t>P2</t>
        </is>
      </c>
      <c r="C25" s="3" t="n">
        <v>10</v>
      </c>
      <c r="D25" s="3" t="inlineStr">
        <is>
          <t>PARTIAL</t>
        </is>
      </c>
      <c r="E25" s="7">
        <f>IF(B25="I1",AVERAGEIF('QA_Images'!$A$2:$A$79,A25,'QA_Images'!$T$2:$T$79)/100,IF(D25="FULL",1,IF(D25="PARTIAL",0.5,IF(D25="FAIL",0,""))))</f>
        <v/>
      </c>
      <c r="F25" s="7">
        <f>IF(E25="",0,C25*E25)</f>
        <v/>
      </c>
      <c r="G25" s="7">
        <f>IF(B25="I1",20*AVERAGEIF('QA_Images'!$A$2:$A$79,A25,'QA_Images'!$U$2:$U$79)/100,IF(D25="NOT_CHECKED",0,C25))</f>
        <v/>
      </c>
      <c r="H25" s="3" t="inlineStr">
        <is>
          <t>Đối chiếu specification, variants, components và personalization với product.js live và ảnh gốc.</t>
        </is>
      </c>
      <c r="I25" s="3" t="inlineStr">
        <is>
          <t>["evidence_batch_006_053", "https://jeminise.com/products/custom-exploding-soccer-ball-comforter-set-machine-washable-a10", "serp_qa_053"]</t>
        </is>
      </c>
      <c r="J25" s="3" t="inlineStr">
        <is>
          <t>["R2-ISS-053-IMG-02", "R2-ISS-053-IMG-07", "R2-ISS-053-IMG-08", "R2-ISS-053-DESC", "R2-ISS-053-CUSTOMIZER", "R2-ISS-053-META-WORDING", "R2-ISS-053-CANN"]</t>
        </is>
      </c>
    </row>
    <row r="26" ht="42" customHeight="1">
      <c r="A26" s="2" t="inlineStr">
        <is>
          <t>jeminise.com+custom-exploding-soccer-ball-comforter-set-machine-washable-a10</t>
        </is>
      </c>
      <c r="B26" s="2" t="inlineStr">
        <is>
          <t>K1</t>
        </is>
      </c>
      <c r="C26" s="2" t="n">
        <v>10</v>
      </c>
      <c r="D26" s="2" t="inlineStr">
        <is>
          <t>PARTIAL</t>
        </is>
      </c>
      <c r="E26" s="5">
        <f>IF(B26="I1",AVERAGEIF('QA_Images'!$A$2:$A$79,A26,'QA_Images'!$T$2:$T$79)/100,IF(D26="FULL",1,IF(D26="PARTIAL",0.5,IF(D26="FAIL",0,""))))</f>
        <v/>
      </c>
      <c r="F26" s="5">
        <f>IF(E26="",0,C26*E26)</f>
        <v/>
      </c>
      <c r="G26" s="5">
        <f>IF(B26="I1",20*AVERAGEIF('QA_Images'!$A$2:$A$79,A26,'QA_Images'!$U$2:$U$79)/100,IF(D26="NOT_CHECKED",0,C26))</f>
        <v/>
      </c>
      <c r="H26" s="2" t="inlineStr">
        <is>
          <t>Đối chiếu long-tail với thiết kế riêng và nguy cơ trùng intent trong cụm sản phẩm.</t>
        </is>
      </c>
      <c r="I26" s="2" t="inlineStr">
        <is>
          <t>["evidence_batch_006_053", "https://jeminise.com/products/custom-exploding-soccer-ball-comforter-set-machine-washable-a10", "serp_qa_053"]</t>
        </is>
      </c>
      <c r="J26" s="2" t="inlineStr">
        <is>
          <t>["R2-ISS-053-IMG-02", "R2-ISS-053-IMG-07", "R2-ISS-053-IMG-08", "R2-ISS-053-DESC", "R2-ISS-053-CUSTOMIZER", "R2-ISS-053-META-WORDING", "R2-ISS-053-CANN"]</t>
        </is>
      </c>
    </row>
    <row r="27" ht="42" customHeight="1">
      <c r="A27" s="3" t="inlineStr">
        <is>
          <t>jeminise.com+custom-exploding-soccer-ball-comforter-set-machine-washable-a10</t>
        </is>
      </c>
      <c r="B27" s="3" t="inlineStr">
        <is>
          <t>K2</t>
        </is>
      </c>
      <c r="C27" s="3" t="n">
        <v>5</v>
      </c>
      <c r="D27" s="3" t="inlineStr">
        <is>
          <t>FULL</t>
        </is>
      </c>
      <c r="E27" s="7">
        <f>IF(B27="I1",AVERAGEIF('QA_Images'!$A$2:$A$79,A27,'QA_Images'!$T$2:$T$79)/100,IF(D27="FULL",1,IF(D27="PARTIAL",0.5,IF(D27="FAIL",0,""))))</f>
        <v/>
      </c>
      <c r="F27" s="7">
        <f>IF(E27="",0,C27*E27)</f>
        <v/>
      </c>
      <c r="G27" s="7">
        <f>IF(B27="I1",20*AVERAGEIF('QA_Images'!$A$2:$A$79,A27,'QA_Images'!$U$2:$U$79)/100,IF(D27="NOT_CHECKED",0,C27))</f>
        <v/>
      </c>
      <c r="H27" s="3" t="inlineStr">
        <is>
          <t>Đã đọc primary và comparator SERP theo US commercial intent; không dùng claim volume.</t>
        </is>
      </c>
      <c r="I27" s="3" t="inlineStr">
        <is>
          <t>["evidence_batch_006_053", "https://jeminise.com/products/custom-exploding-soccer-ball-comforter-set-machine-washable-a10", "serp_qa_053"]</t>
        </is>
      </c>
      <c r="J27" s="3" t="inlineStr">
        <is>
          <t>["R2-ISS-053-IMG-02", "R2-ISS-053-IMG-07", "R2-ISS-053-IMG-08", "R2-ISS-053-DESC", "R2-ISS-053-CUSTOMIZER", "R2-ISS-053-META-WORDING", "R2-ISS-053-CANN"]</t>
        </is>
      </c>
    </row>
    <row r="28" ht="42" customHeight="1">
      <c r="A28" s="2" t="inlineStr">
        <is>
          <t>jeminise.com+custom-exploding-soccer-ball-comforter-set-machine-washable-a10</t>
        </is>
      </c>
      <c r="B28" s="2" t="inlineStr">
        <is>
          <t>K3</t>
        </is>
      </c>
      <c r="C28" s="2" t="n">
        <v>5</v>
      </c>
      <c r="D28" s="2" t="inlineStr">
        <is>
          <t>PARTIAL</t>
        </is>
      </c>
      <c r="E28" s="5">
        <f>IF(B28="I1",AVERAGEIF('QA_Images'!$A$2:$A$79,A28,'QA_Images'!$T$2:$T$79)/100,IF(D28="FULL",1,IF(D28="PARTIAL",0.5,IF(D28="FAIL",0,""))))</f>
        <v/>
      </c>
      <c r="F28" s="5">
        <f>IF(E28="",0,C28*E28)</f>
        <v/>
      </c>
      <c r="G28" s="5">
        <f>IF(B28="I1",20*AVERAGEIF('QA_Images'!$A$2:$A$79,A28,'QA_Images'!$U$2:$U$79)/100,IF(D28="NOT_CHECKED",0,C28))</f>
        <v/>
      </c>
      <c r="H28" s="2" t="inlineStr">
        <is>
          <t>Không suy diễn volume; phân biệt SERP_ONLY và HYPOTHESIS_ONLY.</t>
        </is>
      </c>
      <c r="I28" s="2" t="inlineStr">
        <is>
          <t>["evidence_batch_006_053", "https://jeminise.com/products/custom-exploding-soccer-ball-comforter-set-machine-washable-a10", "serp_qa_053"]</t>
        </is>
      </c>
      <c r="J28" s="2" t="inlineStr">
        <is>
          <t>["R2-ISS-053-IMG-02", "R2-ISS-053-IMG-07", "R2-ISS-053-IMG-08", "R2-ISS-053-DESC", "R2-ISS-053-CUSTOMIZER", "R2-ISS-053-META-WORDING", "R2-ISS-053-CANN"]</t>
        </is>
      </c>
    </row>
    <row r="29" ht="42" customHeight="1">
      <c r="A29" s="3" t="inlineStr">
        <is>
          <t>jeminise.com+custom-exploding-soccer-ball-comforter-set-machine-washable-a10</t>
        </is>
      </c>
      <c r="B29" s="3" t="inlineStr">
        <is>
          <t>T1</t>
        </is>
      </c>
      <c r="C29" s="3" t="n">
        <v>10</v>
      </c>
      <c r="D29" s="3" t="inlineStr">
        <is>
          <t>PARTIAL</t>
        </is>
      </c>
      <c r="E29" s="7">
        <f>IF(B29="I1",AVERAGEIF('QA_Images'!$A$2:$A$79,A29,'QA_Images'!$T$2:$T$79)/100,IF(D29="FULL",1,IF(D29="PARTIAL",0.5,IF(D29="FAIL",0,""))))</f>
        <v/>
      </c>
      <c r="F29" s="7">
        <f>IF(E29="",0,C29*E29)</f>
        <v/>
      </c>
      <c r="G29" s="7">
        <f>IF(B29="I1",20*AVERAGEIF('QA_Images'!$A$2:$A$79,A29,'QA_Images'!$U$2:$U$79)/100,IF(D29="NOT_CHECKED",0,C29))</f>
        <v/>
      </c>
      <c r="H29" s="3" t="inlineStr">
        <is>
          <t>Đánh giá SEO title English về độ đúng, tự nhiên, keyword và điểm phân biệt.</t>
        </is>
      </c>
      <c r="I29" s="3" t="inlineStr">
        <is>
          <t>["evidence_batch_006_053", "https://jeminise.com/products/custom-exploding-soccer-ball-comforter-set-machine-washable-a10", "serp_qa_053"]</t>
        </is>
      </c>
      <c r="J29" s="3" t="inlineStr">
        <is>
          <t>["R2-ISS-053-IMG-02", "R2-ISS-053-IMG-07", "R2-ISS-053-IMG-08", "R2-ISS-053-DESC", "R2-ISS-053-CUSTOMIZER", "R2-ISS-053-META-WORDING", "R2-ISS-053-CANN"]</t>
        </is>
      </c>
    </row>
    <row r="30" ht="42" customHeight="1">
      <c r="A30" s="2" t="inlineStr">
        <is>
          <t>jeminise.com+custom-exploding-soccer-ball-comforter-set-machine-washable-a10</t>
        </is>
      </c>
      <c r="B30" s="2" t="inlineStr">
        <is>
          <t>T2</t>
        </is>
      </c>
      <c r="C30" s="2" t="n">
        <v>5</v>
      </c>
      <c r="D30" s="2" t="inlineStr">
        <is>
          <t>PARTIAL</t>
        </is>
      </c>
      <c r="E30" s="5">
        <f>IF(B30="I1",AVERAGEIF('QA_Images'!$A$2:$A$79,A30,'QA_Images'!$T$2:$T$79)/100,IF(D30="FULL",1,IF(D30="PARTIAL",0.5,IF(D30="FAIL",0,""))))</f>
        <v/>
      </c>
      <c r="F30" s="5">
        <f>IF(E30="",0,C30*E30)</f>
        <v/>
      </c>
      <c r="G30" s="5">
        <f>IF(B30="I1",20*AVERAGEIF('QA_Images'!$A$2:$A$79,A30,'QA_Images'!$U$2:$U$79)/100,IF(D30="NOT_CHECKED",0,C30))</f>
        <v/>
      </c>
      <c r="H30" s="2" t="inlineStr">
        <is>
          <t>Đánh giá H1 đề xuất độc lập với SEO title và đối chiếu lỗi ký tự nguồn.</t>
        </is>
      </c>
      <c r="I30" s="2" t="inlineStr">
        <is>
          <t>["evidence_batch_006_053", "https://jeminise.com/products/custom-exploding-soccer-ball-comforter-set-machine-washable-a10", "serp_qa_053"]</t>
        </is>
      </c>
      <c r="J30" s="2" t="inlineStr">
        <is>
          <t>["R2-ISS-053-IMG-02", "R2-ISS-053-IMG-07", "R2-ISS-053-IMG-08", "R2-ISS-053-DESC", "R2-ISS-053-CUSTOMIZER", "R2-ISS-053-META-WORDING", "R2-ISS-053-CANN"]</t>
        </is>
      </c>
    </row>
    <row r="31" ht="42" customHeight="1">
      <c r="A31" s="3" t="inlineStr">
        <is>
          <t>jeminise.com+custom-exploding-soccer-ball-comforter-set-machine-washable-a10</t>
        </is>
      </c>
      <c r="B31" s="3" t="inlineStr">
        <is>
          <t>D1</t>
        </is>
      </c>
      <c r="C31" s="3" t="n">
        <v>5</v>
      </c>
      <c r="D31" s="3" t="inlineStr">
        <is>
          <t>PARTIAL</t>
        </is>
      </c>
      <c r="E31" s="7">
        <f>IF(B31="I1",AVERAGEIF('QA_Images'!$A$2:$A$79,A31,'QA_Images'!$T$2:$T$79)/100,IF(D31="FULL",1,IF(D31="PARTIAL",0.5,IF(D31="FAIL",0,""))))</f>
        <v/>
      </c>
      <c r="F31" s="7">
        <f>IF(E31="",0,C31*E31)</f>
        <v/>
      </c>
      <c r="G31" s="7">
        <f>IF(B31="I1",20*AVERAGEIF('QA_Images'!$A$2:$A$79,A31,'QA_Images'!$U$2:$U$79)/100,IF(D31="NOT_CHECKED",0,C31))</f>
        <v/>
      </c>
      <c r="H31" s="3" t="inlineStr">
        <is>
          <t>Đánh giá meta description về tính cụ thể và căn cứ claim.</t>
        </is>
      </c>
      <c r="I31" s="3" t="inlineStr">
        <is>
          <t>["evidence_batch_006_053", "https://jeminise.com/products/custom-exploding-soccer-ball-comforter-set-machine-washable-a10", "serp_qa_053"]</t>
        </is>
      </c>
      <c r="J31" s="3" t="inlineStr">
        <is>
          <t>["R2-ISS-053-IMG-02", "R2-ISS-053-IMG-07", "R2-ISS-053-IMG-08", "R2-ISS-053-DESC", "R2-ISS-053-CUSTOMIZER", "R2-ISS-053-META-WORDING", "R2-ISS-053-CANN"]</t>
        </is>
      </c>
    </row>
    <row r="32" ht="42" customHeight="1">
      <c r="A32" s="2" t="inlineStr">
        <is>
          <t>jeminise.com+custom-exploding-soccer-ball-comforter-set-machine-washable-a10</t>
        </is>
      </c>
      <c r="B32" s="2" t="inlineStr">
        <is>
          <t>D2</t>
        </is>
      </c>
      <c r="C32" s="2" t="n">
        <v>10</v>
      </c>
      <c r="D32" s="2" t="inlineStr">
        <is>
          <t>PARTIAL</t>
        </is>
      </c>
      <c r="E32" s="5">
        <f>IF(B32="I1",AVERAGEIF('QA_Images'!$A$2:$A$79,A32,'QA_Images'!$T$2:$T$79)/100,IF(D32="FULL",1,IF(D32="PARTIAL",0.5,IF(D32="FAIL",0,""))))</f>
        <v/>
      </c>
      <c r="F32" s="5">
        <f>IF(E32="",0,C32*E32)</f>
        <v/>
      </c>
      <c r="G32" s="5">
        <f>IF(B32="I1",20*AVERAGEIF('QA_Images'!$A$2:$A$79,A32,'QA_Images'!$U$2:$U$79)/100,IF(D32="NOT_CHECKED",0,C32))</f>
        <v/>
      </c>
      <c r="H32" s="2" t="inlineStr">
        <is>
          <t>Description SET có HTML đầy đủ nhưng chứa câu nội bộ 'This draft should be reviewed...' và dữ liệu nguồn thô/mâu thuẫn; chưa phải nội dung publish-ready.</t>
        </is>
      </c>
      <c r="I32" s="2" t="inlineStr">
        <is>
          <t>["evidence_batch_006_053", "https://jeminise.com/products/custom-exploding-soccer-ball-comforter-set-machine-washable-a10", "serp_qa_053"]</t>
        </is>
      </c>
      <c r="J32" s="2" t="inlineStr">
        <is>
          <t>["R2-ISS-053-IMG-02", "R2-ISS-053-IMG-07", "R2-ISS-053-IMG-08", "R2-ISS-053-DESC", "R2-ISS-053-CUSTOMIZER", "R2-ISS-053-META-WORDING", "R2-ISS-053-CANN"]</t>
        </is>
      </c>
    </row>
    <row r="33" ht="42" customHeight="1">
      <c r="A33" s="3" t="inlineStr">
        <is>
          <t>jeminise.com+custom-exploding-soccer-ball-comforter-set-machine-washable-a10</t>
        </is>
      </c>
      <c r="B33" s="3" t="inlineStr">
        <is>
          <t>I1</t>
        </is>
      </c>
      <c r="C33" s="3" t="n">
        <v>20</v>
      </c>
      <c r="D33" s="3" t="inlineStr">
        <is>
          <t>DERIVED</t>
        </is>
      </c>
      <c r="E33" s="7">
        <f>IF(B33="I1",AVERAGEIF('QA_Images'!$A$2:$A$79,A33,'QA_Images'!$T$2:$T$79)/100,IF(D33="FULL",1,IF(D33="PARTIAL",0.5,IF(D33="FAIL",0,""))))</f>
        <v/>
      </c>
      <c r="F33" s="7">
        <f>IF(E33="",0,C33*E33)</f>
        <v/>
      </c>
      <c r="G33" s="7">
        <f>IF(B33="I1",20*AVERAGEIF('QA_Images'!$A$2:$A$79,A33,'QA_Images'!$U$2:$U$79)/100,IF(D33="NOT_CHECKED",0,C33))</f>
        <v/>
      </c>
      <c r="H33" s="3" t="inlineStr">
        <is>
          <t>Tính từ trung bình 8 ảnh: 81.2500/100.</t>
        </is>
      </c>
      <c r="I33" s="3" t="inlineStr">
        <is>
          <t>["evidence_batch_006_053", "https://jeminise.com/products/custom-exploding-soccer-ball-comforter-set-machine-washable-a10", "serp_qa_053"]</t>
        </is>
      </c>
      <c r="J33" s="3" t="inlineStr">
        <is>
          <t>["R2-ISS-053-IMG-02", "R2-ISS-053-IMG-07", "R2-ISS-053-IMG-08", "R2-ISS-053-DESC", "R2-ISS-053-CUSTOMIZER", "R2-ISS-053-META-WORDING", "R2-ISS-053-CANN"]</t>
        </is>
      </c>
    </row>
    <row r="34" ht="42" customHeight="1">
      <c r="A34" s="2" t="inlineStr">
        <is>
          <t>jeminise.com+custom-exploding-soccer-ball-comforter-set-machine-washable-a10</t>
        </is>
      </c>
      <c r="B34" s="2" t="inlineStr">
        <is>
          <t>E1</t>
        </is>
      </c>
      <c r="C34" s="2" t="n">
        <v>5</v>
      </c>
      <c r="D34" s="2" t="inlineStr">
        <is>
          <t>PARTIAL</t>
        </is>
      </c>
      <c r="E34" s="5">
        <f>IF(B34="I1",AVERAGEIF('QA_Images'!$A$2:$A$79,A34,'QA_Images'!$T$2:$T$79)/100,IF(D34="FULL",1,IF(D34="PARTIAL",0.5,IF(D34="FAIL",0,""))))</f>
        <v/>
      </c>
      <c r="F34" s="5">
        <f>IF(E34="",0,C34*E34)</f>
        <v/>
      </c>
      <c r="G34" s="5">
        <f>IF(B34="I1",20*AVERAGEIF('QA_Images'!$A$2:$A$79,A34,'QA_Images'!$U$2:$U$79)/100,IF(D34="NOT_CHECKED",0,C34))</f>
        <v/>
      </c>
      <c r="H34" s="2" t="inlineStr">
        <is>
          <t>Kiểm tra chuỗi evidence và giới hạn do thiếu Shopify admin export.</t>
        </is>
      </c>
      <c r="I34" s="2" t="inlineStr">
        <is>
          <t>["evidence_batch_006_053", "https://jeminise.com/products/custom-exploding-soccer-ball-comforter-set-machine-washable-a10", "serp_qa_053"]</t>
        </is>
      </c>
      <c r="J34" s="2" t="inlineStr">
        <is>
          <t>["R2-ISS-053-IMG-02", "R2-ISS-053-IMG-07", "R2-ISS-053-IMG-08", "R2-ISS-053-DESC", "R2-ISS-053-CUSTOMIZER", "R2-ISS-053-META-WORDING", "R2-ISS-053-CANN"]</t>
        </is>
      </c>
    </row>
    <row r="35" ht="42" customHeight="1">
      <c r="A35" s="3" t="inlineStr">
        <is>
          <t>jeminise.com+custom-fiery-soccer-ball-custom-name-comforter-set-machin-design-5</t>
        </is>
      </c>
      <c r="B35" s="3" t="inlineStr">
        <is>
          <t>P1</t>
        </is>
      </c>
      <c r="C35" s="3" t="n">
        <v>15</v>
      </c>
      <c r="D35" s="3" t="inlineStr">
        <is>
          <t>FULL</t>
        </is>
      </c>
      <c r="E35" s="7">
        <f>IF(B35="I1",AVERAGEIF('QA_Images'!$A$2:$A$79,A35,'QA_Images'!$T$2:$T$79)/100,IF(D35="FULL",1,IF(D35="PARTIAL",0.5,IF(D35="FAIL",0,""))))</f>
        <v/>
      </c>
      <c r="F35" s="7">
        <f>IF(E35="",0,C35*E35)</f>
        <v/>
      </c>
      <c r="G35" s="7">
        <f>IF(B35="I1",20*AVERAGEIF('QA_Images'!$A$2:$A$79,A35,'QA_Images'!$U$2:$U$79)/100,IF(D35="NOT_CHECKED",0,C35))</f>
        <v/>
      </c>
      <c r="H35" s="3" t="inlineStr">
        <is>
          <t>Đối chiếu loại sản phẩm, thiết kế và màu với product JSON, H1 live và toàn bộ gallery.</t>
        </is>
      </c>
      <c r="I35" s="3" t="inlineStr">
        <is>
          <t>["evidence_batch_006_054", "https://jeminise.com/products/custom-fiery-soccer-ball-custom-name-comforter-set-machin-design-5", "serp_qa_054"]</t>
        </is>
      </c>
      <c r="J35" s="3" t="inlineStr">
        <is>
          <t>["R2-ISS-054-IMG-02", "R2-ISS-054-IMG-05", "R2-ISS-054-IMG-06", "R2-ISS-054-IMG-07", "R2-ISS-054-DESC", "R2-ISS-054-CUSTOMIZER", "R2-ISS-054-META-WORDING", "R2-ISS-054-CANN", "R2-ISS-054-TYPO"]</t>
        </is>
      </c>
    </row>
    <row r="36" ht="42" customHeight="1">
      <c r="A36" s="2" t="inlineStr">
        <is>
          <t>jeminise.com+custom-fiery-soccer-ball-custom-name-comforter-set-machin-design-5</t>
        </is>
      </c>
      <c r="B36" s="2" t="inlineStr">
        <is>
          <t>P2</t>
        </is>
      </c>
      <c r="C36" s="2" t="n">
        <v>10</v>
      </c>
      <c r="D36" s="2" t="inlineStr">
        <is>
          <t>PARTIAL</t>
        </is>
      </c>
      <c r="E36" s="5">
        <f>IF(B36="I1",AVERAGEIF('QA_Images'!$A$2:$A$79,A36,'QA_Images'!$T$2:$T$79)/100,IF(D36="FULL",1,IF(D36="PARTIAL",0.5,IF(D36="FAIL",0,""))))</f>
        <v/>
      </c>
      <c r="F36" s="5">
        <f>IF(E36="",0,C36*E36)</f>
        <v/>
      </c>
      <c r="G36" s="5">
        <f>IF(B36="I1",20*AVERAGEIF('QA_Images'!$A$2:$A$79,A36,'QA_Images'!$U$2:$U$79)/100,IF(D36="NOT_CHECKED",0,C36))</f>
        <v/>
      </c>
      <c r="H36" s="2" t="inlineStr">
        <is>
          <t>Đối chiếu specification, variants, components và personalization với product.js live và ảnh gốc.</t>
        </is>
      </c>
      <c r="I36" s="2" t="inlineStr">
        <is>
          <t>["evidence_batch_006_054", "https://jeminise.com/products/custom-fiery-soccer-ball-custom-name-comforter-set-machin-design-5", "serp_qa_054"]</t>
        </is>
      </c>
      <c r="J36" s="2" t="inlineStr">
        <is>
          <t>["R2-ISS-054-IMG-02", "R2-ISS-054-IMG-05", "R2-ISS-054-IMG-06", "R2-ISS-054-IMG-07", "R2-ISS-054-DESC", "R2-ISS-054-CUSTOMIZER", "R2-ISS-054-META-WORDING", "R2-ISS-054-CANN", "R2-ISS-054-TYPO"]</t>
        </is>
      </c>
    </row>
    <row r="37" ht="42" customHeight="1">
      <c r="A37" s="3" t="inlineStr">
        <is>
          <t>jeminise.com+custom-fiery-soccer-ball-custom-name-comforter-set-machin-design-5</t>
        </is>
      </c>
      <c r="B37" s="3" t="inlineStr">
        <is>
          <t>K1</t>
        </is>
      </c>
      <c r="C37" s="3" t="n">
        <v>10</v>
      </c>
      <c r="D37" s="3" t="inlineStr">
        <is>
          <t>PARTIAL</t>
        </is>
      </c>
      <c r="E37" s="7">
        <f>IF(B37="I1",AVERAGEIF('QA_Images'!$A$2:$A$79,A37,'QA_Images'!$T$2:$T$79)/100,IF(D37="FULL",1,IF(D37="PARTIAL",0.5,IF(D37="FAIL",0,""))))</f>
        <v/>
      </c>
      <c r="F37" s="7">
        <f>IF(E37="",0,C37*E37)</f>
        <v/>
      </c>
      <c r="G37" s="7">
        <f>IF(B37="I1",20*AVERAGEIF('QA_Images'!$A$2:$A$79,A37,'QA_Images'!$U$2:$U$79)/100,IF(D37="NOT_CHECKED",0,C37))</f>
        <v/>
      </c>
      <c r="H37" s="3" t="inlineStr">
        <is>
          <t>Đối chiếu long-tail với thiết kế riêng và nguy cơ trùng intent trong cụm sản phẩm.</t>
        </is>
      </c>
      <c r="I37" s="3" t="inlineStr">
        <is>
          <t>["evidence_batch_006_054", "https://jeminise.com/products/custom-fiery-soccer-ball-custom-name-comforter-set-machin-design-5", "serp_qa_054"]</t>
        </is>
      </c>
      <c r="J37" s="3" t="inlineStr">
        <is>
          <t>["R2-ISS-054-IMG-02", "R2-ISS-054-IMG-05", "R2-ISS-054-IMG-06", "R2-ISS-054-IMG-07", "R2-ISS-054-DESC", "R2-ISS-054-CUSTOMIZER", "R2-ISS-054-META-WORDING", "R2-ISS-054-CANN", "R2-ISS-054-TYPO"]</t>
        </is>
      </c>
    </row>
    <row r="38" ht="42" customHeight="1">
      <c r="A38" s="2" t="inlineStr">
        <is>
          <t>jeminise.com+custom-fiery-soccer-ball-custom-name-comforter-set-machin-design-5</t>
        </is>
      </c>
      <c r="B38" s="2" t="inlineStr">
        <is>
          <t>K2</t>
        </is>
      </c>
      <c r="C38" s="2" t="n">
        <v>5</v>
      </c>
      <c r="D38" s="2" t="inlineStr">
        <is>
          <t>FULL</t>
        </is>
      </c>
      <c r="E38" s="5">
        <f>IF(B38="I1",AVERAGEIF('QA_Images'!$A$2:$A$79,A38,'QA_Images'!$T$2:$T$79)/100,IF(D38="FULL",1,IF(D38="PARTIAL",0.5,IF(D38="FAIL",0,""))))</f>
        <v/>
      </c>
      <c r="F38" s="5">
        <f>IF(E38="",0,C38*E38)</f>
        <v/>
      </c>
      <c r="G38" s="5">
        <f>IF(B38="I1",20*AVERAGEIF('QA_Images'!$A$2:$A$79,A38,'QA_Images'!$U$2:$U$79)/100,IF(D38="NOT_CHECKED",0,C38))</f>
        <v/>
      </c>
      <c r="H38" s="2" t="inlineStr">
        <is>
          <t>Đã đọc primary và comparator SERP theo US commercial intent; không dùng claim volume.</t>
        </is>
      </c>
      <c r="I38" s="2" t="inlineStr">
        <is>
          <t>["evidence_batch_006_054", "https://jeminise.com/products/custom-fiery-soccer-ball-custom-name-comforter-set-machin-design-5", "serp_qa_054"]</t>
        </is>
      </c>
      <c r="J38" s="2" t="inlineStr">
        <is>
          <t>["R2-ISS-054-IMG-02", "R2-ISS-054-IMG-05", "R2-ISS-054-IMG-06", "R2-ISS-054-IMG-07", "R2-ISS-054-DESC", "R2-ISS-054-CUSTOMIZER", "R2-ISS-054-META-WORDING", "R2-ISS-054-CANN", "R2-ISS-054-TYPO"]</t>
        </is>
      </c>
    </row>
    <row r="39" ht="42" customHeight="1">
      <c r="A39" s="3" t="inlineStr">
        <is>
          <t>jeminise.com+custom-fiery-soccer-ball-custom-name-comforter-set-machin-design-5</t>
        </is>
      </c>
      <c r="B39" s="3" t="inlineStr">
        <is>
          <t>K3</t>
        </is>
      </c>
      <c r="C39" s="3" t="n">
        <v>5</v>
      </c>
      <c r="D39" s="3" t="inlineStr">
        <is>
          <t>PARTIAL</t>
        </is>
      </c>
      <c r="E39" s="7">
        <f>IF(B39="I1",AVERAGEIF('QA_Images'!$A$2:$A$79,A39,'QA_Images'!$T$2:$T$79)/100,IF(D39="FULL",1,IF(D39="PARTIAL",0.5,IF(D39="FAIL",0,""))))</f>
        <v/>
      </c>
      <c r="F39" s="7">
        <f>IF(E39="",0,C39*E39)</f>
        <v/>
      </c>
      <c r="G39" s="7">
        <f>IF(B39="I1",20*AVERAGEIF('QA_Images'!$A$2:$A$79,A39,'QA_Images'!$U$2:$U$79)/100,IF(D39="NOT_CHECKED",0,C39))</f>
        <v/>
      </c>
      <c r="H39" s="3" t="inlineStr">
        <is>
          <t>Không suy diễn volume; phân biệt SERP_ONLY và HYPOTHESIS_ONLY.</t>
        </is>
      </c>
      <c r="I39" s="3" t="inlineStr">
        <is>
          <t>["evidence_batch_006_054", "https://jeminise.com/products/custom-fiery-soccer-ball-custom-name-comforter-set-machin-design-5", "serp_qa_054"]</t>
        </is>
      </c>
      <c r="J39" s="3" t="inlineStr">
        <is>
          <t>["R2-ISS-054-IMG-02", "R2-ISS-054-IMG-05", "R2-ISS-054-IMG-06", "R2-ISS-054-IMG-07", "R2-ISS-054-DESC", "R2-ISS-054-CUSTOMIZER", "R2-ISS-054-META-WORDING", "R2-ISS-054-CANN", "R2-ISS-054-TYPO"]</t>
        </is>
      </c>
    </row>
    <row r="40" ht="42" customHeight="1">
      <c r="A40" s="2" t="inlineStr">
        <is>
          <t>jeminise.com+custom-fiery-soccer-ball-custom-name-comforter-set-machin-design-5</t>
        </is>
      </c>
      <c r="B40" s="2" t="inlineStr">
        <is>
          <t>T1</t>
        </is>
      </c>
      <c r="C40" s="2" t="n">
        <v>10</v>
      </c>
      <c r="D40" s="2" t="inlineStr">
        <is>
          <t>PARTIAL</t>
        </is>
      </c>
      <c r="E40" s="5">
        <f>IF(B40="I1",AVERAGEIF('QA_Images'!$A$2:$A$79,A40,'QA_Images'!$T$2:$T$79)/100,IF(D40="FULL",1,IF(D40="PARTIAL",0.5,IF(D40="FAIL",0,""))))</f>
        <v/>
      </c>
      <c r="F40" s="5">
        <f>IF(E40="",0,C40*E40)</f>
        <v/>
      </c>
      <c r="G40" s="5">
        <f>IF(B40="I1",20*AVERAGEIF('QA_Images'!$A$2:$A$79,A40,'QA_Images'!$U$2:$U$79)/100,IF(D40="NOT_CHECKED",0,C40))</f>
        <v/>
      </c>
      <c r="H40" s="2" t="inlineStr">
        <is>
          <t>Đánh giá SEO title English về độ đúng, tự nhiên, keyword và điểm phân biệt.</t>
        </is>
      </c>
      <c r="I40" s="2" t="inlineStr">
        <is>
          <t>["evidence_batch_006_054", "https://jeminise.com/products/custom-fiery-soccer-ball-custom-name-comforter-set-machin-design-5", "serp_qa_054"]</t>
        </is>
      </c>
      <c r="J40" s="2" t="inlineStr">
        <is>
          <t>["R2-ISS-054-IMG-02", "R2-ISS-054-IMG-05", "R2-ISS-054-IMG-06", "R2-ISS-054-IMG-07", "R2-ISS-054-DESC", "R2-ISS-054-CUSTOMIZER", "R2-ISS-054-META-WORDING", "R2-ISS-054-CANN", "R2-ISS-054-TYPO"]</t>
        </is>
      </c>
    </row>
    <row r="41" ht="42" customHeight="1">
      <c r="A41" s="3" t="inlineStr">
        <is>
          <t>jeminise.com+custom-fiery-soccer-ball-custom-name-comforter-set-machin-design-5</t>
        </is>
      </c>
      <c r="B41" s="3" t="inlineStr">
        <is>
          <t>T2</t>
        </is>
      </c>
      <c r="C41" s="3" t="n">
        <v>5</v>
      </c>
      <c r="D41" s="3" t="inlineStr">
        <is>
          <t>PARTIAL</t>
        </is>
      </c>
      <c r="E41" s="7">
        <f>IF(B41="I1",AVERAGEIF('QA_Images'!$A$2:$A$79,A41,'QA_Images'!$T$2:$T$79)/100,IF(D41="FULL",1,IF(D41="PARTIAL",0.5,IF(D41="FAIL",0,""))))</f>
        <v/>
      </c>
      <c r="F41" s="7">
        <f>IF(E41="",0,C41*E41)</f>
        <v/>
      </c>
      <c r="G41" s="7">
        <f>IF(B41="I1",20*AVERAGEIF('QA_Images'!$A$2:$A$79,A41,'QA_Images'!$U$2:$U$79)/100,IF(D41="NOT_CHECKED",0,C41))</f>
        <v/>
      </c>
      <c r="H41" s="3" t="inlineStr">
        <is>
          <t>Đánh giá H1 đề xuất độc lập với SEO title và đối chiếu lỗi ký tự nguồn.</t>
        </is>
      </c>
      <c r="I41" s="3" t="inlineStr">
        <is>
          <t>["evidence_batch_006_054", "https://jeminise.com/products/custom-fiery-soccer-ball-custom-name-comforter-set-machin-design-5", "serp_qa_054"]</t>
        </is>
      </c>
      <c r="J41" s="3" t="inlineStr">
        <is>
          <t>["R2-ISS-054-IMG-02", "R2-ISS-054-IMG-05", "R2-ISS-054-IMG-06", "R2-ISS-054-IMG-07", "R2-ISS-054-DESC", "R2-ISS-054-CUSTOMIZER", "R2-ISS-054-META-WORDING", "R2-ISS-054-CANN", "R2-ISS-054-TYPO"]</t>
        </is>
      </c>
    </row>
    <row r="42" ht="42" customHeight="1">
      <c r="A42" s="2" t="inlineStr">
        <is>
          <t>jeminise.com+custom-fiery-soccer-ball-custom-name-comforter-set-machin-design-5</t>
        </is>
      </c>
      <c r="B42" s="2" t="inlineStr">
        <is>
          <t>D1</t>
        </is>
      </c>
      <c r="C42" s="2" t="n">
        <v>5</v>
      </c>
      <c r="D42" s="2" t="inlineStr">
        <is>
          <t>PARTIAL</t>
        </is>
      </c>
      <c r="E42" s="5">
        <f>IF(B42="I1",AVERAGEIF('QA_Images'!$A$2:$A$79,A42,'QA_Images'!$T$2:$T$79)/100,IF(D42="FULL",1,IF(D42="PARTIAL",0.5,IF(D42="FAIL",0,""))))</f>
        <v/>
      </c>
      <c r="F42" s="5">
        <f>IF(E42="",0,C42*E42)</f>
        <v/>
      </c>
      <c r="G42" s="5">
        <f>IF(B42="I1",20*AVERAGEIF('QA_Images'!$A$2:$A$79,A42,'QA_Images'!$U$2:$U$79)/100,IF(D42="NOT_CHECKED",0,C42))</f>
        <v/>
      </c>
      <c r="H42" s="2" t="inlineStr">
        <is>
          <t>Đánh giá meta description về tính cụ thể và căn cứ claim.</t>
        </is>
      </c>
      <c r="I42" s="2" t="inlineStr">
        <is>
          <t>["evidence_batch_006_054", "https://jeminise.com/products/custom-fiery-soccer-ball-custom-name-comforter-set-machin-design-5", "serp_qa_054"]</t>
        </is>
      </c>
      <c r="J42" s="2" t="inlineStr">
        <is>
          <t>["R2-ISS-054-IMG-02", "R2-ISS-054-IMG-05", "R2-ISS-054-IMG-06", "R2-ISS-054-IMG-07", "R2-ISS-054-DESC", "R2-ISS-054-CUSTOMIZER", "R2-ISS-054-META-WORDING", "R2-ISS-054-CANN", "R2-ISS-054-TYPO"]</t>
        </is>
      </c>
    </row>
    <row r="43" ht="42" customHeight="1">
      <c r="A43" s="3" t="inlineStr">
        <is>
          <t>jeminise.com+custom-fiery-soccer-ball-custom-name-comforter-set-machin-design-5</t>
        </is>
      </c>
      <c r="B43" s="3" t="inlineStr">
        <is>
          <t>D2</t>
        </is>
      </c>
      <c r="C43" s="3" t="n">
        <v>10</v>
      </c>
      <c r="D43" s="3" t="inlineStr">
        <is>
          <t>PARTIAL</t>
        </is>
      </c>
      <c r="E43" s="7">
        <f>IF(B43="I1",AVERAGEIF('QA_Images'!$A$2:$A$79,A43,'QA_Images'!$T$2:$T$79)/100,IF(D43="FULL",1,IF(D43="PARTIAL",0.5,IF(D43="FAIL",0,""))))</f>
        <v/>
      </c>
      <c r="F43" s="7">
        <f>IF(E43="",0,C43*E43)</f>
        <v/>
      </c>
      <c r="G43" s="7">
        <f>IF(B43="I1",20*AVERAGEIF('QA_Images'!$A$2:$A$79,A43,'QA_Images'!$U$2:$U$79)/100,IF(D43="NOT_CHECKED",0,C43))</f>
        <v/>
      </c>
      <c r="H43" s="3" t="inlineStr">
        <is>
          <t>Description SET có HTML đầy đủ nhưng chứa câu nội bộ 'This draft should be reviewed...' và dữ liệu nguồn thô/mâu thuẫn; chưa phải nội dung publish-ready.</t>
        </is>
      </c>
      <c r="I43" s="3" t="inlineStr">
        <is>
          <t>["evidence_batch_006_054", "https://jeminise.com/products/custom-fiery-soccer-ball-custom-name-comforter-set-machin-design-5", "serp_qa_054"]</t>
        </is>
      </c>
      <c r="J43" s="3" t="inlineStr">
        <is>
          <t>["R2-ISS-054-IMG-02", "R2-ISS-054-IMG-05", "R2-ISS-054-IMG-06", "R2-ISS-054-IMG-07", "R2-ISS-054-DESC", "R2-ISS-054-CUSTOMIZER", "R2-ISS-054-META-WORDING", "R2-ISS-054-CANN", "R2-ISS-054-TYPO"]</t>
        </is>
      </c>
    </row>
    <row r="44" ht="42" customHeight="1">
      <c r="A44" s="2" t="inlineStr">
        <is>
          <t>jeminise.com+custom-fiery-soccer-ball-custom-name-comforter-set-machin-design-5</t>
        </is>
      </c>
      <c r="B44" s="2" t="inlineStr">
        <is>
          <t>I1</t>
        </is>
      </c>
      <c r="C44" s="2" t="n">
        <v>20</v>
      </c>
      <c r="D44" s="2" t="inlineStr">
        <is>
          <t>DERIVED</t>
        </is>
      </c>
      <c r="E44" s="5">
        <f>IF(B44="I1",AVERAGEIF('QA_Images'!$A$2:$A$79,A44,'QA_Images'!$T$2:$T$79)/100,IF(D44="FULL",1,IF(D44="PARTIAL",0.5,IF(D44="FAIL",0,""))))</f>
        <v/>
      </c>
      <c r="F44" s="5">
        <f>IF(E44="",0,C44*E44)</f>
        <v/>
      </c>
      <c r="G44" s="5">
        <f>IF(B44="I1",20*AVERAGEIF('QA_Images'!$A$2:$A$79,A44,'QA_Images'!$U$2:$U$79)/100,IF(D44="NOT_CHECKED",0,C44))</f>
        <v/>
      </c>
      <c r="H44" s="2" t="inlineStr">
        <is>
          <t>Tính từ trung bình 7 ảnh: 71.4286/100.</t>
        </is>
      </c>
      <c r="I44" s="2" t="inlineStr">
        <is>
          <t>["evidence_batch_006_054", "https://jeminise.com/products/custom-fiery-soccer-ball-custom-name-comforter-set-machin-design-5", "serp_qa_054"]</t>
        </is>
      </c>
      <c r="J44" s="2" t="inlineStr">
        <is>
          <t>["R2-ISS-054-IMG-02", "R2-ISS-054-IMG-05", "R2-ISS-054-IMG-06", "R2-ISS-054-IMG-07", "R2-ISS-054-DESC", "R2-ISS-054-CUSTOMIZER", "R2-ISS-054-META-WORDING", "R2-ISS-054-CANN", "R2-ISS-054-TYPO"]</t>
        </is>
      </c>
    </row>
    <row r="45" ht="42" customHeight="1">
      <c r="A45" s="3" t="inlineStr">
        <is>
          <t>jeminise.com+custom-fiery-soccer-ball-custom-name-comforter-set-machin-design-5</t>
        </is>
      </c>
      <c r="B45" s="3" t="inlineStr">
        <is>
          <t>E1</t>
        </is>
      </c>
      <c r="C45" s="3" t="n">
        <v>5</v>
      </c>
      <c r="D45" s="3" t="inlineStr">
        <is>
          <t>PARTIAL</t>
        </is>
      </c>
      <c r="E45" s="7">
        <f>IF(B45="I1",AVERAGEIF('QA_Images'!$A$2:$A$79,A45,'QA_Images'!$T$2:$T$79)/100,IF(D45="FULL",1,IF(D45="PARTIAL",0.5,IF(D45="FAIL",0,""))))</f>
        <v/>
      </c>
      <c r="F45" s="7">
        <f>IF(E45="",0,C45*E45)</f>
        <v/>
      </c>
      <c r="G45" s="7">
        <f>IF(B45="I1",20*AVERAGEIF('QA_Images'!$A$2:$A$79,A45,'QA_Images'!$U$2:$U$79)/100,IF(D45="NOT_CHECKED",0,C45))</f>
        <v/>
      </c>
      <c r="H45" s="3" t="inlineStr">
        <is>
          <t>Kiểm tra chuỗi evidence và giới hạn do thiếu Shopify admin export.</t>
        </is>
      </c>
      <c r="I45" s="3" t="inlineStr">
        <is>
          <t>["evidence_batch_006_054", "https://jeminise.com/products/custom-fiery-soccer-ball-custom-name-comforter-set-machin-design-5", "serp_qa_054"]</t>
        </is>
      </c>
      <c r="J45" s="3" t="inlineStr">
        <is>
          <t>["R2-ISS-054-IMG-02", "R2-ISS-054-IMG-05", "R2-ISS-054-IMG-06", "R2-ISS-054-IMG-07", "R2-ISS-054-DESC", "R2-ISS-054-CUSTOMIZER", "R2-ISS-054-META-WORDING", "R2-ISS-054-CANN", "R2-ISS-054-TYPO"]</t>
        </is>
      </c>
    </row>
    <row r="46" ht="42" customHeight="1">
      <c r="A46" s="2" t="inlineStr">
        <is>
          <t>jeminise.com+custom-flaming-soccer-ball-with-custom-name-comforter-set-a12</t>
        </is>
      </c>
      <c r="B46" s="2" t="inlineStr">
        <is>
          <t>P1</t>
        </is>
      </c>
      <c r="C46" s="2" t="n">
        <v>15</v>
      </c>
      <c r="D46" s="2" t="inlineStr">
        <is>
          <t>FULL</t>
        </is>
      </c>
      <c r="E46" s="5">
        <f>IF(B46="I1",AVERAGEIF('QA_Images'!$A$2:$A$79,A46,'QA_Images'!$T$2:$T$79)/100,IF(D46="FULL",1,IF(D46="PARTIAL",0.5,IF(D46="FAIL",0,""))))</f>
        <v/>
      </c>
      <c r="F46" s="5">
        <f>IF(E46="",0,C46*E46)</f>
        <v/>
      </c>
      <c r="G46" s="5">
        <f>IF(B46="I1",20*AVERAGEIF('QA_Images'!$A$2:$A$79,A46,'QA_Images'!$U$2:$U$79)/100,IF(D46="NOT_CHECKED",0,C46))</f>
        <v/>
      </c>
      <c r="H46" s="2" t="inlineStr">
        <is>
          <t>Đối chiếu loại sản phẩm, thiết kế và màu với product JSON, H1 live và toàn bộ gallery.</t>
        </is>
      </c>
      <c r="I46" s="2" t="inlineStr">
        <is>
          <t>["evidence_batch_006_055", "https://jeminise.com/products/custom-flaming-soccer-ball-with-custom-name-comforter-set-a12", "serp_qa_055"]</t>
        </is>
      </c>
      <c r="J46" s="2" t="inlineStr">
        <is>
          <t>["R2-ISS-055-IMG-02", "R2-ISS-055-IMG-05", "R2-ISS-055-IMG-06", "R2-ISS-055-IMG-08", "R2-ISS-055-DESC", "R2-ISS-055-CUSTOMIZER", "R2-ISS-055-META-WORDING", "R2-ISS-055-CANN"]</t>
        </is>
      </c>
    </row>
    <row r="47" ht="42" customHeight="1">
      <c r="A47" s="3" t="inlineStr">
        <is>
          <t>jeminise.com+custom-flaming-soccer-ball-with-custom-name-comforter-set-a12</t>
        </is>
      </c>
      <c r="B47" s="3" t="inlineStr">
        <is>
          <t>P2</t>
        </is>
      </c>
      <c r="C47" s="3" t="n">
        <v>10</v>
      </c>
      <c r="D47" s="3" t="inlineStr">
        <is>
          <t>PARTIAL</t>
        </is>
      </c>
      <c r="E47" s="7">
        <f>IF(B47="I1",AVERAGEIF('QA_Images'!$A$2:$A$79,A47,'QA_Images'!$T$2:$T$79)/100,IF(D47="FULL",1,IF(D47="PARTIAL",0.5,IF(D47="FAIL",0,""))))</f>
        <v/>
      </c>
      <c r="F47" s="7">
        <f>IF(E47="",0,C47*E47)</f>
        <v/>
      </c>
      <c r="G47" s="7">
        <f>IF(B47="I1",20*AVERAGEIF('QA_Images'!$A$2:$A$79,A47,'QA_Images'!$U$2:$U$79)/100,IF(D47="NOT_CHECKED",0,C47))</f>
        <v/>
      </c>
      <c r="H47" s="3" t="inlineStr">
        <is>
          <t>Đối chiếu specification, variants, components và personalization với product.js live và ảnh gốc.</t>
        </is>
      </c>
      <c r="I47" s="3" t="inlineStr">
        <is>
          <t>["evidence_batch_006_055", "https://jeminise.com/products/custom-flaming-soccer-ball-with-custom-name-comforter-set-a12", "serp_qa_055"]</t>
        </is>
      </c>
      <c r="J47" s="3" t="inlineStr">
        <is>
          <t>["R2-ISS-055-IMG-02", "R2-ISS-055-IMG-05", "R2-ISS-055-IMG-06", "R2-ISS-055-IMG-08", "R2-ISS-055-DESC", "R2-ISS-055-CUSTOMIZER", "R2-ISS-055-META-WORDING", "R2-ISS-055-CANN"]</t>
        </is>
      </c>
    </row>
    <row r="48" ht="42" customHeight="1">
      <c r="A48" s="2" t="inlineStr">
        <is>
          <t>jeminise.com+custom-flaming-soccer-ball-with-custom-name-comforter-set-a12</t>
        </is>
      </c>
      <c r="B48" s="2" t="inlineStr">
        <is>
          <t>K1</t>
        </is>
      </c>
      <c r="C48" s="2" t="n">
        <v>10</v>
      </c>
      <c r="D48" s="2" t="inlineStr">
        <is>
          <t>PARTIAL</t>
        </is>
      </c>
      <c r="E48" s="5">
        <f>IF(B48="I1",AVERAGEIF('QA_Images'!$A$2:$A$79,A48,'QA_Images'!$T$2:$T$79)/100,IF(D48="FULL",1,IF(D48="PARTIAL",0.5,IF(D48="FAIL",0,""))))</f>
        <v/>
      </c>
      <c r="F48" s="5">
        <f>IF(E48="",0,C48*E48)</f>
        <v/>
      </c>
      <c r="G48" s="5">
        <f>IF(B48="I1",20*AVERAGEIF('QA_Images'!$A$2:$A$79,A48,'QA_Images'!$U$2:$U$79)/100,IF(D48="NOT_CHECKED",0,C48))</f>
        <v/>
      </c>
      <c r="H48" s="2" t="inlineStr">
        <is>
          <t>Đối chiếu long-tail với thiết kế riêng và nguy cơ trùng intent trong cụm sản phẩm.</t>
        </is>
      </c>
      <c r="I48" s="2" t="inlineStr">
        <is>
          <t>["evidence_batch_006_055", "https://jeminise.com/products/custom-flaming-soccer-ball-with-custom-name-comforter-set-a12", "serp_qa_055"]</t>
        </is>
      </c>
      <c r="J48" s="2" t="inlineStr">
        <is>
          <t>["R2-ISS-055-IMG-02", "R2-ISS-055-IMG-05", "R2-ISS-055-IMG-06", "R2-ISS-055-IMG-08", "R2-ISS-055-DESC", "R2-ISS-055-CUSTOMIZER", "R2-ISS-055-META-WORDING", "R2-ISS-055-CANN"]</t>
        </is>
      </c>
    </row>
    <row r="49" ht="42" customHeight="1">
      <c r="A49" s="3" t="inlineStr">
        <is>
          <t>jeminise.com+custom-flaming-soccer-ball-with-custom-name-comforter-set-a12</t>
        </is>
      </c>
      <c r="B49" s="3" t="inlineStr">
        <is>
          <t>K2</t>
        </is>
      </c>
      <c r="C49" s="3" t="n">
        <v>5</v>
      </c>
      <c r="D49" s="3" t="inlineStr">
        <is>
          <t>FULL</t>
        </is>
      </c>
      <c r="E49" s="7">
        <f>IF(B49="I1",AVERAGEIF('QA_Images'!$A$2:$A$79,A49,'QA_Images'!$T$2:$T$79)/100,IF(D49="FULL",1,IF(D49="PARTIAL",0.5,IF(D49="FAIL",0,""))))</f>
        <v/>
      </c>
      <c r="F49" s="7">
        <f>IF(E49="",0,C49*E49)</f>
        <v/>
      </c>
      <c r="G49" s="7">
        <f>IF(B49="I1",20*AVERAGEIF('QA_Images'!$A$2:$A$79,A49,'QA_Images'!$U$2:$U$79)/100,IF(D49="NOT_CHECKED",0,C49))</f>
        <v/>
      </c>
      <c r="H49" s="3" t="inlineStr">
        <is>
          <t>Đã đọc primary và comparator SERP theo US commercial intent; không dùng claim volume.</t>
        </is>
      </c>
      <c r="I49" s="3" t="inlineStr">
        <is>
          <t>["evidence_batch_006_055", "https://jeminise.com/products/custom-flaming-soccer-ball-with-custom-name-comforter-set-a12", "serp_qa_055"]</t>
        </is>
      </c>
      <c r="J49" s="3" t="inlineStr">
        <is>
          <t>["R2-ISS-055-IMG-02", "R2-ISS-055-IMG-05", "R2-ISS-055-IMG-06", "R2-ISS-055-IMG-08", "R2-ISS-055-DESC", "R2-ISS-055-CUSTOMIZER", "R2-ISS-055-META-WORDING", "R2-ISS-055-CANN"]</t>
        </is>
      </c>
    </row>
    <row r="50" ht="42" customHeight="1">
      <c r="A50" s="2" t="inlineStr">
        <is>
          <t>jeminise.com+custom-flaming-soccer-ball-with-custom-name-comforter-set-a12</t>
        </is>
      </c>
      <c r="B50" s="2" t="inlineStr">
        <is>
          <t>K3</t>
        </is>
      </c>
      <c r="C50" s="2" t="n">
        <v>5</v>
      </c>
      <c r="D50" s="2" t="inlineStr">
        <is>
          <t>PARTIAL</t>
        </is>
      </c>
      <c r="E50" s="5">
        <f>IF(B50="I1",AVERAGEIF('QA_Images'!$A$2:$A$79,A50,'QA_Images'!$T$2:$T$79)/100,IF(D50="FULL",1,IF(D50="PARTIAL",0.5,IF(D50="FAIL",0,""))))</f>
        <v/>
      </c>
      <c r="F50" s="5">
        <f>IF(E50="",0,C50*E50)</f>
        <v/>
      </c>
      <c r="G50" s="5">
        <f>IF(B50="I1",20*AVERAGEIF('QA_Images'!$A$2:$A$79,A50,'QA_Images'!$U$2:$U$79)/100,IF(D50="NOT_CHECKED",0,C50))</f>
        <v/>
      </c>
      <c r="H50" s="2" t="inlineStr">
        <is>
          <t>Không suy diễn volume; phân biệt SERP_ONLY và HYPOTHESIS_ONLY.</t>
        </is>
      </c>
      <c r="I50" s="2" t="inlineStr">
        <is>
          <t>["evidence_batch_006_055", "https://jeminise.com/products/custom-flaming-soccer-ball-with-custom-name-comforter-set-a12", "serp_qa_055"]</t>
        </is>
      </c>
      <c r="J50" s="2" t="inlineStr">
        <is>
          <t>["R2-ISS-055-IMG-02", "R2-ISS-055-IMG-05", "R2-ISS-055-IMG-06", "R2-ISS-055-IMG-08", "R2-ISS-055-DESC", "R2-ISS-055-CUSTOMIZER", "R2-ISS-055-META-WORDING", "R2-ISS-055-CANN"]</t>
        </is>
      </c>
    </row>
    <row r="51" ht="42" customHeight="1">
      <c r="A51" s="3" t="inlineStr">
        <is>
          <t>jeminise.com+custom-flaming-soccer-ball-with-custom-name-comforter-set-a12</t>
        </is>
      </c>
      <c r="B51" s="3" t="inlineStr">
        <is>
          <t>T1</t>
        </is>
      </c>
      <c r="C51" s="3" t="n">
        <v>10</v>
      </c>
      <c r="D51" s="3" t="inlineStr">
        <is>
          <t>PARTIAL</t>
        </is>
      </c>
      <c r="E51" s="7">
        <f>IF(B51="I1",AVERAGEIF('QA_Images'!$A$2:$A$79,A51,'QA_Images'!$T$2:$T$79)/100,IF(D51="FULL",1,IF(D51="PARTIAL",0.5,IF(D51="FAIL",0,""))))</f>
        <v/>
      </c>
      <c r="F51" s="7">
        <f>IF(E51="",0,C51*E51)</f>
        <v/>
      </c>
      <c r="G51" s="7">
        <f>IF(B51="I1",20*AVERAGEIF('QA_Images'!$A$2:$A$79,A51,'QA_Images'!$U$2:$U$79)/100,IF(D51="NOT_CHECKED",0,C51))</f>
        <v/>
      </c>
      <c r="H51" s="3" t="inlineStr">
        <is>
          <t>Đánh giá SEO title English về độ đúng, tự nhiên, keyword và điểm phân biệt.</t>
        </is>
      </c>
      <c r="I51" s="3" t="inlineStr">
        <is>
          <t>["evidence_batch_006_055", "https://jeminise.com/products/custom-flaming-soccer-ball-with-custom-name-comforter-set-a12", "serp_qa_055"]</t>
        </is>
      </c>
      <c r="J51" s="3" t="inlineStr">
        <is>
          <t>["R2-ISS-055-IMG-02", "R2-ISS-055-IMG-05", "R2-ISS-055-IMG-06", "R2-ISS-055-IMG-08", "R2-ISS-055-DESC", "R2-ISS-055-CUSTOMIZER", "R2-ISS-055-META-WORDING", "R2-ISS-055-CANN"]</t>
        </is>
      </c>
    </row>
    <row r="52" ht="42" customHeight="1">
      <c r="A52" s="2" t="inlineStr">
        <is>
          <t>jeminise.com+custom-flaming-soccer-ball-with-custom-name-comforter-set-a12</t>
        </is>
      </c>
      <c r="B52" s="2" t="inlineStr">
        <is>
          <t>T2</t>
        </is>
      </c>
      <c r="C52" s="2" t="n">
        <v>5</v>
      </c>
      <c r="D52" s="2" t="inlineStr">
        <is>
          <t>PARTIAL</t>
        </is>
      </c>
      <c r="E52" s="5">
        <f>IF(B52="I1",AVERAGEIF('QA_Images'!$A$2:$A$79,A52,'QA_Images'!$T$2:$T$79)/100,IF(D52="FULL",1,IF(D52="PARTIAL",0.5,IF(D52="FAIL",0,""))))</f>
        <v/>
      </c>
      <c r="F52" s="5">
        <f>IF(E52="",0,C52*E52)</f>
        <v/>
      </c>
      <c r="G52" s="5">
        <f>IF(B52="I1",20*AVERAGEIF('QA_Images'!$A$2:$A$79,A52,'QA_Images'!$U$2:$U$79)/100,IF(D52="NOT_CHECKED",0,C52))</f>
        <v/>
      </c>
      <c r="H52" s="2" t="inlineStr">
        <is>
          <t>Đánh giá H1 đề xuất độc lập với SEO title và đối chiếu lỗi ký tự nguồn.</t>
        </is>
      </c>
      <c r="I52" s="2" t="inlineStr">
        <is>
          <t>["evidence_batch_006_055", "https://jeminise.com/products/custom-flaming-soccer-ball-with-custom-name-comforter-set-a12", "serp_qa_055"]</t>
        </is>
      </c>
      <c r="J52" s="2" t="inlineStr">
        <is>
          <t>["R2-ISS-055-IMG-02", "R2-ISS-055-IMG-05", "R2-ISS-055-IMG-06", "R2-ISS-055-IMG-08", "R2-ISS-055-DESC", "R2-ISS-055-CUSTOMIZER", "R2-ISS-055-META-WORDING", "R2-ISS-055-CANN"]</t>
        </is>
      </c>
    </row>
    <row r="53" ht="42" customHeight="1">
      <c r="A53" s="3" t="inlineStr">
        <is>
          <t>jeminise.com+custom-flaming-soccer-ball-with-custom-name-comforter-set-a12</t>
        </is>
      </c>
      <c r="B53" s="3" t="inlineStr">
        <is>
          <t>D1</t>
        </is>
      </c>
      <c r="C53" s="3" t="n">
        <v>5</v>
      </c>
      <c r="D53" s="3" t="inlineStr">
        <is>
          <t>PARTIAL</t>
        </is>
      </c>
      <c r="E53" s="7">
        <f>IF(B53="I1",AVERAGEIF('QA_Images'!$A$2:$A$79,A53,'QA_Images'!$T$2:$T$79)/100,IF(D53="FULL",1,IF(D53="PARTIAL",0.5,IF(D53="FAIL",0,""))))</f>
        <v/>
      </c>
      <c r="F53" s="7">
        <f>IF(E53="",0,C53*E53)</f>
        <v/>
      </c>
      <c r="G53" s="7">
        <f>IF(B53="I1",20*AVERAGEIF('QA_Images'!$A$2:$A$79,A53,'QA_Images'!$U$2:$U$79)/100,IF(D53="NOT_CHECKED",0,C53))</f>
        <v/>
      </c>
      <c r="H53" s="3" t="inlineStr">
        <is>
          <t>Đánh giá meta description về tính cụ thể và căn cứ claim.</t>
        </is>
      </c>
      <c r="I53" s="3" t="inlineStr">
        <is>
          <t>["evidence_batch_006_055", "https://jeminise.com/products/custom-flaming-soccer-ball-with-custom-name-comforter-set-a12", "serp_qa_055"]</t>
        </is>
      </c>
      <c r="J53" s="3" t="inlineStr">
        <is>
          <t>["R2-ISS-055-IMG-02", "R2-ISS-055-IMG-05", "R2-ISS-055-IMG-06", "R2-ISS-055-IMG-08", "R2-ISS-055-DESC", "R2-ISS-055-CUSTOMIZER", "R2-ISS-055-META-WORDING", "R2-ISS-055-CANN"]</t>
        </is>
      </c>
    </row>
    <row r="54" ht="42" customHeight="1">
      <c r="A54" s="2" t="inlineStr">
        <is>
          <t>jeminise.com+custom-flaming-soccer-ball-with-custom-name-comforter-set-a12</t>
        </is>
      </c>
      <c r="B54" s="2" t="inlineStr">
        <is>
          <t>D2</t>
        </is>
      </c>
      <c r="C54" s="2" t="n">
        <v>10</v>
      </c>
      <c r="D54" s="2" t="inlineStr">
        <is>
          <t>PARTIAL</t>
        </is>
      </c>
      <c r="E54" s="5">
        <f>IF(B54="I1",AVERAGEIF('QA_Images'!$A$2:$A$79,A54,'QA_Images'!$T$2:$T$79)/100,IF(D54="FULL",1,IF(D54="PARTIAL",0.5,IF(D54="FAIL",0,""))))</f>
        <v/>
      </c>
      <c r="F54" s="5">
        <f>IF(E54="",0,C54*E54)</f>
        <v/>
      </c>
      <c r="G54" s="5">
        <f>IF(B54="I1",20*AVERAGEIF('QA_Images'!$A$2:$A$79,A54,'QA_Images'!$U$2:$U$79)/100,IF(D54="NOT_CHECKED",0,C54))</f>
        <v/>
      </c>
      <c r="H54" s="2" t="inlineStr">
        <is>
          <t>Description SET có HTML đầy đủ nhưng chứa câu nội bộ 'This draft should be reviewed...' và dữ liệu nguồn thô/mâu thuẫn; chưa phải nội dung publish-ready.</t>
        </is>
      </c>
      <c r="I54" s="2" t="inlineStr">
        <is>
          <t>["evidence_batch_006_055", "https://jeminise.com/products/custom-flaming-soccer-ball-with-custom-name-comforter-set-a12", "serp_qa_055"]</t>
        </is>
      </c>
      <c r="J54" s="2" t="inlineStr">
        <is>
          <t>["R2-ISS-055-IMG-02", "R2-ISS-055-IMG-05", "R2-ISS-055-IMG-06", "R2-ISS-055-IMG-08", "R2-ISS-055-DESC", "R2-ISS-055-CUSTOMIZER", "R2-ISS-055-META-WORDING", "R2-ISS-055-CANN"]</t>
        </is>
      </c>
    </row>
    <row r="55" ht="42" customHeight="1">
      <c r="A55" s="3" t="inlineStr">
        <is>
          <t>jeminise.com+custom-flaming-soccer-ball-with-custom-name-comforter-set-a12</t>
        </is>
      </c>
      <c r="B55" s="3" t="inlineStr">
        <is>
          <t>I1</t>
        </is>
      </c>
      <c r="C55" s="3" t="n">
        <v>20</v>
      </c>
      <c r="D55" s="3" t="inlineStr">
        <is>
          <t>DERIVED</t>
        </is>
      </c>
      <c r="E55" s="7">
        <f>IF(B55="I1",AVERAGEIF('QA_Images'!$A$2:$A$79,A55,'QA_Images'!$T$2:$T$79)/100,IF(D55="FULL",1,IF(D55="PARTIAL",0.5,IF(D55="FAIL",0,""))))</f>
        <v/>
      </c>
      <c r="F55" s="7">
        <f>IF(E55="",0,C55*E55)</f>
        <v/>
      </c>
      <c r="G55" s="7">
        <f>IF(B55="I1",20*AVERAGEIF('QA_Images'!$A$2:$A$79,A55,'QA_Images'!$U$2:$U$79)/100,IF(D55="NOT_CHECKED",0,C55))</f>
        <v/>
      </c>
      <c r="H55" s="3" t="inlineStr">
        <is>
          <t>Tính từ trung bình 8 ảnh: 75.0000/100.</t>
        </is>
      </c>
      <c r="I55" s="3" t="inlineStr">
        <is>
          <t>["evidence_batch_006_055", "https://jeminise.com/products/custom-flaming-soccer-ball-with-custom-name-comforter-set-a12", "serp_qa_055"]</t>
        </is>
      </c>
      <c r="J55" s="3" t="inlineStr">
        <is>
          <t>["R2-ISS-055-IMG-02", "R2-ISS-055-IMG-05", "R2-ISS-055-IMG-06", "R2-ISS-055-IMG-08", "R2-ISS-055-DESC", "R2-ISS-055-CUSTOMIZER", "R2-ISS-055-META-WORDING", "R2-ISS-055-CANN"]</t>
        </is>
      </c>
    </row>
    <row r="56" ht="42" customHeight="1">
      <c r="A56" s="2" t="inlineStr">
        <is>
          <t>jeminise.com+custom-flaming-soccer-ball-with-custom-name-comforter-set-a12</t>
        </is>
      </c>
      <c r="B56" s="2" t="inlineStr">
        <is>
          <t>E1</t>
        </is>
      </c>
      <c r="C56" s="2" t="n">
        <v>5</v>
      </c>
      <c r="D56" s="2" t="inlineStr">
        <is>
          <t>PARTIAL</t>
        </is>
      </c>
      <c r="E56" s="5">
        <f>IF(B56="I1",AVERAGEIF('QA_Images'!$A$2:$A$79,A56,'QA_Images'!$T$2:$T$79)/100,IF(D56="FULL",1,IF(D56="PARTIAL",0.5,IF(D56="FAIL",0,""))))</f>
        <v/>
      </c>
      <c r="F56" s="5">
        <f>IF(E56="",0,C56*E56)</f>
        <v/>
      </c>
      <c r="G56" s="5">
        <f>IF(B56="I1",20*AVERAGEIF('QA_Images'!$A$2:$A$79,A56,'QA_Images'!$U$2:$U$79)/100,IF(D56="NOT_CHECKED",0,C56))</f>
        <v/>
      </c>
      <c r="H56" s="2" t="inlineStr">
        <is>
          <t>Kiểm tra chuỗi evidence và giới hạn do thiếu Shopify admin export.</t>
        </is>
      </c>
      <c r="I56" s="2" t="inlineStr">
        <is>
          <t>["evidence_batch_006_055", "https://jeminise.com/products/custom-flaming-soccer-ball-with-custom-name-comforter-set-a12", "serp_qa_055"]</t>
        </is>
      </c>
      <c r="J56" s="2" t="inlineStr">
        <is>
          <t>["R2-ISS-055-IMG-02", "R2-ISS-055-IMG-05", "R2-ISS-055-IMG-06", "R2-ISS-055-IMG-08", "R2-ISS-055-DESC", "R2-ISS-055-CUSTOMIZER", "R2-ISS-055-META-WORDING", "R2-ISS-055-CANN"]</t>
        </is>
      </c>
    </row>
    <row r="57" ht="42" customHeight="1">
      <c r="A57" s="3" t="inlineStr">
        <is>
          <t>jeminise.com+custom-flaming-soccer-ball-with-name-comforter-set-machine-washable</t>
        </is>
      </c>
      <c r="B57" s="3" t="inlineStr">
        <is>
          <t>P1</t>
        </is>
      </c>
      <c r="C57" s="3" t="n">
        <v>15</v>
      </c>
      <c r="D57" s="3" t="inlineStr">
        <is>
          <t>FULL</t>
        </is>
      </c>
      <c r="E57" s="7">
        <f>IF(B57="I1",AVERAGEIF('QA_Images'!$A$2:$A$79,A57,'QA_Images'!$T$2:$T$79)/100,IF(D57="FULL",1,IF(D57="PARTIAL",0.5,IF(D57="FAIL",0,""))))</f>
        <v/>
      </c>
      <c r="F57" s="7">
        <f>IF(E57="",0,C57*E57)</f>
        <v/>
      </c>
      <c r="G57" s="7">
        <f>IF(B57="I1",20*AVERAGEIF('QA_Images'!$A$2:$A$79,A57,'QA_Images'!$U$2:$U$79)/100,IF(D57="NOT_CHECKED",0,C57))</f>
        <v/>
      </c>
      <c r="H57" s="3" t="inlineStr">
        <is>
          <t>Đối chiếu loại sản phẩm, thiết kế và màu với product JSON, H1 live và toàn bộ gallery.</t>
        </is>
      </c>
      <c r="I57" s="3" t="inlineStr">
        <is>
          <t>["evidence_batch_006_056", "https://jeminise.com/products/custom-flaming-soccer-ball-with-name-comforter-set-machine-washable", "serp_qa_056"]</t>
        </is>
      </c>
      <c r="J57" s="3" t="inlineStr">
        <is>
          <t>["R2-ISS-056-IMG-02", "R2-ISS-056-IMG-03", "R2-ISS-056-IMG-05", "R2-ISS-056-IMG-06", "R2-ISS-056-IMG-07", "R2-ISS-056-IMG-08", "R2-ISS-056-DESC", "R2-ISS-056-CUSTOMIZER", "R2-ISS-056-META-WORDING", "R2-ISS-056-CANN"]</t>
        </is>
      </c>
    </row>
    <row r="58" ht="42" customHeight="1">
      <c r="A58" s="2" t="inlineStr">
        <is>
          <t>jeminise.com+custom-flaming-soccer-ball-with-name-comforter-set-machine-washable</t>
        </is>
      </c>
      <c r="B58" s="2" t="inlineStr">
        <is>
          <t>P2</t>
        </is>
      </c>
      <c r="C58" s="2" t="n">
        <v>10</v>
      </c>
      <c r="D58" s="2" t="inlineStr">
        <is>
          <t>PARTIAL</t>
        </is>
      </c>
      <c r="E58" s="5">
        <f>IF(B58="I1",AVERAGEIF('QA_Images'!$A$2:$A$79,A58,'QA_Images'!$T$2:$T$79)/100,IF(D58="FULL",1,IF(D58="PARTIAL",0.5,IF(D58="FAIL",0,""))))</f>
        <v/>
      </c>
      <c r="F58" s="5">
        <f>IF(E58="",0,C58*E58)</f>
        <v/>
      </c>
      <c r="G58" s="5">
        <f>IF(B58="I1",20*AVERAGEIF('QA_Images'!$A$2:$A$79,A58,'QA_Images'!$U$2:$U$79)/100,IF(D58="NOT_CHECKED",0,C58))</f>
        <v/>
      </c>
      <c r="H58" s="2" t="inlineStr">
        <is>
          <t>Đối chiếu specification, variants, components và personalization với product.js live và ảnh gốc.</t>
        </is>
      </c>
      <c r="I58" s="2" t="inlineStr">
        <is>
          <t>["evidence_batch_006_056", "https://jeminise.com/products/custom-flaming-soccer-ball-with-name-comforter-set-machine-washable", "serp_qa_056"]</t>
        </is>
      </c>
      <c r="J58" s="2" t="inlineStr">
        <is>
          <t>["R2-ISS-056-IMG-02", "R2-ISS-056-IMG-03", "R2-ISS-056-IMG-05", "R2-ISS-056-IMG-06", "R2-ISS-056-IMG-07", "R2-ISS-056-IMG-08", "R2-ISS-056-DESC", "R2-ISS-056-CUSTOMIZER", "R2-ISS-056-META-WORDING", "R2-ISS-056-CANN"]</t>
        </is>
      </c>
    </row>
    <row r="59" ht="42" customHeight="1">
      <c r="A59" s="3" t="inlineStr">
        <is>
          <t>jeminise.com+custom-flaming-soccer-ball-with-name-comforter-set-machine-washable</t>
        </is>
      </c>
      <c r="B59" s="3" t="inlineStr">
        <is>
          <t>K1</t>
        </is>
      </c>
      <c r="C59" s="3" t="n">
        <v>10</v>
      </c>
      <c r="D59" s="3" t="inlineStr">
        <is>
          <t>PARTIAL</t>
        </is>
      </c>
      <c r="E59" s="7">
        <f>IF(B59="I1",AVERAGEIF('QA_Images'!$A$2:$A$79,A59,'QA_Images'!$T$2:$T$79)/100,IF(D59="FULL",1,IF(D59="PARTIAL",0.5,IF(D59="FAIL",0,""))))</f>
        <v/>
      </c>
      <c r="F59" s="7">
        <f>IF(E59="",0,C59*E59)</f>
        <v/>
      </c>
      <c r="G59" s="7">
        <f>IF(B59="I1",20*AVERAGEIF('QA_Images'!$A$2:$A$79,A59,'QA_Images'!$U$2:$U$79)/100,IF(D59="NOT_CHECKED",0,C59))</f>
        <v/>
      </c>
      <c r="H59" s="3" t="inlineStr">
        <is>
          <t>Đối chiếu long-tail với thiết kế riêng và nguy cơ trùng intent trong cụm sản phẩm.</t>
        </is>
      </c>
      <c r="I59" s="3" t="inlineStr">
        <is>
          <t>["evidence_batch_006_056", "https://jeminise.com/products/custom-flaming-soccer-ball-with-name-comforter-set-machine-washable", "serp_qa_056"]</t>
        </is>
      </c>
      <c r="J59" s="3" t="inlineStr">
        <is>
          <t>["R2-ISS-056-IMG-02", "R2-ISS-056-IMG-03", "R2-ISS-056-IMG-05", "R2-ISS-056-IMG-06", "R2-ISS-056-IMG-07", "R2-ISS-056-IMG-08", "R2-ISS-056-DESC", "R2-ISS-056-CUSTOMIZER", "R2-ISS-056-META-WORDING", "R2-ISS-056-CANN"]</t>
        </is>
      </c>
    </row>
    <row r="60" ht="42" customHeight="1">
      <c r="A60" s="2" t="inlineStr">
        <is>
          <t>jeminise.com+custom-flaming-soccer-ball-with-name-comforter-set-machine-washable</t>
        </is>
      </c>
      <c r="B60" s="2" t="inlineStr">
        <is>
          <t>K2</t>
        </is>
      </c>
      <c r="C60" s="2" t="n">
        <v>5</v>
      </c>
      <c r="D60" s="2" t="inlineStr">
        <is>
          <t>FULL</t>
        </is>
      </c>
      <c r="E60" s="5">
        <f>IF(B60="I1",AVERAGEIF('QA_Images'!$A$2:$A$79,A60,'QA_Images'!$T$2:$T$79)/100,IF(D60="FULL",1,IF(D60="PARTIAL",0.5,IF(D60="FAIL",0,""))))</f>
        <v/>
      </c>
      <c r="F60" s="5">
        <f>IF(E60="",0,C60*E60)</f>
        <v/>
      </c>
      <c r="G60" s="5">
        <f>IF(B60="I1",20*AVERAGEIF('QA_Images'!$A$2:$A$79,A60,'QA_Images'!$U$2:$U$79)/100,IF(D60="NOT_CHECKED",0,C60))</f>
        <v/>
      </c>
      <c r="H60" s="2" t="inlineStr">
        <is>
          <t>Đã đọc primary và comparator SERP theo US commercial intent; không dùng claim volume.</t>
        </is>
      </c>
      <c r="I60" s="2" t="inlineStr">
        <is>
          <t>["evidence_batch_006_056", "https://jeminise.com/products/custom-flaming-soccer-ball-with-name-comforter-set-machine-washable", "serp_qa_056"]</t>
        </is>
      </c>
      <c r="J60" s="2" t="inlineStr">
        <is>
          <t>["R2-ISS-056-IMG-02", "R2-ISS-056-IMG-03", "R2-ISS-056-IMG-05", "R2-ISS-056-IMG-06", "R2-ISS-056-IMG-07", "R2-ISS-056-IMG-08", "R2-ISS-056-DESC", "R2-ISS-056-CUSTOMIZER", "R2-ISS-056-META-WORDING", "R2-ISS-056-CANN"]</t>
        </is>
      </c>
    </row>
    <row r="61" ht="42" customHeight="1">
      <c r="A61" s="3" t="inlineStr">
        <is>
          <t>jeminise.com+custom-flaming-soccer-ball-with-name-comforter-set-machine-washable</t>
        </is>
      </c>
      <c r="B61" s="3" t="inlineStr">
        <is>
          <t>K3</t>
        </is>
      </c>
      <c r="C61" s="3" t="n">
        <v>5</v>
      </c>
      <c r="D61" s="3" t="inlineStr">
        <is>
          <t>PARTIAL</t>
        </is>
      </c>
      <c r="E61" s="7">
        <f>IF(B61="I1",AVERAGEIF('QA_Images'!$A$2:$A$79,A61,'QA_Images'!$T$2:$T$79)/100,IF(D61="FULL",1,IF(D61="PARTIAL",0.5,IF(D61="FAIL",0,""))))</f>
        <v/>
      </c>
      <c r="F61" s="7">
        <f>IF(E61="",0,C61*E61)</f>
        <v/>
      </c>
      <c r="G61" s="7">
        <f>IF(B61="I1",20*AVERAGEIF('QA_Images'!$A$2:$A$79,A61,'QA_Images'!$U$2:$U$79)/100,IF(D61="NOT_CHECKED",0,C61))</f>
        <v/>
      </c>
      <c r="H61" s="3" t="inlineStr">
        <is>
          <t>Không suy diễn volume; phân biệt SERP_ONLY và HYPOTHESIS_ONLY.</t>
        </is>
      </c>
      <c r="I61" s="3" t="inlineStr">
        <is>
          <t>["evidence_batch_006_056", "https://jeminise.com/products/custom-flaming-soccer-ball-with-name-comforter-set-machine-washable", "serp_qa_056"]</t>
        </is>
      </c>
      <c r="J61" s="3" t="inlineStr">
        <is>
          <t>["R2-ISS-056-IMG-02", "R2-ISS-056-IMG-03", "R2-ISS-056-IMG-05", "R2-ISS-056-IMG-06", "R2-ISS-056-IMG-07", "R2-ISS-056-IMG-08", "R2-ISS-056-DESC", "R2-ISS-056-CUSTOMIZER", "R2-ISS-056-META-WORDING", "R2-ISS-056-CANN"]</t>
        </is>
      </c>
    </row>
    <row r="62" ht="42" customHeight="1">
      <c r="A62" s="2" t="inlineStr">
        <is>
          <t>jeminise.com+custom-flaming-soccer-ball-with-name-comforter-set-machine-washable</t>
        </is>
      </c>
      <c r="B62" s="2" t="inlineStr">
        <is>
          <t>T1</t>
        </is>
      </c>
      <c r="C62" s="2" t="n">
        <v>10</v>
      </c>
      <c r="D62" s="2" t="inlineStr">
        <is>
          <t>PARTIAL</t>
        </is>
      </c>
      <c r="E62" s="5">
        <f>IF(B62="I1",AVERAGEIF('QA_Images'!$A$2:$A$79,A62,'QA_Images'!$T$2:$T$79)/100,IF(D62="FULL",1,IF(D62="PARTIAL",0.5,IF(D62="FAIL",0,""))))</f>
        <v/>
      </c>
      <c r="F62" s="5">
        <f>IF(E62="",0,C62*E62)</f>
        <v/>
      </c>
      <c r="G62" s="5">
        <f>IF(B62="I1",20*AVERAGEIF('QA_Images'!$A$2:$A$79,A62,'QA_Images'!$U$2:$U$79)/100,IF(D62="NOT_CHECKED",0,C62))</f>
        <v/>
      </c>
      <c r="H62" s="2" t="inlineStr">
        <is>
          <t>Đánh giá SEO title English về độ đúng, tự nhiên, keyword và điểm phân biệt.</t>
        </is>
      </c>
      <c r="I62" s="2" t="inlineStr">
        <is>
          <t>["evidence_batch_006_056", "https://jeminise.com/products/custom-flaming-soccer-ball-with-name-comforter-set-machine-washable", "serp_qa_056"]</t>
        </is>
      </c>
      <c r="J62" s="2" t="inlineStr">
        <is>
          <t>["R2-ISS-056-IMG-02", "R2-ISS-056-IMG-03", "R2-ISS-056-IMG-05", "R2-ISS-056-IMG-06", "R2-ISS-056-IMG-07", "R2-ISS-056-IMG-08", "R2-ISS-056-DESC", "R2-ISS-056-CUSTOMIZER", "R2-ISS-056-META-WORDING", "R2-ISS-056-CANN"]</t>
        </is>
      </c>
    </row>
    <row r="63" ht="42" customHeight="1">
      <c r="A63" s="3" t="inlineStr">
        <is>
          <t>jeminise.com+custom-flaming-soccer-ball-with-name-comforter-set-machine-washable</t>
        </is>
      </c>
      <c r="B63" s="3" t="inlineStr">
        <is>
          <t>T2</t>
        </is>
      </c>
      <c r="C63" s="3" t="n">
        <v>5</v>
      </c>
      <c r="D63" s="3" t="inlineStr">
        <is>
          <t>PARTIAL</t>
        </is>
      </c>
      <c r="E63" s="7">
        <f>IF(B63="I1",AVERAGEIF('QA_Images'!$A$2:$A$79,A63,'QA_Images'!$T$2:$T$79)/100,IF(D63="FULL",1,IF(D63="PARTIAL",0.5,IF(D63="FAIL",0,""))))</f>
        <v/>
      </c>
      <c r="F63" s="7">
        <f>IF(E63="",0,C63*E63)</f>
        <v/>
      </c>
      <c r="G63" s="7">
        <f>IF(B63="I1",20*AVERAGEIF('QA_Images'!$A$2:$A$79,A63,'QA_Images'!$U$2:$U$79)/100,IF(D63="NOT_CHECKED",0,C63))</f>
        <v/>
      </c>
      <c r="H63" s="3" t="inlineStr">
        <is>
          <t>Đánh giá H1 đề xuất độc lập với SEO title và đối chiếu lỗi ký tự nguồn.</t>
        </is>
      </c>
      <c r="I63" s="3" t="inlineStr">
        <is>
          <t>["evidence_batch_006_056", "https://jeminise.com/products/custom-flaming-soccer-ball-with-name-comforter-set-machine-washable", "serp_qa_056"]</t>
        </is>
      </c>
      <c r="J63" s="3" t="inlineStr">
        <is>
          <t>["R2-ISS-056-IMG-02", "R2-ISS-056-IMG-03", "R2-ISS-056-IMG-05", "R2-ISS-056-IMG-06", "R2-ISS-056-IMG-07", "R2-ISS-056-IMG-08", "R2-ISS-056-DESC", "R2-ISS-056-CUSTOMIZER", "R2-ISS-056-META-WORDING", "R2-ISS-056-CANN"]</t>
        </is>
      </c>
    </row>
    <row r="64" ht="42" customHeight="1">
      <c r="A64" s="2" t="inlineStr">
        <is>
          <t>jeminise.com+custom-flaming-soccer-ball-with-name-comforter-set-machine-washable</t>
        </is>
      </c>
      <c r="B64" s="2" t="inlineStr">
        <is>
          <t>D1</t>
        </is>
      </c>
      <c r="C64" s="2" t="n">
        <v>5</v>
      </c>
      <c r="D64" s="2" t="inlineStr">
        <is>
          <t>PARTIAL</t>
        </is>
      </c>
      <c r="E64" s="5">
        <f>IF(B64="I1",AVERAGEIF('QA_Images'!$A$2:$A$79,A64,'QA_Images'!$T$2:$T$79)/100,IF(D64="FULL",1,IF(D64="PARTIAL",0.5,IF(D64="FAIL",0,""))))</f>
        <v/>
      </c>
      <c r="F64" s="5">
        <f>IF(E64="",0,C64*E64)</f>
        <v/>
      </c>
      <c r="G64" s="5">
        <f>IF(B64="I1",20*AVERAGEIF('QA_Images'!$A$2:$A$79,A64,'QA_Images'!$U$2:$U$79)/100,IF(D64="NOT_CHECKED",0,C64))</f>
        <v/>
      </c>
      <c r="H64" s="2" t="inlineStr">
        <is>
          <t>Đánh giá meta description về tính cụ thể và căn cứ claim.</t>
        </is>
      </c>
      <c r="I64" s="2" t="inlineStr">
        <is>
          <t>["evidence_batch_006_056", "https://jeminise.com/products/custom-flaming-soccer-ball-with-name-comforter-set-machine-washable", "serp_qa_056"]</t>
        </is>
      </c>
      <c r="J64" s="2" t="inlineStr">
        <is>
          <t>["R2-ISS-056-IMG-02", "R2-ISS-056-IMG-03", "R2-ISS-056-IMG-05", "R2-ISS-056-IMG-06", "R2-ISS-056-IMG-07", "R2-ISS-056-IMG-08", "R2-ISS-056-DESC", "R2-ISS-056-CUSTOMIZER", "R2-ISS-056-META-WORDING", "R2-ISS-056-CANN"]</t>
        </is>
      </c>
    </row>
    <row r="65" ht="42" customHeight="1">
      <c r="A65" s="3" t="inlineStr">
        <is>
          <t>jeminise.com+custom-flaming-soccer-ball-with-name-comforter-set-machine-washable</t>
        </is>
      </c>
      <c r="B65" s="3" t="inlineStr">
        <is>
          <t>D2</t>
        </is>
      </c>
      <c r="C65" s="3" t="n">
        <v>10</v>
      </c>
      <c r="D65" s="3" t="inlineStr">
        <is>
          <t>PARTIAL</t>
        </is>
      </c>
      <c r="E65" s="7">
        <f>IF(B65="I1",AVERAGEIF('QA_Images'!$A$2:$A$79,A65,'QA_Images'!$T$2:$T$79)/100,IF(D65="FULL",1,IF(D65="PARTIAL",0.5,IF(D65="FAIL",0,""))))</f>
        <v/>
      </c>
      <c r="F65" s="7">
        <f>IF(E65="",0,C65*E65)</f>
        <v/>
      </c>
      <c r="G65" s="7">
        <f>IF(B65="I1",20*AVERAGEIF('QA_Images'!$A$2:$A$79,A65,'QA_Images'!$U$2:$U$79)/100,IF(D65="NOT_CHECKED",0,C65))</f>
        <v/>
      </c>
      <c r="H65" s="3" t="inlineStr">
        <is>
          <t>Description SET có HTML đầy đủ nhưng chứa câu nội bộ 'This draft should be reviewed...' và dữ liệu nguồn thô/mâu thuẫn; chưa phải nội dung publish-ready.</t>
        </is>
      </c>
      <c r="I65" s="3" t="inlineStr">
        <is>
          <t>["evidence_batch_006_056", "https://jeminise.com/products/custom-flaming-soccer-ball-with-name-comforter-set-machine-washable", "serp_qa_056"]</t>
        </is>
      </c>
      <c r="J65" s="3" t="inlineStr">
        <is>
          <t>["R2-ISS-056-IMG-02", "R2-ISS-056-IMG-03", "R2-ISS-056-IMG-05", "R2-ISS-056-IMG-06", "R2-ISS-056-IMG-07", "R2-ISS-056-IMG-08", "R2-ISS-056-DESC", "R2-ISS-056-CUSTOMIZER", "R2-ISS-056-META-WORDING", "R2-ISS-056-CANN"]</t>
        </is>
      </c>
    </row>
    <row r="66" ht="42" customHeight="1">
      <c r="A66" s="2" t="inlineStr">
        <is>
          <t>jeminise.com+custom-flaming-soccer-ball-with-name-comforter-set-machine-washable</t>
        </is>
      </c>
      <c r="B66" s="2" t="inlineStr">
        <is>
          <t>I1</t>
        </is>
      </c>
      <c r="C66" s="2" t="n">
        <v>20</v>
      </c>
      <c r="D66" s="2" t="inlineStr">
        <is>
          <t>DERIVED</t>
        </is>
      </c>
      <c r="E66" s="5">
        <f>IF(B66="I1",AVERAGEIF('QA_Images'!$A$2:$A$79,A66,'QA_Images'!$T$2:$T$79)/100,IF(D66="FULL",1,IF(D66="PARTIAL",0.5,IF(D66="FAIL",0,""))))</f>
        <v/>
      </c>
      <c r="F66" s="5">
        <f>IF(E66="",0,C66*E66)</f>
        <v/>
      </c>
      <c r="G66" s="5">
        <f>IF(B66="I1",20*AVERAGEIF('QA_Images'!$A$2:$A$79,A66,'QA_Images'!$U$2:$U$79)/100,IF(D66="NOT_CHECKED",0,C66))</f>
        <v/>
      </c>
      <c r="H66" s="2" t="inlineStr">
        <is>
          <t>Tính từ trung bình 8 ảnh: 62.5000/100.</t>
        </is>
      </c>
      <c r="I66" s="2" t="inlineStr">
        <is>
          <t>["evidence_batch_006_056", "https://jeminise.com/products/custom-flaming-soccer-ball-with-name-comforter-set-machine-washable", "serp_qa_056"]</t>
        </is>
      </c>
      <c r="J66" s="2" t="inlineStr">
        <is>
          <t>["R2-ISS-056-IMG-02", "R2-ISS-056-IMG-03", "R2-ISS-056-IMG-05", "R2-ISS-056-IMG-06", "R2-ISS-056-IMG-07", "R2-ISS-056-IMG-08", "R2-ISS-056-DESC", "R2-ISS-056-CUSTOMIZER", "R2-ISS-056-META-WORDING", "R2-ISS-056-CANN"]</t>
        </is>
      </c>
    </row>
    <row r="67" ht="42" customHeight="1">
      <c r="A67" s="3" t="inlineStr">
        <is>
          <t>jeminise.com+custom-flaming-soccer-ball-with-name-comforter-set-machine-washable</t>
        </is>
      </c>
      <c r="B67" s="3" t="inlineStr">
        <is>
          <t>E1</t>
        </is>
      </c>
      <c r="C67" s="3" t="n">
        <v>5</v>
      </c>
      <c r="D67" s="3" t="inlineStr">
        <is>
          <t>PARTIAL</t>
        </is>
      </c>
      <c r="E67" s="7">
        <f>IF(B67="I1",AVERAGEIF('QA_Images'!$A$2:$A$79,A67,'QA_Images'!$T$2:$T$79)/100,IF(D67="FULL",1,IF(D67="PARTIAL",0.5,IF(D67="FAIL",0,""))))</f>
        <v/>
      </c>
      <c r="F67" s="7">
        <f>IF(E67="",0,C67*E67)</f>
        <v/>
      </c>
      <c r="G67" s="7">
        <f>IF(B67="I1",20*AVERAGEIF('QA_Images'!$A$2:$A$79,A67,'QA_Images'!$U$2:$U$79)/100,IF(D67="NOT_CHECKED",0,C67))</f>
        <v/>
      </c>
      <c r="H67" s="3" t="inlineStr">
        <is>
          <t>Kiểm tra chuỗi evidence và giới hạn do thiếu Shopify admin export.</t>
        </is>
      </c>
      <c r="I67" s="3" t="inlineStr">
        <is>
          <t>["evidence_batch_006_056", "https://jeminise.com/products/custom-flaming-soccer-ball-with-name-comforter-set-machine-washable", "serp_qa_056"]</t>
        </is>
      </c>
      <c r="J67" s="3" t="inlineStr">
        <is>
          <t>["R2-ISS-056-IMG-02", "R2-ISS-056-IMG-03", "R2-ISS-056-IMG-05", "R2-ISS-056-IMG-06", "R2-ISS-056-IMG-07", "R2-ISS-056-IMG-08", "R2-ISS-056-DESC", "R2-ISS-056-CUSTOMIZER", "R2-ISS-056-META-WORDING", "R2-ISS-056-CANN"]</t>
        </is>
      </c>
    </row>
    <row r="68" ht="42" customHeight="1">
      <c r="A68" s="2" t="inlineStr">
        <is>
          <t>jeminise.com+custom-floral-butterfly-inspirational-blanket-machine-wash-design-8</t>
        </is>
      </c>
      <c r="B68" s="2" t="inlineStr">
        <is>
          <t>P1</t>
        </is>
      </c>
      <c r="C68" s="2" t="n">
        <v>15</v>
      </c>
      <c r="D68" s="2" t="inlineStr">
        <is>
          <t>FULL</t>
        </is>
      </c>
      <c r="E68" s="5">
        <f>IF(B68="I1",AVERAGEIF('QA_Images'!$A$2:$A$79,A68,'QA_Images'!$T$2:$T$79)/100,IF(D68="FULL",1,IF(D68="PARTIAL",0.5,IF(D68="FAIL",0,""))))</f>
        <v/>
      </c>
      <c r="F68" s="5">
        <f>IF(E68="",0,C68*E68)</f>
        <v/>
      </c>
      <c r="G68" s="5">
        <f>IF(B68="I1",20*AVERAGEIF('QA_Images'!$A$2:$A$79,A68,'QA_Images'!$U$2:$U$79)/100,IF(D68="NOT_CHECKED",0,C68))</f>
        <v/>
      </c>
      <c r="H68" s="2" t="inlineStr">
        <is>
          <t>Đối chiếu loại sản phẩm, thiết kế và màu với product JSON, H1 live và toàn bộ gallery.</t>
        </is>
      </c>
      <c r="I68" s="2" t="inlineStr">
        <is>
          <t>["evidence_batch_006_057", "https://jeminise.com/products/custom-floral-butterfly-inspirational-blanket-machine-wash-design-8", "serp_qa_057"]</t>
        </is>
      </c>
      <c r="J68" s="2" t="inlineStr">
        <is>
          <t>["R2-ISS-057-DESC", "R2-ISS-057-CUSTOMIZER", "R2-ISS-057-META-WORDING", "R2-ISS-057-ALTGEN"]</t>
        </is>
      </c>
    </row>
    <row r="69" ht="42" customHeight="1">
      <c r="A69" s="3" t="inlineStr">
        <is>
          <t>jeminise.com+custom-floral-butterfly-inspirational-blanket-machine-wash-design-8</t>
        </is>
      </c>
      <c r="B69" s="3" t="inlineStr">
        <is>
          <t>P2</t>
        </is>
      </c>
      <c r="C69" s="3" t="n">
        <v>10</v>
      </c>
      <c r="D69" s="3" t="inlineStr">
        <is>
          <t>PARTIAL</t>
        </is>
      </c>
      <c r="E69" s="7">
        <f>IF(B69="I1",AVERAGEIF('QA_Images'!$A$2:$A$79,A69,'QA_Images'!$T$2:$T$79)/100,IF(D69="FULL",1,IF(D69="PARTIAL",0.5,IF(D69="FAIL",0,""))))</f>
        <v/>
      </c>
      <c r="F69" s="7">
        <f>IF(E69="",0,C69*E69)</f>
        <v/>
      </c>
      <c r="G69" s="7">
        <f>IF(B69="I1",20*AVERAGEIF('QA_Images'!$A$2:$A$79,A69,'QA_Images'!$U$2:$U$79)/100,IF(D69="NOT_CHECKED",0,C69))</f>
        <v/>
      </c>
      <c r="H69" s="3" t="inlineStr">
        <is>
          <t>Đối chiếu specification, variants, components và personalization với product.js live và ảnh gốc.</t>
        </is>
      </c>
      <c r="I69" s="3" t="inlineStr">
        <is>
          <t>["evidence_batch_006_057", "https://jeminise.com/products/custom-floral-butterfly-inspirational-blanket-machine-wash-design-8", "serp_qa_057"]</t>
        </is>
      </c>
      <c r="J69" s="3" t="inlineStr">
        <is>
          <t>["R2-ISS-057-DESC", "R2-ISS-057-CUSTOMIZER", "R2-ISS-057-META-WORDING", "R2-ISS-057-ALTGEN"]</t>
        </is>
      </c>
    </row>
    <row r="70" ht="42" customHeight="1">
      <c r="A70" s="2" t="inlineStr">
        <is>
          <t>jeminise.com+custom-floral-butterfly-inspirational-blanket-machine-wash-design-8</t>
        </is>
      </c>
      <c r="B70" s="2" t="inlineStr">
        <is>
          <t>K1</t>
        </is>
      </c>
      <c r="C70" s="2" t="n">
        <v>10</v>
      </c>
      <c r="D70" s="2" t="inlineStr">
        <is>
          <t>FULL</t>
        </is>
      </c>
      <c r="E70" s="5">
        <f>IF(B70="I1",AVERAGEIF('QA_Images'!$A$2:$A$79,A70,'QA_Images'!$T$2:$T$79)/100,IF(D70="FULL",1,IF(D70="PARTIAL",0.5,IF(D70="FAIL",0,""))))</f>
        <v/>
      </c>
      <c r="F70" s="5">
        <f>IF(E70="",0,C70*E70)</f>
        <v/>
      </c>
      <c r="G70" s="5">
        <f>IF(B70="I1",20*AVERAGEIF('QA_Images'!$A$2:$A$79,A70,'QA_Images'!$U$2:$U$79)/100,IF(D70="NOT_CHECKED",0,C70))</f>
        <v/>
      </c>
      <c r="H70" s="2" t="inlineStr">
        <is>
          <t>Đối chiếu long-tail với thiết kế riêng và nguy cơ trùng intent trong cụm sản phẩm.</t>
        </is>
      </c>
      <c r="I70" s="2" t="inlineStr">
        <is>
          <t>["evidence_batch_006_057", "https://jeminise.com/products/custom-floral-butterfly-inspirational-blanket-machine-wash-design-8", "serp_qa_057"]</t>
        </is>
      </c>
      <c r="J70" s="2" t="inlineStr">
        <is>
          <t>["R2-ISS-057-DESC", "R2-ISS-057-CUSTOMIZER", "R2-ISS-057-META-WORDING", "R2-ISS-057-ALTGEN"]</t>
        </is>
      </c>
    </row>
    <row r="71" ht="42" customHeight="1">
      <c r="A71" s="3" t="inlineStr">
        <is>
          <t>jeminise.com+custom-floral-butterfly-inspirational-blanket-machine-wash-design-8</t>
        </is>
      </c>
      <c r="B71" s="3" t="inlineStr">
        <is>
          <t>K2</t>
        </is>
      </c>
      <c r="C71" s="3" t="n">
        <v>5</v>
      </c>
      <c r="D71" s="3" t="inlineStr">
        <is>
          <t>FULL</t>
        </is>
      </c>
      <c r="E71" s="7">
        <f>IF(B71="I1",AVERAGEIF('QA_Images'!$A$2:$A$79,A71,'QA_Images'!$T$2:$T$79)/100,IF(D71="FULL",1,IF(D71="PARTIAL",0.5,IF(D71="FAIL",0,""))))</f>
        <v/>
      </c>
      <c r="F71" s="7">
        <f>IF(E71="",0,C71*E71)</f>
        <v/>
      </c>
      <c r="G71" s="7">
        <f>IF(B71="I1",20*AVERAGEIF('QA_Images'!$A$2:$A$79,A71,'QA_Images'!$U$2:$U$79)/100,IF(D71="NOT_CHECKED",0,C71))</f>
        <v/>
      </c>
      <c r="H71" s="3" t="inlineStr">
        <is>
          <t>Đã đọc primary và comparator SERP theo US commercial intent; không dùng claim volume.</t>
        </is>
      </c>
      <c r="I71" s="3" t="inlineStr">
        <is>
          <t>["evidence_batch_006_057", "https://jeminise.com/products/custom-floral-butterfly-inspirational-blanket-machine-wash-design-8", "serp_qa_057"]</t>
        </is>
      </c>
      <c r="J71" s="3" t="inlineStr">
        <is>
          <t>["R2-ISS-057-DESC", "R2-ISS-057-CUSTOMIZER", "R2-ISS-057-META-WORDING", "R2-ISS-057-ALTGEN"]</t>
        </is>
      </c>
    </row>
    <row r="72" ht="42" customHeight="1">
      <c r="A72" s="2" t="inlineStr">
        <is>
          <t>jeminise.com+custom-floral-butterfly-inspirational-blanket-machine-wash-design-8</t>
        </is>
      </c>
      <c r="B72" s="2" t="inlineStr">
        <is>
          <t>K3</t>
        </is>
      </c>
      <c r="C72" s="2" t="n">
        <v>5</v>
      </c>
      <c r="D72" s="2" t="inlineStr">
        <is>
          <t>FULL</t>
        </is>
      </c>
      <c r="E72" s="5">
        <f>IF(B72="I1",AVERAGEIF('QA_Images'!$A$2:$A$79,A72,'QA_Images'!$T$2:$T$79)/100,IF(D72="FULL",1,IF(D72="PARTIAL",0.5,IF(D72="FAIL",0,""))))</f>
        <v/>
      </c>
      <c r="F72" s="5">
        <f>IF(E72="",0,C72*E72)</f>
        <v/>
      </c>
      <c r="G72" s="5">
        <f>IF(B72="I1",20*AVERAGEIF('QA_Images'!$A$2:$A$79,A72,'QA_Images'!$U$2:$U$79)/100,IF(D72="NOT_CHECKED",0,C72))</f>
        <v/>
      </c>
      <c r="H72" s="2" t="inlineStr">
        <is>
          <t>Không suy diễn volume; phân biệt SERP_ONLY và HYPOTHESIS_ONLY.</t>
        </is>
      </c>
      <c r="I72" s="2" t="inlineStr">
        <is>
          <t>["evidence_batch_006_057", "https://jeminise.com/products/custom-floral-butterfly-inspirational-blanket-machine-wash-design-8", "serp_qa_057"]</t>
        </is>
      </c>
      <c r="J72" s="2" t="inlineStr">
        <is>
          <t>["R2-ISS-057-DESC", "R2-ISS-057-CUSTOMIZER", "R2-ISS-057-META-WORDING", "R2-ISS-057-ALTGEN"]</t>
        </is>
      </c>
    </row>
    <row r="73" ht="42" customHeight="1">
      <c r="A73" s="3" t="inlineStr">
        <is>
          <t>jeminise.com+custom-floral-butterfly-inspirational-blanket-machine-wash-design-8</t>
        </is>
      </c>
      <c r="B73" s="3" t="inlineStr">
        <is>
          <t>T1</t>
        </is>
      </c>
      <c r="C73" s="3" t="n">
        <v>10</v>
      </c>
      <c r="D73" s="3" t="inlineStr">
        <is>
          <t>PARTIAL</t>
        </is>
      </c>
      <c r="E73" s="7">
        <f>IF(B73="I1",AVERAGEIF('QA_Images'!$A$2:$A$79,A73,'QA_Images'!$T$2:$T$79)/100,IF(D73="FULL",1,IF(D73="PARTIAL",0.5,IF(D73="FAIL",0,""))))</f>
        <v/>
      </c>
      <c r="F73" s="7">
        <f>IF(E73="",0,C73*E73)</f>
        <v/>
      </c>
      <c r="G73" s="7">
        <f>IF(B73="I1",20*AVERAGEIF('QA_Images'!$A$2:$A$79,A73,'QA_Images'!$U$2:$U$79)/100,IF(D73="NOT_CHECKED",0,C73))</f>
        <v/>
      </c>
      <c r="H73" s="3" t="inlineStr">
        <is>
          <t>Đánh giá SEO title English về độ đúng, tự nhiên, keyword và điểm phân biệt.</t>
        </is>
      </c>
      <c r="I73" s="3" t="inlineStr">
        <is>
          <t>["evidence_batch_006_057", "https://jeminise.com/products/custom-floral-butterfly-inspirational-blanket-machine-wash-design-8", "serp_qa_057"]</t>
        </is>
      </c>
      <c r="J73" s="3" t="inlineStr">
        <is>
          <t>["R2-ISS-057-DESC", "R2-ISS-057-CUSTOMIZER", "R2-ISS-057-META-WORDING", "R2-ISS-057-ALTGEN"]</t>
        </is>
      </c>
    </row>
    <row r="74" ht="42" customHeight="1">
      <c r="A74" s="2" t="inlineStr">
        <is>
          <t>jeminise.com+custom-floral-butterfly-inspirational-blanket-machine-wash-design-8</t>
        </is>
      </c>
      <c r="B74" s="2" t="inlineStr">
        <is>
          <t>T2</t>
        </is>
      </c>
      <c r="C74" s="2" t="n">
        <v>5</v>
      </c>
      <c r="D74" s="2" t="inlineStr">
        <is>
          <t>PARTIAL</t>
        </is>
      </c>
      <c r="E74" s="5">
        <f>IF(B74="I1",AVERAGEIF('QA_Images'!$A$2:$A$79,A74,'QA_Images'!$T$2:$T$79)/100,IF(D74="FULL",1,IF(D74="PARTIAL",0.5,IF(D74="FAIL",0,""))))</f>
        <v/>
      </c>
      <c r="F74" s="5">
        <f>IF(E74="",0,C74*E74)</f>
        <v/>
      </c>
      <c r="G74" s="5">
        <f>IF(B74="I1",20*AVERAGEIF('QA_Images'!$A$2:$A$79,A74,'QA_Images'!$U$2:$U$79)/100,IF(D74="NOT_CHECKED",0,C74))</f>
        <v/>
      </c>
      <c r="H74" s="2" t="inlineStr">
        <is>
          <t>Đánh giá H1 đề xuất độc lập với SEO title và đối chiếu lỗi ký tự nguồn.</t>
        </is>
      </c>
      <c r="I74" s="2" t="inlineStr">
        <is>
          <t>["evidence_batch_006_057", "https://jeminise.com/products/custom-floral-butterfly-inspirational-blanket-machine-wash-design-8", "serp_qa_057"]</t>
        </is>
      </c>
      <c r="J74" s="2" t="inlineStr">
        <is>
          <t>["R2-ISS-057-DESC", "R2-ISS-057-CUSTOMIZER", "R2-ISS-057-META-WORDING", "R2-ISS-057-ALTGEN"]</t>
        </is>
      </c>
    </row>
    <row r="75" ht="42" customHeight="1">
      <c r="A75" s="3" t="inlineStr">
        <is>
          <t>jeminise.com+custom-floral-butterfly-inspirational-blanket-machine-wash-design-8</t>
        </is>
      </c>
      <c r="B75" s="3" t="inlineStr">
        <is>
          <t>D1</t>
        </is>
      </c>
      <c r="C75" s="3" t="n">
        <v>5</v>
      </c>
      <c r="D75" s="3" t="inlineStr">
        <is>
          <t>PARTIAL</t>
        </is>
      </c>
      <c r="E75" s="7">
        <f>IF(B75="I1",AVERAGEIF('QA_Images'!$A$2:$A$79,A75,'QA_Images'!$T$2:$T$79)/100,IF(D75="FULL",1,IF(D75="PARTIAL",0.5,IF(D75="FAIL",0,""))))</f>
        <v/>
      </c>
      <c r="F75" s="7">
        <f>IF(E75="",0,C75*E75)</f>
        <v/>
      </c>
      <c r="G75" s="7">
        <f>IF(B75="I1",20*AVERAGEIF('QA_Images'!$A$2:$A$79,A75,'QA_Images'!$U$2:$U$79)/100,IF(D75="NOT_CHECKED",0,C75))</f>
        <v/>
      </c>
      <c r="H75" s="3" t="inlineStr">
        <is>
          <t>Đánh giá meta description về tính cụ thể và căn cứ claim.</t>
        </is>
      </c>
      <c r="I75" s="3" t="inlineStr">
        <is>
          <t>["evidence_batch_006_057", "https://jeminise.com/products/custom-floral-butterfly-inspirational-blanket-machine-wash-design-8", "serp_qa_057"]</t>
        </is>
      </c>
      <c r="J75" s="3" t="inlineStr">
        <is>
          <t>["R2-ISS-057-DESC", "R2-ISS-057-CUSTOMIZER", "R2-ISS-057-META-WORDING", "R2-ISS-057-ALTGEN"]</t>
        </is>
      </c>
    </row>
    <row r="76" ht="42" customHeight="1">
      <c r="A76" s="2" t="inlineStr">
        <is>
          <t>jeminise.com+custom-floral-butterfly-inspirational-blanket-machine-wash-design-8</t>
        </is>
      </c>
      <c r="B76" s="2" t="inlineStr">
        <is>
          <t>D2</t>
        </is>
      </c>
      <c r="C76" s="2" t="n">
        <v>10</v>
      </c>
      <c r="D76" s="2" t="inlineStr">
        <is>
          <t>FAIL</t>
        </is>
      </c>
      <c r="E76" s="5">
        <f>IF(B76="I1",AVERAGEIF('QA_Images'!$A$2:$A$79,A76,'QA_Images'!$T$2:$T$79)/100,IF(D76="FULL",1,IF(D76="PARTIAL",0.5,IF(D76="FAIL",0,""))))</f>
        <v/>
      </c>
      <c r="F76" s="5">
        <f>IF(E76="",0,C76*E76)</f>
        <v/>
      </c>
      <c r="G76" s="5">
        <f>IF(B76="I1",20*AVERAGEIF('QA_Images'!$A$2:$A$79,A76,'QA_Images'!$U$2:$U$79)/100,IF(D76="NOT_CHECKED",0,C76))</f>
        <v/>
      </c>
      <c r="H76" s="2" t="inlineStr">
        <is>
          <t>Description SET có HTML đầy đủ nhưng chứa câu nội bộ 'This draft should be reviewed...' và dữ liệu nguồn thô/mâu thuẫn; chưa phải nội dung publish-ready.</t>
        </is>
      </c>
      <c r="I76" s="2" t="inlineStr">
        <is>
          <t>["evidence_batch_006_057", "https://jeminise.com/products/custom-floral-butterfly-inspirational-blanket-machine-wash-design-8", "serp_qa_057"]</t>
        </is>
      </c>
      <c r="J76" s="2" t="inlineStr">
        <is>
          <t>["R2-ISS-057-DESC", "R2-ISS-057-CUSTOMIZER", "R2-ISS-057-META-WORDING", "R2-ISS-057-ALTGEN"]</t>
        </is>
      </c>
    </row>
    <row r="77" ht="42" customHeight="1">
      <c r="A77" s="3" t="inlineStr">
        <is>
          <t>jeminise.com+custom-floral-butterfly-inspirational-blanket-machine-wash-design-8</t>
        </is>
      </c>
      <c r="B77" s="3" t="inlineStr">
        <is>
          <t>I1</t>
        </is>
      </c>
      <c r="C77" s="3" t="n">
        <v>20</v>
      </c>
      <c r="D77" s="3" t="inlineStr">
        <is>
          <t>DERIVED</t>
        </is>
      </c>
      <c r="E77" s="7">
        <f>IF(B77="I1",AVERAGEIF('QA_Images'!$A$2:$A$79,A77,'QA_Images'!$T$2:$T$79)/100,IF(D77="FULL",1,IF(D77="PARTIAL",0.5,IF(D77="FAIL",0,""))))</f>
        <v/>
      </c>
      <c r="F77" s="7">
        <f>IF(E77="",0,C77*E77)</f>
        <v/>
      </c>
      <c r="G77" s="7">
        <f>IF(B77="I1",20*AVERAGEIF('QA_Images'!$A$2:$A$79,A77,'QA_Images'!$U$2:$U$79)/100,IF(D77="NOT_CHECKED",0,C77))</f>
        <v/>
      </c>
      <c r="H77" s="3" t="inlineStr">
        <is>
          <t>Tính từ trung bình 8 ảnh: 100.0000/100.</t>
        </is>
      </c>
      <c r="I77" s="3" t="inlineStr">
        <is>
          <t>["evidence_batch_006_057", "https://jeminise.com/products/custom-floral-butterfly-inspirational-blanket-machine-wash-design-8", "serp_qa_057"]</t>
        </is>
      </c>
      <c r="J77" s="3" t="inlineStr">
        <is>
          <t>["R2-ISS-057-DESC", "R2-ISS-057-CUSTOMIZER", "R2-ISS-057-META-WORDING", "R2-ISS-057-ALTGEN"]</t>
        </is>
      </c>
    </row>
    <row r="78" ht="42" customHeight="1">
      <c r="A78" s="2" t="inlineStr">
        <is>
          <t>jeminise.com+custom-floral-butterfly-inspirational-blanket-machine-wash-design-8</t>
        </is>
      </c>
      <c r="B78" s="2" t="inlineStr">
        <is>
          <t>E1</t>
        </is>
      </c>
      <c r="C78" s="2" t="n">
        <v>5</v>
      </c>
      <c r="D78" s="2" t="inlineStr">
        <is>
          <t>PARTIAL</t>
        </is>
      </c>
      <c r="E78" s="5">
        <f>IF(B78="I1",AVERAGEIF('QA_Images'!$A$2:$A$79,A78,'QA_Images'!$T$2:$T$79)/100,IF(D78="FULL",1,IF(D78="PARTIAL",0.5,IF(D78="FAIL",0,""))))</f>
        <v/>
      </c>
      <c r="F78" s="5">
        <f>IF(E78="",0,C78*E78)</f>
        <v/>
      </c>
      <c r="G78" s="5">
        <f>IF(B78="I1",20*AVERAGEIF('QA_Images'!$A$2:$A$79,A78,'QA_Images'!$U$2:$U$79)/100,IF(D78="NOT_CHECKED",0,C78))</f>
        <v/>
      </c>
      <c r="H78" s="2" t="inlineStr">
        <is>
          <t>Kiểm tra chuỗi evidence và giới hạn do thiếu Shopify admin export.</t>
        </is>
      </c>
      <c r="I78" s="2" t="inlineStr">
        <is>
          <t>["evidence_batch_006_057", "https://jeminise.com/products/custom-floral-butterfly-inspirational-blanket-machine-wash-design-8", "serp_qa_057"]</t>
        </is>
      </c>
      <c r="J78" s="2" t="inlineStr">
        <is>
          <t>["R2-ISS-057-DESC", "R2-ISS-057-CUSTOMIZER", "R2-ISS-057-META-WORDING", "R2-ISS-057-ALTGEN"]</t>
        </is>
      </c>
    </row>
    <row r="79" ht="42" customHeight="1">
      <c r="A79" s="3" t="inlineStr">
        <is>
          <t>jeminise.com+custom-floral-butterfly-inspirational-blanket-machine-washable-d3</t>
        </is>
      </c>
      <c r="B79" s="3" t="inlineStr">
        <is>
          <t>P1</t>
        </is>
      </c>
      <c r="C79" s="3" t="n">
        <v>15</v>
      </c>
      <c r="D79" s="3" t="inlineStr">
        <is>
          <t>FULL</t>
        </is>
      </c>
      <c r="E79" s="7">
        <f>IF(B79="I1",AVERAGEIF('QA_Images'!$A$2:$A$79,A79,'QA_Images'!$T$2:$T$79)/100,IF(D79="FULL",1,IF(D79="PARTIAL",0.5,IF(D79="FAIL",0,""))))</f>
        <v/>
      </c>
      <c r="F79" s="7">
        <f>IF(E79="",0,C79*E79)</f>
        <v/>
      </c>
      <c r="G79" s="7">
        <f>IF(B79="I1",20*AVERAGEIF('QA_Images'!$A$2:$A$79,A79,'QA_Images'!$U$2:$U$79)/100,IF(D79="NOT_CHECKED",0,C79))</f>
        <v/>
      </c>
      <c r="H79" s="3" t="inlineStr">
        <is>
          <t>Đối chiếu loại sản phẩm, thiết kế và màu với product JSON, H1 live và toàn bộ gallery.</t>
        </is>
      </c>
      <c r="I79" s="3" t="inlineStr">
        <is>
          <t>["evidence_batch_006_058", "https://jeminise.com/products/custom-floral-butterfly-inspirational-blanket-machine-washable-d3", "serp_qa_058"]</t>
        </is>
      </c>
      <c r="J79" s="3" t="inlineStr">
        <is>
          <t>["R2-ISS-058-IMG-03", "R2-ISS-058-IMG-06", "R2-ISS-058-DESC", "R2-ISS-058-CUSTOMIZER", "R2-ISS-058-META-WORDING"]</t>
        </is>
      </c>
    </row>
    <row r="80" ht="42" customHeight="1">
      <c r="A80" s="2" t="inlineStr">
        <is>
          <t>jeminise.com+custom-floral-butterfly-inspirational-blanket-machine-washable-d3</t>
        </is>
      </c>
      <c r="B80" s="2" t="inlineStr">
        <is>
          <t>P2</t>
        </is>
      </c>
      <c r="C80" s="2" t="n">
        <v>10</v>
      </c>
      <c r="D80" s="2" t="inlineStr">
        <is>
          <t>PARTIAL</t>
        </is>
      </c>
      <c r="E80" s="5">
        <f>IF(B80="I1",AVERAGEIF('QA_Images'!$A$2:$A$79,A80,'QA_Images'!$T$2:$T$79)/100,IF(D80="FULL",1,IF(D80="PARTIAL",0.5,IF(D80="FAIL",0,""))))</f>
        <v/>
      </c>
      <c r="F80" s="5">
        <f>IF(E80="",0,C80*E80)</f>
        <v/>
      </c>
      <c r="G80" s="5">
        <f>IF(B80="I1",20*AVERAGEIF('QA_Images'!$A$2:$A$79,A80,'QA_Images'!$U$2:$U$79)/100,IF(D80="NOT_CHECKED",0,C80))</f>
        <v/>
      </c>
      <c r="H80" s="2" t="inlineStr">
        <is>
          <t>Đối chiếu specification, variants, components và personalization với product.js live và ảnh gốc.</t>
        </is>
      </c>
      <c r="I80" s="2" t="inlineStr">
        <is>
          <t>["evidence_batch_006_058", "https://jeminise.com/products/custom-floral-butterfly-inspirational-blanket-machine-washable-d3", "serp_qa_058"]</t>
        </is>
      </c>
      <c r="J80" s="2" t="inlineStr">
        <is>
          <t>["R2-ISS-058-IMG-03", "R2-ISS-058-IMG-06", "R2-ISS-058-DESC", "R2-ISS-058-CUSTOMIZER", "R2-ISS-058-META-WORDING"]</t>
        </is>
      </c>
    </row>
    <row r="81" ht="42" customHeight="1">
      <c r="A81" s="3" t="inlineStr">
        <is>
          <t>jeminise.com+custom-floral-butterfly-inspirational-blanket-machine-washable-d3</t>
        </is>
      </c>
      <c r="B81" s="3" t="inlineStr">
        <is>
          <t>K1</t>
        </is>
      </c>
      <c r="C81" s="3" t="n">
        <v>10</v>
      </c>
      <c r="D81" s="3" t="inlineStr">
        <is>
          <t>PARTIAL</t>
        </is>
      </c>
      <c r="E81" s="7">
        <f>IF(B81="I1",AVERAGEIF('QA_Images'!$A$2:$A$79,A81,'QA_Images'!$T$2:$T$79)/100,IF(D81="FULL",1,IF(D81="PARTIAL",0.5,IF(D81="FAIL",0,""))))</f>
        <v/>
      </c>
      <c r="F81" s="7">
        <f>IF(E81="",0,C81*E81)</f>
        <v/>
      </c>
      <c r="G81" s="7">
        <f>IF(B81="I1",20*AVERAGEIF('QA_Images'!$A$2:$A$79,A81,'QA_Images'!$U$2:$U$79)/100,IF(D81="NOT_CHECKED",0,C81))</f>
        <v/>
      </c>
      <c r="H81" s="3" t="inlineStr">
        <is>
          <t>Đối chiếu long-tail với thiết kế riêng và nguy cơ trùng intent trong cụm sản phẩm.</t>
        </is>
      </c>
      <c r="I81" s="3" t="inlineStr">
        <is>
          <t>["evidence_batch_006_058", "https://jeminise.com/products/custom-floral-butterfly-inspirational-blanket-machine-washable-d3", "serp_qa_058"]</t>
        </is>
      </c>
      <c r="J81" s="3" t="inlineStr">
        <is>
          <t>["R2-ISS-058-IMG-03", "R2-ISS-058-IMG-06", "R2-ISS-058-DESC", "R2-ISS-058-CUSTOMIZER", "R2-ISS-058-META-WORDING"]</t>
        </is>
      </c>
    </row>
    <row r="82" ht="42" customHeight="1">
      <c r="A82" s="2" t="inlineStr">
        <is>
          <t>jeminise.com+custom-floral-butterfly-inspirational-blanket-machine-washable-d3</t>
        </is>
      </c>
      <c r="B82" s="2" t="inlineStr">
        <is>
          <t>K2</t>
        </is>
      </c>
      <c r="C82" s="2" t="n">
        <v>5</v>
      </c>
      <c r="D82" s="2" t="inlineStr">
        <is>
          <t>FULL</t>
        </is>
      </c>
      <c r="E82" s="5">
        <f>IF(B82="I1",AVERAGEIF('QA_Images'!$A$2:$A$79,A82,'QA_Images'!$T$2:$T$79)/100,IF(D82="FULL",1,IF(D82="PARTIAL",0.5,IF(D82="FAIL",0,""))))</f>
        <v/>
      </c>
      <c r="F82" s="5">
        <f>IF(E82="",0,C82*E82)</f>
        <v/>
      </c>
      <c r="G82" s="5">
        <f>IF(B82="I1",20*AVERAGEIF('QA_Images'!$A$2:$A$79,A82,'QA_Images'!$U$2:$U$79)/100,IF(D82="NOT_CHECKED",0,C82))</f>
        <v/>
      </c>
      <c r="H82" s="2" t="inlineStr">
        <is>
          <t>Đã đọc primary và comparator SERP theo US commercial intent; không dùng claim volume.</t>
        </is>
      </c>
      <c r="I82" s="2" t="inlineStr">
        <is>
          <t>["evidence_batch_006_058", "https://jeminise.com/products/custom-floral-butterfly-inspirational-blanket-machine-washable-d3", "serp_qa_058"]</t>
        </is>
      </c>
      <c r="J82" s="2" t="inlineStr">
        <is>
          <t>["R2-ISS-058-IMG-03", "R2-ISS-058-IMG-06", "R2-ISS-058-DESC", "R2-ISS-058-CUSTOMIZER", "R2-ISS-058-META-WORDING"]</t>
        </is>
      </c>
    </row>
    <row r="83" ht="42" customHeight="1">
      <c r="A83" s="3" t="inlineStr">
        <is>
          <t>jeminise.com+custom-floral-butterfly-inspirational-blanket-machine-washable-d3</t>
        </is>
      </c>
      <c r="B83" s="3" t="inlineStr">
        <is>
          <t>K3</t>
        </is>
      </c>
      <c r="C83" s="3" t="n">
        <v>5</v>
      </c>
      <c r="D83" s="3" t="inlineStr">
        <is>
          <t>PARTIAL</t>
        </is>
      </c>
      <c r="E83" s="7">
        <f>IF(B83="I1",AVERAGEIF('QA_Images'!$A$2:$A$79,A83,'QA_Images'!$T$2:$T$79)/100,IF(D83="FULL",1,IF(D83="PARTIAL",0.5,IF(D83="FAIL",0,""))))</f>
        <v/>
      </c>
      <c r="F83" s="7">
        <f>IF(E83="",0,C83*E83)</f>
        <v/>
      </c>
      <c r="G83" s="7">
        <f>IF(B83="I1",20*AVERAGEIF('QA_Images'!$A$2:$A$79,A83,'QA_Images'!$U$2:$U$79)/100,IF(D83="NOT_CHECKED",0,C83))</f>
        <v/>
      </c>
      <c r="H83" s="3" t="inlineStr">
        <is>
          <t>Không suy diễn volume; phân biệt SERP_ONLY và HYPOTHESIS_ONLY.</t>
        </is>
      </c>
      <c r="I83" s="3" t="inlineStr">
        <is>
          <t>["evidence_batch_006_058", "https://jeminise.com/products/custom-floral-butterfly-inspirational-blanket-machine-washable-d3", "serp_qa_058"]</t>
        </is>
      </c>
      <c r="J83" s="3" t="inlineStr">
        <is>
          <t>["R2-ISS-058-IMG-03", "R2-ISS-058-IMG-06", "R2-ISS-058-DESC", "R2-ISS-058-CUSTOMIZER", "R2-ISS-058-META-WORDING"]</t>
        </is>
      </c>
    </row>
    <row r="84" ht="42" customHeight="1">
      <c r="A84" s="2" t="inlineStr">
        <is>
          <t>jeminise.com+custom-floral-butterfly-inspirational-blanket-machine-washable-d3</t>
        </is>
      </c>
      <c r="B84" s="2" t="inlineStr">
        <is>
          <t>T1</t>
        </is>
      </c>
      <c r="C84" s="2" t="n">
        <v>10</v>
      </c>
      <c r="D84" s="2" t="inlineStr">
        <is>
          <t>PARTIAL</t>
        </is>
      </c>
      <c r="E84" s="5">
        <f>IF(B84="I1",AVERAGEIF('QA_Images'!$A$2:$A$79,A84,'QA_Images'!$T$2:$T$79)/100,IF(D84="FULL",1,IF(D84="PARTIAL",0.5,IF(D84="FAIL",0,""))))</f>
        <v/>
      </c>
      <c r="F84" s="5">
        <f>IF(E84="",0,C84*E84)</f>
        <v/>
      </c>
      <c r="G84" s="5">
        <f>IF(B84="I1",20*AVERAGEIF('QA_Images'!$A$2:$A$79,A84,'QA_Images'!$U$2:$U$79)/100,IF(D84="NOT_CHECKED",0,C84))</f>
        <v/>
      </c>
      <c r="H84" s="2" t="inlineStr">
        <is>
          <t>Đánh giá SEO title English về độ đúng, tự nhiên, keyword và điểm phân biệt.</t>
        </is>
      </c>
      <c r="I84" s="2" t="inlineStr">
        <is>
          <t>["evidence_batch_006_058", "https://jeminise.com/products/custom-floral-butterfly-inspirational-blanket-machine-washable-d3", "serp_qa_058"]</t>
        </is>
      </c>
      <c r="J84" s="2" t="inlineStr">
        <is>
          <t>["R2-ISS-058-IMG-03", "R2-ISS-058-IMG-06", "R2-ISS-058-DESC", "R2-ISS-058-CUSTOMIZER", "R2-ISS-058-META-WORDING"]</t>
        </is>
      </c>
    </row>
    <row r="85" ht="42" customHeight="1">
      <c r="A85" s="3" t="inlineStr">
        <is>
          <t>jeminise.com+custom-floral-butterfly-inspirational-blanket-machine-washable-d3</t>
        </is>
      </c>
      <c r="B85" s="3" t="inlineStr">
        <is>
          <t>T2</t>
        </is>
      </c>
      <c r="C85" s="3" t="n">
        <v>5</v>
      </c>
      <c r="D85" s="3" t="inlineStr">
        <is>
          <t>PARTIAL</t>
        </is>
      </c>
      <c r="E85" s="7">
        <f>IF(B85="I1",AVERAGEIF('QA_Images'!$A$2:$A$79,A85,'QA_Images'!$T$2:$T$79)/100,IF(D85="FULL",1,IF(D85="PARTIAL",0.5,IF(D85="FAIL",0,""))))</f>
        <v/>
      </c>
      <c r="F85" s="7">
        <f>IF(E85="",0,C85*E85)</f>
        <v/>
      </c>
      <c r="G85" s="7">
        <f>IF(B85="I1",20*AVERAGEIF('QA_Images'!$A$2:$A$79,A85,'QA_Images'!$U$2:$U$79)/100,IF(D85="NOT_CHECKED",0,C85))</f>
        <v/>
      </c>
      <c r="H85" s="3" t="inlineStr">
        <is>
          <t>Đánh giá H1 đề xuất độc lập với SEO title và đối chiếu lỗi ký tự nguồn.</t>
        </is>
      </c>
      <c r="I85" s="3" t="inlineStr">
        <is>
          <t>["evidence_batch_006_058", "https://jeminise.com/products/custom-floral-butterfly-inspirational-blanket-machine-washable-d3", "serp_qa_058"]</t>
        </is>
      </c>
      <c r="J85" s="3" t="inlineStr">
        <is>
          <t>["R2-ISS-058-IMG-03", "R2-ISS-058-IMG-06", "R2-ISS-058-DESC", "R2-ISS-058-CUSTOMIZER", "R2-ISS-058-META-WORDING"]</t>
        </is>
      </c>
    </row>
    <row r="86" ht="42" customHeight="1">
      <c r="A86" s="2" t="inlineStr">
        <is>
          <t>jeminise.com+custom-floral-butterfly-inspirational-blanket-machine-washable-d3</t>
        </is>
      </c>
      <c r="B86" s="2" t="inlineStr">
        <is>
          <t>D1</t>
        </is>
      </c>
      <c r="C86" s="2" t="n">
        <v>5</v>
      </c>
      <c r="D86" s="2" t="inlineStr">
        <is>
          <t>PARTIAL</t>
        </is>
      </c>
      <c r="E86" s="5">
        <f>IF(B86="I1",AVERAGEIF('QA_Images'!$A$2:$A$79,A86,'QA_Images'!$T$2:$T$79)/100,IF(D86="FULL",1,IF(D86="PARTIAL",0.5,IF(D86="FAIL",0,""))))</f>
        <v/>
      </c>
      <c r="F86" s="5">
        <f>IF(E86="",0,C86*E86)</f>
        <v/>
      </c>
      <c r="G86" s="5">
        <f>IF(B86="I1",20*AVERAGEIF('QA_Images'!$A$2:$A$79,A86,'QA_Images'!$U$2:$U$79)/100,IF(D86="NOT_CHECKED",0,C86))</f>
        <v/>
      </c>
      <c r="H86" s="2" t="inlineStr">
        <is>
          <t>Đánh giá meta description về tính cụ thể và căn cứ claim.</t>
        </is>
      </c>
      <c r="I86" s="2" t="inlineStr">
        <is>
          <t>["evidence_batch_006_058", "https://jeminise.com/products/custom-floral-butterfly-inspirational-blanket-machine-washable-d3", "serp_qa_058"]</t>
        </is>
      </c>
      <c r="J86" s="2" t="inlineStr">
        <is>
          <t>["R2-ISS-058-IMG-03", "R2-ISS-058-IMG-06", "R2-ISS-058-DESC", "R2-ISS-058-CUSTOMIZER", "R2-ISS-058-META-WORDING"]</t>
        </is>
      </c>
    </row>
    <row r="87" ht="42" customHeight="1">
      <c r="A87" s="3" t="inlineStr">
        <is>
          <t>jeminise.com+custom-floral-butterfly-inspirational-blanket-machine-washable-d3</t>
        </is>
      </c>
      <c r="B87" s="3" t="inlineStr">
        <is>
          <t>D2</t>
        </is>
      </c>
      <c r="C87" s="3" t="n">
        <v>10</v>
      </c>
      <c r="D87" s="3" t="inlineStr">
        <is>
          <t>FAIL</t>
        </is>
      </c>
      <c r="E87" s="7">
        <f>IF(B87="I1",AVERAGEIF('QA_Images'!$A$2:$A$79,A87,'QA_Images'!$T$2:$T$79)/100,IF(D87="FULL",1,IF(D87="PARTIAL",0.5,IF(D87="FAIL",0,""))))</f>
        <v/>
      </c>
      <c r="F87" s="7">
        <f>IF(E87="",0,C87*E87)</f>
        <v/>
      </c>
      <c r="G87" s="7">
        <f>IF(B87="I1",20*AVERAGEIF('QA_Images'!$A$2:$A$79,A87,'QA_Images'!$U$2:$U$79)/100,IF(D87="NOT_CHECKED",0,C87))</f>
        <v/>
      </c>
      <c r="H87" s="3" t="inlineStr">
        <is>
          <t>Description SET có HTML đầy đủ nhưng chứa câu nội bộ 'This draft should be reviewed...' và dữ liệu nguồn thô/mâu thuẫn; chưa phải nội dung publish-ready.</t>
        </is>
      </c>
      <c r="I87" s="3" t="inlineStr">
        <is>
          <t>["evidence_batch_006_058", "https://jeminise.com/products/custom-floral-butterfly-inspirational-blanket-machine-washable-d3", "serp_qa_058"]</t>
        </is>
      </c>
      <c r="J87" s="3" t="inlineStr">
        <is>
          <t>["R2-ISS-058-IMG-03", "R2-ISS-058-IMG-06", "R2-ISS-058-DESC", "R2-ISS-058-CUSTOMIZER", "R2-ISS-058-META-WORDING"]</t>
        </is>
      </c>
    </row>
    <row r="88" ht="42" customHeight="1">
      <c r="A88" s="2" t="inlineStr">
        <is>
          <t>jeminise.com+custom-floral-butterfly-inspirational-blanket-machine-washable-d3</t>
        </is>
      </c>
      <c r="B88" s="2" t="inlineStr">
        <is>
          <t>I1</t>
        </is>
      </c>
      <c r="C88" s="2" t="n">
        <v>20</v>
      </c>
      <c r="D88" s="2" t="inlineStr">
        <is>
          <t>DERIVED</t>
        </is>
      </c>
      <c r="E88" s="5">
        <f>IF(B88="I1",AVERAGEIF('QA_Images'!$A$2:$A$79,A88,'QA_Images'!$T$2:$T$79)/100,IF(D88="FULL",1,IF(D88="PARTIAL",0.5,IF(D88="FAIL",0,""))))</f>
        <v/>
      </c>
      <c r="F88" s="5">
        <f>IF(E88="",0,C88*E88)</f>
        <v/>
      </c>
      <c r="G88" s="5">
        <f>IF(B88="I1",20*AVERAGEIF('QA_Images'!$A$2:$A$79,A88,'QA_Images'!$U$2:$U$79)/100,IF(D88="NOT_CHECKED",0,C88))</f>
        <v/>
      </c>
      <c r="H88" s="2" t="inlineStr">
        <is>
          <t>Tính từ trung bình 8 ảnh: 87.5000/100.</t>
        </is>
      </c>
      <c r="I88" s="2" t="inlineStr">
        <is>
          <t>["evidence_batch_006_058", "https://jeminise.com/products/custom-floral-butterfly-inspirational-blanket-machine-washable-d3", "serp_qa_058"]</t>
        </is>
      </c>
      <c r="J88" s="2" t="inlineStr">
        <is>
          <t>["R2-ISS-058-IMG-03", "R2-ISS-058-IMG-06", "R2-ISS-058-DESC", "R2-ISS-058-CUSTOMIZER", "R2-ISS-058-META-WORDING"]</t>
        </is>
      </c>
    </row>
    <row r="89" ht="42" customHeight="1">
      <c r="A89" s="3" t="inlineStr">
        <is>
          <t>jeminise.com+custom-floral-butterfly-inspirational-blanket-machine-washable-d3</t>
        </is>
      </c>
      <c r="B89" s="3" t="inlineStr">
        <is>
          <t>E1</t>
        </is>
      </c>
      <c r="C89" s="3" t="n">
        <v>5</v>
      </c>
      <c r="D89" s="3" t="inlineStr">
        <is>
          <t>PARTIAL</t>
        </is>
      </c>
      <c r="E89" s="7">
        <f>IF(B89="I1",AVERAGEIF('QA_Images'!$A$2:$A$79,A89,'QA_Images'!$T$2:$T$79)/100,IF(D89="FULL",1,IF(D89="PARTIAL",0.5,IF(D89="FAIL",0,""))))</f>
        <v/>
      </c>
      <c r="F89" s="7">
        <f>IF(E89="",0,C89*E89)</f>
        <v/>
      </c>
      <c r="G89" s="7">
        <f>IF(B89="I1",20*AVERAGEIF('QA_Images'!$A$2:$A$79,A89,'QA_Images'!$U$2:$U$79)/100,IF(D89="NOT_CHECKED",0,C89))</f>
        <v/>
      </c>
      <c r="H89" s="3" t="inlineStr">
        <is>
          <t>Kiểm tra chuỗi evidence và giới hạn do thiếu Shopify admin export.</t>
        </is>
      </c>
      <c r="I89" s="3" t="inlineStr">
        <is>
          <t>["evidence_batch_006_058", "https://jeminise.com/products/custom-floral-butterfly-inspirational-blanket-machine-washable-d3", "serp_qa_058"]</t>
        </is>
      </c>
      <c r="J89" s="3" t="inlineStr">
        <is>
          <t>["R2-ISS-058-IMG-03", "R2-ISS-058-IMG-06", "R2-ISS-058-DESC", "R2-ISS-058-CUSTOMIZER", "R2-ISS-058-META-WORDING"]</t>
        </is>
      </c>
    </row>
    <row r="90" ht="42" customHeight="1">
      <c r="A90" s="2" t="inlineStr">
        <is>
          <t>jeminise.com+custom-floral-cross-bible-verse-blanket-machine-washable-d13</t>
        </is>
      </c>
      <c r="B90" s="2" t="inlineStr">
        <is>
          <t>P1</t>
        </is>
      </c>
      <c r="C90" s="2" t="n">
        <v>15</v>
      </c>
      <c r="D90" s="2" t="inlineStr">
        <is>
          <t>FULL</t>
        </is>
      </c>
      <c r="E90" s="5">
        <f>IF(B90="I1",AVERAGEIF('QA_Images'!$A$2:$A$79,A90,'QA_Images'!$T$2:$T$79)/100,IF(D90="FULL",1,IF(D90="PARTIAL",0.5,IF(D90="FAIL",0,""))))</f>
        <v/>
      </c>
      <c r="F90" s="5">
        <f>IF(E90="",0,C90*E90)</f>
        <v/>
      </c>
      <c r="G90" s="5">
        <f>IF(B90="I1",20*AVERAGEIF('QA_Images'!$A$2:$A$79,A90,'QA_Images'!$U$2:$U$79)/100,IF(D90="NOT_CHECKED",0,C90))</f>
        <v/>
      </c>
      <c r="H90" s="2" t="inlineStr">
        <is>
          <t>Đối chiếu loại sản phẩm, thiết kế và màu với product JSON, H1 live và toàn bộ gallery.</t>
        </is>
      </c>
      <c r="I90" s="2" t="inlineStr">
        <is>
          <t>["evidence_batch_006_059", "https://jeminise.com/products/custom-floral-cross-bible-verse-blanket-machine-washable-d13", "serp_qa_059"]</t>
        </is>
      </c>
      <c r="J90" s="2" t="inlineStr">
        <is>
          <t>["R2-ISS-059-IMG-04", "R2-ISS-059-IMG-05", "R2-ISS-059-IMG-07", "R2-ISS-059-IMG-08", "R2-ISS-059-DESC", "R2-ISS-059-CUSTOMIZER", "R2-ISS-059-META-WORDING"]</t>
        </is>
      </c>
    </row>
    <row r="91" ht="42" customHeight="1">
      <c r="A91" s="3" t="inlineStr">
        <is>
          <t>jeminise.com+custom-floral-cross-bible-verse-blanket-machine-washable-d13</t>
        </is>
      </c>
      <c r="B91" s="3" t="inlineStr">
        <is>
          <t>P2</t>
        </is>
      </c>
      <c r="C91" s="3" t="n">
        <v>10</v>
      </c>
      <c r="D91" s="3" t="inlineStr">
        <is>
          <t>PARTIAL</t>
        </is>
      </c>
      <c r="E91" s="7">
        <f>IF(B91="I1",AVERAGEIF('QA_Images'!$A$2:$A$79,A91,'QA_Images'!$T$2:$T$79)/100,IF(D91="FULL",1,IF(D91="PARTIAL",0.5,IF(D91="FAIL",0,""))))</f>
        <v/>
      </c>
      <c r="F91" s="7">
        <f>IF(E91="",0,C91*E91)</f>
        <v/>
      </c>
      <c r="G91" s="7">
        <f>IF(B91="I1",20*AVERAGEIF('QA_Images'!$A$2:$A$79,A91,'QA_Images'!$U$2:$U$79)/100,IF(D91="NOT_CHECKED",0,C91))</f>
        <v/>
      </c>
      <c r="H91" s="3" t="inlineStr">
        <is>
          <t>Đối chiếu specification, variants, components và personalization với product.js live và ảnh gốc.</t>
        </is>
      </c>
      <c r="I91" s="3" t="inlineStr">
        <is>
          <t>["evidence_batch_006_059", "https://jeminise.com/products/custom-floral-cross-bible-verse-blanket-machine-washable-d13", "serp_qa_059"]</t>
        </is>
      </c>
      <c r="J91" s="3" t="inlineStr">
        <is>
          <t>["R2-ISS-059-IMG-04", "R2-ISS-059-IMG-05", "R2-ISS-059-IMG-07", "R2-ISS-059-IMG-08", "R2-ISS-059-DESC", "R2-ISS-059-CUSTOMIZER", "R2-ISS-059-META-WORDING"]</t>
        </is>
      </c>
    </row>
    <row r="92" ht="42" customHeight="1">
      <c r="A92" s="2" t="inlineStr">
        <is>
          <t>jeminise.com+custom-floral-cross-bible-verse-blanket-machine-washable-d13</t>
        </is>
      </c>
      <c r="B92" s="2" t="inlineStr">
        <is>
          <t>K1</t>
        </is>
      </c>
      <c r="C92" s="2" t="n">
        <v>10</v>
      </c>
      <c r="D92" s="2" t="inlineStr">
        <is>
          <t>FULL</t>
        </is>
      </c>
      <c r="E92" s="5">
        <f>IF(B92="I1",AVERAGEIF('QA_Images'!$A$2:$A$79,A92,'QA_Images'!$T$2:$T$79)/100,IF(D92="FULL",1,IF(D92="PARTIAL",0.5,IF(D92="FAIL",0,""))))</f>
        <v/>
      </c>
      <c r="F92" s="5">
        <f>IF(E92="",0,C92*E92)</f>
        <v/>
      </c>
      <c r="G92" s="5">
        <f>IF(B92="I1",20*AVERAGEIF('QA_Images'!$A$2:$A$79,A92,'QA_Images'!$U$2:$U$79)/100,IF(D92="NOT_CHECKED",0,C92))</f>
        <v/>
      </c>
      <c r="H92" s="2" t="inlineStr">
        <is>
          <t>Đối chiếu long-tail với thiết kế riêng và nguy cơ trùng intent trong cụm sản phẩm.</t>
        </is>
      </c>
      <c r="I92" s="2" t="inlineStr">
        <is>
          <t>["evidence_batch_006_059", "https://jeminise.com/products/custom-floral-cross-bible-verse-blanket-machine-washable-d13", "serp_qa_059"]</t>
        </is>
      </c>
      <c r="J92" s="2" t="inlineStr">
        <is>
          <t>["R2-ISS-059-IMG-04", "R2-ISS-059-IMG-05", "R2-ISS-059-IMG-07", "R2-ISS-059-IMG-08", "R2-ISS-059-DESC", "R2-ISS-059-CUSTOMIZER", "R2-ISS-059-META-WORDING"]</t>
        </is>
      </c>
    </row>
    <row r="93" ht="42" customHeight="1">
      <c r="A93" s="3" t="inlineStr">
        <is>
          <t>jeminise.com+custom-floral-cross-bible-verse-blanket-machine-washable-d13</t>
        </is>
      </c>
      <c r="B93" s="3" t="inlineStr">
        <is>
          <t>K2</t>
        </is>
      </c>
      <c r="C93" s="3" t="n">
        <v>5</v>
      </c>
      <c r="D93" s="3" t="inlineStr">
        <is>
          <t>FULL</t>
        </is>
      </c>
      <c r="E93" s="7">
        <f>IF(B93="I1",AVERAGEIF('QA_Images'!$A$2:$A$79,A93,'QA_Images'!$T$2:$T$79)/100,IF(D93="FULL",1,IF(D93="PARTIAL",0.5,IF(D93="FAIL",0,""))))</f>
        <v/>
      </c>
      <c r="F93" s="7">
        <f>IF(E93="",0,C93*E93)</f>
        <v/>
      </c>
      <c r="G93" s="7">
        <f>IF(B93="I1",20*AVERAGEIF('QA_Images'!$A$2:$A$79,A93,'QA_Images'!$U$2:$U$79)/100,IF(D93="NOT_CHECKED",0,C93))</f>
        <v/>
      </c>
      <c r="H93" s="3" t="inlineStr">
        <is>
          <t>Đã đọc primary và comparator SERP theo US commercial intent; không dùng claim volume.</t>
        </is>
      </c>
      <c r="I93" s="3" t="inlineStr">
        <is>
          <t>["evidence_batch_006_059", "https://jeminise.com/products/custom-floral-cross-bible-verse-blanket-machine-washable-d13", "serp_qa_059"]</t>
        </is>
      </c>
      <c r="J93" s="3" t="inlineStr">
        <is>
          <t>["R2-ISS-059-IMG-04", "R2-ISS-059-IMG-05", "R2-ISS-059-IMG-07", "R2-ISS-059-IMG-08", "R2-ISS-059-DESC", "R2-ISS-059-CUSTOMIZER", "R2-ISS-059-META-WORDING"]</t>
        </is>
      </c>
    </row>
    <row r="94" ht="42" customHeight="1">
      <c r="A94" s="2" t="inlineStr">
        <is>
          <t>jeminise.com+custom-floral-cross-bible-verse-blanket-machine-washable-d13</t>
        </is>
      </c>
      <c r="B94" s="2" t="inlineStr">
        <is>
          <t>K3</t>
        </is>
      </c>
      <c r="C94" s="2" t="n">
        <v>5</v>
      </c>
      <c r="D94" s="2" t="inlineStr">
        <is>
          <t>PARTIAL</t>
        </is>
      </c>
      <c r="E94" s="5">
        <f>IF(B94="I1",AVERAGEIF('QA_Images'!$A$2:$A$79,A94,'QA_Images'!$T$2:$T$79)/100,IF(D94="FULL",1,IF(D94="PARTIAL",0.5,IF(D94="FAIL",0,""))))</f>
        <v/>
      </c>
      <c r="F94" s="5">
        <f>IF(E94="",0,C94*E94)</f>
        <v/>
      </c>
      <c r="G94" s="5">
        <f>IF(B94="I1",20*AVERAGEIF('QA_Images'!$A$2:$A$79,A94,'QA_Images'!$U$2:$U$79)/100,IF(D94="NOT_CHECKED",0,C94))</f>
        <v/>
      </c>
      <c r="H94" s="2" t="inlineStr">
        <is>
          <t>Không suy diễn volume; phân biệt SERP_ONLY và HYPOTHESIS_ONLY.</t>
        </is>
      </c>
      <c r="I94" s="2" t="inlineStr">
        <is>
          <t>["evidence_batch_006_059", "https://jeminise.com/products/custom-floral-cross-bible-verse-blanket-machine-washable-d13", "serp_qa_059"]</t>
        </is>
      </c>
      <c r="J94" s="2" t="inlineStr">
        <is>
          <t>["R2-ISS-059-IMG-04", "R2-ISS-059-IMG-05", "R2-ISS-059-IMG-07", "R2-ISS-059-IMG-08", "R2-ISS-059-DESC", "R2-ISS-059-CUSTOMIZER", "R2-ISS-059-META-WORDING"]</t>
        </is>
      </c>
    </row>
    <row r="95" ht="42" customHeight="1">
      <c r="A95" s="3" t="inlineStr">
        <is>
          <t>jeminise.com+custom-floral-cross-bible-verse-blanket-machine-washable-d13</t>
        </is>
      </c>
      <c r="B95" s="3" t="inlineStr">
        <is>
          <t>T1</t>
        </is>
      </c>
      <c r="C95" s="3" t="n">
        <v>10</v>
      </c>
      <c r="D95" s="3" t="inlineStr">
        <is>
          <t>PARTIAL</t>
        </is>
      </c>
      <c r="E95" s="7">
        <f>IF(B95="I1",AVERAGEIF('QA_Images'!$A$2:$A$79,A95,'QA_Images'!$T$2:$T$79)/100,IF(D95="FULL",1,IF(D95="PARTIAL",0.5,IF(D95="FAIL",0,""))))</f>
        <v/>
      </c>
      <c r="F95" s="7">
        <f>IF(E95="",0,C95*E95)</f>
        <v/>
      </c>
      <c r="G95" s="7">
        <f>IF(B95="I1",20*AVERAGEIF('QA_Images'!$A$2:$A$79,A95,'QA_Images'!$U$2:$U$79)/100,IF(D95="NOT_CHECKED",0,C95))</f>
        <v/>
      </c>
      <c r="H95" s="3" t="inlineStr">
        <is>
          <t>Đánh giá SEO title English về độ đúng, tự nhiên, keyword và điểm phân biệt.</t>
        </is>
      </c>
      <c r="I95" s="3" t="inlineStr">
        <is>
          <t>["evidence_batch_006_059", "https://jeminise.com/products/custom-floral-cross-bible-verse-blanket-machine-washable-d13", "serp_qa_059"]</t>
        </is>
      </c>
      <c r="J95" s="3" t="inlineStr">
        <is>
          <t>["R2-ISS-059-IMG-04", "R2-ISS-059-IMG-05", "R2-ISS-059-IMG-07", "R2-ISS-059-IMG-08", "R2-ISS-059-DESC", "R2-ISS-059-CUSTOMIZER", "R2-ISS-059-META-WORDING"]</t>
        </is>
      </c>
    </row>
    <row r="96" ht="42" customHeight="1">
      <c r="A96" s="2" t="inlineStr">
        <is>
          <t>jeminise.com+custom-floral-cross-bible-verse-blanket-machine-washable-d13</t>
        </is>
      </c>
      <c r="B96" s="2" t="inlineStr">
        <is>
          <t>T2</t>
        </is>
      </c>
      <c r="C96" s="2" t="n">
        <v>5</v>
      </c>
      <c r="D96" s="2" t="inlineStr">
        <is>
          <t>PARTIAL</t>
        </is>
      </c>
      <c r="E96" s="5">
        <f>IF(B96="I1",AVERAGEIF('QA_Images'!$A$2:$A$79,A96,'QA_Images'!$T$2:$T$79)/100,IF(D96="FULL",1,IF(D96="PARTIAL",0.5,IF(D96="FAIL",0,""))))</f>
        <v/>
      </c>
      <c r="F96" s="5">
        <f>IF(E96="",0,C96*E96)</f>
        <v/>
      </c>
      <c r="G96" s="5">
        <f>IF(B96="I1",20*AVERAGEIF('QA_Images'!$A$2:$A$79,A96,'QA_Images'!$U$2:$U$79)/100,IF(D96="NOT_CHECKED",0,C96))</f>
        <v/>
      </c>
      <c r="H96" s="2" t="inlineStr">
        <is>
          <t>Đánh giá H1 đề xuất độc lập với SEO title và đối chiếu lỗi ký tự nguồn.</t>
        </is>
      </c>
      <c r="I96" s="2" t="inlineStr">
        <is>
          <t>["evidence_batch_006_059", "https://jeminise.com/products/custom-floral-cross-bible-verse-blanket-machine-washable-d13", "serp_qa_059"]</t>
        </is>
      </c>
      <c r="J96" s="2" t="inlineStr">
        <is>
          <t>["R2-ISS-059-IMG-04", "R2-ISS-059-IMG-05", "R2-ISS-059-IMG-07", "R2-ISS-059-IMG-08", "R2-ISS-059-DESC", "R2-ISS-059-CUSTOMIZER", "R2-ISS-059-META-WORDING"]</t>
        </is>
      </c>
    </row>
    <row r="97" ht="42" customHeight="1">
      <c r="A97" s="3" t="inlineStr">
        <is>
          <t>jeminise.com+custom-floral-cross-bible-verse-blanket-machine-washable-d13</t>
        </is>
      </c>
      <c r="B97" s="3" t="inlineStr">
        <is>
          <t>D1</t>
        </is>
      </c>
      <c r="C97" s="3" t="n">
        <v>5</v>
      </c>
      <c r="D97" s="3" t="inlineStr">
        <is>
          <t>PARTIAL</t>
        </is>
      </c>
      <c r="E97" s="7">
        <f>IF(B97="I1",AVERAGEIF('QA_Images'!$A$2:$A$79,A97,'QA_Images'!$T$2:$T$79)/100,IF(D97="FULL",1,IF(D97="PARTIAL",0.5,IF(D97="FAIL",0,""))))</f>
        <v/>
      </c>
      <c r="F97" s="7">
        <f>IF(E97="",0,C97*E97)</f>
        <v/>
      </c>
      <c r="G97" s="7">
        <f>IF(B97="I1",20*AVERAGEIF('QA_Images'!$A$2:$A$79,A97,'QA_Images'!$U$2:$U$79)/100,IF(D97="NOT_CHECKED",0,C97))</f>
        <v/>
      </c>
      <c r="H97" s="3" t="inlineStr">
        <is>
          <t>Đánh giá meta description về tính cụ thể và căn cứ claim.</t>
        </is>
      </c>
      <c r="I97" s="3" t="inlineStr">
        <is>
          <t>["evidence_batch_006_059", "https://jeminise.com/products/custom-floral-cross-bible-verse-blanket-machine-washable-d13", "serp_qa_059"]</t>
        </is>
      </c>
      <c r="J97" s="3" t="inlineStr">
        <is>
          <t>["R2-ISS-059-IMG-04", "R2-ISS-059-IMG-05", "R2-ISS-059-IMG-07", "R2-ISS-059-IMG-08", "R2-ISS-059-DESC", "R2-ISS-059-CUSTOMIZER", "R2-ISS-059-META-WORDING"]</t>
        </is>
      </c>
    </row>
    <row r="98" ht="42" customHeight="1">
      <c r="A98" s="2" t="inlineStr">
        <is>
          <t>jeminise.com+custom-floral-cross-bible-verse-blanket-machine-washable-d13</t>
        </is>
      </c>
      <c r="B98" s="2" t="inlineStr">
        <is>
          <t>D2</t>
        </is>
      </c>
      <c r="C98" s="2" t="n">
        <v>10</v>
      </c>
      <c r="D98" s="2" t="inlineStr">
        <is>
          <t>FAIL</t>
        </is>
      </c>
      <c r="E98" s="5">
        <f>IF(B98="I1",AVERAGEIF('QA_Images'!$A$2:$A$79,A98,'QA_Images'!$T$2:$T$79)/100,IF(D98="FULL",1,IF(D98="PARTIAL",0.5,IF(D98="FAIL",0,""))))</f>
        <v/>
      </c>
      <c r="F98" s="5">
        <f>IF(E98="",0,C98*E98)</f>
        <v/>
      </c>
      <c r="G98" s="5">
        <f>IF(B98="I1",20*AVERAGEIF('QA_Images'!$A$2:$A$79,A98,'QA_Images'!$U$2:$U$79)/100,IF(D98="NOT_CHECKED",0,C98))</f>
        <v/>
      </c>
      <c r="H98" s="2" t="inlineStr">
        <is>
          <t>Description SET có HTML đầy đủ nhưng chứa câu nội bộ 'This draft should be reviewed...' và dữ liệu nguồn thô/mâu thuẫn; chưa phải nội dung publish-ready.</t>
        </is>
      </c>
      <c r="I98" s="2" t="inlineStr">
        <is>
          <t>["evidence_batch_006_059", "https://jeminise.com/products/custom-floral-cross-bible-verse-blanket-machine-washable-d13", "serp_qa_059"]</t>
        </is>
      </c>
      <c r="J98" s="2" t="inlineStr">
        <is>
          <t>["R2-ISS-059-IMG-04", "R2-ISS-059-IMG-05", "R2-ISS-059-IMG-07", "R2-ISS-059-IMG-08", "R2-ISS-059-DESC", "R2-ISS-059-CUSTOMIZER", "R2-ISS-059-META-WORDING"]</t>
        </is>
      </c>
    </row>
    <row r="99" ht="42" customHeight="1">
      <c r="A99" s="3" t="inlineStr">
        <is>
          <t>jeminise.com+custom-floral-cross-bible-verse-blanket-machine-washable-d13</t>
        </is>
      </c>
      <c r="B99" s="3" t="inlineStr">
        <is>
          <t>I1</t>
        </is>
      </c>
      <c r="C99" s="3" t="n">
        <v>20</v>
      </c>
      <c r="D99" s="3" t="inlineStr">
        <is>
          <t>DERIVED</t>
        </is>
      </c>
      <c r="E99" s="7">
        <f>IF(B99="I1",AVERAGEIF('QA_Images'!$A$2:$A$79,A99,'QA_Images'!$T$2:$T$79)/100,IF(D99="FULL",1,IF(D99="PARTIAL",0.5,IF(D99="FAIL",0,""))))</f>
        <v/>
      </c>
      <c r="F99" s="7">
        <f>IF(E99="",0,C99*E99)</f>
        <v/>
      </c>
      <c r="G99" s="7">
        <f>IF(B99="I1",20*AVERAGEIF('QA_Images'!$A$2:$A$79,A99,'QA_Images'!$U$2:$U$79)/100,IF(D99="NOT_CHECKED",0,C99))</f>
        <v/>
      </c>
      <c r="H99" s="3" t="inlineStr">
        <is>
          <t>Tính từ trung bình 8 ảnh: 75.0000/100.</t>
        </is>
      </c>
      <c r="I99" s="3" t="inlineStr">
        <is>
          <t>["evidence_batch_006_059", "https://jeminise.com/products/custom-floral-cross-bible-verse-blanket-machine-washable-d13", "serp_qa_059"]</t>
        </is>
      </c>
      <c r="J99" s="3" t="inlineStr">
        <is>
          <t>["R2-ISS-059-IMG-04", "R2-ISS-059-IMG-05", "R2-ISS-059-IMG-07", "R2-ISS-059-IMG-08", "R2-ISS-059-DESC", "R2-ISS-059-CUSTOMIZER", "R2-ISS-059-META-WORDING"]</t>
        </is>
      </c>
    </row>
    <row r="100" ht="42" customHeight="1">
      <c r="A100" s="2" t="inlineStr">
        <is>
          <t>jeminise.com+custom-floral-cross-bible-verse-blanket-machine-washable-d13</t>
        </is>
      </c>
      <c r="B100" s="2" t="inlineStr">
        <is>
          <t>E1</t>
        </is>
      </c>
      <c r="C100" s="2" t="n">
        <v>5</v>
      </c>
      <c r="D100" s="2" t="inlineStr">
        <is>
          <t>PARTIAL</t>
        </is>
      </c>
      <c r="E100" s="5">
        <f>IF(B100="I1",AVERAGEIF('QA_Images'!$A$2:$A$79,A100,'QA_Images'!$T$2:$T$79)/100,IF(D100="FULL",1,IF(D100="PARTIAL",0.5,IF(D100="FAIL",0,""))))</f>
        <v/>
      </c>
      <c r="F100" s="5">
        <f>IF(E100="",0,C100*E100)</f>
        <v/>
      </c>
      <c r="G100" s="5">
        <f>IF(B100="I1",20*AVERAGEIF('QA_Images'!$A$2:$A$79,A100,'QA_Images'!$U$2:$U$79)/100,IF(D100="NOT_CHECKED",0,C100))</f>
        <v/>
      </c>
      <c r="H100" s="2" t="inlineStr">
        <is>
          <t>Kiểm tra chuỗi evidence và giới hạn do thiếu Shopify admin export.</t>
        </is>
      </c>
      <c r="I100" s="2" t="inlineStr">
        <is>
          <t>["evidence_batch_006_059", "https://jeminise.com/products/custom-floral-cross-bible-verse-blanket-machine-washable-d13", "serp_qa_059"]</t>
        </is>
      </c>
      <c r="J100" s="2" t="inlineStr">
        <is>
          <t>["R2-ISS-059-IMG-04", "R2-ISS-059-IMG-05", "R2-ISS-059-IMG-07", "R2-ISS-059-IMG-08", "R2-ISS-059-DESC", "R2-ISS-059-CUSTOMIZER", "R2-ISS-059-META-WORDING"]</t>
        </is>
      </c>
    </row>
    <row r="101" ht="42" customHeight="1">
      <c r="A101" s="3" t="inlineStr">
        <is>
          <t>jeminise.com+custom-floral-cross-with-butterflies-blanket-machine-washable-d6</t>
        </is>
      </c>
      <c r="B101" s="3" t="inlineStr">
        <is>
          <t>P1</t>
        </is>
      </c>
      <c r="C101" s="3" t="n">
        <v>15</v>
      </c>
      <c r="D101" s="3" t="inlineStr">
        <is>
          <t>FULL</t>
        </is>
      </c>
      <c r="E101" s="7">
        <f>IF(B101="I1",AVERAGEIF('QA_Images'!$A$2:$A$79,A101,'QA_Images'!$T$2:$T$79)/100,IF(D101="FULL",1,IF(D101="PARTIAL",0.5,IF(D101="FAIL",0,""))))</f>
        <v/>
      </c>
      <c r="F101" s="7">
        <f>IF(E101="",0,C101*E101)</f>
        <v/>
      </c>
      <c r="G101" s="7">
        <f>IF(B101="I1",20*AVERAGEIF('QA_Images'!$A$2:$A$79,A101,'QA_Images'!$U$2:$U$79)/100,IF(D101="NOT_CHECKED",0,C101))</f>
        <v/>
      </c>
      <c r="H101" s="3" t="inlineStr">
        <is>
          <t>Đối chiếu loại sản phẩm, thiết kế và màu với product JSON, H1 live và toàn bộ gallery.</t>
        </is>
      </c>
      <c r="I101" s="3" t="inlineStr">
        <is>
          <t>["evidence_batch_006_060", "https://jeminise.com/products/custom-floral-cross-with-butterflies-blanket-machine-washable-d6", "serp_qa_060"]</t>
        </is>
      </c>
      <c r="J101" s="3" t="inlineStr">
        <is>
          <t>["R2-ISS-060-DESC", "R2-ISS-060-CUSTOMIZER", "R2-ISS-060-META-WORDING", "R2-ISS-060-ALTGEN"]</t>
        </is>
      </c>
    </row>
    <row r="102" ht="42" customHeight="1">
      <c r="A102" s="2" t="inlineStr">
        <is>
          <t>jeminise.com+custom-floral-cross-with-butterflies-blanket-machine-washable-d6</t>
        </is>
      </c>
      <c r="B102" s="2" t="inlineStr">
        <is>
          <t>P2</t>
        </is>
      </c>
      <c r="C102" s="2" t="n">
        <v>10</v>
      </c>
      <c r="D102" s="2" t="inlineStr">
        <is>
          <t>PARTIAL</t>
        </is>
      </c>
      <c r="E102" s="5">
        <f>IF(B102="I1",AVERAGEIF('QA_Images'!$A$2:$A$79,A102,'QA_Images'!$T$2:$T$79)/100,IF(D102="FULL",1,IF(D102="PARTIAL",0.5,IF(D102="FAIL",0,""))))</f>
        <v/>
      </c>
      <c r="F102" s="5">
        <f>IF(E102="",0,C102*E102)</f>
        <v/>
      </c>
      <c r="G102" s="5">
        <f>IF(B102="I1",20*AVERAGEIF('QA_Images'!$A$2:$A$79,A102,'QA_Images'!$U$2:$U$79)/100,IF(D102="NOT_CHECKED",0,C102))</f>
        <v/>
      </c>
      <c r="H102" s="2" t="inlineStr">
        <is>
          <t>Đối chiếu specification, variants, components và personalization với product.js live và ảnh gốc.</t>
        </is>
      </c>
      <c r="I102" s="2" t="inlineStr">
        <is>
          <t>["evidence_batch_006_060", "https://jeminise.com/products/custom-floral-cross-with-butterflies-blanket-machine-washable-d6", "serp_qa_060"]</t>
        </is>
      </c>
      <c r="J102" s="2" t="inlineStr">
        <is>
          <t>["R2-ISS-060-DESC", "R2-ISS-060-CUSTOMIZER", "R2-ISS-060-META-WORDING", "R2-ISS-060-ALTGEN"]</t>
        </is>
      </c>
    </row>
    <row r="103" ht="42" customHeight="1">
      <c r="A103" s="3" t="inlineStr">
        <is>
          <t>jeminise.com+custom-floral-cross-with-butterflies-blanket-machine-washable-d6</t>
        </is>
      </c>
      <c r="B103" s="3" t="inlineStr">
        <is>
          <t>K1</t>
        </is>
      </c>
      <c r="C103" s="3" t="n">
        <v>10</v>
      </c>
      <c r="D103" s="3" t="inlineStr">
        <is>
          <t>FULL</t>
        </is>
      </c>
      <c r="E103" s="7">
        <f>IF(B103="I1",AVERAGEIF('QA_Images'!$A$2:$A$79,A103,'QA_Images'!$T$2:$T$79)/100,IF(D103="FULL",1,IF(D103="PARTIAL",0.5,IF(D103="FAIL",0,""))))</f>
        <v/>
      </c>
      <c r="F103" s="7">
        <f>IF(E103="",0,C103*E103)</f>
        <v/>
      </c>
      <c r="G103" s="7">
        <f>IF(B103="I1",20*AVERAGEIF('QA_Images'!$A$2:$A$79,A103,'QA_Images'!$U$2:$U$79)/100,IF(D103="NOT_CHECKED",0,C103))</f>
        <v/>
      </c>
      <c r="H103" s="3" t="inlineStr">
        <is>
          <t>Đối chiếu long-tail với thiết kế riêng và nguy cơ trùng intent trong cụm sản phẩm.</t>
        </is>
      </c>
      <c r="I103" s="3" t="inlineStr">
        <is>
          <t>["evidence_batch_006_060", "https://jeminise.com/products/custom-floral-cross-with-butterflies-blanket-machine-washable-d6", "serp_qa_060"]</t>
        </is>
      </c>
      <c r="J103" s="3" t="inlineStr">
        <is>
          <t>["R2-ISS-060-DESC", "R2-ISS-060-CUSTOMIZER", "R2-ISS-060-META-WORDING", "R2-ISS-060-ALTGEN"]</t>
        </is>
      </c>
    </row>
    <row r="104" ht="42" customHeight="1">
      <c r="A104" s="2" t="inlineStr">
        <is>
          <t>jeminise.com+custom-floral-cross-with-butterflies-blanket-machine-washable-d6</t>
        </is>
      </c>
      <c r="B104" s="2" t="inlineStr">
        <is>
          <t>K2</t>
        </is>
      </c>
      <c r="C104" s="2" t="n">
        <v>5</v>
      </c>
      <c r="D104" s="2" t="inlineStr">
        <is>
          <t>FULL</t>
        </is>
      </c>
      <c r="E104" s="5">
        <f>IF(B104="I1",AVERAGEIF('QA_Images'!$A$2:$A$79,A104,'QA_Images'!$T$2:$T$79)/100,IF(D104="FULL",1,IF(D104="PARTIAL",0.5,IF(D104="FAIL",0,""))))</f>
        <v/>
      </c>
      <c r="F104" s="5">
        <f>IF(E104="",0,C104*E104)</f>
        <v/>
      </c>
      <c r="G104" s="5">
        <f>IF(B104="I1",20*AVERAGEIF('QA_Images'!$A$2:$A$79,A104,'QA_Images'!$U$2:$U$79)/100,IF(D104="NOT_CHECKED",0,C104))</f>
        <v/>
      </c>
      <c r="H104" s="2" t="inlineStr">
        <is>
          <t>Đã đọc primary và comparator SERP theo US commercial intent; không dùng claim volume.</t>
        </is>
      </c>
      <c r="I104" s="2" t="inlineStr">
        <is>
          <t>["evidence_batch_006_060", "https://jeminise.com/products/custom-floral-cross-with-butterflies-blanket-machine-washable-d6", "serp_qa_060"]</t>
        </is>
      </c>
      <c r="J104" s="2" t="inlineStr">
        <is>
          <t>["R2-ISS-060-DESC", "R2-ISS-060-CUSTOMIZER", "R2-ISS-060-META-WORDING", "R2-ISS-060-ALTGEN"]</t>
        </is>
      </c>
    </row>
    <row r="105" ht="42" customHeight="1">
      <c r="A105" s="3" t="inlineStr">
        <is>
          <t>jeminise.com+custom-floral-cross-with-butterflies-blanket-machine-washable-d6</t>
        </is>
      </c>
      <c r="B105" s="3" t="inlineStr">
        <is>
          <t>K3</t>
        </is>
      </c>
      <c r="C105" s="3" t="n">
        <v>5</v>
      </c>
      <c r="D105" s="3" t="inlineStr">
        <is>
          <t>PARTIAL</t>
        </is>
      </c>
      <c r="E105" s="7">
        <f>IF(B105="I1",AVERAGEIF('QA_Images'!$A$2:$A$79,A105,'QA_Images'!$T$2:$T$79)/100,IF(D105="FULL",1,IF(D105="PARTIAL",0.5,IF(D105="FAIL",0,""))))</f>
        <v/>
      </c>
      <c r="F105" s="7">
        <f>IF(E105="",0,C105*E105)</f>
        <v/>
      </c>
      <c r="G105" s="7">
        <f>IF(B105="I1",20*AVERAGEIF('QA_Images'!$A$2:$A$79,A105,'QA_Images'!$U$2:$U$79)/100,IF(D105="NOT_CHECKED",0,C105))</f>
        <v/>
      </c>
      <c r="H105" s="3" t="inlineStr">
        <is>
          <t>Không suy diễn volume; phân biệt SERP_ONLY và HYPOTHESIS_ONLY.</t>
        </is>
      </c>
      <c r="I105" s="3" t="inlineStr">
        <is>
          <t>["evidence_batch_006_060", "https://jeminise.com/products/custom-floral-cross-with-butterflies-blanket-machine-washable-d6", "serp_qa_060"]</t>
        </is>
      </c>
      <c r="J105" s="3" t="inlineStr">
        <is>
          <t>["R2-ISS-060-DESC", "R2-ISS-060-CUSTOMIZER", "R2-ISS-060-META-WORDING", "R2-ISS-060-ALTGEN"]</t>
        </is>
      </c>
    </row>
    <row r="106" ht="42" customHeight="1">
      <c r="A106" s="2" t="inlineStr">
        <is>
          <t>jeminise.com+custom-floral-cross-with-butterflies-blanket-machine-washable-d6</t>
        </is>
      </c>
      <c r="B106" s="2" t="inlineStr">
        <is>
          <t>T1</t>
        </is>
      </c>
      <c r="C106" s="2" t="n">
        <v>10</v>
      </c>
      <c r="D106" s="2" t="inlineStr">
        <is>
          <t>PARTIAL</t>
        </is>
      </c>
      <c r="E106" s="5">
        <f>IF(B106="I1",AVERAGEIF('QA_Images'!$A$2:$A$79,A106,'QA_Images'!$T$2:$T$79)/100,IF(D106="FULL",1,IF(D106="PARTIAL",0.5,IF(D106="FAIL",0,""))))</f>
        <v/>
      </c>
      <c r="F106" s="5">
        <f>IF(E106="",0,C106*E106)</f>
        <v/>
      </c>
      <c r="G106" s="5">
        <f>IF(B106="I1",20*AVERAGEIF('QA_Images'!$A$2:$A$79,A106,'QA_Images'!$U$2:$U$79)/100,IF(D106="NOT_CHECKED",0,C106))</f>
        <v/>
      </c>
      <c r="H106" s="2" t="inlineStr">
        <is>
          <t>Đánh giá SEO title English về độ đúng, tự nhiên, keyword và điểm phân biệt.</t>
        </is>
      </c>
      <c r="I106" s="2" t="inlineStr">
        <is>
          <t>["evidence_batch_006_060", "https://jeminise.com/products/custom-floral-cross-with-butterflies-blanket-machine-washable-d6", "serp_qa_060"]</t>
        </is>
      </c>
      <c r="J106" s="2" t="inlineStr">
        <is>
          <t>["R2-ISS-060-DESC", "R2-ISS-060-CUSTOMIZER", "R2-ISS-060-META-WORDING", "R2-ISS-060-ALTGEN"]</t>
        </is>
      </c>
    </row>
    <row r="107" ht="42" customHeight="1">
      <c r="A107" s="3" t="inlineStr">
        <is>
          <t>jeminise.com+custom-floral-cross-with-butterflies-blanket-machine-washable-d6</t>
        </is>
      </c>
      <c r="B107" s="3" t="inlineStr">
        <is>
          <t>T2</t>
        </is>
      </c>
      <c r="C107" s="3" t="n">
        <v>5</v>
      </c>
      <c r="D107" s="3" t="inlineStr">
        <is>
          <t>PARTIAL</t>
        </is>
      </c>
      <c r="E107" s="7">
        <f>IF(B107="I1",AVERAGEIF('QA_Images'!$A$2:$A$79,A107,'QA_Images'!$T$2:$T$79)/100,IF(D107="FULL",1,IF(D107="PARTIAL",0.5,IF(D107="FAIL",0,""))))</f>
        <v/>
      </c>
      <c r="F107" s="7">
        <f>IF(E107="",0,C107*E107)</f>
        <v/>
      </c>
      <c r="G107" s="7">
        <f>IF(B107="I1",20*AVERAGEIF('QA_Images'!$A$2:$A$79,A107,'QA_Images'!$U$2:$U$79)/100,IF(D107="NOT_CHECKED",0,C107))</f>
        <v/>
      </c>
      <c r="H107" s="3" t="inlineStr">
        <is>
          <t>Đánh giá H1 đề xuất độc lập với SEO title và đối chiếu lỗi ký tự nguồn.</t>
        </is>
      </c>
      <c r="I107" s="3" t="inlineStr">
        <is>
          <t>["evidence_batch_006_060", "https://jeminise.com/products/custom-floral-cross-with-butterflies-blanket-machine-washable-d6", "serp_qa_060"]</t>
        </is>
      </c>
      <c r="J107" s="3" t="inlineStr">
        <is>
          <t>["R2-ISS-060-DESC", "R2-ISS-060-CUSTOMIZER", "R2-ISS-060-META-WORDING", "R2-ISS-060-ALTGEN"]</t>
        </is>
      </c>
    </row>
    <row r="108" ht="42" customHeight="1">
      <c r="A108" s="2" t="inlineStr">
        <is>
          <t>jeminise.com+custom-floral-cross-with-butterflies-blanket-machine-washable-d6</t>
        </is>
      </c>
      <c r="B108" s="2" t="inlineStr">
        <is>
          <t>D1</t>
        </is>
      </c>
      <c r="C108" s="2" t="n">
        <v>5</v>
      </c>
      <c r="D108" s="2" t="inlineStr">
        <is>
          <t>PARTIAL</t>
        </is>
      </c>
      <c r="E108" s="5">
        <f>IF(B108="I1",AVERAGEIF('QA_Images'!$A$2:$A$79,A108,'QA_Images'!$T$2:$T$79)/100,IF(D108="FULL",1,IF(D108="PARTIAL",0.5,IF(D108="FAIL",0,""))))</f>
        <v/>
      </c>
      <c r="F108" s="5">
        <f>IF(E108="",0,C108*E108)</f>
        <v/>
      </c>
      <c r="G108" s="5">
        <f>IF(B108="I1",20*AVERAGEIF('QA_Images'!$A$2:$A$79,A108,'QA_Images'!$U$2:$U$79)/100,IF(D108="NOT_CHECKED",0,C108))</f>
        <v/>
      </c>
      <c r="H108" s="2" t="inlineStr">
        <is>
          <t>Đánh giá meta description về tính cụ thể và căn cứ claim.</t>
        </is>
      </c>
      <c r="I108" s="2" t="inlineStr">
        <is>
          <t>["evidence_batch_006_060", "https://jeminise.com/products/custom-floral-cross-with-butterflies-blanket-machine-washable-d6", "serp_qa_060"]</t>
        </is>
      </c>
      <c r="J108" s="2" t="inlineStr">
        <is>
          <t>["R2-ISS-060-DESC", "R2-ISS-060-CUSTOMIZER", "R2-ISS-060-META-WORDING", "R2-ISS-060-ALTGEN"]</t>
        </is>
      </c>
    </row>
    <row r="109" ht="42" customHeight="1">
      <c r="A109" s="3" t="inlineStr">
        <is>
          <t>jeminise.com+custom-floral-cross-with-butterflies-blanket-machine-washable-d6</t>
        </is>
      </c>
      <c r="B109" s="3" t="inlineStr">
        <is>
          <t>D2</t>
        </is>
      </c>
      <c r="C109" s="3" t="n">
        <v>10</v>
      </c>
      <c r="D109" s="3" t="inlineStr">
        <is>
          <t>FAIL</t>
        </is>
      </c>
      <c r="E109" s="7">
        <f>IF(B109="I1",AVERAGEIF('QA_Images'!$A$2:$A$79,A109,'QA_Images'!$T$2:$T$79)/100,IF(D109="FULL",1,IF(D109="PARTIAL",0.5,IF(D109="FAIL",0,""))))</f>
        <v/>
      </c>
      <c r="F109" s="7">
        <f>IF(E109="",0,C109*E109)</f>
        <v/>
      </c>
      <c r="G109" s="7">
        <f>IF(B109="I1",20*AVERAGEIF('QA_Images'!$A$2:$A$79,A109,'QA_Images'!$U$2:$U$79)/100,IF(D109="NOT_CHECKED",0,C109))</f>
        <v/>
      </c>
      <c r="H109" s="3" t="inlineStr">
        <is>
          <t>Description SET có HTML đầy đủ nhưng chứa câu nội bộ 'This draft should be reviewed...' và dữ liệu nguồn thô/mâu thuẫn; chưa phải nội dung publish-ready.</t>
        </is>
      </c>
      <c r="I109" s="3" t="inlineStr">
        <is>
          <t>["evidence_batch_006_060", "https://jeminise.com/products/custom-floral-cross-with-butterflies-blanket-machine-washable-d6", "serp_qa_060"]</t>
        </is>
      </c>
      <c r="J109" s="3" t="inlineStr">
        <is>
          <t>["R2-ISS-060-DESC", "R2-ISS-060-CUSTOMIZER", "R2-ISS-060-META-WORDING", "R2-ISS-060-ALTGEN"]</t>
        </is>
      </c>
    </row>
    <row r="110" ht="42" customHeight="1">
      <c r="A110" s="2" t="inlineStr">
        <is>
          <t>jeminise.com+custom-floral-cross-with-butterflies-blanket-machine-washable-d6</t>
        </is>
      </c>
      <c r="B110" s="2" t="inlineStr">
        <is>
          <t>I1</t>
        </is>
      </c>
      <c r="C110" s="2" t="n">
        <v>20</v>
      </c>
      <c r="D110" s="2" t="inlineStr">
        <is>
          <t>DERIVED</t>
        </is>
      </c>
      <c r="E110" s="5">
        <f>IF(B110="I1",AVERAGEIF('QA_Images'!$A$2:$A$79,A110,'QA_Images'!$T$2:$T$79)/100,IF(D110="FULL",1,IF(D110="PARTIAL",0.5,IF(D110="FAIL",0,""))))</f>
        <v/>
      </c>
      <c r="F110" s="5">
        <f>IF(E110="",0,C110*E110)</f>
        <v/>
      </c>
      <c r="G110" s="5">
        <f>IF(B110="I1",20*AVERAGEIF('QA_Images'!$A$2:$A$79,A110,'QA_Images'!$U$2:$U$79)/100,IF(D110="NOT_CHECKED",0,C110))</f>
        <v/>
      </c>
      <c r="H110" s="2" t="inlineStr">
        <is>
          <t>Tính từ trung bình 8 ảnh: 100.0000/100.</t>
        </is>
      </c>
      <c r="I110" s="2" t="inlineStr">
        <is>
          <t>["evidence_batch_006_060", "https://jeminise.com/products/custom-floral-cross-with-butterflies-blanket-machine-washable-d6", "serp_qa_060"]</t>
        </is>
      </c>
      <c r="J110" s="2" t="inlineStr">
        <is>
          <t>["R2-ISS-060-DESC", "R2-ISS-060-CUSTOMIZER", "R2-ISS-060-META-WORDING", "R2-ISS-060-ALTGEN"]</t>
        </is>
      </c>
    </row>
    <row r="111" ht="42" customHeight="1">
      <c r="A111" s="3" t="inlineStr">
        <is>
          <t>jeminise.com+custom-floral-cross-with-butterflies-blanket-machine-washable-d6</t>
        </is>
      </c>
      <c r="B111" s="3" t="inlineStr">
        <is>
          <t>E1</t>
        </is>
      </c>
      <c r="C111" s="3" t="n">
        <v>5</v>
      </c>
      <c r="D111" s="3" t="inlineStr">
        <is>
          <t>PARTIAL</t>
        </is>
      </c>
      <c r="E111" s="7">
        <f>IF(B111="I1",AVERAGEIF('QA_Images'!$A$2:$A$79,A111,'QA_Images'!$T$2:$T$79)/100,IF(D111="FULL",1,IF(D111="PARTIAL",0.5,IF(D111="FAIL",0,""))))</f>
        <v/>
      </c>
      <c r="F111" s="7">
        <f>IF(E111="",0,C111*E111)</f>
        <v/>
      </c>
      <c r="G111" s="7">
        <f>IF(B111="I1",20*AVERAGEIF('QA_Images'!$A$2:$A$79,A111,'QA_Images'!$U$2:$U$79)/100,IF(D111="NOT_CHECKED",0,C111))</f>
        <v/>
      </c>
      <c r="H111" s="3" t="inlineStr">
        <is>
          <t>Kiểm tra chuỗi evidence và giới hạn do thiếu Shopify admin export.</t>
        </is>
      </c>
      <c r="I111" s="3" t="inlineStr">
        <is>
          <t>["evidence_batch_006_060", "https://jeminise.com/products/custom-floral-cross-with-butterflies-blanket-machine-washable-d6", "serp_qa_060"]</t>
        </is>
      </c>
      <c r="J111" s="3" t="inlineStr">
        <is>
          <t>["R2-ISS-060-DESC", "R2-ISS-060-CUSTOMIZER", "R2-ISS-060-META-WORDING", "R2-ISS-060-ALTGEN"]</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79"/>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3"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jeminise.com+custom-christian-scripture-floral-blanket-machine-washable-d10</t>
        </is>
      </c>
      <c r="B2" s="2" t="inlineStr">
        <is>
          <t>qaimg_c18418825bfea174</t>
        </is>
      </c>
      <c r="C2" s="4" t="inlineStr">
        <is>
          <t>https://cdn.shopify.com/s/files/1/0792/5098/1063/files/14dd0c0f30fcfd28e1f8975ca547107bf2f18cd4e870a1c4dd402fb77fa109ae.jpg?v=1786596944</t>
        </is>
      </c>
      <c r="D2" s="4" t="inlineStr">
        <is>
          <t>https://cdn.shopify.com/s/files/1/0792/5098/1063/files/14dd0c0f30fcfd28e1f8975ca547107bf2f18cd4e870a1c4dd402fb77fa109ae.jpg?v=1786596944</t>
        </is>
      </c>
      <c r="E2" s="2" t="inlineStr">
        <is>
          <t>38793483976903</t>
        </is>
      </c>
      <c r="F2" s="2" t="inlineStr">
        <is>
          <t>47830609887431</t>
        </is>
      </c>
      <c r="G2" s="2" t="inlineStr"/>
      <c r="H2" s="2" t="inlineStr">
        <is>
          <t>GALLERY</t>
        </is>
      </c>
      <c r="I2" s="2" t="inlineStr">
        <is>
          <t>DIRECT_ORIGINAL_IMAGE</t>
        </is>
      </c>
      <c r="J2" s="2" t="inlineStr">
        <is>
          <t>2026-09-07T16:34:57.821765+07:00</t>
        </is>
      </c>
      <c r="K2" s="2" t="inlineStr">
        <is>
          <t>Woman holding a pink floral God Says I Am blanket with the sample name EMILY, acrostic Bible references and Philippians 4:13.</t>
        </is>
      </c>
      <c r="L2" s="2" t="inlineStr">
        <is>
          <t>Main product mockup showing personalized God Says I Am Emily blanket in pink.</t>
        </is>
      </c>
      <c r="M2" s="2" t="inlineStr">
        <is>
          <t>Custom Christian scripture floral Blanket, Machine Washable</t>
        </is>
      </c>
      <c r="N2" s="2" t="inlineStr">
        <is>
          <t>SET</t>
        </is>
      </c>
      <c r="O2" s="2" t="inlineStr">
        <is>
          <t>God Says I Am Emily Blanket displayed in a main product mockup</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["seo_runs\\jeminise.com\\20260906_234129\\evidence\\images\\51_custom-christian-scripture-floral-blanket-machine-washable-d10\\image_01_47830609887431.jpg; seo_runs\\jeminise.com\\20260906_234129\\evidence\\contact_sheets\\51_custom-christian-scripture-floral-blanket-machine-washable-d10.jpg", "https://jeminise.com/products/custom-christian-scripture-floral-blanket-machine-washable-d10", "https://cdn.shopify.com/s/files/1/0792/5098/1063/files/14dd0c0f30fcfd28e1f8975ca547107bf2f18cd4e870a1c4dd402fb77fa109ae.jpg?v=1786596944"]</t>
        </is>
      </c>
    </row>
    <row r="3" ht="66" customHeight="1">
      <c r="A3" s="3" t="inlineStr">
        <is>
          <t>jeminise.com+custom-christian-scripture-floral-blanket-machine-washable-d10</t>
        </is>
      </c>
      <c r="B3" s="3" t="inlineStr">
        <is>
          <t>qaimg_64d5d97fcfd5465a</t>
        </is>
      </c>
      <c r="C3" s="4" t="inlineStr">
        <is>
          <t>https://cdn.shopify.com/s/files/1/0792/5098/1063/files/3035ddad60f0c45fa193d7a6451a2fc3df75aa29b39b6303c8de9ae138c1fa7a.jpg?v=1786596944</t>
        </is>
      </c>
      <c r="D3" s="4" t="inlineStr">
        <is>
          <t>https://cdn.shopify.com/s/files/1/0792/5098/1063/files/3035ddad60f0c45fa193d7a6451a2fc3df75aa29b39b6303c8de9ae138c1fa7a.jpg?v=1786596944</t>
        </is>
      </c>
      <c r="E3" s="3" t="inlineStr">
        <is>
          <t>38793484009671</t>
        </is>
      </c>
      <c r="F3" s="3" t="inlineStr">
        <is>
          <t>47830609920199</t>
        </is>
      </c>
      <c r="G3" s="3" t="inlineStr"/>
      <c r="H3" s="3" t="inlineStr">
        <is>
          <t>GALLERY</t>
        </is>
      </c>
      <c r="I3" s="3" t="inlineStr">
        <is>
          <t>DIRECT_ORIGINAL_IMAGE</t>
        </is>
      </c>
      <c r="J3" s="3" t="inlineStr">
        <is>
          <t>2026-09-07T16:34:57.821765+07:00</t>
        </is>
      </c>
      <c r="K3" s="3" t="inlineStr">
        <is>
          <t>Isolated mockup of the pink EMILY God Says I Am blanket.</t>
        </is>
      </c>
      <c r="L3" s="3" t="inlineStr">
        <is>
          <t>Flat, feature or secondary mockup showing personalized God Says I Am Emily blanket in pink.</t>
        </is>
      </c>
      <c r="M3" s="3" t="inlineStr">
        <is>
          <t>Custom Christian scripture floral Blanket, Machine Washable</t>
        </is>
      </c>
      <c r="N3" s="3" t="inlineStr">
        <is>
          <t>SET</t>
        </is>
      </c>
      <c r="O3" s="3" t="inlineStr">
        <is>
          <t>Secondary mockup of God Says I Am Emily Blanket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["seo_runs\\jeminise.com\\20260906_234129\\evidence\\images\\51_custom-christian-scripture-floral-blanket-machine-washable-d10\\image_02_47830609920199.jpg; seo_runs\\jeminise.com\\20260906_234129\\evidence\\contact_sheets\\51_custom-christian-scripture-floral-blanket-machine-washable-d10.jpg", "https://jeminise.com/products/custom-christian-scripture-floral-blanket-machine-washable-d10", "https://cdn.shopify.com/s/files/1/0792/5098/1063/files/3035ddad60f0c45fa193d7a6451a2fc3df75aa29b39b6303c8de9ae138c1fa7a.jpg?v=1786596944"]</t>
        </is>
      </c>
    </row>
    <row r="4" ht="66" customHeight="1">
      <c r="A4" s="2" t="inlineStr">
        <is>
          <t>jeminise.com+custom-christian-scripture-floral-blanket-machine-washable-d10</t>
        </is>
      </c>
      <c r="B4" s="2" t="inlineStr">
        <is>
          <t>qaimg_e1afc0301740a60f</t>
        </is>
      </c>
      <c r="C4" s="4" t="inlineStr">
        <is>
          <t>https://cdn.shopify.com/s/files/1/0792/5098/1063/files/55f355538113be81167be98854e695de1038b0d76b233b5b75d00ebe3809b04a.jpg?v=1786596944</t>
        </is>
      </c>
      <c r="D4" s="4" t="inlineStr">
        <is>
          <t>https://cdn.shopify.com/s/files/1/0792/5098/1063/files/55f355538113be81167be98854e695de1038b0d76b233b5b75d00ebe3809b04a.jpg?v=1786596944</t>
        </is>
      </c>
      <c r="E4" s="2" t="inlineStr">
        <is>
          <t>38793484042439</t>
        </is>
      </c>
      <c r="F4" s="2" t="inlineStr">
        <is>
          <t>47830609952967</t>
        </is>
      </c>
      <c r="G4" s="2" t="inlineStr"/>
      <c r="H4" s="2" t="inlineStr">
        <is>
          <t>GALLERY</t>
        </is>
      </c>
      <c r="I4" s="2" t="inlineStr">
        <is>
          <t>DIRECT_ORIGINAL_IMAGE</t>
        </is>
      </c>
      <c r="J4" s="2" t="inlineStr">
        <is>
          <t>2026-09-07T16:34:57.821765+07:00</t>
        </is>
      </c>
      <c r="K4" s="2" t="inlineStr">
        <is>
          <t>Pink EMILY scripture blanket draped over a sofa.</t>
        </is>
      </c>
      <c r="L4" s="2" t="inlineStr">
        <is>
          <t>Lifestyle or bedroom mockup connected to personalized God Says I Am Emily blanket in pink.</t>
        </is>
      </c>
      <c r="M4" s="2" t="inlineStr">
        <is>
          <t>Custom Christian scripture floral Blanket, Machine Washable</t>
        </is>
      </c>
      <c r="N4" s="2" t="inlineStr">
        <is>
          <t>SET</t>
        </is>
      </c>
      <c r="O4" s="2" t="inlineStr">
        <is>
          <t>Lifestyle or bedroom view of God Says I Am Emily Blanket</t>
        </is>
      </c>
      <c r="P4" s="2" t="inlineStr">
        <is>
          <t>FULL</t>
        </is>
      </c>
      <c r="Q4" s="2" t="inlineStr">
        <is>
          <t>FULL</t>
        </is>
      </c>
      <c r="R4" s="2" t="inlineStr">
        <is>
          <t>FULL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t>
        </is>
      </c>
      <c r="Z4" s="2" t="inlineStr">
        <is>
          <t>["seo_runs\\jeminise.com\\20260906_234129\\evidence\\images\\51_custom-christian-scripture-floral-blanket-machine-washable-d10\\image_03_47830609952967.jpg; seo_runs\\jeminise.com\\20260906_234129\\evidence\\contact_sheets\\51_custom-christian-scripture-floral-blanket-machine-washable-d10.jpg", "https://jeminise.com/products/custom-christian-scripture-floral-blanket-machine-washable-d10", "https://cdn.shopify.com/s/files/1/0792/5098/1063/files/55f355538113be81167be98854e695de1038b0d76b233b5b75d00ebe3809b04a.jpg?v=1786596944"]</t>
        </is>
      </c>
    </row>
    <row r="5" ht="66" customHeight="1">
      <c r="A5" s="3" t="inlineStr">
        <is>
          <t>jeminise.com+custom-christian-scripture-floral-blanket-machine-washable-d10</t>
        </is>
      </c>
      <c r="B5" s="3" t="inlineStr">
        <is>
          <t>qaimg_0ffbb6c39559aba9</t>
        </is>
      </c>
      <c r="C5" s="4" t="inlineStr">
        <is>
          <t>https://cdn.shopify.com/s/files/1/0792/5098/1063/files/f080c96407dbf1941ada8d3611cbf5489f32ed2db06c951fda081e2d9bd1746e.jpg?v=1786596944</t>
        </is>
      </c>
      <c r="D5" s="4" t="inlineStr">
        <is>
          <t>https://cdn.shopify.com/s/files/1/0792/5098/1063/files/f080c96407dbf1941ada8d3611cbf5489f32ed2db06c951fda081e2d9bd1746e.jpg?v=1786596944</t>
        </is>
      </c>
      <c r="E5" s="3" t="inlineStr">
        <is>
          <t>38793484075207</t>
        </is>
      </c>
      <c r="F5" s="3" t="inlineStr">
        <is>
          <t>47830609985735</t>
        </is>
      </c>
      <c r="G5" s="3" t="inlineStr"/>
      <c r="H5" s="3" t="inlineStr">
        <is>
          <t>GALLERY</t>
        </is>
      </c>
      <c r="I5" s="3" t="inlineStr">
        <is>
          <t>DIRECT_ORIGINAL_IMAGE</t>
        </is>
      </c>
      <c r="J5" s="3" t="inlineStr">
        <is>
          <t>2026-09-07T16:34:57.821765+07:00</t>
        </is>
      </c>
      <c r="K5" s="3" t="inlineStr">
        <is>
          <t>Second sofa lifestyle view of the pink EMILY scripture blanket.</t>
        </is>
      </c>
      <c r="L5" s="3" t="inlineStr">
        <is>
          <t>Size, bedding type or detail information for personalized God Says I Am Emily blanket in pink.</t>
        </is>
      </c>
      <c r="M5" s="3" t="inlineStr">
        <is>
          <t>Custom Christian scripture floral Blanket, Machine Washable</t>
        </is>
      </c>
      <c r="N5" s="3" t="inlineStr">
        <is>
          <t>SET</t>
        </is>
      </c>
      <c r="O5" s="3" t="inlineStr">
        <is>
          <t>Size or product detail image for God Says I Am Emily Blanket</t>
        </is>
      </c>
      <c r="P5" s="3" t="inlineStr">
        <is>
          <t>FULL</t>
        </is>
      </c>
      <c r="Q5" s="3" t="inlineStr">
        <is>
          <t>FAIL</t>
        </is>
      </c>
      <c r="R5" s="3" t="inlineStr">
        <is>
          <t>FAIL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["R2-ISS-051-IMG-04"]</t>
        </is>
      </c>
      <c r="Z5" s="3" t="inlineStr">
        <is>
          <t>["seo_runs\\jeminise.com\\20260906_234129\\evidence\\images\\51_custom-christian-scripture-floral-blanket-machine-washable-d10\\image_04_47830609985735.jpg; seo_runs\\jeminise.com\\20260906_234129\\evidence\\contact_sheets\\51_custom-christian-scripture-floral-blanket-machine-washable-d10.jpg", "https://jeminise.com/products/custom-christian-scripture-floral-blanket-machine-washable-d10", "https://cdn.shopify.com/s/files/1/0792/5098/1063/files/f080c96407dbf1941ada8d3611cbf5489f32ed2db06c951fda081e2d9bd1746e.jpg?v=1786596944"]</t>
        </is>
      </c>
    </row>
    <row r="6" ht="66" customHeight="1">
      <c r="A6" s="2" t="inlineStr">
        <is>
          <t>jeminise.com+custom-christian-scripture-floral-blanket-machine-washable-d10</t>
        </is>
      </c>
      <c r="B6" s="2" t="inlineStr">
        <is>
          <t>qaimg_a9d45a49cd0509ad</t>
        </is>
      </c>
      <c r="C6" s="4" t="inlineStr">
        <is>
          <t>https://cdn.shopify.com/s/files/1/0792/5098/1063/files/c8e7403737eb50deddf014f714c4b268f2bced3797508ca336b6e63761050ea1.jpg?v=1786596944</t>
        </is>
      </c>
      <c r="D6" s="4" t="inlineStr">
        <is>
          <t>https://cdn.shopify.com/s/files/1/0792/5098/1063/files/c8e7403737eb50deddf014f714c4b268f2bced3797508ca336b6e63761050ea1.jpg?v=1786596944</t>
        </is>
      </c>
      <c r="E6" s="2" t="inlineStr">
        <is>
          <t>38793484107975</t>
        </is>
      </c>
      <c r="F6" s="2" t="inlineStr">
        <is>
          <t>47830610018503</t>
        </is>
      </c>
      <c r="G6" s="2" t="inlineStr"/>
      <c r="H6" s="2" t="inlineStr">
        <is>
          <t>GALLERY</t>
        </is>
      </c>
      <c r="I6" s="2" t="inlineStr">
        <is>
          <t>DIRECT_ORIGINAL_IMAGE</t>
        </is>
      </c>
      <c r="J6" s="2" t="inlineStr">
        <is>
          <t>2026-09-07T16:34:57.821765+07:00</t>
        </is>
      </c>
      <c r="K6" s="2" t="inlineStr">
        <is>
          <t>Father and child reading under the pink EMILY scripture blanket.</t>
        </is>
      </c>
      <c r="L6" s="2" t="inlineStr">
        <is>
          <t>Material, wash or comfort feature image for personalized God Says I Am Emily blanket in pink.</t>
        </is>
      </c>
      <c r="M6" s="2" t="inlineStr">
        <is>
          <t>Custom Christian scripture floral Blanket, Machine Washable</t>
        </is>
      </c>
      <c r="N6" s="2" t="inlineStr">
        <is>
          <t>SET</t>
        </is>
      </c>
      <c r="O6" s="2" t="inlineStr">
        <is>
          <t>Care or material information for God Says I Am Emily Blanket</t>
        </is>
      </c>
      <c r="P6" s="2" t="inlineStr">
        <is>
          <t>FULL</t>
        </is>
      </c>
      <c r="Q6" s="2" t="inlineStr">
        <is>
          <t>FAIL</t>
        </is>
      </c>
      <c r="R6" s="2" t="inlineStr">
        <is>
          <t>FAIL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["R2-ISS-051-IMG-05"]</t>
        </is>
      </c>
      <c r="Z6" s="2" t="inlineStr">
        <is>
          <t>["seo_runs\\jeminise.com\\20260906_234129\\evidence\\images\\51_custom-christian-scripture-floral-blanket-machine-washable-d10\\image_05_47830610018503.jpg; seo_runs\\jeminise.com\\20260906_234129\\evidence\\contact_sheets\\51_custom-christian-scripture-floral-blanket-machine-washable-d10.jpg", "https://jeminise.com/products/custom-christian-scripture-floral-blanket-machine-washable-d10", "https://cdn.shopify.com/s/files/1/0792/5098/1063/files/c8e7403737eb50deddf014f714c4b268f2bced3797508ca336b6e63761050ea1.jpg?v=1786596944"]</t>
        </is>
      </c>
    </row>
    <row r="7" ht="66" customHeight="1">
      <c r="A7" s="3" t="inlineStr">
        <is>
          <t>jeminise.com+custom-christian-scripture-floral-blanket-machine-washable-d10</t>
        </is>
      </c>
      <c r="B7" s="3" t="inlineStr">
        <is>
          <t>qaimg_941e3f8de9ecbf88</t>
        </is>
      </c>
      <c r="C7" s="4" t="inlineStr">
        <is>
          <t>https://cdn.shopify.com/s/files/1/0792/5098/1063/files/aa3d32f3f3ea36d848002ec9691f58c355d4b160688300f3233e63943f210b46.jpg?v=1786596944</t>
        </is>
      </c>
      <c r="D7" s="4" t="inlineStr">
        <is>
          <t>https://cdn.shopify.com/s/files/1/0792/5098/1063/files/aa3d32f3f3ea36d848002ec9691f58c355d4b160688300f3233e63943f210b46.jpg?v=1786596944</t>
        </is>
      </c>
      <c r="E7" s="3" t="inlineStr">
        <is>
          <t>38793484140743</t>
        </is>
      </c>
      <c r="F7" s="3" t="inlineStr">
        <is>
          <t>47830610051271</t>
        </is>
      </c>
      <c r="G7" s="3" t="inlineStr"/>
      <c r="H7" s="3" t="inlineStr">
        <is>
          <t>GALLERY</t>
        </is>
      </c>
      <c r="I7" s="3" t="inlineStr">
        <is>
          <t>DIRECT_ORIGINAL_IMAGE</t>
        </is>
      </c>
      <c r="J7" s="3" t="inlineStr">
        <is>
          <t>2026-09-07T16:34:57.821765+07:00</t>
        </is>
      </c>
      <c r="K7" s="3" t="inlineStr">
        <is>
          <t>Blanket size chart for 40x30, 50x40, 60x50 and 80x60 inches.</t>
        </is>
      </c>
      <c r="L7" s="3" t="inlineStr">
        <is>
          <t>Additional size guide, feature panel or mockup for personalized God Says I Am Emily blanket in pink.</t>
        </is>
      </c>
      <c r="M7" s="3" t="inlineStr">
        <is>
          <t>Custom Christian scripture floral Blanket, Machine Washable</t>
        </is>
      </c>
      <c r="N7" s="3" t="inlineStr">
        <is>
          <t>SET</t>
        </is>
      </c>
      <c r="O7" s="3" t="inlineStr">
        <is>
          <t>Feature or use guide for God Says I Am Emily Blanket</t>
        </is>
      </c>
      <c r="P7" s="3" t="inlineStr">
        <is>
          <t>FULL</t>
        </is>
      </c>
      <c r="Q7" s="3" t="inlineStr">
        <is>
          <t>FAIL</t>
        </is>
      </c>
      <c r="R7" s="3" t="inlineStr">
        <is>
          <t>FAIL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["R2-ISS-051-IMG-06"]</t>
        </is>
      </c>
      <c r="Z7" s="3" t="inlineStr">
        <is>
          <t>["seo_runs\\jeminise.com\\20260906_234129\\evidence\\images\\51_custom-christian-scripture-floral-blanket-machine-washable-d10\\image_06_47830610051271.jpg; seo_runs\\jeminise.com\\20260906_234129\\evidence\\contact_sheets\\51_custom-christian-scripture-floral-blanket-machine-washable-d10.jpg", "https://jeminise.com/products/custom-christian-scripture-floral-blanket-machine-washable-d10", "https://cdn.shopify.com/s/files/1/0792/5098/1063/files/aa3d32f3f3ea36d848002ec9691f58c355d4b160688300f3233e63943f210b46.jpg?v=1786596944"]</t>
        </is>
      </c>
    </row>
    <row r="8" ht="66" customHeight="1">
      <c r="A8" s="2" t="inlineStr">
        <is>
          <t>jeminise.com+custom-christian-scripture-floral-blanket-machine-washable-d10</t>
        </is>
      </c>
      <c r="B8" s="2" t="inlineStr">
        <is>
          <t>qaimg_e8ccfea68c57cbfd</t>
        </is>
      </c>
      <c r="C8" s="4" t="inlineStr">
        <is>
          <t>https://cdn.shopify.com/s/files/1/0792/5098/1063/files/4a0dab86b5bacc2a06f2dcdede895972a2cff70323306354b340e990014ca363.jpg?v=1786596944</t>
        </is>
      </c>
      <c r="D8" s="4" t="inlineStr">
        <is>
          <t>https://cdn.shopify.com/s/files/1/0792/5098/1063/files/4a0dab86b5bacc2a06f2dcdede895972a2cff70323306354b340e990014ca363.jpg?v=1786596944</t>
        </is>
      </c>
      <c r="E8" s="2" t="inlineStr">
        <is>
          <t>38793484173511</t>
        </is>
      </c>
      <c r="F8" s="2" t="inlineStr">
        <is>
          <t>47830610084039</t>
        </is>
      </c>
      <c r="G8" s="2" t="inlineStr"/>
      <c r="H8" s="2" t="inlineStr">
        <is>
          <t>GALLERY</t>
        </is>
      </c>
      <c r="I8" s="2" t="inlineStr">
        <is>
          <t>DIRECT_ORIGINAL_IMAGE</t>
        </is>
      </c>
      <c r="J8" s="2" t="inlineStr">
        <is>
          <t>2026-09-07T16:34:57.821765+07:00</t>
        </is>
      </c>
      <c r="K8" s="2" t="inlineStr">
        <is>
          <t>Blanket feature panel marked fluffy and soft, high quality, no pilling, no shedding, gentle and smooth.</t>
        </is>
      </c>
      <c r="L8" s="2" t="inlineStr">
        <is>
          <t>Additional lifestyle, feature or product detail image showing personalized God Says I Am Emily blanket in pink.</t>
        </is>
      </c>
      <c r="M8" s="2" t="inlineStr">
        <is>
          <t>Custom Christian scripture floral Blanket, Machine Washable</t>
        </is>
      </c>
      <c r="N8" s="2" t="inlineStr">
        <is>
          <t>SET</t>
        </is>
      </c>
      <c r="O8" s="2" t="inlineStr">
        <is>
          <t>Additional product mockup of God Says I Am Emily Blanket</t>
        </is>
      </c>
      <c r="P8" s="2" t="inlineStr">
        <is>
          <t>FULL</t>
        </is>
      </c>
      <c r="Q8" s="2" t="inlineStr">
        <is>
          <t>FAIL</t>
        </is>
      </c>
      <c r="R8" s="2" t="inlineStr">
        <is>
          <t>FAIL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["R2-ISS-051-IMG-07"]</t>
        </is>
      </c>
      <c r="Z8" s="2" t="inlineStr">
        <is>
          <t>["seo_runs\\jeminise.com\\20260906_234129\\evidence\\images\\51_custom-christian-scripture-floral-blanket-machine-washable-d10\\image_07_47830610084039.jpg; seo_runs\\jeminise.com\\20260906_234129\\evidence\\contact_sheets\\51_custom-christian-scripture-floral-blanket-machine-washable-d10.jpg", "https://jeminise.com/products/custom-christian-scripture-floral-blanket-machine-washable-d10", "https://cdn.shopify.com/s/files/1/0792/5098/1063/files/4a0dab86b5bacc2a06f2dcdede895972a2cff70323306354b340e990014ca363.jpg?v=1786596944"]</t>
        </is>
      </c>
    </row>
    <row r="9" ht="66" customHeight="1">
      <c r="A9" s="3" t="inlineStr">
        <is>
          <t>jeminise.com+custom-emily-god-says-i-am-blanket-machine-washable-d9</t>
        </is>
      </c>
      <c r="B9" s="3" t="inlineStr">
        <is>
          <t>qaimg_1c56381c97aa6d05</t>
        </is>
      </c>
      <c r="C9" s="4" t="inlineStr">
        <is>
          <t>https://cdn.shopify.com/s/files/1/0792/5098/1063/files/ea1a859cc89e6d530481c10b14251d51f07bca99c1557d81d7238b2950f73318.jpg?v=1786596303</t>
        </is>
      </c>
      <c r="D9" s="4" t="inlineStr">
        <is>
          <t>https://cdn.shopify.com/s/files/1/0792/5098/1063/files/ea1a859cc89e6d530481c10b14251d51f07bca99c1557d81d7238b2950f73318.jpg?v=1786596303</t>
        </is>
      </c>
      <c r="E9" s="3" t="inlineStr">
        <is>
          <t>38793331900615</t>
        </is>
      </c>
      <c r="F9" s="3" t="inlineStr">
        <is>
          <t>47830456860871</t>
        </is>
      </c>
      <c r="G9" s="3" t="inlineStr"/>
      <c r="H9" s="3" t="inlineStr">
        <is>
          <t>GALLERY</t>
        </is>
      </c>
      <c r="I9" s="3" t="inlineStr">
        <is>
          <t>DIRECT_ORIGINAL_IMAGE</t>
        </is>
      </c>
      <c r="J9" s="3" t="inlineStr">
        <is>
          <t>2026-09-07T16:34:57.821765+07:00</t>
        </is>
      </c>
      <c r="K9" s="3" t="inlineStr">
        <is>
          <t>Woman holding a blue-and-white floral God Says I Am blanket with the sample name EMILY and Bible references.</t>
        </is>
      </c>
      <c r="L9" s="3" t="inlineStr">
        <is>
          <t>Main product mockup showing personalized God Says I Am Emily blanket in blue floral.</t>
        </is>
      </c>
      <c r="M9" s="3" t="inlineStr">
        <is>
          <t>Custom Emily God Says I Am Blanket, Machine Washable</t>
        </is>
      </c>
      <c r="N9" s="3" t="inlineStr">
        <is>
          <t>SET</t>
        </is>
      </c>
      <c r="O9" s="3" t="inlineStr">
        <is>
          <t>Blue Floral God Says I Am Blanket displayed in a main product mockup</t>
        </is>
      </c>
      <c r="P9" s="3" t="inlineStr">
        <is>
          <t>FULL</t>
        </is>
      </c>
      <c r="Q9" s="3" t="inlineStr">
        <is>
          <t>FULL</t>
        </is>
      </c>
      <c r="R9" s="3" t="inlineStr">
        <is>
          <t>FULL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t>
        </is>
      </c>
      <c r="Z9" s="3" t="inlineStr">
        <is>
          <t>["seo_runs\\jeminise.com\\20260906_234129\\evidence\\images\\52_custom-emily-god-says-i-am-blanket-machine-washable-d9\\image_01_47830456860871.jpg; seo_runs\\jeminise.com\\20260906_234129\\evidence\\contact_sheets\\52_custom-emily-god-says-i-am-blanket-machine-washable-d9.jpg", "https://jeminise.com/products/custom-emily-god-says-i-am-blanket-machine-washable-d9", "https://cdn.shopify.com/s/files/1/0792/5098/1063/files/ea1a859cc89e6d530481c10b14251d51f07bca99c1557d81d7238b2950f73318.jpg?v=1786596303"]</t>
        </is>
      </c>
    </row>
    <row r="10" ht="66" customHeight="1">
      <c r="A10" s="2" t="inlineStr">
        <is>
          <t>jeminise.com+custom-emily-god-says-i-am-blanket-machine-washable-d9</t>
        </is>
      </c>
      <c r="B10" s="2" t="inlineStr">
        <is>
          <t>qaimg_4fb406796158d4d2</t>
        </is>
      </c>
      <c r="C10" s="4" t="inlineStr">
        <is>
          <t>https://cdn.shopify.com/s/files/1/0792/5098/1063/files/da60abeadf27954f435a5067790d42779dee58fec05921c244d8b22bba8dd263.jpg?v=1786596303</t>
        </is>
      </c>
      <c r="D10" s="4" t="inlineStr">
        <is>
          <t>https://cdn.shopify.com/s/files/1/0792/5098/1063/files/da60abeadf27954f435a5067790d42779dee58fec05921c244d8b22bba8dd263.jpg?v=1786596303</t>
        </is>
      </c>
      <c r="E10" s="2" t="inlineStr">
        <is>
          <t>38793331933383</t>
        </is>
      </c>
      <c r="F10" s="2" t="inlineStr">
        <is>
          <t>47830456893639</t>
        </is>
      </c>
      <c r="G10" s="2" t="inlineStr"/>
      <c r="H10" s="2" t="inlineStr">
        <is>
          <t>GALLERY</t>
        </is>
      </c>
      <c r="I10" s="2" t="inlineStr">
        <is>
          <t>DIRECT_ORIGINAL_IMAGE</t>
        </is>
      </c>
      <c r="J10" s="2" t="inlineStr">
        <is>
          <t>2026-09-07T16:34:57.821765+07:00</t>
        </is>
      </c>
      <c r="K10" s="2" t="inlineStr">
        <is>
          <t>Isolated mockup of the blue EMILY God Says I Am blanket.</t>
        </is>
      </c>
      <c r="L10" s="2" t="inlineStr">
        <is>
          <t>Flat, feature or secondary mockup showing personalized God Says I Am Emily blanket in blue floral.</t>
        </is>
      </c>
      <c r="M10" s="2" t="inlineStr">
        <is>
          <t>Custom Emily God Says I Am Blanket, Machine Washable</t>
        </is>
      </c>
      <c r="N10" s="2" t="inlineStr">
        <is>
          <t>SET</t>
        </is>
      </c>
      <c r="O10" s="2" t="inlineStr">
        <is>
          <t>Secondary mockup of Blue Floral God Says I Am Blanket</t>
        </is>
      </c>
      <c r="P10" s="2" t="inlineStr">
        <is>
          <t>FULL</t>
        </is>
      </c>
      <c r="Q10" s="2" t="inlineStr">
        <is>
          <t>FULL</t>
        </is>
      </c>
      <c r="R10" s="2" t="inlineStr">
        <is>
          <t>FULL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t>
        </is>
      </c>
      <c r="Z10" s="2" t="inlineStr">
        <is>
          <t>["seo_runs\\jeminise.com\\20260906_234129\\evidence\\images\\52_custom-emily-god-says-i-am-blanket-machine-washable-d9\\image_02_47830456893639.jpg; seo_runs\\jeminise.com\\20260906_234129\\evidence\\contact_sheets\\52_custom-emily-god-says-i-am-blanket-machine-washable-d9.jpg", "https://jeminise.com/products/custom-emily-god-says-i-am-blanket-machine-washable-d9", "https://cdn.shopify.com/s/files/1/0792/5098/1063/files/da60abeadf27954f435a5067790d42779dee58fec05921c244d8b22bba8dd263.jpg?v=1786596303"]</t>
        </is>
      </c>
    </row>
    <row r="11" ht="66" customHeight="1">
      <c r="A11" s="3" t="inlineStr">
        <is>
          <t>jeminise.com+custom-emily-god-says-i-am-blanket-machine-washable-d9</t>
        </is>
      </c>
      <c r="B11" s="3" t="inlineStr">
        <is>
          <t>qaimg_96cb37d91792fa1e</t>
        </is>
      </c>
      <c r="C11" s="4" t="inlineStr">
        <is>
          <t>https://cdn.shopify.com/s/files/1/0792/5098/1063/files/8eb3de5c797e28b152fb201a4d5610f3858cf54a5a08a8ec4d56152cce30e873.jpg?v=1786596303</t>
        </is>
      </c>
      <c r="D11" s="4" t="inlineStr">
        <is>
          <t>https://cdn.shopify.com/s/files/1/0792/5098/1063/files/8eb3de5c797e28b152fb201a4d5610f3858cf54a5a08a8ec4d56152cce30e873.jpg?v=1786596303</t>
        </is>
      </c>
      <c r="E11" s="3" t="inlineStr">
        <is>
          <t>38793331966151</t>
        </is>
      </c>
      <c r="F11" s="3" t="inlineStr">
        <is>
          <t>47830456926407</t>
        </is>
      </c>
      <c r="G11" s="3" t="inlineStr"/>
      <c r="H11" s="3" t="inlineStr">
        <is>
          <t>GALLERY</t>
        </is>
      </c>
      <c r="I11" s="3" t="inlineStr">
        <is>
          <t>DIRECT_ORIGINAL_IMAGE</t>
        </is>
      </c>
      <c r="J11" s="3" t="inlineStr">
        <is>
          <t>2026-09-07T16:34:57.821765+07:00</t>
        </is>
      </c>
      <c r="K11" s="3" t="inlineStr">
        <is>
          <t>Blue EMILY scripture blanket draped over a white sofa.</t>
        </is>
      </c>
      <c r="L11" s="3" t="inlineStr">
        <is>
          <t>Lifestyle or bedroom mockup connected to personalized God Says I Am Emily blanket in blue floral.</t>
        </is>
      </c>
      <c r="M11" s="3" t="inlineStr">
        <is>
          <t>Custom Emily God Says I Am Blanket, Machine Washable</t>
        </is>
      </c>
      <c r="N11" s="3" t="inlineStr">
        <is>
          <t>SET</t>
        </is>
      </c>
      <c r="O11" s="3" t="inlineStr">
        <is>
          <t>Lifestyle or bedroom view of Blue Floral God Says I Am Blanket</t>
        </is>
      </c>
      <c r="P11" s="3" t="inlineStr">
        <is>
          <t>FULL</t>
        </is>
      </c>
      <c r="Q11" s="3" t="inlineStr">
        <is>
          <t>FULL</t>
        </is>
      </c>
      <c r="R11" s="3" t="inlineStr">
        <is>
          <t>FULL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t>
        </is>
      </c>
      <c r="Z11" s="3" t="inlineStr">
        <is>
          <t>["seo_runs\\jeminise.com\\20260906_234129\\evidence\\images\\52_custom-emily-god-says-i-am-blanket-machine-washable-d9\\image_03_47830456926407.jpg; seo_runs\\jeminise.com\\20260906_234129\\evidence\\contact_sheets\\52_custom-emily-god-says-i-am-blanket-machine-washable-d9.jpg", "https://jeminise.com/products/custom-emily-god-says-i-am-blanket-machine-washable-d9", "https://cdn.shopify.com/s/files/1/0792/5098/1063/files/8eb3de5c797e28b152fb201a4d5610f3858cf54a5a08a8ec4d56152cce30e873.jpg?v=1786596303"]</t>
        </is>
      </c>
    </row>
    <row r="12" ht="66" customHeight="1">
      <c r="A12" s="2" t="inlineStr">
        <is>
          <t>jeminise.com+custom-emily-god-says-i-am-blanket-machine-washable-d9</t>
        </is>
      </c>
      <c r="B12" s="2" t="inlineStr">
        <is>
          <t>qaimg_9859174086a2b357</t>
        </is>
      </c>
      <c r="C12" s="4" t="inlineStr">
        <is>
          <t>https://cdn.shopify.com/s/files/1/0792/5098/1063/files/23d5a0d5bd7cc256fa047fad39129214f40e3b5aa19bbfd83c02d5e2db76dda1.jpg?v=1786596303</t>
        </is>
      </c>
      <c r="D12" s="4" t="inlineStr">
        <is>
          <t>https://cdn.shopify.com/s/files/1/0792/5098/1063/files/23d5a0d5bd7cc256fa047fad39129214f40e3b5aa19bbfd83c02d5e2db76dda1.jpg?v=1786596303</t>
        </is>
      </c>
      <c r="E12" s="2" t="inlineStr">
        <is>
          <t>38793331998919</t>
        </is>
      </c>
      <c r="F12" s="2" t="inlineStr">
        <is>
          <t>47830456959175</t>
        </is>
      </c>
      <c r="G12" s="2" t="inlineStr"/>
      <c r="H12" s="2" t="inlineStr">
        <is>
          <t>GALLERY</t>
        </is>
      </c>
      <c r="I12" s="2" t="inlineStr">
        <is>
          <t>DIRECT_ORIGINAL_IMAGE</t>
        </is>
      </c>
      <c r="J12" s="2" t="inlineStr">
        <is>
          <t>2026-09-07T16:34:57.821765+07:00</t>
        </is>
      </c>
      <c r="K12" s="2" t="inlineStr">
        <is>
          <t>Blue EMILY scripture blanket draped over a tan sofa.</t>
        </is>
      </c>
      <c r="L12" s="2" t="inlineStr">
        <is>
          <t>Size, bedding type or detail information for personalized God Says I Am Emily blanket in blue floral.</t>
        </is>
      </c>
      <c r="M12" s="2" t="inlineStr">
        <is>
          <t>Custom Emily God Says I Am Blanket, Machine Washable</t>
        </is>
      </c>
      <c r="N12" s="2" t="inlineStr">
        <is>
          <t>SET</t>
        </is>
      </c>
      <c r="O12" s="2" t="inlineStr">
        <is>
          <t>Size or product detail image for Blue Floral God Says I Am Blanket</t>
        </is>
      </c>
      <c r="P12" s="2" t="inlineStr">
        <is>
          <t>FULL</t>
        </is>
      </c>
      <c r="Q12" s="2" t="inlineStr">
        <is>
          <t>FAIL</t>
        </is>
      </c>
      <c r="R12" s="2" t="inlineStr">
        <is>
          <t>FAIL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["R2-ISS-052-IMG-04"]</t>
        </is>
      </c>
      <c r="Z12" s="2" t="inlineStr">
        <is>
          <t>["seo_runs\\jeminise.com\\20260906_234129\\evidence\\images\\52_custom-emily-god-says-i-am-blanket-machine-washable-d9\\image_04_47830456959175.jpg; seo_runs\\jeminise.com\\20260906_234129\\evidence\\contact_sheets\\52_custom-emily-god-says-i-am-blanket-machine-washable-d9.jpg", "https://jeminise.com/products/custom-emily-god-says-i-am-blanket-machine-washable-d9", "https://cdn.shopify.com/s/files/1/0792/5098/1063/files/23d5a0d5bd7cc256fa047fad39129214f40e3b5aa19bbfd83c02d5e2db76dda1.jpg?v=1786596303"]</t>
        </is>
      </c>
    </row>
    <row r="13" ht="66" customHeight="1">
      <c r="A13" s="3" t="inlineStr">
        <is>
          <t>jeminise.com+custom-emily-god-says-i-am-blanket-machine-washable-d9</t>
        </is>
      </c>
      <c r="B13" s="3" t="inlineStr">
        <is>
          <t>qaimg_df49d58f80aa39fb</t>
        </is>
      </c>
      <c r="C13" s="4" t="inlineStr">
        <is>
          <t>https://cdn.shopify.com/s/files/1/0792/5098/1063/files/f49ae969102b24924407ad308497e2ad394e649a5cec11a244c20852f99c5342.jpg?v=1786596303</t>
        </is>
      </c>
      <c r="D13" s="4" t="inlineStr">
        <is>
          <t>https://cdn.shopify.com/s/files/1/0792/5098/1063/files/f49ae969102b24924407ad308497e2ad394e649a5cec11a244c20852f99c5342.jpg?v=1786596303</t>
        </is>
      </c>
      <c r="E13" s="3" t="inlineStr">
        <is>
          <t>38793332031687</t>
        </is>
      </c>
      <c r="F13" s="3" t="inlineStr">
        <is>
          <t>47830456991943</t>
        </is>
      </c>
      <c r="G13" s="3" t="inlineStr"/>
      <c r="H13" s="3" t="inlineStr">
        <is>
          <t>GALLERY</t>
        </is>
      </c>
      <c r="I13" s="3" t="inlineStr">
        <is>
          <t>DIRECT_ORIGINAL_IMAGE</t>
        </is>
      </c>
      <c r="J13" s="3" t="inlineStr">
        <is>
          <t>2026-09-07T16:34:57.821765+07:00</t>
        </is>
      </c>
      <c r="K13" s="3" t="inlineStr">
        <is>
          <t>Father and child reading under the blue EMILY scripture blanket.</t>
        </is>
      </c>
      <c r="L13" s="3" t="inlineStr">
        <is>
          <t>Material, wash or comfort feature image for personalized God Says I Am Emily blanket in blue floral.</t>
        </is>
      </c>
      <c r="M13" s="3" t="inlineStr">
        <is>
          <t>Custom Emily God Says I Am Blanket, Machine Washable</t>
        </is>
      </c>
      <c r="N13" s="3" t="inlineStr">
        <is>
          <t>SET</t>
        </is>
      </c>
      <c r="O13" s="3" t="inlineStr">
        <is>
          <t>Care or material information for Blue Floral God Says I Am Blanket</t>
        </is>
      </c>
      <c r="P13" s="3" t="inlineStr">
        <is>
          <t>FULL</t>
        </is>
      </c>
      <c r="Q13" s="3" t="inlineStr">
        <is>
          <t>FAIL</t>
        </is>
      </c>
      <c r="R13" s="3" t="inlineStr">
        <is>
          <t>FAIL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["R2-ISS-052-IMG-05"]</t>
        </is>
      </c>
      <c r="Z13" s="3" t="inlineStr">
        <is>
          <t>["seo_runs\\jeminise.com\\20260906_234129\\evidence\\images\\52_custom-emily-god-says-i-am-blanket-machine-washable-d9\\image_05_47830456991943.jpg; seo_runs\\jeminise.com\\20260906_234129\\evidence\\contact_sheets\\52_custom-emily-god-says-i-am-blanket-machine-washable-d9.jpg", "https://jeminise.com/products/custom-emily-god-says-i-am-blanket-machine-washable-d9", "https://cdn.shopify.com/s/files/1/0792/5098/1063/files/f49ae969102b24924407ad308497e2ad394e649a5cec11a244c20852f99c5342.jpg?v=1786596303"]</t>
        </is>
      </c>
    </row>
    <row r="14" ht="66" customHeight="1">
      <c r="A14" s="2" t="inlineStr">
        <is>
          <t>jeminise.com+custom-emily-god-says-i-am-blanket-machine-washable-d9</t>
        </is>
      </c>
      <c r="B14" s="2" t="inlineStr">
        <is>
          <t>qaimg_2bd525978ddccdd2</t>
        </is>
      </c>
      <c r="C14" s="4" t="inlineStr">
        <is>
          <t>https://cdn.shopify.com/s/files/1/0792/5098/1063/files/1109d42d870fee7a62ea7d8e5b8a2d1590e02b2f5fbdfedf2c48280dcd71949e.jpg?v=1786596304</t>
        </is>
      </c>
      <c r="D14" s="4" t="inlineStr">
        <is>
          <t>https://cdn.shopify.com/s/files/1/0792/5098/1063/files/1109d42d870fee7a62ea7d8e5b8a2d1590e02b2f5fbdfedf2c48280dcd71949e.jpg?v=1786596304</t>
        </is>
      </c>
      <c r="E14" s="2" t="inlineStr">
        <is>
          <t>38793332064455</t>
        </is>
      </c>
      <c r="F14" s="2" t="inlineStr">
        <is>
          <t>47830457024711</t>
        </is>
      </c>
      <c r="G14" s="2" t="inlineStr"/>
      <c r="H14" s="2" t="inlineStr">
        <is>
          <t>GALLERY</t>
        </is>
      </c>
      <c r="I14" s="2" t="inlineStr">
        <is>
          <t>DIRECT_ORIGINAL_IMAGE</t>
        </is>
      </c>
      <c r="J14" s="2" t="inlineStr">
        <is>
          <t>2026-09-07T16:34:57.821765+07:00</t>
        </is>
      </c>
      <c r="K14" s="2" t="inlineStr">
        <is>
          <t>Color-options chart showing blue, gray, red, green, purple and yellow versions.</t>
        </is>
      </c>
      <c r="L14" s="2" t="inlineStr">
        <is>
          <t>Additional size guide, feature panel or mockup for personalized God Says I Am Emily blanket in blue floral.</t>
        </is>
      </c>
      <c r="M14" s="2" t="inlineStr">
        <is>
          <t>Custom Emily God Says I Am Blanket, Machine Washable</t>
        </is>
      </c>
      <c r="N14" s="2" t="inlineStr">
        <is>
          <t>SET</t>
        </is>
      </c>
      <c r="O14" s="2" t="inlineStr">
        <is>
          <t>Feature or use guide for Blue Floral God Says I Am Blanket</t>
        </is>
      </c>
      <c r="P14" s="2" t="inlineStr">
        <is>
          <t>FULL</t>
        </is>
      </c>
      <c r="Q14" s="2" t="inlineStr">
        <is>
          <t>FULL</t>
        </is>
      </c>
      <c r="R14" s="2" t="inlineStr">
        <is>
          <t>FULL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t>
        </is>
      </c>
      <c r="Z14" s="2" t="inlineStr">
        <is>
          <t>["seo_runs\\jeminise.com\\20260906_234129\\evidence\\images\\52_custom-emily-god-says-i-am-blanket-machine-washable-d9\\image_06_47830457024711.jpg; seo_runs\\jeminise.com\\20260906_234129\\evidence\\contact_sheets\\52_custom-emily-god-says-i-am-blanket-machine-washable-d9.jpg", "https://jeminise.com/products/custom-emily-god-says-i-am-blanket-machine-washable-d9", "https://cdn.shopify.com/s/files/1/0792/5098/1063/files/1109d42d870fee7a62ea7d8e5b8a2d1590e02b2f5fbdfedf2c48280dcd71949e.jpg?v=1786596304"]</t>
        </is>
      </c>
    </row>
    <row r="15" ht="66" customHeight="1">
      <c r="A15" s="3" t="inlineStr">
        <is>
          <t>jeminise.com+custom-emily-god-says-i-am-blanket-machine-washable-d9</t>
        </is>
      </c>
      <c r="B15" s="3" t="inlineStr">
        <is>
          <t>qaimg_18a8ed3605a78cee</t>
        </is>
      </c>
      <c r="C15" s="4" t="inlineStr">
        <is>
          <t>https://cdn.shopify.com/s/files/1/0792/5098/1063/files/cee7c0b8719354e1df9ef32806cf32f0314a3ff352d9e77c651d1afcf3d36f00.jpg?v=1786596303</t>
        </is>
      </c>
      <c r="D15" s="4" t="inlineStr">
        <is>
          <t>https://cdn.shopify.com/s/files/1/0792/5098/1063/files/cee7c0b8719354e1df9ef32806cf32f0314a3ff352d9e77c651d1afcf3d36f00.jpg?v=1786596303</t>
        </is>
      </c>
      <c r="E15" s="3" t="inlineStr">
        <is>
          <t>38793332097223</t>
        </is>
      </c>
      <c r="F15" s="3" t="inlineStr">
        <is>
          <t>47830457057479</t>
        </is>
      </c>
      <c r="G15" s="3" t="inlineStr"/>
      <c r="H15" s="3" t="inlineStr">
        <is>
          <t>GALLERY</t>
        </is>
      </c>
      <c r="I15" s="3" t="inlineStr">
        <is>
          <t>DIRECT_ORIGINAL_IMAGE</t>
        </is>
      </c>
      <c r="J15" s="3" t="inlineStr">
        <is>
          <t>2026-09-07T16:34:57.821765+07:00</t>
        </is>
      </c>
      <c r="K15" s="3" t="inlineStr">
        <is>
          <t>Blanket size chart for 40x30, 50x40, 60x50 and 80x60 inches.</t>
        </is>
      </c>
      <c r="L15" s="3" t="inlineStr">
        <is>
          <t>Additional lifestyle, feature or product detail image showing personalized God Says I Am Emily blanket in blue floral.</t>
        </is>
      </c>
      <c r="M15" s="3" t="inlineStr">
        <is>
          <t>Custom Emily God Says I Am Blanket, Machine Washable</t>
        </is>
      </c>
      <c r="N15" s="3" t="inlineStr">
        <is>
          <t>SET</t>
        </is>
      </c>
      <c r="O15" s="3" t="inlineStr">
        <is>
          <t>Additional product mockup of Blue Floral God Says I Am Blanket</t>
        </is>
      </c>
      <c r="P15" s="3" t="inlineStr">
        <is>
          <t>FULL</t>
        </is>
      </c>
      <c r="Q15" s="3" t="inlineStr">
        <is>
          <t>FAIL</t>
        </is>
      </c>
      <c r="R15" s="3" t="inlineStr">
        <is>
          <t>FAIL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["R2-ISS-052-IMG-07"]</t>
        </is>
      </c>
      <c r="Z15" s="3" t="inlineStr">
        <is>
          <t>["seo_runs\\jeminise.com\\20260906_234129\\evidence\\images\\52_custom-emily-god-says-i-am-blanket-machine-washable-d9\\image_07_47830457057479.jpg; seo_runs\\jeminise.com\\20260906_234129\\evidence\\contact_sheets\\52_custom-emily-god-says-i-am-blanket-machine-washable-d9.jpg", "https://jeminise.com/products/custom-emily-god-says-i-am-blanket-machine-washable-d9", "https://cdn.shopify.com/s/files/1/0792/5098/1063/files/cee7c0b8719354e1df9ef32806cf32f0314a3ff352d9e77c651d1afcf3d36f00.jpg?v=1786596303"]</t>
        </is>
      </c>
    </row>
    <row r="16" ht="66" customHeight="1">
      <c r="A16" s="2" t="inlineStr">
        <is>
          <t>jeminise.com+custom-emily-god-says-i-am-blanket-machine-washable-d9</t>
        </is>
      </c>
      <c r="B16" s="2" t="inlineStr">
        <is>
          <t>qaimg_d18babc17b9b18c6</t>
        </is>
      </c>
      <c r="C16" s="4" t="inlineStr">
        <is>
          <t>https://cdn.shopify.com/s/files/1/0792/5098/1063/files/89dbadebe78d692d88c6886ef590efeeae4ca99faff77c1ce998a2ddc7a988e4.jpg?v=1786596304</t>
        </is>
      </c>
      <c r="D16" s="4" t="inlineStr">
        <is>
          <t>https://cdn.shopify.com/s/files/1/0792/5098/1063/files/89dbadebe78d692d88c6886ef590efeeae4ca99faff77c1ce998a2ddc7a988e4.jpg?v=1786596304</t>
        </is>
      </c>
      <c r="E16" s="2" t="inlineStr">
        <is>
          <t>38793332129991</t>
        </is>
      </c>
      <c r="F16" s="2" t="inlineStr">
        <is>
          <t>47830457090247</t>
        </is>
      </c>
      <c r="G16" s="2" t="inlineStr"/>
      <c r="H16" s="2" t="inlineStr">
        <is>
          <t>GALLERY</t>
        </is>
      </c>
      <c r="I16" s="2" t="inlineStr">
        <is>
          <t>DIRECT_ORIGINAL_IMAGE</t>
        </is>
      </c>
      <c r="J16" s="2" t="inlineStr">
        <is>
          <t>2026-09-07T16:34:57.821765+07:00</t>
        </is>
      </c>
      <c r="K16" s="2" t="inlineStr">
        <is>
          <t>Blanket feature panel marked fluffy and soft, high quality, no pilling, no shedding, gentle and smooth.</t>
        </is>
      </c>
      <c r="L16" s="2" t="inlineStr">
        <is>
          <t>Additional lifestyle, feature or product detail image showing personalized God Says I Am Emily blanket in blue floral.</t>
        </is>
      </c>
      <c r="M16" s="2" t="inlineStr">
        <is>
          <t>Custom Emily God Says I Am Blanket, Machine Washable</t>
        </is>
      </c>
      <c r="N16" s="2" t="inlineStr">
        <is>
          <t>SET</t>
        </is>
      </c>
      <c r="O16" s="2" t="inlineStr">
        <is>
          <t>Lifestyle use image for Blue Floral God Says I Am Blanket</t>
        </is>
      </c>
      <c r="P16" s="2" t="inlineStr">
        <is>
          <t>FULL</t>
        </is>
      </c>
      <c r="Q16" s="2" t="inlineStr">
        <is>
          <t>FAIL</t>
        </is>
      </c>
      <c r="R16" s="2" t="inlineStr">
        <is>
          <t>FAIL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["R2-ISS-052-IMG-08"]</t>
        </is>
      </c>
      <c r="Z16" s="2" t="inlineStr">
        <is>
          <t>["seo_runs\\jeminise.com\\20260906_234129\\evidence\\images\\52_custom-emily-god-says-i-am-blanket-machine-washable-d9\\image_08_47830457090247.jpg; seo_runs\\jeminise.com\\20260906_234129\\evidence\\contact_sheets\\52_custom-emily-god-says-i-am-blanket-machine-washable-d9.jpg", "https://jeminise.com/products/custom-emily-god-says-i-am-blanket-machine-washable-d9", "https://cdn.shopify.com/s/files/1/0792/5098/1063/files/89dbadebe78d692d88c6886ef590efeeae4ca99faff77c1ce998a2ddc7a988e4.jpg?v=1786596304"]</t>
        </is>
      </c>
    </row>
    <row r="17" ht="66" customHeight="1">
      <c r="A17" s="3" t="inlineStr">
        <is>
          <t>jeminise.com+custom-exploding-soccer-ball-comforter-set-machine-washable-a10</t>
        </is>
      </c>
      <c r="B17" s="3" t="inlineStr">
        <is>
          <t>qaimg_c5bda9fce99fded1</t>
        </is>
      </c>
      <c r="C17" s="4" t="inlineStr">
        <is>
          <t>https://cdn.shopify.com/s/files/1/0792/5098/1063/files/25da0fbc3913b96e24dfa3f4379e828b035ada4a02f246ec000a760815423dad.jpg?v=1786610945</t>
        </is>
      </c>
      <c r="D17" s="4" t="inlineStr">
        <is>
          <t>https://cdn.shopify.com/s/files/1/0792/5098/1063/files/25da0fbc3913b96e24dfa3f4379e828b035ada4a02f246ec000a760815423dad.jpg?v=1786610945</t>
        </is>
      </c>
      <c r="E17" s="3" t="inlineStr">
        <is>
          <t>38796226101447</t>
        </is>
      </c>
      <c r="F17" s="3" t="inlineStr">
        <is>
          <t>47833417121991</t>
        </is>
      </c>
      <c r="G17" s="3" t="inlineStr"/>
      <c r="H17" s="3" t="inlineStr">
        <is>
          <t>GALLERY</t>
        </is>
      </c>
      <c r="I17" s="3" t="inlineStr">
        <is>
          <t>DIRECT_ORIGINAL_IMAGE</t>
        </is>
      </c>
      <c r="J17" s="3" t="inlineStr">
        <is>
          <t>2026-09-07T16:34:57.821765+07:00</t>
        </is>
      </c>
      <c r="K17" s="3" t="inlineStr">
        <is>
          <t>Front bedroom mockup of a black-and-white exploding soccer ball comforter with sample name JACKSON and number 15.</t>
        </is>
      </c>
      <c r="L17" s="3" t="inlineStr">
        <is>
          <t>Main product mockup showing personalized exploding soccer ball comforter with Jackson and number 15.</t>
        </is>
      </c>
      <c r="M17" s="3" t="inlineStr">
        <is>
          <t>Custom Exploding Soccer Ball Comforter Set, Machine Washable</t>
        </is>
      </c>
      <c r="N17" s="3" t="inlineStr">
        <is>
          <t>SET</t>
        </is>
      </c>
      <c r="O17" s="3" t="inlineStr">
        <is>
          <t>Exploding Soccer Ball Comforter displayed in a main product mockup</t>
        </is>
      </c>
      <c r="P17" s="3" t="inlineStr">
        <is>
          <t>FULL</t>
        </is>
      </c>
      <c r="Q17" s="3" t="inlineStr">
        <is>
          <t>FULL</t>
        </is>
      </c>
      <c r="R17" s="3" t="inlineStr">
        <is>
          <t>FULL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t>
        </is>
      </c>
      <c r="Z17" s="3" t="inlineStr">
        <is>
          <t>["seo_runs\\jeminise.com\\20260906_234129\\evidence\\images\\53_custom-exploding-soccer-ball-comforter-set-machine-washable-a10\\image_01_47833417121991.jpg; seo_runs\\jeminise.com\\20260906_234129\\evidence\\contact_sheets\\53_custom-exploding-soccer-ball-comforter-set-machine-washable-a10.jpg", "https://jeminise.com/products/custom-exploding-soccer-ball-comforter-set-machine-washable-a10", "https://cdn.shopify.com/s/files/1/0792/5098/1063/files/25da0fbc3913b96e24dfa3f4379e828b035ada4a02f246ec000a760815423dad.jpg?v=1786610945"]</t>
        </is>
      </c>
    </row>
    <row r="18" ht="66" customHeight="1">
      <c r="A18" s="2" t="inlineStr">
        <is>
          <t>jeminise.com+custom-exploding-soccer-ball-comforter-set-machine-washable-a10</t>
        </is>
      </c>
      <c r="B18" s="2" t="inlineStr">
        <is>
          <t>qaimg_50d6b8d96dfcc556</t>
        </is>
      </c>
      <c r="C18" s="4" t="inlineStr">
        <is>
          <t>https://cdn.shopify.com/s/files/1/0792/5098/1063/files/fda00b32bfb1f0f6b8cd7d08129f5a20672727be6a983732f50ce6de63121686.jpg?v=1786610945</t>
        </is>
      </c>
      <c r="D18" s="4" t="inlineStr">
        <is>
          <t>https://cdn.shopify.com/s/files/1/0792/5098/1063/files/fda00b32bfb1f0f6b8cd7d08129f5a20672727be6a983732f50ce6de63121686.jpg?v=1786610945</t>
        </is>
      </c>
      <c r="E18" s="2" t="inlineStr">
        <is>
          <t>38796226134215</t>
        </is>
      </c>
      <c r="F18" s="2" t="inlineStr">
        <is>
          <t>47833417154759</t>
        </is>
      </c>
      <c r="G18" s="2" t="inlineStr"/>
      <c r="H18" s="2" t="inlineStr">
        <is>
          <t>GALLERY</t>
        </is>
      </c>
      <c r="I18" s="2" t="inlineStr">
        <is>
          <t>DIRECT_ORIGINAL_IMAGE</t>
        </is>
      </c>
      <c r="J18" s="2" t="inlineStr">
        <is>
          <t>2026-09-07T16:34:57.821765+07:00</t>
        </is>
      </c>
      <c r="K18" s="2" t="inlineStr">
        <is>
          <t>Microfiber, 3D-print and soft/lightweight product-feature panel for the JACKSON soccer bedding.</t>
        </is>
      </c>
      <c r="L18" s="2" t="inlineStr">
        <is>
          <t>Flat, feature or secondary mockup showing personalized exploding soccer ball comforter with Jackson and number 15.</t>
        </is>
      </c>
      <c r="M18" s="2" t="inlineStr">
        <is>
          <t>Custom Exploding Soccer Ball Comforter Set, Machine Washable</t>
        </is>
      </c>
      <c r="N18" s="2" t="inlineStr">
        <is>
          <t>SET</t>
        </is>
      </c>
      <c r="O18" s="2" t="inlineStr">
        <is>
          <t>Secondary mockup of Exploding Soccer Ball Comforter</t>
        </is>
      </c>
      <c r="P18" s="2" t="inlineStr">
        <is>
          <t>FULL</t>
        </is>
      </c>
      <c r="Q18" s="2" t="inlineStr">
        <is>
          <t>FAIL</t>
        </is>
      </c>
      <c r="R18" s="2" t="inlineStr">
        <is>
          <t>FAIL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["R2-ISS-053-IMG-02"]</t>
        </is>
      </c>
      <c r="Z18" s="2" t="inlineStr">
        <is>
          <t>["seo_runs\\jeminise.com\\20260906_234129\\evidence\\images\\53_custom-exploding-soccer-ball-comforter-set-machine-washable-a10\\image_02_47833417154759.jpg; seo_runs\\jeminise.com\\20260906_234129\\evidence\\contact_sheets\\53_custom-exploding-soccer-ball-comforter-set-machine-washable-a10.jpg", "https://jeminise.com/products/custom-exploding-soccer-ball-comforter-set-machine-washable-a10", "https://cdn.shopify.com/s/files/1/0792/5098/1063/files/fda00b32bfb1f0f6b8cd7d08129f5a20672727be6a983732f50ce6de63121686.jpg?v=1786610945"]</t>
        </is>
      </c>
    </row>
    <row r="19" ht="66" customHeight="1">
      <c r="A19" s="3" t="inlineStr">
        <is>
          <t>jeminise.com+custom-exploding-soccer-ball-comforter-set-machine-washable-a10</t>
        </is>
      </c>
      <c r="B19" s="3" t="inlineStr">
        <is>
          <t>qaimg_c2d0f544f8daa9d7</t>
        </is>
      </c>
      <c r="C19" s="4" t="inlineStr">
        <is>
          <t>https://cdn.shopify.com/s/files/1/0792/5098/1063/files/582b042d72bf556232feaea473d58f3dc2874b1c369af5cf7826982fb833bc96.jpg?v=1786610945</t>
        </is>
      </c>
      <c r="D19" s="4" t="inlineStr">
        <is>
          <t>https://cdn.shopify.com/s/files/1/0792/5098/1063/files/582b042d72bf556232feaea473d58f3dc2874b1c369af5cf7826982fb833bc96.jpg?v=1786610945</t>
        </is>
      </c>
      <c r="E19" s="3" t="inlineStr">
        <is>
          <t>38796226166983</t>
        </is>
      </c>
      <c r="F19" s="3" t="inlineStr">
        <is>
          <t>47833417187527</t>
        </is>
      </c>
      <c r="G19" s="3" t="inlineStr"/>
      <c r="H19" s="3" t="inlineStr">
        <is>
          <t>GALLERY</t>
        </is>
      </c>
      <c r="I19" s="3" t="inlineStr">
        <is>
          <t>DIRECT_ORIGINAL_IMAGE</t>
        </is>
      </c>
      <c r="J19" s="3" t="inlineStr">
        <is>
          <t>2026-09-07T16:34:57.821765+07:00</t>
        </is>
      </c>
      <c r="K19" s="3" t="inlineStr">
        <is>
          <t>Alternate bedroom mockup of the JACKSON 15 exploding soccer-ball bedding.</t>
        </is>
      </c>
      <c r="L19" s="3" t="inlineStr">
        <is>
          <t>Lifestyle or bedroom mockup connected to personalized exploding soccer ball comforter with Jackson and number 15.</t>
        </is>
      </c>
      <c r="M19" s="3" t="inlineStr">
        <is>
          <t>Custom Exploding Soccer Ball Comforter Set, Machine Washable</t>
        </is>
      </c>
      <c r="N19" s="3" t="inlineStr">
        <is>
          <t>SET</t>
        </is>
      </c>
      <c r="O19" s="3" t="inlineStr">
        <is>
          <t>Lifestyle or bedroom view of Exploding Soccer Ball Comforter</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t>
        </is>
      </c>
      <c r="Z19" s="3" t="inlineStr">
        <is>
          <t>["seo_runs\\jeminise.com\\20260906_234129\\evidence\\images\\53_custom-exploding-soccer-ball-comforter-set-machine-washable-a10\\image_03_47833417187527.jpg; seo_runs\\jeminise.com\\20260906_234129\\evidence\\contact_sheets\\53_custom-exploding-soccer-ball-comforter-set-machine-washable-a10.jpg", "https://jeminise.com/products/custom-exploding-soccer-ball-comforter-set-machine-washable-a10", "https://cdn.shopify.com/s/files/1/0792/5098/1063/files/582b042d72bf556232feaea473d58f3dc2874b1c369af5cf7826982fb833bc96.jpg?v=1786610945"]</t>
        </is>
      </c>
    </row>
    <row r="20" ht="66" customHeight="1">
      <c r="A20" s="2" t="inlineStr">
        <is>
          <t>jeminise.com+custom-exploding-soccer-ball-comforter-set-machine-washable-a10</t>
        </is>
      </c>
      <c r="B20" s="2" t="inlineStr">
        <is>
          <t>qaimg_b58d872cc29e884b</t>
        </is>
      </c>
      <c r="C20" s="4" t="inlineStr">
        <is>
          <t>https://cdn.shopify.com/s/files/1/0792/5098/1063/files/0b1d1e19cab6d757366a36700f895ecca060303e705a8aece2f5fa486b6770da.jpg?v=1786610945</t>
        </is>
      </c>
      <c r="D20" s="4" t="inlineStr">
        <is>
          <t>https://cdn.shopify.com/s/files/1/0792/5098/1063/files/0b1d1e19cab6d757366a36700f895ecca060303e705a8aece2f5fa486b6770da.jpg?v=1786610945</t>
        </is>
      </c>
      <c r="E20" s="2" t="inlineStr">
        <is>
          <t>38796226199751</t>
        </is>
      </c>
      <c r="F20" s="2" t="inlineStr">
        <is>
          <t>47833417220295</t>
        </is>
      </c>
      <c r="G20" s="2" t="inlineStr"/>
      <c r="H20" s="2" t="inlineStr">
        <is>
          <t>GALLERY</t>
        </is>
      </c>
      <c r="I20" s="2" t="inlineStr">
        <is>
          <t>DIRECT_ORIGINAL_IMAGE</t>
        </is>
      </c>
      <c r="J20" s="2" t="inlineStr">
        <is>
          <t>2026-09-07T16:34:57.821765+07:00</t>
        </is>
      </c>
      <c r="K20" s="2" t="inlineStr">
        <is>
          <t>Duvet-cover versus comforter product-type comparison.</t>
        </is>
      </c>
      <c r="L20" s="2" t="inlineStr">
        <is>
          <t>Size, bedding type or detail information for personalized exploding soccer ball comforter with Jackson and number 15.</t>
        </is>
      </c>
      <c r="M20" s="2" t="inlineStr">
        <is>
          <t>Custom Exploding Soccer Ball Comforter Set, Machine Washable</t>
        </is>
      </c>
      <c r="N20" s="2" t="inlineStr">
        <is>
          <t>SET</t>
        </is>
      </c>
      <c r="O20" s="2" t="inlineStr">
        <is>
          <t>Size or product detail image for Exploding Soccer Ball Comforter</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["seo_runs\\jeminise.com\\20260906_234129\\evidence\\images\\53_custom-exploding-soccer-ball-comforter-set-machine-washable-a10\\image_04_47833417220295.jpg; seo_runs\\jeminise.com\\20260906_234129\\evidence\\contact_sheets\\53_custom-exploding-soccer-ball-comforter-set-machine-washable-a10.jpg", "https://jeminise.com/products/custom-exploding-soccer-ball-comforter-set-machine-washable-a10", "https://cdn.shopify.com/s/files/1/0792/5098/1063/files/0b1d1e19cab6d757366a36700f895ecca060303e705a8aece2f5fa486b6770da.jpg?v=1786610945"]</t>
        </is>
      </c>
    </row>
    <row r="21" ht="66" customHeight="1">
      <c r="A21" s="3" t="inlineStr">
        <is>
          <t>jeminise.com+custom-exploding-soccer-ball-comforter-set-machine-washable-a10</t>
        </is>
      </c>
      <c r="B21" s="3" t="inlineStr">
        <is>
          <t>qaimg_604ef00ff61ebacc</t>
        </is>
      </c>
      <c r="C21" s="4" t="inlineStr">
        <is>
          <t>https://cdn.shopify.com/s/files/1/0792/5098/1063/files/8d826046337227bb116db8d2bc71f03f760486575e643a9219515f8f443f53aa.jpg?v=1786610945</t>
        </is>
      </c>
      <c r="D21" s="4" t="inlineStr">
        <is>
          <t>https://cdn.shopify.com/s/files/1/0792/5098/1063/files/8d826046337227bb116db8d2bc71f03f760486575e643a9219515f8f443f53aa.jpg?v=1786610945</t>
        </is>
      </c>
      <c r="E21" s="3" t="inlineStr">
        <is>
          <t>38796226232519</t>
        </is>
      </c>
      <c r="F21" s="3" t="inlineStr">
        <is>
          <t>47833417253063</t>
        </is>
      </c>
      <c r="G21" s="3" t="inlineStr"/>
      <c r="H21" s="3" t="inlineStr">
        <is>
          <t>GALLERY</t>
        </is>
      </c>
      <c r="I21" s="3" t="inlineStr">
        <is>
          <t>DIRECT_ORIGINAL_IMAGE</t>
        </is>
      </c>
      <c r="J21" s="3" t="inlineStr">
        <is>
          <t>2026-09-07T16:34:57.821765+07:00</t>
        </is>
      </c>
      <c r="K21" s="3" t="inlineStr">
        <is>
          <t>Fluffy microfiber filling and fabric close-up.</t>
        </is>
      </c>
      <c r="L21" s="3" t="inlineStr">
        <is>
          <t>Material, wash or comfort feature image for personalized exploding soccer ball comforter with Jackson and number 15.</t>
        </is>
      </c>
      <c r="M21" s="3" t="inlineStr">
        <is>
          <t>Custom Exploding Soccer Ball Comforter Set, Machine Washable</t>
        </is>
      </c>
      <c r="N21" s="3" t="inlineStr">
        <is>
          <t>SET</t>
        </is>
      </c>
      <c r="O21" s="3" t="inlineStr">
        <is>
          <t>Care or material information for Exploding Soccer Ball Comforter</t>
        </is>
      </c>
      <c r="P21" s="3" t="inlineStr">
        <is>
          <t>FULL</t>
        </is>
      </c>
      <c r="Q21" s="3" t="inlineStr">
        <is>
          <t>FULL</t>
        </is>
      </c>
      <c r="R21" s="3" t="inlineStr">
        <is>
          <t>FULL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t>
        </is>
      </c>
      <c r="Z21" s="3" t="inlineStr">
        <is>
          <t>["seo_runs\\jeminise.com\\20260906_234129\\evidence\\images\\53_custom-exploding-soccer-ball-comforter-set-machine-washable-a10\\image_05_47833417253063.jpg; seo_runs\\jeminise.com\\20260906_234129\\evidence\\contact_sheets\\53_custom-exploding-soccer-ball-comforter-set-machine-washable-a10.jpg", "https://jeminise.com/products/custom-exploding-soccer-ball-comforter-set-machine-washable-a10", "https://cdn.shopify.com/s/files/1/0792/5098/1063/files/8d826046337227bb116db8d2bc71f03f760486575e643a9219515f8f443f53aa.jpg?v=1786610945"]</t>
        </is>
      </c>
    </row>
    <row r="22" ht="66" customHeight="1">
      <c r="A22" s="2" t="inlineStr">
        <is>
          <t>jeminise.com+custom-exploding-soccer-ball-comforter-set-machine-washable-a10</t>
        </is>
      </c>
      <c r="B22" s="2" t="inlineStr">
        <is>
          <t>qaimg_628e6be0dd14c792</t>
        </is>
      </c>
      <c r="C22" s="4" t="inlineStr">
        <is>
          <t>https://cdn.shopify.com/s/files/1/0792/5098/1063/files/f3390a3244de5fb4bcd359962db27187cfb1130a6590c3e92b8b5ab6e248e076.jpg?v=1786610944</t>
        </is>
      </c>
      <c r="D22" s="4" t="inlineStr">
        <is>
          <t>https://cdn.shopify.com/s/files/1/0792/5098/1063/files/f3390a3244de5fb4bcd359962db27187cfb1130a6590c3e92b8b5ab6e248e076.jpg?v=1786610944</t>
        </is>
      </c>
      <c r="E22" s="2" t="inlineStr">
        <is>
          <t>38796226265287</t>
        </is>
      </c>
      <c r="F22" s="2" t="inlineStr">
        <is>
          <t>47833417285831</t>
        </is>
      </c>
      <c r="G22" s="2" t="inlineStr"/>
      <c r="H22" s="2" t="inlineStr">
        <is>
          <t>GALLERY</t>
        </is>
      </c>
      <c r="I22" s="2" t="inlineStr">
        <is>
          <t>DIRECT_ORIGINAL_IMAGE</t>
        </is>
      </c>
      <c r="J22" s="2" t="inlineStr">
        <is>
          <t>2026-09-07T16:34:57.821765+07:00</t>
        </is>
      </c>
      <c r="K22" s="2" t="inlineStr">
        <is>
          <t>Soccer bedding feature panel marked soft, lightweight, durable and breathable.</t>
        </is>
      </c>
      <c r="L22" s="2" t="inlineStr">
        <is>
          <t>Additional size guide, feature panel or mockup for personalized exploding soccer ball comforter with Jackson and number 15.</t>
        </is>
      </c>
      <c r="M22" s="2" t="inlineStr">
        <is>
          <t>Custom Exploding Soccer Ball Comforter Set, Machine Washable</t>
        </is>
      </c>
      <c r="N22" s="2" t="inlineStr">
        <is>
          <t>SET</t>
        </is>
      </c>
      <c r="O22" s="2" t="inlineStr">
        <is>
          <t>Feature or use guide for Exploding Soccer Ball Comforter</t>
        </is>
      </c>
      <c r="P22" s="2" t="inlineStr">
        <is>
          <t>FULL</t>
        </is>
      </c>
      <c r="Q22" s="2" t="inlineStr">
        <is>
          <t>FULL</t>
        </is>
      </c>
      <c r="R22" s="2" t="inlineStr">
        <is>
          <t>FULL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t>
        </is>
      </c>
      <c r="Z22" s="2" t="inlineStr">
        <is>
          <t>["seo_runs\\jeminise.com\\20260906_234129\\evidence\\images\\53_custom-exploding-soccer-ball-comforter-set-machine-washable-a10\\image_06_47833417285831.jpg; seo_runs\\jeminise.com\\20260906_234129\\evidence\\contact_sheets\\53_custom-exploding-soccer-ball-comforter-set-machine-washable-a10.jpg", "https://jeminise.com/products/custom-exploding-soccer-ball-comforter-set-machine-washable-a10", "https://cdn.shopify.com/s/files/1/0792/5098/1063/files/f3390a3244de5fb4bcd359962db27187cfb1130a6590c3e92b8b5ab6e248e076.jpg?v=1786610944"]</t>
        </is>
      </c>
    </row>
    <row r="23" ht="66" customHeight="1">
      <c r="A23" s="3" t="inlineStr">
        <is>
          <t>jeminise.com+custom-exploding-soccer-ball-comforter-set-machine-washable-a10</t>
        </is>
      </c>
      <c r="B23" s="3" t="inlineStr">
        <is>
          <t>qaimg_6cd87cc4c72ea0f2</t>
        </is>
      </c>
      <c r="C23" s="4" t="inlineStr">
        <is>
          <t>https://cdn.shopify.com/s/files/1/0792/5098/1063/files/d761ea3ae4f4c0b26b7473177b21a616c5199552823ec637c64fe7b0d6b0f12f.jpg?v=1786610945</t>
        </is>
      </c>
      <c r="D23" s="4" t="inlineStr">
        <is>
          <t>https://cdn.shopify.com/s/files/1/0792/5098/1063/files/d761ea3ae4f4c0b26b7473177b21a616c5199552823ec637c64fe7b0d6b0f12f.jpg?v=1786610945</t>
        </is>
      </c>
      <c r="E23" s="3" t="inlineStr">
        <is>
          <t>38796226298055</t>
        </is>
      </c>
      <c r="F23" s="3" t="inlineStr">
        <is>
          <t>47833417318599</t>
        </is>
      </c>
      <c r="G23" s="3" t="inlineStr"/>
      <c r="H23" s="3" t="inlineStr">
        <is>
          <t>GALLERY</t>
        </is>
      </c>
      <c r="I23" s="3" t="inlineStr">
        <is>
          <t>DIRECT_ORIGINAL_IMAGE</t>
        </is>
      </c>
      <c r="J23" s="3" t="inlineStr">
        <is>
          <t>2026-09-07T16:34:57.821765+07:00</t>
        </is>
      </c>
      <c r="K23" s="3" t="inlineStr">
        <is>
          <t>Comforter size-dimension chart for Twin, Full, Queen and King.</t>
        </is>
      </c>
      <c r="L23" s="3" t="inlineStr">
        <is>
          <t>Additional lifestyle, feature or product detail image showing personalized exploding soccer ball comforter with Jackson and number 15.</t>
        </is>
      </c>
      <c r="M23" s="3" t="inlineStr">
        <is>
          <t>Custom Exploding Soccer Ball Comforter Set, Machine Washable</t>
        </is>
      </c>
      <c r="N23" s="3" t="inlineStr">
        <is>
          <t>SET</t>
        </is>
      </c>
      <c r="O23" s="3" t="inlineStr">
        <is>
          <t>Additional product mockup of Exploding Soccer Ball Comforter</t>
        </is>
      </c>
      <c r="P23" s="3" t="inlineStr">
        <is>
          <t>FULL</t>
        </is>
      </c>
      <c r="Q23" s="3" t="inlineStr">
        <is>
          <t>FAIL</t>
        </is>
      </c>
      <c r="R23" s="3" t="inlineStr">
        <is>
          <t>FAIL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["R2-ISS-053-IMG-07"]</t>
        </is>
      </c>
      <c r="Z23" s="3" t="inlineStr">
        <is>
          <t>["seo_runs\\jeminise.com\\20260906_234129\\evidence\\images\\53_custom-exploding-soccer-ball-comforter-set-machine-washable-a10\\image_07_47833417318599.jpg; seo_runs\\jeminise.com\\20260906_234129\\evidence\\contact_sheets\\53_custom-exploding-soccer-ball-comforter-set-machine-washable-a10.jpg", "https://jeminise.com/products/custom-exploding-soccer-ball-comforter-set-machine-washable-a10", "https://cdn.shopify.com/s/files/1/0792/5098/1063/files/d761ea3ae4f4c0b26b7473177b21a616c5199552823ec637c64fe7b0d6b0f12f.jpg?v=1786610945"]</t>
        </is>
      </c>
    </row>
    <row r="24" ht="66" customHeight="1">
      <c r="A24" s="2" t="inlineStr">
        <is>
          <t>jeminise.com+custom-exploding-soccer-ball-comforter-set-machine-washable-a10</t>
        </is>
      </c>
      <c r="B24" s="2" t="inlineStr">
        <is>
          <t>qaimg_6e17b559f552a762</t>
        </is>
      </c>
      <c r="C24" s="4" t="inlineStr">
        <is>
          <t>https://cdn.shopify.com/s/files/1/0792/5098/1063/files/dd6b2f75d5d331064be3e2ace151f6872c3f1f67675d8c1c7fa00f207341180b.jpg?v=1786610945</t>
        </is>
      </c>
      <c r="D24" s="4" t="inlineStr">
        <is>
          <t>https://cdn.shopify.com/s/files/1/0792/5098/1063/files/dd6b2f75d5d331064be3e2ace151f6872c3f1f67675d8c1c7fa00f207341180b.jpg?v=1786610945</t>
        </is>
      </c>
      <c r="E24" s="2" t="inlineStr">
        <is>
          <t>38796226330823</t>
        </is>
      </c>
      <c r="F24" s="2" t="inlineStr">
        <is>
          <t>47833417351367</t>
        </is>
      </c>
      <c r="G24" s="2" t="inlineStr"/>
      <c r="H24" s="2" t="inlineStr">
        <is>
          <t>GALLERY</t>
        </is>
      </c>
      <c r="I24" s="2" t="inlineStr">
        <is>
          <t>DIRECT_ORIGINAL_IMAGE</t>
        </is>
      </c>
      <c r="J24" s="2" t="inlineStr">
        <is>
          <t>2026-09-07T16:34:57.821765+07:00</t>
        </is>
      </c>
      <c r="K24" s="2" t="inlineStr">
        <is>
          <t>Easy-care panel marked wrinkle-free, stain-proof, anti-pilling and wash fade resistant.</t>
        </is>
      </c>
      <c r="L24" s="2" t="inlineStr">
        <is>
          <t>Additional lifestyle, feature or product detail image showing personalized exploding soccer ball comforter with Jackson and number 15.</t>
        </is>
      </c>
      <c r="M24" s="2" t="inlineStr">
        <is>
          <t>Custom Exploding Soccer Ball Comforter Set, Machine Washable</t>
        </is>
      </c>
      <c r="N24" s="2" t="inlineStr">
        <is>
          <t>SET</t>
        </is>
      </c>
      <c r="O24" s="2" t="inlineStr">
        <is>
          <t>Lifestyle use image for Exploding Soccer Ball Comforter</t>
        </is>
      </c>
      <c r="P24" s="2" t="inlineStr">
        <is>
          <t>FULL</t>
        </is>
      </c>
      <c r="Q24" s="2" t="inlineStr">
        <is>
          <t>FAIL</t>
        </is>
      </c>
      <c r="R24" s="2" t="inlineStr">
        <is>
          <t>FAIL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["R2-ISS-053-IMG-08"]</t>
        </is>
      </c>
      <c r="Z24" s="2" t="inlineStr">
        <is>
          <t>["seo_runs\\jeminise.com\\20260906_234129\\evidence\\images\\53_custom-exploding-soccer-ball-comforter-set-machine-washable-a10\\image_08_47833417351367.jpg; seo_runs\\jeminise.com\\20260906_234129\\evidence\\contact_sheets\\53_custom-exploding-soccer-ball-comforter-set-machine-washable-a10.jpg", "https://jeminise.com/products/custom-exploding-soccer-ball-comforter-set-machine-washable-a10", "https://cdn.shopify.com/s/files/1/0792/5098/1063/files/dd6b2f75d5d331064be3e2ace151f6872c3f1f67675d8c1c7fa00f207341180b.jpg?v=1786610945"]</t>
        </is>
      </c>
    </row>
    <row r="25" ht="66" customHeight="1">
      <c r="A25" s="3" t="inlineStr">
        <is>
          <t>jeminise.com+custom-fiery-soccer-ball-custom-name-comforter-set-machin-design-5</t>
        </is>
      </c>
      <c r="B25" s="3" t="inlineStr">
        <is>
          <t>qaimg_60eb42d68aa4166a</t>
        </is>
      </c>
      <c r="C25" s="4" t="inlineStr">
        <is>
          <t>https://cdn.shopify.com/s/files/1/0792/5098/1063/files/aeb1f1bd9597eeeb3493ff3a126b43bf0243adc8c650c453d23f5bbb65329de7.jpg?v=1786611050</t>
        </is>
      </c>
      <c r="D25" s="4" t="inlineStr">
        <is>
          <t>https://cdn.shopify.com/s/files/1/0792/5098/1063/files/aeb1f1bd9597eeeb3493ff3a126b43bf0243adc8c650c453d23f5bbb65329de7.jpg?v=1786611050</t>
        </is>
      </c>
      <c r="E25" s="3" t="inlineStr">
        <is>
          <t>38796252381383</t>
        </is>
      </c>
      <c r="F25" s="3" t="inlineStr">
        <is>
          <t>47833444909255</t>
        </is>
      </c>
      <c r="G25" s="3" t="inlineStr"/>
      <c r="H25" s="3" t="inlineStr">
        <is>
          <t>GALLERY</t>
        </is>
      </c>
      <c r="I25" s="3" t="inlineStr">
        <is>
          <t>DIRECT_ORIGINAL_IMAGE</t>
        </is>
      </c>
      <c r="J25" s="3" t="inlineStr">
        <is>
          <t>2026-09-07T16:34:57.821765+07:00</t>
        </is>
      </c>
      <c r="K25" s="3" t="inlineStr">
        <is>
          <t>Front bedroom mockup of a dark-red flaming soccer-ball comforter with sample name KENZO.</t>
        </is>
      </c>
      <c r="L25" s="3" t="inlineStr">
        <is>
          <t>Main product mockup showing personalized fiery soccer ball comforter with Kenzo.</t>
        </is>
      </c>
      <c r="M25" s="3" t="inlineStr">
        <is>
          <t>Custom Fiery Soccer Ball, Custom Name Comforter Set, Machin - Design 5</t>
        </is>
      </c>
      <c r="N25" s="3" t="inlineStr">
        <is>
          <t>SET</t>
        </is>
      </c>
      <c r="O25" s="3" t="inlineStr">
        <is>
          <t>Fiery Soccer Ball Comforter Set displayed in a main product mockup</t>
        </is>
      </c>
      <c r="P25" s="3" t="inlineStr">
        <is>
          <t>FULL</t>
        </is>
      </c>
      <c r="Q25" s="3" t="inlineStr">
        <is>
          <t>FULL</t>
        </is>
      </c>
      <c r="R25" s="3" t="inlineStr">
        <is>
          <t>FULL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t>
        </is>
      </c>
      <c r="Z25" s="3" t="inlineStr">
        <is>
          <t>["seo_runs\\jeminise.com\\20260906_234129\\evidence\\images\\54_custom-fiery-soccer-ball-custom-name-comforter-set-machin-design-5\\image_01_47833444909255.jpg; seo_runs\\jeminise.com\\20260906_234129\\evidence\\contact_sheets\\54_custom-fiery-soccer-ball-custom-name-comforter-set-machin-design-5.jpg", "https://jeminise.com/products/custom-fiery-soccer-ball-custom-name-comforter-set-machin-design-5", "https://cdn.shopify.com/s/files/1/0792/5098/1063/files/aeb1f1bd9597eeeb3493ff3a126b43bf0243adc8c650c453d23f5bbb65329de7.jpg?v=1786611050"]</t>
        </is>
      </c>
    </row>
    <row r="26" ht="66" customHeight="1">
      <c r="A26" s="2" t="inlineStr">
        <is>
          <t>jeminise.com+custom-fiery-soccer-ball-custom-name-comforter-set-machin-design-5</t>
        </is>
      </c>
      <c r="B26" s="2" t="inlineStr">
        <is>
          <t>qaimg_faec2136f8f01f05</t>
        </is>
      </c>
      <c r="C26" s="4" t="inlineStr">
        <is>
          <t>https://cdn.shopify.com/s/files/1/0792/5098/1063/files/15783a9b72566ee839de08d817d4c4ae542366426a617c752a2a2ec56795a839.jpg?v=1786611050</t>
        </is>
      </c>
      <c r="D26" s="4" t="inlineStr">
        <is>
          <t>https://cdn.shopify.com/s/files/1/0792/5098/1063/files/15783a9b72566ee839de08d817d4c4ae542366426a617c752a2a2ec56795a839.jpg?v=1786611050</t>
        </is>
      </c>
      <c r="E26" s="2" t="inlineStr">
        <is>
          <t>38796252414151</t>
        </is>
      </c>
      <c r="F26" s="2" t="inlineStr">
        <is>
          <t>47833444942023</t>
        </is>
      </c>
      <c r="G26" s="2" t="inlineStr"/>
      <c r="H26" s="2" t="inlineStr">
        <is>
          <t>GALLERY</t>
        </is>
      </c>
      <c r="I26" s="2" t="inlineStr">
        <is>
          <t>DIRECT_ORIGINAL_IMAGE</t>
        </is>
      </c>
      <c r="J26" s="2" t="inlineStr">
        <is>
          <t>2026-09-07T16:34:57.821765+07:00</t>
        </is>
      </c>
      <c r="K26" s="2" t="inlineStr">
        <is>
          <t>Microfiber, 3D-print and soft/lightweight feature panel for the KENZO bedding.</t>
        </is>
      </c>
      <c r="L26" s="2" t="inlineStr">
        <is>
          <t>Flat, feature or secondary mockup showing personalized fiery soccer ball comforter with Kenzo.</t>
        </is>
      </c>
      <c r="M26" s="2" t="inlineStr">
        <is>
          <t>Custom Fiery Soccer Ball, Custom Name Comforter Set, Machin - Design 5</t>
        </is>
      </c>
      <c r="N26" s="2" t="inlineStr">
        <is>
          <t>SET</t>
        </is>
      </c>
      <c r="O26" s="2" t="inlineStr">
        <is>
          <t>Secondary mockup of Fiery Soccer Ball Comforter Set</t>
        </is>
      </c>
      <c r="P26" s="2" t="inlineStr">
        <is>
          <t>FULL</t>
        </is>
      </c>
      <c r="Q26" s="2" t="inlineStr">
        <is>
          <t>FAIL</t>
        </is>
      </c>
      <c r="R26" s="2" t="inlineStr">
        <is>
          <t>FAIL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["R2-ISS-054-IMG-02"]</t>
        </is>
      </c>
      <c r="Z26" s="2" t="inlineStr">
        <is>
          <t>["seo_runs\\jeminise.com\\20260906_234129\\evidence\\images\\54_custom-fiery-soccer-ball-custom-name-comforter-set-machin-design-5\\image_02_47833444942023.jpg; seo_runs\\jeminise.com\\20260906_234129\\evidence\\contact_sheets\\54_custom-fiery-soccer-ball-custom-name-comforter-set-machin-design-5.jpg", "https://jeminise.com/products/custom-fiery-soccer-ball-custom-name-comforter-set-machin-design-5", "https://cdn.shopify.com/s/files/1/0792/5098/1063/files/15783a9b72566ee839de08d817d4c4ae542366426a617c752a2a2ec56795a839.jpg?v=1786611050"]</t>
        </is>
      </c>
    </row>
    <row r="27" ht="66" customHeight="1">
      <c r="A27" s="3" t="inlineStr">
        <is>
          <t>jeminise.com+custom-fiery-soccer-ball-custom-name-comforter-set-machin-design-5</t>
        </is>
      </c>
      <c r="B27" s="3" t="inlineStr">
        <is>
          <t>qaimg_3ae3311c7ea48c79</t>
        </is>
      </c>
      <c r="C27" s="4" t="inlineStr">
        <is>
          <t>https://cdn.shopify.com/s/files/1/0792/5098/1063/files/108156a85e5ed8e0f89e87c5a0afbaf1ca703e27351914d449d30dbcd85190de.jpg?v=1786611050</t>
        </is>
      </c>
      <c r="D27" s="4" t="inlineStr">
        <is>
          <t>https://cdn.shopify.com/s/files/1/0792/5098/1063/files/108156a85e5ed8e0f89e87c5a0afbaf1ca703e27351914d449d30dbcd85190de.jpg?v=1786611050</t>
        </is>
      </c>
      <c r="E27" s="3" t="inlineStr">
        <is>
          <t>38796252446919</t>
        </is>
      </c>
      <c r="F27" s="3" t="inlineStr">
        <is>
          <t>47833444974791</t>
        </is>
      </c>
      <c r="G27" s="3" t="inlineStr"/>
      <c r="H27" s="3" t="inlineStr">
        <is>
          <t>GALLERY</t>
        </is>
      </c>
      <c r="I27" s="3" t="inlineStr">
        <is>
          <t>DIRECT_ORIGINAL_IMAGE</t>
        </is>
      </c>
      <c r="J27" s="3" t="inlineStr">
        <is>
          <t>2026-09-07T16:34:57.821765+07:00</t>
        </is>
      </c>
      <c r="K27" s="3" t="inlineStr">
        <is>
          <t>Close bedroom view of two KENZO flaming soccer-ball pillow shams.</t>
        </is>
      </c>
      <c r="L27" s="3" t="inlineStr">
        <is>
          <t>Lifestyle or bedroom mockup connected to personalized fiery soccer ball comforter with Kenzo.</t>
        </is>
      </c>
      <c r="M27" s="3" t="inlineStr">
        <is>
          <t>Custom Fiery Soccer Ball, Custom Name Comforter Set, Machin - Design 5</t>
        </is>
      </c>
      <c r="N27" s="3" t="inlineStr">
        <is>
          <t>SET</t>
        </is>
      </c>
      <c r="O27" s="3" t="inlineStr">
        <is>
          <t>Lifestyle or bedroom view of Fiery Soccer Ball Comforter Set</t>
        </is>
      </c>
      <c r="P27" s="3" t="inlineStr">
        <is>
          <t>FULL</t>
        </is>
      </c>
      <c r="Q27" s="3" t="inlineStr">
        <is>
          <t>FULL</t>
        </is>
      </c>
      <c r="R27" s="3" t="inlineStr">
        <is>
          <t>FULL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t>
        </is>
      </c>
      <c r="Z27" s="3" t="inlineStr">
        <is>
          <t>["seo_runs\\jeminise.com\\20260906_234129\\evidence\\images\\54_custom-fiery-soccer-ball-custom-name-comforter-set-machin-design-5\\image_03_47833444974791.jpg; seo_runs\\jeminise.com\\20260906_234129\\evidence\\contact_sheets\\54_custom-fiery-soccer-ball-custom-name-comforter-set-machin-design-5.jpg", "https://jeminise.com/products/custom-fiery-soccer-ball-custom-name-comforter-set-machin-design-5", "https://cdn.shopify.com/s/files/1/0792/5098/1063/files/108156a85e5ed8e0f89e87c5a0afbaf1ca703e27351914d449d30dbcd85190de.jpg?v=1786611050"]</t>
        </is>
      </c>
    </row>
    <row r="28" ht="66" customHeight="1">
      <c r="A28" s="2" t="inlineStr">
        <is>
          <t>jeminise.com+custom-fiery-soccer-ball-custom-name-comforter-set-machin-design-5</t>
        </is>
      </c>
      <c r="B28" s="2" t="inlineStr">
        <is>
          <t>qaimg_58eed9d675c18008</t>
        </is>
      </c>
      <c r="C28" s="4" t="inlineStr">
        <is>
          <t>https://cdn.shopify.com/s/files/1/0792/5098/1063/files/0b1d1e19cab6d757366a36700f895ecca060303e705a8aece2f5fa486b6770da_64b5d257-8ea5-49cb-a401-ed867ecd84ae.jpg?v=1786611050</t>
        </is>
      </c>
      <c r="D28" s="4" t="inlineStr">
        <is>
          <t>https://cdn.shopify.com/s/files/1/0792/5098/1063/files/0b1d1e19cab6d757366a36700f895ecca060303e705a8aece2f5fa486b6770da_64b5d257-8ea5-49cb-a401-ed867ecd84ae.jpg?v=1786611050</t>
        </is>
      </c>
      <c r="E28" s="2" t="inlineStr">
        <is>
          <t>38796252479687</t>
        </is>
      </c>
      <c r="F28" s="2" t="inlineStr">
        <is>
          <t>47833445007559</t>
        </is>
      </c>
      <c r="G28" s="2" t="inlineStr"/>
      <c r="H28" s="2" t="inlineStr">
        <is>
          <t>GALLERY</t>
        </is>
      </c>
      <c r="I28" s="2" t="inlineStr">
        <is>
          <t>DIRECT_ORIGINAL_IMAGE</t>
        </is>
      </c>
      <c r="J28" s="2" t="inlineStr">
        <is>
          <t>2026-09-07T16:34:57.821765+07:00</t>
        </is>
      </c>
      <c r="K28" s="2" t="inlineStr">
        <is>
          <t>Duvet-cover versus comforter product-type comparison.</t>
        </is>
      </c>
      <c r="L28" s="2" t="inlineStr">
        <is>
          <t>Size, bedding type or detail information for personalized fiery soccer ball comforter with Kenzo.</t>
        </is>
      </c>
      <c r="M28" s="2" t="inlineStr">
        <is>
          <t>Custom Fiery Soccer Ball, Custom Name Comforter Set, Machin - Design 5</t>
        </is>
      </c>
      <c r="N28" s="2" t="inlineStr">
        <is>
          <t>SET</t>
        </is>
      </c>
      <c r="O28" s="2" t="inlineStr">
        <is>
          <t>Size or product detail image for Fiery Soccer Ball Comforter Set</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["seo_runs\\jeminise.com\\20260906_234129\\evidence\\images\\54_custom-fiery-soccer-ball-custom-name-comforter-set-machin-design-5\\image_04_47833445007559.jpg; seo_runs\\jeminise.com\\20260906_234129\\evidence\\contact_sheets\\54_custom-fiery-soccer-ball-custom-name-comforter-set-machin-design-5.jpg", "https://jeminise.com/products/custom-fiery-soccer-ball-custom-name-comforter-set-machin-design-5", "https://cdn.shopify.com/s/files/1/0792/5098/1063/files/0b1d1e19cab6d757366a36700f895ecca060303e705a8aece2f5fa486b6770da_64b5d257-8ea5-49cb-a401-ed867ecd84ae.jpg?v=1786611050"]</t>
        </is>
      </c>
    </row>
    <row r="29" ht="66" customHeight="1">
      <c r="A29" s="3" t="inlineStr">
        <is>
          <t>jeminise.com+custom-fiery-soccer-ball-custom-name-comforter-set-machin-design-5</t>
        </is>
      </c>
      <c r="B29" s="3" t="inlineStr">
        <is>
          <t>qaimg_47cf37d3a0519737</t>
        </is>
      </c>
      <c r="C29" s="4" t="inlineStr">
        <is>
          <t>https://cdn.shopify.com/s/files/1/0792/5098/1063/files/599e8755b60848885d33718bf5b398d605840c8d487d71e87c022c5564dfaed5.jpg?v=1786611050</t>
        </is>
      </c>
      <c r="D29" s="4" t="inlineStr">
        <is>
          <t>https://cdn.shopify.com/s/files/1/0792/5098/1063/files/599e8755b60848885d33718bf5b398d605840c8d487d71e87c022c5564dfaed5.jpg?v=1786611050</t>
        </is>
      </c>
      <c r="E29" s="3" t="inlineStr">
        <is>
          <t>38796252512455</t>
        </is>
      </c>
      <c r="F29" s="3" t="inlineStr">
        <is>
          <t>47833445040327</t>
        </is>
      </c>
      <c r="G29" s="3" t="inlineStr"/>
      <c r="H29" s="3" t="inlineStr">
        <is>
          <t>GALLERY</t>
        </is>
      </c>
      <c r="I29" s="3" t="inlineStr">
        <is>
          <t>DIRECT_ORIGINAL_IMAGE</t>
        </is>
      </c>
      <c r="J29" s="3" t="inlineStr">
        <is>
          <t>2026-09-07T16:34:57.821765+07:00</t>
        </is>
      </c>
      <c r="K29" s="3" t="inlineStr">
        <is>
          <t>KENZO bedding feature panel marked soft, lightweight, durable and breathable.</t>
        </is>
      </c>
      <c r="L29" s="3" t="inlineStr">
        <is>
          <t>Material, wash or comfort feature image for personalized fiery soccer ball comforter with Kenzo.</t>
        </is>
      </c>
      <c r="M29" s="3" t="inlineStr">
        <is>
          <t>Custom Fiery Soccer Ball, Custom Name Comforter Set, Machin - Design 5</t>
        </is>
      </c>
      <c r="N29" s="3" t="inlineStr">
        <is>
          <t>SET</t>
        </is>
      </c>
      <c r="O29" s="3" t="inlineStr">
        <is>
          <t>Care or material information for Fiery Soccer Ball Comforter Set</t>
        </is>
      </c>
      <c r="P29" s="3" t="inlineStr">
        <is>
          <t>FULL</t>
        </is>
      </c>
      <c r="Q29" s="3" t="inlineStr">
        <is>
          <t>FAIL</t>
        </is>
      </c>
      <c r="R29" s="3" t="inlineStr">
        <is>
          <t>FAIL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["R2-ISS-054-IMG-05"]</t>
        </is>
      </c>
      <c r="Z29" s="3" t="inlineStr">
        <is>
          <t>["seo_runs\\jeminise.com\\20260906_234129\\evidence\\images\\54_custom-fiery-soccer-ball-custom-name-comforter-set-machin-design-5\\image_05_47833445040327.jpg; seo_runs\\jeminise.com\\20260906_234129\\evidence\\contact_sheets\\54_custom-fiery-soccer-ball-custom-name-comforter-set-machin-design-5.jpg", "https://jeminise.com/products/custom-fiery-soccer-ball-custom-name-comforter-set-machin-design-5", "https://cdn.shopify.com/s/files/1/0792/5098/1063/files/599e8755b60848885d33718bf5b398d605840c8d487d71e87c022c5564dfaed5.jpg?v=1786611050"]</t>
        </is>
      </c>
    </row>
    <row r="30" ht="66" customHeight="1">
      <c r="A30" s="2" t="inlineStr">
        <is>
          <t>jeminise.com+custom-fiery-soccer-ball-custom-name-comforter-set-machin-design-5</t>
        </is>
      </c>
      <c r="B30" s="2" t="inlineStr">
        <is>
          <t>qaimg_1b352777858aab78</t>
        </is>
      </c>
      <c r="C30" s="4" t="inlineStr">
        <is>
          <t>https://cdn.shopify.com/s/files/1/0792/5098/1063/files/4c5cc9e2c66f88cdde3b7e6fd0952987f1dca5ac52876a538b6310d316350bf2.jpg?v=1786611050</t>
        </is>
      </c>
      <c r="D30" s="4" t="inlineStr">
        <is>
          <t>https://cdn.shopify.com/s/files/1/0792/5098/1063/files/4c5cc9e2c66f88cdde3b7e6fd0952987f1dca5ac52876a538b6310d316350bf2.jpg?v=1786611050</t>
        </is>
      </c>
      <c r="E30" s="2" t="inlineStr">
        <is>
          <t>38796252545223</t>
        </is>
      </c>
      <c r="F30" s="2" t="inlineStr">
        <is>
          <t>47833445073095</t>
        </is>
      </c>
      <c r="G30" s="2" t="inlineStr"/>
      <c r="H30" s="2" t="inlineStr">
        <is>
          <t>GALLERY</t>
        </is>
      </c>
      <c r="I30" s="2" t="inlineStr">
        <is>
          <t>DIRECT_ORIGINAL_IMAGE</t>
        </is>
      </c>
      <c r="J30" s="2" t="inlineStr">
        <is>
          <t>2026-09-07T16:34:57.821765+07:00</t>
        </is>
      </c>
      <c r="K30" s="2" t="inlineStr">
        <is>
          <t>Alternate bedroom mockup of the KENZO flaming soccer-ball bedding.</t>
        </is>
      </c>
      <c r="L30" s="2" t="inlineStr">
        <is>
          <t>Additional size guide, feature panel or mockup for personalized fiery soccer ball comforter with Kenzo.</t>
        </is>
      </c>
      <c r="M30" s="2" t="inlineStr">
        <is>
          <t>Custom Fiery Soccer Ball, Custom Name Comforter Set, Machin - Design 5</t>
        </is>
      </c>
      <c r="N30" s="2" t="inlineStr">
        <is>
          <t>SET</t>
        </is>
      </c>
      <c r="O30" s="2" t="inlineStr">
        <is>
          <t>Feature or use guide for Fiery Soccer Ball Comforter Set</t>
        </is>
      </c>
      <c r="P30" s="2" t="inlineStr">
        <is>
          <t>FULL</t>
        </is>
      </c>
      <c r="Q30" s="2" t="inlineStr">
        <is>
          <t>FAIL</t>
        </is>
      </c>
      <c r="R30" s="2" t="inlineStr">
        <is>
          <t>FAIL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["R2-ISS-054-IMG-06"]</t>
        </is>
      </c>
      <c r="Z30" s="2" t="inlineStr">
        <is>
          <t>["seo_runs\\jeminise.com\\20260906_234129\\evidence\\images\\54_custom-fiery-soccer-ball-custom-name-comforter-set-machin-design-5\\image_06_47833445073095.jpg; seo_runs\\jeminise.com\\20260906_234129\\evidence\\contact_sheets\\54_custom-fiery-soccer-ball-custom-name-comforter-set-machin-design-5.jpg", "https://jeminise.com/products/custom-fiery-soccer-ball-custom-name-comforter-set-machin-design-5", "https://cdn.shopify.com/s/files/1/0792/5098/1063/files/4c5cc9e2c66f88cdde3b7e6fd0952987f1dca5ac52876a538b6310d316350bf2.jpg?v=1786611050"]</t>
        </is>
      </c>
    </row>
    <row r="31" ht="66" customHeight="1">
      <c r="A31" s="3" t="inlineStr">
        <is>
          <t>jeminise.com+custom-fiery-soccer-ball-custom-name-comforter-set-machin-design-5</t>
        </is>
      </c>
      <c r="B31" s="3" t="inlineStr">
        <is>
          <t>qaimg_e1e00bd62ea3adc2</t>
        </is>
      </c>
      <c r="C31" s="4" t="inlineStr">
        <is>
          <t>https://cdn.shopify.com/s/files/1/0792/5098/1063/files/dd6b2f75d5d331064be3e2ace151f6872c3f1f67675d8c1c7fa00f207341180b_bff19a79-92d6-4271-a1ed-900a991b0a6f.jpg?v=1786611050</t>
        </is>
      </c>
      <c r="D31" s="4" t="inlineStr">
        <is>
          <t>https://cdn.shopify.com/s/files/1/0792/5098/1063/files/dd6b2f75d5d331064be3e2ace151f6872c3f1f67675d8c1c7fa00f207341180b_bff19a79-92d6-4271-a1ed-900a991b0a6f.jpg?v=1786611050</t>
        </is>
      </c>
      <c r="E31" s="3" t="inlineStr">
        <is>
          <t>38796252577991</t>
        </is>
      </c>
      <c r="F31" s="3" t="inlineStr">
        <is>
          <t>47833445105863</t>
        </is>
      </c>
      <c r="G31" s="3" t="inlineStr"/>
      <c r="H31" s="3" t="inlineStr">
        <is>
          <t>GALLERY</t>
        </is>
      </c>
      <c r="I31" s="3" t="inlineStr">
        <is>
          <t>DIRECT_ORIGINAL_IMAGE</t>
        </is>
      </c>
      <c r="J31" s="3" t="inlineStr">
        <is>
          <t>2026-09-07T16:34:57.821765+07:00</t>
        </is>
      </c>
      <c r="K31" s="3" t="inlineStr">
        <is>
          <t>Easy-care panel marked wrinkle-free, stain-proof, anti-pilling and wash fade resistant.</t>
        </is>
      </c>
      <c r="L31" s="3" t="inlineStr">
        <is>
          <t>Additional lifestyle, feature or product detail image showing personalized fiery soccer ball comforter with Kenzo.</t>
        </is>
      </c>
      <c r="M31" s="3" t="inlineStr">
        <is>
          <t>Custom Fiery Soccer Ball, Custom Name Comforter Set, Machin - Design 5</t>
        </is>
      </c>
      <c r="N31" s="3" t="inlineStr">
        <is>
          <t>SET</t>
        </is>
      </c>
      <c r="O31" s="3" t="inlineStr">
        <is>
          <t>Additional product mockup of Fiery Soccer Ball Comforter Set</t>
        </is>
      </c>
      <c r="P31" s="3" t="inlineStr">
        <is>
          <t>FULL</t>
        </is>
      </c>
      <c r="Q31" s="3" t="inlineStr">
        <is>
          <t>FAIL</t>
        </is>
      </c>
      <c r="R31" s="3" t="inlineStr">
        <is>
          <t>FAIL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["R2-ISS-054-IMG-07"]</t>
        </is>
      </c>
      <c r="Z31" s="3" t="inlineStr">
        <is>
          <t>["seo_runs\\jeminise.com\\20260906_234129\\evidence\\images\\54_custom-fiery-soccer-ball-custom-name-comforter-set-machin-design-5\\image_07_47833445105863.jpg; seo_runs\\jeminise.com\\20260906_234129\\evidence\\contact_sheets\\54_custom-fiery-soccer-ball-custom-name-comforter-set-machin-design-5.jpg", "https://jeminise.com/products/custom-fiery-soccer-ball-custom-name-comforter-set-machin-design-5", "https://cdn.shopify.com/s/files/1/0792/5098/1063/files/dd6b2f75d5d331064be3e2ace151f6872c3f1f67675d8c1c7fa00f207341180b_bff19a79-92d6-4271-a1ed-900a991b0a6f.jpg?v=1786611050"]</t>
        </is>
      </c>
    </row>
    <row r="32" ht="66" customHeight="1">
      <c r="A32" s="2" t="inlineStr">
        <is>
          <t>jeminise.com+custom-flaming-soccer-ball-with-custom-name-comforter-set-a12</t>
        </is>
      </c>
      <c r="B32" s="2" t="inlineStr">
        <is>
          <t>qaimg_244860c073b22ee3</t>
        </is>
      </c>
      <c r="C32" s="4" t="inlineStr">
        <is>
          <t>https://cdn.shopify.com/s/files/1/0792/5098/1063/files/6d780fd2bd1485daf0f8dd70e68878d90adefc90340848da9af8ecf4a3230a83.jpg?v=1786611006</t>
        </is>
      </c>
      <c r="D32" s="4" t="inlineStr">
        <is>
          <t>https://cdn.shopify.com/s/files/1/0792/5098/1063/files/6d780fd2bd1485daf0f8dd70e68878d90adefc90340848da9af8ecf4a3230a83.jpg?v=1786611006</t>
        </is>
      </c>
      <c r="E32" s="2" t="inlineStr">
        <is>
          <t>38796242911431</t>
        </is>
      </c>
      <c r="F32" s="2" t="inlineStr">
        <is>
          <t>47833434849479</t>
        </is>
      </c>
      <c r="G32" s="2" t="inlineStr"/>
      <c r="H32" s="2" t="inlineStr">
        <is>
          <t>GALLERY</t>
        </is>
      </c>
      <c r="I32" s="2" t="inlineStr">
        <is>
          <t>DIRECT_ORIGINAL_IMAGE</t>
        </is>
      </c>
      <c r="J32" s="2" t="inlineStr">
        <is>
          <t>2026-09-07T16:34:57.821765+07:00</t>
        </is>
      </c>
      <c r="K32" s="2" t="inlineStr">
        <is>
          <t>Front bedroom mockup of a red flaming soccer-ball comforter with sample name Michael and number 07.</t>
        </is>
      </c>
      <c r="L32" s="2" t="inlineStr">
        <is>
          <t>Main product mockup showing personalized flaming soccer ball comforter with Michael and number 07.</t>
        </is>
      </c>
      <c r="M32" s="2" t="inlineStr">
        <is>
          <t>Custom Flaming Soccer Ball with Custom Name Comforter Set</t>
        </is>
      </c>
      <c r="N32" s="2" t="inlineStr">
        <is>
          <t>SET</t>
        </is>
      </c>
      <c r="O32" s="2" t="inlineStr">
        <is>
          <t>Flaming Soccer Ball Comforter displayed in a main product mockup</t>
        </is>
      </c>
      <c r="P32" s="2" t="inlineStr">
        <is>
          <t>FULL</t>
        </is>
      </c>
      <c r="Q32" s="2" t="inlineStr">
        <is>
          <t>FULL</t>
        </is>
      </c>
      <c r="R32" s="2" t="inlineStr">
        <is>
          <t>FULL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t>
        </is>
      </c>
      <c r="Z32" s="2" t="inlineStr">
        <is>
          <t>["seo_runs\\jeminise.com\\20260906_234129\\evidence\\images\\55_custom-flaming-soccer-ball-with-custom-name-comforter-set-a12\\image_01_47833434849479.jpg; seo_runs\\jeminise.com\\20260906_234129\\evidence\\contact_sheets\\55_custom-flaming-soccer-ball-with-custom-name-comforter-set-a12.jpg", "https://jeminise.com/products/custom-flaming-soccer-ball-with-custom-name-comforter-set-a12", "https://cdn.shopify.com/s/files/1/0792/5098/1063/files/6d780fd2bd1485daf0f8dd70e68878d90adefc90340848da9af8ecf4a3230a83.jpg?v=1786611006"]</t>
        </is>
      </c>
    </row>
    <row r="33" ht="66" customHeight="1">
      <c r="A33" s="3" t="inlineStr">
        <is>
          <t>jeminise.com+custom-flaming-soccer-ball-with-custom-name-comforter-set-a12</t>
        </is>
      </c>
      <c r="B33" s="3" t="inlineStr">
        <is>
          <t>qaimg_64d45241f68222f9</t>
        </is>
      </c>
      <c r="C33" s="4" t="inlineStr">
        <is>
          <t>https://cdn.shopify.com/s/files/1/0792/5098/1063/files/1eb56ecd83f16a1b486faa5f948f85e2ce8be491db0b7164e9a4a95a6443f9fa.jpg?v=1786611006</t>
        </is>
      </c>
      <c r="D33" s="4" t="inlineStr">
        <is>
          <t>https://cdn.shopify.com/s/files/1/0792/5098/1063/files/1eb56ecd83f16a1b486faa5f948f85e2ce8be491db0b7164e9a4a95a6443f9fa.jpg?v=1786611006</t>
        </is>
      </c>
      <c r="E33" s="3" t="inlineStr">
        <is>
          <t>38796242944199</t>
        </is>
      </c>
      <c r="F33" s="3" t="inlineStr">
        <is>
          <t>47833434882247</t>
        </is>
      </c>
      <c r="G33" s="3" t="inlineStr"/>
      <c r="H33" s="3" t="inlineStr">
        <is>
          <t>GALLERY</t>
        </is>
      </c>
      <c r="I33" s="3" t="inlineStr">
        <is>
          <t>DIRECT_ORIGINAL_IMAGE</t>
        </is>
      </c>
      <c r="J33" s="3" t="inlineStr">
        <is>
          <t>2026-09-07T16:34:57.821765+07:00</t>
        </is>
      </c>
      <c r="K33" s="3" t="inlineStr">
        <is>
          <t>Microfiber, 3D-print and soft/lightweight feature panel for the Michael 07 bedding.</t>
        </is>
      </c>
      <c r="L33" s="3" t="inlineStr">
        <is>
          <t>Flat, feature or secondary mockup showing personalized flaming soccer ball comforter with Michael and number 07.</t>
        </is>
      </c>
      <c r="M33" s="3" t="inlineStr">
        <is>
          <t>Custom Flaming Soccer Ball with Custom Name Comforter Set</t>
        </is>
      </c>
      <c r="N33" s="3" t="inlineStr">
        <is>
          <t>SET</t>
        </is>
      </c>
      <c r="O33" s="3" t="inlineStr">
        <is>
          <t>Secondary mockup of Flaming Soccer Ball Comforter</t>
        </is>
      </c>
      <c r="P33" s="3" t="inlineStr">
        <is>
          <t>FULL</t>
        </is>
      </c>
      <c r="Q33" s="3" t="inlineStr">
        <is>
          <t>FAIL</t>
        </is>
      </c>
      <c r="R33" s="3" t="inlineStr">
        <is>
          <t>FAIL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["R2-ISS-055-IMG-02"]</t>
        </is>
      </c>
      <c r="Z33" s="3" t="inlineStr">
        <is>
          <t>["seo_runs\\jeminise.com\\20260906_234129\\evidence\\images\\55_custom-flaming-soccer-ball-with-custom-name-comforter-set-a12\\image_02_47833434882247.jpg; seo_runs\\jeminise.com\\20260906_234129\\evidence\\contact_sheets\\55_custom-flaming-soccer-ball-with-custom-name-comforter-set-a12.jpg", "https://jeminise.com/products/custom-flaming-soccer-ball-with-custom-name-comforter-set-a12", "https://cdn.shopify.com/s/files/1/0792/5098/1063/files/1eb56ecd83f16a1b486faa5f948f85e2ce8be491db0b7164e9a4a95a6443f9fa.jpg?v=1786611006"]</t>
        </is>
      </c>
    </row>
    <row r="34" ht="66" customHeight="1">
      <c r="A34" s="2" t="inlineStr">
        <is>
          <t>jeminise.com+custom-flaming-soccer-ball-with-custom-name-comforter-set-a12</t>
        </is>
      </c>
      <c r="B34" s="2" t="inlineStr">
        <is>
          <t>qaimg_1eba07eccca0bb13</t>
        </is>
      </c>
      <c r="C34" s="4" t="inlineStr">
        <is>
          <t>https://cdn.shopify.com/s/files/1/0792/5098/1063/files/212eb0529b543882b770a709780a04d8591438420c86396e40be579a1140763c.jpg?v=1786611006</t>
        </is>
      </c>
      <c r="D34" s="4" t="inlineStr">
        <is>
          <t>https://cdn.shopify.com/s/files/1/0792/5098/1063/files/212eb0529b543882b770a709780a04d8591438420c86396e40be579a1140763c.jpg?v=1786611006</t>
        </is>
      </c>
      <c r="E34" s="2" t="inlineStr">
        <is>
          <t>38796242976967</t>
        </is>
      </c>
      <c r="F34" s="2" t="inlineStr">
        <is>
          <t>47833434915015</t>
        </is>
      </c>
      <c r="G34" s="2" t="inlineStr"/>
      <c r="H34" s="2" t="inlineStr">
        <is>
          <t>GALLERY</t>
        </is>
      </c>
      <c r="I34" s="2" t="inlineStr">
        <is>
          <t>DIRECT_ORIGINAL_IMAGE</t>
        </is>
      </c>
      <c r="J34" s="2" t="inlineStr">
        <is>
          <t>2026-09-07T16:34:57.821765+07:00</t>
        </is>
      </c>
      <c r="K34" s="2" t="inlineStr">
        <is>
          <t>Close angled bedroom view of the Michael 07 soccer bedding.</t>
        </is>
      </c>
      <c r="L34" s="2" t="inlineStr">
        <is>
          <t>Lifestyle or bedroom mockup connected to personalized flaming soccer ball comforter with Michael and number 07.</t>
        </is>
      </c>
      <c r="M34" s="2" t="inlineStr">
        <is>
          <t>Custom Flaming Soccer Ball with Custom Name Comforter Set</t>
        </is>
      </c>
      <c r="N34" s="2" t="inlineStr">
        <is>
          <t>SET</t>
        </is>
      </c>
      <c r="O34" s="2" t="inlineStr">
        <is>
          <t>Lifestyle or bedroom view of Flaming Soccer Ball Comforter</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t>
        </is>
      </c>
      <c r="Z34" s="2" t="inlineStr">
        <is>
          <t>["seo_runs\\jeminise.com\\20260906_234129\\evidence\\images\\55_custom-flaming-soccer-ball-with-custom-name-comforter-set-a12\\image_03_47833434915015.jpg; seo_runs\\jeminise.com\\20260906_234129\\evidence\\contact_sheets\\55_custom-flaming-soccer-ball-with-custom-name-comforter-set-a12.jpg", "https://jeminise.com/products/custom-flaming-soccer-ball-with-custom-name-comforter-set-a12", "https://cdn.shopify.com/s/files/1/0792/5098/1063/files/212eb0529b543882b770a709780a04d8591438420c86396e40be579a1140763c.jpg?v=1786611006"]</t>
        </is>
      </c>
    </row>
    <row r="35" ht="66" customHeight="1">
      <c r="A35" s="3" t="inlineStr">
        <is>
          <t>jeminise.com+custom-flaming-soccer-ball-with-custom-name-comforter-set-a12</t>
        </is>
      </c>
      <c r="B35" s="3" t="inlineStr">
        <is>
          <t>qaimg_09989b374b879650</t>
        </is>
      </c>
      <c r="C35" s="4" t="inlineStr">
        <is>
          <t>https://cdn.shopify.com/s/files/1/0792/5098/1063/files/396828b59fd53a9241601bb0cad4e9cffbbfd7f7c4237dfcb13e671c90b3f204_3a0944ca-a874-48f5-9d46-2506f3d9921a.jpg?v=1786611006</t>
        </is>
      </c>
      <c r="D35" s="4" t="inlineStr">
        <is>
          <t>https://cdn.shopify.com/s/files/1/0792/5098/1063/files/396828b59fd53a9241601bb0cad4e9cffbbfd7f7c4237dfcb13e671c90b3f204_3a0944ca-a874-48f5-9d46-2506f3d9921a.jpg?v=1786611006</t>
        </is>
      </c>
      <c r="E35" s="3" t="inlineStr">
        <is>
          <t>38796243009735</t>
        </is>
      </c>
      <c r="F35" s="3" t="inlineStr">
        <is>
          <t>47833434947783</t>
        </is>
      </c>
      <c r="G35" s="3" t="inlineStr"/>
      <c r="H35" s="3" t="inlineStr">
        <is>
          <t>GALLERY</t>
        </is>
      </c>
      <c r="I35" s="3" t="inlineStr">
        <is>
          <t>DIRECT_ORIGINAL_IMAGE</t>
        </is>
      </c>
      <c r="J35" s="3" t="inlineStr">
        <is>
          <t>2026-09-07T16:34:57.821765+07:00</t>
        </is>
      </c>
      <c r="K35" s="3" t="inlineStr">
        <is>
          <t>Close view of two soccer-ball pillow shams with sample number 07.</t>
        </is>
      </c>
      <c r="L35" s="3" t="inlineStr">
        <is>
          <t>Size, bedding type or detail information for personalized flaming soccer ball comforter with Michael and number 07.</t>
        </is>
      </c>
      <c r="M35" s="3" t="inlineStr">
        <is>
          <t>Custom Flaming Soccer Ball with Custom Name Comforter Set</t>
        </is>
      </c>
      <c r="N35" s="3" t="inlineStr">
        <is>
          <t>SET</t>
        </is>
      </c>
      <c r="O35" s="3" t="inlineStr">
        <is>
          <t>Size or product detail image for Flaming Soccer Ball Comforter</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t>
        </is>
      </c>
      <c r="Z35" s="3" t="inlineStr">
        <is>
          <t>["seo_runs\\jeminise.com\\20260906_234129\\evidence\\images\\55_custom-flaming-soccer-ball-with-custom-name-comforter-set-a12\\image_04_47833434947783.jpg; seo_runs\\jeminise.com\\20260906_234129\\evidence\\contact_sheets\\55_custom-flaming-soccer-ball-with-custom-name-comforter-set-a12.jpg", "https://jeminise.com/products/custom-flaming-soccer-ball-with-custom-name-comforter-set-a12", "https://cdn.shopify.com/s/files/1/0792/5098/1063/files/396828b59fd53a9241601bb0cad4e9cffbbfd7f7c4237dfcb13e671c90b3f204_3a0944ca-a874-48f5-9d46-2506f3d9921a.jpg?v=1786611006"]</t>
        </is>
      </c>
    </row>
    <row r="36" ht="66" customHeight="1">
      <c r="A36" s="2" t="inlineStr">
        <is>
          <t>jeminise.com+custom-flaming-soccer-ball-with-custom-name-comforter-set-a12</t>
        </is>
      </c>
      <c r="B36" s="2" t="inlineStr">
        <is>
          <t>qaimg_295004ea40097ce9</t>
        </is>
      </c>
      <c r="C36" s="4" t="inlineStr">
        <is>
          <t>https://cdn.shopify.com/s/files/1/0792/5098/1063/files/0b1d1e19cab6d757366a36700f895ecca060303e705a8aece2f5fa486b6770da_82f2a957-1f09-4c71-8d62-717fadde4fa3.jpg?v=1786611006</t>
        </is>
      </c>
      <c r="D36" s="4" t="inlineStr">
        <is>
          <t>https://cdn.shopify.com/s/files/1/0792/5098/1063/files/0b1d1e19cab6d757366a36700f895ecca060303e705a8aece2f5fa486b6770da_82f2a957-1f09-4c71-8d62-717fadde4fa3.jpg?v=1786611006</t>
        </is>
      </c>
      <c r="E36" s="2" t="inlineStr">
        <is>
          <t>38796243042503</t>
        </is>
      </c>
      <c r="F36" s="2" t="inlineStr">
        <is>
          <t>47833434980551</t>
        </is>
      </c>
      <c r="G36" s="2" t="inlineStr"/>
      <c r="H36" s="2" t="inlineStr">
        <is>
          <t>GALLERY</t>
        </is>
      </c>
      <c r="I36" s="2" t="inlineStr">
        <is>
          <t>DIRECT_ORIGINAL_IMAGE</t>
        </is>
      </c>
      <c r="J36" s="2" t="inlineStr">
        <is>
          <t>2026-09-07T16:34:57.821765+07:00</t>
        </is>
      </c>
      <c r="K36" s="2" t="inlineStr">
        <is>
          <t>Duvet-cover versus comforter product-type comparison.</t>
        </is>
      </c>
      <c r="L36" s="2" t="inlineStr">
        <is>
          <t>Material, wash or comfort feature image for personalized flaming soccer ball comforter with Michael and number 07.</t>
        </is>
      </c>
      <c r="M36" s="2" t="inlineStr">
        <is>
          <t>Custom Flaming Soccer Ball with Custom Name Comforter Set</t>
        </is>
      </c>
      <c r="N36" s="2" t="inlineStr">
        <is>
          <t>SET</t>
        </is>
      </c>
      <c r="O36" s="2" t="inlineStr">
        <is>
          <t>Care or material information for Flaming Soccer Ball Comforter</t>
        </is>
      </c>
      <c r="P36" s="2" t="inlineStr">
        <is>
          <t>FULL</t>
        </is>
      </c>
      <c r="Q36" s="2" t="inlineStr">
        <is>
          <t>FAIL</t>
        </is>
      </c>
      <c r="R36" s="2" t="inlineStr">
        <is>
          <t>FAIL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["R2-ISS-055-IMG-05"]</t>
        </is>
      </c>
      <c r="Z36" s="2" t="inlineStr">
        <is>
          <t>["seo_runs\\jeminise.com\\20260906_234129\\evidence\\images\\55_custom-flaming-soccer-ball-with-custom-name-comforter-set-a12\\image_05_47833434980551.jpg; seo_runs\\jeminise.com\\20260906_234129\\evidence\\contact_sheets\\55_custom-flaming-soccer-ball-with-custom-name-comforter-set-a12.jpg", "https://jeminise.com/products/custom-flaming-soccer-ball-with-custom-name-comforter-set-a12", "https://cdn.shopify.com/s/files/1/0792/5098/1063/files/0b1d1e19cab6d757366a36700f895ecca060303e705a8aece2f5fa486b6770da_82f2a957-1f09-4c71-8d62-717fadde4fa3.jpg?v=1786611006"]</t>
        </is>
      </c>
    </row>
    <row r="37" ht="66" customHeight="1">
      <c r="A37" s="3" t="inlineStr">
        <is>
          <t>jeminise.com+custom-flaming-soccer-ball-with-custom-name-comforter-set-a12</t>
        </is>
      </c>
      <c r="B37" s="3" t="inlineStr">
        <is>
          <t>qaimg_3c1eeda1bf21bbe8</t>
        </is>
      </c>
      <c r="C37" s="4" t="inlineStr">
        <is>
          <t>https://cdn.shopify.com/s/files/1/0792/5098/1063/files/d69c64abffcb16656c216f686764cc115bec8c445623c065690d8b65417d6aa1.jpg?v=1786611006</t>
        </is>
      </c>
      <c r="D37" s="4" t="inlineStr">
        <is>
          <t>https://cdn.shopify.com/s/files/1/0792/5098/1063/files/d69c64abffcb16656c216f686764cc115bec8c445623c065690d8b65417d6aa1.jpg?v=1786611006</t>
        </is>
      </c>
      <c r="E37" s="3" t="inlineStr">
        <is>
          <t>38796243075271</t>
        </is>
      </c>
      <c r="F37" s="3" t="inlineStr">
        <is>
          <t>47833435013319</t>
        </is>
      </c>
      <c r="G37" s="3" t="inlineStr"/>
      <c r="H37" s="3" t="inlineStr">
        <is>
          <t>GALLERY</t>
        </is>
      </c>
      <c r="I37" s="3" t="inlineStr">
        <is>
          <t>DIRECT_ORIGINAL_IMAGE</t>
        </is>
      </c>
      <c r="J37" s="3" t="inlineStr">
        <is>
          <t>2026-09-07T16:34:57.821765+07:00</t>
        </is>
      </c>
      <c r="K37" s="3" t="inlineStr">
        <is>
          <t>Close-up of the printed red fabric and white underside.</t>
        </is>
      </c>
      <c r="L37" s="3" t="inlineStr">
        <is>
          <t>Additional size guide, feature panel or mockup for personalized flaming soccer ball comforter with Michael and number 07.</t>
        </is>
      </c>
      <c r="M37" s="3" t="inlineStr">
        <is>
          <t>Custom Flaming Soccer Ball with Custom Name Comforter Set</t>
        </is>
      </c>
      <c r="N37" s="3" t="inlineStr">
        <is>
          <t>SET</t>
        </is>
      </c>
      <c r="O37" s="3" t="inlineStr">
        <is>
          <t>Feature or use guide for Flaming Soccer Ball Comforter</t>
        </is>
      </c>
      <c r="P37" s="3" t="inlineStr">
        <is>
          <t>FULL</t>
        </is>
      </c>
      <c r="Q37" s="3" t="inlineStr">
        <is>
          <t>FAIL</t>
        </is>
      </c>
      <c r="R37" s="3" t="inlineStr">
        <is>
          <t>FAIL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["R2-ISS-055-IMG-06"]</t>
        </is>
      </c>
      <c r="Z37" s="3" t="inlineStr">
        <is>
          <t>["seo_runs\\jeminise.com\\20260906_234129\\evidence\\images\\55_custom-flaming-soccer-ball-with-custom-name-comforter-set-a12\\image_06_47833435013319.jpg; seo_runs\\jeminise.com\\20260906_234129\\evidence\\contact_sheets\\55_custom-flaming-soccer-ball-with-custom-name-comforter-set-a12.jpg", "https://jeminise.com/products/custom-flaming-soccer-ball-with-custom-name-comforter-set-a12", "https://cdn.shopify.com/s/files/1/0792/5098/1063/files/d69c64abffcb16656c216f686764cc115bec8c445623c065690d8b65417d6aa1.jpg?v=1786611006"]</t>
        </is>
      </c>
    </row>
    <row r="38" ht="66" customHeight="1">
      <c r="A38" s="2" t="inlineStr">
        <is>
          <t>jeminise.com+custom-flaming-soccer-ball-with-custom-name-comforter-set-a12</t>
        </is>
      </c>
      <c r="B38" s="2" t="inlineStr">
        <is>
          <t>qaimg_5c66c8a6a4a6fe06</t>
        </is>
      </c>
      <c r="C38" s="4" t="inlineStr">
        <is>
          <t>https://cdn.shopify.com/s/files/1/0792/5098/1063/files/f2d46460f3ab65a197a873e1c48899e5b5ee30da98a418af6121a8d7c8106e32.jpg?v=1786611006</t>
        </is>
      </c>
      <c r="D38" s="4" t="inlineStr">
        <is>
          <t>https://cdn.shopify.com/s/files/1/0792/5098/1063/files/f2d46460f3ab65a197a873e1c48899e5b5ee30da98a418af6121a8d7c8106e32.jpg?v=1786611006</t>
        </is>
      </c>
      <c r="E38" s="2" t="inlineStr">
        <is>
          <t>38796243108039</t>
        </is>
      </c>
      <c r="F38" s="2" t="inlineStr">
        <is>
          <t>47833435046087</t>
        </is>
      </c>
      <c r="G38" s="2" t="inlineStr"/>
      <c r="H38" s="2" t="inlineStr">
        <is>
          <t>GALLERY</t>
        </is>
      </c>
      <c r="I38" s="2" t="inlineStr">
        <is>
          <t>DIRECT_ORIGINAL_IMAGE</t>
        </is>
      </c>
      <c r="J38" s="2" t="inlineStr">
        <is>
          <t>2026-09-07T16:34:57.821765+07:00</t>
        </is>
      </c>
      <c r="K38" s="2" t="inlineStr">
        <is>
          <t>Alternate bedroom mockup of the Michael 07 flaming soccer-ball bedding.</t>
        </is>
      </c>
      <c r="L38" s="2" t="inlineStr">
        <is>
          <t>Additional lifestyle, feature or product detail image showing personalized flaming soccer ball comforter with Michael and number 07.</t>
        </is>
      </c>
      <c r="M38" s="2" t="inlineStr">
        <is>
          <t>Custom Flaming Soccer Ball with Custom Name Comforter Set</t>
        </is>
      </c>
      <c r="N38" s="2" t="inlineStr">
        <is>
          <t>SET</t>
        </is>
      </c>
      <c r="O38" s="2" t="inlineStr">
        <is>
          <t>Additional product mockup of Flaming Soccer Ball Comforter</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["seo_runs\\jeminise.com\\20260906_234129\\evidence\\images\\55_custom-flaming-soccer-ball-with-custom-name-comforter-set-a12\\image_07_47833435046087.jpg; seo_runs\\jeminise.com\\20260906_234129\\evidence\\contact_sheets\\55_custom-flaming-soccer-ball-with-custom-name-comforter-set-a12.jpg", "https://jeminise.com/products/custom-flaming-soccer-ball-with-custom-name-comforter-set-a12", "https://cdn.shopify.com/s/files/1/0792/5098/1063/files/f2d46460f3ab65a197a873e1c48899e5b5ee30da98a418af6121a8d7c8106e32.jpg?v=1786611006"]</t>
        </is>
      </c>
    </row>
    <row r="39" ht="66" customHeight="1">
      <c r="A39" s="3" t="inlineStr">
        <is>
          <t>jeminise.com+custom-flaming-soccer-ball-with-custom-name-comforter-set-a12</t>
        </is>
      </c>
      <c r="B39" s="3" t="inlineStr">
        <is>
          <t>qaimg_631608132f2a539e</t>
        </is>
      </c>
      <c r="C39" s="4" t="inlineStr">
        <is>
          <t>https://cdn.shopify.com/s/files/1/0792/5098/1063/files/d761ea3ae4f4c0b26b7473177b21a616c5199552823ec637c64fe7b0d6b0f12f_efa2fec9-9120-468f-a978-bf436a0a95d3.jpg?v=1786611006</t>
        </is>
      </c>
      <c r="D39" s="4" t="inlineStr">
        <is>
          <t>https://cdn.shopify.com/s/files/1/0792/5098/1063/files/d761ea3ae4f4c0b26b7473177b21a616c5199552823ec637c64fe7b0d6b0f12f_efa2fec9-9120-468f-a978-bf436a0a95d3.jpg?v=1786611006</t>
        </is>
      </c>
      <c r="E39" s="3" t="inlineStr">
        <is>
          <t>38796243140807</t>
        </is>
      </c>
      <c r="F39" s="3" t="inlineStr">
        <is>
          <t>47833435078855</t>
        </is>
      </c>
      <c r="G39" s="3" t="inlineStr"/>
      <c r="H39" s="3" t="inlineStr">
        <is>
          <t>GALLERY</t>
        </is>
      </c>
      <c r="I39" s="3" t="inlineStr">
        <is>
          <t>DIRECT_ORIGINAL_IMAGE</t>
        </is>
      </c>
      <c r="J39" s="3" t="inlineStr">
        <is>
          <t>2026-09-07T16:34:57.821765+07:00</t>
        </is>
      </c>
      <c r="K39" s="3" t="inlineStr">
        <is>
          <t>Comforter size-dimension chart for Twin, Full, Queen and King.</t>
        </is>
      </c>
      <c r="L39" s="3" t="inlineStr">
        <is>
          <t>Additional lifestyle, feature or product detail image showing personalized flaming soccer ball comforter with Michael and number 07.</t>
        </is>
      </c>
      <c r="M39" s="3" t="inlineStr">
        <is>
          <t>Custom Flaming Soccer Ball with Custom Name Comforter Set</t>
        </is>
      </c>
      <c r="N39" s="3" t="inlineStr">
        <is>
          <t>SET</t>
        </is>
      </c>
      <c r="O39" s="3" t="inlineStr">
        <is>
          <t>Lifestyle use image for Flaming Soccer Ball Comforter</t>
        </is>
      </c>
      <c r="P39" s="3" t="inlineStr">
        <is>
          <t>FULL</t>
        </is>
      </c>
      <c r="Q39" s="3" t="inlineStr">
        <is>
          <t>FAIL</t>
        </is>
      </c>
      <c r="R39" s="3" t="inlineStr">
        <is>
          <t>FAIL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["R2-ISS-055-IMG-08"]</t>
        </is>
      </c>
      <c r="Z39" s="3" t="inlineStr">
        <is>
          <t>["seo_runs\\jeminise.com\\20260906_234129\\evidence\\images\\55_custom-flaming-soccer-ball-with-custom-name-comforter-set-a12\\image_08_47833435078855.jpg; seo_runs\\jeminise.com\\20260906_234129\\evidence\\contact_sheets\\55_custom-flaming-soccer-ball-with-custom-name-comforter-set-a12.jpg", "https://jeminise.com/products/custom-flaming-soccer-ball-with-custom-name-comforter-set-a12", "https://cdn.shopify.com/s/files/1/0792/5098/1063/files/d761ea3ae4f4c0b26b7473177b21a616c5199552823ec637c64fe7b0d6b0f12f_efa2fec9-9120-468f-a978-bf436a0a95d3.jpg?v=1786611006"]</t>
        </is>
      </c>
    </row>
    <row r="40" ht="66" customHeight="1">
      <c r="A40" s="2" t="inlineStr">
        <is>
          <t>jeminise.com+custom-flaming-soccer-ball-with-name-comforter-set-machine-washable</t>
        </is>
      </c>
      <c r="B40" s="2" t="inlineStr">
        <is>
          <t>qaimg_2b84b4c593f41b84</t>
        </is>
      </c>
      <c r="C40" s="4" t="inlineStr">
        <is>
          <t>https://cdn.shopify.com/s/files/1/0792/5098/1063/files/f841a76d7426fae3bb23d0a8a59fe3fcadc00e404912a6b93baa3f5a7b3a6d2d.jpg?v=1786610967</t>
        </is>
      </c>
      <c r="D40" s="4" t="inlineStr">
        <is>
          <t>https://cdn.shopify.com/s/files/1/0792/5098/1063/files/f841a76d7426fae3bb23d0a8a59fe3fcadc00e404912a6b93baa3f5a7b3a6d2d.jpg?v=1786610967</t>
        </is>
      </c>
      <c r="E40" s="2" t="inlineStr">
        <is>
          <t>38796232556743</t>
        </is>
      </c>
      <c r="F40" s="2" t="inlineStr">
        <is>
          <t>47833424003271</t>
        </is>
      </c>
      <c r="G40" s="2" t="inlineStr"/>
      <c r="H40" s="2" t="inlineStr">
        <is>
          <t>GALLERY</t>
        </is>
      </c>
      <c r="I40" s="2" t="inlineStr">
        <is>
          <t>DIRECT_ORIGINAL_IMAGE</t>
        </is>
      </c>
      <c r="J40" s="2" t="inlineStr">
        <is>
          <t>2026-09-07T16:34:57.821765+07:00</t>
        </is>
      </c>
      <c r="K40" s="2" t="inlineStr">
        <is>
          <t>Front bedroom mockup of a red motion-streak soccer-ball comforter with sample name MICHAEL and number 07.</t>
        </is>
      </c>
      <c r="L40" s="2" t="inlineStr">
        <is>
          <t>Main product mockup showing personalized flaming soccer ball comforter with fire-letter Michael.</t>
        </is>
      </c>
      <c r="M40" s="2" t="inlineStr">
        <is>
          <t>Custom Flaming Soccer Ball with Name Comforter Set, Machine Washable</t>
        </is>
      </c>
      <c r="N40" s="2" t="inlineStr">
        <is>
          <t>SET</t>
        </is>
      </c>
      <c r="O40" s="2" t="inlineStr">
        <is>
          <t>Flaming Soccer Ball Comforter Set displayed in a main product mockup</t>
        </is>
      </c>
      <c r="P40" s="2" t="inlineStr">
        <is>
          <t>FULL</t>
        </is>
      </c>
      <c r="Q40" s="2" t="inlineStr">
        <is>
          <t>FULL</t>
        </is>
      </c>
      <c r="R40" s="2" t="inlineStr">
        <is>
          <t>FULL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t>
        </is>
      </c>
      <c r="Z40" s="2" t="inlineStr">
        <is>
          <t>["seo_runs\\jeminise.com\\20260906_234129\\evidence\\images\\56_custom-flaming-soccer-ball-with-name-comforter-set-machine-washable\\image_01_47833424003271.jpg; seo_runs\\jeminise.com\\20260906_234129\\evidence\\contact_sheets\\56_custom-flaming-soccer-ball-with-name-comforter-set-machine-washable.jpg", "https://jeminise.com/products/custom-flaming-soccer-ball-with-name-comforter-set-machine-washable", "https://cdn.shopify.com/s/files/1/0792/5098/1063/files/f841a76d7426fae3bb23d0a8a59fe3fcadc00e404912a6b93baa3f5a7b3a6d2d.jpg?v=1786610967"]</t>
        </is>
      </c>
    </row>
    <row r="41" ht="66" customHeight="1">
      <c r="A41" s="3" t="inlineStr">
        <is>
          <t>jeminise.com+custom-flaming-soccer-ball-with-name-comforter-set-machine-washable</t>
        </is>
      </c>
      <c r="B41" s="3" t="inlineStr">
        <is>
          <t>qaimg_d87a73f7437525d6</t>
        </is>
      </c>
      <c r="C41" s="4" t="inlineStr">
        <is>
          <t>https://cdn.shopify.com/s/files/1/0792/5098/1063/files/3813f8c0ac9df910e2e4d8668cfc08c226f6d7481a56d5b1b4ea646d6c145d6d.jpg?v=1786610967</t>
        </is>
      </c>
      <c r="D41" s="4" t="inlineStr">
        <is>
          <t>https://cdn.shopify.com/s/files/1/0792/5098/1063/files/3813f8c0ac9df910e2e4d8668cfc08c226f6d7481a56d5b1b4ea646d6c145d6d.jpg?v=1786610967</t>
        </is>
      </c>
      <c r="E41" s="3" t="inlineStr">
        <is>
          <t>38796232589511</t>
        </is>
      </c>
      <c r="F41" s="3" t="inlineStr">
        <is>
          <t>47833424036039</t>
        </is>
      </c>
      <c r="G41" s="3" t="inlineStr"/>
      <c r="H41" s="3" t="inlineStr">
        <is>
          <t>GALLERY</t>
        </is>
      </c>
      <c r="I41" s="3" t="inlineStr">
        <is>
          <t>DIRECT_ORIGINAL_IMAGE</t>
        </is>
      </c>
      <c r="J41" s="3" t="inlineStr">
        <is>
          <t>2026-09-07T16:34:57.821765+07:00</t>
        </is>
      </c>
      <c r="K41" s="3" t="inlineStr">
        <is>
          <t>Microfiber, 3D-print and soft/lightweight feature panel for the MICHAEL 07 bedding.</t>
        </is>
      </c>
      <c r="L41" s="3" t="inlineStr">
        <is>
          <t>Flat, feature or secondary mockup showing personalized flaming soccer ball comforter with fire-letter Michael.</t>
        </is>
      </c>
      <c r="M41" s="3" t="inlineStr">
        <is>
          <t>Custom Flaming Soccer Ball with Name Comforter Set, Machine Washable</t>
        </is>
      </c>
      <c r="N41" s="3" t="inlineStr">
        <is>
          <t>SET</t>
        </is>
      </c>
      <c r="O41" s="3" t="inlineStr">
        <is>
          <t>Secondary mockup of Flaming Soccer Ball Comforter Set</t>
        </is>
      </c>
      <c r="P41" s="3" t="inlineStr">
        <is>
          <t>FULL</t>
        </is>
      </c>
      <c r="Q41" s="3" t="inlineStr">
        <is>
          <t>FAIL</t>
        </is>
      </c>
      <c r="R41" s="3" t="inlineStr">
        <is>
          <t>FAIL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["R2-ISS-056-IMG-02"]</t>
        </is>
      </c>
      <c r="Z41" s="3" t="inlineStr">
        <is>
          <t>["seo_runs\\jeminise.com\\20260906_234129\\evidence\\images\\56_custom-flaming-soccer-ball-with-name-comforter-set-machine-washable\\image_02_47833424036039.jpg; seo_runs\\jeminise.com\\20260906_234129\\evidence\\contact_sheets\\56_custom-flaming-soccer-ball-with-name-comforter-set-machine-washable.jpg", "https://jeminise.com/products/custom-flaming-soccer-ball-with-name-comforter-set-machine-washable", "https://cdn.shopify.com/s/files/1/0792/5098/1063/files/3813f8c0ac9df910e2e4d8668cfc08c226f6d7481a56d5b1b4ea646d6c145d6d.jpg?v=1786610967"]</t>
        </is>
      </c>
    </row>
    <row r="42" ht="66" customHeight="1">
      <c r="A42" s="2" t="inlineStr">
        <is>
          <t>jeminise.com+custom-flaming-soccer-ball-with-name-comforter-set-machine-washable</t>
        </is>
      </c>
      <c r="B42" s="2" t="inlineStr">
        <is>
          <t>qaimg_38a54936bae0db86</t>
        </is>
      </c>
      <c r="C42" s="4" t="inlineStr">
        <is>
          <t>https://cdn.shopify.com/s/files/1/0792/5098/1063/files/573e8ec1b6fd48c4923442e47065a390b1812505c68979c51558d0642f76a14e.jpg?v=1786610967</t>
        </is>
      </c>
      <c r="D42" s="4" t="inlineStr">
        <is>
          <t>https://cdn.shopify.com/s/files/1/0792/5098/1063/files/573e8ec1b6fd48c4923442e47065a390b1812505c68979c51558d0642f76a14e.jpg?v=1786610967</t>
        </is>
      </c>
      <c r="E42" s="2" t="inlineStr">
        <is>
          <t>38796232622279</t>
        </is>
      </c>
      <c r="F42" s="2" t="inlineStr">
        <is>
          <t>47833424068807</t>
        </is>
      </c>
      <c r="G42" s="2" t="inlineStr"/>
      <c r="H42" s="2" t="inlineStr">
        <is>
          <t>GALLERY</t>
        </is>
      </c>
      <c r="I42" s="2" t="inlineStr">
        <is>
          <t>DIRECT_ORIGINAL_IMAGE</t>
        </is>
      </c>
      <c r="J42" s="2" t="inlineStr">
        <is>
          <t>2026-09-07T16:34:57.821765+07:00</t>
        </is>
      </c>
      <c r="K42" s="2" t="inlineStr">
        <is>
          <t>Fluffy microfiber filling and printed fabric close-up.</t>
        </is>
      </c>
      <c r="L42" s="2" t="inlineStr">
        <is>
          <t>Lifestyle or bedroom mockup connected to personalized flaming soccer ball comforter with fire-letter Michael.</t>
        </is>
      </c>
      <c r="M42" s="2" t="inlineStr">
        <is>
          <t>Custom Flaming Soccer Ball with Name Comforter Set, Machine Washable</t>
        </is>
      </c>
      <c r="N42" s="2" t="inlineStr">
        <is>
          <t>SET</t>
        </is>
      </c>
      <c r="O42" s="2" t="inlineStr">
        <is>
          <t>Lifestyle or bedroom view of Flaming Soccer Ball Comforter Set</t>
        </is>
      </c>
      <c r="P42" s="2" t="inlineStr">
        <is>
          <t>FULL</t>
        </is>
      </c>
      <c r="Q42" s="2" t="inlineStr">
        <is>
          <t>FAIL</t>
        </is>
      </c>
      <c r="R42" s="2" t="inlineStr">
        <is>
          <t>FAIL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["R2-ISS-056-IMG-03"]</t>
        </is>
      </c>
      <c r="Z42" s="2" t="inlineStr">
        <is>
          <t>["seo_runs\\jeminise.com\\20260906_234129\\evidence\\images\\56_custom-flaming-soccer-ball-with-name-comforter-set-machine-washable\\image_03_47833424068807.jpg; seo_runs\\jeminise.com\\20260906_234129\\evidence\\contact_sheets\\56_custom-flaming-soccer-ball-with-name-comforter-set-machine-washable.jpg", "https://jeminise.com/products/custom-flaming-soccer-ball-with-name-comforter-set-machine-washable", "https://cdn.shopify.com/s/files/1/0792/5098/1063/files/573e8ec1b6fd48c4923442e47065a390b1812505c68979c51558d0642f76a14e.jpg?v=1786610967"]</t>
        </is>
      </c>
    </row>
    <row r="43" ht="66" customHeight="1">
      <c r="A43" s="3" t="inlineStr">
        <is>
          <t>jeminise.com+custom-flaming-soccer-ball-with-name-comforter-set-machine-washable</t>
        </is>
      </c>
      <c r="B43" s="3" t="inlineStr">
        <is>
          <t>qaimg_7c518cbed1aef565</t>
        </is>
      </c>
      <c r="C43" s="4" t="inlineStr">
        <is>
          <t>https://cdn.shopify.com/s/files/1/0792/5098/1063/files/396828b59fd53a9241601bb0cad4e9cffbbfd7f7c4237dfcb13e671c90b3f204.jpg?v=1786610967</t>
        </is>
      </c>
      <c r="D43" s="4" t="inlineStr">
        <is>
          <t>https://cdn.shopify.com/s/files/1/0792/5098/1063/files/396828b59fd53a9241601bb0cad4e9cffbbfd7f7c4237dfcb13e671c90b3f204.jpg?v=1786610967</t>
        </is>
      </c>
      <c r="E43" s="3" t="inlineStr">
        <is>
          <t>38796232655047</t>
        </is>
      </c>
      <c r="F43" s="3" t="inlineStr">
        <is>
          <t>47833424101575</t>
        </is>
      </c>
      <c r="G43" s="3" t="inlineStr"/>
      <c r="H43" s="3" t="inlineStr">
        <is>
          <t>GALLERY</t>
        </is>
      </c>
      <c r="I43" s="3" t="inlineStr">
        <is>
          <t>DIRECT_ORIGINAL_IMAGE</t>
        </is>
      </c>
      <c r="J43" s="3" t="inlineStr">
        <is>
          <t>2026-09-07T16:34:57.821765+07:00</t>
        </is>
      </c>
      <c r="K43" s="3" t="inlineStr">
        <is>
          <t>Close view of two soccer-ball pillow shams with sample number 07.</t>
        </is>
      </c>
      <c r="L43" s="3" t="inlineStr">
        <is>
          <t>Size, bedding type or detail information for personalized flaming soccer ball comforter with fire-letter Michael.</t>
        </is>
      </c>
      <c r="M43" s="3" t="inlineStr">
        <is>
          <t>Custom Flaming Soccer Ball with Name Comforter Set, Machine Washable</t>
        </is>
      </c>
      <c r="N43" s="3" t="inlineStr">
        <is>
          <t>SET</t>
        </is>
      </c>
      <c r="O43" s="3" t="inlineStr">
        <is>
          <t>Size or product detail image for Flaming Soccer Ball Comforter Set</t>
        </is>
      </c>
      <c r="P43" s="3" t="inlineStr">
        <is>
          <t>FULL</t>
        </is>
      </c>
      <c r="Q43" s="3" t="inlineStr">
        <is>
          <t>FULL</t>
        </is>
      </c>
      <c r="R43" s="3" t="inlineStr">
        <is>
          <t>FULL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t>
        </is>
      </c>
      <c r="Z43" s="3" t="inlineStr">
        <is>
          <t>["seo_runs\\jeminise.com\\20260906_234129\\evidence\\images\\56_custom-flaming-soccer-ball-with-name-comforter-set-machine-washable\\image_04_47833424101575.jpg; seo_runs\\jeminise.com\\20260906_234129\\evidence\\contact_sheets\\56_custom-flaming-soccer-ball-with-name-comforter-set-machine-washable.jpg", "https://jeminise.com/products/custom-flaming-soccer-ball-with-name-comforter-set-machine-washable", "https://cdn.shopify.com/s/files/1/0792/5098/1063/files/396828b59fd53a9241601bb0cad4e9cffbbfd7f7c4237dfcb13e671c90b3f204.jpg?v=1786610967"]</t>
        </is>
      </c>
    </row>
    <row r="44" ht="66" customHeight="1">
      <c r="A44" s="2" t="inlineStr">
        <is>
          <t>jeminise.com+custom-flaming-soccer-ball-with-name-comforter-set-machine-washable</t>
        </is>
      </c>
      <c r="B44" s="2" t="inlineStr">
        <is>
          <t>qaimg_7056747da94a7587</t>
        </is>
      </c>
      <c r="C44" s="4" t="inlineStr">
        <is>
          <t>https://cdn.shopify.com/s/files/1/0792/5098/1063/files/0b1d1e19cab6d757366a36700f895ecca060303e705a8aece2f5fa486b6770da_9e358fbb-be3f-43b4-a914-017455b6e226.jpg?v=1786610967</t>
        </is>
      </c>
      <c r="D44" s="4" t="inlineStr">
        <is>
          <t>https://cdn.shopify.com/s/files/1/0792/5098/1063/files/0b1d1e19cab6d757366a36700f895ecca060303e705a8aece2f5fa486b6770da_9e358fbb-be3f-43b4-a914-017455b6e226.jpg?v=1786610967</t>
        </is>
      </c>
      <c r="E44" s="2" t="inlineStr">
        <is>
          <t>38796232687815</t>
        </is>
      </c>
      <c r="F44" s="2" t="inlineStr">
        <is>
          <t>47833424134343</t>
        </is>
      </c>
      <c r="G44" s="2" t="inlineStr"/>
      <c r="H44" s="2" t="inlineStr">
        <is>
          <t>GALLERY</t>
        </is>
      </c>
      <c r="I44" s="2" t="inlineStr">
        <is>
          <t>DIRECT_ORIGINAL_IMAGE</t>
        </is>
      </c>
      <c r="J44" s="2" t="inlineStr">
        <is>
          <t>2026-09-07T16:34:57.821765+07:00</t>
        </is>
      </c>
      <c r="K44" s="2" t="inlineStr">
        <is>
          <t>Duvet-cover versus comforter product-type comparison.</t>
        </is>
      </c>
      <c r="L44" s="2" t="inlineStr">
        <is>
          <t>Material, wash or comfort feature image for personalized flaming soccer ball comforter with fire-letter Michael.</t>
        </is>
      </c>
      <c r="M44" s="2" t="inlineStr">
        <is>
          <t>Custom Flaming Soccer Ball with Name Comforter Set, Machine Washable</t>
        </is>
      </c>
      <c r="N44" s="2" t="inlineStr">
        <is>
          <t>SET</t>
        </is>
      </c>
      <c r="O44" s="2" t="inlineStr">
        <is>
          <t>Care or material information for Flaming Soccer Ball Comforter Set</t>
        </is>
      </c>
      <c r="P44" s="2" t="inlineStr">
        <is>
          <t>FULL</t>
        </is>
      </c>
      <c r="Q44" s="2" t="inlineStr">
        <is>
          <t>FAIL</t>
        </is>
      </c>
      <c r="R44" s="2" t="inlineStr">
        <is>
          <t>FAIL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["R2-ISS-056-IMG-05"]</t>
        </is>
      </c>
      <c r="Z44" s="2" t="inlineStr">
        <is>
          <t>["seo_runs\\jeminise.com\\20260906_234129\\evidence\\images\\56_custom-flaming-soccer-ball-with-name-comforter-set-machine-washable\\image_05_47833424134343.jpg; seo_runs\\jeminise.com\\20260906_234129\\evidence\\contact_sheets\\56_custom-flaming-soccer-ball-with-name-comforter-set-machine-washable.jpg", "https://jeminise.com/products/custom-flaming-soccer-ball-with-name-comforter-set-machine-washable", "https://cdn.shopify.com/s/files/1/0792/5098/1063/files/0b1d1e19cab6d757366a36700f895ecca060303e705a8aece2f5fa486b6770da_9e358fbb-be3f-43b4-a914-017455b6e226.jpg?v=1786610967"]</t>
        </is>
      </c>
    </row>
    <row r="45" ht="66" customHeight="1">
      <c r="A45" s="3" t="inlineStr">
        <is>
          <t>jeminise.com+custom-flaming-soccer-ball-with-name-comforter-set-machine-washable</t>
        </is>
      </c>
      <c r="B45" s="3" t="inlineStr">
        <is>
          <t>qaimg_67f94164dfcd4963</t>
        </is>
      </c>
      <c r="C45" s="4" t="inlineStr">
        <is>
          <t>https://cdn.shopify.com/s/files/1/0792/5098/1063/files/a9822f49fb2659387abd7a7535d5701b1a37102e53679a13cd13a160a7bb04d3.jpg?v=1786610967</t>
        </is>
      </c>
      <c r="D45" s="4" t="inlineStr">
        <is>
          <t>https://cdn.shopify.com/s/files/1/0792/5098/1063/files/a9822f49fb2659387abd7a7535d5701b1a37102e53679a13cd13a160a7bb04d3.jpg?v=1786610967</t>
        </is>
      </c>
      <c r="E45" s="3" t="inlineStr">
        <is>
          <t>38796232720583</t>
        </is>
      </c>
      <c r="F45" s="3" t="inlineStr">
        <is>
          <t>47833424167111</t>
        </is>
      </c>
      <c r="G45" s="3" t="inlineStr"/>
      <c r="H45" s="3" t="inlineStr">
        <is>
          <t>GALLERY</t>
        </is>
      </c>
      <c r="I45" s="3" t="inlineStr">
        <is>
          <t>DIRECT_ORIGINAL_IMAGE</t>
        </is>
      </c>
      <c r="J45" s="3" t="inlineStr">
        <is>
          <t>2026-09-07T16:34:57.821765+07:00</t>
        </is>
      </c>
      <c r="K45" s="3" t="inlineStr">
        <is>
          <t>Alternate bedroom mockup of the MICHAEL 07 soccer bedding.</t>
        </is>
      </c>
      <c r="L45" s="3" t="inlineStr">
        <is>
          <t>Additional size guide, feature panel or mockup for personalized flaming soccer ball comforter with fire-letter Michael.</t>
        </is>
      </c>
      <c r="M45" s="3" t="inlineStr">
        <is>
          <t>Custom Flaming Soccer Ball with Name Comforter Set, Machine Washable</t>
        </is>
      </c>
      <c r="N45" s="3" t="inlineStr">
        <is>
          <t>SET</t>
        </is>
      </c>
      <c r="O45" s="3" t="inlineStr">
        <is>
          <t>Feature or use guide for Flaming Soccer Ball Comforter Set</t>
        </is>
      </c>
      <c r="P45" s="3" t="inlineStr">
        <is>
          <t>FULL</t>
        </is>
      </c>
      <c r="Q45" s="3" t="inlineStr">
        <is>
          <t>FAIL</t>
        </is>
      </c>
      <c r="R45" s="3" t="inlineStr">
        <is>
          <t>FAIL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["R2-ISS-056-IMG-06"]</t>
        </is>
      </c>
      <c r="Z45" s="3" t="inlineStr">
        <is>
          <t>["seo_runs\\jeminise.com\\20260906_234129\\evidence\\images\\56_custom-flaming-soccer-ball-with-name-comforter-set-machine-washable\\image_06_47833424167111.jpg; seo_runs\\jeminise.com\\20260906_234129\\evidence\\contact_sheets\\56_custom-flaming-soccer-ball-with-name-comforter-set-machine-washable.jpg", "https://jeminise.com/products/custom-flaming-soccer-ball-with-name-comforter-set-machine-washable", "https://cdn.shopify.com/s/files/1/0792/5098/1063/files/a9822f49fb2659387abd7a7535d5701b1a37102e53679a13cd13a160a7bb04d3.jpg?v=1786610967"]</t>
        </is>
      </c>
    </row>
    <row r="46" ht="66" customHeight="1">
      <c r="A46" s="2" t="inlineStr">
        <is>
          <t>jeminise.com+custom-flaming-soccer-ball-with-name-comforter-set-machine-washable</t>
        </is>
      </c>
      <c r="B46" s="2" t="inlineStr">
        <is>
          <t>qaimg_13db2f34df2fd8db</t>
        </is>
      </c>
      <c r="C46" s="4" t="inlineStr">
        <is>
          <t>https://cdn.shopify.com/s/files/1/0792/5098/1063/files/c12a629ab2e208881c638fd6b75264afcd9525d164bbc35fc0d0579fd4c4f854.jpg?v=1786610967</t>
        </is>
      </c>
      <c r="D46" s="4" t="inlineStr">
        <is>
          <t>https://cdn.shopify.com/s/files/1/0792/5098/1063/files/c12a629ab2e208881c638fd6b75264afcd9525d164bbc35fc0d0579fd4c4f854.jpg?v=1786610967</t>
        </is>
      </c>
      <c r="E46" s="2" t="inlineStr">
        <is>
          <t>38796232753351</t>
        </is>
      </c>
      <c r="F46" s="2" t="inlineStr">
        <is>
          <t>47833424199879</t>
        </is>
      </c>
      <c r="G46" s="2" t="inlineStr"/>
      <c r="H46" s="2" t="inlineStr">
        <is>
          <t>GALLERY</t>
        </is>
      </c>
      <c r="I46" s="2" t="inlineStr">
        <is>
          <t>DIRECT_ORIGINAL_IMAGE</t>
        </is>
      </c>
      <c r="J46" s="2" t="inlineStr">
        <is>
          <t>2026-09-07T16:34:57.821765+07:00</t>
        </is>
      </c>
      <c r="K46" s="2" t="inlineStr">
        <is>
          <t>Soccer bedding feature panel marked soft, lightweight, durable and breathable.</t>
        </is>
      </c>
      <c r="L46" s="2" t="inlineStr">
        <is>
          <t>Additional lifestyle, feature or product detail image showing personalized flaming soccer ball comforter with fire-letter Michael.</t>
        </is>
      </c>
      <c r="M46" s="2" t="inlineStr">
        <is>
          <t>Custom Flaming Soccer Ball with Name Comforter Set, Machine Washable</t>
        </is>
      </c>
      <c r="N46" s="2" t="inlineStr">
        <is>
          <t>SET</t>
        </is>
      </c>
      <c r="O46" s="2" t="inlineStr">
        <is>
          <t>Additional product mockup of Flaming Soccer Ball Comforter Set</t>
        </is>
      </c>
      <c r="P46" s="2" t="inlineStr">
        <is>
          <t>FULL</t>
        </is>
      </c>
      <c r="Q46" s="2" t="inlineStr">
        <is>
          <t>FAIL</t>
        </is>
      </c>
      <c r="R46" s="2" t="inlineStr">
        <is>
          <t>FAIL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["R2-ISS-056-IMG-07"]</t>
        </is>
      </c>
      <c r="Z46" s="2" t="inlineStr">
        <is>
          <t>["seo_runs\\jeminise.com\\20260906_234129\\evidence\\images\\56_custom-flaming-soccer-ball-with-name-comforter-set-machine-washable\\image_07_47833424199879.jpg; seo_runs\\jeminise.com\\20260906_234129\\evidence\\contact_sheets\\56_custom-flaming-soccer-ball-with-name-comforter-set-machine-washable.jpg", "https://jeminise.com/products/custom-flaming-soccer-ball-with-name-comforter-set-machine-washable", "https://cdn.shopify.com/s/files/1/0792/5098/1063/files/c12a629ab2e208881c638fd6b75264afcd9525d164bbc35fc0d0579fd4c4f854.jpg?v=1786610967"]</t>
        </is>
      </c>
    </row>
    <row r="47" ht="66" customHeight="1">
      <c r="A47" s="3" t="inlineStr">
        <is>
          <t>jeminise.com+custom-flaming-soccer-ball-with-name-comforter-set-machine-washable</t>
        </is>
      </c>
      <c r="B47" s="3" t="inlineStr">
        <is>
          <t>qaimg_5c9727cac9231bed</t>
        </is>
      </c>
      <c r="C47" s="4" t="inlineStr">
        <is>
          <t>https://cdn.shopify.com/s/files/1/0792/5098/1063/files/d761ea3ae4f4c0b26b7473177b21a616c5199552823ec637c64fe7b0d6b0f12f_e0f1a0f2-8f9d-46e6-8b76-93ec1ddb8090.jpg?v=1786610967</t>
        </is>
      </c>
      <c r="D47" s="4" t="inlineStr">
        <is>
          <t>https://cdn.shopify.com/s/files/1/0792/5098/1063/files/d761ea3ae4f4c0b26b7473177b21a616c5199552823ec637c64fe7b0d6b0f12f_e0f1a0f2-8f9d-46e6-8b76-93ec1ddb8090.jpg?v=1786610967</t>
        </is>
      </c>
      <c r="E47" s="3" t="inlineStr">
        <is>
          <t>38796232786119</t>
        </is>
      </c>
      <c r="F47" s="3" t="inlineStr">
        <is>
          <t>47833424232647</t>
        </is>
      </c>
      <c r="G47" s="3" t="inlineStr"/>
      <c r="H47" s="3" t="inlineStr">
        <is>
          <t>GALLERY</t>
        </is>
      </c>
      <c r="I47" s="3" t="inlineStr">
        <is>
          <t>DIRECT_ORIGINAL_IMAGE</t>
        </is>
      </c>
      <c r="J47" s="3" t="inlineStr">
        <is>
          <t>2026-09-07T16:34:57.821765+07:00</t>
        </is>
      </c>
      <c r="K47" s="3" t="inlineStr">
        <is>
          <t>Comforter size-dimension chart for Twin, Full, Queen and King.</t>
        </is>
      </c>
      <c r="L47" s="3" t="inlineStr">
        <is>
          <t>Additional lifestyle, feature or product detail image showing personalized flaming soccer ball comforter with fire-letter Michael.</t>
        </is>
      </c>
      <c r="M47" s="3" t="inlineStr">
        <is>
          <t>Custom Flaming Soccer Ball with Name Comforter Set, Machine Washable</t>
        </is>
      </c>
      <c r="N47" s="3" t="inlineStr">
        <is>
          <t>SET</t>
        </is>
      </c>
      <c r="O47" s="3" t="inlineStr">
        <is>
          <t>Lifestyle use image for Flaming Soccer Ball Comforter Set</t>
        </is>
      </c>
      <c r="P47" s="3" t="inlineStr">
        <is>
          <t>FULL</t>
        </is>
      </c>
      <c r="Q47" s="3" t="inlineStr">
        <is>
          <t>FAIL</t>
        </is>
      </c>
      <c r="R47" s="3" t="inlineStr">
        <is>
          <t>FAIL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["R2-ISS-056-IMG-08"]</t>
        </is>
      </c>
      <c r="Z47" s="3" t="inlineStr">
        <is>
          <t>["seo_runs\\jeminise.com\\20260906_234129\\evidence\\images\\56_custom-flaming-soccer-ball-with-name-comforter-set-machine-washable\\image_08_47833424232647.jpg; seo_runs\\jeminise.com\\20260906_234129\\evidence\\contact_sheets\\56_custom-flaming-soccer-ball-with-name-comforter-set-machine-washable.jpg", "https://jeminise.com/products/custom-flaming-soccer-ball-with-name-comforter-set-machine-washable", "https://cdn.shopify.com/s/files/1/0792/5098/1063/files/d761ea3ae4f4c0b26b7473177b21a616c5199552823ec637c64fe7b0d6b0f12f_e0f1a0f2-8f9d-46e6-8b76-93ec1ddb8090.jpg?v=1786610967"]</t>
        </is>
      </c>
    </row>
    <row r="48" ht="66" customHeight="1">
      <c r="A48" s="2" t="inlineStr">
        <is>
          <t>jeminise.com+custom-floral-butterfly-inspirational-blanket-machine-wash-design-8</t>
        </is>
      </c>
      <c r="B48" s="2" t="inlineStr">
        <is>
          <t>qaimg_24826a3711bea3e7</t>
        </is>
      </c>
      <c r="C48" s="4" t="inlineStr">
        <is>
          <t>https://cdn.shopify.com/s/files/1/0792/5098/1063/files/e60a7f0c7875d9a23678ce107f7cc49276a08524f855f1c8123e8371efdc3ca1.jpg?v=1786596773</t>
        </is>
      </c>
      <c r="D48" s="4" t="inlineStr">
        <is>
          <t>https://cdn.shopify.com/s/files/1/0792/5098/1063/files/e60a7f0c7875d9a23678ce107f7cc49276a08524f855f1c8123e8371efdc3ca1.jpg?v=1786596773</t>
        </is>
      </c>
      <c r="E48" s="2" t="inlineStr">
        <is>
          <t>38793464086727</t>
        </is>
      </c>
      <c r="F48" s="2" t="inlineStr">
        <is>
          <t>47830590030023</t>
        </is>
      </c>
      <c r="G48" s="2" t="inlineStr"/>
      <c r="H48" s="2" t="inlineStr">
        <is>
          <t>GALLERY</t>
        </is>
      </c>
      <c r="I48" s="2" t="inlineStr">
        <is>
          <t>DIRECT_ORIGINAL_IMAGE</t>
        </is>
      </c>
      <c r="J48" s="2" t="inlineStr">
        <is>
          <t>2026-09-07T16:34:57.821765+07:00</t>
        </is>
      </c>
      <c r="K48" s="2" t="inlineStr">
        <is>
          <t>Woman holding a white floral blanket with sample name SOPHIA, monarch butterfly and Proverbs 31:25 text.</t>
        </is>
      </c>
      <c r="L48" s="2" t="inlineStr">
        <is>
          <t>Main product mockup showing personalized Proverbs 31 floral butterfly blanket for Sophia.</t>
        </is>
      </c>
      <c r="M48" s="2" t="inlineStr">
        <is>
          <t>Custom Floral Butterfly Inspirational Blanket, Machine Wash - Design 8</t>
        </is>
      </c>
      <c r="N48" s="2" t="inlineStr">
        <is>
          <t>SET</t>
        </is>
      </c>
      <c r="O48" s="2" t="inlineStr">
        <is>
          <t>Proverbs 31 Floral Butterfly Blanket displayed in a main product mockup</t>
        </is>
      </c>
      <c r="P48" s="2" t="inlineStr">
        <is>
          <t>FULL</t>
        </is>
      </c>
      <c r="Q48" s="2" t="inlineStr">
        <is>
          <t>FULL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t>
        </is>
      </c>
      <c r="Z48" s="2" t="inlineStr">
        <is>
          <t>["seo_runs\\jeminise.com\\20260906_234129\\evidence\\images\\57_custom-floral-butterfly-inspirational-blanket-machine-wash-design-8\\image_01_47830590030023.jpg; seo_runs\\jeminise.com\\20260906_234129\\evidence\\contact_sheets\\57_custom-floral-butterfly-inspirational-blanket-machine-wash-design-8.jpg", "https://jeminise.com/products/custom-floral-butterfly-inspirational-blanket-machine-wash-design-8", "https://cdn.shopify.com/s/files/1/0792/5098/1063/files/e60a7f0c7875d9a23678ce107f7cc49276a08524f855f1c8123e8371efdc3ca1.jpg?v=1786596773"]</t>
        </is>
      </c>
    </row>
    <row r="49" ht="66" customHeight="1">
      <c r="A49" s="3" t="inlineStr">
        <is>
          <t>jeminise.com+custom-floral-butterfly-inspirational-blanket-machine-wash-design-8</t>
        </is>
      </c>
      <c r="B49" s="3" t="inlineStr">
        <is>
          <t>qaimg_d861241527c2f1fb</t>
        </is>
      </c>
      <c r="C49" s="4" t="inlineStr">
        <is>
          <t>https://cdn.shopify.com/s/files/1/0792/5098/1063/files/ff8aa8b6f045be0fe67b76ae37f27d84f0ad0143e37095b88b29e63dee8d7eef.jpg?v=1786596773</t>
        </is>
      </c>
      <c r="D49" s="4" t="inlineStr">
        <is>
          <t>https://cdn.shopify.com/s/files/1/0792/5098/1063/files/ff8aa8b6f045be0fe67b76ae37f27d84f0ad0143e37095b88b29e63dee8d7eef.jpg?v=1786596773</t>
        </is>
      </c>
      <c r="E49" s="3" t="inlineStr">
        <is>
          <t>38793464119495</t>
        </is>
      </c>
      <c r="F49" s="3" t="inlineStr">
        <is>
          <t>47830590062791</t>
        </is>
      </c>
      <c r="G49" s="3" t="inlineStr"/>
      <c r="H49" s="3" t="inlineStr">
        <is>
          <t>GALLERY</t>
        </is>
      </c>
      <c r="I49" s="3" t="inlineStr">
        <is>
          <t>DIRECT_ORIGINAL_IMAGE</t>
        </is>
      </c>
      <c r="J49" s="3" t="inlineStr">
        <is>
          <t>2026-09-07T16:34:57.821765+07:00</t>
        </is>
      </c>
      <c r="K49" s="3" t="inlineStr">
        <is>
          <t>Isolated mockup of the SOPHIA Proverbs 31:25 floral butterfly blanket.</t>
        </is>
      </c>
      <c r="L49" s="3" t="inlineStr">
        <is>
          <t>Flat, feature or secondary mockup showing personalized Proverbs 31 floral butterfly blanket for Sophia.</t>
        </is>
      </c>
      <c r="M49" s="3" t="inlineStr">
        <is>
          <t>Custom Floral Butterfly Inspirational Blanket, Machine Wash - Design 8</t>
        </is>
      </c>
      <c r="N49" s="3" t="inlineStr">
        <is>
          <t>SET</t>
        </is>
      </c>
      <c r="O49" s="3" t="inlineStr">
        <is>
          <t>Secondary mockup of Proverbs 31 Floral Butterfly Blanket</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["seo_runs\\jeminise.com\\20260906_234129\\evidence\\images\\57_custom-floral-butterfly-inspirational-blanket-machine-wash-design-8\\image_02_47830590062791.jpg; seo_runs\\jeminise.com\\20260906_234129\\evidence\\contact_sheets\\57_custom-floral-butterfly-inspirational-blanket-machine-wash-design-8.jpg", "https://jeminise.com/products/custom-floral-butterfly-inspirational-blanket-machine-wash-design-8", "https://cdn.shopify.com/s/files/1/0792/5098/1063/files/ff8aa8b6f045be0fe67b76ae37f27d84f0ad0143e37095b88b29e63dee8d7eef.jpg?v=1786596773"]</t>
        </is>
      </c>
    </row>
    <row r="50" ht="66" customHeight="1">
      <c r="A50" s="2" t="inlineStr">
        <is>
          <t>jeminise.com+custom-floral-butterfly-inspirational-blanket-machine-wash-design-8</t>
        </is>
      </c>
      <c r="B50" s="2" t="inlineStr">
        <is>
          <t>qaimg_c6537f696c58965a</t>
        </is>
      </c>
      <c r="C50" s="4" t="inlineStr">
        <is>
          <t>https://cdn.shopify.com/s/files/1/0792/5098/1063/files/a9a78fdf2c0420fd947c5f3e5cecd65b237be422aaaa98280fb5ebac60bef361.jpg?v=1786596773</t>
        </is>
      </c>
      <c r="D50" s="4" t="inlineStr">
        <is>
          <t>https://cdn.shopify.com/s/files/1/0792/5098/1063/files/a9a78fdf2c0420fd947c5f3e5cecd65b237be422aaaa98280fb5ebac60bef361.jpg?v=1786596773</t>
        </is>
      </c>
      <c r="E50" s="2" t="inlineStr">
        <is>
          <t>38793464152263</t>
        </is>
      </c>
      <c r="F50" s="2" t="inlineStr">
        <is>
          <t>47830590095559</t>
        </is>
      </c>
      <c r="G50" s="2" t="inlineStr"/>
      <c r="H50" s="2" t="inlineStr">
        <is>
          <t>GALLERY</t>
        </is>
      </c>
      <c r="I50" s="2" t="inlineStr">
        <is>
          <t>DIRECT_ORIGINAL_IMAGE</t>
        </is>
      </c>
      <c r="J50" s="2" t="inlineStr">
        <is>
          <t>2026-09-07T16:34:57.821765+07:00</t>
        </is>
      </c>
      <c r="K50" s="2" t="inlineStr">
        <is>
          <t>Father and child reading under the SOPHIA Proverbs 31:25 blanket.</t>
        </is>
      </c>
      <c r="L50" s="2" t="inlineStr">
        <is>
          <t>Lifestyle or bedroom mockup connected to personalized Proverbs 31 floral butterfly blanket for Sophia.</t>
        </is>
      </c>
      <c r="M50" s="2" t="inlineStr">
        <is>
          <t>Custom Floral Butterfly Inspirational Blanket, Machine Wash - Design 8</t>
        </is>
      </c>
      <c r="N50" s="2" t="inlineStr">
        <is>
          <t>SET</t>
        </is>
      </c>
      <c r="O50" s="2" t="inlineStr">
        <is>
          <t>Lifestyle or bedroom view of Proverbs 31 Floral Butterfly Blanket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t>
        </is>
      </c>
      <c r="Z50" s="2" t="inlineStr">
        <is>
          <t>["seo_runs\\jeminise.com\\20260906_234129\\evidence\\images\\57_custom-floral-butterfly-inspirational-blanket-machine-wash-design-8\\image_03_47830590095559.jpg; seo_runs\\jeminise.com\\20260906_234129\\evidence\\contact_sheets\\57_custom-floral-butterfly-inspirational-blanket-machine-wash-design-8.jpg", "https://jeminise.com/products/custom-floral-butterfly-inspirational-blanket-machine-wash-design-8", "https://cdn.shopify.com/s/files/1/0792/5098/1063/files/a9a78fdf2c0420fd947c5f3e5cecd65b237be422aaaa98280fb5ebac60bef361.jpg?v=1786596773"]</t>
        </is>
      </c>
    </row>
    <row r="51" ht="66" customHeight="1">
      <c r="A51" s="3" t="inlineStr">
        <is>
          <t>jeminise.com+custom-floral-butterfly-inspirational-blanket-machine-wash-design-8</t>
        </is>
      </c>
      <c r="B51" s="3" t="inlineStr">
        <is>
          <t>qaimg_3272e0448024d5ab</t>
        </is>
      </c>
      <c r="C51" s="4" t="inlineStr">
        <is>
          <t>https://cdn.shopify.com/s/files/1/0792/5098/1063/files/305ae64e6952f9d9ff873f8a9c20017e4cb2b2f4331cd02060333804b4f23d24.jpg?v=1786596773</t>
        </is>
      </c>
      <c r="D51" s="4" t="inlineStr">
        <is>
          <t>https://cdn.shopify.com/s/files/1/0792/5098/1063/files/305ae64e6952f9d9ff873f8a9c20017e4cb2b2f4331cd02060333804b4f23d24.jpg?v=1786596773</t>
        </is>
      </c>
      <c r="E51" s="3" t="inlineStr">
        <is>
          <t>38793464185031</t>
        </is>
      </c>
      <c r="F51" s="3" t="inlineStr">
        <is>
          <t>47830590128327</t>
        </is>
      </c>
      <c r="G51" s="3" t="inlineStr"/>
      <c r="H51" s="3" t="inlineStr">
        <is>
          <t>GALLERY</t>
        </is>
      </c>
      <c r="I51" s="3" t="inlineStr">
        <is>
          <t>DIRECT_ORIGINAL_IMAGE</t>
        </is>
      </c>
      <c r="J51" s="3" t="inlineStr">
        <is>
          <t>2026-09-07T16:34:57.821765+07:00</t>
        </is>
      </c>
      <c r="K51" s="3" t="inlineStr">
        <is>
          <t>Four-size blanket chart for 40x30, 50x40, 60x50 and 80x60 inches.</t>
        </is>
      </c>
      <c r="L51" s="3" t="inlineStr">
        <is>
          <t>Size, bedding type or detail information for personalized Proverbs 31 floral butterfly blanket for Sophia.</t>
        </is>
      </c>
      <c r="M51" s="3" t="inlineStr">
        <is>
          <t>Custom Floral Butterfly Inspirational Blanket, Machine Wash - Design 8</t>
        </is>
      </c>
      <c r="N51" s="3" t="inlineStr">
        <is>
          <t>SET</t>
        </is>
      </c>
      <c r="O51" s="3" t="inlineStr">
        <is>
          <t>Size or product detail image for Proverbs 31 Floral Butterfly Blanket</t>
        </is>
      </c>
      <c r="P51" s="3" t="inlineStr">
        <is>
          <t>FULL</t>
        </is>
      </c>
      <c r="Q51" s="3" t="inlineStr">
        <is>
          <t>FULL</t>
        </is>
      </c>
      <c r="R51" s="3" t="inlineStr">
        <is>
          <t>FULL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t>
        </is>
      </c>
      <c r="Z51" s="3" t="inlineStr">
        <is>
          <t>["seo_runs\\jeminise.com\\20260906_234129\\evidence\\images\\57_custom-floral-butterfly-inspirational-blanket-machine-wash-design-8\\image_04_47830590128327.jpg; seo_runs\\jeminise.com\\20260906_234129\\evidence\\contact_sheets\\57_custom-floral-butterfly-inspirational-blanket-machine-wash-design-8.jpg", "https://jeminise.com/products/custom-floral-butterfly-inspirational-blanket-machine-wash-design-8", "https://cdn.shopify.com/s/files/1/0792/5098/1063/files/305ae64e6952f9d9ff873f8a9c20017e4cb2b2f4331cd02060333804b4f23d24.jpg?v=1786596773"]</t>
        </is>
      </c>
    </row>
    <row r="52" ht="66" customHeight="1">
      <c r="A52" s="2" t="inlineStr">
        <is>
          <t>jeminise.com+custom-floral-butterfly-inspirational-blanket-machine-wash-design-8</t>
        </is>
      </c>
      <c r="B52" s="2" t="inlineStr">
        <is>
          <t>qaimg_de7ad82705efdf1d</t>
        </is>
      </c>
      <c r="C52" s="4" t="inlineStr">
        <is>
          <t>https://cdn.shopify.com/s/files/1/0792/5098/1063/files/5462259bf9f3c043578a523c3535ddff2364152d3563cdfd384d3c6187e6bd9e.jpg?v=1786596773</t>
        </is>
      </c>
      <c r="D52" s="4" t="inlineStr">
        <is>
          <t>https://cdn.shopify.com/s/files/1/0792/5098/1063/files/5462259bf9f3c043578a523c3535ddff2364152d3563cdfd384d3c6187e6bd9e.jpg?v=1786596773</t>
        </is>
      </c>
      <c r="E52" s="2" t="inlineStr">
        <is>
          <t>38793464217799</t>
        </is>
      </c>
      <c r="F52" s="2" t="inlineStr">
        <is>
          <t>47830590161095</t>
        </is>
      </c>
      <c r="G52" s="2" t="inlineStr"/>
      <c r="H52" s="2" t="inlineStr">
        <is>
          <t>GALLERY</t>
        </is>
      </c>
      <c r="I52" s="2" t="inlineStr">
        <is>
          <t>DIRECT_ORIGINAL_IMAGE</t>
        </is>
      </c>
      <c r="J52" s="2" t="inlineStr">
        <is>
          <t>2026-09-07T16:34:57.821765+07:00</t>
        </is>
      </c>
      <c r="K52" s="2" t="inlineStr">
        <is>
          <t>Blanket feature panel marked fluffy and soft, high quality, no pilling, no shedding, gentle and smooth.</t>
        </is>
      </c>
      <c r="L52" s="2" t="inlineStr">
        <is>
          <t>Material, wash or comfort feature image for personalized Proverbs 31 floral butterfly blanket for Sophia.</t>
        </is>
      </c>
      <c r="M52" s="2" t="inlineStr">
        <is>
          <t>Custom Floral Butterfly Inspirational Blanket, Machine Wash - Design 8</t>
        </is>
      </c>
      <c r="N52" s="2" t="inlineStr">
        <is>
          <t>SET</t>
        </is>
      </c>
      <c r="O52" s="2" t="inlineStr">
        <is>
          <t>Care or material information for Proverbs 31 Floral Butterfly Blanket</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["seo_runs\\jeminise.com\\20260906_234129\\evidence\\images\\57_custom-floral-butterfly-inspirational-blanket-machine-wash-design-8\\image_05_47830590161095.jpg; seo_runs\\jeminise.com\\20260906_234129\\evidence\\contact_sheets\\57_custom-floral-butterfly-inspirational-blanket-machine-wash-design-8.jpg", "https://jeminise.com/products/custom-floral-butterfly-inspirational-blanket-machine-wash-design-8", "https://cdn.shopify.com/s/files/1/0792/5098/1063/files/5462259bf9f3c043578a523c3535ddff2364152d3563cdfd384d3c6187e6bd9e.jpg?v=1786596773"]</t>
        </is>
      </c>
    </row>
    <row r="53" ht="66" customHeight="1">
      <c r="A53" s="3" t="inlineStr">
        <is>
          <t>jeminise.com+custom-floral-butterfly-inspirational-blanket-machine-wash-design-8</t>
        </is>
      </c>
      <c r="B53" s="3" t="inlineStr">
        <is>
          <t>qaimg_fb7526f56e77c905</t>
        </is>
      </c>
      <c r="C53" s="4" t="inlineStr">
        <is>
          <t>https://cdn.shopify.com/s/files/1/0792/5098/1063/files/2bad5058c746820e47f34d322a765767629d4fe60088c852a465d71609a1d184.jpg?v=1786596773</t>
        </is>
      </c>
      <c r="D53" s="4" t="inlineStr">
        <is>
          <t>https://cdn.shopify.com/s/files/1/0792/5098/1063/files/2bad5058c746820e47f34d322a765767629d4fe60088c852a465d71609a1d184.jpg?v=1786596773</t>
        </is>
      </c>
      <c r="E53" s="3" t="inlineStr">
        <is>
          <t>38793464250567</t>
        </is>
      </c>
      <c r="F53" s="3" t="inlineStr">
        <is>
          <t>47830590193863</t>
        </is>
      </c>
      <c r="G53" s="3" t="inlineStr"/>
      <c r="H53" s="3" t="inlineStr">
        <is>
          <t>GALLERY</t>
        </is>
      </c>
      <c r="I53" s="3" t="inlineStr">
        <is>
          <t>DIRECT_ORIGINAL_IMAGE</t>
        </is>
      </c>
      <c r="J53" s="3" t="inlineStr">
        <is>
          <t>2026-09-07T16:34:57.821765+07:00</t>
        </is>
      </c>
      <c r="K53" s="3" t="inlineStr">
        <is>
          <t>Fabric and print-detail collage for the floral butterfly blanket.</t>
        </is>
      </c>
      <c r="L53" s="3" t="inlineStr">
        <is>
          <t>Additional size guide, feature panel or mockup for personalized Proverbs 31 floral butterfly blanket for Sophia.</t>
        </is>
      </c>
      <c r="M53" s="3" t="inlineStr">
        <is>
          <t>Custom Floral Butterfly Inspirational Blanket, Machine Wash - Design 8</t>
        </is>
      </c>
      <c r="N53" s="3" t="inlineStr">
        <is>
          <t>SET</t>
        </is>
      </c>
      <c r="O53" s="3" t="inlineStr">
        <is>
          <t>Feature or use guide for Proverbs 31 Floral Butterfly Blanket</t>
        </is>
      </c>
      <c r="P53" s="3" t="inlineStr">
        <is>
          <t>FULL</t>
        </is>
      </c>
      <c r="Q53" s="3" t="inlineStr">
        <is>
          <t>FULL</t>
        </is>
      </c>
      <c r="R53" s="3" t="inlineStr">
        <is>
          <t>FULL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t>
        </is>
      </c>
      <c r="Z53" s="3" t="inlineStr">
        <is>
          <t>["seo_runs\\jeminise.com\\20260906_234129\\evidence\\images\\57_custom-floral-butterfly-inspirational-blanket-machine-wash-design-8\\image_06_47830590193863.jpg; seo_runs\\jeminise.com\\20260906_234129\\evidence\\contact_sheets\\57_custom-floral-butterfly-inspirational-blanket-machine-wash-design-8.jpg", "https://jeminise.com/products/custom-floral-butterfly-inspirational-blanket-machine-wash-design-8", "https://cdn.shopify.com/s/files/1/0792/5098/1063/files/2bad5058c746820e47f34d322a765767629d4fe60088c852a465d71609a1d184.jpg?v=1786596773"]</t>
        </is>
      </c>
    </row>
    <row r="54" ht="66" customHeight="1">
      <c r="A54" s="2" t="inlineStr">
        <is>
          <t>jeminise.com+custom-floral-butterfly-inspirational-blanket-machine-wash-design-8</t>
        </is>
      </c>
      <c r="B54" s="2" t="inlineStr">
        <is>
          <t>qaimg_0dda398d4b56a38f</t>
        </is>
      </c>
      <c r="C54" s="4" t="inlineStr">
        <is>
          <t>https://cdn.shopify.com/s/files/1/0792/5098/1063/files/bd2bdbc27d07a38dabe5b11feab835f5ac81fa7e9b596bc91e42123273183b6a.jpg?v=1786596773</t>
        </is>
      </c>
      <c r="D54" s="4" t="inlineStr">
        <is>
          <t>https://cdn.shopify.com/s/files/1/0792/5098/1063/files/bd2bdbc27d07a38dabe5b11feab835f5ac81fa7e9b596bc91e42123273183b6a.jpg?v=1786596773</t>
        </is>
      </c>
      <c r="E54" s="2" t="inlineStr">
        <is>
          <t>38793464283335</t>
        </is>
      </c>
      <c r="F54" s="2" t="inlineStr">
        <is>
          <t>47830590226631</t>
        </is>
      </c>
      <c r="G54" s="2" t="inlineStr"/>
      <c r="H54" s="2" t="inlineStr">
        <is>
          <t>GALLERY</t>
        </is>
      </c>
      <c r="I54" s="2" t="inlineStr">
        <is>
          <t>DIRECT_ORIGINAL_IMAGE</t>
        </is>
      </c>
      <c r="J54" s="2" t="inlineStr">
        <is>
          <t>2026-09-07T16:34:57.821765+07:00</t>
        </is>
      </c>
      <c r="K54" s="2" t="inlineStr">
        <is>
          <t>SOPHIA Proverbs 31:25 blanket draped over a tan sofa.</t>
        </is>
      </c>
      <c r="L54" s="2" t="inlineStr">
        <is>
          <t>Additional lifestyle, feature or product detail image showing personalized Proverbs 31 floral butterfly blanket for Sophia.</t>
        </is>
      </c>
      <c r="M54" s="2" t="inlineStr">
        <is>
          <t>Custom Floral Butterfly Inspirational Blanket, Machine Wash - Design 8</t>
        </is>
      </c>
      <c r="N54" s="2" t="inlineStr">
        <is>
          <t>SET</t>
        </is>
      </c>
      <c r="O54" s="2" t="inlineStr">
        <is>
          <t>Additional product mockup of Proverbs 31 Floral Butterfly Blanket</t>
        </is>
      </c>
      <c r="P54" s="2" t="inlineStr">
        <is>
          <t>FULL</t>
        </is>
      </c>
      <c r="Q54" s="2" t="inlineStr">
        <is>
          <t>FULL</t>
        </is>
      </c>
      <c r="R54" s="2" t="inlineStr">
        <is>
          <t>FULL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t>
        </is>
      </c>
      <c r="Z54" s="2" t="inlineStr">
        <is>
          <t>["seo_runs\\jeminise.com\\20260906_234129\\evidence\\images\\57_custom-floral-butterfly-inspirational-blanket-machine-wash-design-8\\image_07_47830590226631.jpg; seo_runs\\jeminise.com\\20260906_234129\\evidence\\contact_sheets\\57_custom-floral-butterfly-inspirational-blanket-machine-wash-design-8.jpg", "https://jeminise.com/products/custom-floral-butterfly-inspirational-blanket-machine-wash-design-8", "https://cdn.shopify.com/s/files/1/0792/5098/1063/files/bd2bdbc27d07a38dabe5b11feab835f5ac81fa7e9b596bc91e42123273183b6a.jpg?v=1786596773"]</t>
        </is>
      </c>
    </row>
    <row r="55" ht="66" customHeight="1">
      <c r="A55" s="3" t="inlineStr">
        <is>
          <t>jeminise.com+custom-floral-butterfly-inspirational-blanket-machine-wash-design-8</t>
        </is>
      </c>
      <c r="B55" s="3" t="inlineStr">
        <is>
          <t>qaimg_1a7c30353c555a08</t>
        </is>
      </c>
      <c r="C55" s="4" t="inlineStr">
        <is>
          <t>https://cdn.shopify.com/s/files/1/0792/5098/1063/files/7ea7887dbaa70e9fa2d52cc786f39814763d527191156ef97bf0d23afbdcc4d3.jpg?v=1786596773</t>
        </is>
      </c>
      <c r="D55" s="4" t="inlineStr">
        <is>
          <t>https://cdn.shopify.com/s/files/1/0792/5098/1063/files/7ea7887dbaa70e9fa2d52cc786f39814763d527191156ef97bf0d23afbdcc4d3.jpg?v=1786596773</t>
        </is>
      </c>
      <c r="E55" s="3" t="inlineStr">
        <is>
          <t>38793464316103</t>
        </is>
      </c>
      <c r="F55" s="3" t="inlineStr">
        <is>
          <t>47830590259399</t>
        </is>
      </c>
      <c r="G55" s="3" t="inlineStr"/>
      <c r="H55" s="3" t="inlineStr">
        <is>
          <t>GALLERY</t>
        </is>
      </c>
      <c r="I55" s="3" t="inlineStr">
        <is>
          <t>DIRECT_ORIGINAL_IMAGE</t>
        </is>
      </c>
      <c r="J55" s="3" t="inlineStr">
        <is>
          <t>2026-09-07T16:34:57.821765+07:00</t>
        </is>
      </c>
      <c r="K55" s="3" t="inlineStr">
        <is>
          <t>Second sofa lifestyle view of the SOPHIA floral butterfly blanket.</t>
        </is>
      </c>
      <c r="L55" s="3" t="inlineStr">
        <is>
          <t>Additional lifestyle, feature or product detail image showing personalized Proverbs 31 floral butterfly blanket for Sophia.</t>
        </is>
      </c>
      <c r="M55" s="3" t="inlineStr">
        <is>
          <t>Custom Floral Butterfly Inspirational Blanket, Machine Wash - Design 8</t>
        </is>
      </c>
      <c r="N55" s="3" t="inlineStr">
        <is>
          <t>SET</t>
        </is>
      </c>
      <c r="O55" s="3" t="inlineStr">
        <is>
          <t>Lifestyle use image for Proverbs 31 Floral Butterfly Blanket</t>
        </is>
      </c>
      <c r="P55" s="3" t="inlineStr">
        <is>
          <t>FULL</t>
        </is>
      </c>
      <c r="Q55" s="3" t="inlineStr">
        <is>
          <t>FULL</t>
        </is>
      </c>
      <c r="R55" s="3" t="inlineStr">
        <is>
          <t>FULL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t>
        </is>
      </c>
      <c r="Z55" s="3" t="inlineStr">
        <is>
          <t>["seo_runs\\jeminise.com\\20260906_234129\\evidence\\images\\57_custom-floral-butterfly-inspirational-blanket-machine-wash-design-8\\image_08_47830590259399.jpg; seo_runs\\jeminise.com\\20260906_234129\\evidence\\contact_sheets\\57_custom-floral-butterfly-inspirational-blanket-machine-wash-design-8.jpg", "https://jeminise.com/products/custom-floral-butterfly-inspirational-blanket-machine-wash-design-8", "https://cdn.shopify.com/s/files/1/0792/5098/1063/files/7ea7887dbaa70e9fa2d52cc786f39814763d527191156ef97bf0d23afbdcc4d3.jpg?v=1786596773"]</t>
        </is>
      </c>
    </row>
    <row r="56" ht="66" customHeight="1">
      <c r="A56" s="2" t="inlineStr">
        <is>
          <t>jeminise.com+custom-floral-butterfly-inspirational-blanket-machine-washable-d3</t>
        </is>
      </c>
      <c r="B56" s="2" t="inlineStr">
        <is>
          <t>qaimg_087d1e1ecfba2db2</t>
        </is>
      </c>
      <c r="C56" s="4" t="inlineStr">
        <is>
          <t>https://cdn.shopify.com/s/files/1/0792/5098/1063/files/7b2d759cc3474f8b380ea9f9ef6d4b141461fb49275363500310123df95ebadf.jpg?v=1786596316</t>
        </is>
      </c>
      <c r="D56" s="4" t="inlineStr">
        <is>
          <t>https://cdn.shopify.com/s/files/1/0792/5098/1063/files/7b2d759cc3474f8b380ea9f9ef6d4b141461fb49275363500310123df95ebadf.jpg?v=1786596316</t>
        </is>
      </c>
      <c r="E56" s="2" t="inlineStr">
        <is>
          <t>38793335537863</t>
        </is>
      </c>
      <c r="F56" s="2" t="inlineStr">
        <is>
          <t>47830460498119</t>
        </is>
      </c>
      <c r="G56" s="2" t="inlineStr"/>
      <c r="H56" s="2" t="inlineStr">
        <is>
          <t>GALLERY</t>
        </is>
      </c>
      <c r="I56" s="2" t="inlineStr">
        <is>
          <t>DIRECT_ORIGINAL_IMAGE</t>
        </is>
      </c>
      <c r="J56" s="2" t="inlineStr">
        <is>
          <t>2026-09-07T16:34:57.821765+07:00</t>
        </is>
      </c>
      <c r="K56" s="2" t="inlineStr">
        <is>
          <t>Woman holding a pale floral and butterfly Bible-affirmation blanket with sample name SARA.</t>
        </is>
      </c>
      <c r="L56" s="2" t="inlineStr">
        <is>
          <t>Main product mockup showing personalized you are Bible verse blanket for Sara.</t>
        </is>
      </c>
      <c r="M56" s="2" t="inlineStr">
        <is>
          <t>Custom Floral Butterfly Inspirational Blanket, Machine Washable</t>
        </is>
      </c>
      <c r="N56" s="2" t="inlineStr">
        <is>
          <t>SET</t>
        </is>
      </c>
      <c r="O56" s="2" t="inlineStr">
        <is>
          <t>Floral Bible Verse Blanket displayed in a main product mockup</t>
        </is>
      </c>
      <c r="P56" s="2" t="inlineStr">
        <is>
          <t>FULL</t>
        </is>
      </c>
      <c r="Q56" s="2" t="inlineStr">
        <is>
          <t>FULL</t>
        </is>
      </c>
      <c r="R56" s="2" t="inlineStr">
        <is>
          <t>FULL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t>
        </is>
      </c>
      <c r="Z56" s="2" t="inlineStr">
        <is>
          <t>["seo_runs\\jeminise.com\\20260906_234129\\evidence\\images\\58_custom-floral-butterfly-inspirational-blanket-machine-washable-d3\\image_01_47830460498119.jpg; seo_runs\\jeminise.com\\20260906_234129\\evidence\\contact_sheets\\58_custom-floral-butterfly-inspirational-blanket-machine-washable-d3.jpg", "https://jeminise.com/products/custom-floral-butterfly-inspirational-blanket-machine-washable-d3", "https://cdn.shopify.com/s/files/1/0792/5098/1063/files/7b2d759cc3474f8b380ea9f9ef6d4b141461fb49275363500310123df95ebadf.jpg?v=1786596316"]</t>
        </is>
      </c>
    </row>
    <row r="57" ht="66" customHeight="1">
      <c r="A57" s="3" t="inlineStr">
        <is>
          <t>jeminise.com+custom-floral-butterfly-inspirational-blanket-machine-washable-d3</t>
        </is>
      </c>
      <c r="B57" s="3" t="inlineStr">
        <is>
          <t>qaimg_634811655d274075</t>
        </is>
      </c>
      <c r="C57" s="4" t="inlineStr">
        <is>
          <t>https://cdn.shopify.com/s/files/1/0792/5098/1063/files/2ce553ac0d114236f4d8b3e23520aaa409b8dca49927efd5843df78f67260cd9.jpg?v=1786596316</t>
        </is>
      </c>
      <c r="D57" s="4" t="inlineStr">
        <is>
          <t>https://cdn.shopify.com/s/files/1/0792/5098/1063/files/2ce553ac0d114236f4d8b3e23520aaa409b8dca49927efd5843df78f67260cd9.jpg?v=1786596316</t>
        </is>
      </c>
      <c r="E57" s="3" t="inlineStr">
        <is>
          <t>38793335570631</t>
        </is>
      </c>
      <c r="F57" s="3" t="inlineStr">
        <is>
          <t>47830460530887</t>
        </is>
      </c>
      <c r="G57" s="3" t="inlineStr"/>
      <c r="H57" s="3" t="inlineStr">
        <is>
          <t>GALLERY</t>
        </is>
      </c>
      <c r="I57" s="3" t="inlineStr">
        <is>
          <t>DIRECT_ORIGINAL_IMAGE</t>
        </is>
      </c>
      <c r="J57" s="3" t="inlineStr">
        <is>
          <t>2026-09-07T16:34:57.821765+07:00</t>
        </is>
      </c>
      <c r="K57" s="3" t="inlineStr">
        <is>
          <t>SARA Bible-affirmation blanket draped over a beige sofa.</t>
        </is>
      </c>
      <c r="L57" s="3" t="inlineStr">
        <is>
          <t>Flat, feature or secondary mockup showing personalized you are Bible verse blanket for Sara.</t>
        </is>
      </c>
      <c r="M57" s="3" t="inlineStr">
        <is>
          <t>Custom Floral Butterfly Inspirational Blanket, Machine Washable</t>
        </is>
      </c>
      <c r="N57" s="3" t="inlineStr">
        <is>
          <t>SET</t>
        </is>
      </c>
      <c r="O57" s="3" t="inlineStr">
        <is>
          <t>Secondary mockup of Floral Bible Verse Blanket</t>
        </is>
      </c>
      <c r="P57" s="3" t="inlineStr">
        <is>
          <t>FULL</t>
        </is>
      </c>
      <c r="Q57" s="3" t="inlineStr">
        <is>
          <t>FULL</t>
        </is>
      </c>
      <c r="R57" s="3" t="inlineStr">
        <is>
          <t>FULL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t>
        </is>
      </c>
      <c r="Z57" s="3" t="inlineStr">
        <is>
          <t>["seo_runs\\jeminise.com\\20260906_234129\\evidence\\images\\58_custom-floral-butterfly-inspirational-blanket-machine-washable-d3\\image_02_47830460530887.jpg; seo_runs\\jeminise.com\\20260906_234129\\evidence\\contact_sheets\\58_custom-floral-butterfly-inspirational-blanket-machine-washable-d3.jpg", "https://jeminise.com/products/custom-floral-butterfly-inspirational-blanket-machine-washable-d3", "https://cdn.shopify.com/s/files/1/0792/5098/1063/files/2ce553ac0d114236f4d8b3e23520aaa409b8dca49927efd5843df78f67260cd9.jpg?v=1786596316"]</t>
        </is>
      </c>
    </row>
    <row r="58" ht="66" customHeight="1">
      <c r="A58" s="2" t="inlineStr">
        <is>
          <t>jeminise.com+custom-floral-butterfly-inspirational-blanket-machine-washable-d3</t>
        </is>
      </c>
      <c r="B58" s="2" t="inlineStr">
        <is>
          <t>qaimg_bf2fb8881b7dd081</t>
        </is>
      </c>
      <c r="C58" s="4" t="inlineStr">
        <is>
          <t>https://cdn.shopify.com/s/files/1/0792/5098/1063/files/703198759b702616a3500a475ce654b547c5fed941e5f8dadfccb45437948bef.jpg?v=1786596316</t>
        </is>
      </c>
      <c r="D58" s="4" t="inlineStr">
        <is>
          <t>https://cdn.shopify.com/s/files/1/0792/5098/1063/files/703198759b702616a3500a475ce654b547c5fed941e5f8dadfccb45437948bef.jpg?v=1786596316</t>
        </is>
      </c>
      <c r="E58" s="2" t="inlineStr">
        <is>
          <t>38793335603399</t>
        </is>
      </c>
      <c r="F58" s="2" t="inlineStr">
        <is>
          <t>47830460563655</t>
        </is>
      </c>
      <c r="G58" s="2" t="inlineStr"/>
      <c r="H58" s="2" t="inlineStr">
        <is>
          <t>GALLERY</t>
        </is>
      </c>
      <c r="I58" s="2" t="inlineStr">
        <is>
          <t>DIRECT_ORIGINAL_IMAGE</t>
        </is>
      </c>
      <c r="J58" s="2" t="inlineStr">
        <is>
          <t>2026-09-07T16:34:57.821765+07:00</t>
        </is>
      </c>
      <c r="K58" s="2" t="inlineStr">
        <is>
          <t>60-inch blanket use and personalization diagram for sofa, office, bed and travel.</t>
        </is>
      </c>
      <c r="L58" s="2" t="inlineStr">
        <is>
          <t>Lifestyle or bedroom mockup connected to personalized you are Bible verse blanket for Sara.</t>
        </is>
      </c>
      <c r="M58" s="2" t="inlineStr">
        <is>
          <t>Custom Floral Butterfly Inspirational Blanket, Machine Washable</t>
        </is>
      </c>
      <c r="N58" s="2" t="inlineStr">
        <is>
          <t>SET</t>
        </is>
      </c>
      <c r="O58" s="2" t="inlineStr">
        <is>
          <t>Lifestyle or bedroom view of Floral Bible Verse Blanket</t>
        </is>
      </c>
      <c r="P58" s="2" t="inlineStr">
        <is>
          <t>FULL</t>
        </is>
      </c>
      <c r="Q58" s="2" t="inlineStr">
        <is>
          <t>FAIL</t>
        </is>
      </c>
      <c r="R58" s="2" t="inlineStr">
        <is>
          <t>FAIL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["R2-ISS-058-IMG-03"]</t>
        </is>
      </c>
      <c r="Z58" s="2" t="inlineStr">
        <is>
          <t>["seo_runs\\jeminise.com\\20260906_234129\\evidence\\images\\58_custom-floral-butterfly-inspirational-blanket-machine-washable-d3\\image_03_47830460563655.jpg; seo_runs\\jeminise.com\\20260906_234129\\evidence\\contact_sheets\\58_custom-floral-butterfly-inspirational-blanket-machine-washable-d3.jpg", "https://jeminise.com/products/custom-floral-butterfly-inspirational-blanket-machine-washable-d3", "https://cdn.shopify.com/s/files/1/0792/5098/1063/files/703198759b702616a3500a475ce654b547c5fed941e5f8dadfccb45437948bef.jpg?v=1786596316"]</t>
        </is>
      </c>
    </row>
    <row r="59" ht="66" customHeight="1">
      <c r="A59" s="3" t="inlineStr">
        <is>
          <t>jeminise.com+custom-floral-butterfly-inspirational-blanket-machine-washable-d3</t>
        </is>
      </c>
      <c r="B59" s="3" t="inlineStr">
        <is>
          <t>qaimg_2d067aded9cd2714</t>
        </is>
      </c>
      <c r="C59" s="4" t="inlineStr">
        <is>
          <t>https://cdn.shopify.com/s/files/1/0792/5098/1063/files/5c3b5891d03eb13448d493becfaf9a384d04fa42c641a138fbbb13e85fd762e9.jpg?v=1786596316</t>
        </is>
      </c>
      <c r="D59" s="4" t="inlineStr">
        <is>
          <t>https://cdn.shopify.com/s/files/1/0792/5098/1063/files/5c3b5891d03eb13448d493becfaf9a384d04fa42c641a138fbbb13e85fd762e9.jpg?v=1786596316</t>
        </is>
      </c>
      <c r="E59" s="3" t="inlineStr">
        <is>
          <t>38793335636167</t>
        </is>
      </c>
      <c r="F59" s="3" t="inlineStr">
        <is>
          <t>47830460596423</t>
        </is>
      </c>
      <c r="G59" s="3" t="inlineStr"/>
      <c r="H59" s="3" t="inlineStr">
        <is>
          <t>GALLERY</t>
        </is>
      </c>
      <c r="I59" s="3" t="inlineStr">
        <is>
          <t>DIRECT_ORIGINAL_IMAGE</t>
        </is>
      </c>
      <c r="J59" s="3" t="inlineStr">
        <is>
          <t>2026-09-07T16:34:57.821765+07:00</t>
        </is>
      </c>
      <c r="K59" s="3" t="inlineStr">
        <is>
          <t>Fabric and print-detail collage for the SARA Bible-affirmation blanket.</t>
        </is>
      </c>
      <c r="L59" s="3" t="inlineStr">
        <is>
          <t>Size, bedding type or detail information for personalized you are Bible verse blanket for Sara.</t>
        </is>
      </c>
      <c r="M59" s="3" t="inlineStr">
        <is>
          <t>Custom Floral Butterfly Inspirational Blanket, Machine Washable</t>
        </is>
      </c>
      <c r="N59" s="3" t="inlineStr">
        <is>
          <t>SET</t>
        </is>
      </c>
      <c r="O59" s="3" t="inlineStr">
        <is>
          <t>Size or product detail image for Floral Bible Verse Blanket</t>
        </is>
      </c>
      <c r="P59" s="3" t="inlineStr">
        <is>
          <t>FULL</t>
        </is>
      </c>
      <c r="Q59" s="3" t="inlineStr">
        <is>
          <t>FULL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t>
        </is>
      </c>
      <c r="Z59" s="3" t="inlineStr">
        <is>
          <t>["seo_runs\\jeminise.com\\20260906_234129\\evidence\\images\\58_custom-floral-butterfly-inspirational-blanket-machine-washable-d3\\image_04_47830460596423.jpg; seo_runs\\jeminise.com\\20260906_234129\\evidence\\contact_sheets\\58_custom-floral-butterfly-inspirational-blanket-machine-washable-d3.jpg", "https://jeminise.com/products/custom-floral-butterfly-inspirational-blanket-machine-washable-d3", "https://cdn.shopify.com/s/files/1/0792/5098/1063/files/5c3b5891d03eb13448d493becfaf9a384d04fa42c641a138fbbb13e85fd762e9.jpg?v=1786596316"]</t>
        </is>
      </c>
    </row>
    <row r="60" ht="66" customHeight="1">
      <c r="A60" s="2" t="inlineStr">
        <is>
          <t>jeminise.com+custom-floral-butterfly-inspirational-blanket-machine-washable-d3</t>
        </is>
      </c>
      <c r="B60" s="2" t="inlineStr">
        <is>
          <t>qaimg_fbf642d5200db475</t>
        </is>
      </c>
      <c r="C60" s="4" t="inlineStr">
        <is>
          <t>https://cdn.shopify.com/s/files/1/0792/5098/1063/files/c8a4d26fcd3d1ff5ed61b0a5c1d2b9d98969aa11bacf519f8d76e18208fe489f.jpg?v=1786596316</t>
        </is>
      </c>
      <c r="D60" s="4" t="inlineStr">
        <is>
          <t>https://cdn.shopify.com/s/files/1/0792/5098/1063/files/c8a4d26fcd3d1ff5ed61b0a5c1d2b9d98969aa11bacf519f8d76e18208fe489f.jpg?v=1786596316</t>
        </is>
      </c>
      <c r="E60" s="2" t="inlineStr">
        <is>
          <t>38793335668935</t>
        </is>
      </c>
      <c r="F60" s="2" t="inlineStr">
        <is>
          <t>47830460629191</t>
        </is>
      </c>
      <c r="G60" s="2" t="inlineStr"/>
      <c r="H60" s="2" t="inlineStr">
        <is>
          <t>GALLERY</t>
        </is>
      </c>
      <c r="I60" s="2" t="inlineStr">
        <is>
          <t>DIRECT_ORIGINAL_IMAGE</t>
        </is>
      </c>
      <c r="J60" s="2" t="inlineStr">
        <is>
          <t>2026-09-07T16:34:57.821765+07:00</t>
        </is>
      </c>
      <c r="K60" s="2" t="inlineStr">
        <is>
          <t>Feature panel marked machine washable, soft and warm, dense stitching and 260 GSM fleece.</t>
        </is>
      </c>
      <c r="L60" s="2" t="inlineStr">
        <is>
          <t>Material, wash or comfort feature image for personalized you are Bible verse blanket for Sara.</t>
        </is>
      </c>
      <c r="M60" s="2" t="inlineStr">
        <is>
          <t>Custom Floral Butterfly Inspirational Blanket, Machine Washable</t>
        </is>
      </c>
      <c r="N60" s="2" t="inlineStr">
        <is>
          <t>SET</t>
        </is>
      </c>
      <c r="O60" s="2" t="inlineStr">
        <is>
          <t>Care or material information for Floral Bible Verse Blanket</t>
        </is>
      </c>
      <c r="P60" s="2" t="inlineStr">
        <is>
          <t>FULL</t>
        </is>
      </c>
      <c r="Q60" s="2" t="inlineStr">
        <is>
          <t>FULL</t>
        </is>
      </c>
      <c r="R60" s="2" t="inlineStr">
        <is>
          <t>FULL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t>
        </is>
      </c>
      <c r="Z60" s="2" t="inlineStr">
        <is>
          <t>["seo_runs\\jeminise.com\\20260906_234129\\evidence\\images\\58_custom-floral-butterfly-inspirational-blanket-machine-washable-d3\\image_05_47830460629191.jpg; seo_runs\\jeminise.com\\20260906_234129\\evidence\\contact_sheets\\58_custom-floral-butterfly-inspirational-blanket-machine-washable-d3.jpg", "https://jeminise.com/products/custom-floral-butterfly-inspirational-blanket-machine-washable-d3", "https://cdn.shopify.com/s/files/1/0792/5098/1063/files/c8a4d26fcd3d1ff5ed61b0a5c1d2b9d98969aa11bacf519f8d76e18208fe489f.jpg?v=1786596316"]</t>
        </is>
      </c>
    </row>
    <row r="61" ht="66" customHeight="1">
      <c r="A61" s="3" t="inlineStr">
        <is>
          <t>jeminise.com+custom-floral-butterfly-inspirational-blanket-machine-washable-d3</t>
        </is>
      </c>
      <c r="B61" s="3" t="inlineStr">
        <is>
          <t>qaimg_58a8d1c5c7c92e7b</t>
        </is>
      </c>
      <c r="C61" s="4" t="inlineStr">
        <is>
          <t>https://cdn.shopify.com/s/files/1/0792/5098/1063/files/2075703484a2851c9831b41fa7c93b7f2c1a14581fdd42005886499bead2d034.jpg?v=1786596316</t>
        </is>
      </c>
      <c r="D61" s="4" t="inlineStr">
        <is>
          <t>https://cdn.shopify.com/s/files/1/0792/5098/1063/files/2075703484a2851c9831b41fa7c93b7f2c1a14581fdd42005886499bead2d034.jpg?v=1786596316</t>
        </is>
      </c>
      <c r="E61" s="3" t="inlineStr">
        <is>
          <t>38793335701703</t>
        </is>
      </c>
      <c r="F61" s="3" t="inlineStr">
        <is>
          <t>47830460661959</t>
        </is>
      </c>
      <c r="G61" s="3" t="inlineStr"/>
      <c r="H61" s="3" t="inlineStr">
        <is>
          <t>GALLERY</t>
        </is>
      </c>
      <c r="I61" s="3" t="inlineStr">
        <is>
          <t>DIRECT_ORIGINAL_IMAGE</t>
        </is>
      </c>
      <c r="J61" s="3" t="inlineStr">
        <is>
          <t>2026-09-07T16:34:57.821765+07:00</t>
        </is>
      </c>
      <c r="K61" s="3" t="inlineStr">
        <is>
          <t>Bed-and-reading lifestyle scene with the SARA blanket and a dog.</t>
        </is>
      </c>
      <c r="L61" s="3" t="inlineStr">
        <is>
          <t>Additional size guide, feature panel or mockup for personalized you are Bible verse blanket for Sara.</t>
        </is>
      </c>
      <c r="M61" s="3" t="inlineStr">
        <is>
          <t>Custom Floral Butterfly Inspirational Blanket, Machine Washable</t>
        </is>
      </c>
      <c r="N61" s="3" t="inlineStr">
        <is>
          <t>SET</t>
        </is>
      </c>
      <c r="O61" s="3" t="inlineStr">
        <is>
          <t>Feature or use guide for Floral Bible Verse Blanket</t>
        </is>
      </c>
      <c r="P61" s="3" t="inlineStr">
        <is>
          <t>FULL</t>
        </is>
      </c>
      <c r="Q61" s="3" t="inlineStr">
        <is>
          <t>FAIL</t>
        </is>
      </c>
      <c r="R61" s="3" t="inlineStr">
        <is>
          <t>FAIL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["R2-ISS-058-IMG-06"]</t>
        </is>
      </c>
      <c r="Z61" s="3" t="inlineStr">
        <is>
          <t>["seo_runs\\jeminise.com\\20260906_234129\\evidence\\images\\58_custom-floral-butterfly-inspirational-blanket-machine-washable-d3\\image_06_47830460661959.jpg; seo_runs\\jeminise.com\\20260906_234129\\evidence\\contact_sheets\\58_custom-floral-butterfly-inspirational-blanket-machine-washable-d3.jpg", "https://jeminise.com/products/custom-floral-butterfly-inspirational-blanket-machine-washable-d3", "https://cdn.shopify.com/s/files/1/0792/5098/1063/files/2075703484a2851c9831b41fa7c93b7f2c1a14581fdd42005886499bead2d034.jpg?v=1786596316"]</t>
        </is>
      </c>
    </row>
    <row r="62" ht="66" customHeight="1">
      <c r="A62" s="2" t="inlineStr">
        <is>
          <t>jeminise.com+custom-floral-butterfly-inspirational-blanket-machine-washable-d3</t>
        </is>
      </c>
      <c r="B62" s="2" t="inlineStr">
        <is>
          <t>qaimg_36052c07581f4884</t>
        </is>
      </c>
      <c r="C62" s="4" t="inlineStr">
        <is>
          <t>https://cdn.shopify.com/s/files/1/0792/5098/1063/files/dbaa1b9e2e9e88c8253a504824d6d6586ba526051890b872b7c52fe128a52757.jpg?v=1786596316</t>
        </is>
      </c>
      <c r="D62" s="4" t="inlineStr">
        <is>
          <t>https://cdn.shopify.com/s/files/1/0792/5098/1063/files/dbaa1b9e2e9e88c8253a504824d6d6586ba526051890b872b7c52fe128a52757.jpg?v=1786596316</t>
        </is>
      </c>
      <c r="E62" s="2" t="inlineStr">
        <is>
          <t>38793335734471</t>
        </is>
      </c>
      <c r="F62" s="2" t="inlineStr">
        <is>
          <t>47830460694727</t>
        </is>
      </c>
      <c r="G62" s="2" t="inlineStr"/>
      <c r="H62" s="2" t="inlineStr">
        <is>
          <t>GALLERY</t>
        </is>
      </c>
      <c r="I62" s="2" t="inlineStr">
        <is>
          <t>DIRECT_ORIGINAL_IMAGE</t>
        </is>
      </c>
      <c r="J62" s="2" t="inlineStr">
        <is>
          <t>2026-09-07T16:34:57.821765+07:00</t>
        </is>
      </c>
      <c r="K62" s="2" t="inlineStr">
        <is>
          <t>SARA Bible-affirmation blanket displayed on a sofa with books.</t>
        </is>
      </c>
      <c r="L62" s="2" t="inlineStr">
        <is>
          <t>Additional lifestyle, feature or product detail image showing personalized you are Bible verse blanket for Sara.</t>
        </is>
      </c>
      <c r="M62" s="2" t="inlineStr">
        <is>
          <t>Custom Floral Butterfly Inspirational Blanket, Machine Washable</t>
        </is>
      </c>
      <c r="N62" s="2" t="inlineStr">
        <is>
          <t>SET</t>
        </is>
      </c>
      <c r="O62" s="2" t="inlineStr">
        <is>
          <t>Additional product mockup of Floral Bible Verse Blanket</t>
        </is>
      </c>
      <c r="P62" s="2" t="inlineStr">
        <is>
          <t>FULL</t>
        </is>
      </c>
      <c r="Q62" s="2" t="inlineStr">
        <is>
          <t>FULL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t>
        </is>
      </c>
      <c r="Z62" s="2" t="inlineStr">
        <is>
          <t>["seo_runs\\jeminise.com\\20260906_234129\\evidence\\images\\58_custom-floral-butterfly-inspirational-blanket-machine-washable-d3\\image_07_47830460694727.jpg; seo_runs\\jeminise.com\\20260906_234129\\evidence\\contact_sheets\\58_custom-floral-butterfly-inspirational-blanket-machine-washable-d3.jpg", "https://jeminise.com/products/custom-floral-butterfly-inspirational-blanket-machine-washable-d3", "https://cdn.shopify.com/s/files/1/0792/5098/1063/files/dbaa1b9e2e9e88c8253a504824d6d6586ba526051890b872b7c52fe128a52757.jpg?v=1786596316"]</t>
        </is>
      </c>
    </row>
    <row r="63" ht="66" customHeight="1">
      <c r="A63" s="3" t="inlineStr">
        <is>
          <t>jeminise.com+custom-floral-butterfly-inspirational-blanket-machine-washable-d3</t>
        </is>
      </c>
      <c r="B63" s="3" t="inlineStr">
        <is>
          <t>qaimg_eddbbfe4cdcfe91e</t>
        </is>
      </c>
      <c r="C63" s="4" t="inlineStr">
        <is>
          <t>https://cdn.shopify.com/s/files/1/0792/5098/1063/files/139d0ca45b7480145218d55302ce28a8914b4044980407dc05e579b785dace61.jpg?v=1786596316</t>
        </is>
      </c>
      <c r="D63" s="4" t="inlineStr">
        <is>
          <t>https://cdn.shopify.com/s/files/1/0792/5098/1063/files/139d0ca45b7480145218d55302ce28a8914b4044980407dc05e579b785dace61.jpg?v=1786596316</t>
        </is>
      </c>
      <c r="E63" s="3" t="inlineStr">
        <is>
          <t>38793335767239</t>
        </is>
      </c>
      <c r="F63" s="3" t="inlineStr">
        <is>
          <t>47830460727495</t>
        </is>
      </c>
      <c r="G63" s="3" t="inlineStr"/>
      <c r="H63" s="3" t="inlineStr">
        <is>
          <t>GALLERY</t>
        </is>
      </c>
      <c r="I63" s="3" t="inlineStr">
        <is>
          <t>DIRECT_ORIGINAL_IMAGE</t>
        </is>
      </c>
      <c r="J63" s="3" t="inlineStr">
        <is>
          <t>2026-09-07T16:34:57.821765+07:00</t>
        </is>
      </c>
      <c r="K63" s="3" t="inlineStr">
        <is>
          <t>Close reading lifestyle scene with the SARA Bible-affirmation blanket.</t>
        </is>
      </c>
      <c r="L63" s="3" t="inlineStr">
        <is>
          <t>Additional lifestyle, feature or product detail image showing personalized you are Bible verse blanket for Sara.</t>
        </is>
      </c>
      <c r="M63" s="3" t="inlineStr">
        <is>
          <t>Custom Floral Butterfly Inspirational Blanket, Machine Washable</t>
        </is>
      </c>
      <c r="N63" s="3" t="inlineStr">
        <is>
          <t>SET</t>
        </is>
      </c>
      <c r="O63" s="3" t="inlineStr">
        <is>
          <t>Lifestyle use image for Floral Bible Verse Blanket</t>
        </is>
      </c>
      <c r="P63" s="3" t="inlineStr">
        <is>
          <t>FULL</t>
        </is>
      </c>
      <c r="Q63" s="3" t="inlineStr">
        <is>
          <t>FULL</t>
        </is>
      </c>
      <c r="R63" s="3" t="inlineStr">
        <is>
          <t>FULL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t>
        </is>
      </c>
      <c r="Z63" s="3" t="inlineStr">
        <is>
          <t>["seo_runs\\jeminise.com\\20260906_234129\\evidence\\images\\58_custom-floral-butterfly-inspirational-blanket-machine-washable-d3\\image_08_47830460727495.jpg; seo_runs\\jeminise.com\\20260906_234129\\evidence\\contact_sheets\\58_custom-floral-butterfly-inspirational-blanket-machine-washable-d3.jpg", "https://jeminise.com/products/custom-floral-butterfly-inspirational-blanket-machine-washable-d3", "https://cdn.shopify.com/s/files/1/0792/5098/1063/files/139d0ca45b7480145218d55302ce28a8914b4044980407dc05e579b785dace61.jpg?v=1786596316"]</t>
        </is>
      </c>
    </row>
    <row r="64" ht="66" customHeight="1">
      <c r="A64" s="2" t="inlineStr">
        <is>
          <t>jeminise.com+custom-floral-cross-bible-verse-blanket-machine-washable-d13</t>
        </is>
      </c>
      <c r="B64" s="2" t="inlineStr">
        <is>
          <t>qaimg_765cf64377e5f915</t>
        </is>
      </c>
      <c r="C64" s="4" t="inlineStr">
        <is>
          <t>https://cdn.shopify.com/s/files/1/0792/5098/1063/files/9567025a041eead65c74e386ef5aa307e42a36b4156ebbad9a2346c965ea1380.jpg?v=1786596333</t>
        </is>
      </c>
      <c r="D64" s="4" t="inlineStr">
        <is>
          <t>https://cdn.shopify.com/s/files/1/0792/5098/1063/files/9567025a041eead65c74e386ef5aa307e42a36b4156ebbad9a2346c965ea1380.jpg?v=1786596333</t>
        </is>
      </c>
      <c r="E64" s="2" t="inlineStr">
        <is>
          <t>38793339207879</t>
        </is>
      </c>
      <c r="F64" s="2" t="inlineStr">
        <is>
          <t>47830464135367</t>
        </is>
      </c>
      <c r="G64" s="2" t="inlineStr"/>
      <c r="H64" s="2" t="inlineStr">
        <is>
          <t>GALLERY</t>
        </is>
      </c>
      <c r="I64" s="2" t="inlineStr">
        <is>
          <t>DIRECT_ORIGINAL_IMAGE</t>
        </is>
      </c>
      <c r="J64" s="2" t="inlineStr">
        <is>
          <t>2026-09-07T16:34:57.821765+07:00</t>
        </is>
      </c>
      <c r="K64" s="2" t="inlineStr">
        <is>
          <t>Person holding a purple floral-cross blanket with butterflies, sample name Isabella and the phrase But the Lord stood with me and gave me strength.</t>
        </is>
      </c>
      <c r="L64" s="2" t="inlineStr">
        <is>
          <t>Main product mockup showing personalized purple floral cross Bible verse blanket for Isabella.</t>
        </is>
      </c>
      <c r="M64" s="2" t="inlineStr">
        <is>
          <t>Custom Floral Cross Bible Verse Blanket, Machine Washable</t>
        </is>
      </c>
      <c r="N64" s="2" t="inlineStr">
        <is>
          <t>SET</t>
        </is>
      </c>
      <c r="O64" s="2" t="inlineStr">
        <is>
          <t>Purple Floral Cross Bible Verse Blanket displayed in a main product mockup</t>
        </is>
      </c>
      <c r="P64" s="2" t="inlineStr">
        <is>
          <t>FULL</t>
        </is>
      </c>
      <c r="Q64" s="2" t="inlineStr">
        <is>
          <t>FULL</t>
        </is>
      </c>
      <c r="R64" s="2" t="inlineStr">
        <is>
          <t>FULL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t>
        </is>
      </c>
      <c r="Z64" s="2" t="inlineStr">
        <is>
          <t>["seo_runs\\jeminise.com\\20260906_234129\\evidence\\images\\59_custom-floral-cross-bible-verse-blanket-machine-washable-d13\\image_01_47830464135367.jpg; seo_runs\\jeminise.com\\20260906_234129\\evidence\\contact_sheets\\59_custom-floral-cross-bible-verse-blanket-machine-washable-d13.jpg", "https://jeminise.com/products/custom-floral-cross-bible-verse-blanket-machine-washable-d13", "https://cdn.shopify.com/s/files/1/0792/5098/1063/files/9567025a041eead65c74e386ef5aa307e42a36b4156ebbad9a2346c965ea1380.jpg?v=1786596333"]</t>
        </is>
      </c>
    </row>
    <row r="65" ht="66" customHeight="1">
      <c r="A65" s="3" t="inlineStr">
        <is>
          <t>jeminise.com+custom-floral-cross-bible-verse-blanket-machine-washable-d13</t>
        </is>
      </c>
      <c r="B65" s="3" t="inlineStr">
        <is>
          <t>qaimg_5e4feda827f2ad88</t>
        </is>
      </c>
      <c r="C65" s="4" t="inlineStr">
        <is>
          <t>https://cdn.shopify.com/s/files/1/0792/5098/1063/files/810e40d16ff4bd13a758dbb0fff23faeedc6c4d91d4680fd59553b075b001a0a.jpg?v=1786596333</t>
        </is>
      </c>
      <c r="D65" s="4" t="inlineStr">
        <is>
          <t>https://cdn.shopify.com/s/files/1/0792/5098/1063/files/810e40d16ff4bd13a758dbb0fff23faeedc6c4d91d4680fd59553b075b001a0a.jpg?v=1786596333</t>
        </is>
      </c>
      <c r="E65" s="3" t="inlineStr">
        <is>
          <t>38793339240647</t>
        </is>
      </c>
      <c r="F65" s="3" t="inlineStr">
        <is>
          <t>47830464168135</t>
        </is>
      </c>
      <c r="G65" s="3" t="inlineStr"/>
      <c r="H65" s="3" t="inlineStr">
        <is>
          <t>GALLERY</t>
        </is>
      </c>
      <c r="I65" s="3" t="inlineStr">
        <is>
          <t>DIRECT_ORIGINAL_IMAGE</t>
        </is>
      </c>
      <c r="J65" s="3" t="inlineStr">
        <is>
          <t>2026-09-07T16:34:57.821765+07:00</t>
        </is>
      </c>
      <c r="K65" s="3" t="inlineStr">
        <is>
          <t>Bedroom mockup of the Isabella purple floral-cross scripture blanket.</t>
        </is>
      </c>
      <c r="L65" s="3" t="inlineStr">
        <is>
          <t>Flat, feature or secondary mockup showing personalized purple floral cross Bible verse blanket for Isabella.</t>
        </is>
      </c>
      <c r="M65" s="3" t="inlineStr">
        <is>
          <t>Custom Floral Cross Bible Verse Blanket, Machine Washable</t>
        </is>
      </c>
      <c r="N65" s="3" t="inlineStr">
        <is>
          <t>SET</t>
        </is>
      </c>
      <c r="O65" s="3" t="inlineStr">
        <is>
          <t>Secondary mockup of Purple Floral Cross Bible Verse Blanket</t>
        </is>
      </c>
      <c r="P65" s="3" t="inlineStr">
        <is>
          <t>FULL</t>
        </is>
      </c>
      <c r="Q65" s="3" t="inlineStr">
        <is>
          <t>FULL</t>
        </is>
      </c>
      <c r="R65" s="3" t="inlineStr">
        <is>
          <t>FULL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t>
        </is>
      </c>
      <c r="Z65" s="3" t="inlineStr">
        <is>
          <t>["seo_runs\\jeminise.com\\20260906_234129\\evidence\\images\\59_custom-floral-cross-bible-verse-blanket-machine-washable-d13\\image_02_47830464168135.jpg; seo_runs\\jeminise.com\\20260906_234129\\evidence\\contact_sheets\\59_custom-floral-cross-bible-verse-blanket-machine-washable-d13.jpg", "https://jeminise.com/products/custom-floral-cross-bible-verse-blanket-machine-washable-d13", "https://cdn.shopify.com/s/files/1/0792/5098/1063/files/810e40d16ff4bd13a758dbb0fff23faeedc6c4d91d4680fd59553b075b001a0a.jpg?v=1786596333"]</t>
        </is>
      </c>
    </row>
    <row r="66" ht="66" customHeight="1">
      <c r="A66" s="2" t="inlineStr">
        <is>
          <t>jeminise.com+custom-floral-cross-bible-verse-blanket-machine-washable-d13</t>
        </is>
      </c>
      <c r="B66" s="2" t="inlineStr">
        <is>
          <t>qaimg_8e8e424e11160cf3</t>
        </is>
      </c>
      <c r="C66" s="4" t="inlineStr">
        <is>
          <t>https://cdn.shopify.com/s/files/1/0792/5098/1063/files/734ea47441dca730cb74184d1f9a5a8df4dc473db392a9d94030798181e723c7.jpg?v=1786596333</t>
        </is>
      </c>
      <c r="D66" s="4" t="inlineStr">
        <is>
          <t>https://cdn.shopify.com/s/files/1/0792/5098/1063/files/734ea47441dca730cb74184d1f9a5a8df4dc473db392a9d94030798181e723c7.jpg?v=1786596333</t>
        </is>
      </c>
      <c r="E66" s="2" t="inlineStr">
        <is>
          <t>38793339273415</t>
        </is>
      </c>
      <c r="F66" s="2" t="inlineStr">
        <is>
          <t>47830464200903</t>
        </is>
      </c>
      <c r="G66" s="2" t="inlineStr"/>
      <c r="H66" s="2" t="inlineStr">
        <is>
          <t>GALLERY</t>
        </is>
      </c>
      <c r="I66" s="2" t="inlineStr">
        <is>
          <t>DIRECT_ORIGINAL_IMAGE</t>
        </is>
      </c>
      <c r="J66" s="2" t="inlineStr">
        <is>
          <t>2026-09-07T16:34:57.821765+07:00</t>
        </is>
      </c>
      <c r="K66" s="2" t="inlineStr">
        <is>
          <t>Isabella floral-cross scripture blanket draped over a white sofa.</t>
        </is>
      </c>
      <c r="L66" s="2" t="inlineStr">
        <is>
          <t>Lifestyle or bedroom mockup connected to personalized purple floral cross Bible verse blanket for Isabella.</t>
        </is>
      </c>
      <c r="M66" s="2" t="inlineStr">
        <is>
          <t>Custom Floral Cross Bible Verse Blanket, Machine Washable</t>
        </is>
      </c>
      <c r="N66" s="2" t="inlineStr">
        <is>
          <t>SET</t>
        </is>
      </c>
      <c r="O66" s="2" t="inlineStr">
        <is>
          <t>Lifestyle or bedroom view of Purple Floral Cross Bible Verse Blanket</t>
        </is>
      </c>
      <c r="P66" s="2" t="inlineStr">
        <is>
          <t>FULL</t>
        </is>
      </c>
      <c r="Q66" s="2" t="inlineStr">
        <is>
          <t>FULL</t>
        </is>
      </c>
      <c r="R66" s="2" t="inlineStr">
        <is>
          <t>FULL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t>
        </is>
      </c>
      <c r="Z66" s="2" t="inlineStr">
        <is>
          <t>["seo_runs\\jeminise.com\\20260906_234129\\evidence\\images\\59_custom-floral-cross-bible-verse-blanket-machine-washable-d13\\image_03_47830464200903.jpg; seo_runs\\jeminise.com\\20260906_234129\\evidence\\contact_sheets\\59_custom-floral-cross-bible-verse-blanket-machine-washable-d13.jpg", "https://jeminise.com/products/custom-floral-cross-bible-verse-blanket-machine-washable-d13", "https://cdn.shopify.com/s/files/1/0792/5098/1063/files/734ea47441dca730cb74184d1f9a5a8df4dc473db392a9d94030798181e723c7.jpg?v=1786596333"]</t>
        </is>
      </c>
    </row>
    <row r="67" ht="66" customHeight="1">
      <c r="A67" s="3" t="inlineStr">
        <is>
          <t>jeminise.com+custom-floral-cross-bible-verse-blanket-machine-washable-d13</t>
        </is>
      </c>
      <c r="B67" s="3" t="inlineStr">
        <is>
          <t>qaimg_fb9658e36e8e3364</t>
        </is>
      </c>
      <c r="C67" s="4" t="inlineStr">
        <is>
          <t>https://cdn.shopify.com/s/files/1/0792/5098/1063/files/9164e46c99988932b76d547d0088a1a3f0fb74fffaae86bf7b2bb4d0885e2bce.jpg?v=1786596333</t>
        </is>
      </c>
      <c r="D67" s="4" t="inlineStr">
        <is>
          <t>https://cdn.shopify.com/s/files/1/0792/5098/1063/files/9164e46c99988932b76d547d0088a1a3f0fb74fffaae86bf7b2bb4d0885e2bce.jpg?v=1786596333</t>
        </is>
      </c>
      <c r="E67" s="3" t="inlineStr">
        <is>
          <t>38793339306183</t>
        </is>
      </c>
      <c r="F67" s="3" t="inlineStr">
        <is>
          <t>47830464233671</t>
        </is>
      </c>
      <c r="G67" s="3" t="inlineStr"/>
      <c r="H67" s="3" t="inlineStr">
        <is>
          <t>GALLERY</t>
        </is>
      </c>
      <c r="I67" s="3" t="inlineStr">
        <is>
          <t>DIRECT_ORIGINAL_IMAGE</t>
        </is>
      </c>
      <c r="J67" s="3" t="inlineStr">
        <is>
          <t>2026-09-07T16:34:57.821765+07:00</t>
        </is>
      </c>
      <c r="K67" s="3" t="inlineStr">
        <is>
          <t>Close reading lifestyle scene with the purple floral-cross blanket.</t>
        </is>
      </c>
      <c r="L67" s="3" t="inlineStr">
        <is>
          <t>Size, bedding type or detail information for personalized purple floral cross Bible verse blanket for Isabella.</t>
        </is>
      </c>
      <c r="M67" s="3" t="inlineStr">
        <is>
          <t>Custom Floral Cross Bible Verse Blanket, Machine Washable</t>
        </is>
      </c>
      <c r="N67" s="3" t="inlineStr">
        <is>
          <t>SET</t>
        </is>
      </c>
      <c r="O67" s="3" t="inlineStr">
        <is>
          <t>Size or product detail image for Purple Floral Cross Bible Verse Blanket</t>
        </is>
      </c>
      <c r="P67" s="3" t="inlineStr">
        <is>
          <t>FULL</t>
        </is>
      </c>
      <c r="Q67" s="3" t="inlineStr">
        <is>
          <t>FAIL</t>
        </is>
      </c>
      <c r="R67" s="3" t="inlineStr">
        <is>
          <t>FAIL</t>
        </is>
      </c>
      <c r="S67" s="3" t="inlineStr">
        <is>
          <t>FULL</t>
        </is>
      </c>
      <c r="T67" s="7">
        <f>IF(P67="FULL",40,IF(P67="PARTIAL",40/2,0))+IF(Q67="FULL",30,IF(Q67="PARTIAL",30/2,0))+IF(R67="FULL",20,IF(R67="PARTIAL",20/2,0))+IF(S67="FULL",10,IF(S67="PARTIAL",10/2,0))</f>
        <v/>
      </c>
      <c r="U67" s="7">
        <f>IF(P67="NOT_CHECKED",0,40)+IF(Q67="NOT_CHECKED",0,30)+IF(R67="NOT_CHECKED",0,20)+IF(S67="NOT_CHECKED",0,10)</f>
        <v/>
      </c>
      <c r="V67" s="7">
        <f>IF(U67=100,T67,"")</f>
        <v/>
      </c>
      <c r="W67" s="7">
        <f>T67</f>
        <v/>
      </c>
      <c r="X67" s="7">
        <f>T67+(100-U67)</f>
        <v/>
      </c>
      <c r="Y67" s="3" t="inlineStr">
        <is>
          <t>["R2-ISS-059-IMG-04"]</t>
        </is>
      </c>
      <c r="Z67" s="3" t="inlineStr">
        <is>
          <t>["seo_runs\\jeminise.com\\20260906_234129\\evidence\\images\\59_custom-floral-cross-bible-verse-blanket-machine-washable-d13\\image_04_47830464233671.jpg; seo_runs\\jeminise.com\\20260906_234129\\evidence\\contact_sheets\\59_custom-floral-cross-bible-verse-blanket-machine-washable-d13.jpg", "https://jeminise.com/products/custom-floral-cross-bible-verse-blanket-machine-washable-d13", "https://cdn.shopify.com/s/files/1/0792/5098/1063/files/9164e46c99988932b76d547d0088a1a3f0fb74fffaae86bf7b2bb4d0885e2bce.jpg?v=1786596333"]</t>
        </is>
      </c>
    </row>
    <row r="68" ht="66" customHeight="1">
      <c r="A68" s="2" t="inlineStr">
        <is>
          <t>jeminise.com+custom-floral-cross-bible-verse-blanket-machine-washable-d13</t>
        </is>
      </c>
      <c r="B68" s="2" t="inlineStr">
        <is>
          <t>qaimg_4271e00c1591a763</t>
        </is>
      </c>
      <c r="C68" s="4" t="inlineStr">
        <is>
          <t>https://cdn.shopify.com/s/files/1/0792/5098/1063/files/044df06284c8807b67c3965bc174cb1dd2c20798b334a995dde92efb0a4ac33d.jpg?v=1786596333</t>
        </is>
      </c>
      <c r="D68" s="4" t="inlineStr">
        <is>
          <t>https://cdn.shopify.com/s/files/1/0792/5098/1063/files/044df06284c8807b67c3965bc174cb1dd2c20798b334a995dde92efb0a4ac33d.jpg?v=1786596333</t>
        </is>
      </c>
      <c r="E68" s="2" t="inlineStr">
        <is>
          <t>38793339338951</t>
        </is>
      </c>
      <c r="F68" s="2" t="inlineStr">
        <is>
          <t>47830464266439</t>
        </is>
      </c>
      <c r="G68" s="2" t="inlineStr"/>
      <c r="H68" s="2" t="inlineStr">
        <is>
          <t>GALLERY</t>
        </is>
      </c>
      <c r="I68" s="2" t="inlineStr">
        <is>
          <t>DIRECT_ORIGINAL_IMAGE</t>
        </is>
      </c>
      <c r="J68" s="2" t="inlineStr">
        <is>
          <t>2026-09-07T16:34:57.821765+07:00</t>
        </is>
      </c>
      <c r="K68" s="2" t="inlineStr">
        <is>
          <t>Bed-and-reading lifestyle scene with the purple floral-cross blanket and a dog.</t>
        </is>
      </c>
      <c r="L68" s="2" t="inlineStr">
        <is>
          <t>Material, wash or comfort feature image for personalized purple floral cross Bible verse blanket for Isabella.</t>
        </is>
      </c>
      <c r="M68" s="2" t="inlineStr">
        <is>
          <t>Custom Floral Cross Bible Verse Blanket, Machine Washable</t>
        </is>
      </c>
      <c r="N68" s="2" t="inlineStr">
        <is>
          <t>SET</t>
        </is>
      </c>
      <c r="O68" s="2" t="inlineStr">
        <is>
          <t>Care or material information for Purple Floral Cross Bible Verse Blanket</t>
        </is>
      </c>
      <c r="P68" s="2" t="inlineStr">
        <is>
          <t>FULL</t>
        </is>
      </c>
      <c r="Q68" s="2" t="inlineStr">
        <is>
          <t>FAIL</t>
        </is>
      </c>
      <c r="R68" s="2" t="inlineStr">
        <is>
          <t>FAIL</t>
        </is>
      </c>
      <c r="S68" s="2" t="inlineStr">
        <is>
          <t>FULL</t>
        </is>
      </c>
      <c r="T68" s="5">
        <f>IF(P68="FULL",40,IF(P68="PARTIAL",40/2,0))+IF(Q68="FULL",30,IF(Q68="PARTIAL",30/2,0))+IF(R68="FULL",20,IF(R68="PARTIAL",20/2,0))+IF(S68="FULL",10,IF(S68="PARTIAL",10/2,0))</f>
        <v/>
      </c>
      <c r="U68" s="5">
        <f>IF(P68="NOT_CHECKED",0,40)+IF(Q68="NOT_CHECKED",0,30)+IF(R68="NOT_CHECKED",0,20)+IF(S68="NOT_CHECKED",0,10)</f>
        <v/>
      </c>
      <c r="V68" s="5">
        <f>IF(U68=100,T68,"")</f>
        <v/>
      </c>
      <c r="W68" s="5">
        <f>T68</f>
        <v/>
      </c>
      <c r="X68" s="5">
        <f>T68+(100-U68)</f>
        <v/>
      </c>
      <c r="Y68" s="2" t="inlineStr">
        <is>
          <t>["R2-ISS-059-IMG-05"]</t>
        </is>
      </c>
      <c r="Z68" s="2" t="inlineStr">
        <is>
          <t>["seo_runs\\jeminise.com\\20260906_234129\\evidence\\images\\59_custom-floral-cross-bible-verse-blanket-machine-washable-d13\\image_05_47830464266439.jpg; seo_runs\\jeminise.com\\20260906_234129\\evidence\\contact_sheets\\59_custom-floral-cross-bible-verse-blanket-machine-washable-d13.jpg", "https://jeminise.com/products/custom-floral-cross-bible-verse-blanket-machine-washable-d13", "https://cdn.shopify.com/s/files/1/0792/5098/1063/files/044df06284c8807b67c3965bc174cb1dd2c20798b334a995dde92efb0a4ac33d.jpg?v=1786596333"]</t>
        </is>
      </c>
    </row>
    <row r="69" ht="66" customHeight="1">
      <c r="A69" s="3" t="inlineStr">
        <is>
          <t>jeminise.com+custom-floral-cross-bible-verse-blanket-machine-washable-d13</t>
        </is>
      </c>
      <c r="B69" s="3" t="inlineStr">
        <is>
          <t>qaimg_770d79127f9ad43f</t>
        </is>
      </c>
      <c r="C69" s="4" t="inlineStr">
        <is>
          <t>https://cdn.shopify.com/s/files/1/0792/5098/1063/files/684c046d236e48781d83021ed18e97f71edc975eba7241d547167c78d46c42d1.jpg?v=1786596333</t>
        </is>
      </c>
      <c r="D69" s="4" t="inlineStr">
        <is>
          <t>https://cdn.shopify.com/s/files/1/0792/5098/1063/files/684c046d236e48781d83021ed18e97f71edc975eba7241d547167c78d46c42d1.jpg?v=1786596333</t>
        </is>
      </c>
      <c r="E69" s="3" t="inlineStr">
        <is>
          <t>38793339371719</t>
        </is>
      </c>
      <c r="F69" s="3" t="inlineStr">
        <is>
          <t>47830464299207</t>
        </is>
      </c>
      <c r="G69" s="3" t="inlineStr"/>
      <c r="H69" s="3" t="inlineStr">
        <is>
          <t>GALLERY</t>
        </is>
      </c>
      <c r="I69" s="3" t="inlineStr">
        <is>
          <t>DIRECT_ORIGINAL_IMAGE</t>
        </is>
      </c>
      <c r="J69" s="3" t="inlineStr">
        <is>
          <t>2026-09-07T16:34:57.821765+07:00</t>
        </is>
      </c>
      <c r="K69" s="3" t="inlineStr">
        <is>
          <t>60-inch blanket use and size diagram for sofa, office, bed and travel.</t>
        </is>
      </c>
      <c r="L69" s="3" t="inlineStr">
        <is>
          <t>Additional size guide, feature panel or mockup for personalized purple floral cross Bible verse blanket for Isabella.</t>
        </is>
      </c>
      <c r="M69" s="3" t="inlineStr">
        <is>
          <t>Custom Floral Cross Bible Verse Blanket, Machine Washable</t>
        </is>
      </c>
      <c r="N69" s="3" t="inlineStr">
        <is>
          <t>SET</t>
        </is>
      </c>
      <c r="O69" s="3" t="inlineStr">
        <is>
          <t>Feature or use guide for Purple Floral Cross Bible Verse Blanket</t>
        </is>
      </c>
      <c r="P69" s="3" t="inlineStr">
        <is>
          <t>FULL</t>
        </is>
      </c>
      <c r="Q69" s="3" t="inlineStr">
        <is>
          <t>FULL</t>
        </is>
      </c>
      <c r="R69" s="3" t="inlineStr">
        <is>
          <t>FULL</t>
        </is>
      </c>
      <c r="S69" s="3" t="inlineStr">
        <is>
          <t>FULL</t>
        </is>
      </c>
      <c r="T69" s="7">
        <f>IF(P69="FULL",40,IF(P69="PARTIAL",40/2,0))+IF(Q69="FULL",30,IF(Q69="PARTIAL",30/2,0))+IF(R69="FULL",20,IF(R69="PARTIAL",20/2,0))+IF(S69="FULL",10,IF(S69="PARTIAL",10/2,0))</f>
        <v/>
      </c>
      <c r="U69" s="7">
        <f>IF(P69="NOT_CHECKED",0,40)+IF(Q69="NOT_CHECKED",0,30)+IF(R69="NOT_CHECKED",0,20)+IF(S69="NOT_CHECKED",0,10)</f>
        <v/>
      </c>
      <c r="V69" s="7">
        <f>IF(U69=100,T69,"")</f>
        <v/>
      </c>
      <c r="W69" s="7">
        <f>T69</f>
        <v/>
      </c>
      <c r="X69" s="7">
        <f>T69+(100-U69)</f>
        <v/>
      </c>
      <c r="Y69" s="3" t="inlineStr">
        <is>
          <t>[]</t>
        </is>
      </c>
      <c r="Z69" s="3" t="inlineStr">
        <is>
          <t>["seo_runs\\jeminise.com\\20260906_234129\\evidence\\images\\59_custom-floral-cross-bible-verse-blanket-machine-washable-d13\\image_06_47830464299207.jpg; seo_runs\\jeminise.com\\20260906_234129\\evidence\\contact_sheets\\59_custom-floral-cross-bible-verse-blanket-machine-washable-d13.jpg", "https://jeminise.com/products/custom-floral-cross-bible-verse-blanket-machine-washable-d13", "https://cdn.shopify.com/s/files/1/0792/5098/1063/files/684c046d236e48781d83021ed18e97f71edc975eba7241d547167c78d46c42d1.jpg?v=1786596333"]</t>
        </is>
      </c>
    </row>
    <row r="70" ht="66" customHeight="1">
      <c r="A70" s="2" t="inlineStr">
        <is>
          <t>jeminise.com+custom-floral-cross-bible-verse-blanket-machine-washable-d13</t>
        </is>
      </c>
      <c r="B70" s="2" t="inlineStr">
        <is>
          <t>qaimg_39955161de7847f2</t>
        </is>
      </c>
      <c r="C70" s="4" t="inlineStr">
        <is>
          <t>https://cdn.shopify.com/s/files/1/0792/5098/1063/files/76ac7df588ae004752bb4dbe5045fb3f03b5d78d355167e47889373a8d15384a.jpg?v=1786596333</t>
        </is>
      </c>
      <c r="D70" s="4" t="inlineStr">
        <is>
          <t>https://cdn.shopify.com/s/files/1/0792/5098/1063/files/76ac7df588ae004752bb4dbe5045fb3f03b5d78d355167e47889373a8d15384a.jpg?v=1786596333</t>
        </is>
      </c>
      <c r="E70" s="2" t="inlineStr">
        <is>
          <t>38793339404487</t>
        </is>
      </c>
      <c r="F70" s="2" t="inlineStr">
        <is>
          <t>47830464331975</t>
        </is>
      </c>
      <c r="G70" s="2" t="inlineStr"/>
      <c r="H70" s="2" t="inlineStr">
        <is>
          <t>GALLERY</t>
        </is>
      </c>
      <c r="I70" s="2" t="inlineStr">
        <is>
          <t>DIRECT_ORIGINAL_IMAGE</t>
        </is>
      </c>
      <c r="J70" s="2" t="inlineStr">
        <is>
          <t>2026-09-07T16:34:57.821765+07:00</t>
        </is>
      </c>
      <c r="K70" s="2" t="inlineStr">
        <is>
          <t>Feature panel marked machine washable, soft and warm, dense stitching and 260 GSM fleece.</t>
        </is>
      </c>
      <c r="L70" s="2" t="inlineStr">
        <is>
          <t>Additional lifestyle, feature or product detail image showing personalized purple floral cross Bible verse blanket for Isabella.</t>
        </is>
      </c>
      <c r="M70" s="2" t="inlineStr">
        <is>
          <t>Custom Floral Cross Bible Verse Blanket, Machine Washable</t>
        </is>
      </c>
      <c r="N70" s="2" t="inlineStr">
        <is>
          <t>SET</t>
        </is>
      </c>
      <c r="O70" s="2" t="inlineStr">
        <is>
          <t>Additional product mockup of Purple Floral Cross Bible Verse Blanket</t>
        </is>
      </c>
      <c r="P70" s="2" t="inlineStr">
        <is>
          <t>FULL</t>
        </is>
      </c>
      <c r="Q70" s="2" t="inlineStr">
        <is>
          <t>FAIL</t>
        </is>
      </c>
      <c r="R70" s="2" t="inlineStr">
        <is>
          <t>FAIL</t>
        </is>
      </c>
      <c r="S70" s="2" t="inlineStr">
        <is>
          <t>FULL</t>
        </is>
      </c>
      <c r="T70" s="5">
        <f>IF(P70="FULL",40,IF(P70="PARTIAL",40/2,0))+IF(Q70="FULL",30,IF(Q70="PARTIAL",30/2,0))+IF(R70="FULL",20,IF(R70="PARTIAL",20/2,0))+IF(S70="FULL",10,IF(S70="PARTIAL",10/2,0))</f>
        <v/>
      </c>
      <c r="U70" s="5">
        <f>IF(P70="NOT_CHECKED",0,40)+IF(Q70="NOT_CHECKED",0,30)+IF(R70="NOT_CHECKED",0,20)+IF(S70="NOT_CHECKED",0,10)</f>
        <v/>
      </c>
      <c r="V70" s="5">
        <f>IF(U70=100,T70,"")</f>
        <v/>
      </c>
      <c r="W70" s="5">
        <f>T70</f>
        <v/>
      </c>
      <c r="X70" s="5">
        <f>T70+(100-U70)</f>
        <v/>
      </c>
      <c r="Y70" s="2" t="inlineStr">
        <is>
          <t>["R2-ISS-059-IMG-07"]</t>
        </is>
      </c>
      <c r="Z70" s="2" t="inlineStr">
        <is>
          <t>["seo_runs\\jeminise.com\\20260906_234129\\evidence\\images\\59_custom-floral-cross-bible-verse-blanket-machine-washable-d13\\image_07_47830464331975.jpg; seo_runs\\jeminise.com\\20260906_234129\\evidence\\contact_sheets\\59_custom-floral-cross-bible-verse-blanket-machine-washable-d13.jpg", "https://jeminise.com/products/custom-floral-cross-bible-verse-blanket-machine-washable-d13", "https://cdn.shopify.com/s/files/1/0792/5098/1063/files/76ac7df588ae004752bb4dbe5045fb3f03b5d78d355167e47889373a8d15384a.jpg?v=1786596333"]</t>
        </is>
      </c>
    </row>
    <row r="71" ht="66" customHeight="1">
      <c r="A71" s="3" t="inlineStr">
        <is>
          <t>jeminise.com+custom-floral-cross-bible-verse-blanket-machine-washable-d13</t>
        </is>
      </c>
      <c r="B71" s="3" t="inlineStr">
        <is>
          <t>qaimg_668632dd07652c04</t>
        </is>
      </c>
      <c r="C71" s="4" t="inlineStr">
        <is>
          <t>https://cdn.shopify.com/s/files/1/0792/5098/1063/files/f780832f6c709aefd1624020cbaf7826dff370d3398bcc5ea9dcf8cb2410ca76.jpg?v=1786596333</t>
        </is>
      </c>
      <c r="D71" s="4" t="inlineStr">
        <is>
          <t>https://cdn.shopify.com/s/files/1/0792/5098/1063/files/f780832f6c709aefd1624020cbaf7826dff370d3398bcc5ea9dcf8cb2410ca76.jpg?v=1786596333</t>
        </is>
      </c>
      <c r="E71" s="3" t="inlineStr">
        <is>
          <t>38793339437255</t>
        </is>
      </c>
      <c r="F71" s="3" t="inlineStr">
        <is>
          <t>47830464364743</t>
        </is>
      </c>
      <c r="G71" s="3" t="inlineStr"/>
      <c r="H71" s="3" t="inlineStr">
        <is>
          <t>GALLERY</t>
        </is>
      </c>
      <c r="I71" s="3" t="inlineStr">
        <is>
          <t>DIRECT_ORIGINAL_IMAGE</t>
        </is>
      </c>
      <c r="J71" s="3" t="inlineStr">
        <is>
          <t>2026-09-07T16:34:57.821765+07:00</t>
        </is>
      </c>
      <c r="K71" s="3" t="inlineStr">
        <is>
          <t>Fabric and print-detail collage for the purple floral-cross blanket.</t>
        </is>
      </c>
      <c r="L71" s="3" t="inlineStr">
        <is>
          <t>Additional lifestyle, feature or product detail image showing personalized purple floral cross Bible verse blanket for Isabella.</t>
        </is>
      </c>
      <c r="M71" s="3" t="inlineStr">
        <is>
          <t>Custom Floral Cross Bible Verse Blanket, Machine Washable</t>
        </is>
      </c>
      <c r="N71" s="3" t="inlineStr">
        <is>
          <t>SET</t>
        </is>
      </c>
      <c r="O71" s="3" t="inlineStr">
        <is>
          <t>Lifestyle use image for Purple Floral Cross Bible Verse Blanket</t>
        </is>
      </c>
      <c r="P71" s="3" t="inlineStr">
        <is>
          <t>FULL</t>
        </is>
      </c>
      <c r="Q71" s="3" t="inlineStr">
        <is>
          <t>FAIL</t>
        </is>
      </c>
      <c r="R71" s="3" t="inlineStr">
        <is>
          <t>FAIL</t>
        </is>
      </c>
      <c r="S71" s="3" t="inlineStr">
        <is>
          <t>FULL</t>
        </is>
      </c>
      <c r="T71" s="7">
        <f>IF(P71="FULL",40,IF(P71="PARTIAL",40/2,0))+IF(Q71="FULL",30,IF(Q71="PARTIAL",30/2,0))+IF(R71="FULL",20,IF(R71="PARTIAL",20/2,0))+IF(S71="FULL",10,IF(S71="PARTIAL",10/2,0))</f>
        <v/>
      </c>
      <c r="U71" s="7">
        <f>IF(P71="NOT_CHECKED",0,40)+IF(Q71="NOT_CHECKED",0,30)+IF(R71="NOT_CHECKED",0,20)+IF(S71="NOT_CHECKED",0,10)</f>
        <v/>
      </c>
      <c r="V71" s="7">
        <f>IF(U71=100,T71,"")</f>
        <v/>
      </c>
      <c r="W71" s="7">
        <f>T71</f>
        <v/>
      </c>
      <c r="X71" s="7">
        <f>T71+(100-U71)</f>
        <v/>
      </c>
      <c r="Y71" s="3" t="inlineStr">
        <is>
          <t>["R2-ISS-059-IMG-08"]</t>
        </is>
      </c>
      <c r="Z71" s="3" t="inlineStr">
        <is>
          <t>["seo_runs\\jeminise.com\\20260906_234129\\evidence\\images\\59_custom-floral-cross-bible-verse-blanket-machine-washable-d13\\image_08_47830464364743.jpg; seo_runs\\jeminise.com\\20260906_234129\\evidence\\contact_sheets\\59_custom-floral-cross-bible-verse-blanket-machine-washable-d13.jpg", "https://jeminise.com/products/custom-floral-cross-bible-verse-blanket-machine-washable-d13", "https://cdn.shopify.com/s/files/1/0792/5098/1063/files/f780832f6c709aefd1624020cbaf7826dff370d3398bcc5ea9dcf8cb2410ca76.jpg?v=1786596333"]</t>
        </is>
      </c>
    </row>
    <row r="72" ht="66" customHeight="1">
      <c r="A72" s="2" t="inlineStr">
        <is>
          <t>jeminise.com+custom-floral-cross-with-butterflies-blanket-machine-washable-d6</t>
        </is>
      </c>
      <c r="B72" s="2" t="inlineStr">
        <is>
          <t>qaimg_a18d2fd96be76876</t>
        </is>
      </c>
      <c r="C72" s="4" t="inlineStr">
        <is>
          <t>https://cdn.shopify.com/s/files/1/0792/5098/1063/files/fa4c87e3ad89fcb17154c6d08d008fe811e3ada64703d98c1fca09128ccb3a83.jpg?v=1786596475</t>
        </is>
      </c>
      <c r="D72" s="4" t="inlineStr">
        <is>
          <t>https://cdn.shopify.com/s/files/1/0792/5098/1063/files/fa4c87e3ad89fcb17154c6d08d008fe811e3ada64703d98c1fca09128ccb3a83.jpg?v=1786596475</t>
        </is>
      </c>
      <c r="E72" s="2" t="inlineStr">
        <is>
          <t>38793401499847</t>
        </is>
      </c>
      <c r="F72" s="2" t="inlineStr">
        <is>
          <t>47830527377607</t>
        </is>
      </c>
      <c r="G72" s="2" t="inlineStr"/>
      <c r="H72" s="2" t="inlineStr">
        <is>
          <t>GALLERY</t>
        </is>
      </c>
      <c r="I72" s="2" t="inlineStr">
        <is>
          <t>DIRECT_ORIGINAL_IMAGE</t>
        </is>
      </c>
      <c r="J72" s="2" t="inlineStr">
        <is>
          <t>2026-09-07T16:34:57.821765+07:00</t>
        </is>
      </c>
      <c r="K72" s="2" t="inlineStr">
        <is>
          <t>Woman holding a white blanket with pink roses, gold butterflies, floral cross, Bible affirmations and sample name Sabrina.</t>
        </is>
      </c>
      <c r="L72" s="2" t="inlineStr">
        <is>
          <t>Main product mockup showing personalized floral cross butterfly blanket for Sabrina.</t>
        </is>
      </c>
      <c r="M72" s="2" t="inlineStr">
        <is>
          <t>Custom Floral Cross with Butterflies Blanket, Machine Washable</t>
        </is>
      </c>
      <c r="N72" s="2" t="inlineStr">
        <is>
          <t>SET</t>
        </is>
      </c>
      <c r="O72" s="2" t="inlineStr">
        <is>
          <t>Floral Cross Butterfly Blanket displayed in a main product mockup</t>
        </is>
      </c>
      <c r="P72" s="2" t="inlineStr">
        <is>
          <t>FULL</t>
        </is>
      </c>
      <c r="Q72" s="2" t="inlineStr">
        <is>
          <t>FULL</t>
        </is>
      </c>
      <c r="R72" s="2" t="inlineStr">
        <is>
          <t>FULL</t>
        </is>
      </c>
      <c r="S72" s="2" t="inlineStr">
        <is>
          <t>FULL</t>
        </is>
      </c>
      <c r="T72" s="5">
        <f>IF(P72="FULL",40,IF(P72="PARTIAL",40/2,0))+IF(Q72="FULL",30,IF(Q72="PARTIAL",30/2,0))+IF(R72="FULL",20,IF(R72="PARTIAL",20/2,0))+IF(S72="FULL",10,IF(S72="PARTIAL",10/2,0))</f>
        <v/>
      </c>
      <c r="U72" s="5">
        <f>IF(P72="NOT_CHECKED",0,40)+IF(Q72="NOT_CHECKED",0,30)+IF(R72="NOT_CHECKED",0,20)+IF(S72="NOT_CHECKED",0,10)</f>
        <v/>
      </c>
      <c r="V72" s="5">
        <f>IF(U72=100,T72,"")</f>
        <v/>
      </c>
      <c r="W72" s="5">
        <f>T72</f>
        <v/>
      </c>
      <c r="X72" s="5">
        <f>T72+(100-U72)</f>
        <v/>
      </c>
      <c r="Y72" s="2" t="inlineStr">
        <is>
          <t>[]</t>
        </is>
      </c>
      <c r="Z72" s="2" t="inlineStr">
        <is>
          <t>["seo_runs\\jeminise.com\\20260906_234129\\evidence\\images\\60_custom-floral-cross-with-butterflies-blanket-machine-washable-d6\\image_01_47830527377607.jpg; seo_runs\\jeminise.com\\20260906_234129\\evidence\\contact_sheets\\60_custom-floral-cross-with-butterflies-blanket-machine-washable-d6.jpg", "https://jeminise.com/products/custom-floral-cross-with-butterflies-blanket-machine-washable-d6", "https://cdn.shopify.com/s/files/1/0792/5098/1063/files/fa4c87e3ad89fcb17154c6d08d008fe811e3ada64703d98c1fca09128ccb3a83.jpg?v=1786596475"]</t>
        </is>
      </c>
    </row>
    <row r="73" ht="66" customHeight="1">
      <c r="A73" s="3" t="inlineStr">
        <is>
          <t>jeminise.com+custom-floral-cross-with-butterflies-blanket-machine-washable-d6</t>
        </is>
      </c>
      <c r="B73" s="3" t="inlineStr">
        <is>
          <t>qaimg_dcf71ce84a0d975d</t>
        </is>
      </c>
      <c r="C73" s="4" t="inlineStr">
        <is>
          <t>https://cdn.shopify.com/s/files/1/0792/5098/1063/files/d4e9a8539470072d5c5baf2c1e66d73f9ffc956ee3053533ff34bdaea36bc129.jpg?v=1786596475</t>
        </is>
      </c>
      <c r="D73" s="4" t="inlineStr">
        <is>
          <t>https://cdn.shopify.com/s/files/1/0792/5098/1063/files/d4e9a8539470072d5c5baf2c1e66d73f9ffc956ee3053533ff34bdaea36bc129.jpg?v=1786596475</t>
        </is>
      </c>
      <c r="E73" s="3" t="inlineStr">
        <is>
          <t>38793401532615</t>
        </is>
      </c>
      <c r="F73" s="3" t="inlineStr">
        <is>
          <t>47830527410375</t>
        </is>
      </c>
      <c r="G73" s="3" t="inlineStr"/>
      <c r="H73" s="3" t="inlineStr">
        <is>
          <t>GALLERY</t>
        </is>
      </c>
      <c r="I73" s="3" t="inlineStr">
        <is>
          <t>DIRECT_ORIGINAL_IMAGE</t>
        </is>
      </c>
      <c r="J73" s="3" t="inlineStr">
        <is>
          <t>2026-09-07T16:34:57.821765+07:00</t>
        </is>
      </c>
      <c r="K73" s="3" t="inlineStr">
        <is>
          <t>Isolated mockup of the Sabrina floral-cross butterfly blanket.</t>
        </is>
      </c>
      <c r="L73" s="3" t="inlineStr">
        <is>
          <t>Flat, feature or secondary mockup showing personalized floral cross butterfly blanket for Sabrina.</t>
        </is>
      </c>
      <c r="M73" s="3" t="inlineStr">
        <is>
          <t>Custom Floral Cross with Butterflies Blanket, Machine Washable</t>
        </is>
      </c>
      <c r="N73" s="3" t="inlineStr">
        <is>
          <t>SET</t>
        </is>
      </c>
      <c r="O73" s="3" t="inlineStr">
        <is>
          <t>Secondary mockup of Floral Cross Butterfly Blanket</t>
        </is>
      </c>
      <c r="P73" s="3" t="inlineStr">
        <is>
          <t>FULL</t>
        </is>
      </c>
      <c r="Q73" s="3" t="inlineStr">
        <is>
          <t>FULL</t>
        </is>
      </c>
      <c r="R73" s="3" t="inlineStr">
        <is>
          <t>FULL</t>
        </is>
      </c>
      <c r="S73" s="3" t="inlineStr">
        <is>
          <t>FULL</t>
        </is>
      </c>
      <c r="T73" s="7">
        <f>IF(P73="FULL",40,IF(P73="PARTIAL",40/2,0))+IF(Q73="FULL",30,IF(Q73="PARTIAL",30/2,0))+IF(R73="FULL",20,IF(R73="PARTIAL",20/2,0))+IF(S73="FULL",10,IF(S73="PARTIAL",10/2,0))</f>
        <v/>
      </c>
      <c r="U73" s="7">
        <f>IF(P73="NOT_CHECKED",0,40)+IF(Q73="NOT_CHECKED",0,30)+IF(R73="NOT_CHECKED",0,20)+IF(S73="NOT_CHECKED",0,10)</f>
        <v/>
      </c>
      <c r="V73" s="7">
        <f>IF(U73=100,T73,"")</f>
        <v/>
      </c>
      <c r="W73" s="7">
        <f>T73</f>
        <v/>
      </c>
      <c r="X73" s="7">
        <f>T73+(100-U73)</f>
        <v/>
      </c>
      <c r="Y73" s="3" t="inlineStr">
        <is>
          <t>[]</t>
        </is>
      </c>
      <c r="Z73" s="3" t="inlineStr">
        <is>
          <t>["seo_runs\\jeminise.com\\20260906_234129\\evidence\\images\\60_custom-floral-cross-with-butterflies-blanket-machine-washable-d6\\image_02_47830527410375.jpg; seo_runs\\jeminise.com\\20260906_234129\\evidence\\contact_sheets\\60_custom-floral-cross-with-butterflies-blanket-machine-washable-d6.jpg", "https://jeminise.com/products/custom-floral-cross-with-butterflies-blanket-machine-washable-d6", "https://cdn.shopify.com/s/files/1/0792/5098/1063/files/d4e9a8539470072d5c5baf2c1e66d73f9ffc956ee3053533ff34bdaea36bc129.jpg?v=1786596475"]</t>
        </is>
      </c>
    </row>
    <row r="74" ht="66" customHeight="1">
      <c r="A74" s="2" t="inlineStr">
        <is>
          <t>jeminise.com+custom-floral-cross-with-butterflies-blanket-machine-washable-d6</t>
        </is>
      </c>
      <c r="B74" s="2" t="inlineStr">
        <is>
          <t>qaimg_0ac359175207a7a8</t>
        </is>
      </c>
      <c r="C74" s="4" t="inlineStr">
        <is>
          <t>https://cdn.shopify.com/s/files/1/0792/5098/1063/files/759490c85c946c6771dab94f8a1364e1b84653ade2cb0950a374f68092d3199c.jpg?v=1786596478</t>
        </is>
      </c>
      <c r="D74" s="4" t="inlineStr">
        <is>
          <t>https://cdn.shopify.com/s/files/1/0792/5098/1063/files/759490c85c946c6771dab94f8a1364e1b84653ade2cb0950a374f68092d3199c.jpg?v=1786596478</t>
        </is>
      </c>
      <c r="E74" s="2" t="inlineStr">
        <is>
          <t>38793401565383</t>
        </is>
      </c>
      <c r="F74" s="2" t="inlineStr">
        <is>
          <t>47830527443143</t>
        </is>
      </c>
      <c r="G74" s="2" t="inlineStr"/>
      <c r="H74" s="2" t="inlineStr">
        <is>
          <t>GALLERY</t>
        </is>
      </c>
      <c r="I74" s="2" t="inlineStr">
        <is>
          <t>DIRECT_ORIGINAL_IMAGE</t>
        </is>
      </c>
      <c r="J74" s="2" t="inlineStr">
        <is>
          <t>2026-09-07T16:34:57.821765+07:00</t>
        </is>
      </c>
      <c r="K74" s="2" t="inlineStr">
        <is>
          <t>Father and child reading under the Sabrina floral-cross blanket.</t>
        </is>
      </c>
      <c r="L74" s="2" t="inlineStr">
        <is>
          <t>Lifestyle or bedroom mockup connected to personalized floral cross butterfly blanket for Sabrina.</t>
        </is>
      </c>
      <c r="M74" s="2" t="inlineStr">
        <is>
          <t>Custom Floral Cross with Butterflies Blanket, Machine Washable</t>
        </is>
      </c>
      <c r="N74" s="2" t="inlineStr">
        <is>
          <t>SET</t>
        </is>
      </c>
      <c r="O74" s="2" t="inlineStr">
        <is>
          <t>Lifestyle or bedroom view of Floral Cross Butterfly Blanket</t>
        </is>
      </c>
      <c r="P74" s="2" t="inlineStr">
        <is>
          <t>FULL</t>
        </is>
      </c>
      <c r="Q74" s="2" t="inlineStr">
        <is>
          <t>FULL</t>
        </is>
      </c>
      <c r="R74" s="2" t="inlineStr">
        <is>
          <t>FULL</t>
        </is>
      </c>
      <c r="S74" s="2" t="inlineStr">
        <is>
          <t>FULL</t>
        </is>
      </c>
      <c r="T74" s="5">
        <f>IF(P74="FULL",40,IF(P74="PARTIAL",40/2,0))+IF(Q74="FULL",30,IF(Q74="PARTIAL",30/2,0))+IF(R74="FULL",20,IF(R74="PARTIAL",20/2,0))+IF(S74="FULL",10,IF(S74="PARTIAL",10/2,0))</f>
        <v/>
      </c>
      <c r="U74" s="5">
        <f>IF(P74="NOT_CHECKED",0,40)+IF(Q74="NOT_CHECKED",0,30)+IF(R74="NOT_CHECKED",0,20)+IF(S74="NOT_CHECKED",0,10)</f>
        <v/>
      </c>
      <c r="V74" s="5">
        <f>IF(U74=100,T74,"")</f>
        <v/>
      </c>
      <c r="W74" s="5">
        <f>T74</f>
        <v/>
      </c>
      <c r="X74" s="5">
        <f>T74+(100-U74)</f>
        <v/>
      </c>
      <c r="Y74" s="2" t="inlineStr">
        <is>
          <t>[]</t>
        </is>
      </c>
      <c r="Z74" s="2" t="inlineStr">
        <is>
          <t>["seo_runs\\jeminise.com\\20260906_234129\\evidence\\images\\60_custom-floral-cross-with-butterflies-blanket-machine-washable-d6\\image_03_47830527443143.jpg; seo_runs\\jeminise.com\\20260906_234129\\evidence\\contact_sheets\\60_custom-floral-cross-with-butterflies-blanket-machine-washable-d6.jpg", "https://jeminise.com/products/custom-floral-cross-with-butterflies-blanket-machine-washable-d6", "https://cdn.shopify.com/s/files/1/0792/5098/1063/files/759490c85c946c6771dab94f8a1364e1b84653ade2cb0950a374f68092d3199c.jpg?v=1786596478"]</t>
        </is>
      </c>
    </row>
    <row r="75" ht="66" customHeight="1">
      <c r="A75" s="3" t="inlineStr">
        <is>
          <t>jeminise.com+custom-floral-cross-with-butterflies-blanket-machine-washable-d6</t>
        </is>
      </c>
      <c r="B75" s="3" t="inlineStr">
        <is>
          <t>qaimg_c8707cb41c5e3dc1</t>
        </is>
      </c>
      <c r="C75" s="4" t="inlineStr">
        <is>
          <t>https://cdn.shopify.com/s/files/1/0792/5098/1063/files/bab294486e3013fbc619bbb3e71230eca4b927ab5f8abb1a8fb3c6d2e28d9193.jpg?v=1786596475</t>
        </is>
      </c>
      <c r="D75" s="4" t="inlineStr">
        <is>
          <t>https://cdn.shopify.com/s/files/1/0792/5098/1063/files/bab294486e3013fbc619bbb3e71230eca4b927ab5f8abb1a8fb3c6d2e28d9193.jpg?v=1786596475</t>
        </is>
      </c>
      <c r="E75" s="3" t="inlineStr">
        <is>
          <t>38793401598151</t>
        </is>
      </c>
      <c r="F75" s="3" t="inlineStr">
        <is>
          <t>47830527475911</t>
        </is>
      </c>
      <c r="G75" s="3" t="inlineStr"/>
      <c r="H75" s="3" t="inlineStr">
        <is>
          <t>GALLERY</t>
        </is>
      </c>
      <c r="I75" s="3" t="inlineStr">
        <is>
          <t>DIRECT_ORIGINAL_IMAGE</t>
        </is>
      </c>
      <c r="J75" s="3" t="inlineStr">
        <is>
          <t>2026-09-07T16:34:57.821765+07:00</t>
        </is>
      </c>
      <c r="K75" s="3" t="inlineStr">
        <is>
          <t>Four-size blanket chart for 40x30, 50x40, 60x50 and 80x60 inches.</t>
        </is>
      </c>
      <c r="L75" s="3" t="inlineStr">
        <is>
          <t>Size, bedding type or detail information for personalized floral cross butterfly blanket for Sabrina.</t>
        </is>
      </c>
      <c r="M75" s="3" t="inlineStr">
        <is>
          <t>Custom Floral Cross with Butterflies Blanket, Machine Washable</t>
        </is>
      </c>
      <c r="N75" s="3" t="inlineStr">
        <is>
          <t>SET</t>
        </is>
      </c>
      <c r="O75" s="3" t="inlineStr">
        <is>
          <t>Size or product detail image for Floral Cross Butterfly Blanket</t>
        </is>
      </c>
      <c r="P75" s="3" t="inlineStr">
        <is>
          <t>FULL</t>
        </is>
      </c>
      <c r="Q75" s="3" t="inlineStr">
        <is>
          <t>FULL</t>
        </is>
      </c>
      <c r="R75" s="3" t="inlineStr">
        <is>
          <t>FULL</t>
        </is>
      </c>
      <c r="S75" s="3" t="inlineStr">
        <is>
          <t>FULL</t>
        </is>
      </c>
      <c r="T75" s="7">
        <f>IF(P75="FULL",40,IF(P75="PARTIAL",40/2,0))+IF(Q75="FULL",30,IF(Q75="PARTIAL",30/2,0))+IF(R75="FULL",20,IF(R75="PARTIAL",20/2,0))+IF(S75="FULL",10,IF(S75="PARTIAL",10/2,0))</f>
        <v/>
      </c>
      <c r="U75" s="7">
        <f>IF(P75="NOT_CHECKED",0,40)+IF(Q75="NOT_CHECKED",0,30)+IF(R75="NOT_CHECKED",0,20)+IF(S75="NOT_CHECKED",0,10)</f>
        <v/>
      </c>
      <c r="V75" s="7">
        <f>IF(U75=100,T75,"")</f>
        <v/>
      </c>
      <c r="W75" s="7">
        <f>T75</f>
        <v/>
      </c>
      <c r="X75" s="7">
        <f>T75+(100-U75)</f>
        <v/>
      </c>
      <c r="Y75" s="3" t="inlineStr">
        <is>
          <t>[]</t>
        </is>
      </c>
      <c r="Z75" s="3" t="inlineStr">
        <is>
          <t>["seo_runs\\jeminise.com\\20260906_234129\\evidence\\images\\60_custom-floral-cross-with-butterflies-blanket-machine-washable-d6\\image_04_47830527475911.jpg; seo_runs\\jeminise.com\\20260906_234129\\evidence\\contact_sheets\\60_custom-floral-cross-with-butterflies-blanket-machine-washable-d6.jpg", "https://jeminise.com/products/custom-floral-cross-with-butterflies-blanket-machine-washable-d6", "https://cdn.shopify.com/s/files/1/0792/5098/1063/files/bab294486e3013fbc619bbb3e71230eca4b927ab5f8abb1a8fb3c6d2e28d9193.jpg?v=1786596475"]</t>
        </is>
      </c>
    </row>
    <row r="76" ht="66" customHeight="1">
      <c r="A76" s="2" t="inlineStr">
        <is>
          <t>jeminise.com+custom-floral-cross-with-butterflies-blanket-machine-washable-d6</t>
        </is>
      </c>
      <c r="B76" s="2" t="inlineStr">
        <is>
          <t>qaimg_74f7647fe805fa81</t>
        </is>
      </c>
      <c r="C76" s="4" t="inlineStr">
        <is>
          <t>https://cdn.shopify.com/s/files/1/0792/5098/1063/files/0416735fb823a111c841d5d285553bea73d30b765a5545afa4086717e3e2c7d3.jpg?v=1786596475</t>
        </is>
      </c>
      <c r="D76" s="4" t="inlineStr">
        <is>
          <t>https://cdn.shopify.com/s/files/1/0792/5098/1063/files/0416735fb823a111c841d5d285553bea73d30b765a5545afa4086717e3e2c7d3.jpg?v=1786596475</t>
        </is>
      </c>
      <c r="E76" s="2" t="inlineStr">
        <is>
          <t>38793401630919</t>
        </is>
      </c>
      <c r="F76" s="2" t="inlineStr">
        <is>
          <t>47830527508679</t>
        </is>
      </c>
      <c r="G76" s="2" t="inlineStr"/>
      <c r="H76" s="2" t="inlineStr">
        <is>
          <t>GALLERY</t>
        </is>
      </c>
      <c r="I76" s="2" t="inlineStr">
        <is>
          <t>DIRECT_ORIGINAL_IMAGE</t>
        </is>
      </c>
      <c r="J76" s="2" t="inlineStr">
        <is>
          <t>2026-09-07T16:34:57.821765+07:00</t>
        </is>
      </c>
      <c r="K76" s="2" t="inlineStr">
        <is>
          <t>Fabric and print-detail collage for the Sabrina floral-cross blanket.</t>
        </is>
      </c>
      <c r="L76" s="2" t="inlineStr">
        <is>
          <t>Material, wash or comfort feature image for personalized floral cross butterfly blanket for Sabrina.</t>
        </is>
      </c>
      <c r="M76" s="2" t="inlineStr">
        <is>
          <t>Custom Floral Cross with Butterflies Blanket, Machine Washable</t>
        </is>
      </c>
      <c r="N76" s="2" t="inlineStr">
        <is>
          <t>SET</t>
        </is>
      </c>
      <c r="O76" s="2" t="inlineStr">
        <is>
          <t>Care or material information for Floral Cross Butterfly Blanket</t>
        </is>
      </c>
      <c r="P76" s="2" t="inlineStr">
        <is>
          <t>FULL</t>
        </is>
      </c>
      <c r="Q76" s="2" t="inlineStr">
        <is>
          <t>FULL</t>
        </is>
      </c>
      <c r="R76" s="2" t="inlineStr">
        <is>
          <t>FULL</t>
        </is>
      </c>
      <c r="S76" s="2" t="inlineStr">
        <is>
          <t>FULL</t>
        </is>
      </c>
      <c r="T76" s="5">
        <f>IF(P76="FULL",40,IF(P76="PARTIAL",40/2,0))+IF(Q76="FULL",30,IF(Q76="PARTIAL",30/2,0))+IF(R76="FULL",20,IF(R76="PARTIAL",20/2,0))+IF(S76="FULL",10,IF(S76="PARTIAL",10/2,0))</f>
        <v/>
      </c>
      <c r="U76" s="5">
        <f>IF(P76="NOT_CHECKED",0,40)+IF(Q76="NOT_CHECKED",0,30)+IF(R76="NOT_CHECKED",0,20)+IF(S76="NOT_CHECKED",0,10)</f>
        <v/>
      </c>
      <c r="V76" s="5">
        <f>IF(U76=100,T76,"")</f>
        <v/>
      </c>
      <c r="W76" s="5">
        <f>T76</f>
        <v/>
      </c>
      <c r="X76" s="5">
        <f>T76+(100-U76)</f>
        <v/>
      </c>
      <c r="Y76" s="2" t="inlineStr">
        <is>
          <t>[]</t>
        </is>
      </c>
      <c r="Z76" s="2" t="inlineStr">
        <is>
          <t>["seo_runs\\jeminise.com\\20260906_234129\\evidence\\images\\60_custom-floral-cross-with-butterflies-blanket-machine-washable-d6\\image_05_47830527508679.jpg; seo_runs\\jeminise.com\\20260906_234129\\evidence\\contact_sheets\\60_custom-floral-cross-with-butterflies-blanket-machine-washable-d6.jpg", "https://jeminise.com/products/custom-floral-cross-with-butterflies-blanket-machine-washable-d6", "https://cdn.shopify.com/s/files/1/0792/5098/1063/files/0416735fb823a111c841d5d285553bea73d30b765a5545afa4086717e3e2c7d3.jpg?v=1786596475"]</t>
        </is>
      </c>
    </row>
    <row r="77" ht="66" customHeight="1">
      <c r="A77" s="3" t="inlineStr">
        <is>
          <t>jeminise.com+custom-floral-cross-with-butterflies-blanket-machine-washable-d6</t>
        </is>
      </c>
      <c r="B77" s="3" t="inlineStr">
        <is>
          <t>qaimg_a179ecbf54f4b9ae</t>
        </is>
      </c>
      <c r="C77" s="4" t="inlineStr">
        <is>
          <t>https://cdn.shopify.com/s/files/1/0792/5098/1063/files/e576d43eb2b191f065506be3fac0e45ce427db1e42efc5852ccc760dafb39887.jpg?v=1786596475</t>
        </is>
      </c>
      <c r="D77" s="4" t="inlineStr">
        <is>
          <t>https://cdn.shopify.com/s/files/1/0792/5098/1063/files/e576d43eb2b191f065506be3fac0e45ce427db1e42efc5852ccc760dafb39887.jpg?v=1786596475</t>
        </is>
      </c>
      <c r="E77" s="3" t="inlineStr">
        <is>
          <t>38793401663687</t>
        </is>
      </c>
      <c r="F77" s="3" t="inlineStr">
        <is>
          <t>47830527541447</t>
        </is>
      </c>
      <c r="G77" s="3" t="inlineStr"/>
      <c r="H77" s="3" t="inlineStr">
        <is>
          <t>GALLERY</t>
        </is>
      </c>
      <c r="I77" s="3" t="inlineStr">
        <is>
          <t>DIRECT_ORIGINAL_IMAGE</t>
        </is>
      </c>
      <c r="J77" s="3" t="inlineStr">
        <is>
          <t>2026-09-07T16:34:57.821765+07:00</t>
        </is>
      </c>
      <c r="K77" s="3" t="inlineStr">
        <is>
          <t>Blanket feature panel marked fluffy and soft, high quality, no pilling, no shedding, gentle and smooth.</t>
        </is>
      </c>
      <c r="L77" s="3" t="inlineStr">
        <is>
          <t>Additional size guide, feature panel or mockup for personalized floral cross butterfly blanket for Sabrina.</t>
        </is>
      </c>
      <c r="M77" s="3" t="inlineStr">
        <is>
          <t>Custom Floral Cross with Butterflies Blanket, Machine Washable</t>
        </is>
      </c>
      <c r="N77" s="3" t="inlineStr">
        <is>
          <t>SET</t>
        </is>
      </c>
      <c r="O77" s="3" t="inlineStr">
        <is>
          <t>Feature or use guide for Floral Cross Butterfly Blanket</t>
        </is>
      </c>
      <c r="P77" s="3" t="inlineStr">
        <is>
          <t>FULL</t>
        </is>
      </c>
      <c r="Q77" s="3" t="inlineStr">
        <is>
          <t>FULL</t>
        </is>
      </c>
      <c r="R77" s="3" t="inlineStr">
        <is>
          <t>FULL</t>
        </is>
      </c>
      <c r="S77" s="3" t="inlineStr">
        <is>
          <t>FULL</t>
        </is>
      </c>
      <c r="T77" s="7">
        <f>IF(P77="FULL",40,IF(P77="PARTIAL",40/2,0))+IF(Q77="FULL",30,IF(Q77="PARTIAL",30/2,0))+IF(R77="FULL",20,IF(R77="PARTIAL",20/2,0))+IF(S77="FULL",10,IF(S77="PARTIAL",10/2,0))</f>
        <v/>
      </c>
      <c r="U77" s="7">
        <f>IF(P77="NOT_CHECKED",0,40)+IF(Q77="NOT_CHECKED",0,30)+IF(R77="NOT_CHECKED",0,20)+IF(S77="NOT_CHECKED",0,10)</f>
        <v/>
      </c>
      <c r="V77" s="7">
        <f>IF(U77=100,T77,"")</f>
        <v/>
      </c>
      <c r="W77" s="7">
        <f>T77</f>
        <v/>
      </c>
      <c r="X77" s="7">
        <f>T77+(100-U77)</f>
        <v/>
      </c>
      <c r="Y77" s="3" t="inlineStr">
        <is>
          <t>[]</t>
        </is>
      </c>
      <c r="Z77" s="3" t="inlineStr">
        <is>
          <t>["seo_runs\\jeminise.com\\20260906_234129\\evidence\\images\\60_custom-floral-cross-with-butterflies-blanket-machine-washable-d6\\image_06_47830527541447.jpg; seo_runs\\jeminise.com\\20260906_234129\\evidence\\contact_sheets\\60_custom-floral-cross-with-butterflies-blanket-machine-washable-d6.jpg", "https://jeminise.com/products/custom-floral-cross-with-butterflies-blanket-machine-washable-d6", "https://cdn.shopify.com/s/files/1/0792/5098/1063/files/e576d43eb2b191f065506be3fac0e45ce427db1e42efc5852ccc760dafb39887.jpg?v=1786596475"]</t>
        </is>
      </c>
    </row>
    <row r="78" ht="66" customHeight="1">
      <c r="A78" s="2" t="inlineStr">
        <is>
          <t>jeminise.com+custom-floral-cross-with-butterflies-blanket-machine-washable-d6</t>
        </is>
      </c>
      <c r="B78" s="2" t="inlineStr">
        <is>
          <t>qaimg_1498647e352ab214</t>
        </is>
      </c>
      <c r="C78" s="4" t="inlineStr">
        <is>
          <t>https://cdn.shopify.com/s/files/1/0792/5098/1063/files/7c29bc231473be38367a39696043dc9046e2ad0b9b02b847aba65a535c3d5c67.jpg?v=1786596475</t>
        </is>
      </c>
      <c r="D78" s="4" t="inlineStr">
        <is>
          <t>https://cdn.shopify.com/s/files/1/0792/5098/1063/files/7c29bc231473be38367a39696043dc9046e2ad0b9b02b847aba65a535c3d5c67.jpg?v=1786596475</t>
        </is>
      </c>
      <c r="E78" s="2" t="inlineStr">
        <is>
          <t>38793401696455</t>
        </is>
      </c>
      <c r="F78" s="2" t="inlineStr">
        <is>
          <t>47830527574215</t>
        </is>
      </c>
      <c r="G78" s="2" t="inlineStr"/>
      <c r="H78" s="2" t="inlineStr">
        <is>
          <t>GALLERY</t>
        </is>
      </c>
      <c r="I78" s="2" t="inlineStr">
        <is>
          <t>DIRECT_ORIGINAL_IMAGE</t>
        </is>
      </c>
      <c r="J78" s="2" t="inlineStr">
        <is>
          <t>2026-09-07T16:34:57.821765+07:00</t>
        </is>
      </c>
      <c r="K78" s="2" t="inlineStr">
        <is>
          <t>Sabrina floral-cross blanket draped over a white sofa.</t>
        </is>
      </c>
      <c r="L78" s="2" t="inlineStr">
        <is>
          <t>Additional lifestyle, feature or product detail image showing personalized floral cross butterfly blanket for Sabrina.</t>
        </is>
      </c>
      <c r="M78" s="2" t="inlineStr">
        <is>
          <t>Custom Floral Cross with Butterflies Blanket, Machine Washable</t>
        </is>
      </c>
      <c r="N78" s="2" t="inlineStr">
        <is>
          <t>SET</t>
        </is>
      </c>
      <c r="O78" s="2" t="inlineStr">
        <is>
          <t>Additional product mockup of Floral Cross Butterfly Blanket</t>
        </is>
      </c>
      <c r="P78" s="2" t="inlineStr">
        <is>
          <t>FULL</t>
        </is>
      </c>
      <c r="Q78" s="2" t="inlineStr">
        <is>
          <t>FULL</t>
        </is>
      </c>
      <c r="R78" s="2" t="inlineStr">
        <is>
          <t>FULL</t>
        </is>
      </c>
      <c r="S78" s="2" t="inlineStr">
        <is>
          <t>FULL</t>
        </is>
      </c>
      <c r="T78" s="5">
        <f>IF(P78="FULL",40,IF(P78="PARTIAL",40/2,0))+IF(Q78="FULL",30,IF(Q78="PARTIAL",30/2,0))+IF(R78="FULL",20,IF(R78="PARTIAL",20/2,0))+IF(S78="FULL",10,IF(S78="PARTIAL",10/2,0))</f>
        <v/>
      </c>
      <c r="U78" s="5">
        <f>IF(P78="NOT_CHECKED",0,40)+IF(Q78="NOT_CHECKED",0,30)+IF(R78="NOT_CHECKED",0,20)+IF(S78="NOT_CHECKED",0,10)</f>
        <v/>
      </c>
      <c r="V78" s="5">
        <f>IF(U78=100,T78,"")</f>
        <v/>
      </c>
      <c r="W78" s="5">
        <f>T78</f>
        <v/>
      </c>
      <c r="X78" s="5">
        <f>T78+(100-U78)</f>
        <v/>
      </c>
      <c r="Y78" s="2" t="inlineStr">
        <is>
          <t>[]</t>
        </is>
      </c>
      <c r="Z78" s="2" t="inlineStr">
        <is>
          <t>["seo_runs\\jeminise.com\\20260906_234129\\evidence\\images\\60_custom-floral-cross-with-butterflies-blanket-machine-washable-d6\\image_07_47830527574215.jpg; seo_runs\\jeminise.com\\20260906_234129\\evidence\\contact_sheets\\60_custom-floral-cross-with-butterflies-blanket-machine-washable-d6.jpg", "https://jeminise.com/products/custom-floral-cross-with-butterflies-blanket-machine-washable-d6", "https://cdn.shopify.com/s/files/1/0792/5098/1063/files/7c29bc231473be38367a39696043dc9046e2ad0b9b02b847aba65a535c3d5c67.jpg?v=1786596475"]</t>
        </is>
      </c>
    </row>
    <row r="79" ht="66" customHeight="1">
      <c r="A79" s="3" t="inlineStr">
        <is>
          <t>jeminise.com+custom-floral-cross-with-butterflies-blanket-machine-washable-d6</t>
        </is>
      </c>
      <c r="B79" s="3" t="inlineStr">
        <is>
          <t>qaimg_3becbb4c0c6ca046</t>
        </is>
      </c>
      <c r="C79" s="4" t="inlineStr">
        <is>
          <t>https://cdn.shopify.com/s/files/1/0792/5098/1063/files/03f1b1a7f237ec569ecd0df3e08ba9cf8b2d785c0925b3382d0ee3993ce0180b.jpg?v=1786596476</t>
        </is>
      </c>
      <c r="D79" s="4" t="inlineStr">
        <is>
          <t>https://cdn.shopify.com/s/files/1/0792/5098/1063/files/03f1b1a7f237ec569ecd0df3e08ba9cf8b2d785c0925b3382d0ee3993ce0180b.jpg?v=1786596476</t>
        </is>
      </c>
      <c r="E79" s="3" t="inlineStr">
        <is>
          <t>38793401729223</t>
        </is>
      </c>
      <c r="F79" s="3" t="inlineStr">
        <is>
          <t>47830527606983</t>
        </is>
      </c>
      <c r="G79" s="3" t="inlineStr"/>
      <c r="H79" s="3" t="inlineStr">
        <is>
          <t>GALLERY</t>
        </is>
      </c>
      <c r="I79" s="3" t="inlineStr">
        <is>
          <t>DIRECT_ORIGINAL_IMAGE</t>
        </is>
      </c>
      <c r="J79" s="3" t="inlineStr">
        <is>
          <t>2026-09-07T16:34:57.821765+07:00</t>
        </is>
      </c>
      <c r="K79" s="3" t="inlineStr">
        <is>
          <t>Sabrina floral-cross blanket draped over a tan sofa.</t>
        </is>
      </c>
      <c r="L79" s="3" t="inlineStr">
        <is>
          <t>Additional lifestyle, feature or product detail image showing personalized floral cross butterfly blanket for Sabrina.</t>
        </is>
      </c>
      <c r="M79" s="3" t="inlineStr">
        <is>
          <t>Custom Floral Cross with Butterflies Blanket, Machine Washable</t>
        </is>
      </c>
      <c r="N79" s="3" t="inlineStr">
        <is>
          <t>SET</t>
        </is>
      </c>
      <c r="O79" s="3" t="inlineStr">
        <is>
          <t>Lifestyle use image for Floral Cross Butterfly Blanket</t>
        </is>
      </c>
      <c r="P79" s="3" t="inlineStr">
        <is>
          <t>FULL</t>
        </is>
      </c>
      <c r="Q79" s="3" t="inlineStr">
        <is>
          <t>FULL</t>
        </is>
      </c>
      <c r="R79" s="3" t="inlineStr">
        <is>
          <t>FULL</t>
        </is>
      </c>
      <c r="S79" s="3" t="inlineStr">
        <is>
          <t>FULL</t>
        </is>
      </c>
      <c r="T79" s="7">
        <f>IF(P79="FULL",40,IF(P79="PARTIAL",40/2,0))+IF(Q79="FULL",30,IF(Q79="PARTIAL",30/2,0))+IF(R79="FULL",20,IF(R79="PARTIAL",20/2,0))+IF(S79="FULL",10,IF(S79="PARTIAL",10/2,0))</f>
        <v/>
      </c>
      <c r="U79" s="7">
        <f>IF(P79="NOT_CHECKED",0,40)+IF(Q79="NOT_CHECKED",0,30)+IF(R79="NOT_CHECKED",0,20)+IF(S79="NOT_CHECKED",0,10)</f>
        <v/>
      </c>
      <c r="V79" s="7">
        <f>IF(U79=100,T79,"")</f>
        <v/>
      </c>
      <c r="W79" s="7">
        <f>T79</f>
        <v/>
      </c>
      <c r="X79" s="7">
        <f>T79+(100-U79)</f>
        <v/>
      </c>
      <c r="Y79" s="3" t="inlineStr">
        <is>
          <t>[]</t>
        </is>
      </c>
      <c r="Z79" s="3" t="inlineStr">
        <is>
          <t>["seo_runs\\jeminise.com\\20260906_234129\\evidence\\images\\60_custom-floral-cross-with-butterflies-blanket-machine-washable-d6\\image_08_47830527606983.jpg; seo_runs\\jeminise.com\\20260906_234129\\evidence\\contact_sheets\\60_custom-floral-cross-with-butterflies-blanket-machine-washable-d6.jpg", "https://jeminise.com/products/custom-floral-cross-with-butterflies-blanket-machine-washable-d6", "https://cdn.shopify.com/s/files/1/0792/5098/1063/files/03f1b1a7f237ec569ecd0df3e08ba9cf8b2d785c0925b3382d0ee3993ce0180b.jpg?v=1786596476"]</t>
        </is>
      </c>
    </row>
  </sheetData>
  <autoFilter ref="A1:Z79"/>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 xmlns:r="http://schemas.openxmlformats.org/officeDocument/2006/relationships" ref="C67" r:id="rId131"/>
    <hyperlink xmlns:r="http://schemas.openxmlformats.org/officeDocument/2006/relationships" ref="D67" r:id="rId132"/>
    <hyperlink xmlns:r="http://schemas.openxmlformats.org/officeDocument/2006/relationships" ref="C68" r:id="rId133"/>
    <hyperlink xmlns:r="http://schemas.openxmlformats.org/officeDocument/2006/relationships" ref="D68" r:id="rId134"/>
    <hyperlink xmlns:r="http://schemas.openxmlformats.org/officeDocument/2006/relationships" ref="C69" r:id="rId135"/>
    <hyperlink xmlns:r="http://schemas.openxmlformats.org/officeDocument/2006/relationships" ref="D69" r:id="rId136"/>
    <hyperlink xmlns:r="http://schemas.openxmlformats.org/officeDocument/2006/relationships" ref="C70" r:id="rId137"/>
    <hyperlink xmlns:r="http://schemas.openxmlformats.org/officeDocument/2006/relationships" ref="D70" r:id="rId138"/>
    <hyperlink xmlns:r="http://schemas.openxmlformats.org/officeDocument/2006/relationships" ref="C71" r:id="rId139"/>
    <hyperlink xmlns:r="http://schemas.openxmlformats.org/officeDocument/2006/relationships" ref="D71" r:id="rId140"/>
    <hyperlink xmlns:r="http://schemas.openxmlformats.org/officeDocument/2006/relationships" ref="C72" r:id="rId141"/>
    <hyperlink xmlns:r="http://schemas.openxmlformats.org/officeDocument/2006/relationships" ref="D72" r:id="rId142"/>
    <hyperlink xmlns:r="http://schemas.openxmlformats.org/officeDocument/2006/relationships" ref="C73" r:id="rId143"/>
    <hyperlink xmlns:r="http://schemas.openxmlformats.org/officeDocument/2006/relationships" ref="D73" r:id="rId144"/>
    <hyperlink xmlns:r="http://schemas.openxmlformats.org/officeDocument/2006/relationships" ref="C74" r:id="rId145"/>
    <hyperlink xmlns:r="http://schemas.openxmlformats.org/officeDocument/2006/relationships" ref="D74" r:id="rId146"/>
    <hyperlink xmlns:r="http://schemas.openxmlformats.org/officeDocument/2006/relationships" ref="C75" r:id="rId147"/>
    <hyperlink xmlns:r="http://schemas.openxmlformats.org/officeDocument/2006/relationships" ref="D75" r:id="rId148"/>
    <hyperlink xmlns:r="http://schemas.openxmlformats.org/officeDocument/2006/relationships" ref="C76" r:id="rId149"/>
    <hyperlink xmlns:r="http://schemas.openxmlformats.org/officeDocument/2006/relationships" ref="D76" r:id="rId150"/>
    <hyperlink xmlns:r="http://schemas.openxmlformats.org/officeDocument/2006/relationships" ref="C77" r:id="rId151"/>
    <hyperlink xmlns:r="http://schemas.openxmlformats.org/officeDocument/2006/relationships" ref="D77" r:id="rId152"/>
    <hyperlink xmlns:r="http://schemas.openxmlformats.org/officeDocument/2006/relationships" ref="C78" r:id="rId153"/>
    <hyperlink xmlns:r="http://schemas.openxmlformats.org/officeDocument/2006/relationships" ref="D78" r:id="rId154"/>
    <hyperlink xmlns:r="http://schemas.openxmlformats.org/officeDocument/2006/relationships" ref="C79" r:id="rId155"/>
    <hyperlink xmlns:r="http://schemas.openxmlformats.org/officeDocument/2006/relationships" ref="D79" r:id="rId156"/>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73"/>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R2-ISS-051-IMG-04</t>
        </is>
      </c>
      <c r="B2" s="2" t="inlineStr">
        <is>
          <t>jeminise.com+custom-christian-scripture-floral-blanket-machine-washable-d10</t>
        </is>
      </c>
      <c r="C2" s="2" t="inlineStr">
        <is>
          <t>qaimg_0ffbb6c39559aba9</t>
        </is>
      </c>
      <c r="D2" s="2" t="inlineStr">
        <is>
          <t>MAJOR</t>
        </is>
      </c>
      <c r="E2" s="2" t="inlineStr">
        <is>
          <t>image_observation/alt_effective</t>
        </is>
      </c>
      <c r="F2" s="2" t="inlineStr">
        <is>
          <t>Size, bedding type or detail information for personalized God Says I Am Emily blanket in pink. | Size or product detail image for God Says I Am Emily Blanket</t>
        </is>
      </c>
      <c r="G2" s="2" t="inlineStr">
        <is>
          <t>Second sofa lifestyle view of the pink EMILY scripture blanket.</t>
        </is>
      </c>
      <c r="H2" s="2" t="inlineStr">
        <is>
          <t>Câu theo mẫu vị trí không phản ánh đúng ảnh gốc.</t>
        </is>
      </c>
      <c r="I2" s="2" t="inlineStr">
        <is>
          <t>Second sofa lifestyle view of the pink EMILY scripture blanket.</t>
        </is>
      </c>
      <c r="J2" s="2" t="inlineStr">
        <is>
          <t>seo_runs\jeminise.com\20260906_234129\evidence\images\51_custom-christian-scripture-floral-blanket-machine-washable-d10\image_04_47830609985735.jpg; seo_runs\jeminise.com\20260906_234129\evidence\contact_sheets\51_custom-christian-scripture-floral-blanket-machine-washable-d10.jpg; https://jeminise.com/products/custom-christian-scripture-floral-blanket-machine-washable-d10; https://cdn.shopify.com/s/files/1/0792/5098/1063/files/f080c96407dbf1941ada8d3611cbf5489f32ed2db06c951fda081e2d9bd1746e.jpg?v=1786596944</t>
        </is>
      </c>
      <c r="K2" s="2" t="inlineStr">
        <is>
          <t>Mở ảnh gốc và xác nhận alt mới mô tả đúng ảnh.</t>
        </is>
      </c>
    </row>
    <row r="3" ht="84" customHeight="1">
      <c r="A3" s="3" t="inlineStr">
        <is>
          <t>R2-ISS-051-IMG-05</t>
        </is>
      </c>
      <c r="B3" s="3" t="inlineStr">
        <is>
          <t>jeminise.com+custom-christian-scripture-floral-blanket-machine-washable-d10</t>
        </is>
      </c>
      <c r="C3" s="3" t="inlineStr">
        <is>
          <t>qaimg_a9d45a49cd0509ad</t>
        </is>
      </c>
      <c r="D3" s="3" t="inlineStr">
        <is>
          <t>MAJOR</t>
        </is>
      </c>
      <c r="E3" s="3" t="inlineStr">
        <is>
          <t>image_observation/alt_effective</t>
        </is>
      </c>
      <c r="F3" s="3" t="inlineStr">
        <is>
          <t>Material, wash or comfort feature image for personalized God Says I Am Emily blanket in pink. | Care or material information for God Says I Am Emily Blanket</t>
        </is>
      </c>
      <c r="G3" s="3" t="inlineStr">
        <is>
          <t>Father and child reading under the pink EMILY scripture blanket.</t>
        </is>
      </c>
      <c r="H3" s="3" t="inlineStr">
        <is>
          <t>Câu theo mẫu vị trí không phản ánh đúng ảnh gốc.</t>
        </is>
      </c>
      <c r="I3" s="3" t="inlineStr">
        <is>
          <t>Father and child reading under the pink EMILY scripture blanket.</t>
        </is>
      </c>
      <c r="J3" s="3" t="inlineStr">
        <is>
          <t>seo_runs\jeminise.com\20260906_234129\evidence\images\51_custom-christian-scripture-floral-blanket-machine-washable-d10\image_05_47830610018503.jpg; seo_runs\jeminise.com\20260906_234129\evidence\contact_sheets\51_custom-christian-scripture-floral-blanket-machine-washable-d10.jpg; https://jeminise.com/products/custom-christian-scripture-floral-blanket-machine-washable-d10; https://cdn.shopify.com/s/files/1/0792/5098/1063/files/c8e7403737eb50deddf014f714c4b268f2bced3797508ca336b6e63761050ea1.jpg?v=1786596944</t>
        </is>
      </c>
      <c r="K3" s="3" t="inlineStr">
        <is>
          <t>Mở ảnh gốc và xác nhận alt mới mô tả đúng ảnh.</t>
        </is>
      </c>
    </row>
    <row r="4" ht="84" customHeight="1">
      <c r="A4" s="2" t="inlineStr">
        <is>
          <t>R2-ISS-051-IMG-06</t>
        </is>
      </c>
      <c r="B4" s="2" t="inlineStr">
        <is>
          <t>jeminise.com+custom-christian-scripture-floral-blanket-machine-washable-d10</t>
        </is>
      </c>
      <c r="C4" s="2" t="inlineStr">
        <is>
          <t>qaimg_941e3f8de9ecbf88</t>
        </is>
      </c>
      <c r="D4" s="2" t="inlineStr">
        <is>
          <t>MAJOR</t>
        </is>
      </c>
      <c r="E4" s="2" t="inlineStr">
        <is>
          <t>image_observation/alt_effective</t>
        </is>
      </c>
      <c r="F4" s="2" t="inlineStr">
        <is>
          <t>Additional size guide, feature panel or mockup for personalized God Says I Am Emily blanket in pink. | Feature or use guide for God Says I Am Emily Blanket</t>
        </is>
      </c>
      <c r="G4" s="2" t="inlineStr">
        <is>
          <t>Blanket size chart for 40x30, 50x40, 60x50 and 80x60 inches.</t>
        </is>
      </c>
      <c r="H4" s="2" t="inlineStr">
        <is>
          <t>Câu theo mẫu vị trí không phản ánh đúng ảnh gốc.</t>
        </is>
      </c>
      <c r="I4" s="2" t="inlineStr">
        <is>
          <t>Blanket size chart for 40x30, 50x40, 60x50 and 80x60 inches.</t>
        </is>
      </c>
      <c r="J4" s="2" t="inlineStr">
        <is>
          <t>seo_runs\jeminise.com\20260906_234129\evidence\images\51_custom-christian-scripture-floral-blanket-machine-washable-d10\image_06_47830610051271.jpg; seo_runs\jeminise.com\20260906_234129\evidence\contact_sheets\51_custom-christian-scripture-floral-blanket-machine-washable-d10.jpg; https://jeminise.com/products/custom-christian-scripture-floral-blanket-machine-washable-d10; https://cdn.shopify.com/s/files/1/0792/5098/1063/files/aa3d32f3f3ea36d848002ec9691f58c355d4b160688300f3233e63943f210b46.jpg?v=1786596944</t>
        </is>
      </c>
      <c r="K4" s="2" t="inlineStr">
        <is>
          <t>Mở ảnh gốc và xác nhận alt mới mô tả đúng ảnh.</t>
        </is>
      </c>
    </row>
    <row r="5" ht="84" customHeight="1">
      <c r="A5" s="3" t="inlineStr">
        <is>
          <t>R2-ISS-051-IMG-07</t>
        </is>
      </c>
      <c r="B5" s="3" t="inlineStr">
        <is>
          <t>jeminise.com+custom-christian-scripture-floral-blanket-machine-washable-d10</t>
        </is>
      </c>
      <c r="C5" s="3" t="inlineStr">
        <is>
          <t>qaimg_e8ccfea68c57cbfd</t>
        </is>
      </c>
      <c r="D5" s="3" t="inlineStr">
        <is>
          <t>MAJOR</t>
        </is>
      </c>
      <c r="E5" s="3" t="inlineStr">
        <is>
          <t>image_observation/alt_effective</t>
        </is>
      </c>
      <c r="F5" s="3" t="inlineStr">
        <is>
          <t>Additional lifestyle, feature or product detail image showing personalized God Says I Am Emily blanket in pink. | Additional product mockup of God Says I Am Emily Blanket</t>
        </is>
      </c>
      <c r="G5" s="3" t="inlineStr">
        <is>
          <t>Blanket feature panel marked fluffy and soft, high quality, no pilling, no shedding, gentle and smooth.</t>
        </is>
      </c>
      <c r="H5" s="3" t="inlineStr">
        <is>
          <t>Câu theo mẫu vị trí không phản ánh đúng ảnh gốc.</t>
        </is>
      </c>
      <c r="I5" s="3" t="inlineStr">
        <is>
          <t>Blanket feature panel marked fluffy and soft, high quality, no pilling, no shedding, gentle and smooth.</t>
        </is>
      </c>
      <c r="J5" s="3" t="inlineStr">
        <is>
          <t>seo_runs\jeminise.com\20260906_234129\evidence\images\51_custom-christian-scripture-floral-blanket-machine-washable-d10\image_07_47830610084039.jpg; seo_runs\jeminise.com\20260906_234129\evidence\contact_sheets\51_custom-christian-scripture-floral-blanket-machine-washable-d10.jpg; https://jeminise.com/products/custom-christian-scripture-floral-blanket-machine-washable-d10; https://cdn.shopify.com/s/files/1/0792/5098/1063/files/4a0dab86b5bacc2a06f2dcdede895972a2cff70323306354b340e990014ca363.jpg?v=1786596944</t>
        </is>
      </c>
      <c r="K5" s="3" t="inlineStr">
        <is>
          <t>Mở ảnh gốc và xác nhận alt mới mô tả đúng ảnh.</t>
        </is>
      </c>
    </row>
    <row r="6" ht="84" customHeight="1">
      <c r="A6" s="2" t="inlineStr">
        <is>
          <t>R2-ISS-052-IMG-04</t>
        </is>
      </c>
      <c r="B6" s="2" t="inlineStr">
        <is>
          <t>jeminise.com+custom-emily-god-says-i-am-blanket-machine-washable-d9</t>
        </is>
      </c>
      <c r="C6" s="2" t="inlineStr">
        <is>
          <t>qaimg_9859174086a2b357</t>
        </is>
      </c>
      <c r="D6" s="2" t="inlineStr">
        <is>
          <t>MAJOR</t>
        </is>
      </c>
      <c r="E6" s="2" t="inlineStr">
        <is>
          <t>image_observation/alt_effective</t>
        </is>
      </c>
      <c r="F6" s="2" t="inlineStr">
        <is>
          <t>Size, bedding type or detail information for personalized God Says I Am Emily blanket in blue floral. | Size or product detail image for Blue Floral God Says I Am Blanket</t>
        </is>
      </c>
      <c r="G6" s="2" t="inlineStr">
        <is>
          <t>Blue EMILY scripture blanket draped over a tan sofa.</t>
        </is>
      </c>
      <c r="H6" s="2" t="inlineStr">
        <is>
          <t>Câu theo mẫu vị trí không phản ánh đúng ảnh gốc.</t>
        </is>
      </c>
      <c r="I6" s="2" t="inlineStr">
        <is>
          <t>Blue EMILY scripture blanket draped over a tan sofa.</t>
        </is>
      </c>
      <c r="J6" s="2" t="inlineStr">
        <is>
          <t>seo_runs\jeminise.com\20260906_234129\evidence\images\52_custom-emily-god-says-i-am-blanket-machine-washable-d9\image_04_47830456959175.jpg; seo_runs\jeminise.com\20260906_234129\evidence\contact_sheets\52_custom-emily-god-says-i-am-blanket-machine-washable-d9.jpg; https://jeminise.com/products/custom-emily-god-says-i-am-blanket-machine-washable-d9; https://cdn.shopify.com/s/files/1/0792/5098/1063/files/23d5a0d5bd7cc256fa047fad39129214f40e3b5aa19bbfd83c02d5e2db76dda1.jpg?v=1786596303</t>
        </is>
      </c>
      <c r="K6" s="2" t="inlineStr">
        <is>
          <t>Mở ảnh gốc và xác nhận alt mới mô tả đúng ảnh.</t>
        </is>
      </c>
    </row>
    <row r="7" ht="84" customHeight="1">
      <c r="A7" s="3" t="inlineStr">
        <is>
          <t>R2-ISS-052-IMG-05</t>
        </is>
      </c>
      <c r="B7" s="3" t="inlineStr">
        <is>
          <t>jeminise.com+custom-emily-god-says-i-am-blanket-machine-washable-d9</t>
        </is>
      </c>
      <c r="C7" s="3" t="inlineStr">
        <is>
          <t>qaimg_df49d58f80aa39fb</t>
        </is>
      </c>
      <c r="D7" s="3" t="inlineStr">
        <is>
          <t>MAJOR</t>
        </is>
      </c>
      <c r="E7" s="3" t="inlineStr">
        <is>
          <t>image_observation/alt_effective</t>
        </is>
      </c>
      <c r="F7" s="3" t="inlineStr">
        <is>
          <t>Material, wash or comfort feature image for personalized God Says I Am Emily blanket in blue floral. | Care or material information for Blue Floral God Says I Am Blanket</t>
        </is>
      </c>
      <c r="G7" s="3" t="inlineStr">
        <is>
          <t>Father and child reading under the blue EMILY scripture blanket.</t>
        </is>
      </c>
      <c r="H7" s="3" t="inlineStr">
        <is>
          <t>Câu theo mẫu vị trí không phản ánh đúng ảnh gốc.</t>
        </is>
      </c>
      <c r="I7" s="3" t="inlineStr">
        <is>
          <t>Father and child reading under the blue EMILY scripture blanket.</t>
        </is>
      </c>
      <c r="J7" s="3" t="inlineStr">
        <is>
          <t>seo_runs\jeminise.com\20260906_234129\evidence\images\52_custom-emily-god-says-i-am-blanket-machine-washable-d9\image_05_47830456991943.jpg; seo_runs\jeminise.com\20260906_234129\evidence\contact_sheets\52_custom-emily-god-says-i-am-blanket-machine-washable-d9.jpg; https://jeminise.com/products/custom-emily-god-says-i-am-blanket-machine-washable-d9; https://cdn.shopify.com/s/files/1/0792/5098/1063/files/f49ae969102b24924407ad308497e2ad394e649a5cec11a244c20852f99c5342.jpg?v=1786596303</t>
        </is>
      </c>
      <c r="K7" s="3" t="inlineStr">
        <is>
          <t>Mở ảnh gốc và xác nhận alt mới mô tả đúng ảnh.</t>
        </is>
      </c>
    </row>
    <row r="8" ht="84" customHeight="1">
      <c r="A8" s="2" t="inlineStr">
        <is>
          <t>R2-ISS-052-IMG-07</t>
        </is>
      </c>
      <c r="B8" s="2" t="inlineStr">
        <is>
          <t>jeminise.com+custom-emily-god-says-i-am-blanket-machine-washable-d9</t>
        </is>
      </c>
      <c r="C8" s="2" t="inlineStr">
        <is>
          <t>qaimg_18a8ed3605a78cee</t>
        </is>
      </c>
      <c r="D8" s="2" t="inlineStr">
        <is>
          <t>MAJOR</t>
        </is>
      </c>
      <c r="E8" s="2" t="inlineStr">
        <is>
          <t>image_observation/alt_effective</t>
        </is>
      </c>
      <c r="F8" s="2" t="inlineStr">
        <is>
          <t>Additional lifestyle, feature or product detail image showing personalized God Says I Am Emily blanket in blue floral. | Additional product mockup of Blue Floral God Says I Am Blanket</t>
        </is>
      </c>
      <c r="G8" s="2" t="inlineStr">
        <is>
          <t>Blanket size chart for 40x30, 50x40, 60x50 and 80x60 inches.</t>
        </is>
      </c>
      <c r="H8" s="2" t="inlineStr">
        <is>
          <t>Câu theo mẫu vị trí không phản ánh đúng ảnh gốc.</t>
        </is>
      </c>
      <c r="I8" s="2" t="inlineStr">
        <is>
          <t>Blanket size chart for 40x30, 50x40, 60x50 and 80x60 inches.</t>
        </is>
      </c>
      <c r="J8" s="2" t="inlineStr">
        <is>
          <t>seo_runs\jeminise.com\20260906_234129\evidence\images\52_custom-emily-god-says-i-am-blanket-machine-washable-d9\image_07_47830457057479.jpg; seo_runs\jeminise.com\20260906_234129\evidence\contact_sheets\52_custom-emily-god-says-i-am-blanket-machine-washable-d9.jpg; https://jeminise.com/products/custom-emily-god-says-i-am-blanket-machine-washable-d9; https://cdn.shopify.com/s/files/1/0792/5098/1063/files/cee7c0b8719354e1df9ef32806cf32f0314a3ff352d9e77c651d1afcf3d36f00.jpg?v=1786596303</t>
        </is>
      </c>
      <c r="K8" s="2" t="inlineStr">
        <is>
          <t>Mở ảnh gốc và xác nhận alt mới mô tả đúng ảnh.</t>
        </is>
      </c>
    </row>
    <row r="9" ht="84" customHeight="1">
      <c r="A9" s="3" t="inlineStr">
        <is>
          <t>R2-ISS-052-IMG-08</t>
        </is>
      </c>
      <c r="B9" s="3" t="inlineStr">
        <is>
          <t>jeminise.com+custom-emily-god-says-i-am-blanket-machine-washable-d9</t>
        </is>
      </c>
      <c r="C9" s="3" t="inlineStr">
        <is>
          <t>qaimg_d18babc17b9b18c6</t>
        </is>
      </c>
      <c r="D9" s="3" t="inlineStr">
        <is>
          <t>MAJOR</t>
        </is>
      </c>
      <c r="E9" s="3" t="inlineStr">
        <is>
          <t>image_observation/alt_effective</t>
        </is>
      </c>
      <c r="F9" s="3" t="inlineStr">
        <is>
          <t>Additional lifestyle, feature or product detail image showing personalized God Says I Am Emily blanket in blue floral. | Lifestyle use image for Blue Floral God Says I Am Blanket</t>
        </is>
      </c>
      <c r="G9" s="3" t="inlineStr">
        <is>
          <t>Blanket feature panel marked fluffy and soft, high quality, no pilling, no shedding, gentle and smooth.</t>
        </is>
      </c>
      <c r="H9" s="3" t="inlineStr">
        <is>
          <t>Câu theo mẫu vị trí không phản ánh đúng ảnh gốc.</t>
        </is>
      </c>
      <c r="I9" s="3" t="inlineStr">
        <is>
          <t>Blanket feature panel marked fluffy and soft, high quality, no pilling, no shedding, gentle and smooth.</t>
        </is>
      </c>
      <c r="J9" s="3" t="inlineStr">
        <is>
          <t>seo_runs\jeminise.com\20260906_234129\evidence\images\52_custom-emily-god-says-i-am-blanket-machine-washable-d9\image_08_47830457090247.jpg; seo_runs\jeminise.com\20260906_234129\evidence\contact_sheets\52_custom-emily-god-says-i-am-blanket-machine-washable-d9.jpg; https://jeminise.com/products/custom-emily-god-says-i-am-blanket-machine-washable-d9; https://cdn.shopify.com/s/files/1/0792/5098/1063/files/89dbadebe78d692d88c6886ef590efeeae4ca99faff77c1ce998a2ddc7a988e4.jpg?v=1786596304</t>
        </is>
      </c>
      <c r="K9" s="3" t="inlineStr">
        <is>
          <t>Mở ảnh gốc và xác nhận alt mới mô tả đúng ảnh.</t>
        </is>
      </c>
    </row>
    <row r="10" ht="84" customHeight="1">
      <c r="A10" s="2" t="inlineStr">
        <is>
          <t>R2-ISS-053-IMG-02</t>
        </is>
      </c>
      <c r="B10" s="2" t="inlineStr">
        <is>
          <t>jeminise.com+custom-exploding-soccer-ball-comforter-set-machine-washable-a10</t>
        </is>
      </c>
      <c r="C10" s="2" t="inlineStr">
        <is>
          <t>qaimg_50d6b8d96dfcc556</t>
        </is>
      </c>
      <c r="D10" s="2" t="inlineStr">
        <is>
          <t>MAJOR</t>
        </is>
      </c>
      <c r="E10" s="2" t="inlineStr">
        <is>
          <t>image_observation/alt_effective</t>
        </is>
      </c>
      <c r="F10" s="2" t="inlineStr">
        <is>
          <t>Flat, feature or secondary mockup showing personalized exploding soccer ball comforter with Jackson and number 15. | Secondary mockup of Exploding Soccer Ball Comforter</t>
        </is>
      </c>
      <c r="G10" s="2" t="inlineStr">
        <is>
          <t>Microfiber, 3D-print and soft/lightweight product-feature panel for the JACKSON soccer bedding.</t>
        </is>
      </c>
      <c r="H10" s="2" t="inlineStr">
        <is>
          <t>Câu theo mẫu vị trí không phản ánh đúng ảnh gốc.</t>
        </is>
      </c>
      <c r="I10" s="2" t="inlineStr">
        <is>
          <t>Microfiber, 3D-print and soft/lightweight product-feature panel for the JACKSON soccer bedding.</t>
        </is>
      </c>
      <c r="J10" s="2" t="inlineStr">
        <is>
          <t>seo_runs\jeminise.com\20260906_234129\evidence\images\53_custom-exploding-soccer-ball-comforter-set-machine-washable-a10\image_02_47833417154759.jpg; seo_runs\jeminise.com\20260906_234129\evidence\contact_sheets\53_custom-exploding-soccer-ball-comforter-set-machine-washable-a10.jpg; https://jeminise.com/products/custom-exploding-soccer-ball-comforter-set-machine-washable-a10; https://cdn.shopify.com/s/files/1/0792/5098/1063/files/fda00b32bfb1f0f6b8cd7d08129f5a20672727be6a983732f50ce6de63121686.jpg?v=1786610945</t>
        </is>
      </c>
      <c r="K10" s="2" t="inlineStr">
        <is>
          <t>Mở ảnh gốc và xác nhận alt mới mô tả đúng ảnh.</t>
        </is>
      </c>
    </row>
    <row r="11" ht="84" customHeight="1">
      <c r="A11" s="3" t="inlineStr">
        <is>
          <t>R2-ISS-053-IMG-07</t>
        </is>
      </c>
      <c r="B11" s="3" t="inlineStr">
        <is>
          <t>jeminise.com+custom-exploding-soccer-ball-comforter-set-machine-washable-a10</t>
        </is>
      </c>
      <c r="C11" s="3" t="inlineStr">
        <is>
          <t>qaimg_6cd87cc4c72ea0f2</t>
        </is>
      </c>
      <c r="D11" s="3" t="inlineStr">
        <is>
          <t>MAJOR</t>
        </is>
      </c>
      <c r="E11" s="3" t="inlineStr">
        <is>
          <t>image_observation/alt_effective</t>
        </is>
      </c>
      <c r="F11" s="3" t="inlineStr">
        <is>
          <t>Additional lifestyle, feature or product detail image showing personalized exploding soccer ball comforter with Jackson and number 15. | Additional product mockup of Exploding Soccer Ball Comforter</t>
        </is>
      </c>
      <c r="G11" s="3" t="inlineStr">
        <is>
          <t>Comforter size-dimension chart for Twin, Full, Queen and King.</t>
        </is>
      </c>
      <c r="H11" s="3" t="inlineStr">
        <is>
          <t>Câu theo mẫu vị trí không phản ánh đúng ảnh gốc.</t>
        </is>
      </c>
      <c r="I11" s="3" t="inlineStr">
        <is>
          <t>Comforter size-dimension chart for Twin, Full, Queen and King.</t>
        </is>
      </c>
      <c r="J11" s="3" t="inlineStr">
        <is>
          <t>seo_runs\jeminise.com\20260906_234129\evidence\images\53_custom-exploding-soccer-ball-comforter-set-machine-washable-a10\image_07_47833417318599.jpg; seo_runs\jeminise.com\20260906_234129\evidence\contact_sheets\53_custom-exploding-soccer-ball-comforter-set-machine-washable-a10.jpg; https://jeminise.com/products/custom-exploding-soccer-ball-comforter-set-machine-washable-a10; https://cdn.shopify.com/s/files/1/0792/5098/1063/files/d761ea3ae4f4c0b26b7473177b21a616c5199552823ec637c64fe7b0d6b0f12f.jpg?v=1786610945</t>
        </is>
      </c>
      <c r="K11" s="3" t="inlineStr">
        <is>
          <t>Mở ảnh gốc và xác nhận alt mới mô tả đúng ảnh.</t>
        </is>
      </c>
    </row>
    <row r="12" ht="84" customHeight="1">
      <c r="A12" s="2" t="inlineStr">
        <is>
          <t>R2-ISS-053-IMG-08</t>
        </is>
      </c>
      <c r="B12" s="2" t="inlineStr">
        <is>
          <t>jeminise.com+custom-exploding-soccer-ball-comforter-set-machine-washable-a10</t>
        </is>
      </c>
      <c r="C12" s="2" t="inlineStr">
        <is>
          <t>qaimg_6e17b559f552a762</t>
        </is>
      </c>
      <c r="D12" s="2" t="inlineStr">
        <is>
          <t>MAJOR</t>
        </is>
      </c>
      <c r="E12" s="2" t="inlineStr">
        <is>
          <t>image_observation/alt_effective</t>
        </is>
      </c>
      <c r="F12" s="2" t="inlineStr">
        <is>
          <t>Additional lifestyle, feature or product detail image showing personalized exploding soccer ball comforter with Jackson and number 15. | Lifestyle use image for Exploding Soccer Ball Comforter</t>
        </is>
      </c>
      <c r="G12" s="2" t="inlineStr">
        <is>
          <t>Easy-care panel marked wrinkle-free, stain-proof, anti-pilling and wash fade resistant.</t>
        </is>
      </c>
      <c r="H12" s="2" t="inlineStr">
        <is>
          <t>Câu theo mẫu vị trí không phản ánh đúng ảnh gốc.</t>
        </is>
      </c>
      <c r="I12" s="2" t="inlineStr">
        <is>
          <t>Easy-care panel marked wrinkle-free, stain-proof, anti-pilling and wash fade resistant.</t>
        </is>
      </c>
      <c r="J12" s="2" t="inlineStr">
        <is>
          <t>seo_runs\jeminise.com\20260906_234129\evidence\images\53_custom-exploding-soccer-ball-comforter-set-machine-washable-a10\image_08_47833417351367.jpg; seo_runs\jeminise.com\20260906_234129\evidence\contact_sheets\53_custom-exploding-soccer-ball-comforter-set-machine-washable-a10.jpg; https://jeminise.com/products/custom-exploding-soccer-ball-comforter-set-machine-washable-a10; https://cdn.shopify.com/s/files/1/0792/5098/1063/files/dd6b2f75d5d331064be3e2ace151f6872c3f1f67675d8c1c7fa00f207341180b.jpg?v=1786610945</t>
        </is>
      </c>
      <c r="K12" s="2" t="inlineStr">
        <is>
          <t>Mở ảnh gốc và xác nhận alt mới mô tả đúng ảnh.</t>
        </is>
      </c>
    </row>
    <row r="13" ht="84" customHeight="1">
      <c r="A13" s="3" t="inlineStr">
        <is>
          <t>R2-ISS-054-IMG-02</t>
        </is>
      </c>
      <c r="B13" s="3" t="inlineStr">
        <is>
          <t>jeminise.com+custom-fiery-soccer-ball-custom-name-comforter-set-machin-design-5</t>
        </is>
      </c>
      <c r="C13" s="3" t="inlineStr">
        <is>
          <t>qaimg_faec2136f8f01f05</t>
        </is>
      </c>
      <c r="D13" s="3" t="inlineStr">
        <is>
          <t>MAJOR</t>
        </is>
      </c>
      <c r="E13" s="3" t="inlineStr">
        <is>
          <t>image_observation/alt_effective</t>
        </is>
      </c>
      <c r="F13" s="3" t="inlineStr">
        <is>
          <t>Flat, feature or secondary mockup showing personalized fiery soccer ball comforter with Kenzo. | Secondary mockup of Fiery Soccer Ball Comforter Set</t>
        </is>
      </c>
      <c r="G13" s="3" t="inlineStr">
        <is>
          <t>Microfiber, 3D-print and soft/lightweight feature panel for the KENZO bedding.</t>
        </is>
      </c>
      <c r="H13" s="3" t="inlineStr">
        <is>
          <t>Câu theo mẫu vị trí không phản ánh đúng ảnh gốc.</t>
        </is>
      </c>
      <c r="I13" s="3" t="inlineStr">
        <is>
          <t>Microfiber, 3D-print and soft/lightweight feature panel for the KENZO bedding.</t>
        </is>
      </c>
      <c r="J13" s="3" t="inlineStr">
        <is>
          <t>seo_runs\jeminise.com\20260906_234129\evidence\images\54_custom-fiery-soccer-ball-custom-name-comforter-set-machin-design-5\image_02_47833444942023.jpg; seo_runs\jeminise.com\20260906_234129\evidence\contact_sheets\54_custom-fiery-soccer-ball-custom-name-comforter-set-machin-design-5.jpg; https://jeminise.com/products/custom-fiery-soccer-ball-custom-name-comforter-set-machin-design-5; https://cdn.shopify.com/s/files/1/0792/5098/1063/files/15783a9b72566ee839de08d817d4c4ae542366426a617c752a2a2ec56795a839.jpg?v=1786611050</t>
        </is>
      </c>
      <c r="K13" s="3" t="inlineStr">
        <is>
          <t>Mở ảnh gốc và xác nhận alt mới mô tả đúng ảnh.</t>
        </is>
      </c>
    </row>
    <row r="14" ht="84" customHeight="1">
      <c r="A14" s="2" t="inlineStr">
        <is>
          <t>R2-ISS-054-IMG-05</t>
        </is>
      </c>
      <c r="B14" s="2" t="inlineStr">
        <is>
          <t>jeminise.com+custom-fiery-soccer-ball-custom-name-comforter-set-machin-design-5</t>
        </is>
      </c>
      <c r="C14" s="2" t="inlineStr">
        <is>
          <t>qaimg_47cf37d3a0519737</t>
        </is>
      </c>
      <c r="D14" s="2" t="inlineStr">
        <is>
          <t>MAJOR</t>
        </is>
      </c>
      <c r="E14" s="2" t="inlineStr">
        <is>
          <t>image_observation/alt_effective</t>
        </is>
      </c>
      <c r="F14" s="2" t="inlineStr">
        <is>
          <t>Material, wash or comfort feature image for personalized fiery soccer ball comforter with Kenzo. | Care or material information for Fiery Soccer Ball Comforter Set</t>
        </is>
      </c>
      <c r="G14" s="2" t="inlineStr">
        <is>
          <t>KENZO bedding feature panel marked soft, lightweight, durable and breathable.</t>
        </is>
      </c>
      <c r="H14" s="2" t="inlineStr">
        <is>
          <t>Câu theo mẫu vị trí không phản ánh đúng ảnh gốc.</t>
        </is>
      </c>
      <c r="I14" s="2" t="inlineStr">
        <is>
          <t>KENZO bedding feature panel marked soft, lightweight, durable and breathable.</t>
        </is>
      </c>
      <c r="J14" s="2" t="inlineStr">
        <is>
          <t>seo_runs\jeminise.com\20260906_234129\evidence\images\54_custom-fiery-soccer-ball-custom-name-comforter-set-machin-design-5\image_05_47833445040327.jpg; seo_runs\jeminise.com\20260906_234129\evidence\contact_sheets\54_custom-fiery-soccer-ball-custom-name-comforter-set-machin-design-5.jpg; https://jeminise.com/products/custom-fiery-soccer-ball-custom-name-comforter-set-machin-design-5; https://cdn.shopify.com/s/files/1/0792/5098/1063/files/599e8755b60848885d33718bf5b398d605840c8d487d71e87c022c5564dfaed5.jpg?v=1786611050</t>
        </is>
      </c>
      <c r="K14" s="2" t="inlineStr">
        <is>
          <t>Mở ảnh gốc và xác nhận alt mới mô tả đúng ảnh.</t>
        </is>
      </c>
    </row>
    <row r="15" ht="84" customHeight="1">
      <c r="A15" s="3" t="inlineStr">
        <is>
          <t>R2-ISS-054-IMG-06</t>
        </is>
      </c>
      <c r="B15" s="3" t="inlineStr">
        <is>
          <t>jeminise.com+custom-fiery-soccer-ball-custom-name-comforter-set-machin-design-5</t>
        </is>
      </c>
      <c r="C15" s="3" t="inlineStr">
        <is>
          <t>qaimg_1b352777858aab78</t>
        </is>
      </c>
      <c r="D15" s="3" t="inlineStr">
        <is>
          <t>MAJOR</t>
        </is>
      </c>
      <c r="E15" s="3" t="inlineStr">
        <is>
          <t>image_observation/alt_effective</t>
        </is>
      </c>
      <c r="F15" s="3" t="inlineStr">
        <is>
          <t>Additional size guide, feature panel or mockup for personalized fiery soccer ball comforter with Kenzo. | Feature or use guide for Fiery Soccer Ball Comforter Set</t>
        </is>
      </c>
      <c r="G15" s="3" t="inlineStr">
        <is>
          <t>Alternate bedroom mockup of the KENZO flaming soccer-ball bedding.</t>
        </is>
      </c>
      <c r="H15" s="3" t="inlineStr">
        <is>
          <t>Câu theo mẫu vị trí không phản ánh đúng ảnh gốc.</t>
        </is>
      </c>
      <c r="I15" s="3" t="inlineStr">
        <is>
          <t>Alternate bedroom mockup of the KENZO flaming soccer-ball bedding.</t>
        </is>
      </c>
      <c r="J15" s="3" t="inlineStr">
        <is>
          <t>seo_runs\jeminise.com\20260906_234129\evidence\images\54_custom-fiery-soccer-ball-custom-name-comforter-set-machin-design-5\image_06_47833445073095.jpg; seo_runs\jeminise.com\20260906_234129\evidence\contact_sheets\54_custom-fiery-soccer-ball-custom-name-comforter-set-machin-design-5.jpg; https://jeminise.com/products/custom-fiery-soccer-ball-custom-name-comforter-set-machin-design-5; https://cdn.shopify.com/s/files/1/0792/5098/1063/files/4c5cc9e2c66f88cdde3b7e6fd0952987f1dca5ac52876a538b6310d316350bf2.jpg?v=1786611050</t>
        </is>
      </c>
      <c r="K15" s="3" t="inlineStr">
        <is>
          <t>Mở ảnh gốc và xác nhận alt mới mô tả đúng ảnh.</t>
        </is>
      </c>
    </row>
    <row r="16" ht="84" customHeight="1">
      <c r="A16" s="2" t="inlineStr">
        <is>
          <t>R2-ISS-054-IMG-07</t>
        </is>
      </c>
      <c r="B16" s="2" t="inlineStr">
        <is>
          <t>jeminise.com+custom-fiery-soccer-ball-custom-name-comforter-set-machin-design-5</t>
        </is>
      </c>
      <c r="C16" s="2" t="inlineStr">
        <is>
          <t>qaimg_e1e00bd62ea3adc2</t>
        </is>
      </c>
      <c r="D16" s="2" t="inlineStr">
        <is>
          <t>MAJOR</t>
        </is>
      </c>
      <c r="E16" s="2" t="inlineStr">
        <is>
          <t>image_observation/alt_effective</t>
        </is>
      </c>
      <c r="F16" s="2" t="inlineStr">
        <is>
          <t>Additional lifestyle, feature or product detail image showing personalized fiery soccer ball comforter with Kenzo. | Additional product mockup of Fiery Soccer Ball Comforter Set</t>
        </is>
      </c>
      <c r="G16" s="2" t="inlineStr">
        <is>
          <t>Easy-care panel marked wrinkle-free, stain-proof, anti-pilling and wash fade resistant.</t>
        </is>
      </c>
      <c r="H16" s="2" t="inlineStr">
        <is>
          <t>Câu theo mẫu vị trí không phản ánh đúng ảnh gốc.</t>
        </is>
      </c>
      <c r="I16" s="2" t="inlineStr">
        <is>
          <t>Easy-care panel marked wrinkle-free, stain-proof, anti-pilling and wash fade resistant.</t>
        </is>
      </c>
      <c r="J16" s="2" t="inlineStr">
        <is>
          <t>seo_runs\jeminise.com\20260906_234129\evidence\images\54_custom-fiery-soccer-ball-custom-name-comforter-set-machin-design-5\image_07_47833445105863.jpg; seo_runs\jeminise.com\20260906_234129\evidence\contact_sheets\54_custom-fiery-soccer-ball-custom-name-comforter-set-machin-design-5.jpg; https://jeminise.com/products/custom-fiery-soccer-ball-custom-name-comforter-set-machin-design-5; https://cdn.shopify.com/s/files/1/0792/5098/1063/files/dd6b2f75d5d331064be3e2ace151f6872c3f1f67675d8c1c7fa00f207341180b_bff19a79-92d6-4271-a1ed-900a991b0a6f.jpg?v=1786611050</t>
        </is>
      </c>
      <c r="K16" s="2" t="inlineStr">
        <is>
          <t>Mở ảnh gốc và xác nhận alt mới mô tả đúng ảnh.</t>
        </is>
      </c>
    </row>
    <row r="17" ht="84" customHeight="1">
      <c r="A17" s="3" t="inlineStr">
        <is>
          <t>R2-ISS-055-IMG-02</t>
        </is>
      </c>
      <c r="B17" s="3" t="inlineStr">
        <is>
          <t>jeminise.com+custom-flaming-soccer-ball-with-custom-name-comforter-set-a12</t>
        </is>
      </c>
      <c r="C17" s="3" t="inlineStr">
        <is>
          <t>qaimg_64d45241f68222f9</t>
        </is>
      </c>
      <c r="D17" s="3" t="inlineStr">
        <is>
          <t>MAJOR</t>
        </is>
      </c>
      <c r="E17" s="3" t="inlineStr">
        <is>
          <t>image_observation/alt_effective</t>
        </is>
      </c>
      <c r="F17" s="3" t="inlineStr">
        <is>
          <t>Flat, feature or secondary mockup showing personalized flaming soccer ball comforter with Michael and number 07. | Secondary mockup of Flaming Soccer Ball Comforter</t>
        </is>
      </c>
      <c r="G17" s="3" t="inlineStr">
        <is>
          <t>Microfiber, 3D-print and soft/lightweight feature panel for the Michael 07 bedding.</t>
        </is>
      </c>
      <c r="H17" s="3" t="inlineStr">
        <is>
          <t>Câu theo mẫu vị trí không phản ánh đúng ảnh gốc.</t>
        </is>
      </c>
      <c r="I17" s="3" t="inlineStr">
        <is>
          <t>Microfiber, 3D-print and soft/lightweight feature panel for the Michael 07 bedding.</t>
        </is>
      </c>
      <c r="J17" s="3" t="inlineStr">
        <is>
          <t>seo_runs\jeminise.com\20260906_234129\evidence\images\55_custom-flaming-soccer-ball-with-custom-name-comforter-set-a12\image_02_47833434882247.jpg; seo_runs\jeminise.com\20260906_234129\evidence\contact_sheets\55_custom-flaming-soccer-ball-with-custom-name-comforter-set-a12.jpg; https://jeminise.com/products/custom-flaming-soccer-ball-with-custom-name-comforter-set-a12; https://cdn.shopify.com/s/files/1/0792/5098/1063/files/1eb56ecd83f16a1b486faa5f948f85e2ce8be491db0b7164e9a4a95a6443f9fa.jpg?v=1786611006</t>
        </is>
      </c>
      <c r="K17" s="3" t="inlineStr">
        <is>
          <t>Mở ảnh gốc và xác nhận alt mới mô tả đúng ảnh.</t>
        </is>
      </c>
    </row>
    <row r="18" ht="84" customHeight="1">
      <c r="A18" s="2" t="inlineStr">
        <is>
          <t>R2-ISS-055-IMG-05</t>
        </is>
      </c>
      <c r="B18" s="2" t="inlineStr">
        <is>
          <t>jeminise.com+custom-flaming-soccer-ball-with-custom-name-comforter-set-a12</t>
        </is>
      </c>
      <c r="C18" s="2" t="inlineStr">
        <is>
          <t>qaimg_295004ea40097ce9</t>
        </is>
      </c>
      <c r="D18" s="2" t="inlineStr">
        <is>
          <t>MAJOR</t>
        </is>
      </c>
      <c r="E18" s="2" t="inlineStr">
        <is>
          <t>image_observation/alt_effective</t>
        </is>
      </c>
      <c r="F18" s="2" t="inlineStr">
        <is>
          <t>Material, wash or comfort feature image for personalized flaming soccer ball comforter with Michael and number 07. | Care or material information for Flaming Soccer Ball Comforter</t>
        </is>
      </c>
      <c r="G18" s="2" t="inlineStr">
        <is>
          <t>Duvet-cover versus comforter product-type comparison.</t>
        </is>
      </c>
      <c r="H18" s="2" t="inlineStr">
        <is>
          <t>Câu theo mẫu vị trí không phản ánh đúng ảnh gốc.</t>
        </is>
      </c>
      <c r="I18" s="2" t="inlineStr">
        <is>
          <t>Duvet-cover versus comforter product-type comparison.</t>
        </is>
      </c>
      <c r="J18" s="2" t="inlineStr">
        <is>
          <t>seo_runs\jeminise.com\20260906_234129\evidence\images\55_custom-flaming-soccer-ball-with-custom-name-comforter-set-a12\image_05_47833434980551.jpg; seo_runs\jeminise.com\20260906_234129\evidence\contact_sheets\55_custom-flaming-soccer-ball-with-custom-name-comforter-set-a12.jpg; https://jeminise.com/products/custom-flaming-soccer-ball-with-custom-name-comforter-set-a12; https://cdn.shopify.com/s/files/1/0792/5098/1063/files/0b1d1e19cab6d757366a36700f895ecca060303e705a8aece2f5fa486b6770da_82f2a957-1f09-4c71-8d62-717fadde4fa3.jpg?v=1786611006</t>
        </is>
      </c>
      <c r="K18" s="2" t="inlineStr">
        <is>
          <t>Mở ảnh gốc và xác nhận alt mới mô tả đúng ảnh.</t>
        </is>
      </c>
    </row>
    <row r="19" ht="84" customHeight="1">
      <c r="A19" s="3" t="inlineStr">
        <is>
          <t>R2-ISS-055-IMG-06</t>
        </is>
      </c>
      <c r="B19" s="3" t="inlineStr">
        <is>
          <t>jeminise.com+custom-flaming-soccer-ball-with-custom-name-comforter-set-a12</t>
        </is>
      </c>
      <c r="C19" s="3" t="inlineStr">
        <is>
          <t>qaimg_3c1eeda1bf21bbe8</t>
        </is>
      </c>
      <c r="D19" s="3" t="inlineStr">
        <is>
          <t>MAJOR</t>
        </is>
      </c>
      <c r="E19" s="3" t="inlineStr">
        <is>
          <t>image_observation/alt_effective</t>
        </is>
      </c>
      <c r="F19" s="3" t="inlineStr">
        <is>
          <t>Additional size guide, feature panel or mockup for personalized flaming soccer ball comforter with Michael and number 07. | Feature or use guide for Flaming Soccer Ball Comforter</t>
        </is>
      </c>
      <c r="G19" s="3" t="inlineStr">
        <is>
          <t>Close-up of the printed red fabric and white underside.</t>
        </is>
      </c>
      <c r="H19" s="3" t="inlineStr">
        <is>
          <t>Câu theo mẫu vị trí không phản ánh đúng ảnh gốc.</t>
        </is>
      </c>
      <c r="I19" s="3" t="inlineStr">
        <is>
          <t>Close-up of the printed red fabric and white underside.</t>
        </is>
      </c>
      <c r="J19" s="3" t="inlineStr">
        <is>
          <t>seo_runs\jeminise.com\20260906_234129\evidence\images\55_custom-flaming-soccer-ball-with-custom-name-comforter-set-a12\image_06_47833435013319.jpg; seo_runs\jeminise.com\20260906_234129\evidence\contact_sheets\55_custom-flaming-soccer-ball-with-custom-name-comforter-set-a12.jpg; https://jeminise.com/products/custom-flaming-soccer-ball-with-custom-name-comforter-set-a12; https://cdn.shopify.com/s/files/1/0792/5098/1063/files/d69c64abffcb16656c216f686764cc115bec8c445623c065690d8b65417d6aa1.jpg?v=1786611006</t>
        </is>
      </c>
      <c r="K19" s="3" t="inlineStr">
        <is>
          <t>Mở ảnh gốc và xác nhận alt mới mô tả đúng ảnh.</t>
        </is>
      </c>
    </row>
    <row r="20" ht="84" customHeight="1">
      <c r="A20" s="2" t="inlineStr">
        <is>
          <t>R2-ISS-055-IMG-08</t>
        </is>
      </c>
      <c r="B20" s="2" t="inlineStr">
        <is>
          <t>jeminise.com+custom-flaming-soccer-ball-with-custom-name-comforter-set-a12</t>
        </is>
      </c>
      <c r="C20" s="2" t="inlineStr">
        <is>
          <t>qaimg_631608132f2a539e</t>
        </is>
      </c>
      <c r="D20" s="2" t="inlineStr">
        <is>
          <t>MAJOR</t>
        </is>
      </c>
      <c r="E20" s="2" t="inlineStr">
        <is>
          <t>image_observation/alt_effective</t>
        </is>
      </c>
      <c r="F20" s="2" t="inlineStr">
        <is>
          <t>Additional lifestyle, feature or product detail image showing personalized flaming soccer ball comforter with Michael and number 07. | Lifestyle use image for Flaming Soccer Ball Comforter</t>
        </is>
      </c>
      <c r="G20" s="2" t="inlineStr">
        <is>
          <t>Comforter size-dimension chart for Twin, Full, Queen and King.</t>
        </is>
      </c>
      <c r="H20" s="2" t="inlineStr">
        <is>
          <t>Câu theo mẫu vị trí không phản ánh đúng ảnh gốc.</t>
        </is>
      </c>
      <c r="I20" s="2" t="inlineStr">
        <is>
          <t>Comforter size-dimension chart for Twin, Full, Queen and King.</t>
        </is>
      </c>
      <c r="J20" s="2" t="inlineStr">
        <is>
          <t>seo_runs\jeminise.com\20260906_234129\evidence\images\55_custom-flaming-soccer-ball-with-custom-name-comforter-set-a12\image_08_47833435078855.jpg; seo_runs\jeminise.com\20260906_234129\evidence\contact_sheets\55_custom-flaming-soccer-ball-with-custom-name-comforter-set-a12.jpg; https://jeminise.com/products/custom-flaming-soccer-ball-with-custom-name-comforter-set-a12; https://cdn.shopify.com/s/files/1/0792/5098/1063/files/d761ea3ae4f4c0b26b7473177b21a616c5199552823ec637c64fe7b0d6b0f12f_efa2fec9-9120-468f-a978-bf436a0a95d3.jpg?v=1786611006</t>
        </is>
      </c>
      <c r="K20" s="2" t="inlineStr">
        <is>
          <t>Mở ảnh gốc và xác nhận alt mới mô tả đúng ảnh.</t>
        </is>
      </c>
    </row>
    <row r="21" ht="84" customHeight="1">
      <c r="A21" s="3" t="inlineStr">
        <is>
          <t>R2-ISS-056-IMG-02</t>
        </is>
      </c>
      <c r="B21" s="3" t="inlineStr">
        <is>
          <t>jeminise.com+custom-flaming-soccer-ball-with-name-comforter-set-machine-washable</t>
        </is>
      </c>
      <c r="C21" s="3" t="inlineStr">
        <is>
          <t>qaimg_d87a73f7437525d6</t>
        </is>
      </c>
      <c r="D21" s="3" t="inlineStr">
        <is>
          <t>MAJOR</t>
        </is>
      </c>
      <c r="E21" s="3" t="inlineStr">
        <is>
          <t>image_observation/alt_effective</t>
        </is>
      </c>
      <c r="F21" s="3" t="inlineStr">
        <is>
          <t>Flat, feature or secondary mockup showing personalized flaming soccer ball comforter with fire-letter Michael. | Secondary mockup of Flaming Soccer Ball Comforter Set</t>
        </is>
      </c>
      <c r="G21" s="3" t="inlineStr">
        <is>
          <t>Microfiber, 3D-print and soft/lightweight feature panel for the MICHAEL 07 bedding.</t>
        </is>
      </c>
      <c r="H21" s="3" t="inlineStr">
        <is>
          <t>Câu theo mẫu vị trí không phản ánh đúng ảnh gốc.</t>
        </is>
      </c>
      <c r="I21" s="3" t="inlineStr">
        <is>
          <t>Microfiber, 3D-print and soft/lightweight feature panel for the MICHAEL 07 bedding.</t>
        </is>
      </c>
      <c r="J21" s="3" t="inlineStr">
        <is>
          <t>seo_runs\jeminise.com\20260906_234129\evidence\images\56_custom-flaming-soccer-ball-with-name-comforter-set-machine-washable\image_02_47833424036039.jpg; seo_runs\jeminise.com\20260906_234129\evidence\contact_sheets\56_custom-flaming-soccer-ball-with-name-comforter-set-machine-washable.jpg; https://jeminise.com/products/custom-flaming-soccer-ball-with-name-comforter-set-machine-washable; https://cdn.shopify.com/s/files/1/0792/5098/1063/files/3813f8c0ac9df910e2e4d8668cfc08c226f6d7481a56d5b1b4ea646d6c145d6d.jpg?v=1786610967</t>
        </is>
      </c>
      <c r="K21" s="3" t="inlineStr">
        <is>
          <t>Mở ảnh gốc và xác nhận alt mới mô tả đúng ảnh.</t>
        </is>
      </c>
    </row>
    <row r="22" ht="84" customHeight="1">
      <c r="A22" s="2" t="inlineStr">
        <is>
          <t>R2-ISS-056-IMG-03</t>
        </is>
      </c>
      <c r="B22" s="2" t="inlineStr">
        <is>
          <t>jeminise.com+custom-flaming-soccer-ball-with-name-comforter-set-machine-washable</t>
        </is>
      </c>
      <c r="C22" s="2" t="inlineStr">
        <is>
          <t>qaimg_38a54936bae0db86</t>
        </is>
      </c>
      <c r="D22" s="2" t="inlineStr">
        <is>
          <t>MAJOR</t>
        </is>
      </c>
      <c r="E22" s="2" t="inlineStr">
        <is>
          <t>image_observation/alt_effective</t>
        </is>
      </c>
      <c r="F22" s="2" t="inlineStr">
        <is>
          <t>Lifestyle or bedroom mockup connected to personalized flaming soccer ball comforter with fire-letter Michael. | Lifestyle or bedroom view of Flaming Soccer Ball Comforter Set</t>
        </is>
      </c>
      <c r="G22" s="2" t="inlineStr">
        <is>
          <t>Fluffy microfiber filling and printed fabric close-up.</t>
        </is>
      </c>
      <c r="H22" s="2" t="inlineStr">
        <is>
          <t>Câu theo mẫu vị trí không phản ánh đúng ảnh gốc.</t>
        </is>
      </c>
      <c r="I22" s="2" t="inlineStr">
        <is>
          <t>Fluffy microfiber filling and printed fabric close-up.</t>
        </is>
      </c>
      <c r="J22" s="2" t="inlineStr">
        <is>
          <t>seo_runs\jeminise.com\20260906_234129\evidence\images\56_custom-flaming-soccer-ball-with-name-comforter-set-machine-washable\image_03_47833424068807.jpg; seo_runs\jeminise.com\20260906_234129\evidence\contact_sheets\56_custom-flaming-soccer-ball-with-name-comforter-set-machine-washable.jpg; https://jeminise.com/products/custom-flaming-soccer-ball-with-name-comforter-set-machine-washable; https://cdn.shopify.com/s/files/1/0792/5098/1063/files/573e8ec1b6fd48c4923442e47065a390b1812505c68979c51558d0642f76a14e.jpg?v=1786610967</t>
        </is>
      </c>
      <c r="K22" s="2" t="inlineStr">
        <is>
          <t>Mở ảnh gốc và xác nhận alt mới mô tả đúng ảnh.</t>
        </is>
      </c>
    </row>
    <row r="23" ht="84" customHeight="1">
      <c r="A23" s="3" t="inlineStr">
        <is>
          <t>R2-ISS-056-IMG-05</t>
        </is>
      </c>
      <c r="B23" s="3" t="inlineStr">
        <is>
          <t>jeminise.com+custom-flaming-soccer-ball-with-name-comforter-set-machine-washable</t>
        </is>
      </c>
      <c r="C23" s="3" t="inlineStr">
        <is>
          <t>qaimg_7056747da94a7587</t>
        </is>
      </c>
      <c r="D23" s="3" t="inlineStr">
        <is>
          <t>MAJOR</t>
        </is>
      </c>
      <c r="E23" s="3" t="inlineStr">
        <is>
          <t>image_observation/alt_effective</t>
        </is>
      </c>
      <c r="F23" s="3" t="inlineStr">
        <is>
          <t>Material, wash or comfort feature image for personalized flaming soccer ball comforter with fire-letter Michael. | Care or material information for Flaming Soccer Ball Comforter Set</t>
        </is>
      </c>
      <c r="G23" s="3" t="inlineStr">
        <is>
          <t>Duvet-cover versus comforter product-type comparison.</t>
        </is>
      </c>
      <c r="H23" s="3" t="inlineStr">
        <is>
          <t>Câu theo mẫu vị trí không phản ánh đúng ảnh gốc.</t>
        </is>
      </c>
      <c r="I23" s="3" t="inlineStr">
        <is>
          <t>Duvet-cover versus comforter product-type comparison.</t>
        </is>
      </c>
      <c r="J23" s="3" t="inlineStr">
        <is>
          <t>seo_runs\jeminise.com\20260906_234129\evidence\images\56_custom-flaming-soccer-ball-with-name-comforter-set-machine-washable\image_05_47833424134343.jpg; seo_runs\jeminise.com\20260906_234129\evidence\contact_sheets\56_custom-flaming-soccer-ball-with-name-comforter-set-machine-washable.jpg; https://jeminise.com/products/custom-flaming-soccer-ball-with-name-comforter-set-machine-washable; https://cdn.shopify.com/s/files/1/0792/5098/1063/files/0b1d1e19cab6d757366a36700f895ecca060303e705a8aece2f5fa486b6770da_9e358fbb-be3f-43b4-a914-017455b6e226.jpg?v=1786610967</t>
        </is>
      </c>
      <c r="K23" s="3" t="inlineStr">
        <is>
          <t>Mở ảnh gốc và xác nhận alt mới mô tả đúng ảnh.</t>
        </is>
      </c>
    </row>
    <row r="24" ht="84" customHeight="1">
      <c r="A24" s="2" t="inlineStr">
        <is>
          <t>R2-ISS-056-IMG-06</t>
        </is>
      </c>
      <c r="B24" s="2" t="inlineStr">
        <is>
          <t>jeminise.com+custom-flaming-soccer-ball-with-name-comforter-set-machine-washable</t>
        </is>
      </c>
      <c r="C24" s="2" t="inlineStr">
        <is>
          <t>qaimg_67f94164dfcd4963</t>
        </is>
      </c>
      <c r="D24" s="2" t="inlineStr">
        <is>
          <t>MAJOR</t>
        </is>
      </c>
      <c r="E24" s="2" t="inlineStr">
        <is>
          <t>image_observation/alt_effective</t>
        </is>
      </c>
      <c r="F24" s="2" t="inlineStr">
        <is>
          <t>Additional size guide, feature panel or mockup for personalized flaming soccer ball comforter with fire-letter Michael. | Feature or use guide for Flaming Soccer Ball Comforter Set</t>
        </is>
      </c>
      <c r="G24" s="2" t="inlineStr">
        <is>
          <t>Alternate bedroom mockup of the MICHAEL 07 soccer bedding.</t>
        </is>
      </c>
      <c r="H24" s="2" t="inlineStr">
        <is>
          <t>Câu theo mẫu vị trí không phản ánh đúng ảnh gốc.</t>
        </is>
      </c>
      <c r="I24" s="2" t="inlineStr">
        <is>
          <t>Alternate bedroom mockup of the MICHAEL 07 soccer bedding.</t>
        </is>
      </c>
      <c r="J24" s="2" t="inlineStr">
        <is>
          <t>seo_runs\jeminise.com\20260906_234129\evidence\images\56_custom-flaming-soccer-ball-with-name-comforter-set-machine-washable\image_06_47833424167111.jpg; seo_runs\jeminise.com\20260906_234129\evidence\contact_sheets\56_custom-flaming-soccer-ball-with-name-comforter-set-machine-washable.jpg; https://jeminise.com/products/custom-flaming-soccer-ball-with-name-comforter-set-machine-washable; https://cdn.shopify.com/s/files/1/0792/5098/1063/files/a9822f49fb2659387abd7a7535d5701b1a37102e53679a13cd13a160a7bb04d3.jpg?v=1786610967</t>
        </is>
      </c>
      <c r="K24" s="2" t="inlineStr">
        <is>
          <t>Mở ảnh gốc và xác nhận alt mới mô tả đúng ảnh.</t>
        </is>
      </c>
    </row>
    <row r="25" ht="84" customHeight="1">
      <c r="A25" s="3" t="inlineStr">
        <is>
          <t>R2-ISS-056-IMG-07</t>
        </is>
      </c>
      <c r="B25" s="3" t="inlineStr">
        <is>
          <t>jeminise.com+custom-flaming-soccer-ball-with-name-comforter-set-machine-washable</t>
        </is>
      </c>
      <c r="C25" s="3" t="inlineStr">
        <is>
          <t>qaimg_13db2f34df2fd8db</t>
        </is>
      </c>
      <c r="D25" s="3" t="inlineStr">
        <is>
          <t>MAJOR</t>
        </is>
      </c>
      <c r="E25" s="3" t="inlineStr">
        <is>
          <t>image_observation/alt_effective</t>
        </is>
      </c>
      <c r="F25" s="3" t="inlineStr">
        <is>
          <t>Additional lifestyle, feature or product detail image showing personalized flaming soccer ball comforter with fire-letter Michael. | Additional product mockup of Flaming Soccer Ball Comforter Set</t>
        </is>
      </c>
      <c r="G25" s="3" t="inlineStr">
        <is>
          <t>Soccer bedding feature panel marked soft, lightweight, durable and breathable.</t>
        </is>
      </c>
      <c r="H25" s="3" t="inlineStr">
        <is>
          <t>Câu theo mẫu vị trí không phản ánh đúng ảnh gốc.</t>
        </is>
      </c>
      <c r="I25" s="3" t="inlineStr">
        <is>
          <t>Soccer bedding feature panel marked soft, lightweight, durable and breathable.</t>
        </is>
      </c>
      <c r="J25" s="3" t="inlineStr">
        <is>
          <t>seo_runs\jeminise.com\20260906_234129\evidence\images\56_custom-flaming-soccer-ball-with-name-comforter-set-machine-washable\image_07_47833424199879.jpg; seo_runs\jeminise.com\20260906_234129\evidence\contact_sheets\56_custom-flaming-soccer-ball-with-name-comforter-set-machine-washable.jpg; https://jeminise.com/products/custom-flaming-soccer-ball-with-name-comforter-set-machine-washable; https://cdn.shopify.com/s/files/1/0792/5098/1063/files/c12a629ab2e208881c638fd6b75264afcd9525d164bbc35fc0d0579fd4c4f854.jpg?v=1786610967</t>
        </is>
      </c>
      <c r="K25" s="3" t="inlineStr">
        <is>
          <t>Mở ảnh gốc và xác nhận alt mới mô tả đúng ảnh.</t>
        </is>
      </c>
    </row>
    <row r="26" ht="84" customHeight="1">
      <c r="A26" s="2" t="inlineStr">
        <is>
          <t>R2-ISS-056-IMG-08</t>
        </is>
      </c>
      <c r="B26" s="2" t="inlineStr">
        <is>
          <t>jeminise.com+custom-flaming-soccer-ball-with-name-comforter-set-machine-washable</t>
        </is>
      </c>
      <c r="C26" s="2" t="inlineStr">
        <is>
          <t>qaimg_5c9727cac9231bed</t>
        </is>
      </c>
      <c r="D26" s="2" t="inlineStr">
        <is>
          <t>MAJOR</t>
        </is>
      </c>
      <c r="E26" s="2" t="inlineStr">
        <is>
          <t>image_observation/alt_effective</t>
        </is>
      </c>
      <c r="F26" s="2" t="inlineStr">
        <is>
          <t>Additional lifestyle, feature or product detail image showing personalized flaming soccer ball comforter with fire-letter Michael. | Lifestyle use image for Flaming Soccer Ball Comforter Set</t>
        </is>
      </c>
      <c r="G26" s="2" t="inlineStr">
        <is>
          <t>Comforter size-dimension chart for Twin, Full, Queen and King.</t>
        </is>
      </c>
      <c r="H26" s="2" t="inlineStr">
        <is>
          <t>Câu theo mẫu vị trí không phản ánh đúng ảnh gốc.</t>
        </is>
      </c>
      <c r="I26" s="2" t="inlineStr">
        <is>
          <t>Comforter size-dimension chart for Twin, Full, Queen and King.</t>
        </is>
      </c>
      <c r="J26" s="2" t="inlineStr">
        <is>
          <t>seo_runs\jeminise.com\20260906_234129\evidence\images\56_custom-flaming-soccer-ball-with-name-comforter-set-machine-washable\image_08_47833424232647.jpg; seo_runs\jeminise.com\20260906_234129\evidence\contact_sheets\56_custom-flaming-soccer-ball-with-name-comforter-set-machine-washable.jpg; https://jeminise.com/products/custom-flaming-soccer-ball-with-name-comforter-set-machine-washable; https://cdn.shopify.com/s/files/1/0792/5098/1063/files/d761ea3ae4f4c0b26b7473177b21a616c5199552823ec637c64fe7b0d6b0f12f_e0f1a0f2-8f9d-46e6-8b76-93ec1ddb8090.jpg?v=1786610967</t>
        </is>
      </c>
      <c r="K26" s="2" t="inlineStr">
        <is>
          <t>Mở ảnh gốc và xác nhận alt mới mô tả đúng ảnh.</t>
        </is>
      </c>
    </row>
    <row r="27" ht="84" customHeight="1">
      <c r="A27" s="3" t="inlineStr">
        <is>
          <t>R2-ISS-058-IMG-03</t>
        </is>
      </c>
      <c r="B27" s="3" t="inlineStr">
        <is>
          <t>jeminise.com+custom-floral-butterfly-inspirational-blanket-machine-washable-d3</t>
        </is>
      </c>
      <c r="C27" s="3" t="inlineStr">
        <is>
          <t>qaimg_bf2fb8881b7dd081</t>
        </is>
      </c>
      <c r="D27" s="3" t="inlineStr">
        <is>
          <t>MAJOR</t>
        </is>
      </c>
      <c r="E27" s="3" t="inlineStr">
        <is>
          <t>image_observation/alt_effective</t>
        </is>
      </c>
      <c r="F27" s="3" t="inlineStr">
        <is>
          <t>Lifestyle or bedroom mockup connected to personalized you are Bible verse blanket for Sara. | Lifestyle or bedroom view of Floral Bible Verse Blanket</t>
        </is>
      </c>
      <c r="G27" s="3" t="inlineStr">
        <is>
          <t>60-inch blanket use and personalization diagram for sofa, office, bed and travel.</t>
        </is>
      </c>
      <c r="H27" s="3" t="inlineStr">
        <is>
          <t>Câu theo mẫu vị trí không phản ánh đúng ảnh gốc.</t>
        </is>
      </c>
      <c r="I27" s="3" t="inlineStr">
        <is>
          <t>60-inch blanket use and personalization diagram for sofa, office, bed and travel.</t>
        </is>
      </c>
      <c r="J27" s="3" t="inlineStr">
        <is>
          <t>seo_runs\jeminise.com\20260906_234129\evidence\images\58_custom-floral-butterfly-inspirational-blanket-machine-washable-d3\image_03_47830460563655.jpg; seo_runs\jeminise.com\20260906_234129\evidence\contact_sheets\58_custom-floral-butterfly-inspirational-blanket-machine-washable-d3.jpg; https://jeminise.com/products/custom-floral-butterfly-inspirational-blanket-machine-washable-d3; https://cdn.shopify.com/s/files/1/0792/5098/1063/files/703198759b702616a3500a475ce654b547c5fed941e5f8dadfccb45437948bef.jpg?v=1786596316</t>
        </is>
      </c>
      <c r="K27" s="3" t="inlineStr">
        <is>
          <t>Mở ảnh gốc và xác nhận alt mới mô tả đúng ảnh.</t>
        </is>
      </c>
    </row>
    <row r="28" ht="84" customHeight="1">
      <c r="A28" s="2" t="inlineStr">
        <is>
          <t>R2-ISS-058-IMG-06</t>
        </is>
      </c>
      <c r="B28" s="2" t="inlineStr">
        <is>
          <t>jeminise.com+custom-floral-butterfly-inspirational-blanket-machine-washable-d3</t>
        </is>
      </c>
      <c r="C28" s="2" t="inlineStr">
        <is>
          <t>qaimg_58a8d1c5c7c92e7b</t>
        </is>
      </c>
      <c r="D28" s="2" t="inlineStr">
        <is>
          <t>MAJOR</t>
        </is>
      </c>
      <c r="E28" s="2" t="inlineStr">
        <is>
          <t>image_observation/alt_effective</t>
        </is>
      </c>
      <c r="F28" s="2" t="inlineStr">
        <is>
          <t>Additional size guide, feature panel or mockup for personalized you are Bible verse blanket for Sara. | Feature or use guide for Floral Bible Verse Blanket</t>
        </is>
      </c>
      <c r="G28" s="2" t="inlineStr">
        <is>
          <t>Bed-and-reading lifestyle scene with the SARA blanket and a dog.</t>
        </is>
      </c>
      <c r="H28" s="2" t="inlineStr">
        <is>
          <t>Câu theo mẫu vị trí không phản ánh đúng ảnh gốc.</t>
        </is>
      </c>
      <c r="I28" s="2" t="inlineStr">
        <is>
          <t>Bed-and-reading lifestyle scene with the SARA blanket and a dog.</t>
        </is>
      </c>
      <c r="J28" s="2" t="inlineStr">
        <is>
          <t>seo_runs\jeminise.com\20260906_234129\evidence\images\58_custom-floral-butterfly-inspirational-blanket-machine-washable-d3\image_06_47830460661959.jpg; seo_runs\jeminise.com\20260906_234129\evidence\contact_sheets\58_custom-floral-butterfly-inspirational-blanket-machine-washable-d3.jpg; https://jeminise.com/products/custom-floral-butterfly-inspirational-blanket-machine-washable-d3; https://cdn.shopify.com/s/files/1/0792/5098/1063/files/2075703484a2851c9831b41fa7c93b7f2c1a14581fdd42005886499bead2d034.jpg?v=1786596316</t>
        </is>
      </c>
      <c r="K28" s="2" t="inlineStr">
        <is>
          <t>Mở ảnh gốc và xác nhận alt mới mô tả đúng ảnh.</t>
        </is>
      </c>
    </row>
    <row r="29" ht="84" customHeight="1">
      <c r="A29" s="3" t="inlineStr">
        <is>
          <t>R2-ISS-059-IMG-04</t>
        </is>
      </c>
      <c r="B29" s="3" t="inlineStr">
        <is>
          <t>jeminise.com+custom-floral-cross-bible-verse-blanket-machine-washable-d13</t>
        </is>
      </c>
      <c r="C29" s="3" t="inlineStr">
        <is>
          <t>qaimg_fb9658e36e8e3364</t>
        </is>
      </c>
      <c r="D29" s="3" t="inlineStr">
        <is>
          <t>MAJOR</t>
        </is>
      </c>
      <c r="E29" s="3" t="inlineStr">
        <is>
          <t>image_observation/alt_effective</t>
        </is>
      </c>
      <c r="F29" s="3" t="inlineStr">
        <is>
          <t>Size, bedding type or detail information for personalized purple floral cross Bible verse blanket for Isabella. | Size or product detail image for Purple Floral Cross Bible Verse Blanket</t>
        </is>
      </c>
      <c r="G29" s="3" t="inlineStr">
        <is>
          <t>Close reading lifestyle scene with the purple floral-cross blanket.</t>
        </is>
      </c>
      <c r="H29" s="3" t="inlineStr">
        <is>
          <t>Câu theo mẫu vị trí không phản ánh đúng ảnh gốc.</t>
        </is>
      </c>
      <c r="I29" s="3" t="inlineStr">
        <is>
          <t>Close reading lifestyle scene with the purple floral-cross blanket.</t>
        </is>
      </c>
      <c r="J29" s="3" t="inlineStr">
        <is>
          <t>seo_runs\jeminise.com\20260906_234129\evidence\images\59_custom-floral-cross-bible-verse-blanket-machine-washable-d13\image_04_47830464233671.jpg; seo_runs\jeminise.com\20260906_234129\evidence\contact_sheets\59_custom-floral-cross-bible-verse-blanket-machine-washable-d13.jpg; https://jeminise.com/products/custom-floral-cross-bible-verse-blanket-machine-washable-d13; https://cdn.shopify.com/s/files/1/0792/5098/1063/files/9164e46c99988932b76d547d0088a1a3f0fb74fffaae86bf7b2bb4d0885e2bce.jpg?v=1786596333</t>
        </is>
      </c>
      <c r="K29" s="3" t="inlineStr">
        <is>
          <t>Mở ảnh gốc và xác nhận alt mới mô tả đúng ảnh.</t>
        </is>
      </c>
    </row>
    <row r="30" ht="84" customHeight="1">
      <c r="A30" s="2" t="inlineStr">
        <is>
          <t>R2-ISS-059-IMG-05</t>
        </is>
      </c>
      <c r="B30" s="2" t="inlineStr">
        <is>
          <t>jeminise.com+custom-floral-cross-bible-verse-blanket-machine-washable-d13</t>
        </is>
      </c>
      <c r="C30" s="2" t="inlineStr">
        <is>
          <t>qaimg_4271e00c1591a763</t>
        </is>
      </c>
      <c r="D30" s="2" t="inlineStr">
        <is>
          <t>MAJOR</t>
        </is>
      </c>
      <c r="E30" s="2" t="inlineStr">
        <is>
          <t>image_observation/alt_effective</t>
        </is>
      </c>
      <c r="F30" s="2" t="inlineStr">
        <is>
          <t>Material, wash or comfort feature image for personalized purple floral cross Bible verse blanket for Isabella. | Care or material information for Purple Floral Cross Bible Verse Blanket</t>
        </is>
      </c>
      <c r="G30" s="2" t="inlineStr">
        <is>
          <t>Bed-and-reading lifestyle scene with the purple floral-cross blanket and a dog.</t>
        </is>
      </c>
      <c r="H30" s="2" t="inlineStr">
        <is>
          <t>Câu theo mẫu vị trí không phản ánh đúng ảnh gốc.</t>
        </is>
      </c>
      <c r="I30" s="2" t="inlineStr">
        <is>
          <t>Bed-and-reading lifestyle scene with the purple floral-cross blanket and a dog.</t>
        </is>
      </c>
      <c r="J30" s="2" t="inlineStr">
        <is>
          <t>seo_runs\jeminise.com\20260906_234129\evidence\images\59_custom-floral-cross-bible-verse-blanket-machine-washable-d13\image_05_47830464266439.jpg; seo_runs\jeminise.com\20260906_234129\evidence\contact_sheets\59_custom-floral-cross-bible-verse-blanket-machine-washable-d13.jpg; https://jeminise.com/products/custom-floral-cross-bible-verse-blanket-machine-washable-d13; https://cdn.shopify.com/s/files/1/0792/5098/1063/files/044df06284c8807b67c3965bc174cb1dd2c20798b334a995dde92efb0a4ac33d.jpg?v=1786596333</t>
        </is>
      </c>
      <c r="K30" s="2" t="inlineStr">
        <is>
          <t>Mở ảnh gốc và xác nhận alt mới mô tả đúng ảnh.</t>
        </is>
      </c>
    </row>
    <row r="31" ht="84" customHeight="1">
      <c r="A31" s="3" t="inlineStr">
        <is>
          <t>R2-ISS-059-IMG-07</t>
        </is>
      </c>
      <c r="B31" s="3" t="inlineStr">
        <is>
          <t>jeminise.com+custom-floral-cross-bible-verse-blanket-machine-washable-d13</t>
        </is>
      </c>
      <c r="C31" s="3" t="inlineStr">
        <is>
          <t>qaimg_39955161de7847f2</t>
        </is>
      </c>
      <c r="D31" s="3" t="inlineStr">
        <is>
          <t>MAJOR</t>
        </is>
      </c>
      <c r="E31" s="3" t="inlineStr">
        <is>
          <t>image_observation/alt_effective</t>
        </is>
      </c>
      <c r="F31" s="3" t="inlineStr">
        <is>
          <t>Additional lifestyle, feature or product detail image showing personalized purple floral cross Bible verse blanket for Isabella. | Additional product mockup of Purple Floral Cross Bible Verse Blanket</t>
        </is>
      </c>
      <c r="G31" s="3" t="inlineStr">
        <is>
          <t>Feature panel marked machine washable, soft and warm, dense stitching and 260 GSM fleece.</t>
        </is>
      </c>
      <c r="H31" s="3" t="inlineStr">
        <is>
          <t>Câu theo mẫu vị trí không phản ánh đúng ảnh gốc.</t>
        </is>
      </c>
      <c r="I31" s="3" t="inlineStr">
        <is>
          <t>Feature panel marked machine washable, soft and warm, dense stitching and 260 GSM fleece.</t>
        </is>
      </c>
      <c r="J31" s="3" t="inlineStr">
        <is>
          <t>seo_runs\jeminise.com\20260906_234129\evidence\images\59_custom-floral-cross-bible-verse-blanket-machine-washable-d13\image_07_47830464331975.jpg; seo_runs\jeminise.com\20260906_234129\evidence\contact_sheets\59_custom-floral-cross-bible-verse-blanket-machine-washable-d13.jpg; https://jeminise.com/products/custom-floral-cross-bible-verse-blanket-machine-washable-d13; https://cdn.shopify.com/s/files/1/0792/5098/1063/files/76ac7df588ae004752bb4dbe5045fb3f03b5d78d355167e47889373a8d15384a.jpg?v=1786596333</t>
        </is>
      </c>
      <c r="K31" s="3" t="inlineStr">
        <is>
          <t>Mở ảnh gốc và xác nhận alt mới mô tả đúng ảnh.</t>
        </is>
      </c>
    </row>
    <row r="32" ht="84" customHeight="1">
      <c r="A32" s="2" t="inlineStr">
        <is>
          <t>R2-ISS-059-IMG-08</t>
        </is>
      </c>
      <c r="B32" s="2" t="inlineStr">
        <is>
          <t>jeminise.com+custom-floral-cross-bible-verse-blanket-machine-washable-d13</t>
        </is>
      </c>
      <c r="C32" s="2" t="inlineStr">
        <is>
          <t>qaimg_668632dd07652c04</t>
        </is>
      </c>
      <c r="D32" s="2" t="inlineStr">
        <is>
          <t>MAJOR</t>
        </is>
      </c>
      <c r="E32" s="2" t="inlineStr">
        <is>
          <t>image_observation/alt_effective</t>
        </is>
      </c>
      <c r="F32" s="2" t="inlineStr">
        <is>
          <t>Additional lifestyle, feature or product detail image showing personalized purple floral cross Bible verse blanket for Isabella. | Lifestyle use image for Purple Floral Cross Bible Verse Blanket</t>
        </is>
      </c>
      <c r="G32" s="2" t="inlineStr">
        <is>
          <t>Fabric and print-detail collage for the purple floral-cross blanket.</t>
        </is>
      </c>
      <c r="H32" s="2" t="inlineStr">
        <is>
          <t>Câu theo mẫu vị trí không phản ánh đúng ảnh gốc.</t>
        </is>
      </c>
      <c r="I32" s="2" t="inlineStr">
        <is>
          <t>Fabric and print-detail collage for the purple floral-cross blanket.</t>
        </is>
      </c>
      <c r="J32" s="2" t="inlineStr">
        <is>
          <t>seo_runs\jeminise.com\20260906_234129\evidence\images\59_custom-floral-cross-bible-verse-blanket-machine-washable-d13\image_08_47830464364743.jpg; seo_runs\jeminise.com\20260906_234129\evidence\contact_sheets\59_custom-floral-cross-bible-verse-blanket-machine-washable-d13.jpg; https://jeminise.com/products/custom-floral-cross-bible-verse-blanket-machine-washable-d13; https://cdn.shopify.com/s/files/1/0792/5098/1063/files/f780832f6c709aefd1624020cbaf7826dff370d3398bcc5ea9dcf8cb2410ca76.jpg?v=1786596333</t>
        </is>
      </c>
      <c r="K32" s="2" t="inlineStr">
        <is>
          <t>Mở ảnh gốc và xác nhận alt mới mô tả đúng ảnh.</t>
        </is>
      </c>
    </row>
    <row r="33" ht="84" customHeight="1">
      <c r="A33" s="3" t="inlineStr">
        <is>
          <t>R2-ISS-051-DESC</t>
        </is>
      </c>
      <c r="B33" s="3" t="inlineStr">
        <is>
          <t>jeminise.com+custom-christian-scripture-floral-blanket-machine-washable-d10</t>
        </is>
      </c>
      <c r="C33" s="3" t="inlineStr"/>
      <c r="D33" s="3" t="inlineStr">
        <is>
          <t>MAJOR</t>
        </is>
      </c>
      <c r="E33" s="3" t="inlineStr">
        <is>
          <t>description_proposed_html</t>
        </is>
      </c>
      <c r="F33" s="3" t="inlineStr">
        <is>
          <t>&lt;p&gt;Add themed style to the bedroom with this Jeminise blanket featuring Visible artwork: pink and purple God Says I Am design with the name Emily, floral border, butterflies and Philippians 4:13 text. The artwork is shown across the main bedding mockup and coordinated pillow or sham images where included.&lt;/p&gt;&lt;h3&gt;Design Details&lt;/h3&gt;&lt;ul&gt;&lt;li&gt;Artwork focus: Visible artwork: pink and purple God Says I Am design with the name Emily, floral border, butterflies and Philippians 4:13 text.&lt;/li&gt;&lt;li&gt;Gallery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3" s="3" t="inlineStr">
        <is>
          <t>The internal workflow and copied material/design-ID errors were removed, but the same generic template remains; blanket pages incorrectly mention pillowcase/sham options and all pages omit verified material, size, care and exact contents.</t>
        </is>
      </c>
      <c r="H33" s="3" t="inlineStr">
        <is>
          <t>Generic or wrong configuration copy is not publish-ready and does not answer purchase questions.</t>
        </is>
      </c>
      <c r="I33" s="3" t="inlineStr">
        <is>
          <t>Rewrite customer-facing English HTML from product-specific facts; remove pillowcase language from blankets and state verified contents/options only.</t>
        </is>
      </c>
      <c r="J33" s="3" t="inlineStr">
        <is>
          <t>evidence_batch_006_051</t>
        </is>
      </c>
      <c r="K33" s="3" t="inlineStr">
        <is>
          <t>Rendered description matches the live option types and contains product-specific verified facts only.</t>
        </is>
      </c>
    </row>
    <row r="34" ht="84" customHeight="1">
      <c r="A34" s="2" t="inlineStr">
        <is>
          <t>R2-ISS-051-CUSTOMIZER</t>
        </is>
      </c>
      <c r="B34" s="2" t="inlineStr">
        <is>
          <t>jeminise.com+custom-christian-scripture-floral-blanket-machine-washable-d10</t>
        </is>
      </c>
      <c r="C34" s="2" t="inlineStr"/>
      <c r="D34" s="2" t="inlineStr">
        <is>
          <t>MAJOR</t>
        </is>
      </c>
      <c r="E34" s="2" t="inlineStr">
        <is>
          <t>keyword/title/meta/description vs live Customizer</t>
        </is>
      </c>
      <c r="F34" s="2" t="inlineStr">
        <is>
          <t>God Says I Am blanket | God Says I Am Emily Blanket | Shop a blanket featuring pink and purple God Says I Am design with the name Emily, floral border, butterflies and Philippians 4:13 text. Review size and product option options before checkout</t>
        </is>
      </c>
      <c r="G34" s="2" t="inlineStr">
        <is>
          <t>{"inventory_position": 51, "url": "https://jeminise.com/products/custom-christian-scripture-floral-blanket-machine-washable-d10", "collections": {"surfaces": 1, "optionGroups": 0, "textInputs": 2, "imageInputs": 0, "fontGroups": 0, "colorGroups": 0, "placements": 0, "conditionalRules": 0, "controlOrder": 2, "assets": 2, "warnings": 0}, "fields": [{"path": "root.surfaces[0]", "fields": {"id": "2XdIiphb", "label": "Surface 1"}}, {"path": "root.textInputs[0]", "fields": {"id": "xUR1otKX", "label": "Custom Name", "required": true, "minLength": 1, "maxLength": 1000, "placeholder": "Sophia", "instructions": ""}}, {"path": "root.controlOrder[0]", "fields": {"type": "text", "id": "xUR1otKX"}}, {"path": "root.controlOrder[1]", "fields": {"type": "text", "id": "LE8mvsan"}}]}</t>
        </is>
      </c>
      <c r="H34" s="2" t="inlineStr">
        <is>
          <t>R2 removed or obscured a verified purchase attribute rather than documenting its required/optional rules.</t>
        </is>
      </c>
      <c r="I34" s="2" t="inlineStr">
        <is>
          <t>Update English SEO copy to match the exact live Customizer label, required status and limits; identify gallery names/numbers as samples.</t>
        </is>
      </c>
      <c r="J34" s="2" t="inlineStr">
        <is>
          <t>https://jeminise.com/products/custom-christian-scripture-floral-blanket-machine-washable-d10</t>
        </is>
      </c>
      <c r="K34" s="2" t="inlineStr">
        <is>
          <t>Copy and purchase flow state the same custom fields and constraints.</t>
        </is>
      </c>
    </row>
    <row r="35" ht="84" customHeight="1">
      <c r="A35" s="3" t="inlineStr">
        <is>
          <t>R2-ISS-051-META-WORDING</t>
        </is>
      </c>
      <c r="B35" s="3" t="inlineStr">
        <is>
          <t>jeminise.com+custom-christian-scripture-floral-blanket-machine-washable-d10</t>
        </is>
      </c>
      <c r="C35" s="3" t="inlineStr"/>
      <c r="D35" s="3" t="inlineStr">
        <is>
          <t>MINOR</t>
        </is>
      </c>
      <c r="E35" s="3" t="inlineStr">
        <is>
          <t>meta_description_seo</t>
        </is>
      </c>
      <c r="F35" s="3" t="inlineStr">
        <is>
          <t>Shop a blanket featuring pink and purple God Says I Am design with the name Emily, floral border, butterflies and Philippians 4:13 text. Review size and product option options before checkout</t>
        </is>
      </c>
      <c r="G35" s="3" t="inlineStr">
        <is>
          <t>Every r2 meta ends with the duplicated phrase 'product option options'.</t>
        </is>
      </c>
      <c r="H35" s="3" t="inlineStr">
        <is>
          <t>The wording is visibly unpolished in search snippets.</t>
        </is>
      </c>
      <c r="I35" s="3" t="inlineStr">
        <is>
          <t>Replace with a natural, product-specific CTA such as 'Review sizes and customization options before checkout.'</t>
        </is>
      </c>
      <c r="J35" s="3" t="inlineStr">
        <is>
          <t>evidence_batch_006_051</t>
        </is>
      </c>
      <c r="K35" s="3" t="inlineStr">
        <is>
          <t>Meta description has no duplicated or placeholder wording.</t>
        </is>
      </c>
    </row>
    <row r="36" ht="84" customHeight="1">
      <c r="A36" s="2" t="inlineStr">
        <is>
          <t>R2-ISS-052-DESC</t>
        </is>
      </c>
      <c r="B36" s="2" t="inlineStr">
        <is>
          <t>jeminise.com+custom-emily-god-says-i-am-blanket-machine-washable-d9</t>
        </is>
      </c>
      <c r="C36" s="2" t="inlineStr"/>
      <c r="D36" s="2" t="inlineStr">
        <is>
          <t>MAJOR</t>
        </is>
      </c>
      <c r="E36" s="2" t="inlineStr">
        <is>
          <t>description_proposed_html</t>
        </is>
      </c>
      <c r="F36" s="2" t="inlineStr">
        <is>
          <t>&lt;p&gt;Add themed style to the bedroom with this Jeminise blanket featuring Visible artwork: blue and white God Says I Am design with iris flowers, butterflies, vertical Emily name and Bible verse references. The artwork is shown across the main bedding mockup and coordinated pillow or sham images where included.&lt;/p&gt;&lt;h3&gt;Design Details&lt;/h3&gt;&lt;ul&gt;&lt;li&gt;Artwork focus: Visible artwork: blue and white God Says I Am design with iris flowers, butterflies, vertical Emily name and Bible verse references.&lt;/li&gt;&lt;li&gt;Gallery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6" s="2" t="inlineStr">
        <is>
          <t>The internal workflow and copied material/design-ID errors were removed, but the same generic template remains; blanket pages incorrectly mention pillowcase/sham options and all pages omit verified material, size, care and exact contents.</t>
        </is>
      </c>
      <c r="H36" s="2" t="inlineStr">
        <is>
          <t>Generic or wrong configuration copy is not publish-ready and does not answer purchase questions.</t>
        </is>
      </c>
      <c r="I36" s="2" t="inlineStr">
        <is>
          <t>Rewrite customer-facing English HTML from product-specific facts; remove pillowcase language from blankets and state verified contents/options only.</t>
        </is>
      </c>
      <c r="J36" s="2" t="inlineStr">
        <is>
          <t>evidence_batch_006_052</t>
        </is>
      </c>
      <c r="K36" s="2" t="inlineStr">
        <is>
          <t>Rendered description matches the live option types and contains product-specific verified facts only.</t>
        </is>
      </c>
    </row>
    <row r="37" ht="84" customHeight="1">
      <c r="A37" s="3" t="inlineStr">
        <is>
          <t>R2-ISS-052-CUSTOMIZER</t>
        </is>
      </c>
      <c r="B37" s="3" t="inlineStr">
        <is>
          <t>jeminise.com+custom-emily-god-says-i-am-blanket-machine-washable-d9</t>
        </is>
      </c>
      <c r="C37" s="3" t="inlineStr"/>
      <c r="D37" s="3" t="inlineStr">
        <is>
          <t>MAJOR</t>
        </is>
      </c>
      <c r="E37" s="3" t="inlineStr">
        <is>
          <t>keyword/title/meta/description vs live Customizer</t>
        </is>
      </c>
      <c r="F37" s="3" t="inlineStr">
        <is>
          <t>Christian name blanket | Blue Floral God Says I Am Blanket | Shop a blanket featuring blue and white God Says I Am design with iris flowers, butterflies, vertical Emily name and Bible verse references. Review size and product option options before checkout</t>
        </is>
      </c>
      <c r="G37" s="3" t="inlineStr">
        <is>
          <t>{"inventory_position": 52, "url": "https://jeminise.com/products/custom-emily-god-says-i-am-blanket-machine-washable-d9", "collections": {"surfaces": 1, "optionGroups": 1, "textInputs": 2, "imageInputs": 0, "fontGroups": 0, "colorGroups": 0, "placements": 0, "conditionalRules": 0, "controlOrder": 3, "assets": 2, "warnings": 0}, "fields": [{"path": "root.surfaces[0]", "fields": {"id": "2XdIiphb", "label": "Surface 1"}}, {"path": "root.optionGroups[0]", "fields": {"id": "iLWArY-a", "label": "Choose Color", "required": true, "instructions": ""}}, {"path": "root.optionGroups[0].options[0]", "fields": {"id": "zJU_z1sp", "label": "Blue"}}, {"path": "root.optionGroups[0].options[1]", "fields": {"id": "pJtW5Cdk", "label": "Black"}}, {"path": "root.optionGroups[0].options[2]", "fields": {"id": "gJVVohhB", "label": "Green"}}, {"path": "root.optionGroups[0].options[3]", "fields": {"id": "e5P6vrXM", "label": "Yellow"}}, {"path": "root.optionGroups[0].options[4]", "fields": {"id": "DrgEAWTH", "label": "Red"}}, {"path": "root.optionGroups[0].options[5]", "fields": {"id": "SK5Wc7TT", "label": "Purple"}}, {"path": "root.textInputs[0]", "fields": {"id": "xUR1otKX", "label": "Custom Name", "required": true, "minLength": 1, "maxLength": 1000, "placeholder": "Sophia", "instructions": ""}}, {"path": "root.controlOrder[1]", "fields": {"type": "text", "id": "xUR1otKX"}}, {"path": "root.controlOrder[2]", "fields": {"type": "text", "id": "LE8mvsan"}}]}</t>
        </is>
      </c>
      <c r="H37" s="3" t="inlineStr">
        <is>
          <t>R2 removed or obscured a verified purchase attribute rather than documenting its required/optional rules.</t>
        </is>
      </c>
      <c r="I37" s="3" t="inlineStr">
        <is>
          <t>Update English SEO copy to match the exact live Customizer label, required status and limits; identify gallery names/numbers as samples.</t>
        </is>
      </c>
      <c r="J37" s="3" t="inlineStr">
        <is>
          <t>https://jeminise.com/products/custom-emily-god-says-i-am-blanket-machine-washable-d9</t>
        </is>
      </c>
      <c r="K37" s="3" t="inlineStr">
        <is>
          <t>Copy and purchase flow state the same custom fields and constraints.</t>
        </is>
      </c>
    </row>
    <row r="38" ht="84" customHeight="1">
      <c r="A38" s="2" t="inlineStr">
        <is>
          <t>R2-ISS-052-META-WORDING</t>
        </is>
      </c>
      <c r="B38" s="2" t="inlineStr">
        <is>
          <t>jeminise.com+custom-emily-god-says-i-am-blanket-machine-washable-d9</t>
        </is>
      </c>
      <c r="C38" s="2" t="inlineStr"/>
      <c r="D38" s="2" t="inlineStr">
        <is>
          <t>MINOR</t>
        </is>
      </c>
      <c r="E38" s="2" t="inlineStr">
        <is>
          <t>meta_description_seo</t>
        </is>
      </c>
      <c r="F38" s="2" t="inlineStr">
        <is>
          <t>Shop a blanket featuring blue and white God Says I Am design with iris flowers, butterflies, vertical Emily name and Bible verse references. Review size and product option options before checkout</t>
        </is>
      </c>
      <c r="G38" s="2" t="inlineStr">
        <is>
          <t>Every r2 meta ends with the duplicated phrase 'product option options'.</t>
        </is>
      </c>
      <c r="H38" s="2" t="inlineStr">
        <is>
          <t>The wording is visibly unpolished in search snippets.</t>
        </is>
      </c>
      <c r="I38" s="2" t="inlineStr">
        <is>
          <t>Replace with a natural, product-specific CTA such as 'Review sizes and customization options before checkout.'</t>
        </is>
      </c>
      <c r="J38" s="2" t="inlineStr">
        <is>
          <t>evidence_batch_006_052</t>
        </is>
      </c>
      <c r="K38" s="2" t="inlineStr">
        <is>
          <t>Meta description has no duplicated or placeholder wording.</t>
        </is>
      </c>
    </row>
    <row r="39" ht="84" customHeight="1">
      <c r="A39" s="3" t="inlineStr">
        <is>
          <t>R2-ISS-053-DESC</t>
        </is>
      </c>
      <c r="B39" s="3" t="inlineStr">
        <is>
          <t>jeminise.com+custom-exploding-soccer-ball-comforter-set-machine-washable-a10</t>
        </is>
      </c>
      <c r="C39" s="3" t="inlineStr"/>
      <c r="D39" s="3" t="inlineStr">
        <is>
          <t>MAJOR</t>
        </is>
      </c>
      <c r="E39" s="3" t="inlineStr">
        <is>
          <t>description_proposed_html</t>
        </is>
      </c>
      <c r="F39" s="3" t="inlineStr">
        <is>
          <t>&lt;p&gt;Add themed style to the bedroom with this Jeminise comforter set featuring Visible artwork: black and white exploding soccer ball artwork with cracked-stone effect, name Jackson and number 15 on the comforter and pillows. The artwork is shown across the main bedding mockup and coordinated pillow or sham images where included.&lt;/p&gt;&lt;h3&gt;Design Details&lt;/h3&gt;&lt;ul&gt;&lt;li&gt;Artwork focus: Visible artwork: black and white exploding soccer ball artwork with cracked-stone effect, name Jackson and number 15 on the comforter and pillows.&lt;/li&gt;&lt;li&gt;Gallery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39" s="3" t="inlineStr">
        <is>
          <t>The internal workflow and copied material/design-ID errors were removed, but the same generic template remains; blanket pages incorrectly mention pillowcase/sham options and all pages omit verified material, size, care and exact contents.</t>
        </is>
      </c>
      <c r="H39" s="3" t="inlineStr">
        <is>
          <t>Generic or wrong configuration copy is not publish-ready and does not answer purchase questions.</t>
        </is>
      </c>
      <c r="I39" s="3" t="inlineStr">
        <is>
          <t>Rewrite customer-facing English HTML from product-specific facts; remove pillowcase language from blankets and state verified contents/options only.</t>
        </is>
      </c>
      <c r="J39" s="3" t="inlineStr">
        <is>
          <t>evidence_batch_006_053</t>
        </is>
      </c>
      <c r="K39" s="3" t="inlineStr">
        <is>
          <t>Rendered description matches the live option types and contains product-specific verified facts only.</t>
        </is>
      </c>
    </row>
    <row r="40" ht="84" customHeight="1">
      <c r="A40" s="2" t="inlineStr">
        <is>
          <t>R2-ISS-053-CUSTOMIZER</t>
        </is>
      </c>
      <c r="B40" s="2" t="inlineStr">
        <is>
          <t>jeminise.com+custom-exploding-soccer-ball-comforter-set-machine-washable-a10</t>
        </is>
      </c>
      <c r="C40" s="2" t="inlineStr"/>
      <c r="D40" s="2" t="inlineStr">
        <is>
          <t>MAJOR</t>
        </is>
      </c>
      <c r="E40" s="2" t="inlineStr">
        <is>
          <t>keyword/title/meta/description vs live Customizer</t>
        </is>
      </c>
      <c r="F40" s="2" t="inlineStr">
        <is>
          <t>soccer comforter | Exploding Soccer Ball Comforter | Shop a comforter set featuring black and white exploding soccer ball artwork with cracked-stone effect, name Jackson and number 15 on the comforter and pillows. Review size and product option options before checkout</t>
        </is>
      </c>
      <c r="G40" s="2" t="inlineStr">
        <is>
          <t>{"inventory_position": 53, "url": "https://jeminise.com/products/custom-exploding-soccer-ball-comforter-set-machine-washable-a10", "collections": {"surfaces": 1, "optionGroups": 0, "textInputs": 1, "imageInputs": 0, "fontGroups": 0, "colorGroups": 0, "placements": 0, "conditionalRules": 0, "controlOrder": 1, "assets": 22, "warnings": 0}, "fields": [{"path": "root.surfaces[0]", "fields": {"id": "FxRu9Cb-", "label": "Surface 1"}}, {"path": "root.textInputs[0]", "fields": {"id": "NpDHeTim", "label": "Customize Your Item", "required": false, "minLength": 1, "maxLength": 1000, "placeholder": "", "instructions": "Please enter your custom text or leave us your requests!"}}, {"path": "root.controlOrder[0]", "fields": {"type": "text", "id": "NpDHeTim"}}]}</t>
        </is>
      </c>
      <c r="H40" s="2" t="inlineStr">
        <is>
          <t>R2 removed or obscured a verified purchase attribute rather than documenting its required/optional rules.</t>
        </is>
      </c>
      <c r="I40" s="2" t="inlineStr">
        <is>
          <t>Update English SEO copy to match the exact live Customizer label, required status and limits; identify gallery names/numbers as samples.</t>
        </is>
      </c>
      <c r="J40" s="2" t="inlineStr">
        <is>
          <t>https://jeminise.com/products/custom-exploding-soccer-ball-comforter-set-machine-washable-a10</t>
        </is>
      </c>
      <c r="K40" s="2" t="inlineStr">
        <is>
          <t>Copy and purchase flow state the same custom fields and constraints.</t>
        </is>
      </c>
    </row>
    <row r="41" ht="84" customHeight="1">
      <c r="A41" s="3" t="inlineStr">
        <is>
          <t>R2-ISS-053-META-WORDING</t>
        </is>
      </c>
      <c r="B41" s="3" t="inlineStr">
        <is>
          <t>jeminise.com+custom-exploding-soccer-ball-comforter-set-machine-washable-a10</t>
        </is>
      </c>
      <c r="C41" s="3" t="inlineStr"/>
      <c r="D41" s="3" t="inlineStr">
        <is>
          <t>MINOR</t>
        </is>
      </c>
      <c r="E41" s="3" t="inlineStr">
        <is>
          <t>meta_description_seo</t>
        </is>
      </c>
      <c r="F41" s="3" t="inlineStr">
        <is>
          <t>Shop a comforter set featuring black and white exploding soccer ball artwork with cracked-stone effect, name Jackson and number 15 on the comforter and pillows. Review size and product option options before checkout</t>
        </is>
      </c>
      <c r="G41" s="3" t="inlineStr">
        <is>
          <t>Every r2 meta ends with the duplicated phrase 'product option options'.</t>
        </is>
      </c>
      <c r="H41" s="3" t="inlineStr">
        <is>
          <t>The wording is visibly unpolished in search snippets.</t>
        </is>
      </c>
      <c r="I41" s="3" t="inlineStr">
        <is>
          <t>Replace with a natural, product-specific CTA such as 'Review sizes and customization options before checkout.'</t>
        </is>
      </c>
      <c r="J41" s="3" t="inlineStr">
        <is>
          <t>evidence_batch_006_053</t>
        </is>
      </c>
      <c r="K41" s="3" t="inlineStr">
        <is>
          <t>Meta description has no duplicated or placeholder wording.</t>
        </is>
      </c>
    </row>
    <row r="42" ht="84" customHeight="1">
      <c r="A42" s="2" t="inlineStr">
        <is>
          <t>R2-ISS-054-DESC</t>
        </is>
      </c>
      <c r="B42" s="2" t="inlineStr">
        <is>
          <t>jeminise.com+custom-fiery-soccer-ball-custom-name-comforter-set-machin-design-5</t>
        </is>
      </c>
      <c r="C42" s="2" t="inlineStr"/>
      <c r="D42" s="2" t="inlineStr">
        <is>
          <t>MAJOR</t>
        </is>
      </c>
      <c r="E42" s="2" t="inlineStr">
        <is>
          <t>description_proposed_html</t>
        </is>
      </c>
      <c r="F42" s="2" t="inlineStr">
        <is>
          <t>&lt;p&gt;Add themed style to the bedroom with this Jeminise comforter set featuring Visible artwork: dark red flaming soccer ball design with the name Kenzo in glowing fire lettering. The artwork is shown across the main bedding mockup and coordinated pillow or sham images where included.&lt;/p&gt;&lt;h3&gt;Design Details&lt;/h3&gt;&lt;ul&gt;&lt;li&gt;Artwork focus: Visible artwork: dark red flaming soccer ball design with the name Kenzo in glowing fire lettering.&lt;/li&gt;&lt;li&gt;Gallery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2" s="2" t="inlineStr">
        <is>
          <t>The internal workflow and copied material/design-ID errors were removed, but the same generic template remains; blanket pages incorrectly mention pillowcase/sham options and all pages omit verified material, size, care and exact contents.</t>
        </is>
      </c>
      <c r="H42" s="2" t="inlineStr">
        <is>
          <t>Generic or wrong configuration copy is not publish-ready and does not answer purchase questions.</t>
        </is>
      </c>
      <c r="I42" s="2" t="inlineStr">
        <is>
          <t>Rewrite customer-facing English HTML from product-specific facts; remove pillowcase language from blankets and state verified contents/options only.</t>
        </is>
      </c>
      <c r="J42" s="2" t="inlineStr">
        <is>
          <t>evidence_batch_006_054</t>
        </is>
      </c>
      <c r="K42" s="2" t="inlineStr">
        <is>
          <t>Rendered description matches the live option types and contains product-specific verified facts only.</t>
        </is>
      </c>
    </row>
    <row r="43" ht="84" customHeight="1">
      <c r="A43" s="3" t="inlineStr">
        <is>
          <t>R2-ISS-054-CUSTOMIZER</t>
        </is>
      </c>
      <c r="B43" s="3" t="inlineStr">
        <is>
          <t>jeminise.com+custom-fiery-soccer-ball-custom-name-comforter-set-machin-design-5</t>
        </is>
      </c>
      <c r="C43" s="3" t="inlineStr"/>
      <c r="D43" s="3" t="inlineStr">
        <is>
          <t>MAJOR</t>
        </is>
      </c>
      <c r="E43" s="3" t="inlineStr">
        <is>
          <t>keyword/title/meta/description vs live Customizer</t>
        </is>
      </c>
      <c r="F43" s="3" t="inlineStr">
        <is>
          <t>soccer comforter with themed artwork | Fiery Soccer Ball Comforter Set | Shop a comforter set featuring dark red flaming soccer ball design with the name Kenzo in glowing fire lettering. Review size and product option options before checkout</t>
        </is>
      </c>
      <c r="G43" s="3" t="inlineStr">
        <is>
          <t>{"inventory_position": 54, "url": "https://jeminise.com/products/custom-fiery-soccer-ball-custom-name-comforter-set-machin-design-5", "collections": {"surfaces": 1, "optionGroups": 0, "textInputs": 1, "imageInputs": 0, "fontGroups": 0, "colorGroups": 0, "placements": 0, "conditionalRules": 0, "controlOrder": 1, "assets": 22, "warnings": 0}, "fields": [{"path": "root.surfaces[0]", "fields": {"id": "FxRu9Cb-", "label": "Surface 1"}}, {"path": "root.textInputs[0]", "fields": {"id": "NpDHeTim", "label": "Customize Your Item", "required": false, "minLength": 1, "maxLength": 1000, "placeholder": "", "instructions": "Please enter your custom text or leave us your requests!"}}, {"path": "root.controlOrder[0]", "fields": {"type": "text", "id": "NpDHeTim"}}]}</t>
        </is>
      </c>
      <c r="H43" s="3" t="inlineStr">
        <is>
          <t>R2 removed or obscured a verified purchase attribute rather than documenting its required/optional rules.</t>
        </is>
      </c>
      <c r="I43" s="3" t="inlineStr">
        <is>
          <t>Update English SEO copy to match the exact live Customizer label, required status and limits; identify gallery names/numbers as samples.</t>
        </is>
      </c>
      <c r="J43" s="3" t="inlineStr">
        <is>
          <t>https://jeminise.com/products/custom-fiery-soccer-ball-custom-name-comforter-set-machin-design-5</t>
        </is>
      </c>
      <c r="K43" s="3" t="inlineStr">
        <is>
          <t>Copy and purchase flow state the same custom fields and constraints.</t>
        </is>
      </c>
    </row>
    <row r="44" ht="84" customHeight="1">
      <c r="A44" s="2" t="inlineStr">
        <is>
          <t>R2-ISS-054-META-WORDING</t>
        </is>
      </c>
      <c r="B44" s="2" t="inlineStr">
        <is>
          <t>jeminise.com+custom-fiery-soccer-ball-custom-name-comforter-set-machin-design-5</t>
        </is>
      </c>
      <c r="C44" s="2" t="inlineStr"/>
      <c r="D44" s="2" t="inlineStr">
        <is>
          <t>MINOR</t>
        </is>
      </c>
      <c r="E44" s="2" t="inlineStr">
        <is>
          <t>meta_description_seo</t>
        </is>
      </c>
      <c r="F44" s="2" t="inlineStr">
        <is>
          <t>Shop a comforter set featuring dark red flaming soccer ball design with the name Kenzo in glowing fire lettering. Review size and product option options before checkout</t>
        </is>
      </c>
      <c r="G44" s="2" t="inlineStr">
        <is>
          <t>Every r2 meta ends with the duplicated phrase 'product option options'.</t>
        </is>
      </c>
      <c r="H44" s="2" t="inlineStr">
        <is>
          <t>The wording is visibly unpolished in search snippets.</t>
        </is>
      </c>
      <c r="I44" s="2" t="inlineStr">
        <is>
          <t>Replace with a natural, product-specific CTA such as 'Review sizes and customization options before checkout.'</t>
        </is>
      </c>
      <c r="J44" s="2" t="inlineStr">
        <is>
          <t>evidence_batch_006_054</t>
        </is>
      </c>
      <c r="K44" s="2" t="inlineStr">
        <is>
          <t>Meta description has no duplicated or placeholder wording.</t>
        </is>
      </c>
    </row>
    <row r="45" ht="84" customHeight="1">
      <c r="A45" s="3" t="inlineStr">
        <is>
          <t>R2-ISS-055-DESC</t>
        </is>
      </c>
      <c r="B45" s="3" t="inlineStr">
        <is>
          <t>jeminise.com+custom-flaming-soccer-ball-with-custom-name-comforter-set-a12</t>
        </is>
      </c>
      <c r="C45" s="3" t="inlineStr"/>
      <c r="D45" s="3" t="inlineStr">
        <is>
          <t>MAJOR</t>
        </is>
      </c>
      <c r="E45" s="3" t="inlineStr">
        <is>
          <t>description_proposed_html</t>
        </is>
      </c>
      <c r="F45" s="3" t="inlineStr">
        <is>
          <t>&lt;p&gt;Add themed style to the bedroom with this Jeminise comforter set featuring Visible artwork: red and black flaming soccer ball design with number 07 and the name Michael in large white script. The artwork is shown across the main bedding mockup and coordinated pillow or sham images where included.&lt;/p&gt;&lt;h3&gt;Design Details&lt;/h3&gt;&lt;ul&gt;&lt;li&gt;Artwork focus: Visible artwork: red and black flaming soccer ball design with number 07 and the name Michael in large white script.&lt;/li&gt;&lt;li&gt;Gallery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5" s="3" t="inlineStr">
        <is>
          <t>The internal workflow and copied material/design-ID errors were removed, but the same generic template remains; blanket pages incorrectly mention pillowcase/sham options and all pages omit verified material, size, care and exact contents.</t>
        </is>
      </c>
      <c r="H45" s="3" t="inlineStr">
        <is>
          <t>Generic or wrong configuration copy is not publish-ready and does not answer purchase questions.</t>
        </is>
      </c>
      <c r="I45" s="3" t="inlineStr">
        <is>
          <t>Rewrite customer-facing English HTML from product-specific facts; remove pillowcase language from blankets and state verified contents/options only.</t>
        </is>
      </c>
      <c r="J45" s="3" t="inlineStr">
        <is>
          <t>evidence_batch_006_055</t>
        </is>
      </c>
      <c r="K45" s="3" t="inlineStr">
        <is>
          <t>Rendered description matches the live option types and contains product-specific verified facts only.</t>
        </is>
      </c>
    </row>
    <row r="46" ht="84" customHeight="1">
      <c r="A46" s="2" t="inlineStr">
        <is>
          <t>R2-ISS-055-CUSTOMIZER</t>
        </is>
      </c>
      <c r="B46" s="2" t="inlineStr">
        <is>
          <t>jeminise.com+custom-flaming-soccer-ball-with-custom-name-comforter-set-a12</t>
        </is>
      </c>
      <c r="C46" s="2" t="inlineStr"/>
      <c r="D46" s="2" t="inlineStr">
        <is>
          <t>MAJOR</t>
        </is>
      </c>
      <c r="E46" s="2" t="inlineStr">
        <is>
          <t>keyword/title/meta/description vs live Customizer</t>
        </is>
      </c>
      <c r="F46" s="2" t="inlineStr">
        <is>
          <t>flaming soccer comforter | Flaming Soccer Ball Comforter | Shop a comforter set featuring red and black flaming soccer ball design with number 07 and the name Michael in large white script. Review size and product option options before checkout</t>
        </is>
      </c>
      <c r="G46" s="2" t="inlineStr">
        <is>
          <t>{"inventory_position": 55, "url": "https://jeminise.com/products/custom-flaming-soccer-ball-with-custom-name-comforter-set-a12", "collections": {"surfaces": 1, "optionGroups": 0, "textInputs": 1, "imageInputs": 0, "fontGroups": 0, "colorGroups": 0, "placements": 0, "conditionalRules": 0, "controlOrder": 1, "assets": 22, "warnings": 0}, "fields": [{"path": "root.surfaces[0]", "fields": {"id": "FxRu9Cb-", "label": "Surface 1"}}, {"path": "root.textInputs[0]", "fields": {"id": "NpDHeTim", "label": "Customize Your Item", "required": false, "minLength": 1, "maxLength": 1000, "placeholder": "", "instructions": "Please enter your custom text or leave us your requests!"}}, {"path": "root.controlOrder[0]", "fields": {"type": "text", "id": "NpDHeTim"}}]}</t>
        </is>
      </c>
      <c r="H46" s="2" t="inlineStr">
        <is>
          <t>R2 removed or obscured a verified purchase attribute rather than documenting its required/optional rules.</t>
        </is>
      </c>
      <c r="I46" s="2" t="inlineStr">
        <is>
          <t>Update English SEO copy to match the exact live Customizer label, required status and limits; identify gallery names/numbers as samples.</t>
        </is>
      </c>
      <c r="J46" s="2" t="inlineStr">
        <is>
          <t>https://jeminise.com/products/custom-flaming-soccer-ball-with-custom-name-comforter-set-a12</t>
        </is>
      </c>
      <c r="K46" s="2" t="inlineStr">
        <is>
          <t>Copy and purchase flow state the same custom fields and constraints.</t>
        </is>
      </c>
    </row>
    <row r="47" ht="84" customHeight="1">
      <c r="A47" s="3" t="inlineStr">
        <is>
          <t>R2-ISS-055-META-WORDING</t>
        </is>
      </c>
      <c r="B47" s="3" t="inlineStr">
        <is>
          <t>jeminise.com+custom-flaming-soccer-ball-with-custom-name-comforter-set-a12</t>
        </is>
      </c>
      <c r="C47" s="3" t="inlineStr"/>
      <c r="D47" s="3" t="inlineStr">
        <is>
          <t>MINOR</t>
        </is>
      </c>
      <c r="E47" s="3" t="inlineStr">
        <is>
          <t>meta_description_seo</t>
        </is>
      </c>
      <c r="F47" s="3" t="inlineStr">
        <is>
          <t>Shop a comforter set featuring red and black flaming soccer ball design with number 07 and the name Michael in large white script. Review size and product option options before checkout</t>
        </is>
      </c>
      <c r="G47" s="3" t="inlineStr">
        <is>
          <t>Every r2 meta ends with the duplicated phrase 'product option options'.</t>
        </is>
      </c>
      <c r="H47" s="3" t="inlineStr">
        <is>
          <t>The wording is visibly unpolished in search snippets.</t>
        </is>
      </c>
      <c r="I47" s="3" t="inlineStr">
        <is>
          <t>Replace with a natural, product-specific CTA such as 'Review sizes and customization options before checkout.'</t>
        </is>
      </c>
      <c r="J47" s="3" t="inlineStr">
        <is>
          <t>evidence_batch_006_055</t>
        </is>
      </c>
      <c r="K47" s="3" t="inlineStr">
        <is>
          <t>Meta description has no duplicated or placeholder wording.</t>
        </is>
      </c>
    </row>
    <row r="48" ht="84" customHeight="1">
      <c r="A48" s="2" t="inlineStr">
        <is>
          <t>R2-ISS-056-DESC</t>
        </is>
      </c>
      <c r="B48" s="2" t="inlineStr">
        <is>
          <t>jeminise.com+custom-flaming-soccer-ball-with-name-comforter-set-machine-washable</t>
        </is>
      </c>
      <c r="C48" s="2" t="inlineStr"/>
      <c r="D48" s="2" t="inlineStr">
        <is>
          <t>MAJOR</t>
        </is>
      </c>
      <c r="E48" s="2" t="inlineStr">
        <is>
          <t>description_proposed_html</t>
        </is>
      </c>
      <c r="F48" s="2" t="inlineStr">
        <is>
          <t>&lt;p&gt;Add themed style to the bedroom with this Jeminise comforter set featuring Visible artwork: bright red motion-streak soccer ball design with number 07 and Michael in glowing fire-style lettering. The artwork is shown across the main bedding mockup and coordinated pillow or sham images where included.&lt;/p&gt;&lt;h3&gt;Design Details&lt;/h3&gt;&lt;ul&gt;&lt;li&gt;Artwork focus: Visible artwork: bright red motion-streak soccer ball design with number 07 and Michael in glowing fire-style lettering.&lt;/li&gt;&lt;li&gt;Gallery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48" s="2" t="inlineStr">
        <is>
          <t>The internal workflow and copied material/design-ID errors were removed, but the same generic template remains; blanket pages incorrectly mention pillowcase/sham options and all pages omit verified material, size, care and exact contents.</t>
        </is>
      </c>
      <c r="H48" s="2" t="inlineStr">
        <is>
          <t>Generic or wrong configuration copy is not publish-ready and does not answer purchase questions.</t>
        </is>
      </c>
      <c r="I48" s="2" t="inlineStr">
        <is>
          <t>Rewrite customer-facing English HTML from product-specific facts; remove pillowcase language from blankets and state verified contents/options only.</t>
        </is>
      </c>
      <c r="J48" s="2" t="inlineStr">
        <is>
          <t>evidence_batch_006_056</t>
        </is>
      </c>
      <c r="K48" s="2" t="inlineStr">
        <is>
          <t>Rendered description matches the live option types and contains product-specific verified facts only.</t>
        </is>
      </c>
    </row>
    <row r="49" ht="84" customHeight="1">
      <c r="A49" s="3" t="inlineStr">
        <is>
          <t>R2-ISS-056-CUSTOMIZER</t>
        </is>
      </c>
      <c r="B49" s="3" t="inlineStr">
        <is>
          <t>jeminise.com+custom-flaming-soccer-ball-with-name-comforter-set-machine-washable</t>
        </is>
      </c>
      <c r="C49" s="3" t="inlineStr"/>
      <c r="D49" s="3" t="inlineStr">
        <is>
          <t>MAJOR</t>
        </is>
      </c>
      <c r="E49" s="3" t="inlineStr">
        <is>
          <t>keyword/title/meta/description vs live Customizer</t>
        </is>
      </c>
      <c r="F49" s="3" t="inlineStr">
        <is>
          <t>flaming soccer comforter | Flaming Soccer Ball Comforter Set | Shop a comforter set featuring bright red motion-streak soccer ball design with number 07 and Michael in glowing fire-style lettering. Review size and product option options before checkout</t>
        </is>
      </c>
      <c r="G49" s="3" t="inlineStr">
        <is>
          <t>{"inventory_position": 56, "url": "https://jeminise.com/products/custom-flaming-soccer-ball-with-name-comforter-set-machine-washable", "collections": {"surfaces": 1, "optionGroups": 0, "textInputs": 1, "imageInputs": 0, "fontGroups": 0, "colorGroups": 0, "placements": 0, "conditionalRules": 0, "controlOrder": 1, "assets": 22, "warnings": 0}, "fields": [{"path": "root.surfaces[0]", "fields": {"id": "FxRu9Cb-", "label": "Surface 1"}}, {"path": "root.textInputs[0]", "fields": {"id": "NpDHeTim", "label": "Customize Your Item", "required": false, "minLength": 1, "maxLength": 1000, "placeholder": "", "instructions": "Please enter your custom text or leave us your requests!"}}, {"path": "root.controlOrder[0]", "fields": {"type": "text", "id": "NpDHeTim"}}]}</t>
        </is>
      </c>
      <c r="H49" s="3" t="inlineStr">
        <is>
          <t>R2 removed or obscured a verified purchase attribute rather than documenting its required/optional rules.</t>
        </is>
      </c>
      <c r="I49" s="3" t="inlineStr">
        <is>
          <t>Update English SEO copy to match the exact live Customizer label, required status and limits; identify gallery names/numbers as samples.</t>
        </is>
      </c>
      <c r="J49" s="3" t="inlineStr">
        <is>
          <t>https://jeminise.com/products/custom-flaming-soccer-ball-with-name-comforter-set-machine-washable</t>
        </is>
      </c>
      <c r="K49" s="3" t="inlineStr">
        <is>
          <t>Copy and purchase flow state the same custom fields and constraints.</t>
        </is>
      </c>
    </row>
    <row r="50" ht="84" customHeight="1">
      <c r="A50" s="2" t="inlineStr">
        <is>
          <t>R2-ISS-056-META-WORDING</t>
        </is>
      </c>
      <c r="B50" s="2" t="inlineStr">
        <is>
          <t>jeminise.com+custom-flaming-soccer-ball-with-name-comforter-set-machine-washable</t>
        </is>
      </c>
      <c r="C50" s="2" t="inlineStr"/>
      <c r="D50" s="2" t="inlineStr">
        <is>
          <t>MINOR</t>
        </is>
      </c>
      <c r="E50" s="2" t="inlineStr">
        <is>
          <t>meta_description_seo</t>
        </is>
      </c>
      <c r="F50" s="2" t="inlineStr">
        <is>
          <t>Shop a comforter set featuring bright red motion-streak soccer ball design with number 07 and Michael in glowing fire-style lettering. Review size and product option options before checkout</t>
        </is>
      </c>
      <c r="G50" s="2" t="inlineStr">
        <is>
          <t>Every r2 meta ends with the duplicated phrase 'product option options'.</t>
        </is>
      </c>
      <c r="H50" s="2" t="inlineStr">
        <is>
          <t>The wording is visibly unpolished in search snippets.</t>
        </is>
      </c>
      <c r="I50" s="2" t="inlineStr">
        <is>
          <t>Replace with a natural, product-specific CTA such as 'Review sizes and customization options before checkout.'</t>
        </is>
      </c>
      <c r="J50" s="2" t="inlineStr">
        <is>
          <t>evidence_batch_006_056</t>
        </is>
      </c>
      <c r="K50" s="2" t="inlineStr">
        <is>
          <t>Meta description has no duplicated or placeholder wording.</t>
        </is>
      </c>
    </row>
    <row r="51" ht="84" customHeight="1">
      <c r="A51" s="3" t="inlineStr">
        <is>
          <t>R2-ISS-057-DESC</t>
        </is>
      </c>
      <c r="B51" s="3" t="inlineStr">
        <is>
          <t>jeminise.com+custom-floral-butterfly-inspirational-blanket-machine-wash-design-8</t>
        </is>
      </c>
      <c r="C51" s="3" t="inlineStr"/>
      <c r="D51" s="3" t="inlineStr">
        <is>
          <t>MAJOR</t>
        </is>
      </c>
      <c r="E51" s="3" t="inlineStr">
        <is>
          <t>description_proposed_html</t>
        </is>
      </c>
      <c r="F51" s="3" t="inlineStr">
        <is>
          <t>&lt;p&gt;Add themed style to the bedroom with this Jeminise blanket featuring Visible artwork: white floral blanket with the name Sophia, orange flowers, monarch butterfly and Proverbs 31:25 strength and dignity verse. The artwork is shown across the main bedding mockup and coordinated pillow or sham images where included.&lt;/p&gt;&lt;h3&gt;Design Details&lt;/h3&gt;&lt;ul&gt;&lt;li&gt;Artwork focus: Visible artwork: white floral blanket with the name Sophia, orange flowers, monarch butterfly and Proverbs 31:25 strength and dignity verse.&lt;/li&gt;&lt;li&gt;Gallery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1" s="3" t="inlineStr">
        <is>
          <t>The internal workflow and copied material/design-ID errors were removed, but the same generic template remains; blanket pages incorrectly mention pillowcase/sham options and all pages omit verified material, size, care and exact contents.</t>
        </is>
      </c>
      <c r="H51" s="3" t="inlineStr">
        <is>
          <t>Generic or wrong configuration copy is not publish-ready and does not answer purchase questions.</t>
        </is>
      </c>
      <c r="I51" s="3" t="inlineStr">
        <is>
          <t>Rewrite customer-facing English HTML from product-specific facts; remove pillowcase language from blankets and state verified contents/options only.</t>
        </is>
      </c>
      <c r="J51" s="3" t="inlineStr">
        <is>
          <t>evidence_batch_006_057</t>
        </is>
      </c>
      <c r="K51" s="3" t="inlineStr">
        <is>
          <t>Rendered description matches the live option types and contains product-specific verified facts only.</t>
        </is>
      </c>
    </row>
    <row r="52" ht="84" customHeight="1">
      <c r="A52" s="2" t="inlineStr">
        <is>
          <t>R2-ISS-057-CUSTOMIZER</t>
        </is>
      </c>
      <c r="B52" s="2" t="inlineStr">
        <is>
          <t>jeminise.com+custom-floral-butterfly-inspirational-blanket-machine-wash-design-8</t>
        </is>
      </c>
      <c r="C52" s="2" t="inlineStr"/>
      <c r="D52" s="2" t="inlineStr">
        <is>
          <t>MAJOR</t>
        </is>
      </c>
      <c r="E52" s="2" t="inlineStr">
        <is>
          <t>keyword/title/meta/description vs live Customizer</t>
        </is>
      </c>
      <c r="F52" s="2" t="inlineStr">
        <is>
          <t>Proverbs 31 blanket | Proverbs 31 Floral Butterfly Blanket | Shop a blanket featuring white floral blanket with the name Sophia, orange flowers, monarch butterfly and Proverbs 31:25 strength and dignity verse. Review size and product option options before checkout</t>
        </is>
      </c>
      <c r="G52" s="2" t="inlineStr">
        <is>
          <t>{"inventory_position": 57, "url": "https://jeminise.com/products/custom-floral-butterfly-inspirational-blanket-machine-wash-design-8", "collections": {"surfaces": 1, "optionGroups": 0, "textInputs": 2, "imageInputs": 0, "fontGroups": 0, "colorGroups": 0, "placements": 0, "conditionalRules": 0, "controlOrder": 2, "assets": 2, "warnings": 0}, "fields": [{"path": "root.surfaces[0]", "fields": {"id": "2XdIiphb", "label": "Surface 1"}}, {"path": "root.textInputs[0]", "fields": {"id": "xUR1otKX", "label": "Custom Name", "required": true, "minLength": 1, "maxLength": 1000, "placeholder": "Sophia", "instructions": ""}}, {"path": "root.controlOrder[0]", "fields": {"type": "text", "id": "xUR1otKX"}}, {"path": "root.controlOrder[1]", "fields": {"type": "text", "id": "LE8mvsan"}}]}</t>
        </is>
      </c>
      <c r="H52" s="2" t="inlineStr">
        <is>
          <t>R2 removed or obscured a verified purchase attribute rather than documenting its required/optional rules.</t>
        </is>
      </c>
      <c r="I52" s="2" t="inlineStr">
        <is>
          <t>Update English SEO copy to match the exact live Customizer label, required status and limits; identify gallery names/numbers as samples.</t>
        </is>
      </c>
      <c r="J52" s="2" t="inlineStr">
        <is>
          <t>https://jeminise.com/products/custom-floral-butterfly-inspirational-blanket-machine-wash-design-8</t>
        </is>
      </c>
      <c r="K52" s="2" t="inlineStr">
        <is>
          <t>Copy and purchase flow state the same custom fields and constraints.</t>
        </is>
      </c>
    </row>
    <row r="53" ht="84" customHeight="1">
      <c r="A53" s="3" t="inlineStr">
        <is>
          <t>R2-ISS-057-META-WORDING</t>
        </is>
      </c>
      <c r="B53" s="3" t="inlineStr">
        <is>
          <t>jeminise.com+custom-floral-butterfly-inspirational-blanket-machine-wash-design-8</t>
        </is>
      </c>
      <c r="C53" s="3" t="inlineStr"/>
      <c r="D53" s="3" t="inlineStr">
        <is>
          <t>MINOR</t>
        </is>
      </c>
      <c r="E53" s="3" t="inlineStr">
        <is>
          <t>meta_description_seo</t>
        </is>
      </c>
      <c r="F53" s="3" t="inlineStr">
        <is>
          <t>Shop a blanket featuring white floral blanket with the name Sophia, orange flowers, monarch butterfly and Proverbs 31:25 strength and dignity verse. Review size and product option options before checkout</t>
        </is>
      </c>
      <c r="G53" s="3" t="inlineStr">
        <is>
          <t>Every r2 meta ends with the duplicated phrase 'product option options'.</t>
        </is>
      </c>
      <c r="H53" s="3" t="inlineStr">
        <is>
          <t>The wording is visibly unpolished in search snippets.</t>
        </is>
      </c>
      <c r="I53" s="3" t="inlineStr">
        <is>
          <t>Replace with a natural, product-specific CTA such as 'Review sizes and customization options before checkout.'</t>
        </is>
      </c>
      <c r="J53" s="3" t="inlineStr">
        <is>
          <t>evidence_batch_006_057</t>
        </is>
      </c>
      <c r="K53" s="3" t="inlineStr">
        <is>
          <t>Meta description has no duplicated or placeholder wording.</t>
        </is>
      </c>
    </row>
    <row r="54" ht="84" customHeight="1">
      <c r="A54" s="2" t="inlineStr">
        <is>
          <t>R2-ISS-058-DESC</t>
        </is>
      </c>
      <c r="B54" s="2" t="inlineStr">
        <is>
          <t>jeminise.com+custom-floral-butterfly-inspirational-blanket-machine-washable-d3</t>
        </is>
      </c>
      <c r="C54" s="2" t="inlineStr"/>
      <c r="D54" s="2" t="inlineStr">
        <is>
          <t>MAJOR</t>
        </is>
      </c>
      <c r="E54" s="2" t="inlineStr">
        <is>
          <t>description_proposed_html</t>
        </is>
      </c>
      <c r="F54" s="2" t="inlineStr">
        <is>
          <t>&lt;p&gt;Add themed style to the bedroom with this Jeminise blanket featuring Visible artwork: soft floral and butterfly design with the name Sara and you are affirmations tied to Psalm, 1 Peter, Ephesians, John and Jeremiah verses. The artwork is shown across the main bedding mockup and coordinated pillow or sham images where included.&lt;/p&gt;&lt;h3&gt;Design Details&lt;/h3&gt;&lt;ul&gt;&lt;li&gt;Artwork focus: Visible artwork: soft floral and butterfly design with the name Sara and you are affirmations tied to Psalm, 1 Peter, Ephesians, John and Jeremiah verses.&lt;/li&gt;&lt;li&gt;Gallery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4" s="2" t="inlineStr">
        <is>
          <t>The internal workflow and copied material/design-ID errors were removed, but the same generic template remains; blanket pages incorrectly mention pillowcase/sham options and all pages omit verified material, size, care and exact contents.</t>
        </is>
      </c>
      <c r="H54" s="2" t="inlineStr">
        <is>
          <t>Generic or wrong configuration copy is not publish-ready and does not answer purchase questions.</t>
        </is>
      </c>
      <c r="I54" s="2" t="inlineStr">
        <is>
          <t>Rewrite customer-facing English HTML from product-specific facts; remove pillowcase language from blankets and state verified contents/options only.</t>
        </is>
      </c>
      <c r="J54" s="2" t="inlineStr">
        <is>
          <t>evidence_batch_006_058</t>
        </is>
      </c>
      <c r="K54" s="2" t="inlineStr">
        <is>
          <t>Rendered description matches the live option types and contains product-specific verified facts only.</t>
        </is>
      </c>
    </row>
    <row r="55" ht="84" customHeight="1">
      <c r="A55" s="3" t="inlineStr">
        <is>
          <t>R2-ISS-058-CUSTOMIZER</t>
        </is>
      </c>
      <c r="B55" s="3" t="inlineStr">
        <is>
          <t>jeminise.com+custom-floral-butterfly-inspirational-blanket-machine-washable-d3</t>
        </is>
      </c>
      <c r="C55" s="3" t="inlineStr"/>
      <c r="D55" s="3" t="inlineStr">
        <is>
          <t>MAJOR</t>
        </is>
      </c>
      <c r="E55" s="3" t="inlineStr">
        <is>
          <t>keyword/title/meta/description vs live Customizer</t>
        </is>
      </c>
      <c r="F55" s="3" t="inlineStr">
        <is>
          <t>Bible verse blanket | Floral Bible Verse Blanket | Shop a blanket featuring soft floral and butterfly design with the name Sara and you are affirmations tied to Psalm, 1 Peter, Ephesians, John and Jeremiah verses. Review size and product option options before checkout</t>
        </is>
      </c>
      <c r="G55" s="3" t="inlineStr">
        <is>
          <t>{"inventory_position": 58, "url": "https://jeminise.com/products/custom-floral-butterfly-inspirational-blanket-machine-washable-d3", "collections": {"surfaces": 1, "optionGroups": 0, "textInputs": 2, "imageInputs": 0, "fontGroups": 0, "colorGroups": 0, "placements": 0, "conditionalRules": 0, "controlOrder": 2, "assets": 2, "warnings": 0}, "fields": [{"path": "root.surfaces[0]", "fields": {"id": "2XdIiphb", "label": "Surface 1"}}, {"path": "root.textInputs[0]", "fields": {"id": "xUR1otKX", "label": "Custom Name", "required": true, "minLength": 1, "maxLength": 1000, "placeholder": "Sophia", "instructions": ""}}, {"path": "root.controlOrder[0]", "fields": {"type": "text", "id": "xUR1otKX"}}, {"path": "root.controlOrder[1]", "fields": {"type": "text", "id": "LE8mvsan"}}]}</t>
        </is>
      </c>
      <c r="H55" s="3" t="inlineStr">
        <is>
          <t>R2 removed or obscured a verified purchase attribute rather than documenting its required/optional rules.</t>
        </is>
      </c>
      <c r="I55" s="3" t="inlineStr">
        <is>
          <t>Update English SEO copy to match the exact live Customizer label, required status and limits; identify gallery names/numbers as samples.</t>
        </is>
      </c>
      <c r="J55" s="3" t="inlineStr">
        <is>
          <t>https://jeminise.com/products/custom-floral-butterfly-inspirational-blanket-machine-washable-d3</t>
        </is>
      </c>
      <c r="K55" s="3" t="inlineStr">
        <is>
          <t>Copy and purchase flow state the same custom fields and constraints.</t>
        </is>
      </c>
    </row>
    <row r="56" ht="84" customHeight="1">
      <c r="A56" s="2" t="inlineStr">
        <is>
          <t>R2-ISS-058-META-WORDING</t>
        </is>
      </c>
      <c r="B56" s="2" t="inlineStr">
        <is>
          <t>jeminise.com+custom-floral-butterfly-inspirational-blanket-machine-washable-d3</t>
        </is>
      </c>
      <c r="C56" s="2" t="inlineStr"/>
      <c r="D56" s="2" t="inlineStr">
        <is>
          <t>MINOR</t>
        </is>
      </c>
      <c r="E56" s="2" t="inlineStr">
        <is>
          <t>meta_description_seo</t>
        </is>
      </c>
      <c r="F56" s="2" t="inlineStr">
        <is>
          <t>Shop a blanket featuring soft floral and butterfly design with the name Sara and you are affirmations tied to Psalm, 1 Peter, Ephesians, John and Jeremiah verses. Review size and product option options before checkout</t>
        </is>
      </c>
      <c r="G56" s="2" t="inlineStr">
        <is>
          <t>Every r2 meta ends with the duplicated phrase 'product option options'.</t>
        </is>
      </c>
      <c r="H56" s="2" t="inlineStr">
        <is>
          <t>The wording is visibly unpolished in search snippets.</t>
        </is>
      </c>
      <c r="I56" s="2" t="inlineStr">
        <is>
          <t>Replace with a natural, product-specific CTA such as 'Review sizes and customization options before checkout.'</t>
        </is>
      </c>
      <c r="J56" s="2" t="inlineStr">
        <is>
          <t>evidence_batch_006_058</t>
        </is>
      </c>
      <c r="K56" s="2" t="inlineStr">
        <is>
          <t>Meta description has no duplicated or placeholder wording.</t>
        </is>
      </c>
    </row>
    <row r="57" ht="84" customHeight="1">
      <c r="A57" s="3" t="inlineStr">
        <is>
          <t>R2-ISS-059-DESC</t>
        </is>
      </c>
      <c r="B57" s="3" t="inlineStr">
        <is>
          <t>jeminise.com+custom-floral-cross-bible-verse-blanket-machine-washable-d13</t>
        </is>
      </c>
      <c r="C57" s="3" t="inlineStr"/>
      <c r="D57" s="3" t="inlineStr">
        <is>
          <t>MAJOR</t>
        </is>
      </c>
      <c r="E57" s="3" t="inlineStr">
        <is>
          <t>description_proposed_html</t>
        </is>
      </c>
      <c r="F57" s="3" t="inlineStr">
        <is>
          <t>&lt;p&gt;Add themed style to the bedroom with this Jeminise blanket featuring Visible artwork: purple floral cross design with butterflies, the name Isabella and the phrase But the Lord stood with me and gave me strength. The artwork is shown across the main bedding mockup and coordinated pillow or sham images where included.&lt;/p&gt;&lt;h3&gt;Design Details&lt;/h3&gt;&lt;ul&gt;&lt;li&gt;Artwork focus: Visible artwork: purple floral cross design with butterflies, the name Isabella and the phrase But the Lord stood with me and gave me strength.&lt;/li&gt;&lt;li&gt;Gallery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57" s="3" t="inlineStr">
        <is>
          <t>The internal workflow and copied material/design-ID errors were removed, but the same generic template remains; blanket pages incorrectly mention pillowcase/sham options and all pages omit verified material, size, care and exact contents.</t>
        </is>
      </c>
      <c r="H57" s="3" t="inlineStr">
        <is>
          <t>Generic or wrong configuration copy is not publish-ready and does not answer purchase questions.</t>
        </is>
      </c>
      <c r="I57" s="3" t="inlineStr">
        <is>
          <t>Rewrite customer-facing English HTML from product-specific facts; remove pillowcase language from blankets and state verified contents/options only.</t>
        </is>
      </c>
      <c r="J57" s="3" t="inlineStr">
        <is>
          <t>evidence_batch_006_059</t>
        </is>
      </c>
      <c r="K57" s="3" t="inlineStr">
        <is>
          <t>Rendered description matches the live option types and contains product-specific verified facts only.</t>
        </is>
      </c>
    </row>
    <row r="58" ht="84" customHeight="1">
      <c r="A58" s="2" t="inlineStr">
        <is>
          <t>R2-ISS-059-CUSTOMIZER</t>
        </is>
      </c>
      <c r="B58" s="2" t="inlineStr">
        <is>
          <t>jeminise.com+custom-floral-cross-bible-verse-blanket-machine-washable-d13</t>
        </is>
      </c>
      <c r="C58" s="2" t="inlineStr"/>
      <c r="D58" s="2" t="inlineStr">
        <is>
          <t>MAJOR</t>
        </is>
      </c>
      <c r="E58" s="2" t="inlineStr">
        <is>
          <t>keyword/title/meta/description vs live Customizer</t>
        </is>
      </c>
      <c r="F58" s="2" t="inlineStr">
        <is>
          <t>floral cross blanket | Purple Floral Cross Bible Verse Blanket | Shop a blanket featuring purple floral cross design with butterflies, the name Isabella and the phrase But the Lord stood with me and gave me strength. Review size and product option options before checkout</t>
        </is>
      </c>
      <c r="G58" s="2" t="inlineStr">
        <is>
          <t>{"inventory_position": 59, "url": "https://jeminise.com/products/custom-floral-cross-bible-verse-blanket-machine-washable-d13", "collections": {"surfaces": 1, "optionGroups": 0, "textInputs": 2, "imageInputs": 0, "fontGroups": 0, "colorGroups": 0, "placements": 0, "conditionalRules": 0, "controlOrder": 2, "assets": 2, "warnings": 0}, "fields": [{"path": "root.surfaces[0]", "fields": {"id": "2XdIiphb", "label": "Surface 1"}}, {"path": "root.textInputs[0]", "fields": {"id": "xUR1otKX", "label": "Custom Name", "required": false, "minLength": 1, "maxLength": 1000, "placeholder": "Sophia", "instructions": ""}}, {"path": "root.controlOrder[0]", "fields": {"type": "text", "id": "xUR1otKX"}}, {"path": "root.controlOrder[1]", "fields": {"type": "text", "id": "LE8mvsan"}}]}</t>
        </is>
      </c>
      <c r="H58" s="2" t="inlineStr">
        <is>
          <t>R2 removed or obscured a verified purchase attribute rather than documenting its required/optional rules.</t>
        </is>
      </c>
      <c r="I58" s="2" t="inlineStr">
        <is>
          <t>Update English SEO copy to match the exact live Customizer label, required status and limits; identify gallery names/numbers as samples.</t>
        </is>
      </c>
      <c r="J58" s="2" t="inlineStr">
        <is>
          <t>https://jeminise.com/products/custom-floral-cross-bible-verse-blanket-machine-washable-d13</t>
        </is>
      </c>
      <c r="K58" s="2" t="inlineStr">
        <is>
          <t>Copy and purchase flow state the same custom fields and constraints.</t>
        </is>
      </c>
    </row>
    <row r="59" ht="84" customHeight="1">
      <c r="A59" s="3" t="inlineStr">
        <is>
          <t>R2-ISS-059-META-WORDING</t>
        </is>
      </c>
      <c r="B59" s="3" t="inlineStr">
        <is>
          <t>jeminise.com+custom-floral-cross-bible-verse-blanket-machine-washable-d13</t>
        </is>
      </c>
      <c r="C59" s="3" t="inlineStr"/>
      <c r="D59" s="3" t="inlineStr">
        <is>
          <t>MINOR</t>
        </is>
      </c>
      <c r="E59" s="3" t="inlineStr">
        <is>
          <t>meta_description_seo</t>
        </is>
      </c>
      <c r="F59" s="3" t="inlineStr">
        <is>
          <t>Shop a blanket featuring purple floral cross design with butterflies, the name Isabella and the phrase But the Lord stood with me and gave me strength. Review size and product option options before checkout</t>
        </is>
      </c>
      <c r="G59" s="3" t="inlineStr">
        <is>
          <t>Every r2 meta ends with the duplicated phrase 'product option options'.</t>
        </is>
      </c>
      <c r="H59" s="3" t="inlineStr">
        <is>
          <t>The wording is visibly unpolished in search snippets.</t>
        </is>
      </c>
      <c r="I59" s="3" t="inlineStr">
        <is>
          <t>Replace with a natural, product-specific CTA such as 'Review sizes and customization options before checkout.'</t>
        </is>
      </c>
      <c r="J59" s="3" t="inlineStr">
        <is>
          <t>evidence_batch_006_059</t>
        </is>
      </c>
      <c r="K59" s="3" t="inlineStr">
        <is>
          <t>Meta description has no duplicated or placeholder wording.</t>
        </is>
      </c>
    </row>
    <row r="60" ht="84" customHeight="1">
      <c r="A60" s="2" t="inlineStr">
        <is>
          <t>R2-ISS-060-DESC</t>
        </is>
      </c>
      <c r="B60" s="2" t="inlineStr">
        <is>
          <t>jeminise.com+custom-floral-cross-with-butterflies-blanket-machine-washable-d6</t>
        </is>
      </c>
      <c r="C60" s="2" t="inlineStr"/>
      <c r="D60" s="2" t="inlineStr">
        <is>
          <t>MAJOR</t>
        </is>
      </c>
      <c r="E60" s="2" t="inlineStr">
        <is>
          <t>description_proposed_html</t>
        </is>
      </c>
      <c r="F60" s="2" t="inlineStr">
        <is>
          <t>&lt;p&gt;Add themed style to the bedroom with this Jeminise blanket featuring Visible artwork: white blanket with pink roses, gold butterflies, floral cross frame, the name Sabrina and I am Bible verse affirmations. The artwork is shown across the main bedding mockup and coordinated pillow or sham images where included.&lt;/p&gt;&lt;h3&gt;Design Details&lt;/h3&gt;&lt;ul&gt;&lt;li&gt;Artwork focus: Visible artwork: white blanket with pink roses, gold butterflies, floral cross frame, the name Sabrina and I am Bible verse affirmations.&lt;/li&gt;&lt;li&gt;Gallery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G60" s="2" t="inlineStr">
        <is>
          <t>The internal workflow and copied material/design-ID errors were removed, but the same generic template remains; blanket pages incorrectly mention pillowcase/sham options and all pages omit verified material, size, care and exact contents.</t>
        </is>
      </c>
      <c r="H60" s="2" t="inlineStr">
        <is>
          <t>Generic or wrong configuration copy is not publish-ready and does not answer purchase questions.</t>
        </is>
      </c>
      <c r="I60" s="2" t="inlineStr">
        <is>
          <t>Rewrite customer-facing English HTML from product-specific facts; remove pillowcase language from blankets and state verified contents/options only.</t>
        </is>
      </c>
      <c r="J60" s="2" t="inlineStr">
        <is>
          <t>evidence_batch_006_060</t>
        </is>
      </c>
      <c r="K60" s="2" t="inlineStr">
        <is>
          <t>Rendered description matches the live option types and contains product-specific verified facts only.</t>
        </is>
      </c>
    </row>
    <row r="61" ht="84" customHeight="1">
      <c r="A61" s="3" t="inlineStr">
        <is>
          <t>R2-ISS-060-CUSTOMIZER</t>
        </is>
      </c>
      <c r="B61" s="3" t="inlineStr">
        <is>
          <t>jeminise.com+custom-floral-cross-with-butterflies-blanket-machine-washable-d6</t>
        </is>
      </c>
      <c r="C61" s="3" t="inlineStr"/>
      <c r="D61" s="3" t="inlineStr">
        <is>
          <t>MAJOR</t>
        </is>
      </c>
      <c r="E61" s="3" t="inlineStr">
        <is>
          <t>keyword/title/meta/description vs live Customizer</t>
        </is>
      </c>
      <c r="F61" s="3" t="inlineStr">
        <is>
          <t>floral cross Bible verse blanket | Floral Cross Butterfly Blanket | Shop a blanket featuring white blanket with pink roses, gold butterflies, floral cross frame, the name Sabrina and I am Bible verse affirmations. Review size and product option options before checkout</t>
        </is>
      </c>
      <c r="G61" s="3" t="inlineStr">
        <is>
          <t>{"inventory_position": 60, "url": "https://jeminise.com/products/custom-floral-cross-with-butterflies-blanket-machine-washable-d6", "collections": {"surfaces": 1, "optionGroups": 0, "textInputs": 2, "imageInputs": 0, "fontGroups": 0, "colorGroups": 0, "placements": 0, "conditionalRules": 0, "controlOrder": 2, "assets": 2, "warnings": 0}, "fields": [{"path": "root.surfaces[0]", "fields": {"id": "2XdIiphb", "label": "Surface 1"}}, {"path": "root.textInputs[0]", "fields": {"id": "xUR1otKX", "label": "Custom Name", "required": false, "minLength": 1, "maxLength": 1000, "placeholder": "Sophia", "instructions": ""}}, {"path": "root.controlOrder[0]", "fields": {"type": "text", "id": "xUR1otKX"}}, {"path": "root.controlOrder[1]", "fields": {"type": "text", "id": "LE8mvsan"}}]}</t>
        </is>
      </c>
      <c r="H61" s="3" t="inlineStr">
        <is>
          <t>R2 removed or obscured a verified purchase attribute rather than documenting its required/optional rules.</t>
        </is>
      </c>
      <c r="I61" s="3" t="inlineStr">
        <is>
          <t>Update English SEO copy to match the exact live Customizer label, required status and limits; identify gallery names/numbers as samples.</t>
        </is>
      </c>
      <c r="J61" s="3" t="inlineStr">
        <is>
          <t>https://jeminise.com/products/custom-floral-cross-with-butterflies-blanket-machine-washable-d6</t>
        </is>
      </c>
      <c r="K61" s="3" t="inlineStr">
        <is>
          <t>Copy and purchase flow state the same custom fields and constraints.</t>
        </is>
      </c>
    </row>
    <row r="62" ht="84" customHeight="1">
      <c r="A62" s="2" t="inlineStr">
        <is>
          <t>R2-ISS-060-META-WORDING</t>
        </is>
      </c>
      <c r="B62" s="2" t="inlineStr">
        <is>
          <t>jeminise.com+custom-floral-cross-with-butterflies-blanket-machine-washable-d6</t>
        </is>
      </c>
      <c r="C62" s="2" t="inlineStr"/>
      <c r="D62" s="2" t="inlineStr">
        <is>
          <t>MINOR</t>
        </is>
      </c>
      <c r="E62" s="2" t="inlineStr">
        <is>
          <t>meta_description_seo</t>
        </is>
      </c>
      <c r="F62" s="2" t="inlineStr">
        <is>
          <t>Shop a blanket featuring white blanket with pink roses, gold butterflies, floral cross frame, the name Sabrina and I am Bible verse affirmations. Review size and product option options before checkout</t>
        </is>
      </c>
      <c r="G62" s="2" t="inlineStr">
        <is>
          <t>Every r2 meta ends with the duplicated phrase 'product option options'.</t>
        </is>
      </c>
      <c r="H62" s="2" t="inlineStr">
        <is>
          <t>The wording is visibly unpolished in search snippets.</t>
        </is>
      </c>
      <c r="I62" s="2" t="inlineStr">
        <is>
          <t>Replace with a natural, product-specific CTA such as 'Review sizes and customization options before checkout.'</t>
        </is>
      </c>
      <c r="J62" s="2" t="inlineStr">
        <is>
          <t>evidence_batch_006_060</t>
        </is>
      </c>
      <c r="K62" s="2" t="inlineStr">
        <is>
          <t>Meta description has no duplicated or placeholder wording.</t>
        </is>
      </c>
    </row>
    <row r="63" ht="84" customHeight="1">
      <c r="A63" s="3" t="inlineStr">
        <is>
          <t>R2-ISS-051-CANN</t>
        </is>
      </c>
      <c r="B63" s="3" t="inlineStr">
        <is>
          <t>jeminise.com+custom-christian-scripture-floral-blanket-machine-washable-d10</t>
        </is>
      </c>
      <c r="C63" s="3" t="inlineStr"/>
      <c r="D63" s="3" t="inlineStr">
        <is>
          <t>MAJOR</t>
        </is>
      </c>
      <c r="E63" s="3" t="inlineStr">
        <is>
          <t>keyword_map/intent differentiation</t>
        </is>
      </c>
      <c r="F63" s="3" t="inlineStr">
        <is>
          <t>God Says I Am blanket</t>
        </is>
      </c>
      <c r="G63" s="3" t="inlineStr">
        <is>
          <t>Adjacent products target nearly identical God Says I Am or soccer bedding intent.</t>
        </is>
      </c>
      <c r="H63" s="3" t="inlineStr">
        <is>
          <t>Without a differentiated modifier and landing-page role, pages can compete for the same query.</t>
        </is>
      </c>
      <c r="I63" s="3" t="inlineStr">
        <is>
          <t>Assign one primary intent per design and use verified visual/personalization modifiers consistently in title, H1, meta and internal linking.</t>
        </is>
      </c>
      <c r="J63" s="3" t="inlineStr">
        <is>
          <t>https://www.etsy.com/listing/4355382705/personalized-christian-blanket-god-says; https://www.etsy.com/listing/1770548286/custom-name-blanket-personalized</t>
        </is>
      </c>
      <c r="K63" s="3" t="inlineStr">
        <is>
          <t>Keyword map shows distinct non-overlapping primary intent across the cluster.</t>
        </is>
      </c>
    </row>
    <row r="64" ht="84" customHeight="1">
      <c r="A64" s="2" t="inlineStr">
        <is>
          <t>R2-ISS-052-CANN</t>
        </is>
      </c>
      <c r="B64" s="2" t="inlineStr">
        <is>
          <t>jeminise.com+custom-emily-god-says-i-am-blanket-machine-washable-d9</t>
        </is>
      </c>
      <c r="C64" s="2" t="inlineStr"/>
      <c r="D64" s="2" t="inlineStr">
        <is>
          <t>MAJOR</t>
        </is>
      </c>
      <c r="E64" s="2" t="inlineStr">
        <is>
          <t>keyword_map/intent differentiation</t>
        </is>
      </c>
      <c r="F64" s="2" t="inlineStr">
        <is>
          <t>Christian name blanket</t>
        </is>
      </c>
      <c r="G64" s="2" t="inlineStr">
        <is>
          <t>Adjacent products target nearly identical God Says I Am or soccer bedding intent.</t>
        </is>
      </c>
      <c r="H64" s="2" t="inlineStr">
        <is>
          <t>Without a differentiated modifier and landing-page role, pages can compete for the same query.</t>
        </is>
      </c>
      <c r="I64" s="2" t="inlineStr">
        <is>
          <t>Assign one primary intent per design and use verified visual/personalization modifiers consistently in title, H1, meta and internal linking.</t>
        </is>
      </c>
      <c r="J64" s="2" t="inlineStr">
        <is>
          <t>https://www.etsy.com/listing/4410818176/christian-name-blanket-god-says-i-am; https://www.etsy.com/listing/4388723618/personalized-god-says-i-am-blanket</t>
        </is>
      </c>
      <c r="K64" s="2" t="inlineStr">
        <is>
          <t>Keyword map shows distinct non-overlapping primary intent across the cluster.</t>
        </is>
      </c>
    </row>
    <row r="65" ht="84" customHeight="1">
      <c r="A65" s="3" t="inlineStr">
        <is>
          <t>R2-ISS-053-CANN</t>
        </is>
      </c>
      <c r="B65" s="3" t="inlineStr">
        <is>
          <t>jeminise.com+custom-exploding-soccer-ball-comforter-set-machine-washable-a10</t>
        </is>
      </c>
      <c r="C65" s="3" t="inlineStr"/>
      <c r="D65" s="3" t="inlineStr">
        <is>
          <t>MAJOR</t>
        </is>
      </c>
      <c r="E65" s="3" t="inlineStr">
        <is>
          <t>keyword_map/intent differentiation</t>
        </is>
      </c>
      <c r="F65" s="3" t="inlineStr">
        <is>
          <t>soccer comforter</t>
        </is>
      </c>
      <c r="G65" s="3" t="inlineStr">
        <is>
          <t>Adjacent products target nearly identical God Says I Am or soccer bedding intent.</t>
        </is>
      </c>
      <c r="H65" s="3" t="inlineStr">
        <is>
          <t>Without a differentiated modifier and landing-page role, pages can compete for the same query.</t>
        </is>
      </c>
      <c r="I65" s="3" t="inlineStr">
        <is>
          <t>Assign one primary intent per design and use verified visual/personalization modifiers consistently in title, H1, meta and internal linking.</t>
        </is>
      </c>
      <c r="J65" s="3" t="inlineStr">
        <is>
          <t>https://www.etsy.com/de/listing/1883272338/benutzerdefinierte-fussball-bettwasche; https://2cooldesigns.com/products/custom-soccer-theme-bedding-personalized-duvet-or-comforter-sets</t>
        </is>
      </c>
      <c r="K65" s="3" t="inlineStr">
        <is>
          <t>Keyword map shows distinct non-overlapping primary intent across the cluster.</t>
        </is>
      </c>
    </row>
    <row r="66" ht="84" customHeight="1">
      <c r="A66" s="2" t="inlineStr">
        <is>
          <t>R2-ISS-054-CANN</t>
        </is>
      </c>
      <c r="B66" s="2" t="inlineStr">
        <is>
          <t>jeminise.com+custom-fiery-soccer-ball-custom-name-comforter-set-machin-design-5</t>
        </is>
      </c>
      <c r="C66" s="2" t="inlineStr"/>
      <c r="D66" s="2" t="inlineStr">
        <is>
          <t>MAJOR</t>
        </is>
      </c>
      <c r="E66" s="2" t="inlineStr">
        <is>
          <t>keyword_map/intent differentiation</t>
        </is>
      </c>
      <c r="F66" s="2" t="inlineStr">
        <is>
          <t>soccer comforter with themed artwork</t>
        </is>
      </c>
      <c r="G66" s="2" t="inlineStr">
        <is>
          <t>Adjacent products target nearly identical God Says I Am or soccer bedding intent.</t>
        </is>
      </c>
      <c r="H66" s="2" t="inlineStr">
        <is>
          <t>Without a differentiated modifier and landing-page role, pages can compete for the same query.</t>
        </is>
      </c>
      <c r="I66" s="2" t="inlineStr">
        <is>
          <t>Assign one primary intent per design and use verified visual/personalization modifiers consistently in title, H1, meta and internal linking.</t>
        </is>
      </c>
      <c r="J66" s="2" t="inlineStr">
        <is>
          <t>https://custombeddingset.com/; https://brightroomy.com/soccer-on-fire-bedding-set/</t>
        </is>
      </c>
      <c r="K66" s="2" t="inlineStr">
        <is>
          <t>Keyword map shows distinct non-overlapping primary intent across the cluster.</t>
        </is>
      </c>
    </row>
    <row r="67" ht="84" customHeight="1">
      <c r="A67" s="3" t="inlineStr">
        <is>
          <t>R2-ISS-055-CANN</t>
        </is>
      </c>
      <c r="B67" s="3" t="inlineStr">
        <is>
          <t>jeminise.com+custom-flaming-soccer-ball-with-custom-name-comforter-set-a12</t>
        </is>
      </c>
      <c r="C67" s="3" t="inlineStr"/>
      <c r="D67" s="3" t="inlineStr">
        <is>
          <t>MAJOR</t>
        </is>
      </c>
      <c r="E67" s="3" t="inlineStr">
        <is>
          <t>keyword_map/intent differentiation</t>
        </is>
      </c>
      <c r="F67" s="3" t="inlineStr">
        <is>
          <t>flaming soccer comforter</t>
        </is>
      </c>
      <c r="G67" s="3" t="inlineStr">
        <is>
          <t>Adjacent products target nearly identical God Says I Am or soccer bedding intent.</t>
        </is>
      </c>
      <c r="H67" s="3" t="inlineStr">
        <is>
          <t>Without a differentiated modifier and landing-page role, pages can compete for the same query.</t>
        </is>
      </c>
      <c r="I67" s="3" t="inlineStr">
        <is>
          <t>Assign one primary intent per design and use verified visual/personalization modifiers consistently in title, H1, meta and internal linking.</t>
        </is>
      </c>
      <c r="J67" s="3" t="inlineStr">
        <is>
          <t>https://wearanddecor.com/products/personalized-football-quilt-bedding-set-football-ball-black-quilt-custom-name-and-number-duvet-cover-set; https://www.etsy.com/de/listing/1883272338/benutzerdefinierte-fussball-bettwasche</t>
        </is>
      </c>
      <c r="K67" s="3" t="inlineStr">
        <is>
          <t>Keyword map shows distinct non-overlapping primary intent across the cluster.</t>
        </is>
      </c>
    </row>
    <row r="68" ht="84" customHeight="1">
      <c r="A68" s="2" t="inlineStr">
        <is>
          <t>R2-ISS-056-CANN</t>
        </is>
      </c>
      <c r="B68" s="2" t="inlineStr">
        <is>
          <t>jeminise.com+custom-flaming-soccer-ball-with-name-comforter-set-machine-washable</t>
        </is>
      </c>
      <c r="C68" s="2" t="inlineStr"/>
      <c r="D68" s="2" t="inlineStr">
        <is>
          <t>MAJOR</t>
        </is>
      </c>
      <c r="E68" s="2" t="inlineStr">
        <is>
          <t>keyword_map/intent differentiation</t>
        </is>
      </c>
      <c r="F68" s="2" t="inlineStr">
        <is>
          <t>flaming soccer comforter</t>
        </is>
      </c>
      <c r="G68" s="2" t="inlineStr">
        <is>
          <t>Adjacent products target nearly identical God Says I Am or soccer bedding intent.</t>
        </is>
      </c>
      <c r="H68" s="2" t="inlineStr">
        <is>
          <t>Without a differentiated modifier and landing-page role, pages can compete for the same query.</t>
        </is>
      </c>
      <c r="I68" s="2" t="inlineStr">
        <is>
          <t>Assign one primary intent per design and use verified visual/personalization modifiers consistently in title, H1, meta and internal linking.</t>
        </is>
      </c>
      <c r="J68" s="2" t="inlineStr">
        <is>
          <t>https://2cooldesigns.com/products/custom-soccer-theme-bedding-personalized-duvet-or-comforter-sets; https://ohaprints.com/products/personalized-soccer-duvet-cover-set-soccer-ball-zigzag-player-gift-black-white-duvet-cover-pillowcases-custom-name-number-bedding-set</t>
        </is>
      </c>
      <c r="K68" s="2" t="inlineStr">
        <is>
          <t>Keyword map shows distinct non-overlapping primary intent across the cluster.</t>
        </is>
      </c>
    </row>
    <row r="69" ht="84" customHeight="1">
      <c r="A69" s="3" t="inlineStr">
        <is>
          <t>R2-ISS-054-TYPO</t>
        </is>
      </c>
      <c r="B69" s="3" t="inlineStr">
        <is>
          <t>jeminise.com+custom-fiery-soccer-ball-custom-name-comforter-set-machin-design-5</t>
        </is>
      </c>
      <c r="C69" s="3" t="inlineStr"/>
      <c r="D69" s="3" t="inlineStr">
        <is>
          <t>MINOR</t>
        </is>
      </c>
      <c r="E69" s="3" t="inlineStr">
        <is>
          <t>title_current/H1</t>
        </is>
      </c>
      <c r="F69" s="3" t="inlineStr">
        <is>
          <t>Machin - Design 5</t>
        </is>
      </c>
      <c r="G69" s="3" t="inlineStr">
        <is>
          <t>The live title is truncated.</t>
        </is>
      </c>
      <c r="H69" s="3" t="inlineStr">
        <is>
          <t>The cut word reduces source-title quality.</t>
        </is>
      </c>
      <c r="I69" s="3" t="inlineStr">
        <is>
          <t>Replace with 'Machine Washable' after confirming the intended source title.</t>
        </is>
      </c>
      <c r="J69" s="3" t="inlineStr">
        <is>
          <t>https://jeminise.com/products/custom-fiery-soccer-ball-custom-name-comforter-set-machin-design-5</t>
        </is>
      </c>
      <c r="K69" s="3" t="inlineStr">
        <is>
          <t>Live title/H1 contains the complete phrase.</t>
        </is>
      </c>
    </row>
    <row r="70" ht="84" customHeight="1">
      <c r="A70" s="2" t="inlineStr">
        <is>
          <t>R2-ISS-057-ALTGEN</t>
        </is>
      </c>
      <c r="B70" s="2" t="inlineStr">
        <is>
          <t>jeminise.com+custom-floral-butterfly-inspirational-blanket-machine-wash-design-8</t>
        </is>
      </c>
      <c r="C70" s="2" t="inlineStr"/>
      <c r="D70" s="2" t="inlineStr">
        <is>
          <t>MINOR</t>
        </is>
      </c>
      <c r="E70" s="2" t="inlineStr">
        <is>
          <t>image alt text</t>
        </is>
      </c>
      <c r="F70" s="2" t="inlineStr">
        <is>
          <t>Several proposed alts use generic labels such as secondary mockup or additional product mockup.</t>
        </is>
      </c>
      <c r="G70" s="2" t="inlineStr">
        <is>
          <t>Direct inspection reveals the verse, sample name, scene and information-panel purpose.</t>
        </is>
      </c>
      <c r="H70" s="2" t="inlineStr">
        <is>
          <t>Generic alt is valid but misses useful image-specific context.</t>
        </is>
      </c>
      <c r="I70" s="2" t="inlineStr">
        <is>
          <t>Use the exact scene recorded in QA_Images, without keyword stuffing.</t>
        </is>
      </c>
      <c r="J70" s="2" t="inlineStr">
        <is>
          <t>evidence_batch_006_057</t>
        </is>
      </c>
      <c r="K70" s="2" t="inlineStr">
        <is>
          <t>Each SET alt distinguishes the image's visible content.</t>
        </is>
      </c>
    </row>
    <row r="71" ht="84" customHeight="1">
      <c r="A71" s="3" t="inlineStr">
        <is>
          <t>R2-ISS-060-ALTGEN</t>
        </is>
      </c>
      <c r="B71" s="3" t="inlineStr">
        <is>
          <t>jeminise.com+custom-floral-cross-with-butterflies-blanket-machine-washable-d6</t>
        </is>
      </c>
      <c r="C71" s="3" t="inlineStr"/>
      <c r="D71" s="3" t="inlineStr">
        <is>
          <t>MINOR</t>
        </is>
      </c>
      <c r="E71" s="3" t="inlineStr">
        <is>
          <t>image alt text</t>
        </is>
      </c>
      <c r="F71" s="3" t="inlineStr">
        <is>
          <t>Several proposed alts use generic labels such as secondary mockup or additional product mockup.</t>
        </is>
      </c>
      <c r="G71" s="3" t="inlineStr">
        <is>
          <t>Direct inspection reveals the verse, sample name, scene and information-panel purpose.</t>
        </is>
      </c>
      <c r="H71" s="3" t="inlineStr">
        <is>
          <t>Generic alt is valid but misses useful image-specific context.</t>
        </is>
      </c>
      <c r="I71" s="3" t="inlineStr">
        <is>
          <t>Use the exact scene recorded in QA_Images, without keyword stuffing.</t>
        </is>
      </c>
      <c r="J71" s="3" t="inlineStr">
        <is>
          <t>evidence_batch_006_060</t>
        </is>
      </c>
      <c r="K71" s="3" t="inlineStr">
        <is>
          <t>Each SET alt distinguishes the image's visible content.</t>
        </is>
      </c>
    </row>
    <row r="72" ht="84" customHeight="1">
      <c r="A72" s="2" t="inlineStr">
        <is>
          <t>R2-ISS-GLOBAL-ADMIN</t>
        </is>
      </c>
      <c r="B72" s="2" t="inlineStr"/>
      <c r="C72" s="2" t="inlineStr"/>
      <c r="D72" s="2" t="inlineStr">
        <is>
          <t>LIMITATION</t>
        </is>
      </c>
      <c r="E72" s="2" t="inlineStr">
        <is>
          <t>current admin SEO fields/current admin alt</t>
        </is>
      </c>
      <c r="F72" s="2" t="inlineStr">
        <is>
          <t>Not supplied</t>
        </is>
      </c>
      <c r="G72" s="2" t="inlineStr">
        <is>
          <t>Storefront metadata and product.js media alt were readable, but no Shopify admin export was provided.</t>
        </is>
      </c>
      <c r="H72" s="2" t="inlineStr">
        <is>
          <t>Storefront values cannot prove admin fields or future import mapping.</t>
        </is>
      </c>
      <c r="I72" s="2" t="inlineStr">
        <is>
          <t>Provide a frozen Shopify admin/export snapshot before deployment approval.</t>
        </is>
      </c>
      <c r="J72" s="2" t="inlineStr">
        <is>
          <t>D:\Shopify_Workspace\jeminise_seo\resutls\jeminise.com\20260906_234129\revisions\qa_batch_006_r2\SEO_Product_Optimization_qa_batch_006_r2.xlsx</t>
        </is>
      </c>
      <c r="K72" s="2" t="inlineStr">
        <is>
          <t>Admin export revision and hash are frozen and compared.</t>
        </is>
      </c>
    </row>
    <row r="73" ht="84" customHeight="1">
      <c r="A73" s="3" t="inlineStr">
        <is>
          <t>R2-ISS-GLOBAL-SNAPSHOT-HTML</t>
        </is>
      </c>
      <c r="B73" s="3" t="inlineStr"/>
      <c r="C73" s="3" t="inlineStr"/>
      <c r="D73" s="3" t="inlineStr">
        <is>
          <t>LIMITATION</t>
        </is>
      </c>
      <c r="E73" s="3" t="inlineStr">
        <is>
          <t>phase-1 HTML snapshot</t>
        </is>
      </c>
      <c r="F73" s="3" t="inlineStr">
        <is>
          <t>Phase-1 HTML fetch returned HTTP 403.</t>
        </is>
      </c>
      <c r="G73" s="3" t="inlineStr">
        <is>
          <t>Frozen product JSON/body/options/gallery URLs match live, but old rendered metadata cannot be compared directly.</t>
        </is>
      </c>
      <c r="H73" s="3" t="inlineStr">
        <is>
          <t>An unavailable old HTML snapshot is not evidence of drift.</t>
        </is>
      </c>
      <c r="I73" s="3" t="inlineStr">
        <is>
          <t>Capture a fresh immutable HTML snapshot for the next revision.</t>
        </is>
      </c>
      <c r="J73" s="3" t="inlineStr">
        <is>
          <t>D:\Shopify_Workspace\jeminise_seo\seo_runs\jeminise.com\20260906_234129\qa\20260907_161639\live_source_comparison.json</t>
        </is>
      </c>
      <c r="K73" s="3" t="inlineStr">
        <is>
          <t>Both old and new readable HTML snapshots are available with hashes.</t>
        </is>
      </c>
    </row>
  </sheetData>
  <autoFilter ref="A1:K73"/>
  <conditionalFormatting sqref="D2:D73">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2026-09-07T09:36:46Z</dcterms:created>
  <dcterms:modified xmlns:dcterms="http://purl.org/dc/terms/" xmlns:xsi="http://www.w3.org/2001/XMLSchema-instance" xsi:type="dcterms:W3CDTF">2026-09-07T09:36:46Z</dcterms:modified>
</cp:coreProperties>
</file>