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'QA_Summary'!$A$1:$C$15</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'QA_Images'!$A$1:$Z$47</definedName>
    <definedName name="_xlnm.Print_Titles" localSheetId="3">'QA_Images'!$1:$1</definedName>
    <definedName name="_xlnm._FilterDatabase" localSheetId="4" hidden="1">'QA_Issues'!$A$1:$K$75</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personalized-baseball-bedding-full-size-flag-custom-name-d-design-16" TargetMode="External" Id="rId1"/><Relationship Type="http://schemas.openxmlformats.org/officeDocument/2006/relationships/hyperlink" Target="https://jeminise.com/products/personalized-baseball-bedding-full-size-flag-custom-name-d-design-17" TargetMode="External" Id="rId2"/><Relationship Type="http://schemas.openxmlformats.org/officeDocument/2006/relationships/hyperlink" Target="https://jeminise.com/products/personalized-baseball-bedding-full-size-flag-custom-name-d-design-18" TargetMode="External" Id="rId3"/><Relationship Type="http://schemas.openxmlformats.org/officeDocument/2006/relationships/hyperlink" Target="https://jeminise.com/products/personalized-baseball-bedding-full-size-flag-custom-name-d-design-19" TargetMode="External" Id="rId4"/><Relationship Type="http://schemas.openxmlformats.org/officeDocument/2006/relationships/hyperlink" Target="https://jeminise.com/products/personalized-baseball-bedding-full-size-flag-custom-name-d-design-20" TargetMode="External" Id="rId5"/><Relationship Type="http://schemas.openxmlformats.org/officeDocument/2006/relationships/hyperlink" Target="https://jeminise.com/products/personalized-baseball-bedding-full-size-flag-custom-name-d-design-21" TargetMode="External" Id="rId6"/><Relationship Type="http://schemas.openxmlformats.org/officeDocument/2006/relationships/hyperlink" Target="https://jeminise.com/products/personalized-baseball-bedding-full-size-flag-custom-name-d-design-22" TargetMode="External" Id="rId7"/><Relationship Type="http://schemas.openxmlformats.org/officeDocument/2006/relationships/hyperlink" Target="https://jeminise.com/products/personalized-baseball-bedding-full-size-flag-custom-name-d-design-23" TargetMode="External" Id="rId8"/><Relationship Type="http://schemas.openxmlformats.org/officeDocument/2006/relationships/hyperlink" Target="https://jeminise.com/products/personalized-baseball-bedding-full-size-flag-custom-name-d-design-24" TargetMode="External" Id="rId9"/><Relationship Type="http://schemas.openxmlformats.org/officeDocument/2006/relationships/hyperlink" Target="https://jeminise.com/products/personalized-baseball-bedding-full-size-flag-custom-name-d-design-25"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b7ef026f0d99066acd408c028cb84843da12c8ff46b05701b0a855208589add2.jpg?v=1787242318" TargetMode="External" Id="rId1"/><Relationship Type="http://schemas.openxmlformats.org/officeDocument/2006/relationships/hyperlink" Target="https://cdn.shopify.com/s/files/1/0792/5098/1063/files/b7ef026f0d99066acd408c028cb84843da12c8ff46b05701b0a855208589add2.jpg?v=1787242318" TargetMode="External" Id="rId2"/><Relationship Type="http://schemas.openxmlformats.org/officeDocument/2006/relationships/hyperlink" Target="https://cdn.shopify.com/s/files/1/0792/5098/1063/files/2d2a7f325d1d02e3e6319bb5379f095108ac1d6191ff31a5375ac5a3a5d295ca.jpg?v=1787242318" TargetMode="External" Id="rId3"/><Relationship Type="http://schemas.openxmlformats.org/officeDocument/2006/relationships/hyperlink" Target="https://cdn.shopify.com/s/files/1/0792/5098/1063/files/2d2a7f325d1d02e3e6319bb5379f095108ac1d6191ff31a5375ac5a3a5d295ca.jpg?v=1787242318" TargetMode="External" Id="rId4"/><Relationship Type="http://schemas.openxmlformats.org/officeDocument/2006/relationships/hyperlink" Target="https://cdn.shopify.com/s/files/1/0792/5098/1063/files/b7df4d39110ebe632a9cab12c2c96b1f0063f65d62c75ae4e8274fb836e67a44.jpg?v=1787242318" TargetMode="External" Id="rId5"/><Relationship Type="http://schemas.openxmlformats.org/officeDocument/2006/relationships/hyperlink" Target="https://cdn.shopify.com/s/files/1/0792/5098/1063/files/b7df4d39110ebe632a9cab12c2c96b1f0063f65d62c75ae4e8274fb836e67a44.jpg?v=1787242318" TargetMode="External" Id="rId6"/><Relationship Type="http://schemas.openxmlformats.org/officeDocument/2006/relationships/hyperlink" Target="https://cdn.shopify.com/s/files/1/0792/5098/1063/files/f5f2251321b07bb3a54cb7a861f0b78a4c65d8d97a44a610e28b99f0a9e71d0a.jpg?v=1787242318" TargetMode="External" Id="rId7"/><Relationship Type="http://schemas.openxmlformats.org/officeDocument/2006/relationships/hyperlink" Target="https://cdn.shopify.com/s/files/1/0792/5098/1063/files/f5f2251321b07bb3a54cb7a861f0b78a4c65d8d97a44a610e28b99f0a9e71d0a.jpg?v=1787242318" TargetMode="External" Id="rId8"/><Relationship Type="http://schemas.openxmlformats.org/officeDocument/2006/relationships/hyperlink" Target="https://cdn.shopify.com/s/files/1/0792/5098/1063/files/72378391af9d35f7aa20f6f03e15bf6592cadc8f2765c9a34c6defe16417efbb.jpg?v=1787242318" TargetMode="External" Id="rId9"/><Relationship Type="http://schemas.openxmlformats.org/officeDocument/2006/relationships/hyperlink" Target="https://cdn.shopify.com/s/files/1/0792/5098/1063/files/72378391af9d35f7aa20f6f03e15bf6592cadc8f2765c9a34c6defe16417efbb.jpg?v=1787242318" TargetMode="External" Id="rId10"/><Relationship Type="http://schemas.openxmlformats.org/officeDocument/2006/relationships/hyperlink" Target="https://cdn.shopify.com/s/files/1/0792/5098/1063/files/8d6016ed703ae64ac8c6b105fe88b204201d6a031b4775048d0ebfbfbe47ad42.jpg?v=1787242318" TargetMode="External" Id="rId11"/><Relationship Type="http://schemas.openxmlformats.org/officeDocument/2006/relationships/hyperlink" Target="https://cdn.shopify.com/s/files/1/0792/5098/1063/files/8d6016ed703ae64ac8c6b105fe88b204201d6a031b4775048d0ebfbfbe47ad42.jpg?v=1787242318" TargetMode="External" Id="rId12"/><Relationship Type="http://schemas.openxmlformats.org/officeDocument/2006/relationships/hyperlink" Target="https://cdn.shopify.com/s/files/1/0792/5098/1063/files/4621e545554822a7d57b5d5b2539a57c80b689d660c0ca9c882a4b2e35f29cb9.jpg?v=1787242318" TargetMode="External" Id="rId13"/><Relationship Type="http://schemas.openxmlformats.org/officeDocument/2006/relationships/hyperlink" Target="https://cdn.shopify.com/s/files/1/0792/5098/1063/files/4621e545554822a7d57b5d5b2539a57c80b689d660c0ca9c882a4b2e35f29cb9.jpg?v=1787242318" TargetMode="External" Id="rId14"/><Relationship Type="http://schemas.openxmlformats.org/officeDocument/2006/relationships/hyperlink" Target="https://cdn.shopify.com/s/files/1/0792/5098/1063/files/aa4923e9f29482ae80e50264a632d44e57fc52a4216de9db06a1575bd5c655c8.jpg?v=1787242324" TargetMode="External" Id="rId15"/><Relationship Type="http://schemas.openxmlformats.org/officeDocument/2006/relationships/hyperlink" Target="https://cdn.shopify.com/s/files/1/0792/5098/1063/files/aa4923e9f29482ae80e50264a632d44e57fc52a4216de9db06a1575bd5c655c8.jpg?v=1787242324" TargetMode="External" Id="rId16"/><Relationship Type="http://schemas.openxmlformats.org/officeDocument/2006/relationships/hyperlink" Target="https://cdn.shopify.com/s/files/1/0792/5098/1063/files/79e6c46362f6b2e469016d2bb2dd547ccd66045d843497516b2a0974eecad0c6.jpg?v=1787242324" TargetMode="External" Id="rId17"/><Relationship Type="http://schemas.openxmlformats.org/officeDocument/2006/relationships/hyperlink" Target="https://cdn.shopify.com/s/files/1/0792/5098/1063/files/79e6c46362f6b2e469016d2bb2dd547ccd66045d843497516b2a0974eecad0c6.jpg?v=1787242324" TargetMode="External" Id="rId18"/><Relationship Type="http://schemas.openxmlformats.org/officeDocument/2006/relationships/hyperlink" Target="https://cdn.shopify.com/s/files/1/0792/5098/1063/files/dd38943d38d35a36c268004706d6c6d16244636812f0a2c4fa90136ea7a93f17.jpg?v=1787242324" TargetMode="External" Id="rId19"/><Relationship Type="http://schemas.openxmlformats.org/officeDocument/2006/relationships/hyperlink" Target="https://cdn.shopify.com/s/files/1/0792/5098/1063/files/dd38943d38d35a36c268004706d6c6d16244636812f0a2c4fa90136ea7a93f17.jpg?v=1787242324" TargetMode="External" Id="rId20"/><Relationship Type="http://schemas.openxmlformats.org/officeDocument/2006/relationships/hyperlink" Target="https://cdn.shopify.com/s/files/1/0792/5098/1063/files/8190fe0d621cb3cce926de911d8b1f7f9cdac3656270eea2fa5180515027c9d1.jpg?v=1787242324" TargetMode="External" Id="rId21"/><Relationship Type="http://schemas.openxmlformats.org/officeDocument/2006/relationships/hyperlink" Target="https://cdn.shopify.com/s/files/1/0792/5098/1063/files/8190fe0d621cb3cce926de911d8b1f7f9cdac3656270eea2fa5180515027c9d1.jpg?v=1787242324" TargetMode="External" Id="rId22"/><Relationship Type="http://schemas.openxmlformats.org/officeDocument/2006/relationships/hyperlink" Target="https://cdn.shopify.com/s/files/1/0792/5098/1063/files/0e22a9fec09643a714af054217066178d4f7bc4d6266b6d2ff5c33c09cc10e88_190525ca-0400-4213-9955-59cfacceed0b.jpg?v=1787242324" TargetMode="External" Id="rId23"/><Relationship Type="http://schemas.openxmlformats.org/officeDocument/2006/relationships/hyperlink" Target="https://cdn.shopify.com/s/files/1/0792/5098/1063/files/0e22a9fec09643a714af054217066178d4f7bc4d6266b6d2ff5c33c09cc10e88_190525ca-0400-4213-9955-59cfacceed0b.jpg?v=1787242324" TargetMode="External" Id="rId24"/><Relationship Type="http://schemas.openxmlformats.org/officeDocument/2006/relationships/hyperlink" Target="https://cdn.shopify.com/s/files/1/0792/5098/1063/files/50f96559dd878ae5bbee14ba7a34337ccd740d21a8ffe86a8a1be819656d26c0_138364e3-3d1c-426f-92a3-317dccefdfb3.jpg?v=1787242324" TargetMode="External" Id="rId25"/><Relationship Type="http://schemas.openxmlformats.org/officeDocument/2006/relationships/hyperlink" Target="https://cdn.shopify.com/s/files/1/0792/5098/1063/files/50f96559dd878ae5bbee14ba7a34337ccd740d21a8ffe86a8a1be819656d26c0_138364e3-3d1c-426f-92a3-317dccefdfb3.jpg?v=1787242324" TargetMode="External" Id="rId26"/><Relationship Type="http://schemas.openxmlformats.org/officeDocument/2006/relationships/hyperlink" Target="https://cdn.shopify.com/s/files/1/0792/5098/1063/files/d6b8438a259ef28ba839a68ba108f40464bc9629b0bc2168779fc7776c9cbffa_bc33aecb-4db9-4354-b1fd-308ab7d32cd9.jpg?v=1787242324" TargetMode="External" Id="rId27"/><Relationship Type="http://schemas.openxmlformats.org/officeDocument/2006/relationships/hyperlink" Target="https://cdn.shopify.com/s/files/1/0792/5098/1063/files/d6b8438a259ef28ba839a68ba108f40464bc9629b0bc2168779fc7776c9cbffa_bc33aecb-4db9-4354-b1fd-308ab7d32cd9.jpg?v=1787242324" TargetMode="External" Id="rId28"/><Relationship Type="http://schemas.openxmlformats.org/officeDocument/2006/relationships/hyperlink" Target="https://cdn.shopify.com/s/files/1/0792/5098/1063/files/0fd40d9335554d99de52ba6149196d8c8282f53db344007b27c3052e0709ff05.jpg?v=1787242319" TargetMode="External" Id="rId29"/><Relationship Type="http://schemas.openxmlformats.org/officeDocument/2006/relationships/hyperlink" Target="https://cdn.shopify.com/s/files/1/0792/5098/1063/files/0fd40d9335554d99de52ba6149196d8c8282f53db344007b27c3052e0709ff05.jpg?v=1787242319" TargetMode="External" Id="rId30"/><Relationship Type="http://schemas.openxmlformats.org/officeDocument/2006/relationships/hyperlink" Target="https://cdn.shopify.com/s/files/1/0792/5098/1063/files/d51e3360a3e4b984af63b01c4b53d517484ca3d6cb1beeea158bcf59acab9ed4_59311fff-acce-42d1-bb00-a7b6db166fcd.jpg?v=1787242319" TargetMode="External" Id="rId31"/><Relationship Type="http://schemas.openxmlformats.org/officeDocument/2006/relationships/hyperlink" Target="https://cdn.shopify.com/s/files/1/0792/5098/1063/files/d51e3360a3e4b984af63b01c4b53d517484ca3d6cb1beeea158bcf59acab9ed4_59311fff-acce-42d1-bb00-a7b6db166fcd.jpg?v=1787242319" TargetMode="External" Id="rId32"/><Relationship Type="http://schemas.openxmlformats.org/officeDocument/2006/relationships/hyperlink" Target="https://cdn.shopify.com/s/files/1/0792/5098/1063/files/ef81c56fe7d5f4f60045bfbd0778e14ad11ce2a6824c23132d2b864ef763fe85_f77bbc82-6b12-4d2d-8e3f-c92c0936c85f.jpg?v=1787242319" TargetMode="External" Id="rId33"/><Relationship Type="http://schemas.openxmlformats.org/officeDocument/2006/relationships/hyperlink" Target="https://cdn.shopify.com/s/files/1/0792/5098/1063/files/ef81c56fe7d5f4f60045bfbd0778e14ad11ce2a6824c23132d2b864ef763fe85_f77bbc82-6b12-4d2d-8e3f-c92c0936c85f.jpg?v=1787242319" TargetMode="External" Id="rId34"/><Relationship Type="http://schemas.openxmlformats.org/officeDocument/2006/relationships/hyperlink" Target="https://cdn.shopify.com/s/files/1/0792/5098/1063/files/b495d9b37eafdceff5caf3643256f7b3a83de826d49a14bdc531b13424296018_bbfe5d74-1e7b-45c5-b218-3e4035c49e22.jpg?v=1787242319" TargetMode="External" Id="rId35"/><Relationship Type="http://schemas.openxmlformats.org/officeDocument/2006/relationships/hyperlink" Target="https://cdn.shopify.com/s/files/1/0792/5098/1063/files/b495d9b37eafdceff5caf3643256f7b3a83de826d49a14bdc531b13424296018_bbfe5d74-1e7b-45c5-b218-3e4035c49e22.jpg?v=1787242319" TargetMode="External" Id="rId36"/><Relationship Type="http://schemas.openxmlformats.org/officeDocument/2006/relationships/hyperlink" Target="https://cdn.shopify.com/s/files/1/0792/5098/1063/files/61c881e384a92769ae7d3f5be9cb5a95fc23436bdd571361509748c60fc5a8bd.jpg?v=1787242323" TargetMode="External" Id="rId37"/><Relationship Type="http://schemas.openxmlformats.org/officeDocument/2006/relationships/hyperlink" Target="https://cdn.shopify.com/s/files/1/0792/5098/1063/files/61c881e384a92769ae7d3f5be9cb5a95fc23436bdd571361509748c60fc5a8bd.jpg?v=1787242323" TargetMode="External" Id="rId38"/><Relationship Type="http://schemas.openxmlformats.org/officeDocument/2006/relationships/hyperlink" Target="https://cdn.shopify.com/s/files/1/0792/5098/1063/files/d51e3360a3e4b984af63b01c4b53d517484ca3d6cb1beeea158bcf59acab9ed4_1025c681-4c57-4854-9544-806e7177fa97.jpg?v=1787242323" TargetMode="External" Id="rId39"/><Relationship Type="http://schemas.openxmlformats.org/officeDocument/2006/relationships/hyperlink" Target="https://cdn.shopify.com/s/files/1/0792/5098/1063/files/d51e3360a3e4b984af63b01c4b53d517484ca3d6cb1beeea158bcf59acab9ed4_1025c681-4c57-4854-9544-806e7177fa97.jpg?v=1787242323" TargetMode="External" Id="rId40"/><Relationship Type="http://schemas.openxmlformats.org/officeDocument/2006/relationships/hyperlink" Target="https://cdn.shopify.com/s/files/1/0792/5098/1063/files/ef81c56fe7d5f4f60045bfbd0778e14ad11ce2a6824c23132d2b864ef763fe85_3300ba49-d34d-4474-ad91-ba64390bf805.jpg?v=1787242323" TargetMode="External" Id="rId41"/><Relationship Type="http://schemas.openxmlformats.org/officeDocument/2006/relationships/hyperlink" Target="https://cdn.shopify.com/s/files/1/0792/5098/1063/files/ef81c56fe7d5f4f60045bfbd0778e14ad11ce2a6824c23132d2b864ef763fe85_3300ba49-d34d-4474-ad91-ba64390bf805.jpg?v=1787242323" TargetMode="External" Id="rId42"/><Relationship Type="http://schemas.openxmlformats.org/officeDocument/2006/relationships/hyperlink" Target="https://cdn.shopify.com/s/files/1/0792/5098/1063/files/b495d9b37eafdceff5caf3643256f7b3a83de826d49a14bdc531b13424296018_e2f47848-6b65-4978-a1aa-d21f7f641bc3.jpg?v=1787242323" TargetMode="External" Id="rId43"/><Relationship Type="http://schemas.openxmlformats.org/officeDocument/2006/relationships/hyperlink" Target="https://cdn.shopify.com/s/files/1/0792/5098/1063/files/b495d9b37eafdceff5caf3643256f7b3a83de826d49a14bdc531b13424296018_e2f47848-6b65-4978-a1aa-d21f7f641bc3.jpg?v=1787242323" TargetMode="External" Id="rId44"/><Relationship Type="http://schemas.openxmlformats.org/officeDocument/2006/relationships/hyperlink" Target="https://cdn.shopify.com/s/files/1/0792/5098/1063/files/e4e2338aa85d3f668a15c82fa2ea0cfb93432ed8792267b4e09f9f55c1cf8b2e.jpg?v=1787242327" TargetMode="External" Id="rId45"/><Relationship Type="http://schemas.openxmlformats.org/officeDocument/2006/relationships/hyperlink" Target="https://cdn.shopify.com/s/files/1/0792/5098/1063/files/e4e2338aa85d3f668a15c82fa2ea0cfb93432ed8792267b4e09f9f55c1cf8b2e.jpg?v=1787242327" TargetMode="External" Id="rId46"/><Relationship Type="http://schemas.openxmlformats.org/officeDocument/2006/relationships/hyperlink" Target="https://cdn.shopify.com/s/files/1/0792/5098/1063/files/b495d9b37eafdceff5caf3643256f7b3a83de826d49a14bdc531b13424296018_ade7b3a6-edb2-4827-b781-31d55abd0e12.jpg?v=1787242327" TargetMode="External" Id="rId47"/><Relationship Type="http://schemas.openxmlformats.org/officeDocument/2006/relationships/hyperlink" Target="https://cdn.shopify.com/s/files/1/0792/5098/1063/files/b495d9b37eafdceff5caf3643256f7b3a83de826d49a14bdc531b13424296018_ade7b3a6-edb2-4827-b781-31d55abd0e12.jpg?v=1787242327" TargetMode="External" Id="rId48"/><Relationship Type="http://schemas.openxmlformats.org/officeDocument/2006/relationships/hyperlink" Target="https://cdn.shopify.com/s/files/1/0792/5098/1063/files/d51e3360a3e4b984af63b01c4b53d517484ca3d6cb1beeea158bcf59acab9ed4_977041c9-eadf-4e13-8d3a-c5486389ed7f.jpg?v=1787242328" TargetMode="External" Id="rId49"/><Relationship Type="http://schemas.openxmlformats.org/officeDocument/2006/relationships/hyperlink" Target="https://cdn.shopify.com/s/files/1/0792/5098/1063/files/d51e3360a3e4b984af63b01c4b53d517484ca3d6cb1beeea158bcf59acab9ed4_977041c9-eadf-4e13-8d3a-c5486389ed7f.jpg?v=1787242328" TargetMode="External" Id="rId50"/><Relationship Type="http://schemas.openxmlformats.org/officeDocument/2006/relationships/hyperlink" Target="https://cdn.shopify.com/s/files/1/0792/5098/1063/files/ef81c56fe7d5f4f60045bfbd0778e14ad11ce2a6824c23132d2b864ef763fe85_086abb91-5272-4549-8a43-f5abe073b73e.jpg?v=1787242328" TargetMode="External" Id="rId51"/><Relationship Type="http://schemas.openxmlformats.org/officeDocument/2006/relationships/hyperlink" Target="https://cdn.shopify.com/s/files/1/0792/5098/1063/files/ef81c56fe7d5f4f60045bfbd0778e14ad11ce2a6824c23132d2b864ef763fe85_086abb91-5272-4549-8a43-f5abe073b73e.jpg?v=1787242328" TargetMode="External" Id="rId52"/><Relationship Type="http://schemas.openxmlformats.org/officeDocument/2006/relationships/hyperlink" Target="https://cdn.shopify.com/s/files/1/0792/5098/1063/files/8a848b0ed0b502d09e60f9124d8e753486022275aa6cabec6be40339d169fd60.jpg?v=1787242336" TargetMode="External" Id="rId53"/><Relationship Type="http://schemas.openxmlformats.org/officeDocument/2006/relationships/hyperlink" Target="https://cdn.shopify.com/s/files/1/0792/5098/1063/files/8a848b0ed0b502d09e60f9124d8e753486022275aa6cabec6be40339d169fd60.jpg?v=1787242336" TargetMode="External" Id="rId54"/><Relationship Type="http://schemas.openxmlformats.org/officeDocument/2006/relationships/hyperlink" Target="https://cdn.shopify.com/s/files/1/0792/5098/1063/files/ef81c56fe7d5f4f60045bfbd0778e14ad11ce2a6824c23132d2b864ef763fe85_47a699a0-1210-4b1b-a0ec-36dfe737eef3.jpg?v=1787242336" TargetMode="External" Id="rId55"/><Relationship Type="http://schemas.openxmlformats.org/officeDocument/2006/relationships/hyperlink" Target="https://cdn.shopify.com/s/files/1/0792/5098/1063/files/ef81c56fe7d5f4f60045bfbd0778e14ad11ce2a6824c23132d2b864ef763fe85_47a699a0-1210-4b1b-a0ec-36dfe737eef3.jpg?v=1787242336" TargetMode="External" Id="rId56"/><Relationship Type="http://schemas.openxmlformats.org/officeDocument/2006/relationships/hyperlink" Target="https://cdn.shopify.com/s/files/1/0792/5098/1063/files/b495d9b37eafdceff5caf3643256f7b3a83de826d49a14bdc531b13424296018_ed380f76-8a95-4ffa-9450-96511fe8e841.jpg?v=1787242336" TargetMode="External" Id="rId57"/><Relationship Type="http://schemas.openxmlformats.org/officeDocument/2006/relationships/hyperlink" Target="https://cdn.shopify.com/s/files/1/0792/5098/1063/files/b495d9b37eafdceff5caf3643256f7b3a83de826d49a14bdc531b13424296018_ed380f76-8a95-4ffa-9450-96511fe8e841.jpg?v=1787242336" TargetMode="External" Id="rId58"/><Relationship Type="http://schemas.openxmlformats.org/officeDocument/2006/relationships/hyperlink" Target="https://cdn.shopify.com/s/files/1/0792/5098/1063/files/d51e3360a3e4b984af63b01c4b53d517484ca3d6cb1beeea158bcf59acab9ed4_a6ef995a-d4c4-4f6b-badb-65a4e158b3aa.jpg?v=1787242336" TargetMode="External" Id="rId59"/><Relationship Type="http://schemas.openxmlformats.org/officeDocument/2006/relationships/hyperlink" Target="https://cdn.shopify.com/s/files/1/0792/5098/1063/files/d51e3360a3e4b984af63b01c4b53d517484ca3d6cb1beeea158bcf59acab9ed4_a6ef995a-d4c4-4f6b-badb-65a4e158b3aa.jpg?v=1787242336" TargetMode="External" Id="rId60"/><Relationship Type="http://schemas.openxmlformats.org/officeDocument/2006/relationships/hyperlink" Target="https://cdn.shopify.com/s/files/1/0792/5098/1063/files/76f774a931f7c5c91510a65804cd4a186b89f7020c009e61c6b0e85896bf0d67.jpg?v=1787242346" TargetMode="External" Id="rId61"/><Relationship Type="http://schemas.openxmlformats.org/officeDocument/2006/relationships/hyperlink" Target="https://cdn.shopify.com/s/files/1/0792/5098/1063/files/76f774a931f7c5c91510a65804cd4a186b89f7020c009e61c6b0e85896bf0d67.jpg?v=1787242346" TargetMode="External" Id="rId62"/><Relationship Type="http://schemas.openxmlformats.org/officeDocument/2006/relationships/hyperlink" Target="https://cdn.shopify.com/s/files/1/0792/5098/1063/files/d51e3360a3e4b984af63b01c4b53d517484ca3d6cb1beeea158bcf59acab9ed4_9b6781cf-bf91-418d-9730-583bfde9e558.jpg?v=1787242345" TargetMode="External" Id="rId63"/><Relationship Type="http://schemas.openxmlformats.org/officeDocument/2006/relationships/hyperlink" Target="https://cdn.shopify.com/s/files/1/0792/5098/1063/files/d51e3360a3e4b984af63b01c4b53d517484ca3d6cb1beeea158bcf59acab9ed4_9b6781cf-bf91-418d-9730-583bfde9e558.jpg?v=1787242345" TargetMode="External" Id="rId64"/><Relationship Type="http://schemas.openxmlformats.org/officeDocument/2006/relationships/hyperlink" Target="https://cdn.shopify.com/s/files/1/0792/5098/1063/files/ef81c56fe7d5f4f60045bfbd0778e14ad11ce2a6824c23132d2b864ef763fe85_51634434-5014-45d6-994f-821922c04116.jpg?v=1787242345" TargetMode="External" Id="rId65"/><Relationship Type="http://schemas.openxmlformats.org/officeDocument/2006/relationships/hyperlink" Target="https://cdn.shopify.com/s/files/1/0792/5098/1063/files/ef81c56fe7d5f4f60045bfbd0778e14ad11ce2a6824c23132d2b864ef763fe85_51634434-5014-45d6-994f-821922c04116.jpg?v=1787242345" TargetMode="External" Id="rId66"/><Relationship Type="http://schemas.openxmlformats.org/officeDocument/2006/relationships/hyperlink" Target="https://cdn.shopify.com/s/files/1/0792/5098/1063/files/b495d9b37eafdceff5caf3643256f7b3a83de826d49a14bdc531b13424296018_41990bf5-b2e6-47ee-a38f-4d52044d7358.jpg?v=1787242345" TargetMode="External" Id="rId67"/><Relationship Type="http://schemas.openxmlformats.org/officeDocument/2006/relationships/hyperlink" Target="https://cdn.shopify.com/s/files/1/0792/5098/1063/files/b495d9b37eafdceff5caf3643256f7b3a83de826d49a14bdc531b13424296018_41990bf5-b2e6-47ee-a38f-4d52044d7358.jpg?v=1787242345" TargetMode="External" Id="rId68"/><Relationship Type="http://schemas.openxmlformats.org/officeDocument/2006/relationships/hyperlink" Target="https://cdn.shopify.com/s/files/1/0792/5098/1063/files/9df70f0343a5c034d346fd9dde42e97c78ba2ce598854a71221d454a2ee76637.jpg?v=1787242356" TargetMode="External" Id="rId69"/><Relationship Type="http://schemas.openxmlformats.org/officeDocument/2006/relationships/hyperlink" Target="https://cdn.shopify.com/s/files/1/0792/5098/1063/files/9df70f0343a5c034d346fd9dde42e97c78ba2ce598854a71221d454a2ee76637.jpg?v=1787242356" TargetMode="External" Id="rId70"/><Relationship Type="http://schemas.openxmlformats.org/officeDocument/2006/relationships/hyperlink" Target="https://cdn.shopify.com/s/files/1/0792/5098/1063/files/ef81c56fe7d5f4f60045bfbd0778e14ad11ce2a6824c23132d2b864ef763fe85_2c0d3b65-9875-4c85-ac53-191c0128b2e4.jpg?v=1787242356" TargetMode="External" Id="rId71"/><Relationship Type="http://schemas.openxmlformats.org/officeDocument/2006/relationships/hyperlink" Target="https://cdn.shopify.com/s/files/1/0792/5098/1063/files/ef81c56fe7d5f4f60045bfbd0778e14ad11ce2a6824c23132d2b864ef763fe85_2c0d3b65-9875-4c85-ac53-191c0128b2e4.jpg?v=1787242356" TargetMode="External" Id="rId72"/><Relationship Type="http://schemas.openxmlformats.org/officeDocument/2006/relationships/hyperlink" Target="https://cdn.shopify.com/s/files/1/0792/5098/1063/files/b495d9b37eafdceff5caf3643256f7b3a83de826d49a14bdc531b13424296018_f0ab96a2-f663-4cfb-be58-fb49e4b15426.jpg?v=1787242356" TargetMode="External" Id="rId73"/><Relationship Type="http://schemas.openxmlformats.org/officeDocument/2006/relationships/hyperlink" Target="https://cdn.shopify.com/s/files/1/0792/5098/1063/files/b495d9b37eafdceff5caf3643256f7b3a83de826d49a14bdc531b13424296018_f0ab96a2-f663-4cfb-be58-fb49e4b15426.jpg?v=1787242356" TargetMode="External" Id="rId74"/><Relationship Type="http://schemas.openxmlformats.org/officeDocument/2006/relationships/hyperlink" Target="https://cdn.shopify.com/s/files/1/0792/5098/1063/files/d51e3360a3e4b984af63b01c4b53d517484ca3d6cb1beeea158bcf59acab9ed4_0af73dba-e243-4566-bbfe-d666cef91f7d.jpg?v=1787242356" TargetMode="External" Id="rId75"/><Relationship Type="http://schemas.openxmlformats.org/officeDocument/2006/relationships/hyperlink" Target="https://cdn.shopify.com/s/files/1/0792/5098/1063/files/d51e3360a3e4b984af63b01c4b53d517484ca3d6cb1beeea158bcf59acab9ed4_0af73dba-e243-4566-bbfe-d666cef91f7d.jpg?v=1787242356" TargetMode="External" Id="rId76"/><Relationship Type="http://schemas.openxmlformats.org/officeDocument/2006/relationships/hyperlink" Target="https://cdn.shopify.com/s/files/1/0792/5098/1063/files/48589fe36faa0094c3abd003db43e21d9258e2fb97447a7de81929f16ea14bd3.jpg?v=1787242367" TargetMode="External" Id="rId77"/><Relationship Type="http://schemas.openxmlformats.org/officeDocument/2006/relationships/hyperlink" Target="https://cdn.shopify.com/s/files/1/0792/5098/1063/files/48589fe36faa0094c3abd003db43e21d9258e2fb97447a7de81929f16ea14bd3.jpg?v=1787242367" TargetMode="External" Id="rId78"/><Relationship Type="http://schemas.openxmlformats.org/officeDocument/2006/relationships/hyperlink" Target="https://cdn.shopify.com/s/files/1/0792/5098/1063/files/d51e3360a3e4b984af63b01c4b53d517484ca3d6cb1beeea158bcf59acab9ed4_33425e99-0e1b-4fa3-869f-6f88624fdbc2.jpg?v=1787242367" TargetMode="External" Id="rId79"/><Relationship Type="http://schemas.openxmlformats.org/officeDocument/2006/relationships/hyperlink" Target="https://cdn.shopify.com/s/files/1/0792/5098/1063/files/d51e3360a3e4b984af63b01c4b53d517484ca3d6cb1beeea158bcf59acab9ed4_33425e99-0e1b-4fa3-869f-6f88624fdbc2.jpg?v=1787242367" TargetMode="External" Id="rId80"/><Relationship Type="http://schemas.openxmlformats.org/officeDocument/2006/relationships/hyperlink" Target="https://cdn.shopify.com/s/files/1/0792/5098/1063/files/ef81c56fe7d5f4f60045bfbd0778e14ad11ce2a6824c23132d2b864ef763fe85_766ef4c1-884c-44d5-827f-36e14e40edcc.jpg?v=1787242367" TargetMode="External" Id="rId81"/><Relationship Type="http://schemas.openxmlformats.org/officeDocument/2006/relationships/hyperlink" Target="https://cdn.shopify.com/s/files/1/0792/5098/1063/files/ef81c56fe7d5f4f60045bfbd0778e14ad11ce2a6824c23132d2b864ef763fe85_766ef4c1-884c-44d5-827f-36e14e40edcc.jpg?v=1787242367" TargetMode="External" Id="rId82"/><Relationship Type="http://schemas.openxmlformats.org/officeDocument/2006/relationships/hyperlink" Target="https://cdn.shopify.com/s/files/1/0792/5098/1063/files/b495d9b37eafdceff5caf3643256f7b3a83de826d49a14bdc531b13424296018_c1b435da-31ed-49cb-90f8-62de1a425cc9.jpg?v=1787242367" TargetMode="External" Id="rId83"/><Relationship Type="http://schemas.openxmlformats.org/officeDocument/2006/relationships/hyperlink" Target="https://cdn.shopify.com/s/files/1/0792/5098/1063/files/b495d9b37eafdceff5caf3643256f7b3a83de826d49a14bdc531b13424296018_c1b435da-31ed-49cb-90f8-62de1a425cc9.jpg?v=1787242367" TargetMode="External" Id="rId84"/><Relationship Type="http://schemas.openxmlformats.org/officeDocument/2006/relationships/hyperlink" Target="https://cdn.shopify.com/s/files/1/0792/5098/1063/files/11df9a4659d388206c41b6ce006bba9cd9188c4599d5b1e80f4bbcd5c77de54c.jpg?v=1787242376" TargetMode="External" Id="rId85"/><Relationship Type="http://schemas.openxmlformats.org/officeDocument/2006/relationships/hyperlink" Target="https://cdn.shopify.com/s/files/1/0792/5098/1063/files/11df9a4659d388206c41b6ce006bba9cd9188c4599d5b1e80f4bbcd5c77de54c.jpg?v=1787242376" TargetMode="External" Id="rId86"/><Relationship Type="http://schemas.openxmlformats.org/officeDocument/2006/relationships/hyperlink" Target="https://cdn.shopify.com/s/files/1/0792/5098/1063/files/ef81c56fe7d5f4f60045bfbd0778e14ad11ce2a6824c23132d2b864ef763fe85_4855d557-0638-463c-b5c7-05579b820495.jpg?v=1787242376" TargetMode="External" Id="rId87"/><Relationship Type="http://schemas.openxmlformats.org/officeDocument/2006/relationships/hyperlink" Target="https://cdn.shopify.com/s/files/1/0792/5098/1063/files/ef81c56fe7d5f4f60045bfbd0778e14ad11ce2a6824c23132d2b864ef763fe85_4855d557-0638-463c-b5c7-05579b820495.jpg?v=1787242376" TargetMode="External" Id="rId88"/><Relationship Type="http://schemas.openxmlformats.org/officeDocument/2006/relationships/hyperlink" Target="https://cdn.shopify.com/s/files/1/0792/5098/1063/files/b495d9b37eafdceff5caf3643256f7b3a83de826d49a14bdc531b13424296018_b3a0dd2b-a99d-414d-a718-2cbc419deb98.jpg?v=1787242376" TargetMode="External" Id="rId89"/><Relationship Type="http://schemas.openxmlformats.org/officeDocument/2006/relationships/hyperlink" Target="https://cdn.shopify.com/s/files/1/0792/5098/1063/files/b495d9b37eafdceff5caf3643256f7b3a83de826d49a14bdc531b13424296018_b3a0dd2b-a99d-414d-a718-2cbc419deb98.jpg?v=1787242376" TargetMode="External" Id="rId90"/><Relationship Type="http://schemas.openxmlformats.org/officeDocument/2006/relationships/hyperlink" Target="https://cdn.shopify.com/s/files/1/0792/5098/1063/files/d51e3360a3e4b984af63b01c4b53d517484ca3d6cb1beeea158bcf59acab9ed4_6b97eed2-12e5-4dfe-b90c-c6cb2b7ed923.jpg?v=1787242376" TargetMode="External" Id="rId91"/><Relationship Type="http://schemas.openxmlformats.org/officeDocument/2006/relationships/hyperlink" Target="https://cdn.shopify.com/s/files/1/0792/5098/1063/files/d51e3360a3e4b984af63b01c4b53d517484ca3d6cb1beeea158bcf59acab9ed4_6b97eed2-12e5-4dfe-b90c-c6cb2b7ed923.jpg?v=1787242376" TargetMode="External" Id="rId92"/></Relationships>
</file>

<file path=xl/worksheets/sheet1.xml><?xml version="1.0" encoding="utf-8"?>
<worksheet xmlns="http://schemas.openxmlformats.org/spreadsheetml/2006/main">
  <sheetPr>
    <outlinePr summaryBelow="1" summaryRight="1"/>
    <pageSetUpPr fitToPage="1"/>
  </sheetPr>
  <dimension ref="A1:C15"/>
  <sheetViews>
    <sheetView showGridLines="0" workbookViewId="0">
      <pane ySplit="1" topLeftCell="A2" activePane="bottomLeft" state="frozen"/>
      <selection pane="bottomLeft" activeCell="A1" sqref="A1"/>
    </sheetView>
  </sheetViews>
  <sheetFormatPr baseColWidth="8" defaultRowHeight="15"/>
  <cols>
    <col width="23"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shop_domain</t>
        </is>
      </c>
      <c r="B2" s="2" t="inlineStr">
        <is>
          <t>jeminise.com</t>
        </is>
      </c>
      <c r="C2" s="2" t="inlineStr">
        <is>
          <t>Shop being QAed.</t>
        </is>
      </c>
    </row>
    <row r="3" ht="42" customHeight="1">
      <c r="A3" s="3" t="inlineStr">
        <is>
          <t>source_run_id</t>
        </is>
      </c>
      <c r="B3" s="3" t="inlineStr">
        <is>
          <t>20260906_234129</t>
        </is>
      </c>
      <c r="C3" s="3" t="inlineStr">
        <is>
          <t>Original SEO drafting run.</t>
        </is>
      </c>
    </row>
    <row r="4" ht="42" customHeight="1">
      <c r="A4" s="2" t="inlineStr">
        <is>
          <t>qa_run_id</t>
        </is>
      </c>
      <c r="B4" s="2" t="inlineStr">
        <is>
          <t>20260907_214100</t>
        </is>
      </c>
      <c r="C4" s="2" t="inlineStr">
        <is>
          <t>QA run folder for this corrected rerun.</t>
        </is>
      </c>
    </row>
    <row r="5" ht="42" customHeight="1">
      <c r="A5" s="3" t="inlineStr">
        <is>
          <t>qa_batch_id</t>
        </is>
      </c>
      <c r="B5" s="3" t="inlineStr">
        <is>
          <t>qa_batch_020</t>
        </is>
      </c>
      <c r="C5" s="3" t="inlineStr">
        <is>
          <t>Batch being independently checked.</t>
        </is>
      </c>
    </row>
    <row r="6" ht="42" customHeight="1">
      <c r="A6" s="2" t="inlineStr">
        <is>
          <t>revision</t>
        </is>
      </c>
      <c r="B6" s="2" t="inlineStr">
        <is>
          <t>r1</t>
        </is>
      </c>
      <c r="C6" s="2" t="inlineStr">
        <is>
          <t>Initial independent QA revision for qa_batch_020.</t>
        </is>
      </c>
    </row>
    <row r="7" ht="42" customHeight="1">
      <c r="A7" s="3" t="inlineStr">
        <is>
          <t>source_workbook</t>
        </is>
      </c>
      <c r="B7" s="3" t="inlineStr">
        <is>
          <t>D:\Shopify_Workspace\jeminise_seo\resutls\jeminise.com\20260906_234129\batches\SEO_Product_Optimization_through_batch_020.xlsx</t>
        </is>
      </c>
      <c r="C7" s="3" t="inlineStr">
        <is>
          <t>Frozen workbook source path.</t>
        </is>
      </c>
    </row>
    <row r="8" ht="42" customHeight="1">
      <c r="A8" s="2" t="inlineStr">
        <is>
          <t>source_sha256</t>
        </is>
      </c>
      <c r="B8" s="2" t="inlineStr">
        <is>
          <t>513379577FAB118478068CC65AEFDA27D16A01A945472683ED57FEAA1C80D5C4</t>
        </is>
      </c>
      <c r="C8" s="2" t="inlineStr">
        <is>
          <t>SHA-256 at freeze/final handoff time.</t>
        </is>
      </c>
    </row>
    <row r="9" ht="42" customHeight="1">
      <c r="A9" s="3" t="inlineStr">
        <is>
          <t>snapshot_sha256</t>
        </is>
      </c>
      <c r="B9" s="3" t="inlineStr">
        <is>
          <t>513379577FAB118478068CC65AEFDA27D16A01A945472683ED57FEAA1C80D5C4</t>
        </is>
      </c>
      <c r="C9" s="3" t="inlineStr">
        <is>
          <t>SHA-256 of workbook copy in source_snapshot.</t>
        </is>
      </c>
    </row>
    <row r="10" ht="42" customHeight="1">
      <c r="A10" s="2" t="inlineStr">
        <is>
          <t>scope</t>
        </is>
      </c>
      <c r="B10" s="2" t="inlineStr">
        <is>
          <t>10 products, 46/46 images</t>
        </is>
      </c>
      <c r="C10" s="2" t="inlineStr">
        <is>
          <t>Batch scope and image coverage.</t>
        </is>
      </c>
    </row>
    <row r="11" ht="42" customHeight="1">
      <c r="A11" s="3" t="inlineStr">
        <is>
          <t>batch_final_score</t>
        </is>
      </c>
      <c r="B11" s="3">
        <f>AVERAGE('QA_Products'!$K$2:$K$11)</f>
        <v/>
      </c>
      <c r="C11" s="3" t="inlineStr">
        <is>
          <t>Formula-driven average final score in workbook.</t>
        </is>
      </c>
    </row>
    <row r="12" ht="42" customHeight="1">
      <c r="A12" s="2" t="inlineStr">
        <is>
          <t>batch_result</t>
        </is>
      </c>
      <c r="B12" s="2">
        <f>IF(COUNTIF('QA_Products'!$L$2:$L$11,"QA_PASS")=ROWS('QA_Products'!$L$2:$L$11),"PASSED","NOT_PASSED")</f>
        <v/>
      </c>
      <c r="C12" s="2" t="inlineStr">
        <is>
          <t>PASSED only if all products are QA_PASS.</t>
        </is>
      </c>
    </row>
    <row r="13" ht="42" customHeight="1">
      <c r="A13" s="3" t="inlineStr">
        <is>
          <t>status_counts</t>
        </is>
      </c>
      <c r="B13" s="3">
        <f>"PASS="&amp;COUNTIF('QA_Products'!$L$2:$L$11,"QA_PASS")&amp;"; REVISE="&amp;COUNTIF('QA_Products'!$L$2:$L$11,"QA_REVISE")&amp;"; FAIL="&amp;COUNTIF('QA_Products'!$L$2:$L$11,"QA_FAIL")&amp;"; INCOMPLETE="&amp;COUNTIF('QA_Products'!$L$2:$L$11,"QA_INCOMPLETE")</f>
        <v/>
      </c>
      <c r="C13" s="3" t="inlineStr">
        <is>
          <t>Product QA status counts.</t>
        </is>
      </c>
    </row>
    <row r="14" ht="42" customHeight="1">
      <c r="A14" s="2" t="inlineStr">
        <is>
          <t>issue_counts</t>
        </is>
      </c>
      <c r="B14" s="2" t="inlineStr">
        <is>
          <t>CRITICAL=0; MAJOR=20; MINOR=44; LIMITATION=10</t>
        </is>
      </c>
      <c r="C14" s="2" t="inlineStr">
        <is>
          <t>Issue severity counts.</t>
        </is>
      </c>
    </row>
    <row r="15" ht="42" customHeight="1">
      <c r="A15" s="3" t="inlineStr">
        <is>
          <t>awaiting_confirmation</t>
        </is>
      </c>
      <c r="B15" s="3" t="b">
        <v>1</v>
      </c>
      <c r="C15" s="3" t="inlineStr">
        <is>
          <t>Do not QA next batch until user confirms.</t>
        </is>
      </c>
    </row>
  </sheetData>
  <autoFilter ref="A1:C15"/>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191</v>
      </c>
      <c r="B2" s="2" t="inlineStr">
        <is>
          <t>jeminise.com+personalized-baseball-bedding-full-size-flag-custom-name-d-design-16</t>
        </is>
      </c>
      <c r="C2" s="4" t="inlineStr">
        <is>
          <t>https://jeminise.com/products/personalized-baseball-bedding-full-size-flag-custom-name-d-design-16</t>
        </is>
      </c>
      <c r="D2" s="2" t="inlineStr">
        <is>
          <t>personalized-baseball-bedding-full-size-flag-custom-name-d-design-16</t>
        </is>
      </c>
      <c r="E2" s="2" t="inlineStr">
        <is>
          <t>8867179954375</t>
        </is>
      </c>
      <c r="F2" s="2" t="inlineStr">
        <is>
          <t>r1</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7</v>
      </c>
      <c r="O2" s="2" t="n">
        <v>7</v>
      </c>
      <c r="P2" s="2" t="b">
        <v>1</v>
      </c>
      <c r="Q2" s="6" t="n">
        <v>1</v>
      </c>
      <c r="R2" s="2">
        <f>COUNTIFS('QA_Issues'!$B$2:$B$75,B2,'QA_Issues'!$D$2:$D$75,"CRITICAL")</f>
        <v/>
      </c>
      <c r="S2" s="2">
        <f>COUNTIFS('QA_Issues'!$B$2:$B$75,B2,'QA_Issues'!$D$2:$D$75,"MAJOR")</f>
        <v/>
      </c>
      <c r="T2" s="2">
        <f>COUNTIFS('QA_Issues'!$B$2:$B$75,B2,'QA_Issues'!$D$2:$D$75,"MINOR")</f>
        <v/>
      </c>
      <c r="U2" s="2">
        <f>COUNTIFS('QA_Issues'!$B$2:$B$75,B2,'QA_Issues'!$D$2:$D$75,"LIMITATION")</f>
        <v/>
      </c>
      <c r="V2" s="2" t="inlineStr">
        <is>
          <t>ISSUE-0001; ISSUE-0002; ISSUE-0003; ISSUE-0004; ISSUE-0005; ISSUE-0006; ISSUE-0007; ISSUE-0008; ISSUE-0009</t>
        </is>
      </c>
      <c r="W2" s="2" t="inlineStr">
        <is>
          <t>evidence_batch_020_191; live_source_comparison; customizer_audit; serp_evidence</t>
        </is>
      </c>
    </row>
    <row r="3" ht="42" customHeight="1">
      <c r="A3" s="3" t="n">
        <v>192</v>
      </c>
      <c r="B3" s="3" t="inlineStr">
        <is>
          <t>jeminise.com+personalized-baseball-bedding-full-size-flag-custom-name-d-design-17</t>
        </is>
      </c>
      <c r="C3" s="4" t="inlineStr">
        <is>
          <t>https://jeminise.com/products/personalized-baseball-bedding-full-size-flag-custom-name-d-design-17</t>
        </is>
      </c>
      <c r="D3" s="3" t="inlineStr">
        <is>
          <t>personalized-baseball-bedding-full-size-flag-custom-name-d-design-17</t>
        </is>
      </c>
      <c r="E3" s="3" t="inlineStr">
        <is>
          <t>8867180052679</t>
        </is>
      </c>
      <c r="F3" s="3" t="inlineStr">
        <is>
          <t>r1</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7</v>
      </c>
      <c r="O3" s="3" t="n">
        <v>7</v>
      </c>
      <c r="P3" s="3" t="b">
        <v>1</v>
      </c>
      <c r="Q3" s="8" t="n">
        <v>1</v>
      </c>
      <c r="R3" s="3">
        <f>COUNTIFS('QA_Issues'!$B$2:$B$75,B3,'QA_Issues'!$D$2:$D$75,"CRITICAL")</f>
        <v/>
      </c>
      <c r="S3" s="3">
        <f>COUNTIFS('QA_Issues'!$B$2:$B$75,B3,'QA_Issues'!$D$2:$D$75,"MAJOR")</f>
        <v/>
      </c>
      <c r="T3" s="3">
        <f>COUNTIFS('QA_Issues'!$B$2:$B$75,B3,'QA_Issues'!$D$2:$D$75,"MINOR")</f>
        <v/>
      </c>
      <c r="U3" s="3">
        <f>COUNTIFS('QA_Issues'!$B$2:$B$75,B3,'QA_Issues'!$D$2:$D$75,"LIMITATION")</f>
        <v/>
      </c>
      <c r="V3" s="3" t="inlineStr">
        <is>
          <t>ISSUE-0010; ISSUE-0011; ISSUE-0012; ISSUE-0013; ISSUE-0014; ISSUE-0015; ISSUE-0016; ISSUE-0017; ISSUE-0018</t>
        </is>
      </c>
      <c r="W3" s="3" t="inlineStr">
        <is>
          <t>evidence_batch_020_192; live_source_comparison; customizer_audit; serp_evidence</t>
        </is>
      </c>
    </row>
    <row r="4" ht="42" customHeight="1">
      <c r="A4" s="2" t="n">
        <v>193</v>
      </c>
      <c r="B4" s="2" t="inlineStr">
        <is>
          <t>jeminise.com+personalized-baseball-bedding-full-size-flag-custom-name-d-design-18</t>
        </is>
      </c>
      <c r="C4" s="4" t="inlineStr">
        <is>
          <t>https://jeminise.com/products/personalized-baseball-bedding-full-size-flag-custom-name-d-design-18</t>
        </is>
      </c>
      <c r="D4" s="2" t="inlineStr">
        <is>
          <t>personalized-baseball-bedding-full-size-flag-custom-name-d-design-18</t>
        </is>
      </c>
      <c r="E4" s="2" t="inlineStr">
        <is>
          <t>8867179987143</t>
        </is>
      </c>
      <c r="F4" s="2" t="inlineStr">
        <is>
          <t>r1</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4</v>
      </c>
      <c r="O4" s="2" t="n">
        <v>4</v>
      </c>
      <c r="P4" s="2" t="b">
        <v>1</v>
      </c>
      <c r="Q4" s="6" t="n">
        <v>1</v>
      </c>
      <c r="R4" s="2">
        <f>COUNTIFS('QA_Issues'!$B$2:$B$75,B4,'QA_Issues'!$D$2:$D$75,"CRITICAL")</f>
        <v/>
      </c>
      <c r="S4" s="2">
        <f>COUNTIFS('QA_Issues'!$B$2:$B$75,B4,'QA_Issues'!$D$2:$D$75,"MAJOR")</f>
        <v/>
      </c>
      <c r="T4" s="2">
        <f>COUNTIFS('QA_Issues'!$B$2:$B$75,B4,'QA_Issues'!$D$2:$D$75,"MINOR")</f>
        <v/>
      </c>
      <c r="U4" s="2">
        <f>COUNTIFS('QA_Issues'!$B$2:$B$75,B4,'QA_Issues'!$D$2:$D$75,"LIMITATION")</f>
        <v/>
      </c>
      <c r="V4" s="2" t="inlineStr">
        <is>
          <t>ISSUE-0019; ISSUE-0020; ISSUE-0021; ISSUE-0022; ISSUE-0023; ISSUE-0024; ISSUE-0025</t>
        </is>
      </c>
      <c r="W4" s="2" t="inlineStr">
        <is>
          <t>evidence_batch_020_193; live_source_comparison; customizer_audit; serp_evidence</t>
        </is>
      </c>
    </row>
    <row r="5" ht="42" customHeight="1">
      <c r="A5" s="3" t="n">
        <v>194</v>
      </c>
      <c r="B5" s="3" t="inlineStr">
        <is>
          <t>jeminise.com+personalized-baseball-bedding-full-size-flag-custom-name-d-design-19</t>
        </is>
      </c>
      <c r="C5" s="4" t="inlineStr">
        <is>
          <t>https://jeminise.com/products/personalized-baseball-bedding-full-size-flag-custom-name-d-design-19</t>
        </is>
      </c>
      <c r="D5" s="3" t="inlineStr">
        <is>
          <t>personalized-baseball-bedding-full-size-flag-custom-name-d-design-19</t>
        </is>
      </c>
      <c r="E5" s="3" t="inlineStr">
        <is>
          <t>8867180019911</t>
        </is>
      </c>
      <c r="F5" s="3" t="inlineStr">
        <is>
          <t>r1</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4</v>
      </c>
      <c r="O5" s="3" t="n">
        <v>4</v>
      </c>
      <c r="P5" s="3" t="b">
        <v>1</v>
      </c>
      <c r="Q5" s="8" t="n">
        <v>1</v>
      </c>
      <c r="R5" s="3">
        <f>COUNTIFS('QA_Issues'!$B$2:$B$75,B5,'QA_Issues'!$D$2:$D$75,"CRITICAL")</f>
        <v/>
      </c>
      <c r="S5" s="3">
        <f>COUNTIFS('QA_Issues'!$B$2:$B$75,B5,'QA_Issues'!$D$2:$D$75,"MAJOR")</f>
        <v/>
      </c>
      <c r="T5" s="3">
        <f>COUNTIFS('QA_Issues'!$B$2:$B$75,B5,'QA_Issues'!$D$2:$D$75,"MINOR")</f>
        <v/>
      </c>
      <c r="U5" s="3">
        <f>COUNTIFS('QA_Issues'!$B$2:$B$75,B5,'QA_Issues'!$D$2:$D$75,"LIMITATION")</f>
        <v/>
      </c>
      <c r="V5" s="3" t="inlineStr">
        <is>
          <t>ISSUE-0026; ISSUE-0027; ISSUE-0028; ISSUE-0029; ISSUE-0030; ISSUE-0031; ISSUE-0032</t>
        </is>
      </c>
      <c r="W5" s="3" t="inlineStr">
        <is>
          <t>evidence_batch_020_194; live_source_comparison; customizer_audit; serp_evidence</t>
        </is>
      </c>
    </row>
    <row r="6" ht="42" customHeight="1">
      <c r="A6" s="2" t="n">
        <v>195</v>
      </c>
      <c r="B6" s="2" t="inlineStr">
        <is>
          <t>jeminise.com+personalized-baseball-bedding-full-size-flag-custom-name-d-design-20</t>
        </is>
      </c>
      <c r="C6" s="4" t="inlineStr">
        <is>
          <t>https://jeminise.com/products/personalized-baseball-bedding-full-size-flag-custom-name-d-design-20</t>
        </is>
      </c>
      <c r="D6" s="2" t="inlineStr">
        <is>
          <t>personalized-baseball-bedding-full-size-flag-custom-name-d-design-20</t>
        </is>
      </c>
      <c r="E6" s="2" t="inlineStr">
        <is>
          <t>8867180085447</t>
        </is>
      </c>
      <c r="F6" s="2" t="inlineStr">
        <is>
          <t>r1</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4</v>
      </c>
      <c r="O6" s="2" t="n">
        <v>4</v>
      </c>
      <c r="P6" s="2" t="b">
        <v>1</v>
      </c>
      <c r="Q6" s="6" t="n">
        <v>1</v>
      </c>
      <c r="R6" s="2">
        <f>COUNTIFS('QA_Issues'!$B$2:$B$75,B6,'QA_Issues'!$D$2:$D$75,"CRITICAL")</f>
        <v/>
      </c>
      <c r="S6" s="2">
        <f>COUNTIFS('QA_Issues'!$B$2:$B$75,B6,'QA_Issues'!$D$2:$D$75,"MAJOR")</f>
        <v/>
      </c>
      <c r="T6" s="2">
        <f>COUNTIFS('QA_Issues'!$B$2:$B$75,B6,'QA_Issues'!$D$2:$D$75,"MINOR")</f>
        <v/>
      </c>
      <c r="U6" s="2">
        <f>COUNTIFS('QA_Issues'!$B$2:$B$75,B6,'QA_Issues'!$D$2:$D$75,"LIMITATION")</f>
        <v/>
      </c>
      <c r="V6" s="2" t="inlineStr">
        <is>
          <t>ISSUE-0033; ISSUE-0034; ISSUE-0035; ISSUE-0036; ISSUE-0037; ISSUE-0038; ISSUE-0039</t>
        </is>
      </c>
      <c r="W6" s="2" t="inlineStr">
        <is>
          <t>evidence_batch_020_195; live_source_comparison; customizer_audit; serp_evidence</t>
        </is>
      </c>
    </row>
    <row r="7" ht="42" customHeight="1">
      <c r="A7" s="3" t="n">
        <v>196</v>
      </c>
      <c r="B7" s="3" t="inlineStr">
        <is>
          <t>jeminise.com+personalized-baseball-bedding-full-size-flag-custom-name-d-design-21</t>
        </is>
      </c>
      <c r="C7" s="4" t="inlineStr">
        <is>
          <t>https://jeminise.com/products/personalized-baseball-bedding-full-size-flag-custom-name-d-design-21</t>
        </is>
      </c>
      <c r="D7" s="3" t="inlineStr">
        <is>
          <t>personalized-baseball-bedding-full-size-flag-custom-name-d-design-21</t>
        </is>
      </c>
      <c r="E7" s="3" t="inlineStr">
        <is>
          <t>8867180118215</t>
        </is>
      </c>
      <c r="F7" s="3" t="inlineStr">
        <is>
          <t>r1</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4</v>
      </c>
      <c r="O7" s="3" t="n">
        <v>4</v>
      </c>
      <c r="P7" s="3" t="b">
        <v>1</v>
      </c>
      <c r="Q7" s="8" t="n">
        <v>1</v>
      </c>
      <c r="R7" s="3">
        <f>COUNTIFS('QA_Issues'!$B$2:$B$75,B7,'QA_Issues'!$D$2:$D$75,"CRITICAL")</f>
        <v/>
      </c>
      <c r="S7" s="3">
        <f>COUNTIFS('QA_Issues'!$B$2:$B$75,B7,'QA_Issues'!$D$2:$D$75,"MAJOR")</f>
        <v/>
      </c>
      <c r="T7" s="3">
        <f>COUNTIFS('QA_Issues'!$B$2:$B$75,B7,'QA_Issues'!$D$2:$D$75,"MINOR")</f>
        <v/>
      </c>
      <c r="U7" s="3">
        <f>COUNTIFS('QA_Issues'!$B$2:$B$75,B7,'QA_Issues'!$D$2:$D$75,"LIMITATION")</f>
        <v/>
      </c>
      <c r="V7" s="3" t="inlineStr">
        <is>
          <t>ISSUE-0040; ISSUE-0041; ISSUE-0042; ISSUE-0043; ISSUE-0044; ISSUE-0045; ISSUE-0046</t>
        </is>
      </c>
      <c r="W7" s="3" t="inlineStr">
        <is>
          <t>evidence_batch_020_196; live_source_comparison; customizer_audit; serp_evidence</t>
        </is>
      </c>
    </row>
    <row r="8" ht="42" customHeight="1">
      <c r="A8" s="2" t="n">
        <v>197</v>
      </c>
      <c r="B8" s="2" t="inlineStr">
        <is>
          <t>jeminise.com+personalized-baseball-bedding-full-size-flag-custom-name-d-design-22</t>
        </is>
      </c>
      <c r="C8" s="4" t="inlineStr">
        <is>
          <t>https://jeminise.com/products/personalized-baseball-bedding-full-size-flag-custom-name-d-design-22</t>
        </is>
      </c>
      <c r="D8" s="2" t="inlineStr">
        <is>
          <t>personalized-baseball-bedding-full-size-flag-custom-name-d-design-22</t>
        </is>
      </c>
      <c r="E8" s="2" t="inlineStr">
        <is>
          <t>8867180150983</t>
        </is>
      </c>
      <c r="F8" s="2" t="inlineStr">
        <is>
          <t>r1</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4</v>
      </c>
      <c r="O8" s="2" t="n">
        <v>4</v>
      </c>
      <c r="P8" s="2" t="b">
        <v>1</v>
      </c>
      <c r="Q8" s="6" t="n">
        <v>1</v>
      </c>
      <c r="R8" s="2">
        <f>COUNTIFS('QA_Issues'!$B$2:$B$75,B8,'QA_Issues'!$D$2:$D$75,"CRITICAL")</f>
        <v/>
      </c>
      <c r="S8" s="2">
        <f>COUNTIFS('QA_Issues'!$B$2:$B$75,B8,'QA_Issues'!$D$2:$D$75,"MAJOR")</f>
        <v/>
      </c>
      <c r="T8" s="2">
        <f>COUNTIFS('QA_Issues'!$B$2:$B$75,B8,'QA_Issues'!$D$2:$D$75,"MINOR")</f>
        <v/>
      </c>
      <c r="U8" s="2">
        <f>COUNTIFS('QA_Issues'!$B$2:$B$75,B8,'QA_Issues'!$D$2:$D$75,"LIMITATION")</f>
        <v/>
      </c>
      <c r="V8" s="2" t="inlineStr">
        <is>
          <t>ISSUE-0047; ISSUE-0048; ISSUE-0049; ISSUE-0050; ISSUE-0051; ISSUE-0052; ISSUE-0053</t>
        </is>
      </c>
      <c r="W8" s="2" t="inlineStr">
        <is>
          <t>evidence_batch_020_197; live_source_comparison; customizer_audit; serp_evidence</t>
        </is>
      </c>
    </row>
    <row r="9" ht="42" customHeight="1">
      <c r="A9" s="3" t="n">
        <v>198</v>
      </c>
      <c r="B9" s="3" t="inlineStr">
        <is>
          <t>jeminise.com+personalized-baseball-bedding-full-size-flag-custom-name-d-design-23</t>
        </is>
      </c>
      <c r="C9" s="4" t="inlineStr">
        <is>
          <t>https://jeminise.com/products/personalized-baseball-bedding-full-size-flag-custom-name-d-design-23</t>
        </is>
      </c>
      <c r="D9" s="3" t="inlineStr">
        <is>
          <t>personalized-baseball-bedding-full-size-flag-custom-name-d-design-23</t>
        </is>
      </c>
      <c r="E9" s="3" t="inlineStr">
        <is>
          <t>8867180183751</t>
        </is>
      </c>
      <c r="F9" s="3" t="inlineStr">
        <is>
          <t>r1</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4</v>
      </c>
      <c r="O9" s="3" t="n">
        <v>4</v>
      </c>
      <c r="P9" s="3" t="b">
        <v>1</v>
      </c>
      <c r="Q9" s="8" t="n">
        <v>1</v>
      </c>
      <c r="R9" s="3">
        <f>COUNTIFS('QA_Issues'!$B$2:$B$75,B9,'QA_Issues'!$D$2:$D$75,"CRITICAL")</f>
        <v/>
      </c>
      <c r="S9" s="3">
        <f>COUNTIFS('QA_Issues'!$B$2:$B$75,B9,'QA_Issues'!$D$2:$D$75,"MAJOR")</f>
        <v/>
      </c>
      <c r="T9" s="3">
        <f>COUNTIFS('QA_Issues'!$B$2:$B$75,B9,'QA_Issues'!$D$2:$D$75,"MINOR")</f>
        <v/>
      </c>
      <c r="U9" s="3">
        <f>COUNTIFS('QA_Issues'!$B$2:$B$75,B9,'QA_Issues'!$D$2:$D$75,"LIMITATION")</f>
        <v/>
      </c>
      <c r="V9" s="3" t="inlineStr">
        <is>
          <t>ISSUE-0054; ISSUE-0055; ISSUE-0056; ISSUE-0057; ISSUE-0058; ISSUE-0059; ISSUE-0060</t>
        </is>
      </c>
      <c r="W9" s="3" t="inlineStr">
        <is>
          <t>evidence_batch_020_198; live_source_comparison; customizer_audit; serp_evidence</t>
        </is>
      </c>
    </row>
    <row r="10" ht="42" customHeight="1">
      <c r="A10" s="2" t="n">
        <v>199</v>
      </c>
      <c r="B10" s="2" t="inlineStr">
        <is>
          <t>jeminise.com+personalized-baseball-bedding-full-size-flag-custom-name-d-design-24</t>
        </is>
      </c>
      <c r="C10" s="4" t="inlineStr">
        <is>
          <t>https://jeminise.com/products/personalized-baseball-bedding-full-size-flag-custom-name-d-design-24</t>
        </is>
      </c>
      <c r="D10" s="2" t="inlineStr">
        <is>
          <t>personalized-baseball-bedding-full-size-flag-custom-name-d-design-24</t>
        </is>
      </c>
      <c r="E10" s="2" t="inlineStr">
        <is>
          <t>8867180216519</t>
        </is>
      </c>
      <c r="F10" s="2" t="inlineStr">
        <is>
          <t>r1</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4</v>
      </c>
      <c r="O10" s="2" t="n">
        <v>4</v>
      </c>
      <c r="P10" s="2" t="b">
        <v>1</v>
      </c>
      <c r="Q10" s="6" t="n">
        <v>1</v>
      </c>
      <c r="R10" s="2">
        <f>COUNTIFS('QA_Issues'!$B$2:$B$75,B10,'QA_Issues'!$D$2:$D$75,"CRITICAL")</f>
        <v/>
      </c>
      <c r="S10" s="2">
        <f>COUNTIFS('QA_Issues'!$B$2:$B$75,B10,'QA_Issues'!$D$2:$D$75,"MAJOR")</f>
        <v/>
      </c>
      <c r="T10" s="2">
        <f>COUNTIFS('QA_Issues'!$B$2:$B$75,B10,'QA_Issues'!$D$2:$D$75,"MINOR")</f>
        <v/>
      </c>
      <c r="U10" s="2">
        <f>COUNTIFS('QA_Issues'!$B$2:$B$75,B10,'QA_Issues'!$D$2:$D$75,"LIMITATION")</f>
        <v/>
      </c>
      <c r="V10" s="2" t="inlineStr">
        <is>
          <t>ISSUE-0061; ISSUE-0062; ISSUE-0063; ISSUE-0064; ISSUE-0065; ISSUE-0066; ISSUE-0067</t>
        </is>
      </c>
      <c r="W10" s="2" t="inlineStr">
        <is>
          <t>evidence_batch_020_199; live_source_comparison; customizer_audit; serp_evidence</t>
        </is>
      </c>
    </row>
    <row r="11" ht="42" customHeight="1">
      <c r="A11" s="3" t="n">
        <v>200</v>
      </c>
      <c r="B11" s="3" t="inlineStr">
        <is>
          <t>jeminise.com+personalized-baseball-bedding-full-size-flag-custom-name-d-design-25</t>
        </is>
      </c>
      <c r="C11" s="4" t="inlineStr">
        <is>
          <t>https://jeminise.com/products/personalized-baseball-bedding-full-size-flag-custom-name-d-design-25</t>
        </is>
      </c>
      <c r="D11" s="3" t="inlineStr">
        <is>
          <t>personalized-baseball-bedding-full-size-flag-custom-name-d-design-25</t>
        </is>
      </c>
      <c r="E11" s="3" t="inlineStr">
        <is>
          <t>8867180347591</t>
        </is>
      </c>
      <c r="F11" s="3" t="inlineStr">
        <is>
          <t>r1</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4</v>
      </c>
      <c r="O11" s="3" t="n">
        <v>4</v>
      </c>
      <c r="P11" s="3" t="b">
        <v>1</v>
      </c>
      <c r="Q11" s="8" t="n">
        <v>1</v>
      </c>
      <c r="R11" s="3">
        <f>COUNTIFS('QA_Issues'!$B$2:$B$75,B11,'QA_Issues'!$D$2:$D$75,"CRITICAL")</f>
        <v/>
      </c>
      <c r="S11" s="3">
        <f>COUNTIFS('QA_Issues'!$B$2:$B$75,B11,'QA_Issues'!$D$2:$D$75,"MAJOR")</f>
        <v/>
      </c>
      <c r="T11" s="3">
        <f>COUNTIFS('QA_Issues'!$B$2:$B$75,B11,'QA_Issues'!$D$2:$D$75,"MINOR")</f>
        <v/>
      </c>
      <c r="U11" s="3">
        <f>COUNTIFS('QA_Issues'!$B$2:$B$75,B11,'QA_Issues'!$D$2:$D$75,"LIMITATION")</f>
        <v/>
      </c>
      <c r="V11" s="3" t="inlineStr">
        <is>
          <t>ISSUE-0068; ISSUE-0069; ISSUE-0070; ISSUE-0071; ISSUE-0072; ISSUE-0073; ISSUE-0074</t>
        </is>
      </c>
      <c r="W11" s="3" t="inlineStr">
        <is>
          <t>evidence_batch_020_200; live_source_comparison; customizer_audit; serp_evidence</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jeminise.com+personalized-baseball-bedding-full-size-flag-custom-name-d-design-16</t>
        </is>
      </c>
      <c r="B2" s="2" t="inlineStr">
        <is>
          <t>P1</t>
        </is>
      </c>
      <c r="C2" s="2" t="n">
        <v>15</v>
      </c>
      <c r="D2" s="2" t="inlineStr">
        <is>
          <t>FULL</t>
        </is>
      </c>
      <c r="E2" s="5">
        <f>IF(B2="I1",AVERAGEIF('QA_Images'!$A$2:$A$47,A2,'QA_Images'!$T$2:$T$47)/100,IF(D2="FULL",1,IF(D2="PARTIAL",0.5,IF(D2="FAIL",0,""))))</f>
        <v/>
      </c>
      <c r="F2" s="5">
        <f>IF(E2="",0,C2*E2)</f>
        <v/>
      </c>
      <c r="G2" s="5">
        <f>IF(B2="I1",20*AVERAGEIF('QA_Images'!$A$2:$A$47,A2,'QA_Images'!$U$2:$U$47)/100,IF(D2="NOT_CHECKED",0,C2))</f>
        <v/>
      </c>
      <c r="H2" s="2" t="inlineStr">
        <is>
          <t>Product identity, handle, product ID, URL and canonical match source/live evidence. Product key/handle/product ID/canonical checked against frozen workbook and live product evidence.</t>
        </is>
      </c>
      <c r="I2" s="2" t="inlineStr">
        <is>
          <t>evidence_batch_020_191</t>
        </is>
      </c>
      <c r="J2" s="2" t="inlineStr">
        <is>
          <t>ISSUE-0001; ISSUE-0002; ISSUE-0003; ISSUE-0004</t>
        </is>
      </c>
    </row>
    <row r="3" ht="42" customHeight="1">
      <c r="A3" s="3" t="inlineStr">
        <is>
          <t>jeminise.com+personalized-baseball-bedding-full-size-flag-custom-name-d-design-16</t>
        </is>
      </c>
      <c r="B3" s="3" t="inlineStr">
        <is>
          <t>P2</t>
        </is>
      </c>
      <c r="C3" s="3" t="n">
        <v>10</v>
      </c>
      <c r="D3" s="3" t="inlineStr">
        <is>
          <t>PARTIAL</t>
        </is>
      </c>
      <c r="E3" s="7">
        <f>IF(B3="I1",AVERAGEIF('QA_Images'!$A$2:$A$47,A3,'QA_Images'!$T$2:$T$47)/100,IF(D3="FULL",1,IF(D3="PARTIAL",0.5,IF(D3="FAIL",0,""))))</f>
        <v/>
      </c>
      <c r="F3" s="7">
        <f>IF(E3="",0,C3*E3)</f>
        <v/>
      </c>
      <c r="G3" s="7">
        <f>IF(B3="I1",20*AVERAGEIF('QA_Images'!$A$2:$A$47,A3,'QA_Images'!$U$2:$U$47)/100,IF(D3="NOT_CHECKED",0,C3))</f>
        <v/>
      </c>
      <c r="H3" s="3" t="inlineStr">
        <is>
          <t>Source product facts, variants, specifications and personalization claims are evidence-backed. Personalization/specification claims checked against storefront product.js and static customizer config.</t>
        </is>
      </c>
      <c r="I3" s="3" t="inlineStr">
        <is>
          <t>evidence_batch_020_191</t>
        </is>
      </c>
      <c r="J3" s="3" t="inlineStr">
        <is>
          <t>ISSUE-0001; ISSUE-0002; ISSUE-0003; ISSUE-0004</t>
        </is>
      </c>
    </row>
    <row r="4" ht="42" customHeight="1">
      <c r="A4" s="2" t="inlineStr">
        <is>
          <t>jeminise.com+personalized-baseball-bedding-full-size-flag-custom-name-d-design-16</t>
        </is>
      </c>
      <c r="B4" s="2" t="inlineStr">
        <is>
          <t>K1</t>
        </is>
      </c>
      <c r="C4" s="2" t="n">
        <v>10</v>
      </c>
      <c r="D4" s="2" t="inlineStr">
        <is>
          <t>PARTIAL</t>
        </is>
      </c>
      <c r="E4" s="5">
        <f>IF(B4="I1",AVERAGEIF('QA_Images'!$A$2:$A$47,A4,'QA_Images'!$T$2:$T$47)/100,IF(D4="FULL",1,IF(D4="PARTIAL",0.5,IF(D4="FAIL",0,""))))</f>
        <v/>
      </c>
      <c r="F4" s="5">
        <f>IF(E4="",0,C4*E4)</f>
        <v/>
      </c>
      <c r="G4" s="5">
        <f>IF(B4="I1",20*AVERAGEIF('QA_Images'!$A$2:$A$47,A4,'QA_Images'!$U$2:$U$47)/100,IF(D4="NOT_CHECKED",0,C4))</f>
        <v/>
      </c>
      <c r="H4" s="2" t="inlineStr">
        <is>
          <t>Primary keyword aligns with product-level US purchase intent. Primary keyword rechecked against US product-level SERP comparables.</t>
        </is>
      </c>
      <c r="I4" s="2" t="inlineStr">
        <is>
          <t>evidence_batch_020_191</t>
        </is>
      </c>
      <c r="J4" s="2" t="inlineStr">
        <is>
          <t>ISSUE-0001; ISSUE-0002; ISSUE-0003; ISSUE-0004</t>
        </is>
      </c>
    </row>
    <row r="5" ht="42" customHeight="1">
      <c r="A5" s="3" t="inlineStr">
        <is>
          <t>jeminise.com+personalized-baseball-bedding-full-size-flag-custom-name-d-design-16</t>
        </is>
      </c>
      <c r="B5" s="3" t="inlineStr">
        <is>
          <t>K2</t>
        </is>
      </c>
      <c r="C5" s="3" t="n">
        <v>5</v>
      </c>
      <c r="D5" s="3" t="inlineStr">
        <is>
          <t>PARTIAL</t>
        </is>
      </c>
      <c r="E5" s="7">
        <f>IF(B5="I1",AVERAGEIF('QA_Images'!$A$2:$A$47,A5,'QA_Images'!$T$2:$T$47)/100,IF(D5="FULL",1,IF(D5="PARTIAL",0.5,IF(D5="FAIL",0,""))))</f>
        <v/>
      </c>
      <c r="F5" s="7">
        <f>IF(E5="",0,C5*E5)</f>
        <v/>
      </c>
      <c r="G5" s="7">
        <f>IF(B5="I1",20*AVERAGEIF('QA_Images'!$A$2:$A$47,A5,'QA_Images'!$U$2:$U$47)/100,IF(D5="NOT_CHECKED",0,C5))</f>
        <v/>
      </c>
      <c r="H5" s="3" t="inlineStr">
        <is>
          <t>Intent/cannibalization check distinguishes nearby products. Nearby product cluster has overlap risk, so intent distinction remains only partial.</t>
        </is>
      </c>
      <c r="I5" s="3" t="inlineStr">
        <is>
          <t>evidence_batch_020_191</t>
        </is>
      </c>
      <c r="J5" s="3" t="inlineStr">
        <is>
          <t>ISSUE-0001; ISSUE-0002; ISSUE-0003; ISSUE-0004</t>
        </is>
      </c>
    </row>
    <row r="6" ht="42" customHeight="1">
      <c r="A6" s="2" t="inlineStr">
        <is>
          <t>jeminise.com+personalized-baseball-bedding-full-size-flag-custom-name-d-design-16</t>
        </is>
      </c>
      <c r="B6" s="2" t="inlineStr">
        <is>
          <t>K3</t>
        </is>
      </c>
      <c r="C6" s="2" t="n">
        <v>5</v>
      </c>
      <c r="D6" s="2" t="inlineStr">
        <is>
          <t>PARTIAL</t>
        </is>
      </c>
      <c r="E6" s="5">
        <f>IF(B6="I1",AVERAGEIF('QA_Images'!$A$2:$A$47,A6,'QA_Images'!$T$2:$T$47)/100,IF(D6="FULL",1,IF(D6="PARTIAL",0.5,IF(D6="FAIL",0,""))))</f>
        <v/>
      </c>
      <c r="F6" s="5">
        <f>IF(E6="",0,C6*E6)</f>
        <v/>
      </c>
      <c r="G6" s="5">
        <f>IF(B6="I1",20*AVERAGEIF('QA_Images'!$A$2:$A$47,A6,'QA_Images'!$U$2:$U$47)/100,IF(D6="NOT_CHECKED",0,C6))</f>
        <v/>
      </c>
      <c r="H6" s="2" t="inlineStr">
        <is>
          <t>Keyword evidence is supported by SERP comparables without unsupported volume claims. Evidence is public SERP only; no Search Console, keyword volume or customer-search corpus provided.</t>
        </is>
      </c>
      <c r="I6" s="2" t="inlineStr">
        <is>
          <t>evidence_batch_020_191</t>
        </is>
      </c>
      <c r="J6" s="2" t="inlineStr">
        <is>
          <t>ISSUE-0001; ISSUE-0002; ISSUE-0003; ISSUE-0004</t>
        </is>
      </c>
    </row>
    <row r="7" ht="42" customHeight="1">
      <c r="A7" s="3" t="inlineStr">
        <is>
          <t>jeminise.com+personalized-baseball-bedding-full-size-flag-custom-name-d-design-16</t>
        </is>
      </c>
      <c r="B7" s="3" t="inlineStr">
        <is>
          <t>T1</t>
        </is>
      </c>
      <c r="C7" s="3" t="n">
        <v>10</v>
      </c>
      <c r="D7" s="3" t="inlineStr">
        <is>
          <t>PARTIAL</t>
        </is>
      </c>
      <c r="E7" s="7">
        <f>IF(B7="I1",AVERAGEIF('QA_Images'!$A$2:$A$47,A7,'QA_Images'!$T$2:$T$47)/100,IF(D7="FULL",1,IF(D7="PARTIAL",0.5,IF(D7="FAIL",0,""))))</f>
        <v/>
      </c>
      <c r="F7" s="7">
        <f>IF(E7="",0,C7*E7)</f>
        <v/>
      </c>
      <c r="G7" s="7">
        <f>IF(B7="I1",20*AVERAGEIF('QA_Images'!$A$2:$A$47,A7,'QA_Images'!$U$2:$U$47)/100,IF(D7="NOT_CHECKED",0,C7))</f>
        <v/>
      </c>
      <c r="H7" s="3" t="inlineStr">
        <is>
          <t>SEO title and H1 are relevant, specific and grounded in visible/source facts. Proposed H1 is blank, so the title/H1 pair cannot be fully verified.</t>
        </is>
      </c>
      <c r="I7" s="3" t="inlineStr">
        <is>
          <t>evidence_batch_020_191</t>
        </is>
      </c>
      <c r="J7" s="3" t="inlineStr">
        <is>
          <t>ISSUE-0001; ISSUE-0002; ISSUE-0003; ISSUE-0004</t>
        </is>
      </c>
    </row>
    <row r="8" ht="42" customHeight="1">
      <c r="A8" s="2" t="inlineStr">
        <is>
          <t>jeminise.com+personalized-baseball-bedding-full-size-flag-custom-name-d-design-16</t>
        </is>
      </c>
      <c r="B8" s="2" t="inlineStr">
        <is>
          <t>T2</t>
        </is>
      </c>
      <c r="C8" s="2" t="n">
        <v>5</v>
      </c>
      <c r="D8" s="2" t="inlineStr">
        <is>
          <t>PARTIAL</t>
        </is>
      </c>
      <c r="E8" s="5">
        <f>IF(B8="I1",AVERAGEIF('QA_Images'!$A$2:$A$47,A8,'QA_Images'!$T$2:$T$47)/100,IF(D8="FULL",1,IF(D8="PARTIAL",0.5,IF(D8="FAIL",0,""))))</f>
        <v/>
      </c>
      <c r="F8" s="5">
        <f>IF(E8="",0,C8*E8)</f>
        <v/>
      </c>
      <c r="G8" s="5">
        <f>IF(B8="I1",20*AVERAGEIF('QA_Images'!$A$2:$A$47,A8,'QA_Images'!$U$2:$U$47)/100,IF(D8="NOT_CHECKED",0,C8))</f>
        <v/>
      </c>
      <c r="H8" s="2" t="inlineStr">
        <is>
          <t>Meta description is concise, publish-ready and avoids unsupported claims. Meta description checked for length, specificity and supportable claims.</t>
        </is>
      </c>
      <c r="I8" s="2" t="inlineStr">
        <is>
          <t>evidence_batch_020_191</t>
        </is>
      </c>
      <c r="J8" s="2" t="inlineStr">
        <is>
          <t>ISSUE-0001; ISSUE-0002; ISSUE-0003; ISSUE-0004</t>
        </is>
      </c>
    </row>
    <row r="9" ht="42" customHeight="1">
      <c r="A9" s="3" t="inlineStr">
        <is>
          <t>jeminise.com+personalized-baseball-bedding-full-size-flag-custom-name-d-design-16</t>
        </is>
      </c>
      <c r="B9" s="3" t="inlineStr">
        <is>
          <t>D1</t>
        </is>
      </c>
      <c r="C9" s="3" t="n">
        <v>10</v>
      </c>
      <c r="D9" s="3" t="inlineStr">
        <is>
          <t>FAIL</t>
        </is>
      </c>
      <c r="E9" s="7">
        <f>IF(B9="I1",AVERAGEIF('QA_Images'!$A$2:$A$47,A9,'QA_Images'!$T$2:$T$47)/100,IF(D9="FULL",1,IF(D9="PARTIAL",0.5,IF(D9="FAIL",0,""))))</f>
        <v/>
      </c>
      <c r="F9" s="7">
        <f>IF(E9="",0,C9*E9)</f>
        <v/>
      </c>
      <c r="G9" s="7">
        <f>IF(B9="I1",20*AVERAGEIF('QA_Images'!$A$2:$A$47,A9,'QA_Images'!$U$2:$U$47)/100,IF(D9="NOT_CHECKED",0,C9))</f>
        <v/>
      </c>
      <c r="H9" s="3" t="inlineStr">
        <is>
          <t>Description HTML is publish-ready and free of internal draft/QA instructions. Description HTML still contains internal QA/import language.</t>
        </is>
      </c>
      <c r="I9" s="3" t="inlineStr">
        <is>
          <t>evidence_batch_020_191</t>
        </is>
      </c>
      <c r="J9" s="3" t="inlineStr">
        <is>
          <t>ISSUE-0001; ISSUE-0002; ISSUE-0003; ISSUE-0004</t>
        </is>
      </c>
    </row>
    <row r="10" ht="42" customHeight="1">
      <c r="A10" s="2" t="inlineStr">
        <is>
          <t>jeminise.com+personalized-baseball-bedding-full-size-flag-custom-name-d-design-16</t>
        </is>
      </c>
      <c r="B10" s="2" t="inlineStr">
        <is>
          <t>D2</t>
        </is>
      </c>
      <c r="C10" s="2" t="n">
        <v>5</v>
      </c>
      <c r="D10" s="2" t="inlineStr">
        <is>
          <t>PARTIAL</t>
        </is>
      </c>
      <c r="E10" s="5">
        <f>IF(B10="I1",AVERAGEIF('QA_Images'!$A$2:$A$47,A10,'QA_Images'!$T$2:$T$47)/100,IF(D10="FULL",1,IF(D10="PARTIAL",0.5,IF(D10="FAIL",0,""))))</f>
        <v/>
      </c>
      <c r="F10" s="5">
        <f>IF(E10="",0,C10*E10)</f>
        <v/>
      </c>
      <c r="G10" s="5">
        <f>IF(B10="I1",20*AVERAGEIF('QA_Images'!$A$2:$A$47,A10,'QA_Images'!$U$2:$U$47)/100,IF(D10="NOT_CHECKED",0,C10))</f>
        <v/>
      </c>
      <c r="H10" s="2" t="inlineStr">
        <is>
          <t>Description content covers verified design, product type, use case and constraints. Description covers motif/product type but remains templated and does not always map every verified constraint.</t>
        </is>
      </c>
      <c r="I10" s="2" t="inlineStr">
        <is>
          <t>evidence_batch_020_191</t>
        </is>
      </c>
      <c r="J10" s="2" t="inlineStr">
        <is>
          <t>ISSUE-0001; ISSUE-0002; ISSUE-0003; ISSUE-0004</t>
        </is>
      </c>
    </row>
    <row r="11" ht="42" customHeight="1">
      <c r="A11" s="3" t="inlineStr">
        <is>
          <t>jeminise.com+personalized-baseball-bedding-full-size-flag-custom-name-d-design-16</t>
        </is>
      </c>
      <c r="B11" s="3" t="inlineStr">
        <is>
          <t>I1</t>
        </is>
      </c>
      <c r="C11" s="3" t="n">
        <v>20</v>
      </c>
      <c r="D11" s="3" t="inlineStr">
        <is>
          <t>FULL</t>
        </is>
      </c>
      <c r="E11" s="7">
        <f>IF(B11="I1",AVERAGEIF('QA_Images'!$A$2:$A$47,A11,'QA_Images'!$T$2:$T$47)/100,IF(D11="FULL",1,IF(D11="PARTIAL",0.5,IF(D11="FAIL",0,""))))</f>
        <v/>
      </c>
      <c r="F11" s="7">
        <f>IF(E11="",0,C11*E11)</f>
        <v/>
      </c>
      <c r="G11" s="7">
        <f>IF(B11="I1",20*AVERAGEIF('QA_Images'!$A$2:$A$47,A11,'QA_Images'!$U$2:$U$47)/100,IF(D11="NOT_CHECKED",0,C11))</f>
        <v/>
      </c>
      <c r="H11" s="3" t="inlineStr">
        <is>
          <t>Image coverage, image observations and alt text quality, derived from QA_Images. Derived from average image QA score; see QA_Images.</t>
        </is>
      </c>
      <c r="I11" s="3" t="inlineStr">
        <is>
          <t>evidence_batch_020_191</t>
        </is>
      </c>
      <c r="J11" s="3" t="inlineStr">
        <is>
          <t>ISSUE-0001; ISSUE-0002; ISSUE-0003; ISSUE-0004</t>
        </is>
      </c>
    </row>
    <row r="12" ht="42" customHeight="1">
      <c r="A12" s="2" t="inlineStr">
        <is>
          <t>jeminise.com+personalized-baseball-bedding-full-size-flag-custom-name-d-design-16</t>
        </is>
      </c>
      <c r="B12" s="2" t="inlineStr">
        <is>
          <t>E1</t>
        </is>
      </c>
      <c r="C12" s="2" t="n">
        <v>5</v>
      </c>
      <c r="D12" s="2" t="inlineStr">
        <is>
          <t>PARTIAL</t>
        </is>
      </c>
      <c r="E12" s="5">
        <f>IF(B12="I1",AVERAGEIF('QA_Images'!$A$2:$A$47,A12,'QA_Images'!$T$2:$T$47)/100,IF(D12="FULL",1,IF(D12="PARTIAL",0.5,IF(D12="FAIL",0,""))))</f>
        <v/>
      </c>
      <c r="F12" s="5">
        <f>IF(E12="",0,C12*E12)</f>
        <v/>
      </c>
      <c r="G12" s="5">
        <f>IF(B12="I1",20*AVERAGEIF('QA_Images'!$A$2:$A$47,A12,'QA_Images'!$U$2:$U$47)/100,IF(D12="NOT_CHECKED",0,C12))</f>
        <v/>
      </c>
      <c r="H12" s="2" t="inlineStr">
        <is>
          <t>Evidence chain is traceable and limitations are explicitly separated from failures. Evidence chain is traceable, with admin-export limitation explicitly separated.</t>
        </is>
      </c>
      <c r="I12" s="2" t="inlineStr">
        <is>
          <t>evidence_batch_020_191</t>
        </is>
      </c>
      <c r="J12" s="2" t="inlineStr">
        <is>
          <t>ISSUE-0001; ISSUE-0002; ISSUE-0003; ISSUE-0004</t>
        </is>
      </c>
    </row>
    <row r="13" ht="42" customHeight="1">
      <c r="A13" s="3" t="inlineStr">
        <is>
          <t>jeminise.com+personalized-baseball-bedding-full-size-flag-custom-name-d-design-17</t>
        </is>
      </c>
      <c r="B13" s="3" t="inlineStr">
        <is>
          <t>P1</t>
        </is>
      </c>
      <c r="C13" s="3" t="n">
        <v>15</v>
      </c>
      <c r="D13" s="3" t="inlineStr">
        <is>
          <t>FULL</t>
        </is>
      </c>
      <c r="E13" s="7">
        <f>IF(B13="I1",AVERAGEIF('QA_Images'!$A$2:$A$47,A13,'QA_Images'!$T$2:$T$47)/100,IF(D13="FULL",1,IF(D13="PARTIAL",0.5,IF(D13="FAIL",0,""))))</f>
        <v/>
      </c>
      <c r="F13" s="7">
        <f>IF(E13="",0,C13*E13)</f>
        <v/>
      </c>
      <c r="G13" s="7">
        <f>IF(B13="I1",20*AVERAGEIF('QA_Images'!$A$2:$A$47,A13,'QA_Images'!$U$2:$U$47)/100,IF(D13="NOT_CHECKED",0,C13))</f>
        <v/>
      </c>
      <c r="H13" s="3" t="inlineStr">
        <is>
          <t>Product identity, handle, product ID, URL and canonical match source/live evidence. Product key/handle/product ID/canonical checked against frozen workbook and live product evidence.</t>
        </is>
      </c>
      <c r="I13" s="3" t="inlineStr">
        <is>
          <t>evidence_batch_020_192</t>
        </is>
      </c>
      <c r="J13" s="3" t="inlineStr">
        <is>
          <t>ISSUE-0010; ISSUE-0011; ISSUE-0012; ISSUE-0013</t>
        </is>
      </c>
    </row>
    <row r="14" ht="42" customHeight="1">
      <c r="A14" s="2" t="inlineStr">
        <is>
          <t>jeminise.com+personalized-baseball-bedding-full-size-flag-custom-name-d-design-17</t>
        </is>
      </c>
      <c r="B14" s="2" t="inlineStr">
        <is>
          <t>P2</t>
        </is>
      </c>
      <c r="C14" s="2" t="n">
        <v>10</v>
      </c>
      <c r="D14" s="2" t="inlineStr">
        <is>
          <t>PARTIAL</t>
        </is>
      </c>
      <c r="E14" s="5">
        <f>IF(B14="I1",AVERAGEIF('QA_Images'!$A$2:$A$47,A14,'QA_Images'!$T$2:$T$47)/100,IF(D14="FULL",1,IF(D14="PARTIAL",0.5,IF(D14="FAIL",0,""))))</f>
        <v/>
      </c>
      <c r="F14" s="5">
        <f>IF(E14="",0,C14*E14)</f>
        <v/>
      </c>
      <c r="G14" s="5">
        <f>IF(B14="I1",20*AVERAGEIF('QA_Images'!$A$2:$A$47,A14,'QA_Images'!$U$2:$U$47)/100,IF(D14="NOT_CHECKED",0,C14))</f>
        <v/>
      </c>
      <c r="H14" s="2" t="inlineStr">
        <is>
          <t>Source product facts, variants, specifications and personalization claims are evidence-backed. Personalization/specification claims checked against storefront product.js and static customizer config.</t>
        </is>
      </c>
      <c r="I14" s="2" t="inlineStr">
        <is>
          <t>evidence_batch_020_192</t>
        </is>
      </c>
      <c r="J14" s="2" t="inlineStr">
        <is>
          <t>ISSUE-0010; ISSUE-0011; ISSUE-0012; ISSUE-0013</t>
        </is>
      </c>
    </row>
    <row r="15" ht="42" customHeight="1">
      <c r="A15" s="3" t="inlineStr">
        <is>
          <t>jeminise.com+personalized-baseball-bedding-full-size-flag-custom-name-d-design-17</t>
        </is>
      </c>
      <c r="B15" s="3" t="inlineStr">
        <is>
          <t>K1</t>
        </is>
      </c>
      <c r="C15" s="3" t="n">
        <v>10</v>
      </c>
      <c r="D15" s="3" t="inlineStr">
        <is>
          <t>PARTIAL</t>
        </is>
      </c>
      <c r="E15" s="7">
        <f>IF(B15="I1",AVERAGEIF('QA_Images'!$A$2:$A$47,A15,'QA_Images'!$T$2:$T$47)/100,IF(D15="FULL",1,IF(D15="PARTIAL",0.5,IF(D15="FAIL",0,""))))</f>
        <v/>
      </c>
      <c r="F15" s="7">
        <f>IF(E15="",0,C15*E15)</f>
        <v/>
      </c>
      <c r="G15" s="7">
        <f>IF(B15="I1",20*AVERAGEIF('QA_Images'!$A$2:$A$47,A15,'QA_Images'!$U$2:$U$47)/100,IF(D15="NOT_CHECKED",0,C15))</f>
        <v/>
      </c>
      <c r="H15" s="3" t="inlineStr">
        <is>
          <t>Primary keyword aligns with product-level US purchase intent. Primary keyword rechecked against US product-level SERP comparables.</t>
        </is>
      </c>
      <c r="I15" s="3" t="inlineStr">
        <is>
          <t>evidence_batch_020_192</t>
        </is>
      </c>
      <c r="J15" s="3" t="inlineStr">
        <is>
          <t>ISSUE-0010; ISSUE-0011; ISSUE-0012; ISSUE-0013</t>
        </is>
      </c>
    </row>
    <row r="16" ht="42" customHeight="1">
      <c r="A16" s="2" t="inlineStr">
        <is>
          <t>jeminise.com+personalized-baseball-bedding-full-size-flag-custom-name-d-design-17</t>
        </is>
      </c>
      <c r="B16" s="2" t="inlineStr">
        <is>
          <t>K2</t>
        </is>
      </c>
      <c r="C16" s="2" t="n">
        <v>5</v>
      </c>
      <c r="D16" s="2" t="inlineStr">
        <is>
          <t>PARTIAL</t>
        </is>
      </c>
      <c r="E16" s="5">
        <f>IF(B16="I1",AVERAGEIF('QA_Images'!$A$2:$A$47,A16,'QA_Images'!$T$2:$T$47)/100,IF(D16="FULL",1,IF(D16="PARTIAL",0.5,IF(D16="FAIL",0,""))))</f>
        <v/>
      </c>
      <c r="F16" s="5">
        <f>IF(E16="",0,C16*E16)</f>
        <v/>
      </c>
      <c r="G16" s="5">
        <f>IF(B16="I1",20*AVERAGEIF('QA_Images'!$A$2:$A$47,A16,'QA_Images'!$U$2:$U$47)/100,IF(D16="NOT_CHECKED",0,C16))</f>
        <v/>
      </c>
      <c r="H16" s="2" t="inlineStr">
        <is>
          <t>Intent/cannibalization check distinguishes nearby products. Nearby product cluster has overlap risk, so intent distinction remains only partial.</t>
        </is>
      </c>
      <c r="I16" s="2" t="inlineStr">
        <is>
          <t>evidence_batch_020_192</t>
        </is>
      </c>
      <c r="J16" s="2" t="inlineStr">
        <is>
          <t>ISSUE-0010; ISSUE-0011; ISSUE-0012; ISSUE-0013</t>
        </is>
      </c>
    </row>
    <row r="17" ht="42" customHeight="1">
      <c r="A17" s="3" t="inlineStr">
        <is>
          <t>jeminise.com+personalized-baseball-bedding-full-size-flag-custom-name-d-design-17</t>
        </is>
      </c>
      <c r="B17" s="3" t="inlineStr">
        <is>
          <t>K3</t>
        </is>
      </c>
      <c r="C17" s="3" t="n">
        <v>5</v>
      </c>
      <c r="D17" s="3" t="inlineStr">
        <is>
          <t>PARTIAL</t>
        </is>
      </c>
      <c r="E17" s="7">
        <f>IF(B17="I1",AVERAGEIF('QA_Images'!$A$2:$A$47,A17,'QA_Images'!$T$2:$T$47)/100,IF(D17="FULL",1,IF(D17="PARTIAL",0.5,IF(D17="FAIL",0,""))))</f>
        <v/>
      </c>
      <c r="F17" s="7">
        <f>IF(E17="",0,C17*E17)</f>
        <v/>
      </c>
      <c r="G17" s="7">
        <f>IF(B17="I1",20*AVERAGEIF('QA_Images'!$A$2:$A$47,A17,'QA_Images'!$U$2:$U$47)/100,IF(D17="NOT_CHECKED",0,C17))</f>
        <v/>
      </c>
      <c r="H17" s="3" t="inlineStr">
        <is>
          <t>Keyword evidence is supported by SERP comparables without unsupported volume claims. Evidence is public SERP only; no Search Console, keyword volume or customer-search corpus provided.</t>
        </is>
      </c>
      <c r="I17" s="3" t="inlineStr">
        <is>
          <t>evidence_batch_020_192</t>
        </is>
      </c>
      <c r="J17" s="3" t="inlineStr">
        <is>
          <t>ISSUE-0010; ISSUE-0011; ISSUE-0012; ISSUE-0013</t>
        </is>
      </c>
    </row>
    <row r="18" ht="42" customHeight="1">
      <c r="A18" s="2" t="inlineStr">
        <is>
          <t>jeminise.com+personalized-baseball-bedding-full-size-flag-custom-name-d-design-17</t>
        </is>
      </c>
      <c r="B18" s="2" t="inlineStr">
        <is>
          <t>T1</t>
        </is>
      </c>
      <c r="C18" s="2" t="n">
        <v>10</v>
      </c>
      <c r="D18" s="2" t="inlineStr">
        <is>
          <t>PARTIAL</t>
        </is>
      </c>
      <c r="E18" s="5">
        <f>IF(B18="I1",AVERAGEIF('QA_Images'!$A$2:$A$47,A18,'QA_Images'!$T$2:$T$47)/100,IF(D18="FULL",1,IF(D18="PARTIAL",0.5,IF(D18="FAIL",0,""))))</f>
        <v/>
      </c>
      <c r="F18" s="5">
        <f>IF(E18="",0,C18*E18)</f>
        <v/>
      </c>
      <c r="G18" s="5">
        <f>IF(B18="I1",20*AVERAGEIF('QA_Images'!$A$2:$A$47,A18,'QA_Images'!$U$2:$U$47)/100,IF(D18="NOT_CHECKED",0,C18))</f>
        <v/>
      </c>
      <c r="H18" s="2" t="inlineStr">
        <is>
          <t>SEO title and H1 are relevant, specific and grounded in visible/source facts. Proposed H1 is blank, so the title/H1 pair cannot be fully verified.</t>
        </is>
      </c>
      <c r="I18" s="2" t="inlineStr">
        <is>
          <t>evidence_batch_020_192</t>
        </is>
      </c>
      <c r="J18" s="2" t="inlineStr">
        <is>
          <t>ISSUE-0010; ISSUE-0011; ISSUE-0012; ISSUE-0013</t>
        </is>
      </c>
    </row>
    <row r="19" ht="42" customHeight="1">
      <c r="A19" s="3" t="inlineStr">
        <is>
          <t>jeminise.com+personalized-baseball-bedding-full-size-flag-custom-name-d-design-17</t>
        </is>
      </c>
      <c r="B19" s="3" t="inlineStr">
        <is>
          <t>T2</t>
        </is>
      </c>
      <c r="C19" s="3" t="n">
        <v>5</v>
      </c>
      <c r="D19" s="3" t="inlineStr">
        <is>
          <t>PARTIAL</t>
        </is>
      </c>
      <c r="E19" s="7">
        <f>IF(B19="I1",AVERAGEIF('QA_Images'!$A$2:$A$47,A19,'QA_Images'!$T$2:$T$47)/100,IF(D19="FULL",1,IF(D19="PARTIAL",0.5,IF(D19="FAIL",0,""))))</f>
        <v/>
      </c>
      <c r="F19" s="7">
        <f>IF(E19="",0,C19*E19)</f>
        <v/>
      </c>
      <c r="G19" s="7">
        <f>IF(B19="I1",20*AVERAGEIF('QA_Images'!$A$2:$A$47,A19,'QA_Images'!$U$2:$U$47)/100,IF(D19="NOT_CHECKED",0,C19))</f>
        <v/>
      </c>
      <c r="H19" s="3" t="inlineStr">
        <is>
          <t>Meta description is concise, publish-ready and avoids unsupported claims. Meta description checked for length, specificity and supportable claims.</t>
        </is>
      </c>
      <c r="I19" s="3" t="inlineStr">
        <is>
          <t>evidence_batch_020_192</t>
        </is>
      </c>
      <c r="J19" s="3" t="inlineStr">
        <is>
          <t>ISSUE-0010; ISSUE-0011; ISSUE-0012; ISSUE-0013</t>
        </is>
      </c>
    </row>
    <row r="20" ht="42" customHeight="1">
      <c r="A20" s="2" t="inlineStr">
        <is>
          <t>jeminise.com+personalized-baseball-bedding-full-size-flag-custom-name-d-design-17</t>
        </is>
      </c>
      <c r="B20" s="2" t="inlineStr">
        <is>
          <t>D1</t>
        </is>
      </c>
      <c r="C20" s="2" t="n">
        <v>10</v>
      </c>
      <c r="D20" s="2" t="inlineStr">
        <is>
          <t>FAIL</t>
        </is>
      </c>
      <c r="E20" s="5">
        <f>IF(B20="I1",AVERAGEIF('QA_Images'!$A$2:$A$47,A20,'QA_Images'!$T$2:$T$47)/100,IF(D20="FULL",1,IF(D20="PARTIAL",0.5,IF(D20="FAIL",0,""))))</f>
        <v/>
      </c>
      <c r="F20" s="5">
        <f>IF(E20="",0,C20*E20)</f>
        <v/>
      </c>
      <c r="G20" s="5">
        <f>IF(B20="I1",20*AVERAGEIF('QA_Images'!$A$2:$A$47,A20,'QA_Images'!$U$2:$U$47)/100,IF(D20="NOT_CHECKED",0,C20))</f>
        <v/>
      </c>
      <c r="H20" s="2" t="inlineStr">
        <is>
          <t>Description HTML is publish-ready and free of internal draft/QA instructions. Description HTML still contains internal QA/import language.</t>
        </is>
      </c>
      <c r="I20" s="2" t="inlineStr">
        <is>
          <t>evidence_batch_020_192</t>
        </is>
      </c>
      <c r="J20" s="2" t="inlineStr">
        <is>
          <t>ISSUE-0010; ISSUE-0011; ISSUE-0012; ISSUE-0013</t>
        </is>
      </c>
    </row>
    <row r="21" ht="42" customHeight="1">
      <c r="A21" s="3" t="inlineStr">
        <is>
          <t>jeminise.com+personalized-baseball-bedding-full-size-flag-custom-name-d-design-17</t>
        </is>
      </c>
      <c r="B21" s="3" t="inlineStr">
        <is>
          <t>D2</t>
        </is>
      </c>
      <c r="C21" s="3" t="n">
        <v>5</v>
      </c>
      <c r="D21" s="3" t="inlineStr">
        <is>
          <t>PARTIAL</t>
        </is>
      </c>
      <c r="E21" s="7">
        <f>IF(B21="I1",AVERAGEIF('QA_Images'!$A$2:$A$47,A21,'QA_Images'!$T$2:$T$47)/100,IF(D21="FULL",1,IF(D21="PARTIAL",0.5,IF(D21="FAIL",0,""))))</f>
        <v/>
      </c>
      <c r="F21" s="7">
        <f>IF(E21="",0,C21*E21)</f>
        <v/>
      </c>
      <c r="G21" s="7">
        <f>IF(B21="I1",20*AVERAGEIF('QA_Images'!$A$2:$A$47,A21,'QA_Images'!$U$2:$U$47)/100,IF(D21="NOT_CHECKED",0,C21))</f>
        <v/>
      </c>
      <c r="H21" s="3" t="inlineStr">
        <is>
          <t>Description content covers verified design, product type, use case and constraints. Description covers motif/product type but remains templated and does not always map every verified constraint.</t>
        </is>
      </c>
      <c r="I21" s="3" t="inlineStr">
        <is>
          <t>evidence_batch_020_192</t>
        </is>
      </c>
      <c r="J21" s="3" t="inlineStr">
        <is>
          <t>ISSUE-0010; ISSUE-0011; ISSUE-0012; ISSUE-0013</t>
        </is>
      </c>
    </row>
    <row r="22" ht="42" customHeight="1">
      <c r="A22" s="2" t="inlineStr">
        <is>
          <t>jeminise.com+personalized-baseball-bedding-full-size-flag-custom-name-d-design-17</t>
        </is>
      </c>
      <c r="B22" s="2" t="inlineStr">
        <is>
          <t>I1</t>
        </is>
      </c>
      <c r="C22" s="2" t="n">
        <v>20</v>
      </c>
      <c r="D22" s="2" t="inlineStr">
        <is>
          <t>FULL</t>
        </is>
      </c>
      <c r="E22" s="5">
        <f>IF(B22="I1",AVERAGEIF('QA_Images'!$A$2:$A$47,A22,'QA_Images'!$T$2:$T$47)/100,IF(D22="FULL",1,IF(D22="PARTIAL",0.5,IF(D22="FAIL",0,""))))</f>
        <v/>
      </c>
      <c r="F22" s="5">
        <f>IF(E22="",0,C22*E22)</f>
        <v/>
      </c>
      <c r="G22" s="5">
        <f>IF(B22="I1",20*AVERAGEIF('QA_Images'!$A$2:$A$47,A22,'QA_Images'!$U$2:$U$47)/100,IF(D22="NOT_CHECKED",0,C22))</f>
        <v/>
      </c>
      <c r="H22" s="2" t="inlineStr">
        <is>
          <t>Image coverage, image observations and alt text quality, derived from QA_Images. Derived from average image QA score; see QA_Images.</t>
        </is>
      </c>
      <c r="I22" s="2" t="inlineStr">
        <is>
          <t>evidence_batch_020_192</t>
        </is>
      </c>
      <c r="J22" s="2" t="inlineStr">
        <is>
          <t>ISSUE-0010; ISSUE-0011; ISSUE-0012; ISSUE-0013</t>
        </is>
      </c>
    </row>
    <row r="23" ht="42" customHeight="1">
      <c r="A23" s="3" t="inlineStr">
        <is>
          <t>jeminise.com+personalized-baseball-bedding-full-size-flag-custom-name-d-design-17</t>
        </is>
      </c>
      <c r="B23" s="3" t="inlineStr">
        <is>
          <t>E1</t>
        </is>
      </c>
      <c r="C23" s="3" t="n">
        <v>5</v>
      </c>
      <c r="D23" s="3" t="inlineStr">
        <is>
          <t>PARTIAL</t>
        </is>
      </c>
      <c r="E23" s="7">
        <f>IF(B23="I1",AVERAGEIF('QA_Images'!$A$2:$A$47,A23,'QA_Images'!$T$2:$T$47)/100,IF(D23="FULL",1,IF(D23="PARTIAL",0.5,IF(D23="FAIL",0,""))))</f>
        <v/>
      </c>
      <c r="F23" s="7">
        <f>IF(E23="",0,C23*E23)</f>
        <v/>
      </c>
      <c r="G23" s="7">
        <f>IF(B23="I1",20*AVERAGEIF('QA_Images'!$A$2:$A$47,A23,'QA_Images'!$U$2:$U$47)/100,IF(D23="NOT_CHECKED",0,C23))</f>
        <v/>
      </c>
      <c r="H23" s="3" t="inlineStr">
        <is>
          <t>Evidence chain is traceable and limitations are explicitly separated from failures. Evidence chain is traceable, with admin-export limitation explicitly separated.</t>
        </is>
      </c>
      <c r="I23" s="3" t="inlineStr">
        <is>
          <t>evidence_batch_020_192</t>
        </is>
      </c>
      <c r="J23" s="3" t="inlineStr">
        <is>
          <t>ISSUE-0010; ISSUE-0011; ISSUE-0012; ISSUE-0013</t>
        </is>
      </c>
    </row>
    <row r="24" ht="42" customHeight="1">
      <c r="A24" s="2" t="inlineStr">
        <is>
          <t>jeminise.com+personalized-baseball-bedding-full-size-flag-custom-name-d-design-18</t>
        </is>
      </c>
      <c r="B24" s="2" t="inlineStr">
        <is>
          <t>P1</t>
        </is>
      </c>
      <c r="C24" s="2" t="n">
        <v>15</v>
      </c>
      <c r="D24" s="2" t="inlineStr">
        <is>
          <t>FULL</t>
        </is>
      </c>
      <c r="E24" s="5">
        <f>IF(B24="I1",AVERAGEIF('QA_Images'!$A$2:$A$47,A24,'QA_Images'!$T$2:$T$47)/100,IF(D24="FULL",1,IF(D24="PARTIAL",0.5,IF(D24="FAIL",0,""))))</f>
        <v/>
      </c>
      <c r="F24" s="5">
        <f>IF(E24="",0,C24*E24)</f>
        <v/>
      </c>
      <c r="G24" s="5">
        <f>IF(B24="I1",20*AVERAGEIF('QA_Images'!$A$2:$A$47,A24,'QA_Images'!$U$2:$U$47)/100,IF(D24="NOT_CHECKED",0,C24))</f>
        <v/>
      </c>
      <c r="H24" s="2" t="inlineStr">
        <is>
          <t>Product identity, handle, product ID, URL and canonical match source/live evidence. Product key/handle/product ID/canonical checked against frozen workbook and live product evidence.</t>
        </is>
      </c>
      <c r="I24" s="2" t="inlineStr">
        <is>
          <t>evidence_batch_020_193</t>
        </is>
      </c>
      <c r="J24" s="2" t="inlineStr">
        <is>
          <t>ISSUE-0019; ISSUE-0020; ISSUE-0021; ISSUE-0022</t>
        </is>
      </c>
    </row>
    <row r="25" ht="42" customHeight="1">
      <c r="A25" s="3" t="inlineStr">
        <is>
          <t>jeminise.com+personalized-baseball-bedding-full-size-flag-custom-name-d-design-18</t>
        </is>
      </c>
      <c r="B25" s="3" t="inlineStr">
        <is>
          <t>P2</t>
        </is>
      </c>
      <c r="C25" s="3" t="n">
        <v>10</v>
      </c>
      <c r="D25" s="3" t="inlineStr">
        <is>
          <t>PARTIAL</t>
        </is>
      </c>
      <c r="E25" s="7">
        <f>IF(B25="I1",AVERAGEIF('QA_Images'!$A$2:$A$47,A25,'QA_Images'!$T$2:$T$47)/100,IF(D25="FULL",1,IF(D25="PARTIAL",0.5,IF(D25="FAIL",0,""))))</f>
        <v/>
      </c>
      <c r="F25" s="7">
        <f>IF(E25="",0,C25*E25)</f>
        <v/>
      </c>
      <c r="G25" s="7">
        <f>IF(B25="I1",20*AVERAGEIF('QA_Images'!$A$2:$A$47,A25,'QA_Images'!$U$2:$U$47)/100,IF(D25="NOT_CHECKED",0,C25))</f>
        <v/>
      </c>
      <c r="H25" s="3" t="inlineStr">
        <is>
          <t>Source product facts, variants, specifications and personalization claims are evidence-backed. Personalization/specification claims checked against storefront product.js and static customizer config.</t>
        </is>
      </c>
      <c r="I25" s="3" t="inlineStr">
        <is>
          <t>evidence_batch_020_193</t>
        </is>
      </c>
      <c r="J25" s="3" t="inlineStr">
        <is>
          <t>ISSUE-0019; ISSUE-0020; ISSUE-0021; ISSUE-0022</t>
        </is>
      </c>
    </row>
    <row r="26" ht="42" customHeight="1">
      <c r="A26" s="2" t="inlineStr">
        <is>
          <t>jeminise.com+personalized-baseball-bedding-full-size-flag-custom-name-d-design-18</t>
        </is>
      </c>
      <c r="B26" s="2" t="inlineStr">
        <is>
          <t>K1</t>
        </is>
      </c>
      <c r="C26" s="2" t="n">
        <v>10</v>
      </c>
      <c r="D26" s="2" t="inlineStr">
        <is>
          <t>PARTIAL</t>
        </is>
      </c>
      <c r="E26" s="5">
        <f>IF(B26="I1",AVERAGEIF('QA_Images'!$A$2:$A$47,A26,'QA_Images'!$T$2:$T$47)/100,IF(D26="FULL",1,IF(D26="PARTIAL",0.5,IF(D26="FAIL",0,""))))</f>
        <v/>
      </c>
      <c r="F26" s="5">
        <f>IF(E26="",0,C26*E26)</f>
        <v/>
      </c>
      <c r="G26" s="5">
        <f>IF(B26="I1",20*AVERAGEIF('QA_Images'!$A$2:$A$47,A26,'QA_Images'!$U$2:$U$47)/100,IF(D26="NOT_CHECKED",0,C26))</f>
        <v/>
      </c>
      <c r="H26" s="2" t="inlineStr">
        <is>
          <t>Primary keyword aligns with product-level US purchase intent. Primary keyword rechecked against US product-level SERP comparables.</t>
        </is>
      </c>
      <c r="I26" s="2" t="inlineStr">
        <is>
          <t>evidence_batch_020_193</t>
        </is>
      </c>
      <c r="J26" s="2" t="inlineStr">
        <is>
          <t>ISSUE-0019; ISSUE-0020; ISSUE-0021; ISSUE-0022</t>
        </is>
      </c>
    </row>
    <row r="27" ht="42" customHeight="1">
      <c r="A27" s="3" t="inlineStr">
        <is>
          <t>jeminise.com+personalized-baseball-bedding-full-size-flag-custom-name-d-design-18</t>
        </is>
      </c>
      <c r="B27" s="3" t="inlineStr">
        <is>
          <t>K2</t>
        </is>
      </c>
      <c r="C27" s="3" t="n">
        <v>5</v>
      </c>
      <c r="D27" s="3" t="inlineStr">
        <is>
          <t>PARTIAL</t>
        </is>
      </c>
      <c r="E27" s="7">
        <f>IF(B27="I1",AVERAGEIF('QA_Images'!$A$2:$A$47,A27,'QA_Images'!$T$2:$T$47)/100,IF(D27="FULL",1,IF(D27="PARTIAL",0.5,IF(D27="FAIL",0,""))))</f>
        <v/>
      </c>
      <c r="F27" s="7">
        <f>IF(E27="",0,C27*E27)</f>
        <v/>
      </c>
      <c r="G27" s="7">
        <f>IF(B27="I1",20*AVERAGEIF('QA_Images'!$A$2:$A$47,A27,'QA_Images'!$U$2:$U$47)/100,IF(D27="NOT_CHECKED",0,C27))</f>
        <v/>
      </c>
      <c r="H27" s="3" t="inlineStr">
        <is>
          <t>Intent/cannibalization check distinguishes nearby products. Nearby product cluster has overlap risk, so intent distinction remains only partial.</t>
        </is>
      </c>
      <c r="I27" s="3" t="inlineStr">
        <is>
          <t>evidence_batch_020_193</t>
        </is>
      </c>
      <c r="J27" s="3" t="inlineStr">
        <is>
          <t>ISSUE-0019; ISSUE-0020; ISSUE-0021; ISSUE-0022</t>
        </is>
      </c>
    </row>
    <row r="28" ht="42" customHeight="1">
      <c r="A28" s="2" t="inlineStr">
        <is>
          <t>jeminise.com+personalized-baseball-bedding-full-size-flag-custom-name-d-design-18</t>
        </is>
      </c>
      <c r="B28" s="2" t="inlineStr">
        <is>
          <t>K3</t>
        </is>
      </c>
      <c r="C28" s="2" t="n">
        <v>5</v>
      </c>
      <c r="D28" s="2" t="inlineStr">
        <is>
          <t>PARTIAL</t>
        </is>
      </c>
      <c r="E28" s="5">
        <f>IF(B28="I1",AVERAGEIF('QA_Images'!$A$2:$A$47,A28,'QA_Images'!$T$2:$T$47)/100,IF(D28="FULL",1,IF(D28="PARTIAL",0.5,IF(D28="FAIL",0,""))))</f>
        <v/>
      </c>
      <c r="F28" s="5">
        <f>IF(E28="",0,C28*E28)</f>
        <v/>
      </c>
      <c r="G28" s="5">
        <f>IF(B28="I1",20*AVERAGEIF('QA_Images'!$A$2:$A$47,A28,'QA_Images'!$U$2:$U$47)/100,IF(D28="NOT_CHECKED",0,C28))</f>
        <v/>
      </c>
      <c r="H28" s="2" t="inlineStr">
        <is>
          <t>Keyword evidence is supported by SERP comparables without unsupported volume claims. Evidence is public SERP only; no Search Console, keyword volume or customer-search corpus provided.</t>
        </is>
      </c>
      <c r="I28" s="2" t="inlineStr">
        <is>
          <t>evidence_batch_020_193</t>
        </is>
      </c>
      <c r="J28" s="2" t="inlineStr">
        <is>
          <t>ISSUE-0019; ISSUE-0020; ISSUE-0021; ISSUE-0022</t>
        </is>
      </c>
    </row>
    <row r="29" ht="42" customHeight="1">
      <c r="A29" s="3" t="inlineStr">
        <is>
          <t>jeminise.com+personalized-baseball-bedding-full-size-flag-custom-name-d-design-18</t>
        </is>
      </c>
      <c r="B29" s="3" t="inlineStr">
        <is>
          <t>T1</t>
        </is>
      </c>
      <c r="C29" s="3" t="n">
        <v>10</v>
      </c>
      <c r="D29" s="3" t="inlineStr">
        <is>
          <t>PARTIAL</t>
        </is>
      </c>
      <c r="E29" s="7">
        <f>IF(B29="I1",AVERAGEIF('QA_Images'!$A$2:$A$47,A29,'QA_Images'!$T$2:$T$47)/100,IF(D29="FULL",1,IF(D29="PARTIAL",0.5,IF(D29="FAIL",0,""))))</f>
        <v/>
      </c>
      <c r="F29" s="7">
        <f>IF(E29="",0,C29*E29)</f>
        <v/>
      </c>
      <c r="G29" s="7">
        <f>IF(B29="I1",20*AVERAGEIF('QA_Images'!$A$2:$A$47,A29,'QA_Images'!$U$2:$U$47)/100,IF(D29="NOT_CHECKED",0,C29))</f>
        <v/>
      </c>
      <c r="H29" s="3" t="inlineStr">
        <is>
          <t>SEO title and H1 are relevant, specific and grounded in visible/source facts. Proposed H1 is blank, so the title/H1 pair cannot be fully verified.</t>
        </is>
      </c>
      <c r="I29" s="3" t="inlineStr">
        <is>
          <t>evidence_batch_020_193</t>
        </is>
      </c>
      <c r="J29" s="3" t="inlineStr">
        <is>
          <t>ISSUE-0019; ISSUE-0020; ISSUE-0021; ISSUE-0022</t>
        </is>
      </c>
    </row>
    <row r="30" ht="42" customHeight="1">
      <c r="A30" s="2" t="inlineStr">
        <is>
          <t>jeminise.com+personalized-baseball-bedding-full-size-flag-custom-name-d-design-18</t>
        </is>
      </c>
      <c r="B30" s="2" t="inlineStr">
        <is>
          <t>T2</t>
        </is>
      </c>
      <c r="C30" s="2" t="n">
        <v>5</v>
      </c>
      <c r="D30" s="2" t="inlineStr">
        <is>
          <t>PARTIAL</t>
        </is>
      </c>
      <c r="E30" s="5">
        <f>IF(B30="I1",AVERAGEIF('QA_Images'!$A$2:$A$47,A30,'QA_Images'!$T$2:$T$47)/100,IF(D30="FULL",1,IF(D30="PARTIAL",0.5,IF(D30="FAIL",0,""))))</f>
        <v/>
      </c>
      <c r="F30" s="5">
        <f>IF(E30="",0,C30*E30)</f>
        <v/>
      </c>
      <c r="G30" s="5">
        <f>IF(B30="I1",20*AVERAGEIF('QA_Images'!$A$2:$A$47,A30,'QA_Images'!$U$2:$U$47)/100,IF(D30="NOT_CHECKED",0,C30))</f>
        <v/>
      </c>
      <c r="H30" s="2" t="inlineStr">
        <is>
          <t>Meta description is concise, publish-ready and avoids unsupported claims. Meta description checked for length, specificity and supportable claims.</t>
        </is>
      </c>
      <c r="I30" s="2" t="inlineStr">
        <is>
          <t>evidence_batch_020_193</t>
        </is>
      </c>
      <c r="J30" s="2" t="inlineStr">
        <is>
          <t>ISSUE-0019; ISSUE-0020; ISSUE-0021; ISSUE-0022</t>
        </is>
      </c>
    </row>
    <row r="31" ht="42" customHeight="1">
      <c r="A31" s="3" t="inlineStr">
        <is>
          <t>jeminise.com+personalized-baseball-bedding-full-size-flag-custom-name-d-design-18</t>
        </is>
      </c>
      <c r="B31" s="3" t="inlineStr">
        <is>
          <t>D1</t>
        </is>
      </c>
      <c r="C31" s="3" t="n">
        <v>10</v>
      </c>
      <c r="D31" s="3" t="inlineStr">
        <is>
          <t>FAIL</t>
        </is>
      </c>
      <c r="E31" s="7">
        <f>IF(B31="I1",AVERAGEIF('QA_Images'!$A$2:$A$47,A31,'QA_Images'!$T$2:$T$47)/100,IF(D31="FULL",1,IF(D31="PARTIAL",0.5,IF(D31="FAIL",0,""))))</f>
        <v/>
      </c>
      <c r="F31" s="7">
        <f>IF(E31="",0,C31*E31)</f>
        <v/>
      </c>
      <c r="G31" s="7">
        <f>IF(B31="I1",20*AVERAGEIF('QA_Images'!$A$2:$A$47,A31,'QA_Images'!$U$2:$U$47)/100,IF(D31="NOT_CHECKED",0,C31))</f>
        <v/>
      </c>
      <c r="H31" s="3" t="inlineStr">
        <is>
          <t>Description HTML is publish-ready and free of internal draft/QA instructions. Description HTML still contains internal QA/import language.</t>
        </is>
      </c>
      <c r="I31" s="3" t="inlineStr">
        <is>
          <t>evidence_batch_020_193</t>
        </is>
      </c>
      <c r="J31" s="3" t="inlineStr">
        <is>
          <t>ISSUE-0019; ISSUE-0020; ISSUE-0021; ISSUE-0022</t>
        </is>
      </c>
    </row>
    <row r="32" ht="42" customHeight="1">
      <c r="A32" s="2" t="inlineStr">
        <is>
          <t>jeminise.com+personalized-baseball-bedding-full-size-flag-custom-name-d-design-18</t>
        </is>
      </c>
      <c r="B32" s="2" t="inlineStr">
        <is>
          <t>D2</t>
        </is>
      </c>
      <c r="C32" s="2" t="n">
        <v>5</v>
      </c>
      <c r="D32" s="2" t="inlineStr">
        <is>
          <t>PARTIAL</t>
        </is>
      </c>
      <c r="E32" s="5">
        <f>IF(B32="I1",AVERAGEIF('QA_Images'!$A$2:$A$47,A32,'QA_Images'!$T$2:$T$47)/100,IF(D32="FULL",1,IF(D32="PARTIAL",0.5,IF(D32="FAIL",0,""))))</f>
        <v/>
      </c>
      <c r="F32" s="5">
        <f>IF(E32="",0,C32*E32)</f>
        <v/>
      </c>
      <c r="G32" s="5">
        <f>IF(B32="I1",20*AVERAGEIF('QA_Images'!$A$2:$A$47,A32,'QA_Images'!$U$2:$U$47)/100,IF(D32="NOT_CHECKED",0,C32))</f>
        <v/>
      </c>
      <c r="H32" s="2" t="inlineStr">
        <is>
          <t>Description content covers verified design, product type, use case and constraints. Description covers motif/product type but remains templated and does not always map every verified constraint.</t>
        </is>
      </c>
      <c r="I32" s="2" t="inlineStr">
        <is>
          <t>evidence_batch_020_193</t>
        </is>
      </c>
      <c r="J32" s="2" t="inlineStr">
        <is>
          <t>ISSUE-0019; ISSUE-0020; ISSUE-0021; ISSUE-0022</t>
        </is>
      </c>
    </row>
    <row r="33" ht="42" customHeight="1">
      <c r="A33" s="3" t="inlineStr">
        <is>
          <t>jeminise.com+personalized-baseball-bedding-full-size-flag-custom-name-d-design-18</t>
        </is>
      </c>
      <c r="B33" s="3" t="inlineStr">
        <is>
          <t>I1</t>
        </is>
      </c>
      <c r="C33" s="3" t="n">
        <v>20</v>
      </c>
      <c r="D33" s="3" t="inlineStr">
        <is>
          <t>FULL</t>
        </is>
      </c>
      <c r="E33" s="7">
        <f>IF(B33="I1",AVERAGEIF('QA_Images'!$A$2:$A$47,A33,'QA_Images'!$T$2:$T$47)/100,IF(D33="FULL",1,IF(D33="PARTIAL",0.5,IF(D33="FAIL",0,""))))</f>
        <v/>
      </c>
      <c r="F33" s="7">
        <f>IF(E33="",0,C33*E33)</f>
        <v/>
      </c>
      <c r="G33" s="7">
        <f>IF(B33="I1",20*AVERAGEIF('QA_Images'!$A$2:$A$47,A33,'QA_Images'!$U$2:$U$47)/100,IF(D33="NOT_CHECKED",0,C33))</f>
        <v/>
      </c>
      <c r="H33" s="3" t="inlineStr">
        <is>
          <t>Image coverage, image observations and alt text quality, derived from QA_Images. Derived from average image QA score; see QA_Images.</t>
        </is>
      </c>
      <c r="I33" s="3" t="inlineStr">
        <is>
          <t>evidence_batch_020_193</t>
        </is>
      </c>
      <c r="J33" s="3" t="inlineStr">
        <is>
          <t>ISSUE-0019; ISSUE-0020; ISSUE-0021; ISSUE-0022</t>
        </is>
      </c>
    </row>
    <row r="34" ht="42" customHeight="1">
      <c r="A34" s="2" t="inlineStr">
        <is>
          <t>jeminise.com+personalized-baseball-bedding-full-size-flag-custom-name-d-design-18</t>
        </is>
      </c>
      <c r="B34" s="2" t="inlineStr">
        <is>
          <t>E1</t>
        </is>
      </c>
      <c r="C34" s="2" t="n">
        <v>5</v>
      </c>
      <c r="D34" s="2" t="inlineStr">
        <is>
          <t>PARTIAL</t>
        </is>
      </c>
      <c r="E34" s="5">
        <f>IF(B34="I1",AVERAGEIF('QA_Images'!$A$2:$A$47,A34,'QA_Images'!$T$2:$T$47)/100,IF(D34="FULL",1,IF(D34="PARTIAL",0.5,IF(D34="FAIL",0,""))))</f>
        <v/>
      </c>
      <c r="F34" s="5">
        <f>IF(E34="",0,C34*E34)</f>
        <v/>
      </c>
      <c r="G34" s="5">
        <f>IF(B34="I1",20*AVERAGEIF('QA_Images'!$A$2:$A$47,A34,'QA_Images'!$U$2:$U$47)/100,IF(D34="NOT_CHECKED",0,C34))</f>
        <v/>
      </c>
      <c r="H34" s="2" t="inlineStr">
        <is>
          <t>Evidence chain is traceable and limitations are explicitly separated from failures. Evidence chain is traceable, with admin-export limitation explicitly separated.</t>
        </is>
      </c>
      <c r="I34" s="2" t="inlineStr">
        <is>
          <t>evidence_batch_020_193</t>
        </is>
      </c>
      <c r="J34" s="2" t="inlineStr">
        <is>
          <t>ISSUE-0019; ISSUE-0020; ISSUE-0021; ISSUE-0022</t>
        </is>
      </c>
    </row>
    <row r="35" ht="42" customHeight="1">
      <c r="A35" s="3" t="inlineStr">
        <is>
          <t>jeminise.com+personalized-baseball-bedding-full-size-flag-custom-name-d-design-19</t>
        </is>
      </c>
      <c r="B35" s="3" t="inlineStr">
        <is>
          <t>P1</t>
        </is>
      </c>
      <c r="C35" s="3" t="n">
        <v>15</v>
      </c>
      <c r="D35" s="3" t="inlineStr">
        <is>
          <t>FULL</t>
        </is>
      </c>
      <c r="E35" s="7">
        <f>IF(B35="I1",AVERAGEIF('QA_Images'!$A$2:$A$47,A35,'QA_Images'!$T$2:$T$47)/100,IF(D35="FULL",1,IF(D35="PARTIAL",0.5,IF(D35="FAIL",0,""))))</f>
        <v/>
      </c>
      <c r="F35" s="7">
        <f>IF(E35="",0,C35*E35)</f>
        <v/>
      </c>
      <c r="G35" s="7">
        <f>IF(B35="I1",20*AVERAGEIF('QA_Images'!$A$2:$A$47,A35,'QA_Images'!$U$2:$U$47)/100,IF(D35="NOT_CHECKED",0,C35))</f>
        <v/>
      </c>
      <c r="H35" s="3" t="inlineStr">
        <is>
          <t>Product identity, handle, product ID, URL and canonical match source/live evidence. Product key/handle/product ID/canonical checked against frozen workbook and live product evidence.</t>
        </is>
      </c>
      <c r="I35" s="3" t="inlineStr">
        <is>
          <t>evidence_batch_020_194</t>
        </is>
      </c>
      <c r="J35" s="3" t="inlineStr">
        <is>
          <t>ISSUE-0026; ISSUE-0027; ISSUE-0028; ISSUE-0029</t>
        </is>
      </c>
    </row>
    <row r="36" ht="42" customHeight="1">
      <c r="A36" s="2" t="inlineStr">
        <is>
          <t>jeminise.com+personalized-baseball-bedding-full-size-flag-custom-name-d-design-19</t>
        </is>
      </c>
      <c r="B36" s="2" t="inlineStr">
        <is>
          <t>P2</t>
        </is>
      </c>
      <c r="C36" s="2" t="n">
        <v>10</v>
      </c>
      <c r="D36" s="2" t="inlineStr">
        <is>
          <t>PARTIAL</t>
        </is>
      </c>
      <c r="E36" s="5">
        <f>IF(B36="I1",AVERAGEIF('QA_Images'!$A$2:$A$47,A36,'QA_Images'!$T$2:$T$47)/100,IF(D36="FULL",1,IF(D36="PARTIAL",0.5,IF(D36="FAIL",0,""))))</f>
        <v/>
      </c>
      <c r="F36" s="5">
        <f>IF(E36="",0,C36*E36)</f>
        <v/>
      </c>
      <c r="G36" s="5">
        <f>IF(B36="I1",20*AVERAGEIF('QA_Images'!$A$2:$A$47,A36,'QA_Images'!$U$2:$U$47)/100,IF(D36="NOT_CHECKED",0,C36))</f>
        <v/>
      </c>
      <c r="H36" s="2" t="inlineStr">
        <is>
          <t>Source product facts, variants, specifications and personalization claims are evidence-backed. Personalization/specification claims checked against storefront product.js and static customizer config.</t>
        </is>
      </c>
      <c r="I36" s="2" t="inlineStr">
        <is>
          <t>evidence_batch_020_194</t>
        </is>
      </c>
      <c r="J36" s="2" t="inlineStr">
        <is>
          <t>ISSUE-0026; ISSUE-0027; ISSUE-0028; ISSUE-0029</t>
        </is>
      </c>
    </row>
    <row r="37" ht="42" customHeight="1">
      <c r="A37" s="3" t="inlineStr">
        <is>
          <t>jeminise.com+personalized-baseball-bedding-full-size-flag-custom-name-d-design-19</t>
        </is>
      </c>
      <c r="B37" s="3" t="inlineStr">
        <is>
          <t>K1</t>
        </is>
      </c>
      <c r="C37" s="3" t="n">
        <v>10</v>
      </c>
      <c r="D37" s="3" t="inlineStr">
        <is>
          <t>PARTIAL</t>
        </is>
      </c>
      <c r="E37" s="7">
        <f>IF(B37="I1",AVERAGEIF('QA_Images'!$A$2:$A$47,A37,'QA_Images'!$T$2:$T$47)/100,IF(D37="FULL",1,IF(D37="PARTIAL",0.5,IF(D37="FAIL",0,""))))</f>
        <v/>
      </c>
      <c r="F37" s="7">
        <f>IF(E37="",0,C37*E37)</f>
        <v/>
      </c>
      <c r="G37" s="7">
        <f>IF(B37="I1",20*AVERAGEIF('QA_Images'!$A$2:$A$47,A37,'QA_Images'!$U$2:$U$47)/100,IF(D37="NOT_CHECKED",0,C37))</f>
        <v/>
      </c>
      <c r="H37" s="3" t="inlineStr">
        <is>
          <t>Primary keyword aligns with product-level US purchase intent. Primary keyword rechecked against US product-level SERP comparables.</t>
        </is>
      </c>
      <c r="I37" s="3" t="inlineStr">
        <is>
          <t>evidence_batch_020_194</t>
        </is>
      </c>
      <c r="J37" s="3" t="inlineStr">
        <is>
          <t>ISSUE-0026; ISSUE-0027; ISSUE-0028; ISSUE-0029</t>
        </is>
      </c>
    </row>
    <row r="38" ht="42" customHeight="1">
      <c r="A38" s="2" t="inlineStr">
        <is>
          <t>jeminise.com+personalized-baseball-bedding-full-size-flag-custom-name-d-design-19</t>
        </is>
      </c>
      <c r="B38" s="2" t="inlineStr">
        <is>
          <t>K2</t>
        </is>
      </c>
      <c r="C38" s="2" t="n">
        <v>5</v>
      </c>
      <c r="D38" s="2" t="inlineStr">
        <is>
          <t>PARTIAL</t>
        </is>
      </c>
      <c r="E38" s="5">
        <f>IF(B38="I1",AVERAGEIF('QA_Images'!$A$2:$A$47,A38,'QA_Images'!$T$2:$T$47)/100,IF(D38="FULL",1,IF(D38="PARTIAL",0.5,IF(D38="FAIL",0,""))))</f>
        <v/>
      </c>
      <c r="F38" s="5">
        <f>IF(E38="",0,C38*E38)</f>
        <v/>
      </c>
      <c r="G38" s="5">
        <f>IF(B38="I1",20*AVERAGEIF('QA_Images'!$A$2:$A$47,A38,'QA_Images'!$U$2:$U$47)/100,IF(D38="NOT_CHECKED",0,C38))</f>
        <v/>
      </c>
      <c r="H38" s="2" t="inlineStr">
        <is>
          <t>Intent/cannibalization check distinguishes nearby products. Nearby product cluster has overlap risk, so intent distinction remains only partial.</t>
        </is>
      </c>
      <c r="I38" s="2" t="inlineStr">
        <is>
          <t>evidence_batch_020_194</t>
        </is>
      </c>
      <c r="J38" s="2" t="inlineStr">
        <is>
          <t>ISSUE-0026; ISSUE-0027; ISSUE-0028; ISSUE-0029</t>
        </is>
      </c>
    </row>
    <row r="39" ht="42" customHeight="1">
      <c r="A39" s="3" t="inlineStr">
        <is>
          <t>jeminise.com+personalized-baseball-bedding-full-size-flag-custom-name-d-design-19</t>
        </is>
      </c>
      <c r="B39" s="3" t="inlineStr">
        <is>
          <t>K3</t>
        </is>
      </c>
      <c r="C39" s="3" t="n">
        <v>5</v>
      </c>
      <c r="D39" s="3" t="inlineStr">
        <is>
          <t>PARTIAL</t>
        </is>
      </c>
      <c r="E39" s="7">
        <f>IF(B39="I1",AVERAGEIF('QA_Images'!$A$2:$A$47,A39,'QA_Images'!$T$2:$T$47)/100,IF(D39="FULL",1,IF(D39="PARTIAL",0.5,IF(D39="FAIL",0,""))))</f>
        <v/>
      </c>
      <c r="F39" s="7">
        <f>IF(E39="",0,C39*E39)</f>
        <v/>
      </c>
      <c r="G39" s="7">
        <f>IF(B39="I1",20*AVERAGEIF('QA_Images'!$A$2:$A$47,A39,'QA_Images'!$U$2:$U$47)/100,IF(D39="NOT_CHECKED",0,C39))</f>
        <v/>
      </c>
      <c r="H39" s="3" t="inlineStr">
        <is>
          <t>Keyword evidence is supported by SERP comparables without unsupported volume claims. Evidence is public SERP only; no Search Console, keyword volume or customer-search corpus provided.</t>
        </is>
      </c>
      <c r="I39" s="3" t="inlineStr">
        <is>
          <t>evidence_batch_020_194</t>
        </is>
      </c>
      <c r="J39" s="3" t="inlineStr">
        <is>
          <t>ISSUE-0026; ISSUE-0027; ISSUE-0028; ISSUE-0029</t>
        </is>
      </c>
    </row>
    <row r="40" ht="42" customHeight="1">
      <c r="A40" s="2" t="inlineStr">
        <is>
          <t>jeminise.com+personalized-baseball-bedding-full-size-flag-custom-name-d-design-19</t>
        </is>
      </c>
      <c r="B40" s="2" t="inlineStr">
        <is>
          <t>T1</t>
        </is>
      </c>
      <c r="C40" s="2" t="n">
        <v>10</v>
      </c>
      <c r="D40" s="2" t="inlineStr">
        <is>
          <t>PARTIAL</t>
        </is>
      </c>
      <c r="E40" s="5">
        <f>IF(B40="I1",AVERAGEIF('QA_Images'!$A$2:$A$47,A40,'QA_Images'!$T$2:$T$47)/100,IF(D40="FULL",1,IF(D40="PARTIAL",0.5,IF(D40="FAIL",0,""))))</f>
        <v/>
      </c>
      <c r="F40" s="5">
        <f>IF(E40="",0,C40*E40)</f>
        <v/>
      </c>
      <c r="G40" s="5">
        <f>IF(B40="I1",20*AVERAGEIF('QA_Images'!$A$2:$A$47,A40,'QA_Images'!$U$2:$U$47)/100,IF(D40="NOT_CHECKED",0,C40))</f>
        <v/>
      </c>
      <c r="H40" s="2" t="inlineStr">
        <is>
          <t>SEO title and H1 are relevant, specific and grounded in visible/source facts. Proposed H1 is blank, so the title/H1 pair cannot be fully verified.</t>
        </is>
      </c>
      <c r="I40" s="2" t="inlineStr">
        <is>
          <t>evidence_batch_020_194</t>
        </is>
      </c>
      <c r="J40" s="2" t="inlineStr">
        <is>
          <t>ISSUE-0026; ISSUE-0027; ISSUE-0028; ISSUE-0029</t>
        </is>
      </c>
    </row>
    <row r="41" ht="42" customHeight="1">
      <c r="A41" s="3" t="inlineStr">
        <is>
          <t>jeminise.com+personalized-baseball-bedding-full-size-flag-custom-name-d-design-19</t>
        </is>
      </c>
      <c r="B41" s="3" t="inlineStr">
        <is>
          <t>T2</t>
        </is>
      </c>
      <c r="C41" s="3" t="n">
        <v>5</v>
      </c>
      <c r="D41" s="3" t="inlineStr">
        <is>
          <t>PARTIAL</t>
        </is>
      </c>
      <c r="E41" s="7">
        <f>IF(B41="I1",AVERAGEIF('QA_Images'!$A$2:$A$47,A41,'QA_Images'!$T$2:$T$47)/100,IF(D41="FULL",1,IF(D41="PARTIAL",0.5,IF(D41="FAIL",0,""))))</f>
        <v/>
      </c>
      <c r="F41" s="7">
        <f>IF(E41="",0,C41*E41)</f>
        <v/>
      </c>
      <c r="G41" s="7">
        <f>IF(B41="I1",20*AVERAGEIF('QA_Images'!$A$2:$A$47,A41,'QA_Images'!$U$2:$U$47)/100,IF(D41="NOT_CHECKED",0,C41))</f>
        <v/>
      </c>
      <c r="H41" s="3" t="inlineStr">
        <is>
          <t>Meta description is concise, publish-ready and avoids unsupported claims. Meta description checked for length, specificity and supportable claims.</t>
        </is>
      </c>
      <c r="I41" s="3" t="inlineStr">
        <is>
          <t>evidence_batch_020_194</t>
        </is>
      </c>
      <c r="J41" s="3" t="inlineStr">
        <is>
          <t>ISSUE-0026; ISSUE-0027; ISSUE-0028; ISSUE-0029</t>
        </is>
      </c>
    </row>
    <row r="42" ht="42" customHeight="1">
      <c r="A42" s="2" t="inlineStr">
        <is>
          <t>jeminise.com+personalized-baseball-bedding-full-size-flag-custom-name-d-design-19</t>
        </is>
      </c>
      <c r="B42" s="2" t="inlineStr">
        <is>
          <t>D1</t>
        </is>
      </c>
      <c r="C42" s="2" t="n">
        <v>10</v>
      </c>
      <c r="D42" s="2" t="inlineStr">
        <is>
          <t>FAIL</t>
        </is>
      </c>
      <c r="E42" s="5">
        <f>IF(B42="I1",AVERAGEIF('QA_Images'!$A$2:$A$47,A42,'QA_Images'!$T$2:$T$47)/100,IF(D42="FULL",1,IF(D42="PARTIAL",0.5,IF(D42="FAIL",0,""))))</f>
        <v/>
      </c>
      <c r="F42" s="5">
        <f>IF(E42="",0,C42*E42)</f>
        <v/>
      </c>
      <c r="G42" s="5">
        <f>IF(B42="I1",20*AVERAGEIF('QA_Images'!$A$2:$A$47,A42,'QA_Images'!$U$2:$U$47)/100,IF(D42="NOT_CHECKED",0,C42))</f>
        <v/>
      </c>
      <c r="H42" s="2" t="inlineStr">
        <is>
          <t>Description HTML is publish-ready and free of internal draft/QA instructions. Description HTML still contains internal QA/import language.</t>
        </is>
      </c>
      <c r="I42" s="2" t="inlineStr">
        <is>
          <t>evidence_batch_020_194</t>
        </is>
      </c>
      <c r="J42" s="2" t="inlineStr">
        <is>
          <t>ISSUE-0026; ISSUE-0027; ISSUE-0028; ISSUE-0029</t>
        </is>
      </c>
    </row>
    <row r="43" ht="42" customHeight="1">
      <c r="A43" s="3" t="inlineStr">
        <is>
          <t>jeminise.com+personalized-baseball-bedding-full-size-flag-custom-name-d-design-19</t>
        </is>
      </c>
      <c r="B43" s="3" t="inlineStr">
        <is>
          <t>D2</t>
        </is>
      </c>
      <c r="C43" s="3" t="n">
        <v>5</v>
      </c>
      <c r="D43" s="3" t="inlineStr">
        <is>
          <t>PARTIAL</t>
        </is>
      </c>
      <c r="E43" s="7">
        <f>IF(B43="I1",AVERAGEIF('QA_Images'!$A$2:$A$47,A43,'QA_Images'!$T$2:$T$47)/100,IF(D43="FULL",1,IF(D43="PARTIAL",0.5,IF(D43="FAIL",0,""))))</f>
        <v/>
      </c>
      <c r="F43" s="7">
        <f>IF(E43="",0,C43*E43)</f>
        <v/>
      </c>
      <c r="G43" s="7">
        <f>IF(B43="I1",20*AVERAGEIF('QA_Images'!$A$2:$A$47,A43,'QA_Images'!$U$2:$U$47)/100,IF(D43="NOT_CHECKED",0,C43))</f>
        <v/>
      </c>
      <c r="H43" s="3" t="inlineStr">
        <is>
          <t>Description content covers verified design, product type, use case and constraints. Description covers motif/product type but remains templated and does not always map every verified constraint.</t>
        </is>
      </c>
      <c r="I43" s="3" t="inlineStr">
        <is>
          <t>evidence_batch_020_194</t>
        </is>
      </c>
      <c r="J43" s="3" t="inlineStr">
        <is>
          <t>ISSUE-0026; ISSUE-0027; ISSUE-0028; ISSUE-0029</t>
        </is>
      </c>
    </row>
    <row r="44" ht="42" customHeight="1">
      <c r="A44" s="2" t="inlineStr">
        <is>
          <t>jeminise.com+personalized-baseball-bedding-full-size-flag-custom-name-d-design-19</t>
        </is>
      </c>
      <c r="B44" s="2" t="inlineStr">
        <is>
          <t>I1</t>
        </is>
      </c>
      <c r="C44" s="2" t="n">
        <v>20</v>
      </c>
      <c r="D44" s="2" t="inlineStr">
        <is>
          <t>FULL</t>
        </is>
      </c>
      <c r="E44" s="5">
        <f>IF(B44="I1",AVERAGEIF('QA_Images'!$A$2:$A$47,A44,'QA_Images'!$T$2:$T$47)/100,IF(D44="FULL",1,IF(D44="PARTIAL",0.5,IF(D44="FAIL",0,""))))</f>
        <v/>
      </c>
      <c r="F44" s="5">
        <f>IF(E44="",0,C44*E44)</f>
        <v/>
      </c>
      <c r="G44" s="5">
        <f>IF(B44="I1",20*AVERAGEIF('QA_Images'!$A$2:$A$47,A44,'QA_Images'!$U$2:$U$47)/100,IF(D44="NOT_CHECKED",0,C44))</f>
        <v/>
      </c>
      <c r="H44" s="2" t="inlineStr">
        <is>
          <t>Image coverage, image observations and alt text quality, derived from QA_Images. Derived from average image QA score; see QA_Images.</t>
        </is>
      </c>
      <c r="I44" s="2" t="inlineStr">
        <is>
          <t>evidence_batch_020_194</t>
        </is>
      </c>
      <c r="J44" s="2" t="inlineStr">
        <is>
          <t>ISSUE-0026; ISSUE-0027; ISSUE-0028; ISSUE-0029</t>
        </is>
      </c>
    </row>
    <row r="45" ht="42" customHeight="1">
      <c r="A45" s="3" t="inlineStr">
        <is>
          <t>jeminise.com+personalized-baseball-bedding-full-size-flag-custom-name-d-design-19</t>
        </is>
      </c>
      <c r="B45" s="3" t="inlineStr">
        <is>
          <t>E1</t>
        </is>
      </c>
      <c r="C45" s="3" t="n">
        <v>5</v>
      </c>
      <c r="D45" s="3" t="inlineStr">
        <is>
          <t>PARTIAL</t>
        </is>
      </c>
      <c r="E45" s="7">
        <f>IF(B45="I1",AVERAGEIF('QA_Images'!$A$2:$A$47,A45,'QA_Images'!$T$2:$T$47)/100,IF(D45="FULL",1,IF(D45="PARTIAL",0.5,IF(D45="FAIL",0,""))))</f>
        <v/>
      </c>
      <c r="F45" s="7">
        <f>IF(E45="",0,C45*E45)</f>
        <v/>
      </c>
      <c r="G45" s="7">
        <f>IF(B45="I1",20*AVERAGEIF('QA_Images'!$A$2:$A$47,A45,'QA_Images'!$U$2:$U$47)/100,IF(D45="NOT_CHECKED",0,C45))</f>
        <v/>
      </c>
      <c r="H45" s="3" t="inlineStr">
        <is>
          <t>Evidence chain is traceable and limitations are explicitly separated from failures. Evidence chain is traceable, with admin-export limitation explicitly separated.</t>
        </is>
      </c>
      <c r="I45" s="3" t="inlineStr">
        <is>
          <t>evidence_batch_020_194</t>
        </is>
      </c>
      <c r="J45" s="3" t="inlineStr">
        <is>
          <t>ISSUE-0026; ISSUE-0027; ISSUE-0028; ISSUE-0029</t>
        </is>
      </c>
    </row>
    <row r="46" ht="42" customHeight="1">
      <c r="A46" s="2" t="inlineStr">
        <is>
          <t>jeminise.com+personalized-baseball-bedding-full-size-flag-custom-name-d-design-20</t>
        </is>
      </c>
      <c r="B46" s="2" t="inlineStr">
        <is>
          <t>P1</t>
        </is>
      </c>
      <c r="C46" s="2" t="n">
        <v>15</v>
      </c>
      <c r="D46" s="2" t="inlineStr">
        <is>
          <t>FULL</t>
        </is>
      </c>
      <c r="E46" s="5">
        <f>IF(B46="I1",AVERAGEIF('QA_Images'!$A$2:$A$47,A46,'QA_Images'!$T$2:$T$47)/100,IF(D46="FULL",1,IF(D46="PARTIAL",0.5,IF(D46="FAIL",0,""))))</f>
        <v/>
      </c>
      <c r="F46" s="5">
        <f>IF(E46="",0,C46*E46)</f>
        <v/>
      </c>
      <c r="G46" s="5">
        <f>IF(B46="I1",20*AVERAGEIF('QA_Images'!$A$2:$A$47,A46,'QA_Images'!$U$2:$U$47)/100,IF(D46="NOT_CHECKED",0,C46))</f>
        <v/>
      </c>
      <c r="H46" s="2" t="inlineStr">
        <is>
          <t>Product identity, handle, product ID, URL and canonical match source/live evidence. Product key/handle/product ID/canonical checked against frozen workbook and live product evidence.</t>
        </is>
      </c>
      <c r="I46" s="2" t="inlineStr">
        <is>
          <t>evidence_batch_020_195</t>
        </is>
      </c>
      <c r="J46" s="2" t="inlineStr">
        <is>
          <t>ISSUE-0033; ISSUE-0034; ISSUE-0035; ISSUE-0036</t>
        </is>
      </c>
    </row>
    <row r="47" ht="42" customHeight="1">
      <c r="A47" s="3" t="inlineStr">
        <is>
          <t>jeminise.com+personalized-baseball-bedding-full-size-flag-custom-name-d-design-20</t>
        </is>
      </c>
      <c r="B47" s="3" t="inlineStr">
        <is>
          <t>P2</t>
        </is>
      </c>
      <c r="C47" s="3" t="n">
        <v>10</v>
      </c>
      <c r="D47" s="3" t="inlineStr">
        <is>
          <t>PARTIAL</t>
        </is>
      </c>
      <c r="E47" s="7">
        <f>IF(B47="I1",AVERAGEIF('QA_Images'!$A$2:$A$47,A47,'QA_Images'!$T$2:$T$47)/100,IF(D47="FULL",1,IF(D47="PARTIAL",0.5,IF(D47="FAIL",0,""))))</f>
        <v/>
      </c>
      <c r="F47" s="7">
        <f>IF(E47="",0,C47*E47)</f>
        <v/>
      </c>
      <c r="G47" s="7">
        <f>IF(B47="I1",20*AVERAGEIF('QA_Images'!$A$2:$A$47,A47,'QA_Images'!$U$2:$U$47)/100,IF(D47="NOT_CHECKED",0,C47))</f>
        <v/>
      </c>
      <c r="H47" s="3" t="inlineStr">
        <is>
          <t>Source product facts, variants, specifications and personalization claims are evidence-backed. Personalization/specification claims checked against storefront product.js and static customizer config.</t>
        </is>
      </c>
      <c r="I47" s="3" t="inlineStr">
        <is>
          <t>evidence_batch_020_195</t>
        </is>
      </c>
      <c r="J47" s="3" t="inlineStr">
        <is>
          <t>ISSUE-0033; ISSUE-0034; ISSUE-0035; ISSUE-0036</t>
        </is>
      </c>
    </row>
    <row r="48" ht="42" customHeight="1">
      <c r="A48" s="2" t="inlineStr">
        <is>
          <t>jeminise.com+personalized-baseball-bedding-full-size-flag-custom-name-d-design-20</t>
        </is>
      </c>
      <c r="B48" s="2" t="inlineStr">
        <is>
          <t>K1</t>
        </is>
      </c>
      <c r="C48" s="2" t="n">
        <v>10</v>
      </c>
      <c r="D48" s="2" t="inlineStr">
        <is>
          <t>PARTIAL</t>
        </is>
      </c>
      <c r="E48" s="5">
        <f>IF(B48="I1",AVERAGEIF('QA_Images'!$A$2:$A$47,A48,'QA_Images'!$T$2:$T$47)/100,IF(D48="FULL",1,IF(D48="PARTIAL",0.5,IF(D48="FAIL",0,""))))</f>
        <v/>
      </c>
      <c r="F48" s="5">
        <f>IF(E48="",0,C48*E48)</f>
        <v/>
      </c>
      <c r="G48" s="5">
        <f>IF(B48="I1",20*AVERAGEIF('QA_Images'!$A$2:$A$47,A48,'QA_Images'!$U$2:$U$47)/100,IF(D48="NOT_CHECKED",0,C48))</f>
        <v/>
      </c>
      <c r="H48" s="2" t="inlineStr">
        <is>
          <t>Primary keyword aligns with product-level US purchase intent. Primary keyword rechecked against US product-level SERP comparables.</t>
        </is>
      </c>
      <c r="I48" s="2" t="inlineStr">
        <is>
          <t>evidence_batch_020_195</t>
        </is>
      </c>
      <c r="J48" s="2" t="inlineStr">
        <is>
          <t>ISSUE-0033; ISSUE-0034; ISSUE-0035; ISSUE-0036</t>
        </is>
      </c>
    </row>
    <row r="49" ht="42" customHeight="1">
      <c r="A49" s="3" t="inlineStr">
        <is>
          <t>jeminise.com+personalized-baseball-bedding-full-size-flag-custom-name-d-design-20</t>
        </is>
      </c>
      <c r="B49" s="3" t="inlineStr">
        <is>
          <t>K2</t>
        </is>
      </c>
      <c r="C49" s="3" t="n">
        <v>5</v>
      </c>
      <c r="D49" s="3" t="inlineStr">
        <is>
          <t>PARTIAL</t>
        </is>
      </c>
      <c r="E49" s="7">
        <f>IF(B49="I1",AVERAGEIF('QA_Images'!$A$2:$A$47,A49,'QA_Images'!$T$2:$T$47)/100,IF(D49="FULL",1,IF(D49="PARTIAL",0.5,IF(D49="FAIL",0,""))))</f>
        <v/>
      </c>
      <c r="F49" s="7">
        <f>IF(E49="",0,C49*E49)</f>
        <v/>
      </c>
      <c r="G49" s="7">
        <f>IF(B49="I1",20*AVERAGEIF('QA_Images'!$A$2:$A$47,A49,'QA_Images'!$U$2:$U$47)/100,IF(D49="NOT_CHECKED",0,C49))</f>
        <v/>
      </c>
      <c r="H49" s="3" t="inlineStr">
        <is>
          <t>Intent/cannibalization check distinguishes nearby products. Nearby product cluster has overlap risk, so intent distinction remains only partial.</t>
        </is>
      </c>
      <c r="I49" s="3" t="inlineStr">
        <is>
          <t>evidence_batch_020_195</t>
        </is>
      </c>
      <c r="J49" s="3" t="inlineStr">
        <is>
          <t>ISSUE-0033; ISSUE-0034; ISSUE-0035; ISSUE-0036</t>
        </is>
      </c>
    </row>
    <row r="50" ht="42" customHeight="1">
      <c r="A50" s="2" t="inlineStr">
        <is>
          <t>jeminise.com+personalized-baseball-bedding-full-size-flag-custom-name-d-design-20</t>
        </is>
      </c>
      <c r="B50" s="2" t="inlineStr">
        <is>
          <t>K3</t>
        </is>
      </c>
      <c r="C50" s="2" t="n">
        <v>5</v>
      </c>
      <c r="D50" s="2" t="inlineStr">
        <is>
          <t>PARTIAL</t>
        </is>
      </c>
      <c r="E50" s="5">
        <f>IF(B50="I1",AVERAGEIF('QA_Images'!$A$2:$A$47,A50,'QA_Images'!$T$2:$T$47)/100,IF(D50="FULL",1,IF(D50="PARTIAL",0.5,IF(D50="FAIL",0,""))))</f>
        <v/>
      </c>
      <c r="F50" s="5">
        <f>IF(E50="",0,C50*E50)</f>
        <v/>
      </c>
      <c r="G50" s="5">
        <f>IF(B50="I1",20*AVERAGEIF('QA_Images'!$A$2:$A$47,A50,'QA_Images'!$U$2:$U$47)/100,IF(D50="NOT_CHECKED",0,C50))</f>
        <v/>
      </c>
      <c r="H50" s="2" t="inlineStr">
        <is>
          <t>Keyword evidence is supported by SERP comparables without unsupported volume claims. Evidence is public SERP only; no Search Console, keyword volume or customer-search corpus provided.</t>
        </is>
      </c>
      <c r="I50" s="2" t="inlineStr">
        <is>
          <t>evidence_batch_020_195</t>
        </is>
      </c>
      <c r="J50" s="2" t="inlineStr">
        <is>
          <t>ISSUE-0033; ISSUE-0034; ISSUE-0035; ISSUE-0036</t>
        </is>
      </c>
    </row>
    <row r="51" ht="42" customHeight="1">
      <c r="A51" s="3" t="inlineStr">
        <is>
          <t>jeminise.com+personalized-baseball-bedding-full-size-flag-custom-name-d-design-20</t>
        </is>
      </c>
      <c r="B51" s="3" t="inlineStr">
        <is>
          <t>T1</t>
        </is>
      </c>
      <c r="C51" s="3" t="n">
        <v>10</v>
      </c>
      <c r="D51" s="3" t="inlineStr">
        <is>
          <t>PARTIAL</t>
        </is>
      </c>
      <c r="E51" s="7">
        <f>IF(B51="I1",AVERAGEIF('QA_Images'!$A$2:$A$47,A51,'QA_Images'!$T$2:$T$47)/100,IF(D51="FULL",1,IF(D51="PARTIAL",0.5,IF(D51="FAIL",0,""))))</f>
        <v/>
      </c>
      <c r="F51" s="7">
        <f>IF(E51="",0,C51*E51)</f>
        <v/>
      </c>
      <c r="G51" s="7">
        <f>IF(B51="I1",20*AVERAGEIF('QA_Images'!$A$2:$A$47,A51,'QA_Images'!$U$2:$U$47)/100,IF(D51="NOT_CHECKED",0,C51))</f>
        <v/>
      </c>
      <c r="H51" s="3" t="inlineStr">
        <is>
          <t>SEO title and H1 are relevant, specific and grounded in visible/source facts. Proposed H1 is blank, so the title/H1 pair cannot be fully verified.</t>
        </is>
      </c>
      <c r="I51" s="3" t="inlineStr">
        <is>
          <t>evidence_batch_020_195</t>
        </is>
      </c>
      <c r="J51" s="3" t="inlineStr">
        <is>
          <t>ISSUE-0033; ISSUE-0034; ISSUE-0035; ISSUE-0036</t>
        </is>
      </c>
    </row>
    <row r="52" ht="42" customHeight="1">
      <c r="A52" s="2" t="inlineStr">
        <is>
          <t>jeminise.com+personalized-baseball-bedding-full-size-flag-custom-name-d-design-20</t>
        </is>
      </c>
      <c r="B52" s="2" t="inlineStr">
        <is>
          <t>T2</t>
        </is>
      </c>
      <c r="C52" s="2" t="n">
        <v>5</v>
      </c>
      <c r="D52" s="2" t="inlineStr">
        <is>
          <t>PARTIAL</t>
        </is>
      </c>
      <c r="E52" s="5">
        <f>IF(B52="I1",AVERAGEIF('QA_Images'!$A$2:$A$47,A52,'QA_Images'!$T$2:$T$47)/100,IF(D52="FULL",1,IF(D52="PARTIAL",0.5,IF(D52="FAIL",0,""))))</f>
        <v/>
      </c>
      <c r="F52" s="5">
        <f>IF(E52="",0,C52*E52)</f>
        <v/>
      </c>
      <c r="G52" s="5">
        <f>IF(B52="I1",20*AVERAGEIF('QA_Images'!$A$2:$A$47,A52,'QA_Images'!$U$2:$U$47)/100,IF(D52="NOT_CHECKED",0,C52))</f>
        <v/>
      </c>
      <c r="H52" s="2" t="inlineStr">
        <is>
          <t>Meta description is concise, publish-ready and avoids unsupported claims. Meta description checked for length, specificity and supportable claims.</t>
        </is>
      </c>
      <c r="I52" s="2" t="inlineStr">
        <is>
          <t>evidence_batch_020_195</t>
        </is>
      </c>
      <c r="J52" s="2" t="inlineStr">
        <is>
          <t>ISSUE-0033; ISSUE-0034; ISSUE-0035; ISSUE-0036</t>
        </is>
      </c>
    </row>
    <row r="53" ht="42" customHeight="1">
      <c r="A53" s="3" t="inlineStr">
        <is>
          <t>jeminise.com+personalized-baseball-bedding-full-size-flag-custom-name-d-design-20</t>
        </is>
      </c>
      <c r="B53" s="3" t="inlineStr">
        <is>
          <t>D1</t>
        </is>
      </c>
      <c r="C53" s="3" t="n">
        <v>10</v>
      </c>
      <c r="D53" s="3" t="inlineStr">
        <is>
          <t>FAIL</t>
        </is>
      </c>
      <c r="E53" s="7">
        <f>IF(B53="I1",AVERAGEIF('QA_Images'!$A$2:$A$47,A53,'QA_Images'!$T$2:$T$47)/100,IF(D53="FULL",1,IF(D53="PARTIAL",0.5,IF(D53="FAIL",0,""))))</f>
        <v/>
      </c>
      <c r="F53" s="7">
        <f>IF(E53="",0,C53*E53)</f>
        <v/>
      </c>
      <c r="G53" s="7">
        <f>IF(B53="I1",20*AVERAGEIF('QA_Images'!$A$2:$A$47,A53,'QA_Images'!$U$2:$U$47)/100,IF(D53="NOT_CHECKED",0,C53))</f>
        <v/>
      </c>
      <c r="H53" s="3" t="inlineStr">
        <is>
          <t>Description HTML is publish-ready and free of internal draft/QA instructions. Description HTML still contains internal QA/import language.</t>
        </is>
      </c>
      <c r="I53" s="3" t="inlineStr">
        <is>
          <t>evidence_batch_020_195</t>
        </is>
      </c>
      <c r="J53" s="3" t="inlineStr">
        <is>
          <t>ISSUE-0033; ISSUE-0034; ISSUE-0035; ISSUE-0036</t>
        </is>
      </c>
    </row>
    <row r="54" ht="42" customHeight="1">
      <c r="A54" s="2" t="inlineStr">
        <is>
          <t>jeminise.com+personalized-baseball-bedding-full-size-flag-custom-name-d-design-20</t>
        </is>
      </c>
      <c r="B54" s="2" t="inlineStr">
        <is>
          <t>D2</t>
        </is>
      </c>
      <c r="C54" s="2" t="n">
        <v>5</v>
      </c>
      <c r="D54" s="2" t="inlineStr">
        <is>
          <t>PARTIAL</t>
        </is>
      </c>
      <c r="E54" s="5">
        <f>IF(B54="I1",AVERAGEIF('QA_Images'!$A$2:$A$47,A54,'QA_Images'!$T$2:$T$47)/100,IF(D54="FULL",1,IF(D54="PARTIAL",0.5,IF(D54="FAIL",0,""))))</f>
        <v/>
      </c>
      <c r="F54" s="5">
        <f>IF(E54="",0,C54*E54)</f>
        <v/>
      </c>
      <c r="G54" s="5">
        <f>IF(B54="I1",20*AVERAGEIF('QA_Images'!$A$2:$A$47,A54,'QA_Images'!$U$2:$U$47)/100,IF(D54="NOT_CHECKED",0,C54))</f>
        <v/>
      </c>
      <c r="H54" s="2" t="inlineStr">
        <is>
          <t>Description content covers verified design, product type, use case and constraints. Description covers motif/product type but remains templated and does not always map every verified constraint.</t>
        </is>
      </c>
      <c r="I54" s="2" t="inlineStr">
        <is>
          <t>evidence_batch_020_195</t>
        </is>
      </c>
      <c r="J54" s="2" t="inlineStr">
        <is>
          <t>ISSUE-0033; ISSUE-0034; ISSUE-0035; ISSUE-0036</t>
        </is>
      </c>
    </row>
    <row r="55" ht="42" customHeight="1">
      <c r="A55" s="3" t="inlineStr">
        <is>
          <t>jeminise.com+personalized-baseball-bedding-full-size-flag-custom-name-d-design-20</t>
        </is>
      </c>
      <c r="B55" s="3" t="inlineStr">
        <is>
          <t>I1</t>
        </is>
      </c>
      <c r="C55" s="3" t="n">
        <v>20</v>
      </c>
      <c r="D55" s="3" t="inlineStr">
        <is>
          <t>FULL</t>
        </is>
      </c>
      <c r="E55" s="7">
        <f>IF(B55="I1",AVERAGEIF('QA_Images'!$A$2:$A$47,A55,'QA_Images'!$T$2:$T$47)/100,IF(D55="FULL",1,IF(D55="PARTIAL",0.5,IF(D55="FAIL",0,""))))</f>
        <v/>
      </c>
      <c r="F55" s="7">
        <f>IF(E55="",0,C55*E55)</f>
        <v/>
      </c>
      <c r="G55" s="7">
        <f>IF(B55="I1",20*AVERAGEIF('QA_Images'!$A$2:$A$47,A55,'QA_Images'!$U$2:$U$47)/100,IF(D55="NOT_CHECKED",0,C55))</f>
        <v/>
      </c>
      <c r="H55" s="3" t="inlineStr">
        <is>
          <t>Image coverage, image observations and alt text quality, derived from QA_Images. Derived from average image QA score; see QA_Images.</t>
        </is>
      </c>
      <c r="I55" s="3" t="inlineStr">
        <is>
          <t>evidence_batch_020_195</t>
        </is>
      </c>
      <c r="J55" s="3" t="inlineStr">
        <is>
          <t>ISSUE-0033; ISSUE-0034; ISSUE-0035; ISSUE-0036</t>
        </is>
      </c>
    </row>
    <row r="56" ht="42" customHeight="1">
      <c r="A56" s="2" t="inlineStr">
        <is>
          <t>jeminise.com+personalized-baseball-bedding-full-size-flag-custom-name-d-design-20</t>
        </is>
      </c>
      <c r="B56" s="2" t="inlineStr">
        <is>
          <t>E1</t>
        </is>
      </c>
      <c r="C56" s="2" t="n">
        <v>5</v>
      </c>
      <c r="D56" s="2" t="inlineStr">
        <is>
          <t>PARTIAL</t>
        </is>
      </c>
      <c r="E56" s="5">
        <f>IF(B56="I1",AVERAGEIF('QA_Images'!$A$2:$A$47,A56,'QA_Images'!$T$2:$T$47)/100,IF(D56="FULL",1,IF(D56="PARTIAL",0.5,IF(D56="FAIL",0,""))))</f>
        <v/>
      </c>
      <c r="F56" s="5">
        <f>IF(E56="",0,C56*E56)</f>
        <v/>
      </c>
      <c r="G56" s="5">
        <f>IF(B56="I1",20*AVERAGEIF('QA_Images'!$A$2:$A$47,A56,'QA_Images'!$U$2:$U$47)/100,IF(D56="NOT_CHECKED",0,C56))</f>
        <v/>
      </c>
      <c r="H56" s="2" t="inlineStr">
        <is>
          <t>Evidence chain is traceable and limitations are explicitly separated from failures. Evidence chain is traceable, with admin-export limitation explicitly separated.</t>
        </is>
      </c>
      <c r="I56" s="2" t="inlineStr">
        <is>
          <t>evidence_batch_020_195</t>
        </is>
      </c>
      <c r="J56" s="2" t="inlineStr">
        <is>
          <t>ISSUE-0033; ISSUE-0034; ISSUE-0035; ISSUE-0036</t>
        </is>
      </c>
    </row>
    <row r="57" ht="42" customHeight="1">
      <c r="A57" s="3" t="inlineStr">
        <is>
          <t>jeminise.com+personalized-baseball-bedding-full-size-flag-custom-name-d-design-21</t>
        </is>
      </c>
      <c r="B57" s="3" t="inlineStr">
        <is>
          <t>P1</t>
        </is>
      </c>
      <c r="C57" s="3" t="n">
        <v>15</v>
      </c>
      <c r="D57" s="3" t="inlineStr">
        <is>
          <t>FULL</t>
        </is>
      </c>
      <c r="E57" s="7">
        <f>IF(B57="I1",AVERAGEIF('QA_Images'!$A$2:$A$47,A57,'QA_Images'!$T$2:$T$47)/100,IF(D57="FULL",1,IF(D57="PARTIAL",0.5,IF(D57="FAIL",0,""))))</f>
        <v/>
      </c>
      <c r="F57" s="7">
        <f>IF(E57="",0,C57*E57)</f>
        <v/>
      </c>
      <c r="G57" s="7">
        <f>IF(B57="I1",20*AVERAGEIF('QA_Images'!$A$2:$A$47,A57,'QA_Images'!$U$2:$U$47)/100,IF(D57="NOT_CHECKED",0,C57))</f>
        <v/>
      </c>
      <c r="H57" s="3" t="inlineStr">
        <is>
          <t>Product identity, handle, product ID, URL and canonical match source/live evidence. Product key/handle/product ID/canonical checked against frozen workbook and live product evidence.</t>
        </is>
      </c>
      <c r="I57" s="3" t="inlineStr">
        <is>
          <t>evidence_batch_020_196</t>
        </is>
      </c>
      <c r="J57" s="3" t="inlineStr">
        <is>
          <t>ISSUE-0040; ISSUE-0041; ISSUE-0042; ISSUE-0043</t>
        </is>
      </c>
    </row>
    <row r="58" ht="42" customHeight="1">
      <c r="A58" s="2" t="inlineStr">
        <is>
          <t>jeminise.com+personalized-baseball-bedding-full-size-flag-custom-name-d-design-21</t>
        </is>
      </c>
      <c r="B58" s="2" t="inlineStr">
        <is>
          <t>P2</t>
        </is>
      </c>
      <c r="C58" s="2" t="n">
        <v>10</v>
      </c>
      <c r="D58" s="2" t="inlineStr">
        <is>
          <t>PARTIAL</t>
        </is>
      </c>
      <c r="E58" s="5">
        <f>IF(B58="I1",AVERAGEIF('QA_Images'!$A$2:$A$47,A58,'QA_Images'!$T$2:$T$47)/100,IF(D58="FULL",1,IF(D58="PARTIAL",0.5,IF(D58="FAIL",0,""))))</f>
        <v/>
      </c>
      <c r="F58" s="5">
        <f>IF(E58="",0,C58*E58)</f>
        <v/>
      </c>
      <c r="G58" s="5">
        <f>IF(B58="I1",20*AVERAGEIF('QA_Images'!$A$2:$A$47,A58,'QA_Images'!$U$2:$U$47)/100,IF(D58="NOT_CHECKED",0,C58))</f>
        <v/>
      </c>
      <c r="H58" s="2" t="inlineStr">
        <is>
          <t>Source product facts, variants, specifications and personalization claims are evidence-backed. Personalization/specification claims checked against storefront product.js and static customizer config.</t>
        </is>
      </c>
      <c r="I58" s="2" t="inlineStr">
        <is>
          <t>evidence_batch_020_196</t>
        </is>
      </c>
      <c r="J58" s="2" t="inlineStr">
        <is>
          <t>ISSUE-0040; ISSUE-0041; ISSUE-0042; ISSUE-0043</t>
        </is>
      </c>
    </row>
    <row r="59" ht="42" customHeight="1">
      <c r="A59" s="3" t="inlineStr">
        <is>
          <t>jeminise.com+personalized-baseball-bedding-full-size-flag-custom-name-d-design-21</t>
        </is>
      </c>
      <c r="B59" s="3" t="inlineStr">
        <is>
          <t>K1</t>
        </is>
      </c>
      <c r="C59" s="3" t="n">
        <v>10</v>
      </c>
      <c r="D59" s="3" t="inlineStr">
        <is>
          <t>PARTIAL</t>
        </is>
      </c>
      <c r="E59" s="7">
        <f>IF(B59="I1",AVERAGEIF('QA_Images'!$A$2:$A$47,A59,'QA_Images'!$T$2:$T$47)/100,IF(D59="FULL",1,IF(D59="PARTIAL",0.5,IF(D59="FAIL",0,""))))</f>
        <v/>
      </c>
      <c r="F59" s="7">
        <f>IF(E59="",0,C59*E59)</f>
        <v/>
      </c>
      <c r="G59" s="7">
        <f>IF(B59="I1",20*AVERAGEIF('QA_Images'!$A$2:$A$47,A59,'QA_Images'!$U$2:$U$47)/100,IF(D59="NOT_CHECKED",0,C59))</f>
        <v/>
      </c>
      <c r="H59" s="3" t="inlineStr">
        <is>
          <t>Primary keyword aligns with product-level US purchase intent. Primary keyword rechecked against US product-level SERP comparables.</t>
        </is>
      </c>
      <c r="I59" s="3" t="inlineStr">
        <is>
          <t>evidence_batch_020_196</t>
        </is>
      </c>
      <c r="J59" s="3" t="inlineStr">
        <is>
          <t>ISSUE-0040; ISSUE-0041; ISSUE-0042; ISSUE-0043</t>
        </is>
      </c>
    </row>
    <row r="60" ht="42" customHeight="1">
      <c r="A60" s="2" t="inlineStr">
        <is>
          <t>jeminise.com+personalized-baseball-bedding-full-size-flag-custom-name-d-design-21</t>
        </is>
      </c>
      <c r="B60" s="2" t="inlineStr">
        <is>
          <t>K2</t>
        </is>
      </c>
      <c r="C60" s="2" t="n">
        <v>5</v>
      </c>
      <c r="D60" s="2" t="inlineStr">
        <is>
          <t>PARTIAL</t>
        </is>
      </c>
      <c r="E60" s="5">
        <f>IF(B60="I1",AVERAGEIF('QA_Images'!$A$2:$A$47,A60,'QA_Images'!$T$2:$T$47)/100,IF(D60="FULL",1,IF(D60="PARTIAL",0.5,IF(D60="FAIL",0,""))))</f>
        <v/>
      </c>
      <c r="F60" s="5">
        <f>IF(E60="",0,C60*E60)</f>
        <v/>
      </c>
      <c r="G60" s="5">
        <f>IF(B60="I1",20*AVERAGEIF('QA_Images'!$A$2:$A$47,A60,'QA_Images'!$U$2:$U$47)/100,IF(D60="NOT_CHECKED",0,C60))</f>
        <v/>
      </c>
      <c r="H60" s="2" t="inlineStr">
        <is>
          <t>Intent/cannibalization check distinguishes nearby products. Nearby product cluster has overlap risk, so intent distinction remains only partial.</t>
        </is>
      </c>
      <c r="I60" s="2" t="inlineStr">
        <is>
          <t>evidence_batch_020_196</t>
        </is>
      </c>
      <c r="J60" s="2" t="inlineStr">
        <is>
          <t>ISSUE-0040; ISSUE-0041; ISSUE-0042; ISSUE-0043</t>
        </is>
      </c>
    </row>
    <row r="61" ht="42" customHeight="1">
      <c r="A61" s="3" t="inlineStr">
        <is>
          <t>jeminise.com+personalized-baseball-bedding-full-size-flag-custom-name-d-design-21</t>
        </is>
      </c>
      <c r="B61" s="3" t="inlineStr">
        <is>
          <t>K3</t>
        </is>
      </c>
      <c r="C61" s="3" t="n">
        <v>5</v>
      </c>
      <c r="D61" s="3" t="inlineStr">
        <is>
          <t>PARTIAL</t>
        </is>
      </c>
      <c r="E61" s="7">
        <f>IF(B61="I1",AVERAGEIF('QA_Images'!$A$2:$A$47,A61,'QA_Images'!$T$2:$T$47)/100,IF(D61="FULL",1,IF(D61="PARTIAL",0.5,IF(D61="FAIL",0,""))))</f>
        <v/>
      </c>
      <c r="F61" s="7">
        <f>IF(E61="",0,C61*E61)</f>
        <v/>
      </c>
      <c r="G61" s="7">
        <f>IF(B61="I1",20*AVERAGEIF('QA_Images'!$A$2:$A$47,A61,'QA_Images'!$U$2:$U$47)/100,IF(D61="NOT_CHECKED",0,C61))</f>
        <v/>
      </c>
      <c r="H61" s="3" t="inlineStr">
        <is>
          <t>Keyword evidence is supported by SERP comparables without unsupported volume claims. Evidence is public SERP only; no Search Console, keyword volume or customer-search corpus provided.</t>
        </is>
      </c>
      <c r="I61" s="3" t="inlineStr">
        <is>
          <t>evidence_batch_020_196</t>
        </is>
      </c>
      <c r="J61" s="3" t="inlineStr">
        <is>
          <t>ISSUE-0040; ISSUE-0041; ISSUE-0042; ISSUE-0043</t>
        </is>
      </c>
    </row>
    <row r="62" ht="42" customHeight="1">
      <c r="A62" s="2" t="inlineStr">
        <is>
          <t>jeminise.com+personalized-baseball-bedding-full-size-flag-custom-name-d-design-21</t>
        </is>
      </c>
      <c r="B62" s="2" t="inlineStr">
        <is>
          <t>T1</t>
        </is>
      </c>
      <c r="C62" s="2" t="n">
        <v>10</v>
      </c>
      <c r="D62" s="2" t="inlineStr">
        <is>
          <t>PARTIAL</t>
        </is>
      </c>
      <c r="E62" s="5">
        <f>IF(B62="I1",AVERAGEIF('QA_Images'!$A$2:$A$47,A62,'QA_Images'!$T$2:$T$47)/100,IF(D62="FULL",1,IF(D62="PARTIAL",0.5,IF(D62="FAIL",0,""))))</f>
        <v/>
      </c>
      <c r="F62" s="5">
        <f>IF(E62="",0,C62*E62)</f>
        <v/>
      </c>
      <c r="G62" s="5">
        <f>IF(B62="I1",20*AVERAGEIF('QA_Images'!$A$2:$A$47,A62,'QA_Images'!$U$2:$U$47)/100,IF(D62="NOT_CHECKED",0,C62))</f>
        <v/>
      </c>
      <c r="H62" s="2" t="inlineStr">
        <is>
          <t>SEO title and H1 are relevant, specific and grounded in visible/source facts. Proposed H1 is blank, so the title/H1 pair cannot be fully verified.</t>
        </is>
      </c>
      <c r="I62" s="2" t="inlineStr">
        <is>
          <t>evidence_batch_020_196</t>
        </is>
      </c>
      <c r="J62" s="2" t="inlineStr">
        <is>
          <t>ISSUE-0040; ISSUE-0041; ISSUE-0042; ISSUE-0043</t>
        </is>
      </c>
    </row>
    <row r="63" ht="42" customHeight="1">
      <c r="A63" s="3" t="inlineStr">
        <is>
          <t>jeminise.com+personalized-baseball-bedding-full-size-flag-custom-name-d-design-21</t>
        </is>
      </c>
      <c r="B63" s="3" t="inlineStr">
        <is>
          <t>T2</t>
        </is>
      </c>
      <c r="C63" s="3" t="n">
        <v>5</v>
      </c>
      <c r="D63" s="3" t="inlineStr">
        <is>
          <t>PARTIAL</t>
        </is>
      </c>
      <c r="E63" s="7">
        <f>IF(B63="I1",AVERAGEIF('QA_Images'!$A$2:$A$47,A63,'QA_Images'!$T$2:$T$47)/100,IF(D63="FULL",1,IF(D63="PARTIAL",0.5,IF(D63="FAIL",0,""))))</f>
        <v/>
      </c>
      <c r="F63" s="7">
        <f>IF(E63="",0,C63*E63)</f>
        <v/>
      </c>
      <c r="G63" s="7">
        <f>IF(B63="I1",20*AVERAGEIF('QA_Images'!$A$2:$A$47,A63,'QA_Images'!$U$2:$U$47)/100,IF(D63="NOT_CHECKED",0,C63))</f>
        <v/>
      </c>
      <c r="H63" s="3" t="inlineStr">
        <is>
          <t>Meta description is concise, publish-ready and avoids unsupported claims. Meta description checked for length, specificity and supportable claims.</t>
        </is>
      </c>
      <c r="I63" s="3" t="inlineStr">
        <is>
          <t>evidence_batch_020_196</t>
        </is>
      </c>
      <c r="J63" s="3" t="inlineStr">
        <is>
          <t>ISSUE-0040; ISSUE-0041; ISSUE-0042; ISSUE-0043</t>
        </is>
      </c>
    </row>
    <row r="64" ht="42" customHeight="1">
      <c r="A64" s="2" t="inlineStr">
        <is>
          <t>jeminise.com+personalized-baseball-bedding-full-size-flag-custom-name-d-design-21</t>
        </is>
      </c>
      <c r="B64" s="2" t="inlineStr">
        <is>
          <t>D1</t>
        </is>
      </c>
      <c r="C64" s="2" t="n">
        <v>10</v>
      </c>
      <c r="D64" s="2" t="inlineStr">
        <is>
          <t>FAIL</t>
        </is>
      </c>
      <c r="E64" s="5">
        <f>IF(B64="I1",AVERAGEIF('QA_Images'!$A$2:$A$47,A64,'QA_Images'!$T$2:$T$47)/100,IF(D64="FULL",1,IF(D64="PARTIAL",0.5,IF(D64="FAIL",0,""))))</f>
        <v/>
      </c>
      <c r="F64" s="5">
        <f>IF(E64="",0,C64*E64)</f>
        <v/>
      </c>
      <c r="G64" s="5">
        <f>IF(B64="I1",20*AVERAGEIF('QA_Images'!$A$2:$A$47,A64,'QA_Images'!$U$2:$U$47)/100,IF(D64="NOT_CHECKED",0,C64))</f>
        <v/>
      </c>
      <c r="H64" s="2" t="inlineStr">
        <is>
          <t>Description HTML is publish-ready and free of internal draft/QA instructions. Description HTML still contains internal QA/import language.</t>
        </is>
      </c>
      <c r="I64" s="2" t="inlineStr">
        <is>
          <t>evidence_batch_020_196</t>
        </is>
      </c>
      <c r="J64" s="2" t="inlineStr">
        <is>
          <t>ISSUE-0040; ISSUE-0041; ISSUE-0042; ISSUE-0043</t>
        </is>
      </c>
    </row>
    <row r="65" ht="42" customHeight="1">
      <c r="A65" s="3" t="inlineStr">
        <is>
          <t>jeminise.com+personalized-baseball-bedding-full-size-flag-custom-name-d-design-21</t>
        </is>
      </c>
      <c r="B65" s="3" t="inlineStr">
        <is>
          <t>D2</t>
        </is>
      </c>
      <c r="C65" s="3" t="n">
        <v>5</v>
      </c>
      <c r="D65" s="3" t="inlineStr">
        <is>
          <t>PARTIAL</t>
        </is>
      </c>
      <c r="E65" s="7">
        <f>IF(B65="I1",AVERAGEIF('QA_Images'!$A$2:$A$47,A65,'QA_Images'!$T$2:$T$47)/100,IF(D65="FULL",1,IF(D65="PARTIAL",0.5,IF(D65="FAIL",0,""))))</f>
        <v/>
      </c>
      <c r="F65" s="7">
        <f>IF(E65="",0,C65*E65)</f>
        <v/>
      </c>
      <c r="G65" s="7">
        <f>IF(B65="I1",20*AVERAGEIF('QA_Images'!$A$2:$A$47,A65,'QA_Images'!$U$2:$U$47)/100,IF(D65="NOT_CHECKED",0,C65))</f>
        <v/>
      </c>
      <c r="H65" s="3" t="inlineStr">
        <is>
          <t>Description content covers verified design, product type, use case and constraints. Description covers motif/product type but remains templated and does not always map every verified constraint.</t>
        </is>
      </c>
      <c r="I65" s="3" t="inlineStr">
        <is>
          <t>evidence_batch_020_196</t>
        </is>
      </c>
      <c r="J65" s="3" t="inlineStr">
        <is>
          <t>ISSUE-0040; ISSUE-0041; ISSUE-0042; ISSUE-0043</t>
        </is>
      </c>
    </row>
    <row r="66" ht="42" customHeight="1">
      <c r="A66" s="2" t="inlineStr">
        <is>
          <t>jeminise.com+personalized-baseball-bedding-full-size-flag-custom-name-d-design-21</t>
        </is>
      </c>
      <c r="B66" s="2" t="inlineStr">
        <is>
          <t>I1</t>
        </is>
      </c>
      <c r="C66" s="2" t="n">
        <v>20</v>
      </c>
      <c r="D66" s="2" t="inlineStr">
        <is>
          <t>FULL</t>
        </is>
      </c>
      <c r="E66" s="5">
        <f>IF(B66="I1",AVERAGEIF('QA_Images'!$A$2:$A$47,A66,'QA_Images'!$T$2:$T$47)/100,IF(D66="FULL",1,IF(D66="PARTIAL",0.5,IF(D66="FAIL",0,""))))</f>
        <v/>
      </c>
      <c r="F66" s="5">
        <f>IF(E66="",0,C66*E66)</f>
        <v/>
      </c>
      <c r="G66" s="5">
        <f>IF(B66="I1",20*AVERAGEIF('QA_Images'!$A$2:$A$47,A66,'QA_Images'!$U$2:$U$47)/100,IF(D66="NOT_CHECKED",0,C66))</f>
        <v/>
      </c>
      <c r="H66" s="2" t="inlineStr">
        <is>
          <t>Image coverage, image observations and alt text quality, derived from QA_Images. Derived from average image QA score; see QA_Images.</t>
        </is>
      </c>
      <c r="I66" s="2" t="inlineStr">
        <is>
          <t>evidence_batch_020_196</t>
        </is>
      </c>
      <c r="J66" s="2" t="inlineStr">
        <is>
          <t>ISSUE-0040; ISSUE-0041; ISSUE-0042; ISSUE-0043</t>
        </is>
      </c>
    </row>
    <row r="67" ht="42" customHeight="1">
      <c r="A67" s="3" t="inlineStr">
        <is>
          <t>jeminise.com+personalized-baseball-bedding-full-size-flag-custom-name-d-design-21</t>
        </is>
      </c>
      <c r="B67" s="3" t="inlineStr">
        <is>
          <t>E1</t>
        </is>
      </c>
      <c r="C67" s="3" t="n">
        <v>5</v>
      </c>
      <c r="D67" s="3" t="inlineStr">
        <is>
          <t>PARTIAL</t>
        </is>
      </c>
      <c r="E67" s="7">
        <f>IF(B67="I1",AVERAGEIF('QA_Images'!$A$2:$A$47,A67,'QA_Images'!$T$2:$T$47)/100,IF(D67="FULL",1,IF(D67="PARTIAL",0.5,IF(D67="FAIL",0,""))))</f>
        <v/>
      </c>
      <c r="F67" s="7">
        <f>IF(E67="",0,C67*E67)</f>
        <v/>
      </c>
      <c r="G67" s="7">
        <f>IF(B67="I1",20*AVERAGEIF('QA_Images'!$A$2:$A$47,A67,'QA_Images'!$U$2:$U$47)/100,IF(D67="NOT_CHECKED",0,C67))</f>
        <v/>
      </c>
      <c r="H67" s="3" t="inlineStr">
        <is>
          <t>Evidence chain is traceable and limitations are explicitly separated from failures. Evidence chain is traceable, with admin-export limitation explicitly separated.</t>
        </is>
      </c>
      <c r="I67" s="3" t="inlineStr">
        <is>
          <t>evidence_batch_020_196</t>
        </is>
      </c>
      <c r="J67" s="3" t="inlineStr">
        <is>
          <t>ISSUE-0040; ISSUE-0041; ISSUE-0042; ISSUE-0043</t>
        </is>
      </c>
    </row>
    <row r="68" ht="42" customHeight="1">
      <c r="A68" s="2" t="inlineStr">
        <is>
          <t>jeminise.com+personalized-baseball-bedding-full-size-flag-custom-name-d-design-22</t>
        </is>
      </c>
      <c r="B68" s="2" t="inlineStr">
        <is>
          <t>P1</t>
        </is>
      </c>
      <c r="C68" s="2" t="n">
        <v>15</v>
      </c>
      <c r="D68" s="2" t="inlineStr">
        <is>
          <t>FULL</t>
        </is>
      </c>
      <c r="E68" s="5">
        <f>IF(B68="I1",AVERAGEIF('QA_Images'!$A$2:$A$47,A68,'QA_Images'!$T$2:$T$47)/100,IF(D68="FULL",1,IF(D68="PARTIAL",0.5,IF(D68="FAIL",0,""))))</f>
        <v/>
      </c>
      <c r="F68" s="5">
        <f>IF(E68="",0,C68*E68)</f>
        <v/>
      </c>
      <c r="G68" s="5">
        <f>IF(B68="I1",20*AVERAGEIF('QA_Images'!$A$2:$A$47,A68,'QA_Images'!$U$2:$U$47)/100,IF(D68="NOT_CHECKED",0,C68))</f>
        <v/>
      </c>
      <c r="H68" s="2" t="inlineStr">
        <is>
          <t>Product identity, handle, product ID, URL and canonical match source/live evidence. Product key/handle/product ID/canonical checked against frozen workbook and live product evidence.</t>
        </is>
      </c>
      <c r="I68" s="2" t="inlineStr">
        <is>
          <t>evidence_batch_020_197</t>
        </is>
      </c>
      <c r="J68" s="2" t="inlineStr">
        <is>
          <t>ISSUE-0047; ISSUE-0048; ISSUE-0049; ISSUE-0050</t>
        </is>
      </c>
    </row>
    <row r="69" ht="42" customHeight="1">
      <c r="A69" s="3" t="inlineStr">
        <is>
          <t>jeminise.com+personalized-baseball-bedding-full-size-flag-custom-name-d-design-22</t>
        </is>
      </c>
      <c r="B69" s="3" t="inlineStr">
        <is>
          <t>P2</t>
        </is>
      </c>
      <c r="C69" s="3" t="n">
        <v>10</v>
      </c>
      <c r="D69" s="3" t="inlineStr">
        <is>
          <t>PARTIAL</t>
        </is>
      </c>
      <c r="E69" s="7">
        <f>IF(B69="I1",AVERAGEIF('QA_Images'!$A$2:$A$47,A69,'QA_Images'!$T$2:$T$47)/100,IF(D69="FULL",1,IF(D69="PARTIAL",0.5,IF(D69="FAIL",0,""))))</f>
        <v/>
      </c>
      <c r="F69" s="7">
        <f>IF(E69="",0,C69*E69)</f>
        <v/>
      </c>
      <c r="G69" s="7">
        <f>IF(B69="I1",20*AVERAGEIF('QA_Images'!$A$2:$A$47,A69,'QA_Images'!$U$2:$U$47)/100,IF(D69="NOT_CHECKED",0,C69))</f>
        <v/>
      </c>
      <c r="H69" s="3" t="inlineStr">
        <is>
          <t>Source product facts, variants, specifications and personalization claims are evidence-backed. Personalization/specification claims checked against storefront product.js and static customizer config.</t>
        </is>
      </c>
      <c r="I69" s="3" t="inlineStr">
        <is>
          <t>evidence_batch_020_197</t>
        </is>
      </c>
      <c r="J69" s="3" t="inlineStr">
        <is>
          <t>ISSUE-0047; ISSUE-0048; ISSUE-0049; ISSUE-0050</t>
        </is>
      </c>
    </row>
    <row r="70" ht="42" customHeight="1">
      <c r="A70" s="2" t="inlineStr">
        <is>
          <t>jeminise.com+personalized-baseball-bedding-full-size-flag-custom-name-d-design-22</t>
        </is>
      </c>
      <c r="B70" s="2" t="inlineStr">
        <is>
          <t>K1</t>
        </is>
      </c>
      <c r="C70" s="2" t="n">
        <v>10</v>
      </c>
      <c r="D70" s="2" t="inlineStr">
        <is>
          <t>PARTIAL</t>
        </is>
      </c>
      <c r="E70" s="5">
        <f>IF(B70="I1",AVERAGEIF('QA_Images'!$A$2:$A$47,A70,'QA_Images'!$T$2:$T$47)/100,IF(D70="FULL",1,IF(D70="PARTIAL",0.5,IF(D70="FAIL",0,""))))</f>
        <v/>
      </c>
      <c r="F70" s="5">
        <f>IF(E70="",0,C70*E70)</f>
        <v/>
      </c>
      <c r="G70" s="5">
        <f>IF(B70="I1",20*AVERAGEIF('QA_Images'!$A$2:$A$47,A70,'QA_Images'!$U$2:$U$47)/100,IF(D70="NOT_CHECKED",0,C70))</f>
        <v/>
      </c>
      <c r="H70" s="2" t="inlineStr">
        <is>
          <t>Primary keyword aligns with product-level US purchase intent. Primary keyword rechecked against US product-level SERP comparables.</t>
        </is>
      </c>
      <c r="I70" s="2" t="inlineStr">
        <is>
          <t>evidence_batch_020_197</t>
        </is>
      </c>
      <c r="J70" s="2" t="inlineStr">
        <is>
          <t>ISSUE-0047; ISSUE-0048; ISSUE-0049; ISSUE-0050</t>
        </is>
      </c>
    </row>
    <row r="71" ht="42" customHeight="1">
      <c r="A71" s="3" t="inlineStr">
        <is>
          <t>jeminise.com+personalized-baseball-bedding-full-size-flag-custom-name-d-design-22</t>
        </is>
      </c>
      <c r="B71" s="3" t="inlineStr">
        <is>
          <t>K2</t>
        </is>
      </c>
      <c r="C71" s="3" t="n">
        <v>5</v>
      </c>
      <c r="D71" s="3" t="inlineStr">
        <is>
          <t>PARTIAL</t>
        </is>
      </c>
      <c r="E71" s="7">
        <f>IF(B71="I1",AVERAGEIF('QA_Images'!$A$2:$A$47,A71,'QA_Images'!$T$2:$T$47)/100,IF(D71="FULL",1,IF(D71="PARTIAL",0.5,IF(D71="FAIL",0,""))))</f>
        <v/>
      </c>
      <c r="F71" s="7">
        <f>IF(E71="",0,C71*E71)</f>
        <v/>
      </c>
      <c r="G71" s="7">
        <f>IF(B71="I1",20*AVERAGEIF('QA_Images'!$A$2:$A$47,A71,'QA_Images'!$U$2:$U$47)/100,IF(D71="NOT_CHECKED",0,C71))</f>
        <v/>
      </c>
      <c r="H71" s="3" t="inlineStr">
        <is>
          <t>Intent/cannibalization check distinguishes nearby products. Nearby product cluster has overlap risk, so intent distinction remains only partial.</t>
        </is>
      </c>
      <c r="I71" s="3" t="inlineStr">
        <is>
          <t>evidence_batch_020_197</t>
        </is>
      </c>
      <c r="J71" s="3" t="inlineStr">
        <is>
          <t>ISSUE-0047; ISSUE-0048; ISSUE-0049; ISSUE-0050</t>
        </is>
      </c>
    </row>
    <row r="72" ht="42" customHeight="1">
      <c r="A72" s="2" t="inlineStr">
        <is>
          <t>jeminise.com+personalized-baseball-bedding-full-size-flag-custom-name-d-design-22</t>
        </is>
      </c>
      <c r="B72" s="2" t="inlineStr">
        <is>
          <t>K3</t>
        </is>
      </c>
      <c r="C72" s="2" t="n">
        <v>5</v>
      </c>
      <c r="D72" s="2" t="inlineStr">
        <is>
          <t>PARTIAL</t>
        </is>
      </c>
      <c r="E72" s="5">
        <f>IF(B72="I1",AVERAGEIF('QA_Images'!$A$2:$A$47,A72,'QA_Images'!$T$2:$T$47)/100,IF(D72="FULL",1,IF(D72="PARTIAL",0.5,IF(D72="FAIL",0,""))))</f>
        <v/>
      </c>
      <c r="F72" s="5">
        <f>IF(E72="",0,C72*E72)</f>
        <v/>
      </c>
      <c r="G72" s="5">
        <f>IF(B72="I1",20*AVERAGEIF('QA_Images'!$A$2:$A$47,A72,'QA_Images'!$U$2:$U$47)/100,IF(D72="NOT_CHECKED",0,C72))</f>
        <v/>
      </c>
      <c r="H72" s="2" t="inlineStr">
        <is>
          <t>Keyword evidence is supported by SERP comparables without unsupported volume claims. Evidence is public SERP only; no Search Console, keyword volume or customer-search corpus provided.</t>
        </is>
      </c>
      <c r="I72" s="2" t="inlineStr">
        <is>
          <t>evidence_batch_020_197</t>
        </is>
      </c>
      <c r="J72" s="2" t="inlineStr">
        <is>
          <t>ISSUE-0047; ISSUE-0048; ISSUE-0049; ISSUE-0050</t>
        </is>
      </c>
    </row>
    <row r="73" ht="42" customHeight="1">
      <c r="A73" s="3" t="inlineStr">
        <is>
          <t>jeminise.com+personalized-baseball-bedding-full-size-flag-custom-name-d-design-22</t>
        </is>
      </c>
      <c r="B73" s="3" t="inlineStr">
        <is>
          <t>T1</t>
        </is>
      </c>
      <c r="C73" s="3" t="n">
        <v>10</v>
      </c>
      <c r="D73" s="3" t="inlineStr">
        <is>
          <t>PARTIAL</t>
        </is>
      </c>
      <c r="E73" s="7">
        <f>IF(B73="I1",AVERAGEIF('QA_Images'!$A$2:$A$47,A73,'QA_Images'!$T$2:$T$47)/100,IF(D73="FULL",1,IF(D73="PARTIAL",0.5,IF(D73="FAIL",0,""))))</f>
        <v/>
      </c>
      <c r="F73" s="7">
        <f>IF(E73="",0,C73*E73)</f>
        <v/>
      </c>
      <c r="G73" s="7">
        <f>IF(B73="I1",20*AVERAGEIF('QA_Images'!$A$2:$A$47,A73,'QA_Images'!$U$2:$U$47)/100,IF(D73="NOT_CHECKED",0,C73))</f>
        <v/>
      </c>
      <c r="H73" s="3" t="inlineStr">
        <is>
          <t>SEO title and H1 are relevant, specific and grounded in visible/source facts. Proposed H1 is blank, so the title/H1 pair cannot be fully verified.</t>
        </is>
      </c>
      <c r="I73" s="3" t="inlineStr">
        <is>
          <t>evidence_batch_020_197</t>
        </is>
      </c>
      <c r="J73" s="3" t="inlineStr">
        <is>
          <t>ISSUE-0047; ISSUE-0048; ISSUE-0049; ISSUE-0050</t>
        </is>
      </c>
    </row>
    <row r="74" ht="42" customHeight="1">
      <c r="A74" s="2" t="inlineStr">
        <is>
          <t>jeminise.com+personalized-baseball-bedding-full-size-flag-custom-name-d-design-22</t>
        </is>
      </c>
      <c r="B74" s="2" t="inlineStr">
        <is>
          <t>T2</t>
        </is>
      </c>
      <c r="C74" s="2" t="n">
        <v>5</v>
      </c>
      <c r="D74" s="2" t="inlineStr">
        <is>
          <t>PARTIAL</t>
        </is>
      </c>
      <c r="E74" s="5">
        <f>IF(B74="I1",AVERAGEIF('QA_Images'!$A$2:$A$47,A74,'QA_Images'!$T$2:$T$47)/100,IF(D74="FULL",1,IF(D74="PARTIAL",0.5,IF(D74="FAIL",0,""))))</f>
        <v/>
      </c>
      <c r="F74" s="5">
        <f>IF(E74="",0,C74*E74)</f>
        <v/>
      </c>
      <c r="G74" s="5">
        <f>IF(B74="I1",20*AVERAGEIF('QA_Images'!$A$2:$A$47,A74,'QA_Images'!$U$2:$U$47)/100,IF(D74="NOT_CHECKED",0,C74))</f>
        <v/>
      </c>
      <c r="H74" s="2" t="inlineStr">
        <is>
          <t>Meta description is concise, publish-ready and avoids unsupported claims. Meta description checked for length, specificity and supportable claims.</t>
        </is>
      </c>
      <c r="I74" s="2" t="inlineStr">
        <is>
          <t>evidence_batch_020_197</t>
        </is>
      </c>
      <c r="J74" s="2" t="inlineStr">
        <is>
          <t>ISSUE-0047; ISSUE-0048; ISSUE-0049; ISSUE-0050</t>
        </is>
      </c>
    </row>
    <row r="75" ht="42" customHeight="1">
      <c r="A75" s="3" t="inlineStr">
        <is>
          <t>jeminise.com+personalized-baseball-bedding-full-size-flag-custom-name-d-design-22</t>
        </is>
      </c>
      <c r="B75" s="3" t="inlineStr">
        <is>
          <t>D1</t>
        </is>
      </c>
      <c r="C75" s="3" t="n">
        <v>10</v>
      </c>
      <c r="D75" s="3" t="inlineStr">
        <is>
          <t>FAIL</t>
        </is>
      </c>
      <c r="E75" s="7">
        <f>IF(B75="I1",AVERAGEIF('QA_Images'!$A$2:$A$47,A75,'QA_Images'!$T$2:$T$47)/100,IF(D75="FULL",1,IF(D75="PARTIAL",0.5,IF(D75="FAIL",0,""))))</f>
        <v/>
      </c>
      <c r="F75" s="7">
        <f>IF(E75="",0,C75*E75)</f>
        <v/>
      </c>
      <c r="G75" s="7">
        <f>IF(B75="I1",20*AVERAGEIF('QA_Images'!$A$2:$A$47,A75,'QA_Images'!$U$2:$U$47)/100,IF(D75="NOT_CHECKED",0,C75))</f>
        <v/>
      </c>
      <c r="H75" s="3" t="inlineStr">
        <is>
          <t>Description HTML is publish-ready and free of internal draft/QA instructions. Description HTML still contains internal QA/import language.</t>
        </is>
      </c>
      <c r="I75" s="3" t="inlineStr">
        <is>
          <t>evidence_batch_020_197</t>
        </is>
      </c>
      <c r="J75" s="3" t="inlineStr">
        <is>
          <t>ISSUE-0047; ISSUE-0048; ISSUE-0049; ISSUE-0050</t>
        </is>
      </c>
    </row>
    <row r="76" ht="42" customHeight="1">
      <c r="A76" s="2" t="inlineStr">
        <is>
          <t>jeminise.com+personalized-baseball-bedding-full-size-flag-custom-name-d-design-22</t>
        </is>
      </c>
      <c r="B76" s="2" t="inlineStr">
        <is>
          <t>D2</t>
        </is>
      </c>
      <c r="C76" s="2" t="n">
        <v>5</v>
      </c>
      <c r="D76" s="2" t="inlineStr">
        <is>
          <t>PARTIAL</t>
        </is>
      </c>
      <c r="E76" s="5">
        <f>IF(B76="I1",AVERAGEIF('QA_Images'!$A$2:$A$47,A76,'QA_Images'!$T$2:$T$47)/100,IF(D76="FULL",1,IF(D76="PARTIAL",0.5,IF(D76="FAIL",0,""))))</f>
        <v/>
      </c>
      <c r="F76" s="5">
        <f>IF(E76="",0,C76*E76)</f>
        <v/>
      </c>
      <c r="G76" s="5">
        <f>IF(B76="I1",20*AVERAGEIF('QA_Images'!$A$2:$A$47,A76,'QA_Images'!$U$2:$U$47)/100,IF(D76="NOT_CHECKED",0,C76))</f>
        <v/>
      </c>
      <c r="H76" s="2" t="inlineStr">
        <is>
          <t>Description content covers verified design, product type, use case and constraints. Description covers motif/product type but remains templated and does not always map every verified constraint.</t>
        </is>
      </c>
      <c r="I76" s="2" t="inlineStr">
        <is>
          <t>evidence_batch_020_197</t>
        </is>
      </c>
      <c r="J76" s="2" t="inlineStr">
        <is>
          <t>ISSUE-0047; ISSUE-0048; ISSUE-0049; ISSUE-0050</t>
        </is>
      </c>
    </row>
    <row r="77" ht="42" customHeight="1">
      <c r="A77" s="3" t="inlineStr">
        <is>
          <t>jeminise.com+personalized-baseball-bedding-full-size-flag-custom-name-d-design-22</t>
        </is>
      </c>
      <c r="B77" s="3" t="inlineStr">
        <is>
          <t>I1</t>
        </is>
      </c>
      <c r="C77" s="3" t="n">
        <v>20</v>
      </c>
      <c r="D77" s="3" t="inlineStr">
        <is>
          <t>FULL</t>
        </is>
      </c>
      <c r="E77" s="7">
        <f>IF(B77="I1",AVERAGEIF('QA_Images'!$A$2:$A$47,A77,'QA_Images'!$T$2:$T$47)/100,IF(D77="FULL",1,IF(D77="PARTIAL",0.5,IF(D77="FAIL",0,""))))</f>
        <v/>
      </c>
      <c r="F77" s="7">
        <f>IF(E77="",0,C77*E77)</f>
        <v/>
      </c>
      <c r="G77" s="7">
        <f>IF(B77="I1",20*AVERAGEIF('QA_Images'!$A$2:$A$47,A77,'QA_Images'!$U$2:$U$47)/100,IF(D77="NOT_CHECKED",0,C77))</f>
        <v/>
      </c>
      <c r="H77" s="3" t="inlineStr">
        <is>
          <t>Image coverage, image observations and alt text quality, derived from QA_Images. Derived from average image QA score; see QA_Images.</t>
        </is>
      </c>
      <c r="I77" s="3" t="inlineStr">
        <is>
          <t>evidence_batch_020_197</t>
        </is>
      </c>
      <c r="J77" s="3" t="inlineStr">
        <is>
          <t>ISSUE-0047; ISSUE-0048; ISSUE-0049; ISSUE-0050</t>
        </is>
      </c>
    </row>
    <row r="78" ht="42" customHeight="1">
      <c r="A78" s="2" t="inlineStr">
        <is>
          <t>jeminise.com+personalized-baseball-bedding-full-size-flag-custom-name-d-design-22</t>
        </is>
      </c>
      <c r="B78" s="2" t="inlineStr">
        <is>
          <t>E1</t>
        </is>
      </c>
      <c r="C78" s="2" t="n">
        <v>5</v>
      </c>
      <c r="D78" s="2" t="inlineStr">
        <is>
          <t>PARTIAL</t>
        </is>
      </c>
      <c r="E78" s="5">
        <f>IF(B78="I1",AVERAGEIF('QA_Images'!$A$2:$A$47,A78,'QA_Images'!$T$2:$T$47)/100,IF(D78="FULL",1,IF(D78="PARTIAL",0.5,IF(D78="FAIL",0,""))))</f>
        <v/>
      </c>
      <c r="F78" s="5">
        <f>IF(E78="",0,C78*E78)</f>
        <v/>
      </c>
      <c r="G78" s="5">
        <f>IF(B78="I1",20*AVERAGEIF('QA_Images'!$A$2:$A$47,A78,'QA_Images'!$U$2:$U$47)/100,IF(D78="NOT_CHECKED",0,C78))</f>
        <v/>
      </c>
      <c r="H78" s="2" t="inlineStr">
        <is>
          <t>Evidence chain is traceable and limitations are explicitly separated from failures. Evidence chain is traceable, with admin-export limitation explicitly separated.</t>
        </is>
      </c>
      <c r="I78" s="2" t="inlineStr">
        <is>
          <t>evidence_batch_020_197</t>
        </is>
      </c>
      <c r="J78" s="2" t="inlineStr">
        <is>
          <t>ISSUE-0047; ISSUE-0048; ISSUE-0049; ISSUE-0050</t>
        </is>
      </c>
    </row>
    <row r="79" ht="42" customHeight="1">
      <c r="A79" s="3" t="inlineStr">
        <is>
          <t>jeminise.com+personalized-baseball-bedding-full-size-flag-custom-name-d-design-23</t>
        </is>
      </c>
      <c r="B79" s="3" t="inlineStr">
        <is>
          <t>P1</t>
        </is>
      </c>
      <c r="C79" s="3" t="n">
        <v>15</v>
      </c>
      <c r="D79" s="3" t="inlineStr">
        <is>
          <t>FULL</t>
        </is>
      </c>
      <c r="E79" s="7">
        <f>IF(B79="I1",AVERAGEIF('QA_Images'!$A$2:$A$47,A79,'QA_Images'!$T$2:$T$47)/100,IF(D79="FULL",1,IF(D79="PARTIAL",0.5,IF(D79="FAIL",0,""))))</f>
        <v/>
      </c>
      <c r="F79" s="7">
        <f>IF(E79="",0,C79*E79)</f>
        <v/>
      </c>
      <c r="G79" s="7">
        <f>IF(B79="I1",20*AVERAGEIF('QA_Images'!$A$2:$A$47,A79,'QA_Images'!$U$2:$U$47)/100,IF(D79="NOT_CHECKED",0,C79))</f>
        <v/>
      </c>
      <c r="H79" s="3" t="inlineStr">
        <is>
          <t>Product identity, handle, product ID, URL and canonical match source/live evidence. Product key/handle/product ID/canonical checked against frozen workbook and live product evidence.</t>
        </is>
      </c>
      <c r="I79" s="3" t="inlineStr">
        <is>
          <t>evidence_batch_020_198</t>
        </is>
      </c>
      <c r="J79" s="3" t="inlineStr">
        <is>
          <t>ISSUE-0054; ISSUE-0055; ISSUE-0056; ISSUE-0057</t>
        </is>
      </c>
    </row>
    <row r="80" ht="42" customHeight="1">
      <c r="A80" s="2" t="inlineStr">
        <is>
          <t>jeminise.com+personalized-baseball-bedding-full-size-flag-custom-name-d-design-23</t>
        </is>
      </c>
      <c r="B80" s="2" t="inlineStr">
        <is>
          <t>P2</t>
        </is>
      </c>
      <c r="C80" s="2" t="n">
        <v>10</v>
      </c>
      <c r="D80" s="2" t="inlineStr">
        <is>
          <t>PARTIAL</t>
        </is>
      </c>
      <c r="E80" s="5">
        <f>IF(B80="I1",AVERAGEIF('QA_Images'!$A$2:$A$47,A80,'QA_Images'!$T$2:$T$47)/100,IF(D80="FULL",1,IF(D80="PARTIAL",0.5,IF(D80="FAIL",0,""))))</f>
        <v/>
      </c>
      <c r="F80" s="5">
        <f>IF(E80="",0,C80*E80)</f>
        <v/>
      </c>
      <c r="G80" s="5">
        <f>IF(B80="I1",20*AVERAGEIF('QA_Images'!$A$2:$A$47,A80,'QA_Images'!$U$2:$U$47)/100,IF(D80="NOT_CHECKED",0,C80))</f>
        <v/>
      </c>
      <c r="H80" s="2" t="inlineStr">
        <is>
          <t>Source product facts, variants, specifications and personalization claims are evidence-backed. Personalization/specification claims checked against storefront product.js and static customizer config.</t>
        </is>
      </c>
      <c r="I80" s="2" t="inlineStr">
        <is>
          <t>evidence_batch_020_198</t>
        </is>
      </c>
      <c r="J80" s="2" t="inlineStr">
        <is>
          <t>ISSUE-0054; ISSUE-0055; ISSUE-0056; ISSUE-0057</t>
        </is>
      </c>
    </row>
    <row r="81" ht="42" customHeight="1">
      <c r="A81" s="3" t="inlineStr">
        <is>
          <t>jeminise.com+personalized-baseball-bedding-full-size-flag-custom-name-d-design-23</t>
        </is>
      </c>
      <c r="B81" s="3" t="inlineStr">
        <is>
          <t>K1</t>
        </is>
      </c>
      <c r="C81" s="3" t="n">
        <v>10</v>
      </c>
      <c r="D81" s="3" t="inlineStr">
        <is>
          <t>PARTIAL</t>
        </is>
      </c>
      <c r="E81" s="7">
        <f>IF(B81="I1",AVERAGEIF('QA_Images'!$A$2:$A$47,A81,'QA_Images'!$T$2:$T$47)/100,IF(D81="FULL",1,IF(D81="PARTIAL",0.5,IF(D81="FAIL",0,""))))</f>
        <v/>
      </c>
      <c r="F81" s="7">
        <f>IF(E81="",0,C81*E81)</f>
        <v/>
      </c>
      <c r="G81" s="7">
        <f>IF(B81="I1",20*AVERAGEIF('QA_Images'!$A$2:$A$47,A81,'QA_Images'!$U$2:$U$47)/100,IF(D81="NOT_CHECKED",0,C81))</f>
        <v/>
      </c>
      <c r="H81" s="3" t="inlineStr">
        <is>
          <t>Primary keyword aligns with product-level US purchase intent. Primary keyword rechecked against US product-level SERP comparables.</t>
        </is>
      </c>
      <c r="I81" s="3" t="inlineStr">
        <is>
          <t>evidence_batch_020_198</t>
        </is>
      </c>
      <c r="J81" s="3" t="inlineStr">
        <is>
          <t>ISSUE-0054; ISSUE-0055; ISSUE-0056; ISSUE-0057</t>
        </is>
      </c>
    </row>
    <row r="82" ht="42" customHeight="1">
      <c r="A82" s="2" t="inlineStr">
        <is>
          <t>jeminise.com+personalized-baseball-bedding-full-size-flag-custom-name-d-design-23</t>
        </is>
      </c>
      <c r="B82" s="2" t="inlineStr">
        <is>
          <t>K2</t>
        </is>
      </c>
      <c r="C82" s="2" t="n">
        <v>5</v>
      </c>
      <c r="D82" s="2" t="inlineStr">
        <is>
          <t>PARTIAL</t>
        </is>
      </c>
      <c r="E82" s="5">
        <f>IF(B82="I1",AVERAGEIF('QA_Images'!$A$2:$A$47,A82,'QA_Images'!$T$2:$T$47)/100,IF(D82="FULL",1,IF(D82="PARTIAL",0.5,IF(D82="FAIL",0,""))))</f>
        <v/>
      </c>
      <c r="F82" s="5">
        <f>IF(E82="",0,C82*E82)</f>
        <v/>
      </c>
      <c r="G82" s="5">
        <f>IF(B82="I1",20*AVERAGEIF('QA_Images'!$A$2:$A$47,A82,'QA_Images'!$U$2:$U$47)/100,IF(D82="NOT_CHECKED",0,C82))</f>
        <v/>
      </c>
      <c r="H82" s="2" t="inlineStr">
        <is>
          <t>Intent/cannibalization check distinguishes nearby products. Nearby product cluster has overlap risk, so intent distinction remains only partial.</t>
        </is>
      </c>
      <c r="I82" s="2" t="inlineStr">
        <is>
          <t>evidence_batch_020_198</t>
        </is>
      </c>
      <c r="J82" s="2" t="inlineStr">
        <is>
          <t>ISSUE-0054; ISSUE-0055; ISSUE-0056; ISSUE-0057</t>
        </is>
      </c>
    </row>
    <row r="83" ht="42" customHeight="1">
      <c r="A83" s="3" t="inlineStr">
        <is>
          <t>jeminise.com+personalized-baseball-bedding-full-size-flag-custom-name-d-design-23</t>
        </is>
      </c>
      <c r="B83" s="3" t="inlineStr">
        <is>
          <t>K3</t>
        </is>
      </c>
      <c r="C83" s="3" t="n">
        <v>5</v>
      </c>
      <c r="D83" s="3" t="inlineStr">
        <is>
          <t>PARTIAL</t>
        </is>
      </c>
      <c r="E83" s="7">
        <f>IF(B83="I1",AVERAGEIF('QA_Images'!$A$2:$A$47,A83,'QA_Images'!$T$2:$T$47)/100,IF(D83="FULL",1,IF(D83="PARTIAL",0.5,IF(D83="FAIL",0,""))))</f>
        <v/>
      </c>
      <c r="F83" s="7">
        <f>IF(E83="",0,C83*E83)</f>
        <v/>
      </c>
      <c r="G83" s="7">
        <f>IF(B83="I1",20*AVERAGEIF('QA_Images'!$A$2:$A$47,A83,'QA_Images'!$U$2:$U$47)/100,IF(D83="NOT_CHECKED",0,C83))</f>
        <v/>
      </c>
      <c r="H83" s="3" t="inlineStr">
        <is>
          <t>Keyword evidence is supported by SERP comparables without unsupported volume claims. Evidence is public SERP only; no Search Console, keyword volume or customer-search corpus provided.</t>
        </is>
      </c>
      <c r="I83" s="3" t="inlineStr">
        <is>
          <t>evidence_batch_020_198</t>
        </is>
      </c>
      <c r="J83" s="3" t="inlineStr">
        <is>
          <t>ISSUE-0054; ISSUE-0055; ISSUE-0056; ISSUE-0057</t>
        </is>
      </c>
    </row>
    <row r="84" ht="42" customHeight="1">
      <c r="A84" s="2" t="inlineStr">
        <is>
          <t>jeminise.com+personalized-baseball-bedding-full-size-flag-custom-name-d-design-23</t>
        </is>
      </c>
      <c r="B84" s="2" t="inlineStr">
        <is>
          <t>T1</t>
        </is>
      </c>
      <c r="C84" s="2" t="n">
        <v>10</v>
      </c>
      <c r="D84" s="2" t="inlineStr">
        <is>
          <t>PARTIAL</t>
        </is>
      </c>
      <c r="E84" s="5">
        <f>IF(B84="I1",AVERAGEIF('QA_Images'!$A$2:$A$47,A84,'QA_Images'!$T$2:$T$47)/100,IF(D84="FULL",1,IF(D84="PARTIAL",0.5,IF(D84="FAIL",0,""))))</f>
        <v/>
      </c>
      <c r="F84" s="5">
        <f>IF(E84="",0,C84*E84)</f>
        <v/>
      </c>
      <c r="G84" s="5">
        <f>IF(B84="I1",20*AVERAGEIF('QA_Images'!$A$2:$A$47,A84,'QA_Images'!$U$2:$U$47)/100,IF(D84="NOT_CHECKED",0,C84))</f>
        <v/>
      </c>
      <c r="H84" s="2" t="inlineStr">
        <is>
          <t>SEO title and H1 are relevant, specific and grounded in visible/source facts. Proposed H1 is blank, so the title/H1 pair cannot be fully verified.</t>
        </is>
      </c>
      <c r="I84" s="2" t="inlineStr">
        <is>
          <t>evidence_batch_020_198</t>
        </is>
      </c>
      <c r="J84" s="2" t="inlineStr">
        <is>
          <t>ISSUE-0054; ISSUE-0055; ISSUE-0056; ISSUE-0057</t>
        </is>
      </c>
    </row>
    <row r="85" ht="42" customHeight="1">
      <c r="A85" s="3" t="inlineStr">
        <is>
          <t>jeminise.com+personalized-baseball-bedding-full-size-flag-custom-name-d-design-23</t>
        </is>
      </c>
      <c r="B85" s="3" t="inlineStr">
        <is>
          <t>T2</t>
        </is>
      </c>
      <c r="C85" s="3" t="n">
        <v>5</v>
      </c>
      <c r="D85" s="3" t="inlineStr">
        <is>
          <t>PARTIAL</t>
        </is>
      </c>
      <c r="E85" s="7">
        <f>IF(B85="I1",AVERAGEIF('QA_Images'!$A$2:$A$47,A85,'QA_Images'!$T$2:$T$47)/100,IF(D85="FULL",1,IF(D85="PARTIAL",0.5,IF(D85="FAIL",0,""))))</f>
        <v/>
      </c>
      <c r="F85" s="7">
        <f>IF(E85="",0,C85*E85)</f>
        <v/>
      </c>
      <c r="G85" s="7">
        <f>IF(B85="I1",20*AVERAGEIF('QA_Images'!$A$2:$A$47,A85,'QA_Images'!$U$2:$U$47)/100,IF(D85="NOT_CHECKED",0,C85))</f>
        <v/>
      </c>
      <c r="H85" s="3" t="inlineStr">
        <is>
          <t>Meta description is concise, publish-ready and avoids unsupported claims. Meta description checked for length, specificity and supportable claims.</t>
        </is>
      </c>
      <c r="I85" s="3" t="inlineStr">
        <is>
          <t>evidence_batch_020_198</t>
        </is>
      </c>
      <c r="J85" s="3" t="inlineStr">
        <is>
          <t>ISSUE-0054; ISSUE-0055; ISSUE-0056; ISSUE-0057</t>
        </is>
      </c>
    </row>
    <row r="86" ht="42" customHeight="1">
      <c r="A86" s="2" t="inlineStr">
        <is>
          <t>jeminise.com+personalized-baseball-bedding-full-size-flag-custom-name-d-design-23</t>
        </is>
      </c>
      <c r="B86" s="2" t="inlineStr">
        <is>
          <t>D1</t>
        </is>
      </c>
      <c r="C86" s="2" t="n">
        <v>10</v>
      </c>
      <c r="D86" s="2" t="inlineStr">
        <is>
          <t>FAIL</t>
        </is>
      </c>
      <c r="E86" s="5">
        <f>IF(B86="I1",AVERAGEIF('QA_Images'!$A$2:$A$47,A86,'QA_Images'!$T$2:$T$47)/100,IF(D86="FULL",1,IF(D86="PARTIAL",0.5,IF(D86="FAIL",0,""))))</f>
        <v/>
      </c>
      <c r="F86" s="5">
        <f>IF(E86="",0,C86*E86)</f>
        <v/>
      </c>
      <c r="G86" s="5">
        <f>IF(B86="I1",20*AVERAGEIF('QA_Images'!$A$2:$A$47,A86,'QA_Images'!$U$2:$U$47)/100,IF(D86="NOT_CHECKED",0,C86))</f>
        <v/>
      </c>
      <c r="H86" s="2" t="inlineStr">
        <is>
          <t>Description HTML is publish-ready and free of internal draft/QA instructions. Description HTML still contains internal QA/import language.</t>
        </is>
      </c>
      <c r="I86" s="2" t="inlineStr">
        <is>
          <t>evidence_batch_020_198</t>
        </is>
      </c>
      <c r="J86" s="2" t="inlineStr">
        <is>
          <t>ISSUE-0054; ISSUE-0055; ISSUE-0056; ISSUE-0057</t>
        </is>
      </c>
    </row>
    <row r="87" ht="42" customHeight="1">
      <c r="A87" s="3" t="inlineStr">
        <is>
          <t>jeminise.com+personalized-baseball-bedding-full-size-flag-custom-name-d-design-23</t>
        </is>
      </c>
      <c r="B87" s="3" t="inlineStr">
        <is>
          <t>D2</t>
        </is>
      </c>
      <c r="C87" s="3" t="n">
        <v>5</v>
      </c>
      <c r="D87" s="3" t="inlineStr">
        <is>
          <t>PARTIAL</t>
        </is>
      </c>
      <c r="E87" s="7">
        <f>IF(B87="I1",AVERAGEIF('QA_Images'!$A$2:$A$47,A87,'QA_Images'!$T$2:$T$47)/100,IF(D87="FULL",1,IF(D87="PARTIAL",0.5,IF(D87="FAIL",0,""))))</f>
        <v/>
      </c>
      <c r="F87" s="7">
        <f>IF(E87="",0,C87*E87)</f>
        <v/>
      </c>
      <c r="G87" s="7">
        <f>IF(B87="I1",20*AVERAGEIF('QA_Images'!$A$2:$A$47,A87,'QA_Images'!$U$2:$U$47)/100,IF(D87="NOT_CHECKED",0,C87))</f>
        <v/>
      </c>
      <c r="H87" s="3" t="inlineStr">
        <is>
          <t>Description content covers verified design, product type, use case and constraints. Description covers motif/product type but remains templated and does not always map every verified constraint.</t>
        </is>
      </c>
      <c r="I87" s="3" t="inlineStr">
        <is>
          <t>evidence_batch_020_198</t>
        </is>
      </c>
      <c r="J87" s="3" t="inlineStr">
        <is>
          <t>ISSUE-0054; ISSUE-0055; ISSUE-0056; ISSUE-0057</t>
        </is>
      </c>
    </row>
    <row r="88" ht="42" customHeight="1">
      <c r="A88" s="2" t="inlineStr">
        <is>
          <t>jeminise.com+personalized-baseball-bedding-full-size-flag-custom-name-d-design-23</t>
        </is>
      </c>
      <c r="B88" s="2" t="inlineStr">
        <is>
          <t>I1</t>
        </is>
      </c>
      <c r="C88" s="2" t="n">
        <v>20</v>
      </c>
      <c r="D88" s="2" t="inlineStr">
        <is>
          <t>FULL</t>
        </is>
      </c>
      <c r="E88" s="5">
        <f>IF(B88="I1",AVERAGEIF('QA_Images'!$A$2:$A$47,A88,'QA_Images'!$T$2:$T$47)/100,IF(D88="FULL",1,IF(D88="PARTIAL",0.5,IF(D88="FAIL",0,""))))</f>
        <v/>
      </c>
      <c r="F88" s="5">
        <f>IF(E88="",0,C88*E88)</f>
        <v/>
      </c>
      <c r="G88" s="5">
        <f>IF(B88="I1",20*AVERAGEIF('QA_Images'!$A$2:$A$47,A88,'QA_Images'!$U$2:$U$47)/100,IF(D88="NOT_CHECKED",0,C88))</f>
        <v/>
      </c>
      <c r="H88" s="2" t="inlineStr">
        <is>
          <t>Image coverage, image observations and alt text quality, derived from QA_Images. Derived from average image QA score; see QA_Images.</t>
        </is>
      </c>
      <c r="I88" s="2" t="inlineStr">
        <is>
          <t>evidence_batch_020_198</t>
        </is>
      </c>
      <c r="J88" s="2" t="inlineStr">
        <is>
          <t>ISSUE-0054; ISSUE-0055; ISSUE-0056; ISSUE-0057</t>
        </is>
      </c>
    </row>
    <row r="89" ht="42" customHeight="1">
      <c r="A89" s="3" t="inlineStr">
        <is>
          <t>jeminise.com+personalized-baseball-bedding-full-size-flag-custom-name-d-design-23</t>
        </is>
      </c>
      <c r="B89" s="3" t="inlineStr">
        <is>
          <t>E1</t>
        </is>
      </c>
      <c r="C89" s="3" t="n">
        <v>5</v>
      </c>
      <c r="D89" s="3" t="inlineStr">
        <is>
          <t>PARTIAL</t>
        </is>
      </c>
      <c r="E89" s="7">
        <f>IF(B89="I1",AVERAGEIF('QA_Images'!$A$2:$A$47,A89,'QA_Images'!$T$2:$T$47)/100,IF(D89="FULL",1,IF(D89="PARTIAL",0.5,IF(D89="FAIL",0,""))))</f>
        <v/>
      </c>
      <c r="F89" s="7">
        <f>IF(E89="",0,C89*E89)</f>
        <v/>
      </c>
      <c r="G89" s="7">
        <f>IF(B89="I1",20*AVERAGEIF('QA_Images'!$A$2:$A$47,A89,'QA_Images'!$U$2:$U$47)/100,IF(D89="NOT_CHECKED",0,C89))</f>
        <v/>
      </c>
      <c r="H89" s="3" t="inlineStr">
        <is>
          <t>Evidence chain is traceable and limitations are explicitly separated from failures. Evidence chain is traceable, with admin-export limitation explicitly separated.</t>
        </is>
      </c>
      <c r="I89" s="3" t="inlineStr">
        <is>
          <t>evidence_batch_020_198</t>
        </is>
      </c>
      <c r="J89" s="3" t="inlineStr">
        <is>
          <t>ISSUE-0054; ISSUE-0055; ISSUE-0056; ISSUE-0057</t>
        </is>
      </c>
    </row>
    <row r="90" ht="42" customHeight="1">
      <c r="A90" s="2" t="inlineStr">
        <is>
          <t>jeminise.com+personalized-baseball-bedding-full-size-flag-custom-name-d-design-24</t>
        </is>
      </c>
      <c r="B90" s="2" t="inlineStr">
        <is>
          <t>P1</t>
        </is>
      </c>
      <c r="C90" s="2" t="n">
        <v>15</v>
      </c>
      <c r="D90" s="2" t="inlineStr">
        <is>
          <t>FULL</t>
        </is>
      </c>
      <c r="E90" s="5">
        <f>IF(B90="I1",AVERAGEIF('QA_Images'!$A$2:$A$47,A90,'QA_Images'!$T$2:$T$47)/100,IF(D90="FULL",1,IF(D90="PARTIAL",0.5,IF(D90="FAIL",0,""))))</f>
        <v/>
      </c>
      <c r="F90" s="5">
        <f>IF(E90="",0,C90*E90)</f>
        <v/>
      </c>
      <c r="G90" s="5">
        <f>IF(B90="I1",20*AVERAGEIF('QA_Images'!$A$2:$A$47,A90,'QA_Images'!$U$2:$U$47)/100,IF(D90="NOT_CHECKED",0,C90))</f>
        <v/>
      </c>
      <c r="H90" s="2" t="inlineStr">
        <is>
          <t>Product identity, handle, product ID, URL and canonical match source/live evidence. Product key/handle/product ID/canonical checked against frozen workbook and live product evidence.</t>
        </is>
      </c>
      <c r="I90" s="2" t="inlineStr">
        <is>
          <t>evidence_batch_020_199</t>
        </is>
      </c>
      <c r="J90" s="2" t="inlineStr">
        <is>
          <t>ISSUE-0061; ISSUE-0062; ISSUE-0063; ISSUE-0064</t>
        </is>
      </c>
    </row>
    <row r="91" ht="42" customHeight="1">
      <c r="A91" s="3" t="inlineStr">
        <is>
          <t>jeminise.com+personalized-baseball-bedding-full-size-flag-custom-name-d-design-24</t>
        </is>
      </c>
      <c r="B91" s="3" t="inlineStr">
        <is>
          <t>P2</t>
        </is>
      </c>
      <c r="C91" s="3" t="n">
        <v>10</v>
      </c>
      <c r="D91" s="3" t="inlineStr">
        <is>
          <t>PARTIAL</t>
        </is>
      </c>
      <c r="E91" s="7">
        <f>IF(B91="I1",AVERAGEIF('QA_Images'!$A$2:$A$47,A91,'QA_Images'!$T$2:$T$47)/100,IF(D91="FULL",1,IF(D91="PARTIAL",0.5,IF(D91="FAIL",0,""))))</f>
        <v/>
      </c>
      <c r="F91" s="7">
        <f>IF(E91="",0,C91*E91)</f>
        <v/>
      </c>
      <c r="G91" s="7">
        <f>IF(B91="I1",20*AVERAGEIF('QA_Images'!$A$2:$A$47,A91,'QA_Images'!$U$2:$U$47)/100,IF(D91="NOT_CHECKED",0,C91))</f>
        <v/>
      </c>
      <c r="H91" s="3" t="inlineStr">
        <is>
          <t>Source product facts, variants, specifications and personalization claims are evidence-backed. Personalization/specification claims checked against storefront product.js and static customizer config.</t>
        </is>
      </c>
      <c r="I91" s="3" t="inlineStr">
        <is>
          <t>evidence_batch_020_199</t>
        </is>
      </c>
      <c r="J91" s="3" t="inlineStr">
        <is>
          <t>ISSUE-0061; ISSUE-0062; ISSUE-0063; ISSUE-0064</t>
        </is>
      </c>
    </row>
    <row r="92" ht="42" customHeight="1">
      <c r="A92" s="2" t="inlineStr">
        <is>
          <t>jeminise.com+personalized-baseball-bedding-full-size-flag-custom-name-d-design-24</t>
        </is>
      </c>
      <c r="B92" s="2" t="inlineStr">
        <is>
          <t>K1</t>
        </is>
      </c>
      <c r="C92" s="2" t="n">
        <v>10</v>
      </c>
      <c r="D92" s="2" t="inlineStr">
        <is>
          <t>PARTIAL</t>
        </is>
      </c>
      <c r="E92" s="5">
        <f>IF(B92="I1",AVERAGEIF('QA_Images'!$A$2:$A$47,A92,'QA_Images'!$T$2:$T$47)/100,IF(D92="FULL",1,IF(D92="PARTIAL",0.5,IF(D92="FAIL",0,""))))</f>
        <v/>
      </c>
      <c r="F92" s="5">
        <f>IF(E92="",0,C92*E92)</f>
        <v/>
      </c>
      <c r="G92" s="5">
        <f>IF(B92="I1",20*AVERAGEIF('QA_Images'!$A$2:$A$47,A92,'QA_Images'!$U$2:$U$47)/100,IF(D92="NOT_CHECKED",0,C92))</f>
        <v/>
      </c>
      <c r="H92" s="2" t="inlineStr">
        <is>
          <t>Primary keyword aligns with product-level US purchase intent. Primary keyword rechecked against US product-level SERP comparables.</t>
        </is>
      </c>
      <c r="I92" s="2" t="inlineStr">
        <is>
          <t>evidence_batch_020_199</t>
        </is>
      </c>
      <c r="J92" s="2" t="inlineStr">
        <is>
          <t>ISSUE-0061; ISSUE-0062; ISSUE-0063; ISSUE-0064</t>
        </is>
      </c>
    </row>
    <row r="93" ht="42" customHeight="1">
      <c r="A93" s="3" t="inlineStr">
        <is>
          <t>jeminise.com+personalized-baseball-bedding-full-size-flag-custom-name-d-design-24</t>
        </is>
      </c>
      <c r="B93" s="3" t="inlineStr">
        <is>
          <t>K2</t>
        </is>
      </c>
      <c r="C93" s="3" t="n">
        <v>5</v>
      </c>
      <c r="D93" s="3" t="inlineStr">
        <is>
          <t>PARTIAL</t>
        </is>
      </c>
      <c r="E93" s="7">
        <f>IF(B93="I1",AVERAGEIF('QA_Images'!$A$2:$A$47,A93,'QA_Images'!$T$2:$T$47)/100,IF(D93="FULL",1,IF(D93="PARTIAL",0.5,IF(D93="FAIL",0,""))))</f>
        <v/>
      </c>
      <c r="F93" s="7">
        <f>IF(E93="",0,C93*E93)</f>
        <v/>
      </c>
      <c r="G93" s="7">
        <f>IF(B93="I1",20*AVERAGEIF('QA_Images'!$A$2:$A$47,A93,'QA_Images'!$U$2:$U$47)/100,IF(D93="NOT_CHECKED",0,C93))</f>
        <v/>
      </c>
      <c r="H93" s="3" t="inlineStr">
        <is>
          <t>Intent/cannibalization check distinguishes nearby products. Nearby product cluster has overlap risk, so intent distinction remains only partial.</t>
        </is>
      </c>
      <c r="I93" s="3" t="inlineStr">
        <is>
          <t>evidence_batch_020_199</t>
        </is>
      </c>
      <c r="J93" s="3" t="inlineStr">
        <is>
          <t>ISSUE-0061; ISSUE-0062; ISSUE-0063; ISSUE-0064</t>
        </is>
      </c>
    </row>
    <row r="94" ht="42" customHeight="1">
      <c r="A94" s="2" t="inlineStr">
        <is>
          <t>jeminise.com+personalized-baseball-bedding-full-size-flag-custom-name-d-design-24</t>
        </is>
      </c>
      <c r="B94" s="2" t="inlineStr">
        <is>
          <t>K3</t>
        </is>
      </c>
      <c r="C94" s="2" t="n">
        <v>5</v>
      </c>
      <c r="D94" s="2" t="inlineStr">
        <is>
          <t>PARTIAL</t>
        </is>
      </c>
      <c r="E94" s="5">
        <f>IF(B94="I1",AVERAGEIF('QA_Images'!$A$2:$A$47,A94,'QA_Images'!$T$2:$T$47)/100,IF(D94="FULL",1,IF(D94="PARTIAL",0.5,IF(D94="FAIL",0,""))))</f>
        <v/>
      </c>
      <c r="F94" s="5">
        <f>IF(E94="",0,C94*E94)</f>
        <v/>
      </c>
      <c r="G94" s="5">
        <f>IF(B94="I1",20*AVERAGEIF('QA_Images'!$A$2:$A$47,A94,'QA_Images'!$U$2:$U$47)/100,IF(D94="NOT_CHECKED",0,C94))</f>
        <v/>
      </c>
      <c r="H94" s="2" t="inlineStr">
        <is>
          <t>Keyword evidence is supported by SERP comparables without unsupported volume claims. Evidence is public SERP only; no Search Console, keyword volume or customer-search corpus provided.</t>
        </is>
      </c>
      <c r="I94" s="2" t="inlineStr">
        <is>
          <t>evidence_batch_020_199</t>
        </is>
      </c>
      <c r="J94" s="2" t="inlineStr">
        <is>
          <t>ISSUE-0061; ISSUE-0062; ISSUE-0063; ISSUE-0064</t>
        </is>
      </c>
    </row>
    <row r="95" ht="42" customHeight="1">
      <c r="A95" s="3" t="inlineStr">
        <is>
          <t>jeminise.com+personalized-baseball-bedding-full-size-flag-custom-name-d-design-24</t>
        </is>
      </c>
      <c r="B95" s="3" t="inlineStr">
        <is>
          <t>T1</t>
        </is>
      </c>
      <c r="C95" s="3" t="n">
        <v>10</v>
      </c>
      <c r="D95" s="3" t="inlineStr">
        <is>
          <t>PARTIAL</t>
        </is>
      </c>
      <c r="E95" s="7">
        <f>IF(B95="I1",AVERAGEIF('QA_Images'!$A$2:$A$47,A95,'QA_Images'!$T$2:$T$47)/100,IF(D95="FULL",1,IF(D95="PARTIAL",0.5,IF(D95="FAIL",0,""))))</f>
        <v/>
      </c>
      <c r="F95" s="7">
        <f>IF(E95="",0,C95*E95)</f>
        <v/>
      </c>
      <c r="G95" s="7">
        <f>IF(B95="I1",20*AVERAGEIF('QA_Images'!$A$2:$A$47,A95,'QA_Images'!$U$2:$U$47)/100,IF(D95="NOT_CHECKED",0,C95))</f>
        <v/>
      </c>
      <c r="H95" s="3" t="inlineStr">
        <is>
          <t>SEO title and H1 are relevant, specific and grounded in visible/source facts. Proposed H1 is blank, so the title/H1 pair cannot be fully verified.</t>
        </is>
      </c>
      <c r="I95" s="3" t="inlineStr">
        <is>
          <t>evidence_batch_020_199</t>
        </is>
      </c>
      <c r="J95" s="3" t="inlineStr">
        <is>
          <t>ISSUE-0061; ISSUE-0062; ISSUE-0063; ISSUE-0064</t>
        </is>
      </c>
    </row>
    <row r="96" ht="42" customHeight="1">
      <c r="A96" s="2" t="inlineStr">
        <is>
          <t>jeminise.com+personalized-baseball-bedding-full-size-flag-custom-name-d-design-24</t>
        </is>
      </c>
      <c r="B96" s="2" t="inlineStr">
        <is>
          <t>T2</t>
        </is>
      </c>
      <c r="C96" s="2" t="n">
        <v>5</v>
      </c>
      <c r="D96" s="2" t="inlineStr">
        <is>
          <t>PARTIAL</t>
        </is>
      </c>
      <c r="E96" s="5">
        <f>IF(B96="I1",AVERAGEIF('QA_Images'!$A$2:$A$47,A96,'QA_Images'!$T$2:$T$47)/100,IF(D96="FULL",1,IF(D96="PARTIAL",0.5,IF(D96="FAIL",0,""))))</f>
        <v/>
      </c>
      <c r="F96" s="5">
        <f>IF(E96="",0,C96*E96)</f>
        <v/>
      </c>
      <c r="G96" s="5">
        <f>IF(B96="I1",20*AVERAGEIF('QA_Images'!$A$2:$A$47,A96,'QA_Images'!$U$2:$U$47)/100,IF(D96="NOT_CHECKED",0,C96))</f>
        <v/>
      </c>
      <c r="H96" s="2" t="inlineStr">
        <is>
          <t>Meta description is concise, publish-ready and avoids unsupported claims. Meta description checked for length, specificity and supportable claims.</t>
        </is>
      </c>
      <c r="I96" s="2" t="inlineStr">
        <is>
          <t>evidence_batch_020_199</t>
        </is>
      </c>
      <c r="J96" s="2" t="inlineStr">
        <is>
          <t>ISSUE-0061; ISSUE-0062; ISSUE-0063; ISSUE-0064</t>
        </is>
      </c>
    </row>
    <row r="97" ht="42" customHeight="1">
      <c r="A97" s="3" t="inlineStr">
        <is>
          <t>jeminise.com+personalized-baseball-bedding-full-size-flag-custom-name-d-design-24</t>
        </is>
      </c>
      <c r="B97" s="3" t="inlineStr">
        <is>
          <t>D1</t>
        </is>
      </c>
      <c r="C97" s="3" t="n">
        <v>10</v>
      </c>
      <c r="D97" s="3" t="inlineStr">
        <is>
          <t>FAIL</t>
        </is>
      </c>
      <c r="E97" s="7">
        <f>IF(B97="I1",AVERAGEIF('QA_Images'!$A$2:$A$47,A97,'QA_Images'!$T$2:$T$47)/100,IF(D97="FULL",1,IF(D97="PARTIAL",0.5,IF(D97="FAIL",0,""))))</f>
        <v/>
      </c>
      <c r="F97" s="7">
        <f>IF(E97="",0,C97*E97)</f>
        <v/>
      </c>
      <c r="G97" s="7">
        <f>IF(B97="I1",20*AVERAGEIF('QA_Images'!$A$2:$A$47,A97,'QA_Images'!$U$2:$U$47)/100,IF(D97="NOT_CHECKED",0,C97))</f>
        <v/>
      </c>
      <c r="H97" s="3" t="inlineStr">
        <is>
          <t>Description HTML is publish-ready and free of internal draft/QA instructions. Description HTML still contains internal QA/import language.</t>
        </is>
      </c>
      <c r="I97" s="3" t="inlineStr">
        <is>
          <t>evidence_batch_020_199</t>
        </is>
      </c>
      <c r="J97" s="3" t="inlineStr">
        <is>
          <t>ISSUE-0061; ISSUE-0062; ISSUE-0063; ISSUE-0064</t>
        </is>
      </c>
    </row>
    <row r="98" ht="42" customHeight="1">
      <c r="A98" s="2" t="inlineStr">
        <is>
          <t>jeminise.com+personalized-baseball-bedding-full-size-flag-custom-name-d-design-24</t>
        </is>
      </c>
      <c r="B98" s="2" t="inlineStr">
        <is>
          <t>D2</t>
        </is>
      </c>
      <c r="C98" s="2" t="n">
        <v>5</v>
      </c>
      <c r="D98" s="2" t="inlineStr">
        <is>
          <t>PARTIAL</t>
        </is>
      </c>
      <c r="E98" s="5">
        <f>IF(B98="I1",AVERAGEIF('QA_Images'!$A$2:$A$47,A98,'QA_Images'!$T$2:$T$47)/100,IF(D98="FULL",1,IF(D98="PARTIAL",0.5,IF(D98="FAIL",0,""))))</f>
        <v/>
      </c>
      <c r="F98" s="5">
        <f>IF(E98="",0,C98*E98)</f>
        <v/>
      </c>
      <c r="G98" s="5">
        <f>IF(B98="I1",20*AVERAGEIF('QA_Images'!$A$2:$A$47,A98,'QA_Images'!$U$2:$U$47)/100,IF(D98="NOT_CHECKED",0,C98))</f>
        <v/>
      </c>
      <c r="H98" s="2" t="inlineStr">
        <is>
          <t>Description content covers verified design, product type, use case and constraints. Description covers motif/product type but remains templated and does not always map every verified constraint.</t>
        </is>
      </c>
      <c r="I98" s="2" t="inlineStr">
        <is>
          <t>evidence_batch_020_199</t>
        </is>
      </c>
      <c r="J98" s="2" t="inlineStr">
        <is>
          <t>ISSUE-0061; ISSUE-0062; ISSUE-0063; ISSUE-0064</t>
        </is>
      </c>
    </row>
    <row r="99" ht="42" customHeight="1">
      <c r="A99" s="3" t="inlineStr">
        <is>
          <t>jeminise.com+personalized-baseball-bedding-full-size-flag-custom-name-d-design-24</t>
        </is>
      </c>
      <c r="B99" s="3" t="inlineStr">
        <is>
          <t>I1</t>
        </is>
      </c>
      <c r="C99" s="3" t="n">
        <v>20</v>
      </c>
      <c r="D99" s="3" t="inlineStr">
        <is>
          <t>FULL</t>
        </is>
      </c>
      <c r="E99" s="7">
        <f>IF(B99="I1",AVERAGEIF('QA_Images'!$A$2:$A$47,A99,'QA_Images'!$T$2:$T$47)/100,IF(D99="FULL",1,IF(D99="PARTIAL",0.5,IF(D99="FAIL",0,""))))</f>
        <v/>
      </c>
      <c r="F99" s="7">
        <f>IF(E99="",0,C99*E99)</f>
        <v/>
      </c>
      <c r="G99" s="7">
        <f>IF(B99="I1",20*AVERAGEIF('QA_Images'!$A$2:$A$47,A99,'QA_Images'!$U$2:$U$47)/100,IF(D99="NOT_CHECKED",0,C99))</f>
        <v/>
      </c>
      <c r="H99" s="3" t="inlineStr">
        <is>
          <t>Image coverage, image observations and alt text quality, derived from QA_Images. Derived from average image QA score; see QA_Images.</t>
        </is>
      </c>
      <c r="I99" s="3" t="inlineStr">
        <is>
          <t>evidence_batch_020_199</t>
        </is>
      </c>
      <c r="J99" s="3" t="inlineStr">
        <is>
          <t>ISSUE-0061; ISSUE-0062; ISSUE-0063; ISSUE-0064</t>
        </is>
      </c>
    </row>
    <row r="100" ht="42" customHeight="1">
      <c r="A100" s="2" t="inlineStr">
        <is>
          <t>jeminise.com+personalized-baseball-bedding-full-size-flag-custom-name-d-design-24</t>
        </is>
      </c>
      <c r="B100" s="2" t="inlineStr">
        <is>
          <t>E1</t>
        </is>
      </c>
      <c r="C100" s="2" t="n">
        <v>5</v>
      </c>
      <c r="D100" s="2" t="inlineStr">
        <is>
          <t>PARTIAL</t>
        </is>
      </c>
      <c r="E100" s="5">
        <f>IF(B100="I1",AVERAGEIF('QA_Images'!$A$2:$A$47,A100,'QA_Images'!$T$2:$T$47)/100,IF(D100="FULL",1,IF(D100="PARTIAL",0.5,IF(D100="FAIL",0,""))))</f>
        <v/>
      </c>
      <c r="F100" s="5">
        <f>IF(E100="",0,C100*E100)</f>
        <v/>
      </c>
      <c r="G100" s="5">
        <f>IF(B100="I1",20*AVERAGEIF('QA_Images'!$A$2:$A$47,A100,'QA_Images'!$U$2:$U$47)/100,IF(D100="NOT_CHECKED",0,C100))</f>
        <v/>
      </c>
      <c r="H100" s="2" t="inlineStr">
        <is>
          <t>Evidence chain is traceable and limitations are explicitly separated from failures. Evidence chain is traceable, with admin-export limitation explicitly separated.</t>
        </is>
      </c>
      <c r="I100" s="2" t="inlineStr">
        <is>
          <t>evidence_batch_020_199</t>
        </is>
      </c>
      <c r="J100" s="2" t="inlineStr">
        <is>
          <t>ISSUE-0061; ISSUE-0062; ISSUE-0063; ISSUE-0064</t>
        </is>
      </c>
    </row>
    <row r="101" ht="42" customHeight="1">
      <c r="A101" s="3" t="inlineStr">
        <is>
          <t>jeminise.com+personalized-baseball-bedding-full-size-flag-custom-name-d-design-25</t>
        </is>
      </c>
      <c r="B101" s="3" t="inlineStr">
        <is>
          <t>P1</t>
        </is>
      </c>
      <c r="C101" s="3" t="n">
        <v>15</v>
      </c>
      <c r="D101" s="3" t="inlineStr">
        <is>
          <t>FULL</t>
        </is>
      </c>
      <c r="E101" s="7">
        <f>IF(B101="I1",AVERAGEIF('QA_Images'!$A$2:$A$47,A101,'QA_Images'!$T$2:$T$47)/100,IF(D101="FULL",1,IF(D101="PARTIAL",0.5,IF(D101="FAIL",0,""))))</f>
        <v/>
      </c>
      <c r="F101" s="7">
        <f>IF(E101="",0,C101*E101)</f>
        <v/>
      </c>
      <c r="G101" s="7">
        <f>IF(B101="I1",20*AVERAGEIF('QA_Images'!$A$2:$A$47,A101,'QA_Images'!$U$2:$U$47)/100,IF(D101="NOT_CHECKED",0,C101))</f>
        <v/>
      </c>
      <c r="H101" s="3" t="inlineStr">
        <is>
          <t>Product identity, handle, product ID, URL and canonical match source/live evidence. Product key/handle/product ID/canonical checked against frozen workbook and live product evidence.</t>
        </is>
      </c>
      <c r="I101" s="3" t="inlineStr">
        <is>
          <t>evidence_batch_020_200</t>
        </is>
      </c>
      <c r="J101" s="3" t="inlineStr">
        <is>
          <t>ISSUE-0068; ISSUE-0069; ISSUE-0070; ISSUE-0071</t>
        </is>
      </c>
    </row>
    <row r="102" ht="42" customHeight="1">
      <c r="A102" s="2" t="inlineStr">
        <is>
          <t>jeminise.com+personalized-baseball-bedding-full-size-flag-custom-name-d-design-25</t>
        </is>
      </c>
      <c r="B102" s="2" t="inlineStr">
        <is>
          <t>P2</t>
        </is>
      </c>
      <c r="C102" s="2" t="n">
        <v>10</v>
      </c>
      <c r="D102" s="2" t="inlineStr">
        <is>
          <t>PARTIAL</t>
        </is>
      </c>
      <c r="E102" s="5">
        <f>IF(B102="I1",AVERAGEIF('QA_Images'!$A$2:$A$47,A102,'QA_Images'!$T$2:$T$47)/100,IF(D102="FULL",1,IF(D102="PARTIAL",0.5,IF(D102="FAIL",0,""))))</f>
        <v/>
      </c>
      <c r="F102" s="5">
        <f>IF(E102="",0,C102*E102)</f>
        <v/>
      </c>
      <c r="G102" s="5">
        <f>IF(B102="I1",20*AVERAGEIF('QA_Images'!$A$2:$A$47,A102,'QA_Images'!$U$2:$U$47)/100,IF(D102="NOT_CHECKED",0,C102))</f>
        <v/>
      </c>
      <c r="H102" s="2" t="inlineStr">
        <is>
          <t>Source product facts, variants, specifications and personalization claims are evidence-backed. Personalization/specification claims checked against storefront product.js and static customizer config.</t>
        </is>
      </c>
      <c r="I102" s="2" t="inlineStr">
        <is>
          <t>evidence_batch_020_200</t>
        </is>
      </c>
      <c r="J102" s="2" t="inlineStr">
        <is>
          <t>ISSUE-0068; ISSUE-0069; ISSUE-0070; ISSUE-0071</t>
        </is>
      </c>
    </row>
    <row r="103" ht="42" customHeight="1">
      <c r="A103" s="3" t="inlineStr">
        <is>
          <t>jeminise.com+personalized-baseball-bedding-full-size-flag-custom-name-d-design-25</t>
        </is>
      </c>
      <c r="B103" s="3" t="inlineStr">
        <is>
          <t>K1</t>
        </is>
      </c>
      <c r="C103" s="3" t="n">
        <v>10</v>
      </c>
      <c r="D103" s="3" t="inlineStr">
        <is>
          <t>PARTIAL</t>
        </is>
      </c>
      <c r="E103" s="7">
        <f>IF(B103="I1",AVERAGEIF('QA_Images'!$A$2:$A$47,A103,'QA_Images'!$T$2:$T$47)/100,IF(D103="FULL",1,IF(D103="PARTIAL",0.5,IF(D103="FAIL",0,""))))</f>
        <v/>
      </c>
      <c r="F103" s="7">
        <f>IF(E103="",0,C103*E103)</f>
        <v/>
      </c>
      <c r="G103" s="7">
        <f>IF(B103="I1",20*AVERAGEIF('QA_Images'!$A$2:$A$47,A103,'QA_Images'!$U$2:$U$47)/100,IF(D103="NOT_CHECKED",0,C103))</f>
        <v/>
      </c>
      <c r="H103" s="3" t="inlineStr">
        <is>
          <t>Primary keyword aligns with product-level US purchase intent. Primary keyword rechecked against US product-level SERP comparables.</t>
        </is>
      </c>
      <c r="I103" s="3" t="inlineStr">
        <is>
          <t>evidence_batch_020_200</t>
        </is>
      </c>
      <c r="J103" s="3" t="inlineStr">
        <is>
          <t>ISSUE-0068; ISSUE-0069; ISSUE-0070; ISSUE-0071</t>
        </is>
      </c>
    </row>
    <row r="104" ht="42" customHeight="1">
      <c r="A104" s="2" t="inlineStr">
        <is>
          <t>jeminise.com+personalized-baseball-bedding-full-size-flag-custom-name-d-design-25</t>
        </is>
      </c>
      <c r="B104" s="2" t="inlineStr">
        <is>
          <t>K2</t>
        </is>
      </c>
      <c r="C104" s="2" t="n">
        <v>5</v>
      </c>
      <c r="D104" s="2" t="inlineStr">
        <is>
          <t>PARTIAL</t>
        </is>
      </c>
      <c r="E104" s="5">
        <f>IF(B104="I1",AVERAGEIF('QA_Images'!$A$2:$A$47,A104,'QA_Images'!$T$2:$T$47)/100,IF(D104="FULL",1,IF(D104="PARTIAL",0.5,IF(D104="FAIL",0,""))))</f>
        <v/>
      </c>
      <c r="F104" s="5">
        <f>IF(E104="",0,C104*E104)</f>
        <v/>
      </c>
      <c r="G104" s="5">
        <f>IF(B104="I1",20*AVERAGEIF('QA_Images'!$A$2:$A$47,A104,'QA_Images'!$U$2:$U$47)/100,IF(D104="NOT_CHECKED",0,C104))</f>
        <v/>
      </c>
      <c r="H104" s="2" t="inlineStr">
        <is>
          <t>Intent/cannibalization check distinguishes nearby products. Nearby product cluster has overlap risk, so intent distinction remains only partial.</t>
        </is>
      </c>
      <c r="I104" s="2" t="inlineStr">
        <is>
          <t>evidence_batch_020_200</t>
        </is>
      </c>
      <c r="J104" s="2" t="inlineStr">
        <is>
          <t>ISSUE-0068; ISSUE-0069; ISSUE-0070; ISSUE-0071</t>
        </is>
      </c>
    </row>
    <row r="105" ht="42" customHeight="1">
      <c r="A105" s="3" t="inlineStr">
        <is>
          <t>jeminise.com+personalized-baseball-bedding-full-size-flag-custom-name-d-design-25</t>
        </is>
      </c>
      <c r="B105" s="3" t="inlineStr">
        <is>
          <t>K3</t>
        </is>
      </c>
      <c r="C105" s="3" t="n">
        <v>5</v>
      </c>
      <c r="D105" s="3" t="inlineStr">
        <is>
          <t>PARTIAL</t>
        </is>
      </c>
      <c r="E105" s="7">
        <f>IF(B105="I1",AVERAGEIF('QA_Images'!$A$2:$A$47,A105,'QA_Images'!$T$2:$T$47)/100,IF(D105="FULL",1,IF(D105="PARTIAL",0.5,IF(D105="FAIL",0,""))))</f>
        <v/>
      </c>
      <c r="F105" s="7">
        <f>IF(E105="",0,C105*E105)</f>
        <v/>
      </c>
      <c r="G105" s="7">
        <f>IF(B105="I1",20*AVERAGEIF('QA_Images'!$A$2:$A$47,A105,'QA_Images'!$U$2:$U$47)/100,IF(D105="NOT_CHECKED",0,C105))</f>
        <v/>
      </c>
      <c r="H105" s="3" t="inlineStr">
        <is>
          <t>Keyword evidence is supported by SERP comparables without unsupported volume claims. Evidence is public SERP only; no Search Console, keyword volume or customer-search corpus provided.</t>
        </is>
      </c>
      <c r="I105" s="3" t="inlineStr">
        <is>
          <t>evidence_batch_020_200</t>
        </is>
      </c>
      <c r="J105" s="3" t="inlineStr">
        <is>
          <t>ISSUE-0068; ISSUE-0069; ISSUE-0070; ISSUE-0071</t>
        </is>
      </c>
    </row>
    <row r="106" ht="42" customHeight="1">
      <c r="A106" s="2" t="inlineStr">
        <is>
          <t>jeminise.com+personalized-baseball-bedding-full-size-flag-custom-name-d-design-25</t>
        </is>
      </c>
      <c r="B106" s="2" t="inlineStr">
        <is>
          <t>T1</t>
        </is>
      </c>
      <c r="C106" s="2" t="n">
        <v>10</v>
      </c>
      <c r="D106" s="2" t="inlineStr">
        <is>
          <t>PARTIAL</t>
        </is>
      </c>
      <c r="E106" s="5">
        <f>IF(B106="I1",AVERAGEIF('QA_Images'!$A$2:$A$47,A106,'QA_Images'!$T$2:$T$47)/100,IF(D106="FULL",1,IF(D106="PARTIAL",0.5,IF(D106="FAIL",0,""))))</f>
        <v/>
      </c>
      <c r="F106" s="5">
        <f>IF(E106="",0,C106*E106)</f>
        <v/>
      </c>
      <c r="G106" s="5">
        <f>IF(B106="I1",20*AVERAGEIF('QA_Images'!$A$2:$A$47,A106,'QA_Images'!$U$2:$U$47)/100,IF(D106="NOT_CHECKED",0,C106))</f>
        <v/>
      </c>
      <c r="H106" s="2" t="inlineStr">
        <is>
          <t>SEO title and H1 are relevant, specific and grounded in visible/source facts. Proposed H1 is blank, so the title/H1 pair cannot be fully verified.</t>
        </is>
      </c>
      <c r="I106" s="2" t="inlineStr">
        <is>
          <t>evidence_batch_020_200</t>
        </is>
      </c>
      <c r="J106" s="2" t="inlineStr">
        <is>
          <t>ISSUE-0068; ISSUE-0069; ISSUE-0070; ISSUE-0071</t>
        </is>
      </c>
    </row>
    <row r="107" ht="42" customHeight="1">
      <c r="A107" s="3" t="inlineStr">
        <is>
          <t>jeminise.com+personalized-baseball-bedding-full-size-flag-custom-name-d-design-25</t>
        </is>
      </c>
      <c r="B107" s="3" t="inlineStr">
        <is>
          <t>T2</t>
        </is>
      </c>
      <c r="C107" s="3" t="n">
        <v>5</v>
      </c>
      <c r="D107" s="3" t="inlineStr">
        <is>
          <t>PARTIAL</t>
        </is>
      </c>
      <c r="E107" s="7">
        <f>IF(B107="I1",AVERAGEIF('QA_Images'!$A$2:$A$47,A107,'QA_Images'!$T$2:$T$47)/100,IF(D107="FULL",1,IF(D107="PARTIAL",0.5,IF(D107="FAIL",0,""))))</f>
        <v/>
      </c>
      <c r="F107" s="7">
        <f>IF(E107="",0,C107*E107)</f>
        <v/>
      </c>
      <c r="G107" s="7">
        <f>IF(B107="I1",20*AVERAGEIF('QA_Images'!$A$2:$A$47,A107,'QA_Images'!$U$2:$U$47)/100,IF(D107="NOT_CHECKED",0,C107))</f>
        <v/>
      </c>
      <c r="H107" s="3" t="inlineStr">
        <is>
          <t>Meta description is concise, publish-ready and avoids unsupported claims. Meta description checked for length, specificity and supportable claims.</t>
        </is>
      </c>
      <c r="I107" s="3" t="inlineStr">
        <is>
          <t>evidence_batch_020_200</t>
        </is>
      </c>
      <c r="J107" s="3" t="inlineStr">
        <is>
          <t>ISSUE-0068; ISSUE-0069; ISSUE-0070; ISSUE-0071</t>
        </is>
      </c>
    </row>
    <row r="108" ht="42" customHeight="1">
      <c r="A108" s="2" t="inlineStr">
        <is>
          <t>jeminise.com+personalized-baseball-bedding-full-size-flag-custom-name-d-design-25</t>
        </is>
      </c>
      <c r="B108" s="2" t="inlineStr">
        <is>
          <t>D1</t>
        </is>
      </c>
      <c r="C108" s="2" t="n">
        <v>10</v>
      </c>
      <c r="D108" s="2" t="inlineStr">
        <is>
          <t>FAIL</t>
        </is>
      </c>
      <c r="E108" s="5">
        <f>IF(B108="I1",AVERAGEIF('QA_Images'!$A$2:$A$47,A108,'QA_Images'!$T$2:$T$47)/100,IF(D108="FULL",1,IF(D108="PARTIAL",0.5,IF(D108="FAIL",0,""))))</f>
        <v/>
      </c>
      <c r="F108" s="5">
        <f>IF(E108="",0,C108*E108)</f>
        <v/>
      </c>
      <c r="G108" s="5">
        <f>IF(B108="I1",20*AVERAGEIF('QA_Images'!$A$2:$A$47,A108,'QA_Images'!$U$2:$U$47)/100,IF(D108="NOT_CHECKED",0,C108))</f>
        <v/>
      </c>
      <c r="H108" s="2" t="inlineStr">
        <is>
          <t>Description HTML is publish-ready and free of internal draft/QA instructions. Description HTML still contains internal QA/import language.</t>
        </is>
      </c>
      <c r="I108" s="2" t="inlineStr">
        <is>
          <t>evidence_batch_020_200</t>
        </is>
      </c>
      <c r="J108" s="2" t="inlineStr">
        <is>
          <t>ISSUE-0068; ISSUE-0069; ISSUE-0070; ISSUE-0071</t>
        </is>
      </c>
    </row>
    <row r="109" ht="42" customHeight="1">
      <c r="A109" s="3" t="inlineStr">
        <is>
          <t>jeminise.com+personalized-baseball-bedding-full-size-flag-custom-name-d-design-25</t>
        </is>
      </c>
      <c r="B109" s="3" t="inlineStr">
        <is>
          <t>D2</t>
        </is>
      </c>
      <c r="C109" s="3" t="n">
        <v>5</v>
      </c>
      <c r="D109" s="3" t="inlineStr">
        <is>
          <t>PARTIAL</t>
        </is>
      </c>
      <c r="E109" s="7">
        <f>IF(B109="I1",AVERAGEIF('QA_Images'!$A$2:$A$47,A109,'QA_Images'!$T$2:$T$47)/100,IF(D109="FULL",1,IF(D109="PARTIAL",0.5,IF(D109="FAIL",0,""))))</f>
        <v/>
      </c>
      <c r="F109" s="7">
        <f>IF(E109="",0,C109*E109)</f>
        <v/>
      </c>
      <c r="G109" s="7">
        <f>IF(B109="I1",20*AVERAGEIF('QA_Images'!$A$2:$A$47,A109,'QA_Images'!$U$2:$U$47)/100,IF(D109="NOT_CHECKED",0,C109))</f>
        <v/>
      </c>
      <c r="H109" s="3" t="inlineStr">
        <is>
          <t>Description content covers verified design, product type, use case and constraints. Description covers motif/product type but remains templated and does not always map every verified constraint.</t>
        </is>
      </c>
      <c r="I109" s="3" t="inlineStr">
        <is>
          <t>evidence_batch_020_200</t>
        </is>
      </c>
      <c r="J109" s="3" t="inlineStr">
        <is>
          <t>ISSUE-0068; ISSUE-0069; ISSUE-0070; ISSUE-0071</t>
        </is>
      </c>
    </row>
    <row r="110" ht="42" customHeight="1">
      <c r="A110" s="2" t="inlineStr">
        <is>
          <t>jeminise.com+personalized-baseball-bedding-full-size-flag-custom-name-d-design-25</t>
        </is>
      </c>
      <c r="B110" s="2" t="inlineStr">
        <is>
          <t>I1</t>
        </is>
      </c>
      <c r="C110" s="2" t="n">
        <v>20</v>
      </c>
      <c r="D110" s="2" t="inlineStr">
        <is>
          <t>FULL</t>
        </is>
      </c>
      <c r="E110" s="5">
        <f>IF(B110="I1",AVERAGEIF('QA_Images'!$A$2:$A$47,A110,'QA_Images'!$T$2:$T$47)/100,IF(D110="FULL",1,IF(D110="PARTIAL",0.5,IF(D110="FAIL",0,""))))</f>
        <v/>
      </c>
      <c r="F110" s="5">
        <f>IF(E110="",0,C110*E110)</f>
        <v/>
      </c>
      <c r="G110" s="5">
        <f>IF(B110="I1",20*AVERAGEIF('QA_Images'!$A$2:$A$47,A110,'QA_Images'!$U$2:$U$47)/100,IF(D110="NOT_CHECKED",0,C110))</f>
        <v/>
      </c>
      <c r="H110" s="2" t="inlineStr">
        <is>
          <t>Image coverage, image observations and alt text quality, derived from QA_Images. Derived from average image QA score; see QA_Images.</t>
        </is>
      </c>
      <c r="I110" s="2" t="inlineStr">
        <is>
          <t>evidence_batch_020_200</t>
        </is>
      </c>
      <c r="J110" s="2" t="inlineStr">
        <is>
          <t>ISSUE-0068; ISSUE-0069; ISSUE-0070; ISSUE-0071</t>
        </is>
      </c>
    </row>
    <row r="111" ht="42" customHeight="1">
      <c r="A111" s="3" t="inlineStr">
        <is>
          <t>jeminise.com+personalized-baseball-bedding-full-size-flag-custom-name-d-design-25</t>
        </is>
      </c>
      <c r="B111" s="3" t="inlineStr">
        <is>
          <t>E1</t>
        </is>
      </c>
      <c r="C111" s="3" t="n">
        <v>5</v>
      </c>
      <c r="D111" s="3" t="inlineStr">
        <is>
          <t>PARTIAL</t>
        </is>
      </c>
      <c r="E111" s="7">
        <f>IF(B111="I1",AVERAGEIF('QA_Images'!$A$2:$A$47,A111,'QA_Images'!$T$2:$T$47)/100,IF(D111="FULL",1,IF(D111="PARTIAL",0.5,IF(D111="FAIL",0,""))))</f>
        <v/>
      </c>
      <c r="F111" s="7">
        <f>IF(E111="",0,C111*E111)</f>
        <v/>
      </c>
      <c r="G111" s="7">
        <f>IF(B111="I1",20*AVERAGEIF('QA_Images'!$A$2:$A$47,A111,'QA_Images'!$U$2:$U$47)/100,IF(D111="NOT_CHECKED",0,C111))</f>
        <v/>
      </c>
      <c r="H111" s="3" t="inlineStr">
        <is>
          <t>Evidence chain is traceable and limitations are explicitly separated from failures. Evidence chain is traceable, with admin-export limitation explicitly separated.</t>
        </is>
      </c>
      <c r="I111" s="3" t="inlineStr">
        <is>
          <t>evidence_batch_020_200</t>
        </is>
      </c>
      <c r="J111" s="3" t="inlineStr">
        <is>
          <t>ISSUE-0068; ISSUE-0069; ISSUE-0070; ISSUE-0071</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47"/>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4"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jeminise.com+personalized-baseball-bedding-full-size-flag-custom-name-d-design-16</t>
        </is>
      </c>
      <c r="B2" s="2" t="inlineStr">
        <is>
          <t>img_7537d7ec01f9a7c6</t>
        </is>
      </c>
      <c r="C2" s="4" t="inlineStr">
        <is>
          <t>https://cdn.shopify.com/s/files/1/0792/5098/1063/files/b7ef026f0d99066acd408c028cb84843da12c8ff46b05701b0a855208589add2.jpg?v=1787242318</t>
        </is>
      </c>
      <c r="D2" s="4" t="inlineStr">
        <is>
          <t>https://cdn.shopify.com/s/files/1/0792/5098/1063/files/b7ef026f0d99066acd408c028cb84843da12c8ff46b05701b0a855208589add2.jpg?v=1787242318</t>
        </is>
      </c>
      <c r="E2" s="2" t="inlineStr">
        <is>
          <t>47934361108679</t>
        </is>
      </c>
      <c r="F2" s="2" t="inlineStr">
        <is>
          <t>47934361108679</t>
        </is>
      </c>
      <c r="G2" s="2" t="inlineStr"/>
      <c r="H2" s="2" t="inlineStr">
        <is>
          <t>GALLERY</t>
        </is>
      </c>
      <c r="I2" s="2" t="inlineStr">
        <is>
          <t>DIRECT_IMAGE_DOWNLOAD_AND_SOURCE_ROW_REVIEW</t>
        </is>
      </c>
      <c r="J2" s="2" t="inlineStr">
        <is>
          <t>2026-09-07T21:54:17+07:00</t>
        </is>
      </c>
      <c r="K2" s="2" t="inlineStr">
        <is>
          <t>Direct QA opened downloaded image 191_01; source SHA 4DC2331D2B71C7A33F58014C187FD6CD287EA4AED240A6961C86E4804AD0A31E. Submitted observation reviewed against gallery position.</t>
        </is>
      </c>
      <c r="L2" s="2" t="inlineStr">
        <is>
          <t>Main product mockup showing red black batter baseball bedding with name.</t>
        </is>
      </c>
      <c r="M2" s="2" t="inlineStr">
        <is>
          <t>UNKNOWN</t>
        </is>
      </c>
      <c r="N2" s="2" t="inlineStr">
        <is>
          <t>SET</t>
        </is>
      </c>
      <c r="O2" s="2" t="inlineStr">
        <is>
          <t>Red Black Batter Baseball Bedding with Custom Name displayed in a main product mockup</t>
        </is>
      </c>
      <c r="P2" s="2" t="inlineStr">
        <is>
          <t>FULL</t>
        </is>
      </c>
      <c r="Q2" s="2" t="inlineStr">
        <is>
          <t>FULL</t>
        </is>
      </c>
      <c r="R2" s="2" t="inlineStr">
        <is>
          <t>PARTIAL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ISSUE-0005</t>
        </is>
      </c>
      <c r="Z2" s="2" t="inlineStr">
        <is>
          <t>D:\Shopify_Workspace\jeminise_seo\seo_runs\jeminise.com\20260906_234129\qa\20260907_214100\images\191_01.jpg; seo_runs\jeminise.com\20260906_234129\evidence\images\191_personalized-baseball-bedding-full-size-flag-custom-name-d-design-16\image_01_47934361108679.jpg; seo_runs\jeminise.com\20260906_234129\evidence\contact_sheets\191_personalized-baseball-bedding-full-size-flag-custom-name-d-design-16.jpg</t>
        </is>
      </c>
    </row>
    <row r="3" ht="66" customHeight="1">
      <c r="A3" s="3" t="inlineStr">
        <is>
          <t>jeminise.com+personalized-baseball-bedding-full-size-flag-custom-name-d-design-16</t>
        </is>
      </c>
      <c r="B3" s="3" t="inlineStr">
        <is>
          <t>img_98e74d71bb62f402</t>
        </is>
      </c>
      <c r="C3" s="4" t="inlineStr">
        <is>
          <t>https://cdn.shopify.com/s/files/1/0792/5098/1063/files/2d2a7f325d1d02e3e6319bb5379f095108ac1d6191ff31a5375ac5a3a5d295ca.jpg?v=1787242318</t>
        </is>
      </c>
      <c r="D3" s="4" t="inlineStr">
        <is>
          <t>https://cdn.shopify.com/s/files/1/0792/5098/1063/files/2d2a7f325d1d02e3e6319bb5379f095108ac1d6191ff31a5375ac5a3a5d295ca.jpg?v=1787242318</t>
        </is>
      </c>
      <c r="E3" s="3" t="inlineStr">
        <is>
          <t>47934361141447</t>
        </is>
      </c>
      <c r="F3" s="3" t="inlineStr">
        <is>
          <t>47934361141447</t>
        </is>
      </c>
      <c r="G3" s="3" t="inlineStr"/>
      <c r="H3" s="3" t="inlineStr">
        <is>
          <t>GALLERY</t>
        </is>
      </c>
      <c r="I3" s="3" t="inlineStr">
        <is>
          <t>DIRECT_IMAGE_DOWNLOAD_AND_SOURCE_ROW_REVIEW</t>
        </is>
      </c>
      <c r="J3" s="3" t="inlineStr">
        <is>
          <t>2026-09-07T21:54:17+07:00</t>
        </is>
      </c>
      <c r="K3" s="3" t="inlineStr">
        <is>
          <t>Direct QA opened downloaded image 191_02; source SHA C9D389CB63AE4BE3FD6D17F7F83CD8B74B96D57CA4D19316906DF71ED0D52C2B. Submitted observation reviewed against gallery position.</t>
        </is>
      </c>
      <c r="L3" s="3" t="inlineStr">
        <is>
          <t>Secondary flat, close-up or bedroom mockup showing red black batter baseball bedding with name.</t>
        </is>
      </c>
      <c r="M3" s="3" t="inlineStr">
        <is>
          <t>UNKNOWN</t>
        </is>
      </c>
      <c r="N3" s="3" t="inlineStr">
        <is>
          <t>SET</t>
        </is>
      </c>
      <c r="O3" s="3" t="inlineStr">
        <is>
          <t>Secondary bedroom mockup for Red Black Batter Baseball Bedding with Custom Name</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c r="Z3" s="3" t="inlineStr">
        <is>
          <t>D:\Shopify_Workspace\jeminise_seo\seo_runs\jeminise.com\20260906_234129\qa\20260907_214100\images\191_02.jpg; seo_runs\jeminise.com\20260906_234129\evidence\images\191_personalized-baseball-bedding-full-size-flag-custom-name-d-design-16\image_02_47934361141447.jpg; seo_runs\jeminise.com\20260906_234129\evidence\contact_sheets\191_personalized-baseball-bedding-full-size-flag-custom-name-d-design-16.jpg</t>
        </is>
      </c>
    </row>
    <row r="4" ht="66" customHeight="1">
      <c r="A4" s="2" t="inlineStr">
        <is>
          <t>jeminise.com+personalized-baseball-bedding-full-size-flag-custom-name-d-design-16</t>
        </is>
      </c>
      <c r="B4" s="2" t="inlineStr">
        <is>
          <t>img_448ac32a891c809a</t>
        </is>
      </c>
      <c r="C4" s="4" t="inlineStr">
        <is>
          <t>https://cdn.shopify.com/s/files/1/0792/5098/1063/files/b7df4d39110ebe632a9cab12c2c96b1f0063f65d62c75ae4e8274fb836e67a44.jpg?v=1787242318</t>
        </is>
      </c>
      <c r="D4" s="4" t="inlineStr">
        <is>
          <t>https://cdn.shopify.com/s/files/1/0792/5098/1063/files/b7df4d39110ebe632a9cab12c2c96b1f0063f65d62c75ae4e8274fb836e67a44.jpg?v=1787242318</t>
        </is>
      </c>
      <c r="E4" s="2" t="inlineStr">
        <is>
          <t>47934361174215</t>
        </is>
      </c>
      <c r="F4" s="2" t="inlineStr">
        <is>
          <t>47934361174215</t>
        </is>
      </c>
      <c r="G4" s="2" t="inlineStr"/>
      <c r="H4" s="2" t="inlineStr">
        <is>
          <t>GALLERY</t>
        </is>
      </c>
      <c r="I4" s="2" t="inlineStr">
        <is>
          <t>DIRECT_IMAGE_DOWNLOAD_AND_SOURCE_ROW_REVIEW</t>
        </is>
      </c>
      <c r="J4" s="2" t="inlineStr">
        <is>
          <t>2026-09-07T21:54:17+07:00</t>
        </is>
      </c>
      <c r="K4" s="2" t="inlineStr">
        <is>
          <t>Direct QA opened downloaded image 191_03; source SHA 8259806D0C370751FF27850B9A2D2E7E8B92C19AC546A4A1EA1CCAC1EBF8A28E. Submitted observation reviewed against gallery position.</t>
        </is>
      </c>
      <c r="L4" s="2" t="inlineStr">
        <is>
          <t>Bedding type, feature, lifestyle or material image for red black batter baseball bedding with name.</t>
        </is>
      </c>
      <c r="M4" s="2" t="inlineStr">
        <is>
          <t>UNKNOWN</t>
        </is>
      </c>
      <c r="N4" s="2" t="inlineStr">
        <is>
          <t>SET</t>
        </is>
      </c>
      <c r="O4" s="2" t="inlineStr">
        <is>
          <t>Close-up or feature image for Red Black Batter Baseball Bedding with Custom Name</t>
        </is>
      </c>
      <c r="P4" s="2" t="inlineStr">
        <is>
          <t>FULL</t>
        </is>
      </c>
      <c r="Q4" s="2" t="inlineStr">
        <is>
          <t>PARTIAL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ISSUE-0006</t>
        </is>
      </c>
      <c r="Z4" s="2" t="inlineStr">
        <is>
          <t>D:\Shopify_Workspace\jeminise_seo\seo_runs\jeminise.com\20260906_234129\qa\20260907_214100\images\191_03.jpg; seo_runs\jeminise.com\20260906_234129\evidence\images\191_personalized-baseball-bedding-full-size-flag-custom-name-d-design-16\image_03_47934361174215.jpg; seo_runs\jeminise.com\20260906_234129\evidence\contact_sheets\191_personalized-baseball-bedding-full-size-flag-custom-name-d-design-16.jpg</t>
        </is>
      </c>
    </row>
    <row r="5" ht="66" customHeight="1">
      <c r="A5" s="3" t="inlineStr">
        <is>
          <t>jeminise.com+personalized-baseball-bedding-full-size-flag-custom-name-d-design-16</t>
        </is>
      </c>
      <c r="B5" s="3" t="inlineStr">
        <is>
          <t>img_2f7711025e5f93d9</t>
        </is>
      </c>
      <c r="C5" s="4" t="inlineStr">
        <is>
          <t>https://cdn.shopify.com/s/files/1/0792/5098/1063/files/f5f2251321b07bb3a54cb7a861f0b78a4c65d8d97a44a610e28b99f0a9e71d0a.jpg?v=1787242318</t>
        </is>
      </c>
      <c r="D5" s="4" t="inlineStr">
        <is>
          <t>https://cdn.shopify.com/s/files/1/0792/5098/1063/files/f5f2251321b07bb3a54cb7a861f0b78a4c65d8d97a44a610e28b99f0a9e71d0a.jpg?v=1787242318</t>
        </is>
      </c>
      <c r="E5" s="3" t="inlineStr">
        <is>
          <t>47934361206983</t>
        </is>
      </c>
      <c r="F5" s="3" t="inlineStr">
        <is>
          <t>47934361206983</t>
        </is>
      </c>
      <c r="G5" s="3" t="inlineStr"/>
      <c r="H5" s="3" t="inlineStr">
        <is>
          <t>GALLERY</t>
        </is>
      </c>
      <c r="I5" s="3" t="inlineStr">
        <is>
          <t>DIRECT_IMAGE_DOWNLOAD_AND_SOURCE_ROW_REVIEW</t>
        </is>
      </c>
      <c r="J5" s="3" t="inlineStr">
        <is>
          <t>2026-09-07T21:54:17+07:00</t>
        </is>
      </c>
      <c r="K5" s="3" t="inlineStr">
        <is>
          <t>Direct QA opened downloaded image 191_04; source SHA 831A1DF48BFB61D16007D572C96EB3802B9928D9403FB09C9CD50C4FA8067CE4. Submitted observation reviewed against gallery position.</t>
        </is>
      </c>
      <c r="L5" s="3" t="inlineStr">
        <is>
          <t>Detail, feature panel or lifestyle image connected to red black batter baseball bedding with name.</t>
        </is>
      </c>
      <c r="M5" s="3" t="inlineStr">
        <is>
          <t>UNKNOWN</t>
        </is>
      </c>
      <c r="N5" s="3" t="inlineStr">
        <is>
          <t>SET</t>
        </is>
      </c>
      <c r="O5" s="3" t="inlineStr">
        <is>
          <t>Fabric or product feature image for Red Black Batter Baseball Bedding with Custom Name</t>
        </is>
      </c>
      <c r="P5" s="3" t="inlineStr">
        <is>
          <t>FULL</t>
        </is>
      </c>
      <c r="Q5" s="3" t="inlineStr">
        <is>
          <t>PARTIAL</t>
        </is>
      </c>
      <c r="R5" s="3" t="inlineStr">
        <is>
          <t>FULL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ISSUE-0007</t>
        </is>
      </c>
      <c r="Z5" s="3" t="inlineStr">
        <is>
          <t>D:\Shopify_Workspace\jeminise_seo\seo_runs\jeminise.com\20260906_234129\qa\20260907_214100\images\191_04.jpg; seo_runs\jeminise.com\20260906_234129\evidence\images\191_personalized-baseball-bedding-full-size-flag-custom-name-d-design-16\image_04_47934361206983.jpg; seo_runs\jeminise.com\20260906_234129\evidence\contact_sheets\191_personalized-baseball-bedding-full-size-flag-custom-name-d-design-16.jpg</t>
        </is>
      </c>
    </row>
    <row r="6" ht="66" customHeight="1">
      <c r="A6" s="2" t="inlineStr">
        <is>
          <t>jeminise.com+personalized-baseball-bedding-full-size-flag-custom-name-d-design-16</t>
        </is>
      </c>
      <c r="B6" s="2" t="inlineStr">
        <is>
          <t>img_697d70423f9cbb59</t>
        </is>
      </c>
      <c r="C6" s="4" t="inlineStr">
        <is>
          <t>https://cdn.shopify.com/s/files/1/0792/5098/1063/files/72378391af9d35f7aa20f6f03e15bf6592cadc8f2765c9a34c6defe16417efbb.jpg?v=1787242318</t>
        </is>
      </c>
      <c r="D6" s="4" t="inlineStr">
        <is>
          <t>https://cdn.shopify.com/s/files/1/0792/5098/1063/files/72378391af9d35f7aa20f6f03e15bf6592cadc8f2765c9a34c6defe16417efbb.jpg?v=1787242318</t>
        </is>
      </c>
      <c r="E6" s="2" t="inlineStr">
        <is>
          <t>47934361239751</t>
        </is>
      </c>
      <c r="F6" s="2" t="inlineStr">
        <is>
          <t>47934361239751</t>
        </is>
      </c>
      <c r="G6" s="2" t="inlineStr"/>
      <c r="H6" s="2" t="inlineStr">
        <is>
          <t>GALLERY</t>
        </is>
      </c>
      <c r="I6" s="2" t="inlineStr">
        <is>
          <t>DIRECT_IMAGE_DOWNLOAD_AND_SOURCE_ROW_REVIEW</t>
        </is>
      </c>
      <c r="J6" s="2" t="inlineStr">
        <is>
          <t>2026-09-07T21:54:17+07:00</t>
        </is>
      </c>
      <c r="K6" s="2" t="inlineStr">
        <is>
          <t>Direct QA opened downloaded image 191_05; source SHA 6C0A88D4058B4CEC1787B403DA55227A0CB55B2550DA3F8D696BA3021B07AB1A. Submitted observation reviewed against gallery position.</t>
        </is>
      </c>
      <c r="L6" s="2" t="inlineStr">
        <is>
          <t>Additional mockup, care or size information for red black batter baseball bedding with name.</t>
        </is>
      </c>
      <c r="M6" s="2" t="inlineStr">
        <is>
          <t>UNKNOWN</t>
        </is>
      </c>
      <c r="N6" s="2" t="inlineStr">
        <is>
          <t>SET</t>
        </is>
      </c>
      <c r="O6" s="2" t="inlineStr">
        <is>
          <t>Easy care feature image for Red Black Batter Baseball Bedding with Custom Name</t>
        </is>
      </c>
      <c r="P6" s="2" t="inlineStr">
        <is>
          <t>FULL</t>
        </is>
      </c>
      <c r="Q6" s="2" t="inlineStr">
        <is>
          <t>FULL</t>
        </is>
      </c>
      <c r="R6" s="2" t="inlineStr">
        <is>
          <t>FULL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c r="Z6" s="2" t="inlineStr">
        <is>
          <t>D:\Shopify_Workspace\jeminise_seo\seo_runs\jeminise.com\20260906_234129\qa\20260907_214100\images\191_05.jpg; seo_runs\jeminise.com\20260906_234129\evidence\images\191_personalized-baseball-bedding-full-size-flag-custom-name-d-design-16\image_05_47934361239751.jpg; seo_runs\jeminise.com\20260906_234129\evidence\contact_sheets\191_personalized-baseball-bedding-full-size-flag-custom-name-d-design-16.jpg</t>
        </is>
      </c>
    </row>
    <row r="7" ht="66" customHeight="1">
      <c r="A7" s="3" t="inlineStr">
        <is>
          <t>jeminise.com+personalized-baseball-bedding-full-size-flag-custom-name-d-design-16</t>
        </is>
      </c>
      <c r="B7" s="3" t="inlineStr">
        <is>
          <t>img_eb977e3a286388cd</t>
        </is>
      </c>
      <c r="C7" s="4" t="inlineStr">
        <is>
          <t>https://cdn.shopify.com/s/files/1/0792/5098/1063/files/8d6016ed703ae64ac8c6b105fe88b204201d6a031b4775048d0ebfbfbe47ad42.jpg?v=1787242318</t>
        </is>
      </c>
      <c r="D7" s="4" t="inlineStr">
        <is>
          <t>https://cdn.shopify.com/s/files/1/0792/5098/1063/files/8d6016ed703ae64ac8c6b105fe88b204201d6a031b4775048d0ebfbfbe47ad42.jpg?v=1787242318</t>
        </is>
      </c>
      <c r="E7" s="3" t="inlineStr">
        <is>
          <t>47934361272519</t>
        </is>
      </c>
      <c r="F7" s="3" t="inlineStr">
        <is>
          <t>47934361272519</t>
        </is>
      </c>
      <c r="G7" s="3" t="inlineStr"/>
      <c r="H7" s="3" t="inlineStr">
        <is>
          <t>GALLERY</t>
        </is>
      </c>
      <c r="I7" s="3" t="inlineStr">
        <is>
          <t>DIRECT_IMAGE_DOWNLOAD_AND_SOURCE_ROW_REVIEW</t>
        </is>
      </c>
      <c r="J7" s="3" t="inlineStr">
        <is>
          <t>2026-09-07T21:54:17+07:00</t>
        </is>
      </c>
      <c r="K7" s="3" t="inlineStr">
        <is>
          <t>Direct QA opened downloaded image 191_06; source SHA 46FEAB7524A75E2365ED85DE420989E7D4E7EBABB12FD3012F0324C6CA9536CC. Submitted observation reviewed against gallery position.</t>
        </is>
      </c>
      <c r="L7" s="3" t="inlineStr">
        <is>
          <t>Easy-care, size guide or product feature image for red black batter baseball bedding with name.</t>
        </is>
      </c>
      <c r="M7" s="3" t="inlineStr">
        <is>
          <t>UNKNOWN</t>
        </is>
      </c>
      <c r="N7" s="3" t="inlineStr">
        <is>
          <t>SET</t>
        </is>
      </c>
      <c r="O7" s="3" t="inlineStr">
        <is>
          <t>Bedding type comparison image for Red Black Batter Baseball Bedding with Custom Name</t>
        </is>
      </c>
      <c r="P7" s="3" t="inlineStr">
        <is>
          <t>FULL</t>
        </is>
      </c>
      <c r="Q7" s="3" t="inlineStr">
        <is>
          <t>PARTIAL</t>
        </is>
      </c>
      <c r="R7" s="3" t="inlineStr">
        <is>
          <t>FULL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ISSUE-0008</t>
        </is>
      </c>
      <c r="Z7" s="3" t="inlineStr">
        <is>
          <t>D:\Shopify_Workspace\jeminise_seo\seo_runs\jeminise.com\20260906_234129\qa\20260907_214100\images\191_06.jpg; seo_runs\jeminise.com\20260906_234129\evidence\images\191_personalized-baseball-bedding-full-size-flag-custom-name-d-design-16\image_06_47934361272519.jpg; seo_runs\jeminise.com\20260906_234129\evidence\contact_sheets\191_personalized-baseball-bedding-full-size-flag-custom-name-d-design-16.jpg</t>
        </is>
      </c>
    </row>
    <row r="8" ht="66" customHeight="1">
      <c r="A8" s="2" t="inlineStr">
        <is>
          <t>jeminise.com+personalized-baseball-bedding-full-size-flag-custom-name-d-design-16</t>
        </is>
      </c>
      <c r="B8" s="2" t="inlineStr">
        <is>
          <t>img_06cbf5be9888704f</t>
        </is>
      </c>
      <c r="C8" s="4" t="inlineStr">
        <is>
          <t>https://cdn.shopify.com/s/files/1/0792/5098/1063/files/4621e545554822a7d57b5d5b2539a57c80b689d660c0ca9c882a4b2e35f29cb9.jpg?v=1787242318</t>
        </is>
      </c>
      <c r="D8" s="4" t="inlineStr">
        <is>
          <t>https://cdn.shopify.com/s/files/1/0792/5098/1063/files/4621e545554822a7d57b5d5b2539a57c80b689d660c0ca9c882a4b2e35f29cb9.jpg?v=1787242318</t>
        </is>
      </c>
      <c r="E8" s="2" t="inlineStr">
        <is>
          <t>47934361305287</t>
        </is>
      </c>
      <c r="F8" s="2" t="inlineStr">
        <is>
          <t>47934361305287</t>
        </is>
      </c>
      <c r="G8" s="2" t="inlineStr"/>
      <c r="H8" s="2" t="inlineStr">
        <is>
          <t>GALLERY</t>
        </is>
      </c>
      <c r="I8" s="2" t="inlineStr">
        <is>
          <t>DIRECT_IMAGE_DOWNLOAD_AND_SOURCE_ROW_REVIEW</t>
        </is>
      </c>
      <c r="J8" s="2" t="inlineStr">
        <is>
          <t>2026-09-07T21:54:17+07:00</t>
        </is>
      </c>
      <c r="K8" s="2" t="inlineStr">
        <is>
          <t>Direct QA opened downloaded image 191_07; source SHA D6EC9DDADFAF6C7637512C2B381DFE92D861FD4B0F9069A4A333A3CC1A92EBE8. Submitted observation reviewed against gallery position.</t>
        </is>
      </c>
      <c r="L8" s="2" t="inlineStr">
        <is>
          <t>Additional lifestyle, feature or product detail image showing red black batter baseball bedding with name.</t>
        </is>
      </c>
      <c r="M8" s="2" t="inlineStr">
        <is>
          <t>UNKNOWN</t>
        </is>
      </c>
      <c r="N8" s="2" t="inlineStr">
        <is>
          <t>SET</t>
        </is>
      </c>
      <c r="O8" s="2" t="inlineStr">
        <is>
          <t>Size dimension image for Red Black Batter Baseball Bedding with Custom Name</t>
        </is>
      </c>
      <c r="P8" s="2" t="inlineStr">
        <is>
          <t>FULL</t>
        </is>
      </c>
      <c r="Q8" s="2" t="inlineStr">
        <is>
          <t>PARTIAL</t>
        </is>
      </c>
      <c r="R8" s="2" t="inlineStr">
        <is>
          <t>FULL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ISSUE-0009</t>
        </is>
      </c>
      <c r="Z8" s="2" t="inlineStr">
        <is>
          <t>D:\Shopify_Workspace\jeminise_seo\seo_runs\jeminise.com\20260906_234129\qa\20260907_214100\images\191_07.jpg; seo_runs\jeminise.com\20260906_234129\evidence\images\191_personalized-baseball-bedding-full-size-flag-custom-name-d-design-16\image_07_47934361305287.jpg; seo_runs\jeminise.com\20260906_234129\evidence\contact_sheets\191_personalized-baseball-bedding-full-size-flag-custom-name-d-design-16.jpg</t>
        </is>
      </c>
    </row>
    <row r="9" ht="66" customHeight="1">
      <c r="A9" s="3" t="inlineStr">
        <is>
          <t>jeminise.com+personalized-baseball-bedding-full-size-flag-custom-name-d-design-17</t>
        </is>
      </c>
      <c r="B9" s="3" t="inlineStr">
        <is>
          <t>img_97d31b0c9d6a1a1c</t>
        </is>
      </c>
      <c r="C9" s="4" t="inlineStr">
        <is>
          <t>https://cdn.shopify.com/s/files/1/0792/5098/1063/files/aa4923e9f29482ae80e50264a632d44e57fc52a4216de9db06a1575bd5c655c8.jpg?v=1787242324</t>
        </is>
      </c>
      <c r="D9" s="4" t="inlineStr">
        <is>
          <t>https://cdn.shopify.com/s/files/1/0792/5098/1063/files/aa4923e9f29482ae80e50264a632d44e57fc52a4216de9db06a1575bd5c655c8.jpg?v=1787242324</t>
        </is>
      </c>
      <c r="E9" s="3" t="inlineStr">
        <is>
          <t>47934361895111</t>
        </is>
      </c>
      <c r="F9" s="3" t="inlineStr">
        <is>
          <t>47934361895111</t>
        </is>
      </c>
      <c r="G9" s="3" t="inlineStr"/>
      <c r="H9" s="3" t="inlineStr">
        <is>
          <t>GALLERY</t>
        </is>
      </c>
      <c r="I9" s="3" t="inlineStr">
        <is>
          <t>DIRECT_IMAGE_DOWNLOAD_AND_SOURCE_ROW_REVIEW</t>
        </is>
      </c>
      <c r="J9" s="3" t="inlineStr">
        <is>
          <t>2026-09-07T21:54:17+07:00</t>
        </is>
      </c>
      <c r="K9" s="3" t="inlineStr">
        <is>
          <t>Direct QA opened downloaded image 192_01; source SHA 7FB817F9E40B680AF026D8227F57D6094081142F354228C0F169CB2E29B4CCD3. Submitted observation reviewed against gallery position.</t>
        </is>
      </c>
      <c r="L9" s="3" t="inlineStr">
        <is>
          <t>Main product mockup showing brown baseball glove close-up bedding with script name.</t>
        </is>
      </c>
      <c r="M9" s="3" t="inlineStr">
        <is>
          <t>UNKNOWN</t>
        </is>
      </c>
      <c r="N9" s="3" t="inlineStr">
        <is>
          <t>SET</t>
        </is>
      </c>
      <c r="O9" s="3" t="inlineStr">
        <is>
          <t>Brown Baseball Glove Bedding with Script Name displayed in a main product mockup</t>
        </is>
      </c>
      <c r="P9" s="3" t="inlineStr">
        <is>
          <t>FULL</t>
        </is>
      </c>
      <c r="Q9" s="3" t="inlineStr">
        <is>
          <t>FULL</t>
        </is>
      </c>
      <c r="R9" s="3" t="inlineStr">
        <is>
          <t>PARTIAL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ISSUE-0014</t>
        </is>
      </c>
      <c r="Z9" s="3" t="inlineStr">
        <is>
          <t>D:\Shopify_Workspace\jeminise_seo\seo_runs\jeminise.com\20260906_234129\qa\20260907_214100\images\192_01.jpg; seo_runs\jeminise.com\20260906_234129\evidence\images\192_personalized-baseball-bedding-full-size-flag-custom-name-d-design-17\image_01_47934361895111.jpg; seo_runs\jeminise.com\20260906_234129\evidence\contact_sheets\192_personalized-baseball-bedding-full-size-flag-custom-name-d-design-17.jpg</t>
        </is>
      </c>
    </row>
    <row r="10" ht="66" customHeight="1">
      <c r="A10" s="2" t="inlineStr">
        <is>
          <t>jeminise.com+personalized-baseball-bedding-full-size-flag-custom-name-d-design-17</t>
        </is>
      </c>
      <c r="B10" s="2" t="inlineStr">
        <is>
          <t>img_1335fff75444be7e</t>
        </is>
      </c>
      <c r="C10" s="4" t="inlineStr">
        <is>
          <t>https://cdn.shopify.com/s/files/1/0792/5098/1063/files/79e6c46362f6b2e469016d2bb2dd547ccd66045d843497516b2a0974eecad0c6.jpg?v=1787242324</t>
        </is>
      </c>
      <c r="D10" s="4" t="inlineStr">
        <is>
          <t>https://cdn.shopify.com/s/files/1/0792/5098/1063/files/79e6c46362f6b2e469016d2bb2dd547ccd66045d843497516b2a0974eecad0c6.jpg?v=1787242324</t>
        </is>
      </c>
      <c r="E10" s="2" t="inlineStr">
        <is>
          <t>47934361927879</t>
        </is>
      </c>
      <c r="F10" s="2" t="inlineStr">
        <is>
          <t>47934361927879</t>
        </is>
      </c>
      <c r="G10" s="2" t="inlineStr"/>
      <c r="H10" s="2" t="inlineStr">
        <is>
          <t>GALLERY</t>
        </is>
      </c>
      <c r="I10" s="2" t="inlineStr">
        <is>
          <t>DIRECT_IMAGE_DOWNLOAD_AND_SOURCE_ROW_REVIEW</t>
        </is>
      </c>
      <c r="J10" s="2" t="inlineStr">
        <is>
          <t>2026-09-07T21:54:17+07:00</t>
        </is>
      </c>
      <c r="K10" s="2" t="inlineStr">
        <is>
          <t>Direct QA opened downloaded image 192_02; source SHA FB0543AB974E5AEEC287CCC363FC038B2DA2F192A062BB4E750E24494CAE83DF. Submitted observation reviewed against gallery position.</t>
        </is>
      </c>
      <c r="L10" s="2" t="inlineStr">
        <is>
          <t>Secondary flat, close-up or bedroom mockup showing brown baseball glove close-up bedding with script name.</t>
        </is>
      </c>
      <c r="M10" s="2" t="inlineStr">
        <is>
          <t>UNKNOWN</t>
        </is>
      </c>
      <c r="N10" s="2" t="inlineStr">
        <is>
          <t>SET</t>
        </is>
      </c>
      <c r="O10" s="2" t="inlineStr">
        <is>
          <t>Secondary bedroom mockup for Brown Baseball Glove Bedding with Script Name</t>
        </is>
      </c>
      <c r="P10" s="2" t="inlineStr">
        <is>
          <t>FULL</t>
        </is>
      </c>
      <c r="Q10" s="2" t="inlineStr">
        <is>
          <t>FULL</t>
        </is>
      </c>
      <c r="R10" s="2" t="inlineStr">
        <is>
          <t>FULL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c r="Z10" s="2" t="inlineStr">
        <is>
          <t>D:\Shopify_Workspace\jeminise_seo\seo_runs\jeminise.com\20260906_234129\qa\20260907_214100\images\192_02.jpg; seo_runs\jeminise.com\20260906_234129\evidence\images\192_personalized-baseball-bedding-full-size-flag-custom-name-d-design-17\image_02_47934361927879.jpg; seo_runs\jeminise.com\20260906_234129\evidence\contact_sheets\192_personalized-baseball-bedding-full-size-flag-custom-name-d-design-17.jpg</t>
        </is>
      </c>
    </row>
    <row r="11" ht="66" customHeight="1">
      <c r="A11" s="3" t="inlineStr">
        <is>
          <t>jeminise.com+personalized-baseball-bedding-full-size-flag-custom-name-d-design-17</t>
        </is>
      </c>
      <c r="B11" s="3" t="inlineStr">
        <is>
          <t>img_abe61f3283666ae8</t>
        </is>
      </c>
      <c r="C11" s="4" t="inlineStr">
        <is>
          <t>https://cdn.shopify.com/s/files/1/0792/5098/1063/files/dd38943d38d35a36c268004706d6c6d16244636812f0a2c4fa90136ea7a93f17.jpg?v=1787242324</t>
        </is>
      </c>
      <c r="D11" s="4" t="inlineStr">
        <is>
          <t>https://cdn.shopify.com/s/files/1/0792/5098/1063/files/dd38943d38d35a36c268004706d6c6d16244636812f0a2c4fa90136ea7a93f17.jpg?v=1787242324</t>
        </is>
      </c>
      <c r="E11" s="3" t="inlineStr">
        <is>
          <t>47934361960647</t>
        </is>
      </c>
      <c r="F11" s="3" t="inlineStr">
        <is>
          <t>47934361960647</t>
        </is>
      </c>
      <c r="G11" s="3" t="inlineStr"/>
      <c r="H11" s="3" t="inlineStr">
        <is>
          <t>GALLERY</t>
        </is>
      </c>
      <c r="I11" s="3" t="inlineStr">
        <is>
          <t>DIRECT_IMAGE_DOWNLOAD_AND_SOURCE_ROW_REVIEW</t>
        </is>
      </c>
      <c r="J11" s="3" t="inlineStr">
        <is>
          <t>2026-09-07T21:54:17+07:00</t>
        </is>
      </c>
      <c r="K11" s="3" t="inlineStr">
        <is>
          <t>Direct QA opened downloaded image 192_03; source SHA F0F2A496D4F64B7437EFA8CA73FAEB7C3ED0796CAE5D75C9E4D6737BEDE76B12. Submitted observation reviewed against gallery position.</t>
        </is>
      </c>
      <c r="L11" s="3" t="inlineStr">
        <is>
          <t>Bedding type, feature, lifestyle or material image for brown baseball glove close-up bedding with script name.</t>
        </is>
      </c>
      <c r="M11" s="3" t="inlineStr">
        <is>
          <t>UNKNOWN</t>
        </is>
      </c>
      <c r="N11" s="3" t="inlineStr">
        <is>
          <t>SET</t>
        </is>
      </c>
      <c r="O11" s="3" t="inlineStr">
        <is>
          <t>Close-up or feature image for Brown Baseball Glove Bedding with Script Name</t>
        </is>
      </c>
      <c r="P11" s="3" t="inlineStr">
        <is>
          <t>FULL</t>
        </is>
      </c>
      <c r="Q11" s="3" t="inlineStr">
        <is>
          <t>PARTIAL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ISSUE-0015</t>
        </is>
      </c>
      <c r="Z11" s="3" t="inlineStr">
        <is>
          <t>D:\Shopify_Workspace\jeminise_seo\seo_runs\jeminise.com\20260906_234129\qa\20260907_214100\images\192_03.jpg; seo_runs\jeminise.com\20260906_234129\evidence\images\192_personalized-baseball-bedding-full-size-flag-custom-name-d-design-17\image_03_47934361960647.jpg; seo_runs\jeminise.com\20260906_234129\evidence\contact_sheets\192_personalized-baseball-bedding-full-size-flag-custom-name-d-design-17.jpg</t>
        </is>
      </c>
    </row>
    <row r="12" ht="66" customHeight="1">
      <c r="A12" s="2" t="inlineStr">
        <is>
          <t>jeminise.com+personalized-baseball-bedding-full-size-flag-custom-name-d-design-17</t>
        </is>
      </c>
      <c r="B12" s="2" t="inlineStr">
        <is>
          <t>img_3fb5a3a61c6a42d2</t>
        </is>
      </c>
      <c r="C12" s="4" t="inlineStr">
        <is>
          <t>https://cdn.shopify.com/s/files/1/0792/5098/1063/files/8190fe0d621cb3cce926de911d8b1f7f9cdac3656270eea2fa5180515027c9d1.jpg?v=1787242324</t>
        </is>
      </c>
      <c r="D12" s="4" t="inlineStr">
        <is>
          <t>https://cdn.shopify.com/s/files/1/0792/5098/1063/files/8190fe0d621cb3cce926de911d8b1f7f9cdac3656270eea2fa5180515027c9d1.jpg?v=1787242324</t>
        </is>
      </c>
      <c r="E12" s="2" t="inlineStr">
        <is>
          <t>47934361993415</t>
        </is>
      </c>
      <c r="F12" s="2" t="inlineStr">
        <is>
          <t>47934361993415</t>
        </is>
      </c>
      <c r="G12" s="2" t="inlineStr"/>
      <c r="H12" s="2" t="inlineStr">
        <is>
          <t>GALLERY</t>
        </is>
      </c>
      <c r="I12" s="2" t="inlineStr">
        <is>
          <t>DIRECT_IMAGE_DOWNLOAD_AND_SOURCE_ROW_REVIEW</t>
        </is>
      </c>
      <c r="J12" s="2" t="inlineStr">
        <is>
          <t>2026-09-07T21:54:17+07:00</t>
        </is>
      </c>
      <c r="K12" s="2" t="inlineStr">
        <is>
          <t>Direct QA opened downloaded image 192_04; source SHA BB85C0F078734ABE24E4855ECB5F9EF8B32BED168CAFEC3E68FB8A2C7D43E879. Submitted observation reviewed against gallery position.</t>
        </is>
      </c>
      <c r="L12" s="2" t="inlineStr">
        <is>
          <t>Detail, feature panel or lifestyle image connected to brown baseball glove close-up bedding with script name.</t>
        </is>
      </c>
      <c r="M12" s="2" t="inlineStr">
        <is>
          <t>UNKNOWN</t>
        </is>
      </c>
      <c r="N12" s="2" t="inlineStr">
        <is>
          <t>SET</t>
        </is>
      </c>
      <c r="O12" s="2" t="inlineStr">
        <is>
          <t>Fabric or product feature image for Brown Baseball Glove Bedding with Script Name</t>
        </is>
      </c>
      <c r="P12" s="2" t="inlineStr">
        <is>
          <t>FULL</t>
        </is>
      </c>
      <c r="Q12" s="2" t="inlineStr">
        <is>
          <t>PARTIAL</t>
        </is>
      </c>
      <c r="R12" s="2" t="inlineStr">
        <is>
          <t>FULL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ISSUE-0016</t>
        </is>
      </c>
      <c r="Z12" s="2" t="inlineStr">
        <is>
          <t>D:\Shopify_Workspace\jeminise_seo\seo_runs\jeminise.com\20260906_234129\qa\20260907_214100\images\192_04.jpg; seo_runs\jeminise.com\20260906_234129\evidence\images\192_personalized-baseball-bedding-full-size-flag-custom-name-d-design-17\image_04_47934361993415.jpg; seo_runs\jeminise.com\20260906_234129\evidence\contact_sheets\192_personalized-baseball-bedding-full-size-flag-custom-name-d-design-17.jpg</t>
        </is>
      </c>
    </row>
    <row r="13" ht="66" customHeight="1">
      <c r="A13" s="3" t="inlineStr">
        <is>
          <t>jeminise.com+personalized-baseball-bedding-full-size-flag-custom-name-d-design-17</t>
        </is>
      </c>
      <c r="B13" s="3" t="inlineStr">
        <is>
          <t>img_6013da1207725b35</t>
        </is>
      </c>
      <c r="C13" s="4" t="inlineStr">
        <is>
          <t>https://cdn.shopify.com/s/files/1/0792/5098/1063/files/0e22a9fec09643a714af054217066178d4f7bc4d6266b6d2ff5c33c09cc10e88_190525ca-0400-4213-9955-59cfacceed0b.jpg?v=1787242324</t>
        </is>
      </c>
      <c r="D13" s="4" t="inlineStr">
        <is>
          <t>https://cdn.shopify.com/s/files/1/0792/5098/1063/files/0e22a9fec09643a714af054217066178d4f7bc4d6266b6d2ff5c33c09cc10e88_190525ca-0400-4213-9955-59cfacceed0b.jpg?v=1787242324</t>
        </is>
      </c>
      <c r="E13" s="3" t="inlineStr">
        <is>
          <t>47934362026183</t>
        </is>
      </c>
      <c r="F13" s="3" t="inlineStr">
        <is>
          <t>47934362026183</t>
        </is>
      </c>
      <c r="G13" s="3" t="inlineStr"/>
      <c r="H13" s="3" t="inlineStr">
        <is>
          <t>GALLERY</t>
        </is>
      </c>
      <c r="I13" s="3" t="inlineStr">
        <is>
          <t>DIRECT_IMAGE_DOWNLOAD_AND_SOURCE_ROW_REVIEW</t>
        </is>
      </c>
      <c r="J13" s="3" t="inlineStr">
        <is>
          <t>2026-09-07T21:54:17+07:00</t>
        </is>
      </c>
      <c r="K13" s="3" t="inlineStr">
        <is>
          <t>Direct QA opened downloaded image 192_05; source SHA 97FE172ECE597C505D20BC8216C21D1457C3B1C3CF1F2E505BE028E58DD60B50. Submitted observation reviewed against gallery position.</t>
        </is>
      </c>
      <c r="L13" s="3" t="inlineStr">
        <is>
          <t>Additional mockup, care or size information for brown baseball glove close-up bedding with script name.</t>
        </is>
      </c>
      <c r="M13" s="3" t="inlineStr">
        <is>
          <t>UNKNOWN</t>
        </is>
      </c>
      <c r="N13" s="3" t="inlineStr">
        <is>
          <t>SET</t>
        </is>
      </c>
      <c r="O13" s="3" t="inlineStr">
        <is>
          <t>Easy care feature image for Brown Baseball Glove Bedding with Script Name</t>
        </is>
      </c>
      <c r="P13" s="3" t="inlineStr">
        <is>
          <t>FULL</t>
        </is>
      </c>
      <c r="Q13" s="3" t="inlineStr">
        <is>
          <t>FULL</t>
        </is>
      </c>
      <c r="R13" s="3" t="inlineStr">
        <is>
          <t>FULL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c r="Z13" s="3" t="inlineStr">
        <is>
          <t>D:\Shopify_Workspace\jeminise_seo\seo_runs\jeminise.com\20260906_234129\qa\20260907_214100\images\192_05.jpg; seo_runs\jeminise.com\20260906_234129\evidence\images\192_personalized-baseball-bedding-full-size-flag-custom-name-d-design-17\image_05_47934362026183.jpg; seo_runs\jeminise.com\20260906_234129\evidence\contact_sheets\192_personalized-baseball-bedding-full-size-flag-custom-name-d-design-17.jpg</t>
        </is>
      </c>
    </row>
    <row r="14" ht="66" customHeight="1">
      <c r="A14" s="2" t="inlineStr">
        <is>
          <t>jeminise.com+personalized-baseball-bedding-full-size-flag-custom-name-d-design-17</t>
        </is>
      </c>
      <c r="B14" s="2" t="inlineStr">
        <is>
          <t>img_79c21b4a603fbdba</t>
        </is>
      </c>
      <c r="C14" s="4" t="inlineStr">
        <is>
          <t>https://cdn.shopify.com/s/files/1/0792/5098/1063/files/50f96559dd878ae5bbee14ba7a34337ccd740d21a8ffe86a8a1be819656d26c0_138364e3-3d1c-426f-92a3-317dccefdfb3.jpg?v=1787242324</t>
        </is>
      </c>
      <c r="D14" s="4" t="inlineStr">
        <is>
          <t>https://cdn.shopify.com/s/files/1/0792/5098/1063/files/50f96559dd878ae5bbee14ba7a34337ccd740d21a8ffe86a8a1be819656d26c0_138364e3-3d1c-426f-92a3-317dccefdfb3.jpg?v=1787242324</t>
        </is>
      </c>
      <c r="E14" s="2" t="inlineStr">
        <is>
          <t>47934362058951</t>
        </is>
      </c>
      <c r="F14" s="2" t="inlineStr">
        <is>
          <t>47934362058951</t>
        </is>
      </c>
      <c r="G14" s="2" t="inlineStr"/>
      <c r="H14" s="2" t="inlineStr">
        <is>
          <t>GALLERY</t>
        </is>
      </c>
      <c r="I14" s="2" t="inlineStr">
        <is>
          <t>DIRECT_IMAGE_DOWNLOAD_AND_SOURCE_ROW_REVIEW</t>
        </is>
      </c>
      <c r="J14" s="2" t="inlineStr">
        <is>
          <t>2026-09-07T21:54:17+07:00</t>
        </is>
      </c>
      <c r="K14" s="2" t="inlineStr">
        <is>
          <t>Direct QA opened downloaded image 192_06; source SHA 3CDD024ECC70349F9870D8FFA8D5CC1381E07464BE5CA74090E9D3BC07B9724A. Submitted observation reviewed against gallery position.</t>
        </is>
      </c>
      <c r="L14" s="2" t="inlineStr">
        <is>
          <t>Easy-care, size guide or product feature image for brown baseball glove close-up bedding with script name.</t>
        </is>
      </c>
      <c r="M14" s="2" t="inlineStr">
        <is>
          <t>UNKNOWN</t>
        </is>
      </c>
      <c r="N14" s="2" t="inlineStr">
        <is>
          <t>SET</t>
        </is>
      </c>
      <c r="O14" s="2" t="inlineStr">
        <is>
          <t>Bedding type comparison image for Brown Baseball Glove Bedding with Script Name</t>
        </is>
      </c>
      <c r="P14" s="2" t="inlineStr">
        <is>
          <t>FULL</t>
        </is>
      </c>
      <c r="Q14" s="2" t="inlineStr">
        <is>
          <t>PARTIAL</t>
        </is>
      </c>
      <c r="R14" s="2" t="inlineStr">
        <is>
          <t>FULL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ISSUE-0017</t>
        </is>
      </c>
      <c r="Z14" s="2" t="inlineStr">
        <is>
          <t>D:\Shopify_Workspace\jeminise_seo\seo_runs\jeminise.com\20260906_234129\qa\20260907_214100\images\192_06.jpg; seo_runs\jeminise.com\20260906_234129\evidence\images\192_personalized-baseball-bedding-full-size-flag-custom-name-d-design-17\image_06_47934362058951.jpg; seo_runs\jeminise.com\20260906_234129\evidence\contact_sheets\192_personalized-baseball-bedding-full-size-flag-custom-name-d-design-17.jpg</t>
        </is>
      </c>
    </row>
    <row r="15" ht="66" customHeight="1">
      <c r="A15" s="3" t="inlineStr">
        <is>
          <t>jeminise.com+personalized-baseball-bedding-full-size-flag-custom-name-d-design-17</t>
        </is>
      </c>
      <c r="B15" s="3" t="inlineStr">
        <is>
          <t>img_4dc687fec74e588b</t>
        </is>
      </c>
      <c r="C15" s="4" t="inlineStr">
        <is>
          <t>https://cdn.shopify.com/s/files/1/0792/5098/1063/files/d6b8438a259ef28ba839a68ba108f40464bc9629b0bc2168779fc7776c9cbffa_bc33aecb-4db9-4354-b1fd-308ab7d32cd9.jpg?v=1787242324</t>
        </is>
      </c>
      <c r="D15" s="4" t="inlineStr">
        <is>
          <t>https://cdn.shopify.com/s/files/1/0792/5098/1063/files/d6b8438a259ef28ba839a68ba108f40464bc9629b0bc2168779fc7776c9cbffa_bc33aecb-4db9-4354-b1fd-308ab7d32cd9.jpg?v=1787242324</t>
        </is>
      </c>
      <c r="E15" s="3" t="inlineStr">
        <is>
          <t>47934362091719</t>
        </is>
      </c>
      <c r="F15" s="3" t="inlineStr">
        <is>
          <t>47934362091719</t>
        </is>
      </c>
      <c r="G15" s="3" t="inlineStr"/>
      <c r="H15" s="3" t="inlineStr">
        <is>
          <t>GALLERY</t>
        </is>
      </c>
      <c r="I15" s="3" t="inlineStr">
        <is>
          <t>DIRECT_IMAGE_DOWNLOAD_AND_SOURCE_ROW_REVIEW</t>
        </is>
      </c>
      <c r="J15" s="3" t="inlineStr">
        <is>
          <t>2026-09-07T21:54:17+07:00</t>
        </is>
      </c>
      <c r="K15" s="3" t="inlineStr">
        <is>
          <t>Direct QA opened downloaded image 192_07; source SHA 3876778B067F499131731B77A290C0EA2001AE24544BDED80A49E48C2A92C5FA. Submitted observation reviewed against gallery position.</t>
        </is>
      </c>
      <c r="L15" s="3" t="inlineStr">
        <is>
          <t>Additional lifestyle, feature or product detail image showing brown baseball glove close-up bedding with script name.</t>
        </is>
      </c>
      <c r="M15" s="3" t="inlineStr">
        <is>
          <t>UNKNOWN</t>
        </is>
      </c>
      <c r="N15" s="3" t="inlineStr">
        <is>
          <t>SET</t>
        </is>
      </c>
      <c r="O15" s="3" t="inlineStr">
        <is>
          <t>Size dimension image for Brown Baseball Glove Bedding with Script Name</t>
        </is>
      </c>
      <c r="P15" s="3" t="inlineStr">
        <is>
          <t>FULL</t>
        </is>
      </c>
      <c r="Q15" s="3" t="inlineStr">
        <is>
          <t>PARTIAL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ISSUE-0018</t>
        </is>
      </c>
      <c r="Z15" s="3" t="inlineStr">
        <is>
          <t>D:\Shopify_Workspace\jeminise_seo\seo_runs\jeminise.com\20260906_234129\qa\20260907_214100\images\192_07.jpg; seo_runs\jeminise.com\20260906_234129\evidence\images\192_personalized-baseball-bedding-full-size-flag-custom-name-d-design-17\image_07_47934362091719.jpg; seo_runs\jeminise.com\20260906_234129\evidence\contact_sheets\192_personalized-baseball-bedding-full-size-flag-custom-name-d-design-17.jpg</t>
        </is>
      </c>
    </row>
    <row r="16" ht="66" customHeight="1">
      <c r="A16" s="2" t="inlineStr">
        <is>
          <t>jeminise.com+personalized-baseball-bedding-full-size-flag-custom-name-d-design-18</t>
        </is>
      </c>
      <c r="B16" s="2" t="inlineStr">
        <is>
          <t>img_74f1b22a91715453</t>
        </is>
      </c>
      <c r="C16" s="4" t="inlineStr">
        <is>
          <t>https://cdn.shopify.com/s/files/1/0792/5098/1063/files/0fd40d9335554d99de52ba6149196d8c8282f53db344007b27c3052e0709ff05.jpg?v=1787242319</t>
        </is>
      </c>
      <c r="D16" s="4" t="inlineStr">
        <is>
          <t>https://cdn.shopify.com/s/files/1/0792/5098/1063/files/0fd40d9335554d99de52ba6149196d8c8282f53db344007b27c3052e0709ff05.jpg?v=1787242319</t>
        </is>
      </c>
      <c r="E16" s="2" t="inlineStr">
        <is>
          <t>47934361436359</t>
        </is>
      </c>
      <c r="F16" s="2" t="inlineStr">
        <is>
          <t>47934361436359</t>
        </is>
      </c>
      <c r="G16" s="2" t="inlineStr"/>
      <c r="H16" s="2" t="inlineStr">
        <is>
          <t>GALLERY</t>
        </is>
      </c>
      <c r="I16" s="2" t="inlineStr">
        <is>
          <t>DIRECT_IMAGE_DOWNLOAD_AND_SOURCE_ROW_REVIEW</t>
        </is>
      </c>
      <c r="J16" s="2" t="inlineStr">
        <is>
          <t>2026-09-07T21:54:17+07:00</t>
        </is>
      </c>
      <c r="K16" s="2" t="inlineStr">
        <is>
          <t>Direct QA opened downloaded image 193_01; source SHA AFAE91EEB0B52530B1C8D5603B0F51268B0E94EAFB57B68B89963F9990BE2660. Submitted observation reviewed against gallery position.</t>
        </is>
      </c>
      <c r="L16" s="2" t="inlineStr">
        <is>
          <t>Main product mockup showing flaming baseball batter bedding with vertical name.</t>
        </is>
      </c>
      <c r="M16" s="2" t="inlineStr">
        <is>
          <t>UNKNOWN</t>
        </is>
      </c>
      <c r="N16" s="2" t="inlineStr">
        <is>
          <t>SET</t>
        </is>
      </c>
      <c r="O16" s="2" t="inlineStr">
        <is>
          <t>Flaming Baseball Batter Bedding with Custom Name displayed in a main product mockup</t>
        </is>
      </c>
      <c r="P16" s="2" t="inlineStr">
        <is>
          <t>FULL</t>
        </is>
      </c>
      <c r="Q16" s="2" t="inlineStr">
        <is>
          <t>FULL</t>
        </is>
      </c>
      <c r="R16" s="2" t="inlineStr">
        <is>
          <t>PARTIAL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ISSUE-0023</t>
        </is>
      </c>
      <c r="Z16" s="2" t="inlineStr">
        <is>
          <t>D:\Shopify_Workspace\jeminise_seo\seo_runs\jeminise.com\20260906_234129\qa\20260907_214100\images\193_01.jpg; seo_runs\jeminise.com\20260906_234129\evidence\images\193_personalized-baseball-bedding-full-size-flag-custom-name-d-design-18\image_01_47934361436359.jpg; seo_runs\jeminise.com\20260906_234129\evidence\contact_sheets\193_personalized-baseball-bedding-full-size-flag-custom-name-d-design-18.jpg</t>
        </is>
      </c>
    </row>
    <row r="17" ht="66" customHeight="1">
      <c r="A17" s="3" t="inlineStr">
        <is>
          <t>jeminise.com+personalized-baseball-bedding-full-size-flag-custom-name-d-design-18</t>
        </is>
      </c>
      <c r="B17" s="3" t="inlineStr">
        <is>
          <t>img_21a95536215f817f</t>
        </is>
      </c>
      <c r="C17" s="4" t="inlineStr">
        <is>
          <t>https://cdn.shopify.com/s/files/1/0792/5098/1063/files/d51e3360a3e4b984af63b01c4b53d517484ca3d6cb1beeea158bcf59acab9ed4_59311fff-acce-42d1-bb00-a7b6db166fcd.jpg?v=1787242319</t>
        </is>
      </c>
      <c r="D17" s="4" t="inlineStr">
        <is>
          <t>https://cdn.shopify.com/s/files/1/0792/5098/1063/files/d51e3360a3e4b984af63b01c4b53d517484ca3d6cb1beeea158bcf59acab9ed4_59311fff-acce-42d1-bb00-a7b6db166fcd.jpg?v=1787242319</t>
        </is>
      </c>
      <c r="E17" s="3" t="inlineStr">
        <is>
          <t>47934361469127</t>
        </is>
      </c>
      <c r="F17" s="3" t="inlineStr">
        <is>
          <t>47934361469127</t>
        </is>
      </c>
      <c r="G17" s="3" t="inlineStr"/>
      <c r="H17" s="3" t="inlineStr">
        <is>
          <t>GALLERY</t>
        </is>
      </c>
      <c r="I17" s="3" t="inlineStr">
        <is>
          <t>DIRECT_IMAGE_DOWNLOAD_AND_SOURCE_ROW_REVIEW</t>
        </is>
      </c>
      <c r="J17" s="3" t="inlineStr">
        <is>
          <t>2026-09-07T21:54:17+07:00</t>
        </is>
      </c>
      <c r="K17" s="3" t="inlineStr">
        <is>
          <t>Direct QA opened downloaded image 193_02; source SHA 232246736D0E74D62007D0E6971A2E140EDFD432E8573485134C1F85951D9CC3. Submitted observation reviewed against gallery position.</t>
        </is>
      </c>
      <c r="L17" s="3" t="inlineStr">
        <is>
          <t>Secondary flat, close-up or bedroom mockup showing flaming baseball batter bedding with vertical name.</t>
        </is>
      </c>
      <c r="M17" s="3" t="inlineStr">
        <is>
          <t>UNKNOWN</t>
        </is>
      </c>
      <c r="N17" s="3" t="inlineStr">
        <is>
          <t>SET</t>
        </is>
      </c>
      <c r="O17" s="3" t="inlineStr">
        <is>
          <t>Secondary bedroom mockup for Flaming Baseball Batter Bedding with Custom Name</t>
        </is>
      </c>
      <c r="P17" s="3" t="inlineStr">
        <is>
          <t>FULL</t>
        </is>
      </c>
      <c r="Q17" s="3" t="inlineStr">
        <is>
          <t>FULL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c r="Z17" s="3" t="inlineStr">
        <is>
          <t>D:\Shopify_Workspace\jeminise_seo\seo_runs\jeminise.com\20260906_234129\qa\20260907_214100\images\193_02.jpg; seo_runs\jeminise.com\20260906_234129\evidence\images\193_personalized-baseball-bedding-full-size-flag-custom-name-d-design-18\image_02_47934361469127.jpg; seo_runs\jeminise.com\20260906_234129\evidence\contact_sheets\193_personalized-baseball-bedding-full-size-flag-custom-name-d-design-18.jpg</t>
        </is>
      </c>
    </row>
    <row r="18" ht="66" customHeight="1">
      <c r="A18" s="2" t="inlineStr">
        <is>
          <t>jeminise.com+personalized-baseball-bedding-full-size-flag-custom-name-d-design-18</t>
        </is>
      </c>
      <c r="B18" s="2" t="inlineStr">
        <is>
          <t>img_0f02479a4cd1fa7b</t>
        </is>
      </c>
      <c r="C18" s="4" t="inlineStr">
        <is>
          <t>https://cdn.shopify.com/s/files/1/0792/5098/1063/files/ef81c56fe7d5f4f60045bfbd0778e14ad11ce2a6824c23132d2b864ef763fe85_f77bbc82-6b12-4d2d-8e3f-c92c0936c85f.jpg?v=1787242319</t>
        </is>
      </c>
      <c r="D18" s="4" t="inlineStr">
        <is>
          <t>https://cdn.shopify.com/s/files/1/0792/5098/1063/files/ef81c56fe7d5f4f60045bfbd0778e14ad11ce2a6824c23132d2b864ef763fe85_f77bbc82-6b12-4d2d-8e3f-c92c0936c85f.jpg?v=1787242319</t>
        </is>
      </c>
      <c r="E18" s="2" t="inlineStr">
        <is>
          <t>47934361501895</t>
        </is>
      </c>
      <c r="F18" s="2" t="inlineStr">
        <is>
          <t>47934361501895</t>
        </is>
      </c>
      <c r="G18" s="2" t="inlineStr"/>
      <c r="H18" s="2" t="inlineStr">
        <is>
          <t>GALLERY</t>
        </is>
      </c>
      <c r="I18" s="2" t="inlineStr">
        <is>
          <t>DIRECT_IMAGE_DOWNLOAD_AND_SOURCE_ROW_REVIEW</t>
        </is>
      </c>
      <c r="J18" s="2" t="inlineStr">
        <is>
          <t>2026-09-07T21:54:17+07:00</t>
        </is>
      </c>
      <c r="K18" s="2" t="inlineStr">
        <is>
          <t>Direct QA opened downloaded image 193_03; source SHA 946D5B32E02CA70029866292D0775686EA770A101CD6D8BC2C108F506AB44BBE. Submitted observation reviewed against gallery position.</t>
        </is>
      </c>
      <c r="L18" s="2" t="inlineStr">
        <is>
          <t>Bedding type, feature, lifestyle or material image for flaming baseball batter bedding with vertical name.</t>
        </is>
      </c>
      <c r="M18" s="2" t="inlineStr">
        <is>
          <t>UNKNOWN</t>
        </is>
      </c>
      <c r="N18" s="2" t="inlineStr">
        <is>
          <t>SET</t>
        </is>
      </c>
      <c r="O18" s="2" t="inlineStr">
        <is>
          <t>Close-up or feature image for Flaming Baseball Batter Bedding with Custom Name</t>
        </is>
      </c>
      <c r="P18" s="2" t="inlineStr">
        <is>
          <t>FULL</t>
        </is>
      </c>
      <c r="Q18" s="2" t="inlineStr">
        <is>
          <t>PARTIAL</t>
        </is>
      </c>
      <c r="R18" s="2" t="inlineStr">
        <is>
          <t>FULL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ISSUE-0024</t>
        </is>
      </c>
      <c r="Z18" s="2" t="inlineStr">
        <is>
          <t>D:\Shopify_Workspace\jeminise_seo\seo_runs\jeminise.com\20260906_234129\qa\20260907_214100\images\193_03.jpg; seo_runs\jeminise.com\20260906_234129\evidence\images\193_personalized-baseball-bedding-full-size-flag-custom-name-d-design-18\image_03_47934361501895.jpg; seo_runs\jeminise.com\20260906_234129\evidence\contact_sheets\193_personalized-baseball-bedding-full-size-flag-custom-name-d-design-18.jpg</t>
        </is>
      </c>
    </row>
    <row r="19" ht="66" customHeight="1">
      <c r="A19" s="3" t="inlineStr">
        <is>
          <t>jeminise.com+personalized-baseball-bedding-full-size-flag-custom-name-d-design-18</t>
        </is>
      </c>
      <c r="B19" s="3" t="inlineStr">
        <is>
          <t>img_467c7bfcdb720d16</t>
        </is>
      </c>
      <c r="C19" s="4" t="inlineStr">
        <is>
          <t>https://cdn.shopify.com/s/files/1/0792/5098/1063/files/b495d9b37eafdceff5caf3643256f7b3a83de826d49a14bdc531b13424296018_bbfe5d74-1e7b-45c5-b218-3e4035c49e22.jpg?v=1787242319</t>
        </is>
      </c>
      <c r="D19" s="4" t="inlineStr">
        <is>
          <t>https://cdn.shopify.com/s/files/1/0792/5098/1063/files/b495d9b37eafdceff5caf3643256f7b3a83de826d49a14bdc531b13424296018_bbfe5d74-1e7b-45c5-b218-3e4035c49e22.jpg?v=1787242319</t>
        </is>
      </c>
      <c r="E19" s="3" t="inlineStr">
        <is>
          <t>47934361534663</t>
        </is>
      </c>
      <c r="F19" s="3" t="inlineStr">
        <is>
          <t>47934361534663</t>
        </is>
      </c>
      <c r="G19" s="3" t="inlineStr"/>
      <c r="H19" s="3" t="inlineStr">
        <is>
          <t>GALLERY</t>
        </is>
      </c>
      <c r="I19" s="3" t="inlineStr">
        <is>
          <t>DIRECT_IMAGE_DOWNLOAD_AND_SOURCE_ROW_REVIEW</t>
        </is>
      </c>
      <c r="J19" s="3" t="inlineStr">
        <is>
          <t>2026-09-07T21:54:17+07:00</t>
        </is>
      </c>
      <c r="K19" s="3" t="inlineStr">
        <is>
          <t>Direct QA opened downloaded image 193_04; source SHA 82D08ED974694A5AE83601A42A9EAD30E75BA471FA67537A9B6996296A80AD73. Submitted observation reviewed against gallery position.</t>
        </is>
      </c>
      <c r="L19" s="3" t="inlineStr">
        <is>
          <t>Detail, feature panel or lifestyle image connected to flaming baseball batter bedding with vertical name.</t>
        </is>
      </c>
      <c r="M19" s="3" t="inlineStr">
        <is>
          <t>UNKNOWN</t>
        </is>
      </c>
      <c r="N19" s="3" t="inlineStr">
        <is>
          <t>SET</t>
        </is>
      </c>
      <c r="O19" s="3" t="inlineStr">
        <is>
          <t>Fabric or product feature image for Flaming Baseball Batter Bedding with Custom Name</t>
        </is>
      </c>
      <c r="P19" s="3" t="inlineStr">
        <is>
          <t>FULL</t>
        </is>
      </c>
      <c r="Q19" s="3" t="inlineStr">
        <is>
          <t>PARTIAL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ISSUE-0025</t>
        </is>
      </c>
      <c r="Z19" s="3" t="inlineStr">
        <is>
          <t>D:\Shopify_Workspace\jeminise_seo\seo_runs\jeminise.com\20260906_234129\qa\20260907_214100\images\193_04.jpg; seo_runs\jeminise.com\20260906_234129\evidence\images\193_personalized-baseball-bedding-full-size-flag-custom-name-d-design-18\image_04_47934361534663.jpg; seo_runs\jeminise.com\20260906_234129\evidence\contact_sheets\193_personalized-baseball-bedding-full-size-flag-custom-name-d-design-18.jpg</t>
        </is>
      </c>
    </row>
    <row r="20" ht="66" customHeight="1">
      <c r="A20" s="2" t="inlineStr">
        <is>
          <t>jeminise.com+personalized-baseball-bedding-full-size-flag-custom-name-d-design-19</t>
        </is>
      </c>
      <c r="B20" s="2" t="inlineStr">
        <is>
          <t>img_5b5e123ba03625c4</t>
        </is>
      </c>
      <c r="C20" s="4" t="inlineStr">
        <is>
          <t>https://cdn.shopify.com/s/files/1/0792/5098/1063/files/61c881e384a92769ae7d3f5be9cb5a95fc23436bdd571361509748c60fc5a8bd.jpg?v=1787242323</t>
        </is>
      </c>
      <c r="D20" s="4" t="inlineStr">
        <is>
          <t>https://cdn.shopify.com/s/files/1/0792/5098/1063/files/61c881e384a92769ae7d3f5be9cb5a95fc23436bdd571361509748c60fc5a8bd.jpg?v=1787242323</t>
        </is>
      </c>
      <c r="E20" s="2" t="inlineStr">
        <is>
          <t>47934361665735</t>
        </is>
      </c>
      <c r="F20" s="2" t="inlineStr">
        <is>
          <t>47934361665735</t>
        </is>
      </c>
      <c r="G20" s="2" t="inlineStr"/>
      <c r="H20" s="2" t="inlineStr">
        <is>
          <t>GALLERY</t>
        </is>
      </c>
      <c r="I20" s="2" t="inlineStr">
        <is>
          <t>DIRECT_IMAGE_DOWNLOAD_AND_SOURCE_ROW_REVIEW</t>
        </is>
      </c>
      <c r="J20" s="2" t="inlineStr">
        <is>
          <t>2026-09-07T21:54:17+07:00</t>
        </is>
      </c>
      <c r="K20" s="2" t="inlineStr">
        <is>
          <t>Direct QA opened downloaded image 194_01; source SHA 6AABA77C8CA6C9D98307A7FF6745DF306D67574F2393FD167E801D919A04C9F0. Submitted observation reviewed against gallery position.</t>
        </is>
      </c>
      <c r="L20" s="2" t="inlineStr">
        <is>
          <t>Main product mockup showing orange fire baseball player bedding with name.</t>
        </is>
      </c>
      <c r="M20" s="2" t="inlineStr">
        <is>
          <t>UNKNOWN</t>
        </is>
      </c>
      <c r="N20" s="2" t="inlineStr">
        <is>
          <t>SET</t>
        </is>
      </c>
      <c r="O20" s="2" t="inlineStr">
        <is>
          <t>Orange Fire Baseball Player Bedding with Name displayed in a main product mockup</t>
        </is>
      </c>
      <c r="P20" s="2" t="inlineStr">
        <is>
          <t>FULL</t>
        </is>
      </c>
      <c r="Q20" s="2" t="inlineStr">
        <is>
          <t>FULL</t>
        </is>
      </c>
      <c r="R20" s="2" t="inlineStr">
        <is>
          <t>PARTIAL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ISSUE-0030</t>
        </is>
      </c>
      <c r="Z20" s="2" t="inlineStr">
        <is>
          <t>D:\Shopify_Workspace\jeminise_seo\seo_runs\jeminise.com\20260906_234129\qa\20260907_214100\images\194_01.jpg; seo_runs\jeminise.com\20260906_234129\evidence\images\194_personalized-baseball-bedding-full-size-flag-custom-name-d-design-19\image_01_47934361665735.jpg; seo_runs\jeminise.com\20260906_234129\evidence\contact_sheets\194_personalized-baseball-bedding-full-size-flag-custom-name-d-design-19.jpg</t>
        </is>
      </c>
    </row>
    <row r="21" ht="66" customHeight="1">
      <c r="A21" s="3" t="inlineStr">
        <is>
          <t>jeminise.com+personalized-baseball-bedding-full-size-flag-custom-name-d-design-19</t>
        </is>
      </c>
      <c r="B21" s="3" t="inlineStr">
        <is>
          <t>img_5a1a8ca3bf03af69</t>
        </is>
      </c>
      <c r="C21" s="4" t="inlineStr">
        <is>
          <t>https://cdn.shopify.com/s/files/1/0792/5098/1063/files/d51e3360a3e4b984af63b01c4b53d517484ca3d6cb1beeea158bcf59acab9ed4_1025c681-4c57-4854-9544-806e7177fa97.jpg?v=1787242323</t>
        </is>
      </c>
      <c r="D21" s="4" t="inlineStr">
        <is>
          <t>https://cdn.shopify.com/s/files/1/0792/5098/1063/files/d51e3360a3e4b984af63b01c4b53d517484ca3d6cb1beeea158bcf59acab9ed4_1025c681-4c57-4854-9544-806e7177fa97.jpg?v=1787242323</t>
        </is>
      </c>
      <c r="E21" s="3" t="inlineStr">
        <is>
          <t>47934361698503</t>
        </is>
      </c>
      <c r="F21" s="3" t="inlineStr">
        <is>
          <t>47934361698503</t>
        </is>
      </c>
      <c r="G21" s="3" t="inlineStr"/>
      <c r="H21" s="3" t="inlineStr">
        <is>
          <t>GALLERY</t>
        </is>
      </c>
      <c r="I21" s="3" t="inlineStr">
        <is>
          <t>DIRECT_IMAGE_DOWNLOAD_AND_SOURCE_ROW_REVIEW</t>
        </is>
      </c>
      <c r="J21" s="3" t="inlineStr">
        <is>
          <t>2026-09-07T21:54:17+07:00</t>
        </is>
      </c>
      <c r="K21" s="3" t="inlineStr">
        <is>
          <t>Direct QA opened downloaded image 194_02; source SHA 232246736D0E74D62007D0E6971A2E140EDFD432E8573485134C1F85951D9CC3. Submitted observation reviewed against gallery position.</t>
        </is>
      </c>
      <c r="L21" s="3" t="inlineStr">
        <is>
          <t>Secondary flat, close-up or bedroom mockup showing orange fire baseball player bedding with name.</t>
        </is>
      </c>
      <c r="M21" s="3" t="inlineStr">
        <is>
          <t>UNKNOWN</t>
        </is>
      </c>
      <c r="N21" s="3" t="inlineStr">
        <is>
          <t>SET</t>
        </is>
      </c>
      <c r="O21" s="3" t="inlineStr">
        <is>
          <t>Secondary bedroom mockup for Orange Fire Baseball Player Bedding with Name</t>
        </is>
      </c>
      <c r="P21" s="3" t="inlineStr">
        <is>
          <t>FULL</t>
        </is>
      </c>
      <c r="Q21" s="3" t="inlineStr">
        <is>
          <t>FULL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c r="Z21" s="3" t="inlineStr">
        <is>
          <t>D:\Shopify_Workspace\jeminise_seo\seo_runs\jeminise.com\20260906_234129\qa\20260907_214100\images\194_02.jpg; seo_runs\jeminise.com\20260906_234129\evidence\images\194_personalized-baseball-bedding-full-size-flag-custom-name-d-design-19\image_02_47934361698503.jpg; seo_runs\jeminise.com\20260906_234129\evidence\contact_sheets\194_personalized-baseball-bedding-full-size-flag-custom-name-d-design-19.jpg</t>
        </is>
      </c>
    </row>
    <row r="22" ht="66" customHeight="1">
      <c r="A22" s="2" t="inlineStr">
        <is>
          <t>jeminise.com+personalized-baseball-bedding-full-size-flag-custom-name-d-design-19</t>
        </is>
      </c>
      <c r="B22" s="2" t="inlineStr">
        <is>
          <t>img_014f3227dfdbd35a</t>
        </is>
      </c>
      <c r="C22" s="4" t="inlineStr">
        <is>
          <t>https://cdn.shopify.com/s/files/1/0792/5098/1063/files/ef81c56fe7d5f4f60045bfbd0778e14ad11ce2a6824c23132d2b864ef763fe85_3300ba49-d34d-4474-ad91-ba64390bf805.jpg?v=1787242323</t>
        </is>
      </c>
      <c r="D22" s="4" t="inlineStr">
        <is>
          <t>https://cdn.shopify.com/s/files/1/0792/5098/1063/files/ef81c56fe7d5f4f60045bfbd0778e14ad11ce2a6824c23132d2b864ef763fe85_3300ba49-d34d-4474-ad91-ba64390bf805.jpg?v=1787242323</t>
        </is>
      </c>
      <c r="E22" s="2" t="inlineStr">
        <is>
          <t>47934361731271</t>
        </is>
      </c>
      <c r="F22" s="2" t="inlineStr">
        <is>
          <t>47934361731271</t>
        </is>
      </c>
      <c r="G22" s="2" t="inlineStr"/>
      <c r="H22" s="2" t="inlineStr">
        <is>
          <t>GALLERY</t>
        </is>
      </c>
      <c r="I22" s="2" t="inlineStr">
        <is>
          <t>DIRECT_IMAGE_DOWNLOAD_AND_SOURCE_ROW_REVIEW</t>
        </is>
      </c>
      <c r="J22" s="2" t="inlineStr">
        <is>
          <t>2026-09-07T21:54:17+07:00</t>
        </is>
      </c>
      <c r="K22" s="2" t="inlineStr">
        <is>
          <t>Direct QA opened downloaded image 194_03; source SHA 946D5B32E02CA70029866292D0775686EA770A101CD6D8BC2C108F506AB44BBE. Submitted observation reviewed against gallery position.</t>
        </is>
      </c>
      <c r="L22" s="2" t="inlineStr">
        <is>
          <t>Bedding type, feature, lifestyle or material image for orange fire baseball player bedding with name.</t>
        </is>
      </c>
      <c r="M22" s="2" t="inlineStr">
        <is>
          <t>UNKNOWN</t>
        </is>
      </c>
      <c r="N22" s="2" t="inlineStr">
        <is>
          <t>SET</t>
        </is>
      </c>
      <c r="O22" s="2" t="inlineStr">
        <is>
          <t>Close-up or feature image for Orange Fire Baseball Player Bedding with Name</t>
        </is>
      </c>
      <c r="P22" s="2" t="inlineStr">
        <is>
          <t>FULL</t>
        </is>
      </c>
      <c r="Q22" s="2" t="inlineStr">
        <is>
          <t>PARTIAL</t>
        </is>
      </c>
      <c r="R22" s="2" t="inlineStr">
        <is>
          <t>FULL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ISSUE-0031</t>
        </is>
      </c>
      <c r="Z22" s="2" t="inlineStr">
        <is>
          <t>D:\Shopify_Workspace\jeminise_seo\seo_runs\jeminise.com\20260906_234129\qa\20260907_214100\images\194_03.jpg; seo_runs\jeminise.com\20260906_234129\evidence\images\194_personalized-baseball-bedding-full-size-flag-custom-name-d-design-19\image_03_47934361731271.jpg; seo_runs\jeminise.com\20260906_234129\evidence\contact_sheets\194_personalized-baseball-bedding-full-size-flag-custom-name-d-design-19.jpg</t>
        </is>
      </c>
    </row>
    <row r="23" ht="66" customHeight="1">
      <c r="A23" s="3" t="inlineStr">
        <is>
          <t>jeminise.com+personalized-baseball-bedding-full-size-flag-custom-name-d-design-19</t>
        </is>
      </c>
      <c r="B23" s="3" t="inlineStr">
        <is>
          <t>img_4d01c575f199b440</t>
        </is>
      </c>
      <c r="C23" s="4" t="inlineStr">
        <is>
          <t>https://cdn.shopify.com/s/files/1/0792/5098/1063/files/b495d9b37eafdceff5caf3643256f7b3a83de826d49a14bdc531b13424296018_e2f47848-6b65-4978-a1aa-d21f7f641bc3.jpg?v=1787242323</t>
        </is>
      </c>
      <c r="D23" s="4" t="inlineStr">
        <is>
          <t>https://cdn.shopify.com/s/files/1/0792/5098/1063/files/b495d9b37eafdceff5caf3643256f7b3a83de826d49a14bdc531b13424296018_e2f47848-6b65-4978-a1aa-d21f7f641bc3.jpg?v=1787242323</t>
        </is>
      </c>
      <c r="E23" s="3" t="inlineStr">
        <is>
          <t>47934361764039</t>
        </is>
      </c>
      <c r="F23" s="3" t="inlineStr">
        <is>
          <t>47934361764039</t>
        </is>
      </c>
      <c r="G23" s="3" t="inlineStr"/>
      <c r="H23" s="3" t="inlineStr">
        <is>
          <t>GALLERY</t>
        </is>
      </c>
      <c r="I23" s="3" t="inlineStr">
        <is>
          <t>DIRECT_IMAGE_DOWNLOAD_AND_SOURCE_ROW_REVIEW</t>
        </is>
      </c>
      <c r="J23" s="3" t="inlineStr">
        <is>
          <t>2026-09-07T21:54:17+07:00</t>
        </is>
      </c>
      <c r="K23" s="3" t="inlineStr">
        <is>
          <t>Direct QA opened downloaded image 194_04; source SHA 82D08ED974694A5AE83601A42A9EAD30E75BA471FA67537A9B6996296A80AD73. Submitted observation reviewed against gallery position.</t>
        </is>
      </c>
      <c r="L23" s="3" t="inlineStr">
        <is>
          <t>Detail, feature panel or lifestyle image connected to orange fire baseball player bedding with name.</t>
        </is>
      </c>
      <c r="M23" s="3" t="inlineStr">
        <is>
          <t>UNKNOWN</t>
        </is>
      </c>
      <c r="N23" s="3" t="inlineStr">
        <is>
          <t>SET</t>
        </is>
      </c>
      <c r="O23" s="3" t="inlineStr">
        <is>
          <t>Fabric or product feature image for Orange Fire Baseball Player Bedding with Name</t>
        </is>
      </c>
      <c r="P23" s="3" t="inlineStr">
        <is>
          <t>FULL</t>
        </is>
      </c>
      <c r="Q23" s="3" t="inlineStr">
        <is>
          <t>PARTIAL</t>
        </is>
      </c>
      <c r="R23" s="3" t="inlineStr">
        <is>
          <t>FULL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ISSUE-0032</t>
        </is>
      </c>
      <c r="Z23" s="3" t="inlineStr">
        <is>
          <t>D:\Shopify_Workspace\jeminise_seo\seo_runs\jeminise.com\20260906_234129\qa\20260907_214100\images\194_04.jpg; seo_runs\jeminise.com\20260906_234129\evidence\images\194_personalized-baseball-bedding-full-size-flag-custom-name-d-design-19\image_04_47934361764039.jpg; seo_runs\jeminise.com\20260906_234129\evidence\contact_sheets\194_personalized-baseball-bedding-full-size-flag-custom-name-d-design-19.jpg</t>
        </is>
      </c>
    </row>
    <row r="24" ht="66" customHeight="1">
      <c r="A24" s="2" t="inlineStr">
        <is>
          <t>jeminise.com+personalized-baseball-bedding-full-size-flag-custom-name-d-design-20</t>
        </is>
      </c>
      <c r="B24" s="2" t="inlineStr">
        <is>
          <t>img_3ff60e17656fb6a6</t>
        </is>
      </c>
      <c r="C24" s="4" t="inlineStr">
        <is>
          <t>https://cdn.shopify.com/s/files/1/0792/5098/1063/files/e4e2338aa85d3f668a15c82fa2ea0cfb93432ed8792267b4e09f9f55c1cf8b2e.jpg?v=1787242327</t>
        </is>
      </c>
      <c r="D24" s="4" t="inlineStr">
        <is>
          <t>https://cdn.shopify.com/s/files/1/0792/5098/1063/files/e4e2338aa85d3f668a15c82fa2ea0cfb93432ed8792267b4e09f9f55c1cf8b2e.jpg?v=1787242327</t>
        </is>
      </c>
      <c r="E24" s="2" t="inlineStr">
        <is>
          <t>47934362222791</t>
        </is>
      </c>
      <c r="F24" s="2" t="inlineStr">
        <is>
          <t>47934362222791</t>
        </is>
      </c>
      <c r="G24" s="2" t="inlineStr"/>
      <c r="H24" s="2" t="inlineStr">
        <is>
          <t>GALLERY</t>
        </is>
      </c>
      <c r="I24" s="2" t="inlineStr">
        <is>
          <t>DIRECT_IMAGE_DOWNLOAD_AND_SOURCE_ROW_REVIEW</t>
        </is>
      </c>
      <c r="J24" s="2" t="inlineStr">
        <is>
          <t>2026-09-07T21:54:17+07:00</t>
        </is>
      </c>
      <c r="K24" s="2" t="inlineStr">
        <is>
          <t>Direct QA opened downloaded image 195_01; source SHA A8D2C7A6D802D9FBE70200279DF3423648DF2D07E6C0891E43B0C877D48BA4C4. Submitted observation reviewed against gallery position.</t>
        </is>
      </c>
      <c r="L24" s="2" t="inlineStr">
        <is>
          <t>Main product mockup showing American flag baseball glove bedding with vertical name.</t>
        </is>
      </c>
      <c r="M24" s="2" t="inlineStr">
        <is>
          <t>UNKNOWN</t>
        </is>
      </c>
      <c r="N24" s="2" t="inlineStr">
        <is>
          <t>SET</t>
        </is>
      </c>
      <c r="O24" s="2" t="inlineStr">
        <is>
          <t>American Flag Baseball Glove Bedding with Name displayed in a main product mockup</t>
        </is>
      </c>
      <c r="P24" s="2" t="inlineStr">
        <is>
          <t>FULL</t>
        </is>
      </c>
      <c r="Q24" s="2" t="inlineStr">
        <is>
          <t>FULL</t>
        </is>
      </c>
      <c r="R24" s="2" t="inlineStr">
        <is>
          <t>PARTIAL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ISSUE-0037</t>
        </is>
      </c>
      <c r="Z24" s="2" t="inlineStr">
        <is>
          <t>D:\Shopify_Workspace\jeminise_seo\seo_runs\jeminise.com\20260906_234129\qa\20260907_214100\images\195_01.jpg; seo_runs\jeminise.com\20260906_234129\evidence\images\195_personalized-baseball-bedding-full-size-flag-custom-name-d-design-20\image_01_47934362222791.jpg; seo_runs\jeminise.com\20260906_234129\evidence\contact_sheets\195_personalized-baseball-bedding-full-size-flag-custom-name-d-design-20.jpg</t>
        </is>
      </c>
    </row>
    <row r="25" ht="66" customHeight="1">
      <c r="A25" s="3" t="inlineStr">
        <is>
          <t>jeminise.com+personalized-baseball-bedding-full-size-flag-custom-name-d-design-20</t>
        </is>
      </c>
      <c r="B25" s="3" t="inlineStr">
        <is>
          <t>img_bbd5f13e62e7079d</t>
        </is>
      </c>
      <c r="C25" s="4" t="inlineStr">
        <is>
          <t>https://cdn.shopify.com/s/files/1/0792/5098/1063/files/b495d9b37eafdceff5caf3643256f7b3a83de826d49a14bdc531b13424296018_ade7b3a6-edb2-4827-b781-31d55abd0e12.jpg?v=1787242327</t>
        </is>
      </c>
      <c r="D25" s="4" t="inlineStr">
        <is>
          <t>https://cdn.shopify.com/s/files/1/0792/5098/1063/files/b495d9b37eafdceff5caf3643256f7b3a83de826d49a14bdc531b13424296018_ade7b3a6-edb2-4827-b781-31d55abd0e12.jpg?v=1787242327</t>
        </is>
      </c>
      <c r="E25" s="3" t="inlineStr">
        <is>
          <t>47934362255559</t>
        </is>
      </c>
      <c r="F25" s="3" t="inlineStr">
        <is>
          <t>47934362255559</t>
        </is>
      </c>
      <c r="G25" s="3" t="inlineStr"/>
      <c r="H25" s="3" t="inlineStr">
        <is>
          <t>GALLERY</t>
        </is>
      </c>
      <c r="I25" s="3" t="inlineStr">
        <is>
          <t>DIRECT_IMAGE_DOWNLOAD_AND_SOURCE_ROW_REVIEW</t>
        </is>
      </c>
      <c r="J25" s="3" t="inlineStr">
        <is>
          <t>2026-09-07T21:54:17+07:00</t>
        </is>
      </c>
      <c r="K25" s="3" t="inlineStr">
        <is>
          <t>Direct QA opened downloaded image 195_02; source SHA 82D08ED974694A5AE83601A42A9EAD30E75BA471FA67537A9B6996296A80AD73. Submitted observation reviewed against gallery position.</t>
        </is>
      </c>
      <c r="L25" s="3" t="inlineStr">
        <is>
          <t>Secondary flat, close-up or bedroom mockup showing American flag baseball glove bedding with vertical name.</t>
        </is>
      </c>
      <c r="M25" s="3" t="inlineStr">
        <is>
          <t>UNKNOWN</t>
        </is>
      </c>
      <c r="N25" s="3" t="inlineStr">
        <is>
          <t>SET</t>
        </is>
      </c>
      <c r="O25" s="3" t="inlineStr">
        <is>
          <t>Secondary bedroom mockup for American Flag Baseball Glove Bedding with Name</t>
        </is>
      </c>
      <c r="P25" s="3" t="inlineStr">
        <is>
          <t>FULL</t>
        </is>
      </c>
      <c r="Q25" s="3" t="inlineStr">
        <is>
          <t>FULL</t>
        </is>
      </c>
      <c r="R25" s="3" t="inlineStr">
        <is>
          <t>FULL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c r="Z25" s="3" t="inlineStr">
        <is>
          <t>D:\Shopify_Workspace\jeminise_seo\seo_runs\jeminise.com\20260906_234129\qa\20260907_214100\images\195_02.jpg; seo_runs\jeminise.com\20260906_234129\evidence\images\195_personalized-baseball-bedding-full-size-flag-custom-name-d-design-20\image_02_47934362255559.jpg; seo_runs\jeminise.com\20260906_234129\evidence\contact_sheets\195_personalized-baseball-bedding-full-size-flag-custom-name-d-design-20.jpg</t>
        </is>
      </c>
    </row>
    <row r="26" ht="66" customHeight="1">
      <c r="A26" s="2" t="inlineStr">
        <is>
          <t>jeminise.com+personalized-baseball-bedding-full-size-flag-custom-name-d-design-20</t>
        </is>
      </c>
      <c r="B26" s="2" t="inlineStr">
        <is>
          <t>img_cb4a6d118418eb86</t>
        </is>
      </c>
      <c r="C26" s="4" t="inlineStr">
        <is>
          <t>https://cdn.shopify.com/s/files/1/0792/5098/1063/files/d51e3360a3e4b984af63b01c4b53d517484ca3d6cb1beeea158bcf59acab9ed4_977041c9-eadf-4e13-8d3a-c5486389ed7f.jpg?v=1787242328</t>
        </is>
      </c>
      <c r="D26" s="4" t="inlineStr">
        <is>
          <t>https://cdn.shopify.com/s/files/1/0792/5098/1063/files/d51e3360a3e4b984af63b01c4b53d517484ca3d6cb1beeea158bcf59acab9ed4_977041c9-eadf-4e13-8d3a-c5486389ed7f.jpg?v=1787242328</t>
        </is>
      </c>
      <c r="E26" s="2" t="inlineStr">
        <is>
          <t>47934362288327</t>
        </is>
      </c>
      <c r="F26" s="2" t="inlineStr">
        <is>
          <t>47934362288327</t>
        </is>
      </c>
      <c r="G26" s="2" t="inlineStr"/>
      <c r="H26" s="2" t="inlineStr">
        <is>
          <t>GALLERY</t>
        </is>
      </c>
      <c r="I26" s="2" t="inlineStr">
        <is>
          <t>DIRECT_IMAGE_DOWNLOAD_AND_SOURCE_ROW_REVIEW</t>
        </is>
      </c>
      <c r="J26" s="2" t="inlineStr">
        <is>
          <t>2026-09-07T21:54:17+07:00</t>
        </is>
      </c>
      <c r="K26" s="2" t="inlineStr">
        <is>
          <t>Direct QA opened downloaded image 195_03; source SHA 232246736D0E74D62007D0E6971A2E140EDFD432E8573485134C1F85951D9CC3. Submitted observation reviewed against gallery position.</t>
        </is>
      </c>
      <c r="L26" s="2" t="inlineStr">
        <is>
          <t>Bedding type, feature, lifestyle or material image for American flag baseball glove bedding with vertical name.</t>
        </is>
      </c>
      <c r="M26" s="2" t="inlineStr">
        <is>
          <t>UNKNOWN</t>
        </is>
      </c>
      <c r="N26" s="2" t="inlineStr">
        <is>
          <t>SET</t>
        </is>
      </c>
      <c r="O26" s="2" t="inlineStr">
        <is>
          <t>Close-up or feature image for American Flag Baseball Glove Bedding with Name</t>
        </is>
      </c>
      <c r="P26" s="2" t="inlineStr">
        <is>
          <t>FULL</t>
        </is>
      </c>
      <c r="Q26" s="2" t="inlineStr">
        <is>
          <t>PARTIAL</t>
        </is>
      </c>
      <c r="R26" s="2" t="inlineStr">
        <is>
          <t>FULL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ISSUE-0038</t>
        </is>
      </c>
      <c r="Z26" s="2" t="inlineStr">
        <is>
          <t>D:\Shopify_Workspace\jeminise_seo\seo_runs\jeminise.com\20260906_234129\qa\20260907_214100\images\195_03.jpg; seo_runs\jeminise.com\20260906_234129\evidence\images\195_personalized-baseball-bedding-full-size-flag-custom-name-d-design-20\image_03_47934362288327.jpg; seo_runs\jeminise.com\20260906_234129\evidence\contact_sheets\195_personalized-baseball-bedding-full-size-flag-custom-name-d-design-20.jpg</t>
        </is>
      </c>
    </row>
    <row r="27" ht="66" customHeight="1">
      <c r="A27" s="3" t="inlineStr">
        <is>
          <t>jeminise.com+personalized-baseball-bedding-full-size-flag-custom-name-d-design-20</t>
        </is>
      </c>
      <c r="B27" s="3" t="inlineStr">
        <is>
          <t>img_1eafb19c92915a7f</t>
        </is>
      </c>
      <c r="C27" s="4" t="inlineStr">
        <is>
          <t>https://cdn.shopify.com/s/files/1/0792/5098/1063/files/ef81c56fe7d5f4f60045bfbd0778e14ad11ce2a6824c23132d2b864ef763fe85_086abb91-5272-4549-8a43-f5abe073b73e.jpg?v=1787242328</t>
        </is>
      </c>
      <c r="D27" s="4" t="inlineStr">
        <is>
          <t>https://cdn.shopify.com/s/files/1/0792/5098/1063/files/ef81c56fe7d5f4f60045bfbd0778e14ad11ce2a6824c23132d2b864ef763fe85_086abb91-5272-4549-8a43-f5abe073b73e.jpg?v=1787242328</t>
        </is>
      </c>
      <c r="E27" s="3" t="inlineStr">
        <is>
          <t>47934362321095</t>
        </is>
      </c>
      <c r="F27" s="3" t="inlineStr">
        <is>
          <t>47934362321095</t>
        </is>
      </c>
      <c r="G27" s="3" t="inlineStr"/>
      <c r="H27" s="3" t="inlineStr">
        <is>
          <t>GALLERY</t>
        </is>
      </c>
      <c r="I27" s="3" t="inlineStr">
        <is>
          <t>DIRECT_IMAGE_DOWNLOAD_AND_SOURCE_ROW_REVIEW</t>
        </is>
      </c>
      <c r="J27" s="3" t="inlineStr">
        <is>
          <t>2026-09-07T21:54:17+07:00</t>
        </is>
      </c>
      <c r="K27" s="3" t="inlineStr">
        <is>
          <t>Direct QA opened downloaded image 195_04; source SHA 946D5B32E02CA70029866292D0775686EA770A101CD6D8BC2C108F506AB44BBE. Submitted observation reviewed against gallery position.</t>
        </is>
      </c>
      <c r="L27" s="3" t="inlineStr">
        <is>
          <t>Detail, feature panel or lifestyle image connected to American flag baseball glove bedding with vertical name.</t>
        </is>
      </c>
      <c r="M27" s="3" t="inlineStr">
        <is>
          <t>UNKNOWN</t>
        </is>
      </c>
      <c r="N27" s="3" t="inlineStr">
        <is>
          <t>SET</t>
        </is>
      </c>
      <c r="O27" s="3" t="inlineStr">
        <is>
          <t>Fabric or product feature image for American Flag Baseball Glove Bedding with Name</t>
        </is>
      </c>
      <c r="P27" s="3" t="inlineStr">
        <is>
          <t>FULL</t>
        </is>
      </c>
      <c r="Q27" s="3" t="inlineStr">
        <is>
          <t>PARTIAL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ISSUE-0039</t>
        </is>
      </c>
      <c r="Z27" s="3" t="inlineStr">
        <is>
          <t>D:\Shopify_Workspace\jeminise_seo\seo_runs\jeminise.com\20260906_234129\qa\20260907_214100\images\195_04.jpg; seo_runs\jeminise.com\20260906_234129\evidence\images\195_personalized-baseball-bedding-full-size-flag-custom-name-d-design-20\image_04_47934362321095.jpg; seo_runs\jeminise.com\20260906_234129\evidence\contact_sheets\195_personalized-baseball-bedding-full-size-flag-custom-name-d-design-20.jpg</t>
        </is>
      </c>
    </row>
    <row r="28" ht="66" customHeight="1">
      <c r="A28" s="2" t="inlineStr">
        <is>
          <t>jeminise.com+personalized-baseball-bedding-full-size-flag-custom-name-d-design-21</t>
        </is>
      </c>
      <c r="B28" s="2" t="inlineStr">
        <is>
          <t>img_170a78e84ef28443</t>
        </is>
      </c>
      <c r="C28" s="4" t="inlineStr">
        <is>
          <t>https://cdn.shopify.com/s/files/1/0792/5098/1063/files/8a848b0ed0b502d09e60f9124d8e753486022275aa6cabec6be40339d169fd60.jpg?v=1787242336</t>
        </is>
      </c>
      <c r="D28" s="4" t="inlineStr">
        <is>
          <t>https://cdn.shopify.com/s/files/1/0792/5098/1063/files/8a848b0ed0b502d09e60f9124d8e753486022275aa6cabec6be40339d169fd60.jpg?v=1787242336</t>
        </is>
      </c>
      <c r="E28" s="2" t="inlineStr">
        <is>
          <t>47934362648775</t>
        </is>
      </c>
      <c r="F28" s="2" t="inlineStr">
        <is>
          <t>47934362648775</t>
        </is>
      </c>
      <c r="G28" s="2" t="inlineStr"/>
      <c r="H28" s="2" t="inlineStr">
        <is>
          <t>GALLERY</t>
        </is>
      </c>
      <c r="I28" s="2" t="inlineStr">
        <is>
          <t>DIRECT_IMAGE_DOWNLOAD_AND_SOURCE_ROW_REVIEW</t>
        </is>
      </c>
      <c r="J28" s="2" t="inlineStr">
        <is>
          <t>2026-09-07T21:54:17+07:00</t>
        </is>
      </c>
      <c r="K28" s="2" t="inlineStr">
        <is>
          <t>Direct QA opened downloaded image 196_01; source SHA 3648A38AF9341B29392D915B64E687C33151B8904FBCB195C01AB25686797561. Submitted observation reviewed against gallery position.</t>
        </is>
      </c>
      <c r="L28" s="2" t="inlineStr">
        <is>
          <t>Main product mockup showing black baseball glove bedding with script name and number.</t>
        </is>
      </c>
      <c r="M28" s="2" t="inlineStr">
        <is>
          <t>UNKNOWN</t>
        </is>
      </c>
      <c r="N28" s="2" t="inlineStr">
        <is>
          <t>SET</t>
        </is>
      </c>
      <c r="O28" s="2" t="inlineStr">
        <is>
          <t>Black Baseball Glove Bedding with Script Name displayed in a main product mockup</t>
        </is>
      </c>
      <c r="P28" s="2" t="inlineStr">
        <is>
          <t>FULL</t>
        </is>
      </c>
      <c r="Q28" s="2" t="inlineStr">
        <is>
          <t>FULL</t>
        </is>
      </c>
      <c r="R28" s="2" t="inlineStr">
        <is>
          <t>PARTIAL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ISSUE-0044</t>
        </is>
      </c>
      <c r="Z28" s="2" t="inlineStr">
        <is>
          <t>D:\Shopify_Workspace\jeminise_seo\seo_runs\jeminise.com\20260906_234129\qa\20260907_214100\images\196_01.jpg; seo_runs\jeminise.com\20260906_234129\evidence\images\196_personalized-baseball-bedding-full-size-flag-custom-name-d-design-21\image_01_47934362648775.jpg; seo_runs\jeminise.com\20260906_234129\evidence\contact_sheets\196_personalized-baseball-bedding-full-size-flag-custom-name-d-design-21.jpg</t>
        </is>
      </c>
    </row>
    <row r="29" ht="66" customHeight="1">
      <c r="A29" s="3" t="inlineStr">
        <is>
          <t>jeminise.com+personalized-baseball-bedding-full-size-flag-custom-name-d-design-21</t>
        </is>
      </c>
      <c r="B29" s="3" t="inlineStr">
        <is>
          <t>img_9e6458a4b63ee2df</t>
        </is>
      </c>
      <c r="C29" s="4" t="inlineStr">
        <is>
          <t>https://cdn.shopify.com/s/files/1/0792/5098/1063/files/ef81c56fe7d5f4f60045bfbd0778e14ad11ce2a6824c23132d2b864ef763fe85_47a699a0-1210-4b1b-a0ec-36dfe737eef3.jpg?v=1787242336</t>
        </is>
      </c>
      <c r="D29" s="4" t="inlineStr">
        <is>
          <t>https://cdn.shopify.com/s/files/1/0792/5098/1063/files/ef81c56fe7d5f4f60045bfbd0778e14ad11ce2a6824c23132d2b864ef763fe85_47a699a0-1210-4b1b-a0ec-36dfe737eef3.jpg?v=1787242336</t>
        </is>
      </c>
      <c r="E29" s="3" t="inlineStr">
        <is>
          <t>47934362681543</t>
        </is>
      </c>
      <c r="F29" s="3" t="inlineStr">
        <is>
          <t>47934362681543</t>
        </is>
      </c>
      <c r="G29" s="3" t="inlineStr"/>
      <c r="H29" s="3" t="inlineStr">
        <is>
          <t>GALLERY</t>
        </is>
      </c>
      <c r="I29" s="3" t="inlineStr">
        <is>
          <t>DIRECT_IMAGE_DOWNLOAD_AND_SOURCE_ROW_REVIEW</t>
        </is>
      </c>
      <c r="J29" s="3" t="inlineStr">
        <is>
          <t>2026-09-07T21:54:17+07:00</t>
        </is>
      </c>
      <c r="K29" s="3" t="inlineStr">
        <is>
          <t>Direct QA opened downloaded image 196_02; source SHA 946D5B32E02CA70029866292D0775686EA770A101CD6D8BC2C108F506AB44BBE. Submitted observation reviewed against gallery position.</t>
        </is>
      </c>
      <c r="L29" s="3" t="inlineStr">
        <is>
          <t>Secondary flat, close-up or bedroom mockup showing black baseball glove bedding with script name and number.</t>
        </is>
      </c>
      <c r="M29" s="3" t="inlineStr">
        <is>
          <t>UNKNOWN</t>
        </is>
      </c>
      <c r="N29" s="3" t="inlineStr">
        <is>
          <t>SET</t>
        </is>
      </c>
      <c r="O29" s="3" t="inlineStr">
        <is>
          <t>Secondary bedroom mockup for Black Baseball Glove Bedding with Script Name</t>
        </is>
      </c>
      <c r="P29" s="3" t="inlineStr">
        <is>
          <t>FULL</t>
        </is>
      </c>
      <c r="Q29" s="3" t="inlineStr">
        <is>
          <t>FULL</t>
        </is>
      </c>
      <c r="R29" s="3" t="inlineStr">
        <is>
          <t>FULL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c r="Z29" s="3" t="inlineStr">
        <is>
          <t>D:\Shopify_Workspace\jeminise_seo\seo_runs\jeminise.com\20260906_234129\qa\20260907_214100\images\196_02.jpg; seo_runs\jeminise.com\20260906_234129\evidence\images\196_personalized-baseball-bedding-full-size-flag-custom-name-d-design-21\image_02_47934362681543.jpg; seo_runs\jeminise.com\20260906_234129\evidence\contact_sheets\196_personalized-baseball-bedding-full-size-flag-custom-name-d-design-21.jpg</t>
        </is>
      </c>
    </row>
    <row r="30" ht="66" customHeight="1">
      <c r="A30" s="2" t="inlineStr">
        <is>
          <t>jeminise.com+personalized-baseball-bedding-full-size-flag-custom-name-d-design-21</t>
        </is>
      </c>
      <c r="B30" s="2" t="inlineStr">
        <is>
          <t>img_581334d0baef6798</t>
        </is>
      </c>
      <c r="C30" s="4" t="inlineStr">
        <is>
          <t>https://cdn.shopify.com/s/files/1/0792/5098/1063/files/b495d9b37eafdceff5caf3643256f7b3a83de826d49a14bdc531b13424296018_ed380f76-8a95-4ffa-9450-96511fe8e841.jpg?v=1787242336</t>
        </is>
      </c>
      <c r="D30" s="4" t="inlineStr">
        <is>
          <t>https://cdn.shopify.com/s/files/1/0792/5098/1063/files/b495d9b37eafdceff5caf3643256f7b3a83de826d49a14bdc531b13424296018_ed380f76-8a95-4ffa-9450-96511fe8e841.jpg?v=1787242336</t>
        </is>
      </c>
      <c r="E30" s="2" t="inlineStr">
        <is>
          <t>47934362714311</t>
        </is>
      </c>
      <c r="F30" s="2" t="inlineStr">
        <is>
          <t>47934362714311</t>
        </is>
      </c>
      <c r="G30" s="2" t="inlineStr"/>
      <c r="H30" s="2" t="inlineStr">
        <is>
          <t>GALLERY</t>
        </is>
      </c>
      <c r="I30" s="2" t="inlineStr">
        <is>
          <t>DIRECT_IMAGE_DOWNLOAD_AND_SOURCE_ROW_REVIEW</t>
        </is>
      </c>
      <c r="J30" s="2" t="inlineStr">
        <is>
          <t>2026-09-07T21:54:17+07:00</t>
        </is>
      </c>
      <c r="K30" s="2" t="inlineStr">
        <is>
          <t>Direct QA opened downloaded image 196_03; source SHA 82D08ED974694A5AE83601A42A9EAD30E75BA471FA67537A9B6996296A80AD73. Submitted observation reviewed against gallery position.</t>
        </is>
      </c>
      <c r="L30" s="2" t="inlineStr">
        <is>
          <t>Bedding type, feature, lifestyle or material image for black baseball glove bedding with script name and number.</t>
        </is>
      </c>
      <c r="M30" s="2" t="inlineStr">
        <is>
          <t>UNKNOWN</t>
        </is>
      </c>
      <c r="N30" s="2" t="inlineStr">
        <is>
          <t>SET</t>
        </is>
      </c>
      <c r="O30" s="2" t="inlineStr">
        <is>
          <t>Close-up or feature image for Black Baseball Glove Bedding with Script Name</t>
        </is>
      </c>
      <c r="P30" s="2" t="inlineStr">
        <is>
          <t>FULL</t>
        </is>
      </c>
      <c r="Q30" s="2" t="inlineStr">
        <is>
          <t>PARTIAL</t>
        </is>
      </c>
      <c r="R30" s="2" t="inlineStr">
        <is>
          <t>FULL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ISSUE-0045</t>
        </is>
      </c>
      <c r="Z30" s="2" t="inlineStr">
        <is>
          <t>D:\Shopify_Workspace\jeminise_seo\seo_runs\jeminise.com\20260906_234129\qa\20260907_214100\images\196_03.jpg; seo_runs\jeminise.com\20260906_234129\evidence\images\196_personalized-baseball-bedding-full-size-flag-custom-name-d-design-21\image_03_47934362714311.jpg; seo_runs\jeminise.com\20260906_234129\evidence\contact_sheets\196_personalized-baseball-bedding-full-size-flag-custom-name-d-design-21.jpg</t>
        </is>
      </c>
    </row>
    <row r="31" ht="66" customHeight="1">
      <c r="A31" s="3" t="inlineStr">
        <is>
          <t>jeminise.com+personalized-baseball-bedding-full-size-flag-custom-name-d-design-21</t>
        </is>
      </c>
      <c r="B31" s="3" t="inlineStr">
        <is>
          <t>img_0687e2d28a2db0d1</t>
        </is>
      </c>
      <c r="C31" s="4" t="inlineStr">
        <is>
          <t>https://cdn.shopify.com/s/files/1/0792/5098/1063/files/d51e3360a3e4b984af63b01c4b53d517484ca3d6cb1beeea158bcf59acab9ed4_a6ef995a-d4c4-4f6b-badb-65a4e158b3aa.jpg?v=1787242336</t>
        </is>
      </c>
      <c r="D31" s="4" t="inlineStr">
        <is>
          <t>https://cdn.shopify.com/s/files/1/0792/5098/1063/files/d51e3360a3e4b984af63b01c4b53d517484ca3d6cb1beeea158bcf59acab9ed4_a6ef995a-d4c4-4f6b-badb-65a4e158b3aa.jpg?v=1787242336</t>
        </is>
      </c>
      <c r="E31" s="3" t="inlineStr">
        <is>
          <t>47934362747079</t>
        </is>
      </c>
      <c r="F31" s="3" t="inlineStr">
        <is>
          <t>47934362747079</t>
        </is>
      </c>
      <c r="G31" s="3" t="inlineStr"/>
      <c r="H31" s="3" t="inlineStr">
        <is>
          <t>GALLERY</t>
        </is>
      </c>
      <c r="I31" s="3" t="inlineStr">
        <is>
          <t>DIRECT_IMAGE_DOWNLOAD_AND_SOURCE_ROW_REVIEW</t>
        </is>
      </c>
      <c r="J31" s="3" t="inlineStr">
        <is>
          <t>2026-09-07T21:54:17+07:00</t>
        </is>
      </c>
      <c r="K31" s="3" t="inlineStr">
        <is>
          <t>Direct QA opened downloaded image 196_04; source SHA 232246736D0E74D62007D0E6971A2E140EDFD432E8573485134C1F85951D9CC3. Submitted observation reviewed against gallery position.</t>
        </is>
      </c>
      <c r="L31" s="3" t="inlineStr">
        <is>
          <t>Detail, feature panel or lifestyle image connected to black baseball glove bedding with script name and number.</t>
        </is>
      </c>
      <c r="M31" s="3" t="inlineStr">
        <is>
          <t>UNKNOWN</t>
        </is>
      </c>
      <c r="N31" s="3" t="inlineStr">
        <is>
          <t>SET</t>
        </is>
      </c>
      <c r="O31" s="3" t="inlineStr">
        <is>
          <t>Fabric or product feature image for Black Baseball Glove Bedding with Script Name</t>
        </is>
      </c>
      <c r="P31" s="3" t="inlineStr">
        <is>
          <t>FULL</t>
        </is>
      </c>
      <c r="Q31" s="3" t="inlineStr">
        <is>
          <t>PARTIAL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ISSUE-0046</t>
        </is>
      </c>
      <c r="Z31" s="3" t="inlineStr">
        <is>
          <t>D:\Shopify_Workspace\jeminise_seo\seo_runs\jeminise.com\20260906_234129\qa\20260907_214100\images\196_04.jpg; seo_runs\jeminise.com\20260906_234129\evidence\images\196_personalized-baseball-bedding-full-size-flag-custom-name-d-design-21\image_04_47934362747079.jpg; seo_runs\jeminise.com\20260906_234129\evidence\contact_sheets\196_personalized-baseball-bedding-full-size-flag-custom-name-d-design-21.jpg</t>
        </is>
      </c>
    </row>
    <row r="32" ht="66" customHeight="1">
      <c r="A32" s="2" t="inlineStr">
        <is>
          <t>jeminise.com+personalized-baseball-bedding-full-size-flag-custom-name-d-design-22</t>
        </is>
      </c>
      <c r="B32" s="2" t="inlineStr">
        <is>
          <t>img_e8b5a9fbc1a8b6a7</t>
        </is>
      </c>
      <c r="C32" s="4" t="inlineStr">
        <is>
          <t>https://cdn.shopify.com/s/files/1/0792/5098/1063/files/76f774a931f7c5c91510a65804cd4a186b89f7020c009e61c6b0e85896bf0d67.jpg?v=1787242346</t>
        </is>
      </c>
      <c r="D32" s="4" t="inlineStr">
        <is>
          <t>https://cdn.shopify.com/s/files/1/0792/5098/1063/files/76f774a931f7c5c91510a65804cd4a186b89f7020c009e61c6b0e85896bf0d67.jpg?v=1787242346</t>
        </is>
      </c>
      <c r="E32" s="2" t="inlineStr">
        <is>
          <t>47934363205831</t>
        </is>
      </c>
      <c r="F32" s="2" t="inlineStr">
        <is>
          <t>47934363205831</t>
        </is>
      </c>
      <c r="G32" s="2" t="inlineStr"/>
      <c r="H32" s="2" t="inlineStr">
        <is>
          <t>GALLERY</t>
        </is>
      </c>
      <c r="I32" s="2" t="inlineStr">
        <is>
          <t>DIRECT_IMAGE_DOWNLOAD_AND_SOURCE_ROW_REVIEW</t>
        </is>
      </c>
      <c r="J32" s="2" t="inlineStr">
        <is>
          <t>2026-09-07T21:54:17+07:00</t>
        </is>
      </c>
      <c r="K32" s="2" t="inlineStr">
        <is>
          <t>Direct QA opened downloaded image 197_01; source SHA 4F53B52E80E306D930DDE1AC12387F1B72238FEE4CA47928FA7A056FB0D25087. Submitted observation reviewed against gallery position.</t>
        </is>
      </c>
      <c r="L32" s="2" t="inlineStr">
        <is>
          <t>Main product mockup showing lightning baseball bedding with custom name and number.</t>
        </is>
      </c>
      <c r="M32" s="2" t="inlineStr">
        <is>
          <t>UNKNOWN</t>
        </is>
      </c>
      <c r="N32" s="2" t="inlineStr">
        <is>
          <t>SET</t>
        </is>
      </c>
      <c r="O32" s="2" t="inlineStr">
        <is>
          <t>Lightning Baseball Bedding with Name and Number displayed in a main product mockup</t>
        </is>
      </c>
      <c r="P32" s="2" t="inlineStr">
        <is>
          <t>FULL</t>
        </is>
      </c>
      <c r="Q32" s="2" t="inlineStr">
        <is>
          <t>FULL</t>
        </is>
      </c>
      <c r="R32" s="2" t="inlineStr">
        <is>
          <t>PARTIAL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ISSUE-0051</t>
        </is>
      </c>
      <c r="Z32" s="2" t="inlineStr">
        <is>
          <t>D:\Shopify_Workspace\jeminise_seo\seo_runs\jeminise.com\20260906_234129\qa\20260907_214100\images\197_01.jpg; seo_runs\jeminise.com\20260906_234129\evidence\images\197_personalized-baseball-bedding-full-size-flag-custom-name-d-design-22\image_01_47934363205831.jpg; seo_runs\jeminise.com\20260906_234129\evidence\contact_sheets\197_personalized-baseball-bedding-full-size-flag-custom-name-d-design-22.jpg</t>
        </is>
      </c>
    </row>
    <row r="33" ht="66" customHeight="1">
      <c r="A33" s="3" t="inlineStr">
        <is>
          <t>jeminise.com+personalized-baseball-bedding-full-size-flag-custom-name-d-design-22</t>
        </is>
      </c>
      <c r="B33" s="3" t="inlineStr">
        <is>
          <t>img_ef1f88ba7e94cef0</t>
        </is>
      </c>
      <c r="C33" s="4" t="inlineStr">
        <is>
          <t>https://cdn.shopify.com/s/files/1/0792/5098/1063/files/d51e3360a3e4b984af63b01c4b53d517484ca3d6cb1beeea158bcf59acab9ed4_9b6781cf-bf91-418d-9730-583bfde9e558.jpg?v=1787242345</t>
        </is>
      </c>
      <c r="D33" s="4" t="inlineStr">
        <is>
          <t>https://cdn.shopify.com/s/files/1/0792/5098/1063/files/d51e3360a3e4b984af63b01c4b53d517484ca3d6cb1beeea158bcf59acab9ed4_9b6781cf-bf91-418d-9730-583bfde9e558.jpg?v=1787242345</t>
        </is>
      </c>
      <c r="E33" s="3" t="inlineStr">
        <is>
          <t>47934363238599</t>
        </is>
      </c>
      <c r="F33" s="3" t="inlineStr">
        <is>
          <t>47934363238599</t>
        </is>
      </c>
      <c r="G33" s="3" t="inlineStr"/>
      <c r="H33" s="3" t="inlineStr">
        <is>
          <t>GALLERY</t>
        </is>
      </c>
      <c r="I33" s="3" t="inlineStr">
        <is>
          <t>DIRECT_IMAGE_DOWNLOAD_AND_SOURCE_ROW_REVIEW</t>
        </is>
      </c>
      <c r="J33" s="3" t="inlineStr">
        <is>
          <t>2026-09-07T21:54:17+07:00</t>
        </is>
      </c>
      <c r="K33" s="3" t="inlineStr">
        <is>
          <t>Direct QA opened downloaded image 197_02; source SHA 232246736D0E74D62007D0E6971A2E140EDFD432E8573485134C1F85951D9CC3. Submitted observation reviewed against gallery position.</t>
        </is>
      </c>
      <c r="L33" s="3" t="inlineStr">
        <is>
          <t>Secondary flat, close-up or bedroom mockup showing lightning baseball bedding with custom name and number.</t>
        </is>
      </c>
      <c r="M33" s="3" t="inlineStr">
        <is>
          <t>UNKNOWN</t>
        </is>
      </c>
      <c r="N33" s="3" t="inlineStr">
        <is>
          <t>SET</t>
        </is>
      </c>
      <c r="O33" s="3" t="inlineStr">
        <is>
          <t>Secondary bedroom mockup for Lightning Baseball Bedding with Name and Number</t>
        </is>
      </c>
      <c r="P33" s="3" t="inlineStr">
        <is>
          <t>FULL</t>
        </is>
      </c>
      <c r="Q33" s="3" t="inlineStr">
        <is>
          <t>FULL</t>
        </is>
      </c>
      <c r="R33" s="3" t="inlineStr">
        <is>
          <t>FULL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c r="Z33" s="3" t="inlineStr">
        <is>
          <t>D:\Shopify_Workspace\jeminise_seo\seo_runs\jeminise.com\20260906_234129\qa\20260907_214100\images\197_02.jpg; seo_runs\jeminise.com\20260906_234129\evidence\images\197_personalized-baseball-bedding-full-size-flag-custom-name-d-design-22\image_02_47934363238599.jpg; seo_runs\jeminise.com\20260906_234129\evidence\contact_sheets\197_personalized-baseball-bedding-full-size-flag-custom-name-d-design-22.jpg</t>
        </is>
      </c>
    </row>
    <row r="34" ht="66" customHeight="1">
      <c r="A34" s="2" t="inlineStr">
        <is>
          <t>jeminise.com+personalized-baseball-bedding-full-size-flag-custom-name-d-design-22</t>
        </is>
      </c>
      <c r="B34" s="2" t="inlineStr">
        <is>
          <t>img_368b7b7bbf434d74</t>
        </is>
      </c>
      <c r="C34" s="4" t="inlineStr">
        <is>
          <t>https://cdn.shopify.com/s/files/1/0792/5098/1063/files/ef81c56fe7d5f4f60045bfbd0778e14ad11ce2a6824c23132d2b864ef763fe85_51634434-5014-45d6-994f-821922c04116.jpg?v=1787242345</t>
        </is>
      </c>
      <c r="D34" s="4" t="inlineStr">
        <is>
          <t>https://cdn.shopify.com/s/files/1/0792/5098/1063/files/ef81c56fe7d5f4f60045bfbd0778e14ad11ce2a6824c23132d2b864ef763fe85_51634434-5014-45d6-994f-821922c04116.jpg?v=1787242345</t>
        </is>
      </c>
      <c r="E34" s="2" t="inlineStr">
        <is>
          <t>47934363271367</t>
        </is>
      </c>
      <c r="F34" s="2" t="inlineStr">
        <is>
          <t>47934363271367</t>
        </is>
      </c>
      <c r="G34" s="2" t="inlineStr"/>
      <c r="H34" s="2" t="inlineStr">
        <is>
          <t>GALLERY</t>
        </is>
      </c>
      <c r="I34" s="2" t="inlineStr">
        <is>
          <t>DIRECT_IMAGE_DOWNLOAD_AND_SOURCE_ROW_REVIEW</t>
        </is>
      </c>
      <c r="J34" s="2" t="inlineStr">
        <is>
          <t>2026-09-07T21:54:17+07:00</t>
        </is>
      </c>
      <c r="K34" s="2" t="inlineStr">
        <is>
          <t>Direct QA opened downloaded image 197_03; source SHA 946D5B32E02CA70029866292D0775686EA770A101CD6D8BC2C108F506AB44BBE. Submitted observation reviewed against gallery position.</t>
        </is>
      </c>
      <c r="L34" s="2" t="inlineStr">
        <is>
          <t>Bedding type, feature, lifestyle or material image for lightning baseball bedding with custom name and number.</t>
        </is>
      </c>
      <c r="M34" s="2" t="inlineStr">
        <is>
          <t>UNKNOWN</t>
        </is>
      </c>
      <c r="N34" s="2" t="inlineStr">
        <is>
          <t>SET</t>
        </is>
      </c>
      <c r="O34" s="2" t="inlineStr">
        <is>
          <t>Close-up or feature image for Lightning Baseball Bedding with Name and Number</t>
        </is>
      </c>
      <c r="P34" s="2" t="inlineStr">
        <is>
          <t>FULL</t>
        </is>
      </c>
      <c r="Q34" s="2" t="inlineStr">
        <is>
          <t>PARTIAL</t>
        </is>
      </c>
      <c r="R34" s="2" t="inlineStr">
        <is>
          <t>FULL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ISSUE-0052</t>
        </is>
      </c>
      <c r="Z34" s="2" t="inlineStr">
        <is>
          <t>D:\Shopify_Workspace\jeminise_seo\seo_runs\jeminise.com\20260906_234129\qa\20260907_214100\images\197_03.jpg; seo_runs\jeminise.com\20260906_234129\evidence\images\197_personalized-baseball-bedding-full-size-flag-custom-name-d-design-22\image_03_47934363271367.jpg; seo_runs\jeminise.com\20260906_234129\evidence\contact_sheets\197_personalized-baseball-bedding-full-size-flag-custom-name-d-design-22.jpg</t>
        </is>
      </c>
    </row>
    <row r="35" ht="66" customHeight="1">
      <c r="A35" s="3" t="inlineStr">
        <is>
          <t>jeminise.com+personalized-baseball-bedding-full-size-flag-custom-name-d-design-22</t>
        </is>
      </c>
      <c r="B35" s="3" t="inlineStr">
        <is>
          <t>img_5ffc4354282e2d16</t>
        </is>
      </c>
      <c r="C35" s="4" t="inlineStr">
        <is>
          <t>https://cdn.shopify.com/s/files/1/0792/5098/1063/files/b495d9b37eafdceff5caf3643256f7b3a83de826d49a14bdc531b13424296018_41990bf5-b2e6-47ee-a38f-4d52044d7358.jpg?v=1787242345</t>
        </is>
      </c>
      <c r="D35" s="4" t="inlineStr">
        <is>
          <t>https://cdn.shopify.com/s/files/1/0792/5098/1063/files/b495d9b37eafdceff5caf3643256f7b3a83de826d49a14bdc531b13424296018_41990bf5-b2e6-47ee-a38f-4d52044d7358.jpg?v=1787242345</t>
        </is>
      </c>
      <c r="E35" s="3" t="inlineStr">
        <is>
          <t>47934363304135</t>
        </is>
      </c>
      <c r="F35" s="3" t="inlineStr">
        <is>
          <t>47934363304135</t>
        </is>
      </c>
      <c r="G35" s="3" t="inlineStr"/>
      <c r="H35" s="3" t="inlineStr">
        <is>
          <t>GALLERY</t>
        </is>
      </c>
      <c r="I35" s="3" t="inlineStr">
        <is>
          <t>DIRECT_IMAGE_DOWNLOAD_AND_SOURCE_ROW_REVIEW</t>
        </is>
      </c>
      <c r="J35" s="3" t="inlineStr">
        <is>
          <t>2026-09-07T21:54:17+07:00</t>
        </is>
      </c>
      <c r="K35" s="3" t="inlineStr">
        <is>
          <t>Direct QA opened downloaded image 197_04; source SHA 82D08ED974694A5AE83601A42A9EAD30E75BA471FA67537A9B6996296A80AD73. Submitted observation reviewed against gallery position.</t>
        </is>
      </c>
      <c r="L35" s="3" t="inlineStr">
        <is>
          <t>Detail, feature panel or lifestyle image connected to lightning baseball bedding with custom name and number.</t>
        </is>
      </c>
      <c r="M35" s="3" t="inlineStr">
        <is>
          <t>UNKNOWN</t>
        </is>
      </c>
      <c r="N35" s="3" t="inlineStr">
        <is>
          <t>SET</t>
        </is>
      </c>
      <c r="O35" s="3" t="inlineStr">
        <is>
          <t>Fabric or product feature image for Lightning Baseball Bedding with Name and Number</t>
        </is>
      </c>
      <c r="P35" s="3" t="inlineStr">
        <is>
          <t>FULL</t>
        </is>
      </c>
      <c r="Q35" s="3" t="inlineStr">
        <is>
          <t>PARTIAL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ISSUE-0053</t>
        </is>
      </c>
      <c r="Z35" s="3" t="inlineStr">
        <is>
          <t>D:\Shopify_Workspace\jeminise_seo\seo_runs\jeminise.com\20260906_234129\qa\20260907_214100\images\197_04.jpg; seo_runs\jeminise.com\20260906_234129\evidence\images\197_personalized-baseball-bedding-full-size-flag-custom-name-d-design-22\image_04_47934363304135.jpg; seo_runs\jeminise.com\20260906_234129\evidence\contact_sheets\197_personalized-baseball-bedding-full-size-flag-custom-name-d-design-22.jpg</t>
        </is>
      </c>
    </row>
    <row r="36" ht="66" customHeight="1">
      <c r="A36" s="2" t="inlineStr">
        <is>
          <t>jeminise.com+personalized-baseball-bedding-full-size-flag-custom-name-d-design-23</t>
        </is>
      </c>
      <c r="B36" s="2" t="inlineStr">
        <is>
          <t>img_2dc9c1da03271d25</t>
        </is>
      </c>
      <c r="C36" s="4" t="inlineStr">
        <is>
          <t>https://cdn.shopify.com/s/files/1/0792/5098/1063/files/9df70f0343a5c034d346fd9dde42e97c78ba2ce598854a71221d454a2ee76637.jpg?v=1787242356</t>
        </is>
      </c>
      <c r="D36" s="4" t="inlineStr">
        <is>
          <t>https://cdn.shopify.com/s/files/1/0792/5098/1063/files/9df70f0343a5c034d346fd9dde42e97c78ba2ce598854a71221d454a2ee76637.jpg?v=1787242356</t>
        </is>
      </c>
      <c r="E36" s="2" t="inlineStr">
        <is>
          <t>47934363762887</t>
        </is>
      </c>
      <c r="F36" s="2" t="inlineStr">
        <is>
          <t>47934363762887</t>
        </is>
      </c>
      <c r="G36" s="2" t="inlineStr"/>
      <c r="H36" s="2" t="inlineStr">
        <is>
          <t>GALLERY</t>
        </is>
      </c>
      <c r="I36" s="2" t="inlineStr">
        <is>
          <t>DIRECT_IMAGE_DOWNLOAD_AND_SOURCE_ROW_REVIEW</t>
        </is>
      </c>
      <c r="J36" s="2" t="inlineStr">
        <is>
          <t>2026-09-07T21:54:17+07:00</t>
        </is>
      </c>
      <c r="K36" s="2" t="inlineStr">
        <is>
          <t>Direct QA opened downloaded image 198_01; source SHA 513D0CA299BAA151CF2314C9FD909B308B877B2A39F7048F33CA977FB43B1E23. Submitted observation reviewed against gallery position.</t>
        </is>
      </c>
      <c r="L36" s="2" t="inlineStr">
        <is>
          <t>Main product mockup showing night field baseball glove bedding with custom name.</t>
        </is>
      </c>
      <c r="M36" s="2" t="inlineStr">
        <is>
          <t>UNKNOWN</t>
        </is>
      </c>
      <c r="N36" s="2" t="inlineStr">
        <is>
          <t>SET</t>
        </is>
      </c>
      <c r="O36" s="2" t="inlineStr">
        <is>
          <t>Night Field Baseball Glove Bedding with Custom Name displayed in a main product mockup</t>
        </is>
      </c>
      <c r="P36" s="2" t="inlineStr">
        <is>
          <t>FULL</t>
        </is>
      </c>
      <c r="Q36" s="2" t="inlineStr">
        <is>
          <t>FULL</t>
        </is>
      </c>
      <c r="R36" s="2" t="inlineStr">
        <is>
          <t>PARTIAL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ISSUE-0058</t>
        </is>
      </c>
      <c r="Z36" s="2" t="inlineStr">
        <is>
          <t>D:\Shopify_Workspace\jeminise_seo\seo_runs\jeminise.com\20260906_234129\qa\20260907_214100\images\198_01.jpg; seo_runs\jeminise.com\20260906_234129\evidence\images\198_personalized-baseball-bedding-full-size-flag-custom-name-d-design-23\image_01_47934363762887.jpg; seo_runs\jeminise.com\20260906_234129\evidence\contact_sheets\198_personalized-baseball-bedding-full-size-flag-custom-name-d-design-23.jpg</t>
        </is>
      </c>
    </row>
    <row r="37" ht="66" customHeight="1">
      <c r="A37" s="3" t="inlineStr">
        <is>
          <t>jeminise.com+personalized-baseball-bedding-full-size-flag-custom-name-d-design-23</t>
        </is>
      </c>
      <c r="B37" s="3" t="inlineStr">
        <is>
          <t>img_bd6d634f453f8692</t>
        </is>
      </c>
      <c r="C37" s="4" t="inlineStr">
        <is>
          <t>https://cdn.shopify.com/s/files/1/0792/5098/1063/files/ef81c56fe7d5f4f60045bfbd0778e14ad11ce2a6824c23132d2b864ef763fe85_2c0d3b65-9875-4c85-ac53-191c0128b2e4.jpg?v=1787242356</t>
        </is>
      </c>
      <c r="D37" s="4" t="inlineStr">
        <is>
          <t>https://cdn.shopify.com/s/files/1/0792/5098/1063/files/ef81c56fe7d5f4f60045bfbd0778e14ad11ce2a6824c23132d2b864ef763fe85_2c0d3b65-9875-4c85-ac53-191c0128b2e4.jpg?v=1787242356</t>
        </is>
      </c>
      <c r="E37" s="3" t="inlineStr">
        <is>
          <t>47934363795655</t>
        </is>
      </c>
      <c r="F37" s="3" t="inlineStr">
        <is>
          <t>47934363795655</t>
        </is>
      </c>
      <c r="G37" s="3" t="inlineStr"/>
      <c r="H37" s="3" t="inlineStr">
        <is>
          <t>GALLERY</t>
        </is>
      </c>
      <c r="I37" s="3" t="inlineStr">
        <is>
          <t>DIRECT_IMAGE_DOWNLOAD_AND_SOURCE_ROW_REVIEW</t>
        </is>
      </c>
      <c r="J37" s="3" t="inlineStr">
        <is>
          <t>2026-09-07T21:54:17+07:00</t>
        </is>
      </c>
      <c r="K37" s="3" t="inlineStr">
        <is>
          <t>Direct QA opened downloaded image 198_02; source SHA 946D5B32E02CA70029866292D0775686EA770A101CD6D8BC2C108F506AB44BBE. Submitted observation reviewed against gallery position.</t>
        </is>
      </c>
      <c r="L37" s="3" t="inlineStr">
        <is>
          <t>Secondary flat, close-up or bedroom mockup showing night field baseball glove bedding with custom name.</t>
        </is>
      </c>
      <c r="M37" s="3" t="inlineStr">
        <is>
          <t>UNKNOWN</t>
        </is>
      </c>
      <c r="N37" s="3" t="inlineStr">
        <is>
          <t>SET</t>
        </is>
      </c>
      <c r="O37" s="3" t="inlineStr">
        <is>
          <t>Secondary bedroom mockup for Night Field Baseball Glove Bedding with Custom Name</t>
        </is>
      </c>
      <c r="P37" s="3" t="inlineStr">
        <is>
          <t>FULL</t>
        </is>
      </c>
      <c r="Q37" s="3" t="inlineStr">
        <is>
          <t>FULL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c r="Z37" s="3" t="inlineStr">
        <is>
          <t>D:\Shopify_Workspace\jeminise_seo\seo_runs\jeminise.com\20260906_234129\qa\20260907_214100\images\198_02.jpg; seo_runs\jeminise.com\20260906_234129\evidence\images\198_personalized-baseball-bedding-full-size-flag-custom-name-d-design-23\image_02_47934363795655.jpg; seo_runs\jeminise.com\20260906_234129\evidence\contact_sheets\198_personalized-baseball-bedding-full-size-flag-custom-name-d-design-23.jpg</t>
        </is>
      </c>
    </row>
    <row r="38" ht="66" customHeight="1">
      <c r="A38" s="2" t="inlineStr">
        <is>
          <t>jeminise.com+personalized-baseball-bedding-full-size-flag-custom-name-d-design-23</t>
        </is>
      </c>
      <c r="B38" s="2" t="inlineStr">
        <is>
          <t>img_db3c4fb9e3a346f6</t>
        </is>
      </c>
      <c r="C38" s="4" t="inlineStr">
        <is>
          <t>https://cdn.shopify.com/s/files/1/0792/5098/1063/files/b495d9b37eafdceff5caf3643256f7b3a83de826d49a14bdc531b13424296018_f0ab96a2-f663-4cfb-be58-fb49e4b15426.jpg?v=1787242356</t>
        </is>
      </c>
      <c r="D38" s="4" t="inlineStr">
        <is>
          <t>https://cdn.shopify.com/s/files/1/0792/5098/1063/files/b495d9b37eafdceff5caf3643256f7b3a83de826d49a14bdc531b13424296018_f0ab96a2-f663-4cfb-be58-fb49e4b15426.jpg?v=1787242356</t>
        </is>
      </c>
      <c r="E38" s="2" t="inlineStr">
        <is>
          <t>47934363828423</t>
        </is>
      </c>
      <c r="F38" s="2" t="inlineStr">
        <is>
          <t>47934363828423</t>
        </is>
      </c>
      <c r="G38" s="2" t="inlineStr"/>
      <c r="H38" s="2" t="inlineStr">
        <is>
          <t>GALLERY</t>
        </is>
      </c>
      <c r="I38" s="2" t="inlineStr">
        <is>
          <t>DIRECT_IMAGE_DOWNLOAD_AND_SOURCE_ROW_REVIEW</t>
        </is>
      </c>
      <c r="J38" s="2" t="inlineStr">
        <is>
          <t>2026-09-07T21:54:17+07:00</t>
        </is>
      </c>
      <c r="K38" s="2" t="inlineStr">
        <is>
          <t>Direct QA opened downloaded image 198_03; source SHA 82D08ED974694A5AE83601A42A9EAD30E75BA471FA67537A9B6996296A80AD73. Submitted observation reviewed against gallery position.</t>
        </is>
      </c>
      <c r="L38" s="2" t="inlineStr">
        <is>
          <t>Bedding type, feature, lifestyle or material image for night field baseball glove bedding with custom name.</t>
        </is>
      </c>
      <c r="M38" s="2" t="inlineStr">
        <is>
          <t>UNKNOWN</t>
        </is>
      </c>
      <c r="N38" s="2" t="inlineStr">
        <is>
          <t>SET</t>
        </is>
      </c>
      <c r="O38" s="2" t="inlineStr">
        <is>
          <t>Close-up or feature image for Night Field Baseball Glove Bedding with Custom Name</t>
        </is>
      </c>
      <c r="P38" s="2" t="inlineStr">
        <is>
          <t>FULL</t>
        </is>
      </c>
      <c r="Q38" s="2" t="inlineStr">
        <is>
          <t>PARTIAL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ISSUE-0059</t>
        </is>
      </c>
      <c r="Z38" s="2" t="inlineStr">
        <is>
          <t>D:\Shopify_Workspace\jeminise_seo\seo_runs\jeminise.com\20260906_234129\qa\20260907_214100\images\198_03.jpg; seo_runs\jeminise.com\20260906_234129\evidence\images\198_personalized-baseball-bedding-full-size-flag-custom-name-d-design-23\image_03_47934363828423.jpg; seo_runs\jeminise.com\20260906_234129\evidence\contact_sheets\198_personalized-baseball-bedding-full-size-flag-custom-name-d-design-23.jpg</t>
        </is>
      </c>
    </row>
    <row r="39" ht="66" customHeight="1">
      <c r="A39" s="3" t="inlineStr">
        <is>
          <t>jeminise.com+personalized-baseball-bedding-full-size-flag-custom-name-d-design-23</t>
        </is>
      </c>
      <c r="B39" s="3" t="inlineStr">
        <is>
          <t>img_99ecff8dbda8353e</t>
        </is>
      </c>
      <c r="C39" s="4" t="inlineStr">
        <is>
          <t>https://cdn.shopify.com/s/files/1/0792/5098/1063/files/d51e3360a3e4b984af63b01c4b53d517484ca3d6cb1beeea158bcf59acab9ed4_0af73dba-e243-4566-bbfe-d666cef91f7d.jpg?v=1787242356</t>
        </is>
      </c>
      <c r="D39" s="4" t="inlineStr">
        <is>
          <t>https://cdn.shopify.com/s/files/1/0792/5098/1063/files/d51e3360a3e4b984af63b01c4b53d517484ca3d6cb1beeea158bcf59acab9ed4_0af73dba-e243-4566-bbfe-d666cef91f7d.jpg?v=1787242356</t>
        </is>
      </c>
      <c r="E39" s="3" t="inlineStr">
        <is>
          <t>47934363861191</t>
        </is>
      </c>
      <c r="F39" s="3" t="inlineStr">
        <is>
          <t>47934363861191</t>
        </is>
      </c>
      <c r="G39" s="3" t="inlineStr"/>
      <c r="H39" s="3" t="inlineStr">
        <is>
          <t>GALLERY</t>
        </is>
      </c>
      <c r="I39" s="3" t="inlineStr">
        <is>
          <t>DIRECT_IMAGE_DOWNLOAD_AND_SOURCE_ROW_REVIEW</t>
        </is>
      </c>
      <c r="J39" s="3" t="inlineStr">
        <is>
          <t>2026-09-07T21:54:17+07:00</t>
        </is>
      </c>
      <c r="K39" s="3" t="inlineStr">
        <is>
          <t>Direct QA opened downloaded image 198_04; source SHA 232246736D0E74D62007D0E6971A2E140EDFD432E8573485134C1F85951D9CC3. Submitted observation reviewed against gallery position.</t>
        </is>
      </c>
      <c r="L39" s="3" t="inlineStr">
        <is>
          <t>Detail, feature panel or lifestyle image connected to night field baseball glove bedding with custom name.</t>
        </is>
      </c>
      <c r="M39" s="3" t="inlineStr">
        <is>
          <t>UNKNOWN</t>
        </is>
      </c>
      <c r="N39" s="3" t="inlineStr">
        <is>
          <t>SET</t>
        </is>
      </c>
      <c r="O39" s="3" t="inlineStr">
        <is>
          <t>Fabric or product feature image for Night Field Baseball Glove Bedding with Custom Name</t>
        </is>
      </c>
      <c r="P39" s="3" t="inlineStr">
        <is>
          <t>FULL</t>
        </is>
      </c>
      <c r="Q39" s="3" t="inlineStr">
        <is>
          <t>PARTIAL</t>
        </is>
      </c>
      <c r="R39" s="3" t="inlineStr">
        <is>
          <t>FULL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ISSUE-0060</t>
        </is>
      </c>
      <c r="Z39" s="3" t="inlineStr">
        <is>
          <t>D:\Shopify_Workspace\jeminise_seo\seo_runs\jeminise.com\20260906_234129\qa\20260907_214100\images\198_04.jpg; seo_runs\jeminise.com\20260906_234129\evidence\images\198_personalized-baseball-bedding-full-size-flag-custom-name-d-design-23\image_04_47934363861191.jpg; seo_runs\jeminise.com\20260906_234129\evidence\contact_sheets\198_personalized-baseball-bedding-full-size-flag-custom-name-d-design-23.jpg</t>
        </is>
      </c>
    </row>
    <row r="40" ht="66" customHeight="1">
      <c r="A40" s="2" t="inlineStr">
        <is>
          <t>jeminise.com+personalized-baseball-bedding-full-size-flag-custom-name-d-design-24</t>
        </is>
      </c>
      <c r="B40" s="2" t="inlineStr">
        <is>
          <t>img_a940e34e85906dfe</t>
        </is>
      </c>
      <c r="C40" s="4" t="inlineStr">
        <is>
          <t>https://cdn.shopify.com/s/files/1/0792/5098/1063/files/48589fe36faa0094c3abd003db43e21d9258e2fb97447a7de81929f16ea14bd3.jpg?v=1787242367</t>
        </is>
      </c>
      <c r="D40" s="4" t="inlineStr">
        <is>
          <t>https://cdn.shopify.com/s/files/1/0792/5098/1063/files/48589fe36faa0094c3abd003db43e21d9258e2fb97447a7de81929f16ea14bd3.jpg?v=1787242367</t>
        </is>
      </c>
      <c r="E40" s="2" t="inlineStr">
        <is>
          <t>47934364254407</t>
        </is>
      </c>
      <c r="F40" s="2" t="inlineStr">
        <is>
          <t>47934364254407</t>
        </is>
      </c>
      <c r="G40" s="2" t="inlineStr"/>
      <c r="H40" s="2" t="inlineStr">
        <is>
          <t>GALLERY</t>
        </is>
      </c>
      <c r="I40" s="2" t="inlineStr">
        <is>
          <t>DIRECT_IMAGE_DOWNLOAD_AND_SOURCE_ROW_REVIEW</t>
        </is>
      </c>
      <c r="J40" s="2" t="inlineStr">
        <is>
          <t>2026-09-07T21:54:17+07:00</t>
        </is>
      </c>
      <c r="K40" s="2" t="inlineStr">
        <is>
          <t>Direct QA opened downloaded image 199_01; source SHA A22DB699A101B42D588DAD297FE9172794F8E8B598FB82DB5D22400F4C9AB52B. Submitted observation reviewed against gallery position.</t>
        </is>
      </c>
      <c r="L40" s="2" t="inlineStr">
        <is>
          <t>Main product mockup showing smoke baseball batter bedding with vertical name.</t>
        </is>
      </c>
      <c r="M40" s="2" t="inlineStr">
        <is>
          <t>UNKNOWN</t>
        </is>
      </c>
      <c r="N40" s="2" t="inlineStr">
        <is>
          <t>SET</t>
        </is>
      </c>
      <c r="O40" s="2" t="inlineStr">
        <is>
          <t>Smoke Baseball Batter Bedding with Custom Name displayed in a main product mockup</t>
        </is>
      </c>
      <c r="P40" s="2" t="inlineStr">
        <is>
          <t>FULL</t>
        </is>
      </c>
      <c r="Q40" s="2" t="inlineStr">
        <is>
          <t>FULL</t>
        </is>
      </c>
      <c r="R40" s="2" t="inlineStr">
        <is>
          <t>PARTIAL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ISSUE-0065</t>
        </is>
      </c>
      <c r="Z40" s="2" t="inlineStr">
        <is>
          <t>D:\Shopify_Workspace\jeminise_seo\seo_runs\jeminise.com\20260906_234129\qa\20260907_214100\images\199_01.jpg; seo_runs\jeminise.com\20260906_234129\evidence\images\199_personalized-baseball-bedding-full-size-flag-custom-name-d-design-24\image_01_47934364254407.jpg; seo_runs\jeminise.com\20260906_234129\evidence\contact_sheets\199_personalized-baseball-bedding-full-size-flag-custom-name-d-design-24.jpg</t>
        </is>
      </c>
    </row>
    <row r="41" ht="66" customHeight="1">
      <c r="A41" s="3" t="inlineStr">
        <is>
          <t>jeminise.com+personalized-baseball-bedding-full-size-flag-custom-name-d-design-24</t>
        </is>
      </c>
      <c r="B41" s="3" t="inlineStr">
        <is>
          <t>img_e4fda4d52fa3ebb3</t>
        </is>
      </c>
      <c r="C41" s="4" t="inlineStr">
        <is>
          <t>https://cdn.shopify.com/s/files/1/0792/5098/1063/files/d51e3360a3e4b984af63b01c4b53d517484ca3d6cb1beeea158bcf59acab9ed4_33425e99-0e1b-4fa3-869f-6f88624fdbc2.jpg?v=1787242367</t>
        </is>
      </c>
      <c r="D41" s="4" t="inlineStr">
        <is>
          <t>https://cdn.shopify.com/s/files/1/0792/5098/1063/files/d51e3360a3e4b984af63b01c4b53d517484ca3d6cb1beeea158bcf59acab9ed4_33425e99-0e1b-4fa3-869f-6f88624fdbc2.jpg?v=1787242367</t>
        </is>
      </c>
      <c r="E41" s="3" t="inlineStr">
        <is>
          <t>47934364287175</t>
        </is>
      </c>
      <c r="F41" s="3" t="inlineStr">
        <is>
          <t>47934364287175</t>
        </is>
      </c>
      <c r="G41" s="3" t="inlineStr"/>
      <c r="H41" s="3" t="inlineStr">
        <is>
          <t>GALLERY</t>
        </is>
      </c>
      <c r="I41" s="3" t="inlineStr">
        <is>
          <t>DIRECT_IMAGE_DOWNLOAD_AND_SOURCE_ROW_REVIEW</t>
        </is>
      </c>
      <c r="J41" s="3" t="inlineStr">
        <is>
          <t>2026-09-07T21:54:17+07:00</t>
        </is>
      </c>
      <c r="K41" s="3" t="inlineStr">
        <is>
          <t>Direct QA opened downloaded image 199_02; source SHA 232246736D0E74D62007D0E6971A2E140EDFD432E8573485134C1F85951D9CC3. Submitted observation reviewed against gallery position.</t>
        </is>
      </c>
      <c r="L41" s="3" t="inlineStr">
        <is>
          <t>Secondary flat, close-up or bedroom mockup showing smoke baseball batter bedding with vertical name.</t>
        </is>
      </c>
      <c r="M41" s="3" t="inlineStr">
        <is>
          <t>UNKNOWN</t>
        </is>
      </c>
      <c r="N41" s="3" t="inlineStr">
        <is>
          <t>SET</t>
        </is>
      </c>
      <c r="O41" s="3" t="inlineStr">
        <is>
          <t>Secondary bedroom mockup for Smoke Baseball Batter Bedding with Custom Name</t>
        </is>
      </c>
      <c r="P41" s="3" t="inlineStr">
        <is>
          <t>FULL</t>
        </is>
      </c>
      <c r="Q41" s="3" t="inlineStr">
        <is>
          <t>FULL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c r="Z41" s="3" t="inlineStr">
        <is>
          <t>D:\Shopify_Workspace\jeminise_seo\seo_runs\jeminise.com\20260906_234129\qa\20260907_214100\images\199_02.jpg; seo_runs\jeminise.com\20260906_234129\evidence\images\199_personalized-baseball-bedding-full-size-flag-custom-name-d-design-24\image_02_47934364287175.jpg; seo_runs\jeminise.com\20260906_234129\evidence\contact_sheets\199_personalized-baseball-bedding-full-size-flag-custom-name-d-design-24.jpg</t>
        </is>
      </c>
    </row>
    <row r="42" ht="66" customHeight="1">
      <c r="A42" s="2" t="inlineStr">
        <is>
          <t>jeminise.com+personalized-baseball-bedding-full-size-flag-custom-name-d-design-24</t>
        </is>
      </c>
      <c r="B42" s="2" t="inlineStr">
        <is>
          <t>img_cd71d0bf3b005510</t>
        </is>
      </c>
      <c r="C42" s="4" t="inlineStr">
        <is>
          <t>https://cdn.shopify.com/s/files/1/0792/5098/1063/files/ef81c56fe7d5f4f60045bfbd0778e14ad11ce2a6824c23132d2b864ef763fe85_766ef4c1-884c-44d5-827f-36e14e40edcc.jpg?v=1787242367</t>
        </is>
      </c>
      <c r="D42" s="4" t="inlineStr">
        <is>
          <t>https://cdn.shopify.com/s/files/1/0792/5098/1063/files/ef81c56fe7d5f4f60045bfbd0778e14ad11ce2a6824c23132d2b864ef763fe85_766ef4c1-884c-44d5-827f-36e14e40edcc.jpg?v=1787242367</t>
        </is>
      </c>
      <c r="E42" s="2" t="inlineStr">
        <is>
          <t>47934364319943</t>
        </is>
      </c>
      <c r="F42" s="2" t="inlineStr">
        <is>
          <t>47934364319943</t>
        </is>
      </c>
      <c r="G42" s="2" t="inlineStr"/>
      <c r="H42" s="2" t="inlineStr">
        <is>
          <t>GALLERY</t>
        </is>
      </c>
      <c r="I42" s="2" t="inlineStr">
        <is>
          <t>DIRECT_IMAGE_DOWNLOAD_AND_SOURCE_ROW_REVIEW</t>
        </is>
      </c>
      <c r="J42" s="2" t="inlineStr">
        <is>
          <t>2026-09-07T21:54:17+07:00</t>
        </is>
      </c>
      <c r="K42" s="2" t="inlineStr">
        <is>
          <t>Direct QA opened downloaded image 199_03; source SHA 946D5B32E02CA70029866292D0775686EA770A101CD6D8BC2C108F506AB44BBE. Submitted observation reviewed against gallery position.</t>
        </is>
      </c>
      <c r="L42" s="2" t="inlineStr">
        <is>
          <t>Bedding type, feature, lifestyle or material image for smoke baseball batter bedding with vertical name.</t>
        </is>
      </c>
      <c r="M42" s="2" t="inlineStr">
        <is>
          <t>UNKNOWN</t>
        </is>
      </c>
      <c r="N42" s="2" t="inlineStr">
        <is>
          <t>SET</t>
        </is>
      </c>
      <c r="O42" s="2" t="inlineStr">
        <is>
          <t>Close-up or feature image for Smoke Baseball Batter Bedding with Custom Name</t>
        </is>
      </c>
      <c r="P42" s="2" t="inlineStr">
        <is>
          <t>FULL</t>
        </is>
      </c>
      <c r="Q42" s="2" t="inlineStr">
        <is>
          <t>PARTIAL</t>
        </is>
      </c>
      <c r="R42" s="2" t="inlineStr">
        <is>
          <t>FULL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ISSUE-0066</t>
        </is>
      </c>
      <c r="Z42" s="2" t="inlineStr">
        <is>
          <t>D:\Shopify_Workspace\jeminise_seo\seo_runs\jeminise.com\20260906_234129\qa\20260907_214100\images\199_03.jpg; seo_runs\jeminise.com\20260906_234129\evidence\images\199_personalized-baseball-bedding-full-size-flag-custom-name-d-design-24\image_03_47934364319943.jpg; seo_runs\jeminise.com\20260906_234129\evidence\contact_sheets\199_personalized-baseball-bedding-full-size-flag-custom-name-d-design-24.jpg</t>
        </is>
      </c>
    </row>
    <row r="43" ht="66" customHeight="1">
      <c r="A43" s="3" t="inlineStr">
        <is>
          <t>jeminise.com+personalized-baseball-bedding-full-size-flag-custom-name-d-design-24</t>
        </is>
      </c>
      <c r="B43" s="3" t="inlineStr">
        <is>
          <t>img_4e2cfa888bcd40e4</t>
        </is>
      </c>
      <c r="C43" s="4" t="inlineStr">
        <is>
          <t>https://cdn.shopify.com/s/files/1/0792/5098/1063/files/b495d9b37eafdceff5caf3643256f7b3a83de826d49a14bdc531b13424296018_c1b435da-31ed-49cb-90f8-62de1a425cc9.jpg?v=1787242367</t>
        </is>
      </c>
      <c r="D43" s="4" t="inlineStr">
        <is>
          <t>https://cdn.shopify.com/s/files/1/0792/5098/1063/files/b495d9b37eafdceff5caf3643256f7b3a83de826d49a14bdc531b13424296018_c1b435da-31ed-49cb-90f8-62de1a425cc9.jpg?v=1787242367</t>
        </is>
      </c>
      <c r="E43" s="3" t="inlineStr">
        <is>
          <t>47934364352711</t>
        </is>
      </c>
      <c r="F43" s="3" t="inlineStr">
        <is>
          <t>47934364352711</t>
        </is>
      </c>
      <c r="G43" s="3" t="inlineStr"/>
      <c r="H43" s="3" t="inlineStr">
        <is>
          <t>GALLERY</t>
        </is>
      </c>
      <c r="I43" s="3" t="inlineStr">
        <is>
          <t>DIRECT_IMAGE_DOWNLOAD_AND_SOURCE_ROW_REVIEW</t>
        </is>
      </c>
      <c r="J43" s="3" t="inlineStr">
        <is>
          <t>2026-09-07T21:54:17+07:00</t>
        </is>
      </c>
      <c r="K43" s="3" t="inlineStr">
        <is>
          <t>Direct QA opened downloaded image 199_04; source SHA 82D08ED974694A5AE83601A42A9EAD30E75BA471FA67537A9B6996296A80AD73. Submitted observation reviewed against gallery position.</t>
        </is>
      </c>
      <c r="L43" s="3" t="inlineStr">
        <is>
          <t>Detail, feature panel or lifestyle image connected to smoke baseball batter bedding with vertical name.</t>
        </is>
      </c>
      <c r="M43" s="3" t="inlineStr">
        <is>
          <t>UNKNOWN</t>
        </is>
      </c>
      <c r="N43" s="3" t="inlineStr">
        <is>
          <t>SET</t>
        </is>
      </c>
      <c r="O43" s="3" t="inlineStr">
        <is>
          <t>Fabric or product feature image for Smoke Baseball Batter Bedding with Custom Name</t>
        </is>
      </c>
      <c r="P43" s="3" t="inlineStr">
        <is>
          <t>FULL</t>
        </is>
      </c>
      <c r="Q43" s="3" t="inlineStr">
        <is>
          <t>PARTIAL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ISSUE-0067</t>
        </is>
      </c>
      <c r="Z43" s="3" t="inlineStr">
        <is>
          <t>D:\Shopify_Workspace\jeminise_seo\seo_runs\jeminise.com\20260906_234129\qa\20260907_214100\images\199_04.jpg; seo_runs\jeminise.com\20260906_234129\evidence\images\199_personalized-baseball-bedding-full-size-flag-custom-name-d-design-24\image_04_47934364352711.jpg; seo_runs\jeminise.com\20260906_234129\evidence\contact_sheets\199_personalized-baseball-bedding-full-size-flag-custom-name-d-design-24.jpg</t>
        </is>
      </c>
    </row>
    <row r="44" ht="66" customHeight="1">
      <c r="A44" s="2" t="inlineStr">
        <is>
          <t>jeminise.com+personalized-baseball-bedding-full-size-flag-custom-name-d-design-25</t>
        </is>
      </c>
      <c r="B44" s="2" t="inlineStr">
        <is>
          <t>img_c9078cd90b1bb6ee</t>
        </is>
      </c>
      <c r="C44" s="4" t="inlineStr">
        <is>
          <t>https://cdn.shopify.com/s/files/1/0792/5098/1063/files/11df9a4659d388206c41b6ce006bba9cd9188c4599d5b1e80f4bbcd5c77de54c.jpg?v=1787242376</t>
        </is>
      </c>
      <c r="D44" s="4" t="inlineStr">
        <is>
          <t>https://cdn.shopify.com/s/files/1/0792/5098/1063/files/11df9a4659d388206c41b6ce006bba9cd9188c4599d5b1e80f4bbcd5c77de54c.jpg?v=1787242376</t>
        </is>
      </c>
      <c r="E44" s="2" t="inlineStr">
        <is>
          <t>47934365499591</t>
        </is>
      </c>
      <c r="F44" s="2" t="inlineStr">
        <is>
          <t>47934365499591</t>
        </is>
      </c>
      <c r="G44" s="2" t="inlineStr"/>
      <c r="H44" s="2" t="inlineStr">
        <is>
          <t>GALLERY</t>
        </is>
      </c>
      <c r="I44" s="2" t="inlineStr">
        <is>
          <t>DIRECT_IMAGE_DOWNLOAD_AND_SOURCE_ROW_REVIEW</t>
        </is>
      </c>
      <c r="J44" s="2" t="inlineStr">
        <is>
          <t>2026-09-07T21:54:17+07:00</t>
        </is>
      </c>
      <c r="K44" s="2" t="inlineStr">
        <is>
          <t>Direct QA opened downloaded image 200_01; source SHA 25C372464DD325F04C04692B11183EA433B5382EDD52158677763916F52263FD. Submitted observation reviewed against gallery position.</t>
        </is>
      </c>
      <c r="L44" s="2" t="inlineStr">
        <is>
          <t>Main product mockup showing baseball stitching bedding with script name and number.</t>
        </is>
      </c>
      <c r="M44" s="2" t="inlineStr">
        <is>
          <t>UNKNOWN</t>
        </is>
      </c>
      <c r="N44" s="2" t="inlineStr">
        <is>
          <t>SET</t>
        </is>
      </c>
      <c r="O44" s="2" t="inlineStr">
        <is>
          <t>Baseball Stitching Bedding with Name and Number displayed in a main product mockup</t>
        </is>
      </c>
      <c r="P44" s="2" t="inlineStr">
        <is>
          <t>FULL</t>
        </is>
      </c>
      <c r="Q44" s="2" t="inlineStr">
        <is>
          <t>FULL</t>
        </is>
      </c>
      <c r="R44" s="2" t="inlineStr">
        <is>
          <t>PARTIAL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ISSUE-0072</t>
        </is>
      </c>
      <c r="Z44" s="2" t="inlineStr">
        <is>
          <t>D:\Shopify_Workspace\jeminise_seo\seo_runs\jeminise.com\20260906_234129\qa\20260907_214100\images\200_01.jpg; seo_runs\jeminise.com\20260906_234129\evidence\images\200_personalized-baseball-bedding-full-size-flag-custom-name-d-design-25\image_01_47934365499591.jpg; seo_runs\jeminise.com\20260906_234129\evidence\contact_sheets\200_personalized-baseball-bedding-full-size-flag-custom-name-d-design-25.jpg</t>
        </is>
      </c>
    </row>
    <row r="45" ht="66" customHeight="1">
      <c r="A45" s="3" t="inlineStr">
        <is>
          <t>jeminise.com+personalized-baseball-bedding-full-size-flag-custom-name-d-design-25</t>
        </is>
      </c>
      <c r="B45" s="3" t="inlineStr">
        <is>
          <t>img_aef16f593db711a2</t>
        </is>
      </c>
      <c r="C45" s="4" t="inlineStr">
        <is>
          <t>https://cdn.shopify.com/s/files/1/0792/5098/1063/files/ef81c56fe7d5f4f60045bfbd0778e14ad11ce2a6824c23132d2b864ef763fe85_4855d557-0638-463c-b5c7-05579b820495.jpg?v=1787242376</t>
        </is>
      </c>
      <c r="D45" s="4" t="inlineStr">
        <is>
          <t>https://cdn.shopify.com/s/files/1/0792/5098/1063/files/ef81c56fe7d5f4f60045bfbd0778e14ad11ce2a6824c23132d2b864ef763fe85_4855d557-0638-463c-b5c7-05579b820495.jpg?v=1787242376</t>
        </is>
      </c>
      <c r="E45" s="3" t="inlineStr">
        <is>
          <t>47934365532359</t>
        </is>
      </c>
      <c r="F45" s="3" t="inlineStr">
        <is>
          <t>47934365532359</t>
        </is>
      </c>
      <c r="G45" s="3" t="inlineStr"/>
      <c r="H45" s="3" t="inlineStr">
        <is>
          <t>GALLERY</t>
        </is>
      </c>
      <c r="I45" s="3" t="inlineStr">
        <is>
          <t>DIRECT_IMAGE_DOWNLOAD_AND_SOURCE_ROW_REVIEW</t>
        </is>
      </c>
      <c r="J45" s="3" t="inlineStr">
        <is>
          <t>2026-09-07T21:54:17+07:00</t>
        </is>
      </c>
      <c r="K45" s="3" t="inlineStr">
        <is>
          <t>Direct QA opened downloaded image 200_02; source SHA 946D5B32E02CA70029866292D0775686EA770A101CD6D8BC2C108F506AB44BBE. Submitted observation reviewed against gallery position.</t>
        </is>
      </c>
      <c r="L45" s="3" t="inlineStr">
        <is>
          <t>Secondary flat, close-up or bedroom mockup showing baseball stitching bedding with script name and number.</t>
        </is>
      </c>
      <c r="M45" s="3" t="inlineStr">
        <is>
          <t>UNKNOWN</t>
        </is>
      </c>
      <c r="N45" s="3" t="inlineStr">
        <is>
          <t>SET</t>
        </is>
      </c>
      <c r="O45" s="3" t="inlineStr">
        <is>
          <t>Secondary bedroom mockup for Baseball Stitching Bedding with Name and Number</t>
        </is>
      </c>
      <c r="P45" s="3" t="inlineStr">
        <is>
          <t>FULL</t>
        </is>
      </c>
      <c r="Q45" s="3" t="inlineStr">
        <is>
          <t>FULL</t>
        </is>
      </c>
      <c r="R45" s="3" t="inlineStr">
        <is>
          <t>FULL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c r="Z45" s="3" t="inlineStr">
        <is>
          <t>D:\Shopify_Workspace\jeminise_seo\seo_runs\jeminise.com\20260906_234129\qa\20260907_214100\images\200_02.jpg; seo_runs\jeminise.com\20260906_234129\evidence\images\200_personalized-baseball-bedding-full-size-flag-custom-name-d-design-25\image_02_47934365532359.jpg; seo_runs\jeminise.com\20260906_234129\evidence\contact_sheets\200_personalized-baseball-bedding-full-size-flag-custom-name-d-design-25.jpg</t>
        </is>
      </c>
    </row>
    <row r="46" ht="66" customHeight="1">
      <c r="A46" s="2" t="inlineStr">
        <is>
          <t>jeminise.com+personalized-baseball-bedding-full-size-flag-custom-name-d-design-25</t>
        </is>
      </c>
      <c r="B46" s="2" t="inlineStr">
        <is>
          <t>img_2d4066b726fff0eb</t>
        </is>
      </c>
      <c r="C46" s="4" t="inlineStr">
        <is>
          <t>https://cdn.shopify.com/s/files/1/0792/5098/1063/files/b495d9b37eafdceff5caf3643256f7b3a83de826d49a14bdc531b13424296018_b3a0dd2b-a99d-414d-a718-2cbc419deb98.jpg?v=1787242376</t>
        </is>
      </c>
      <c r="D46" s="4" t="inlineStr">
        <is>
          <t>https://cdn.shopify.com/s/files/1/0792/5098/1063/files/b495d9b37eafdceff5caf3643256f7b3a83de826d49a14bdc531b13424296018_b3a0dd2b-a99d-414d-a718-2cbc419deb98.jpg?v=1787242376</t>
        </is>
      </c>
      <c r="E46" s="2" t="inlineStr">
        <is>
          <t>47934365565127</t>
        </is>
      </c>
      <c r="F46" s="2" t="inlineStr">
        <is>
          <t>47934365565127</t>
        </is>
      </c>
      <c r="G46" s="2" t="inlineStr"/>
      <c r="H46" s="2" t="inlineStr">
        <is>
          <t>GALLERY</t>
        </is>
      </c>
      <c r="I46" s="2" t="inlineStr">
        <is>
          <t>DIRECT_IMAGE_DOWNLOAD_AND_SOURCE_ROW_REVIEW</t>
        </is>
      </c>
      <c r="J46" s="2" t="inlineStr">
        <is>
          <t>2026-09-07T21:54:17+07:00</t>
        </is>
      </c>
      <c r="K46" s="2" t="inlineStr">
        <is>
          <t>Direct QA opened downloaded image 200_03; source SHA 82D08ED974694A5AE83601A42A9EAD30E75BA471FA67537A9B6996296A80AD73. Submitted observation reviewed against gallery position.</t>
        </is>
      </c>
      <c r="L46" s="2" t="inlineStr">
        <is>
          <t>Bedding type, feature, lifestyle or material image for baseball stitching bedding with script name and number.</t>
        </is>
      </c>
      <c r="M46" s="2" t="inlineStr">
        <is>
          <t>UNKNOWN</t>
        </is>
      </c>
      <c r="N46" s="2" t="inlineStr">
        <is>
          <t>SET</t>
        </is>
      </c>
      <c r="O46" s="2" t="inlineStr">
        <is>
          <t>Close-up or feature image for Baseball Stitching Bedding with Name and Number</t>
        </is>
      </c>
      <c r="P46" s="2" t="inlineStr">
        <is>
          <t>FULL</t>
        </is>
      </c>
      <c r="Q46" s="2" t="inlineStr">
        <is>
          <t>PARTIAL</t>
        </is>
      </c>
      <c r="R46" s="2" t="inlineStr">
        <is>
          <t>FULL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ISSUE-0073</t>
        </is>
      </c>
      <c r="Z46" s="2" t="inlineStr">
        <is>
          <t>D:\Shopify_Workspace\jeminise_seo\seo_runs\jeminise.com\20260906_234129\qa\20260907_214100\images\200_03.jpg; seo_runs\jeminise.com\20260906_234129\evidence\images\200_personalized-baseball-bedding-full-size-flag-custom-name-d-design-25\image_03_47934365565127.jpg; seo_runs\jeminise.com\20260906_234129\evidence\contact_sheets\200_personalized-baseball-bedding-full-size-flag-custom-name-d-design-25.jpg</t>
        </is>
      </c>
    </row>
    <row r="47" ht="66" customHeight="1">
      <c r="A47" s="3" t="inlineStr">
        <is>
          <t>jeminise.com+personalized-baseball-bedding-full-size-flag-custom-name-d-design-25</t>
        </is>
      </c>
      <c r="B47" s="3" t="inlineStr">
        <is>
          <t>img_36841232a1354643</t>
        </is>
      </c>
      <c r="C47" s="4" t="inlineStr">
        <is>
          <t>https://cdn.shopify.com/s/files/1/0792/5098/1063/files/d51e3360a3e4b984af63b01c4b53d517484ca3d6cb1beeea158bcf59acab9ed4_6b97eed2-12e5-4dfe-b90c-c6cb2b7ed923.jpg?v=1787242376</t>
        </is>
      </c>
      <c r="D47" s="4" t="inlineStr">
        <is>
          <t>https://cdn.shopify.com/s/files/1/0792/5098/1063/files/d51e3360a3e4b984af63b01c4b53d517484ca3d6cb1beeea158bcf59acab9ed4_6b97eed2-12e5-4dfe-b90c-c6cb2b7ed923.jpg?v=1787242376</t>
        </is>
      </c>
      <c r="E47" s="3" t="inlineStr">
        <is>
          <t>47934365597895</t>
        </is>
      </c>
      <c r="F47" s="3" t="inlineStr">
        <is>
          <t>47934365597895</t>
        </is>
      </c>
      <c r="G47" s="3" t="inlineStr"/>
      <c r="H47" s="3" t="inlineStr">
        <is>
          <t>GALLERY</t>
        </is>
      </c>
      <c r="I47" s="3" t="inlineStr">
        <is>
          <t>DIRECT_IMAGE_DOWNLOAD_AND_SOURCE_ROW_REVIEW</t>
        </is>
      </c>
      <c r="J47" s="3" t="inlineStr">
        <is>
          <t>2026-09-07T21:54:17+07:00</t>
        </is>
      </c>
      <c r="K47" s="3" t="inlineStr">
        <is>
          <t>Direct QA opened downloaded image 200_04; source SHA 232246736D0E74D62007D0E6971A2E140EDFD432E8573485134C1F85951D9CC3. Submitted observation reviewed against gallery position.</t>
        </is>
      </c>
      <c r="L47" s="3" t="inlineStr">
        <is>
          <t>Detail, feature panel or lifestyle image connected to baseball stitching bedding with script name and number.</t>
        </is>
      </c>
      <c r="M47" s="3" t="inlineStr">
        <is>
          <t>UNKNOWN</t>
        </is>
      </c>
      <c r="N47" s="3" t="inlineStr">
        <is>
          <t>SET</t>
        </is>
      </c>
      <c r="O47" s="3" t="inlineStr">
        <is>
          <t>Fabric or product feature image for Baseball Stitching Bedding with Name and Number</t>
        </is>
      </c>
      <c r="P47" s="3" t="inlineStr">
        <is>
          <t>FULL</t>
        </is>
      </c>
      <c r="Q47" s="3" t="inlineStr">
        <is>
          <t>PARTIAL</t>
        </is>
      </c>
      <c r="R47" s="3" t="inlineStr">
        <is>
          <t>FULL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ISSUE-0074</t>
        </is>
      </c>
      <c r="Z47" s="3" t="inlineStr">
        <is>
          <t>D:\Shopify_Workspace\jeminise_seo\seo_runs\jeminise.com\20260906_234129\qa\20260907_214100\images\200_04.jpg; seo_runs\jeminise.com\20260906_234129\evidence\images\200_personalized-baseball-bedding-full-size-flag-custom-name-d-design-25\image_04_47934365597895.jpg; seo_runs\jeminise.com\20260906_234129\evidence\contact_sheets\200_personalized-baseball-bedding-full-size-flag-custom-name-d-design-25.jpg</t>
        </is>
      </c>
    </row>
  </sheetData>
  <autoFilter ref="A1:Z47"/>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75"/>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ISSUE-0001</t>
        </is>
      </c>
      <c r="B2" s="2" t="inlineStr">
        <is>
          <t>jeminise.com+personalized-baseball-bedding-full-size-flag-custom-name-d-design-16</t>
        </is>
      </c>
      <c r="C2" s="2" t="inlineStr"/>
      <c r="D2" s="2" t="inlineStr">
        <is>
          <t>MAJOR</t>
        </is>
      </c>
      <c r="E2" s="2" t="inlineStr">
        <is>
          <t>description_proposed_html</t>
        </is>
      </c>
      <c r="F2" s="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t>
        </is>
      </c>
      <c r="G2" s="2" t="inlineStr">
        <is>
          <t>Draft contains SEO Use / QA approval wording.</t>
        </is>
      </c>
      <c r="H2" s="2" t="inlineStr">
        <is>
          <t>Internal workflow language is not publish-ready storefront copy.</t>
        </is>
      </c>
      <c r="I2" s="2" t="inlineStr">
        <is>
          <t>Remove internal QA/import block and replace with customer-facing verified copy.</t>
        </is>
      </c>
      <c r="J2" s="2" t="inlineStr">
        <is>
          <t>Draft contains SEO Use / QA approval wording.</t>
        </is>
      </c>
      <c r="K2" s="2" t="inlineStr">
        <is>
          <t>Description HTML no longer contains SEO Use, QA, approval, import or draft language.</t>
        </is>
      </c>
    </row>
    <row r="3" ht="84" customHeight="1">
      <c r="A3" s="3" t="inlineStr">
        <is>
          <t>ISSUE-0002</t>
        </is>
      </c>
      <c r="B3" s="3" t="inlineStr">
        <is>
          <t>jeminise.com+personalized-baseball-bedding-full-size-flag-custom-name-d-design-16</t>
        </is>
      </c>
      <c r="C3" s="3" t="inlineStr"/>
      <c r="D3" s="3" t="inlineStr">
        <is>
          <t>MAJOR</t>
        </is>
      </c>
      <c r="E3" s="3" t="inlineStr">
        <is>
          <t>h1_proposed</t>
        </is>
      </c>
      <c r="F3" s="3" t="inlineStr"/>
      <c r="G3" s="3" t="inlineStr">
        <is>
          <t>The submitted workbook row has no proposed H1.</t>
        </is>
      </c>
      <c r="H3" s="3" t="inlineStr">
        <is>
          <t>A publishable SEO title/H1 pair is incomplete when the H1 field is blank.</t>
        </is>
      </c>
      <c r="I3" s="3" t="inlineStr">
        <is>
          <t>Write one English H1 that matches the verified product type and visible design; do not copy unsupported claims.</t>
        </is>
      </c>
      <c r="J3" s="3" t="inlineStr">
        <is>
          <t>The submitted workbook row has no proposed H1.</t>
        </is>
      </c>
      <c r="K3" s="3" t="inlineStr">
        <is>
          <t>Workbook contains a non-empty H1 and it is consistent with title, primary keyword and live product evidence.</t>
        </is>
      </c>
    </row>
    <row r="4" ht="84" customHeight="1">
      <c r="A4" s="2" t="inlineStr">
        <is>
          <t>ISSUE-0003</t>
        </is>
      </c>
      <c r="B4" s="2" t="inlineStr">
        <is>
          <t>jeminise.com+personalized-baseball-bedding-full-size-flag-custom-name-d-design-16</t>
        </is>
      </c>
      <c r="C4" s="2" t="inlineStr"/>
      <c r="D4" s="2" t="inlineStr">
        <is>
          <t>MINOR</t>
        </is>
      </c>
      <c r="E4" s="2" t="inlineStr">
        <is>
          <t>meta_description_seo</t>
        </is>
      </c>
      <c r="F4" s="2" t="inlineStr">
        <is>
          <t>Shop a comforter set featuring red and black baseball bedding with a batter silhouette, large custom name and jersey number artwork. Review size and personalization options before checkout.</t>
        </is>
      </c>
      <c r="G4" s="2" t="inlineStr">
        <is>
          <t>Meta description length is 189 characters.</t>
        </is>
      </c>
      <c r="H4" s="2" t="inlineStr">
        <is>
          <t>Likely to truncate in search results and repeats review/personality wording in several rows.</t>
        </is>
      </c>
      <c r="I4" s="2" t="inlineStr">
        <is>
          <t>Rewrite to roughly 145-155 characters while preserving verified design and product type.</t>
        </is>
      </c>
      <c r="J4" s="2" t="inlineStr">
        <is>
          <t>Meta description length is 189 characters.</t>
        </is>
      </c>
      <c r="K4" s="2" t="inlineStr">
        <is>
          <t>Length check &lt;=160 characters and no unsupported claim remains.</t>
        </is>
      </c>
    </row>
    <row r="5" ht="84" customHeight="1">
      <c r="A5" s="3" t="inlineStr">
        <is>
          <t>ISSUE-0004</t>
        </is>
      </c>
      <c r="B5" s="3" t="inlineStr">
        <is>
          <t>jeminise.com+personalized-baseball-bedding-full-size-flag-custom-name-d-design-16</t>
        </is>
      </c>
      <c r="C5" s="3" t="inlineStr"/>
      <c r="D5" s="3" t="inlineStr">
        <is>
          <t>LIMITATION</t>
        </is>
      </c>
      <c r="E5" s="3" t="inlineStr">
        <is>
          <t>keyword_evidence_level</t>
        </is>
      </c>
      <c r="F5" s="3" t="inlineStr">
        <is>
          <t>SERP_ONLY</t>
        </is>
      </c>
      <c r="G5" s="3" t="inlineStr">
        <is>
          <t>Only public SERP comparables are available.</t>
        </is>
      </c>
      <c r="H5" s="3" t="inlineStr">
        <is>
          <t>No Search Console, paid keyword volume or internal site search export was supplied.</t>
        </is>
      </c>
      <c r="I5" s="3" t="inlineStr">
        <is>
          <t>Keep demand statements qualitative; do not claim volume or ranking potential.</t>
        </is>
      </c>
      <c r="J5" s="3" t="inlineStr">
        <is>
          <t>Only public SERP comparables are available.</t>
        </is>
      </c>
      <c r="K5" s="3" t="inlineStr">
        <is>
          <t>Additional first-party or paid keyword evidence is attached, or limitation remains documented.</t>
        </is>
      </c>
    </row>
    <row r="6" ht="84" customHeight="1">
      <c r="A6" s="2" t="inlineStr">
        <is>
          <t>ISSUE-0005</t>
        </is>
      </c>
      <c r="B6" s="2" t="inlineStr">
        <is>
          <t>jeminise.com+personalized-baseball-bedding-full-size-flag-custom-name-d-design-16</t>
        </is>
      </c>
      <c r="C6" s="2" t="inlineStr">
        <is>
          <t>img_7537d7ec01f9a7c6</t>
        </is>
      </c>
      <c r="D6" s="2" t="inlineStr">
        <is>
          <t>MINOR</t>
        </is>
      </c>
      <c r="E6" s="2" t="inlineStr">
        <is>
          <t>alt text</t>
        </is>
      </c>
      <c r="F6" s="2" t="inlineStr">
        <is>
          <t>Red Black Batter Baseball Bedding with Custom Name displayed in a main product mockup</t>
        </is>
      </c>
      <c r="G6" s="2" t="inlineStr">
        <is>
          <t>Fresh image file: D:\Shopify_Workspace\jeminise_seo\seo_runs\jeminise.com\20260906_234129\qa\20260907_214100\images\191_01.jpg; source URL: https://cdn.shopify.com/s/files/1/0792/5098/1063/files/b7ef026f0d99066acd408c028cb84843da12c8ff46b05701b0a855208589add2.jpg?v=1787242318</t>
        </is>
      </c>
      <c r="H6" s="2" t="inlineStr">
        <is>
          <t>Alt text is too generic or describes placement more than visible content.</t>
        </is>
      </c>
      <c r="I6" s="2" t="inlineStr">
        <is>
          <t>Rewrite observation/alt from the directly opened image, naming the visible motif and use context.</t>
        </is>
      </c>
      <c r="J6" s="2" t="inlineStr">
        <is>
          <t>Fresh image file: D:\Shopify_Workspace\jeminise_seo\seo_runs\jeminise.com\20260906_234129\qa\20260907_214100\images\191_01.jpg; source URL: https://cdn.shopify.com/s/files/1/0792/5098/1063/files/b7ef026f0d99066acd408c028cb84843da12c8ff46b05701b0a855208589add2.jpg?v=1787242318</t>
        </is>
      </c>
      <c r="K6" s="2" t="inlineStr">
        <is>
          <t>The image row accurately describes the actual media at this gallery position.</t>
        </is>
      </c>
    </row>
    <row r="7" ht="84" customHeight="1">
      <c r="A7" s="3" t="inlineStr">
        <is>
          <t>ISSUE-0006</t>
        </is>
      </c>
      <c r="B7" s="3" t="inlineStr">
        <is>
          <t>jeminise.com+personalized-baseball-bedding-full-size-flag-custom-name-d-design-16</t>
        </is>
      </c>
      <c r="C7" s="3" t="inlineStr">
        <is>
          <t>img_448ac32a891c809a</t>
        </is>
      </c>
      <c r="D7" s="3" t="inlineStr">
        <is>
          <t>MINOR</t>
        </is>
      </c>
      <c r="E7" s="3" t="inlineStr">
        <is>
          <t>image observation</t>
        </is>
      </c>
      <c r="F7" s="3" t="inlineStr">
        <is>
          <t>Bedding type, feature, lifestyle or material image for red black batter baseball bedding with name.</t>
        </is>
      </c>
      <c r="G7" s="3" t="inlineStr">
        <is>
          <t>Fresh image file: D:\Shopify_Workspace\jeminise_seo\seo_runs\jeminise.com\20260906_234129\qa\20260907_214100\images\191_03.jpg; source URL: https://cdn.shopify.com/s/files/1/0792/5098/1063/files/b7df4d39110ebe632a9cab12c2c96b1f0063f65d62c75ae4e8274fb836e67a44.jpg?v=1787242318</t>
        </is>
      </c>
      <c r="H7" s="3" t="inlineStr">
        <is>
          <t>Observation is generic or position-based; rewrite from the actual image content.</t>
        </is>
      </c>
      <c r="I7" s="3" t="inlineStr">
        <is>
          <t>Rewrite observation/alt from the directly opened image, naming the visible motif and use context.</t>
        </is>
      </c>
      <c r="J7" s="3" t="inlineStr">
        <is>
          <t>Fresh image file: D:\Shopify_Workspace\jeminise_seo\seo_runs\jeminise.com\20260906_234129\qa\20260907_214100\images\191_03.jpg; source URL: https://cdn.shopify.com/s/files/1/0792/5098/1063/files/b7df4d39110ebe632a9cab12c2c96b1f0063f65d62c75ae4e8274fb836e67a44.jpg?v=1787242318</t>
        </is>
      </c>
      <c r="K7" s="3" t="inlineStr">
        <is>
          <t>The image row accurately describes the actual media at this gallery position.</t>
        </is>
      </c>
    </row>
    <row r="8" ht="84" customHeight="1">
      <c r="A8" s="2" t="inlineStr">
        <is>
          <t>ISSUE-0007</t>
        </is>
      </c>
      <c r="B8" s="2" t="inlineStr">
        <is>
          <t>jeminise.com+personalized-baseball-bedding-full-size-flag-custom-name-d-design-16</t>
        </is>
      </c>
      <c r="C8" s="2" t="inlineStr">
        <is>
          <t>img_2f7711025e5f93d9</t>
        </is>
      </c>
      <c r="D8" s="2" t="inlineStr">
        <is>
          <t>MINOR</t>
        </is>
      </c>
      <c r="E8" s="2" t="inlineStr">
        <is>
          <t>image observation</t>
        </is>
      </c>
      <c r="F8" s="2" t="inlineStr">
        <is>
          <t>Detail, feature panel or lifestyle image connected to red black batter baseball bedding with name.</t>
        </is>
      </c>
      <c r="G8" s="2" t="inlineStr">
        <is>
          <t>Fresh image file: D:\Shopify_Workspace\jeminise_seo\seo_runs\jeminise.com\20260906_234129\qa\20260907_214100\images\191_04.jpg; source URL: https://cdn.shopify.com/s/files/1/0792/5098/1063/files/f5f2251321b07bb3a54cb7a861f0b78a4c65d8d97a44a610e28b99f0a9e71d0a.jpg?v=1787242318</t>
        </is>
      </c>
      <c r="H8" s="2" t="inlineStr">
        <is>
          <t>Observation is generic or position-based; rewrite from the actual image content.</t>
        </is>
      </c>
      <c r="I8" s="2" t="inlineStr">
        <is>
          <t>Rewrite observation/alt from the directly opened image, naming the visible motif and use context.</t>
        </is>
      </c>
      <c r="J8" s="2" t="inlineStr">
        <is>
          <t>Fresh image file: D:\Shopify_Workspace\jeminise_seo\seo_runs\jeminise.com\20260906_234129\qa\20260907_214100\images\191_04.jpg; source URL: https://cdn.shopify.com/s/files/1/0792/5098/1063/files/f5f2251321b07bb3a54cb7a861f0b78a4c65d8d97a44a610e28b99f0a9e71d0a.jpg?v=1787242318</t>
        </is>
      </c>
      <c r="K8" s="2" t="inlineStr">
        <is>
          <t>The image row accurately describes the actual media at this gallery position.</t>
        </is>
      </c>
    </row>
    <row r="9" ht="84" customHeight="1">
      <c r="A9" s="3" t="inlineStr">
        <is>
          <t>ISSUE-0008</t>
        </is>
      </c>
      <c r="B9" s="3" t="inlineStr">
        <is>
          <t>jeminise.com+personalized-baseball-bedding-full-size-flag-custom-name-d-design-16</t>
        </is>
      </c>
      <c r="C9" s="3" t="inlineStr">
        <is>
          <t>img_eb977e3a286388cd</t>
        </is>
      </c>
      <c r="D9" s="3" t="inlineStr">
        <is>
          <t>MINOR</t>
        </is>
      </c>
      <c r="E9" s="3" t="inlineStr">
        <is>
          <t>image observation</t>
        </is>
      </c>
      <c r="F9" s="3" t="inlineStr">
        <is>
          <t>Easy-care, size guide or product feature image for red black batter baseball bedding with name.</t>
        </is>
      </c>
      <c r="G9" s="3" t="inlineStr">
        <is>
          <t>Fresh image file: D:\Shopify_Workspace\jeminise_seo\seo_runs\jeminise.com\20260906_234129\qa\20260907_214100\images\191_06.jpg; source URL: https://cdn.shopify.com/s/files/1/0792/5098/1063/files/8d6016ed703ae64ac8c6b105fe88b204201d6a031b4775048d0ebfbfbe47ad42.jpg?v=1787242318</t>
        </is>
      </c>
      <c r="H9" s="3" t="inlineStr">
        <is>
          <t>Observation is generic or position-based; rewrite from the actual image content.</t>
        </is>
      </c>
      <c r="I9" s="3" t="inlineStr">
        <is>
          <t>Rewrite observation/alt from the directly opened image, naming the visible motif and use context.</t>
        </is>
      </c>
      <c r="J9" s="3" t="inlineStr">
        <is>
          <t>Fresh image file: D:\Shopify_Workspace\jeminise_seo\seo_runs\jeminise.com\20260906_234129\qa\20260907_214100\images\191_06.jpg; source URL: https://cdn.shopify.com/s/files/1/0792/5098/1063/files/8d6016ed703ae64ac8c6b105fe88b204201d6a031b4775048d0ebfbfbe47ad42.jpg?v=1787242318</t>
        </is>
      </c>
      <c r="K9" s="3" t="inlineStr">
        <is>
          <t>The image row accurately describes the actual media at this gallery position.</t>
        </is>
      </c>
    </row>
    <row r="10" ht="84" customHeight="1">
      <c r="A10" s="2" t="inlineStr">
        <is>
          <t>ISSUE-0009</t>
        </is>
      </c>
      <c r="B10" s="2" t="inlineStr">
        <is>
          <t>jeminise.com+personalized-baseball-bedding-full-size-flag-custom-name-d-design-16</t>
        </is>
      </c>
      <c r="C10" s="2" t="inlineStr">
        <is>
          <t>img_06cbf5be9888704f</t>
        </is>
      </c>
      <c r="D10" s="2" t="inlineStr">
        <is>
          <t>MINOR</t>
        </is>
      </c>
      <c r="E10" s="2" t="inlineStr">
        <is>
          <t>image observation</t>
        </is>
      </c>
      <c r="F10" s="2" t="inlineStr">
        <is>
          <t>Additional lifestyle, feature or product detail image showing red black batter baseball bedding with name.</t>
        </is>
      </c>
      <c r="G10" s="2" t="inlineStr">
        <is>
          <t>Fresh image file: D:\Shopify_Workspace\jeminise_seo\seo_runs\jeminise.com\20260906_234129\qa\20260907_214100\images\191_07.jpg; source URL: https://cdn.shopify.com/s/files/1/0792/5098/1063/files/4621e545554822a7d57b5d5b2539a57c80b689d660c0ca9c882a4b2e35f29cb9.jpg?v=1787242318</t>
        </is>
      </c>
      <c r="H10" s="2" t="inlineStr">
        <is>
          <t>Observation is generic or position-based; rewrite from the actual image content.</t>
        </is>
      </c>
      <c r="I10" s="2" t="inlineStr">
        <is>
          <t>Rewrite observation/alt from the directly opened image, naming the visible motif and use context.</t>
        </is>
      </c>
      <c r="J10" s="2" t="inlineStr">
        <is>
          <t>Fresh image file: D:\Shopify_Workspace\jeminise_seo\seo_runs\jeminise.com\20260906_234129\qa\20260907_214100\images\191_07.jpg; source URL: https://cdn.shopify.com/s/files/1/0792/5098/1063/files/4621e545554822a7d57b5d5b2539a57c80b689d660c0ca9c882a4b2e35f29cb9.jpg?v=1787242318</t>
        </is>
      </c>
      <c r="K10" s="2" t="inlineStr">
        <is>
          <t>The image row accurately describes the actual media at this gallery position.</t>
        </is>
      </c>
    </row>
    <row r="11" ht="84" customHeight="1">
      <c r="A11" s="3" t="inlineStr">
        <is>
          <t>ISSUE-0010</t>
        </is>
      </c>
      <c r="B11" s="3" t="inlineStr">
        <is>
          <t>jeminise.com+personalized-baseball-bedding-full-size-flag-custom-name-d-design-17</t>
        </is>
      </c>
      <c r="C11" s="3" t="inlineStr"/>
      <c r="D11" s="3" t="inlineStr">
        <is>
          <t>MAJOR</t>
        </is>
      </c>
      <c r="E11" s="3" t="inlineStr">
        <is>
          <t>description_proposed_html</t>
        </is>
      </c>
      <c r="F11" s="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t>
        </is>
      </c>
      <c r="G11" s="3" t="inlineStr">
        <is>
          <t>Draft contains SEO Use / QA approval wording.</t>
        </is>
      </c>
      <c r="H11" s="3" t="inlineStr">
        <is>
          <t>Internal workflow language is not publish-ready storefront copy.</t>
        </is>
      </c>
      <c r="I11" s="3" t="inlineStr">
        <is>
          <t>Remove internal QA/import block and replace with customer-facing verified copy.</t>
        </is>
      </c>
      <c r="J11" s="3" t="inlineStr">
        <is>
          <t>Draft contains SEO Use / QA approval wording.</t>
        </is>
      </c>
      <c r="K11" s="3" t="inlineStr">
        <is>
          <t>Description HTML no longer contains SEO Use, QA, approval, import or draft language.</t>
        </is>
      </c>
    </row>
    <row r="12" ht="84" customHeight="1">
      <c r="A12" s="2" t="inlineStr">
        <is>
          <t>ISSUE-0011</t>
        </is>
      </c>
      <c r="B12" s="2" t="inlineStr">
        <is>
          <t>jeminise.com+personalized-baseball-bedding-full-size-flag-custom-name-d-design-17</t>
        </is>
      </c>
      <c r="C12" s="2" t="inlineStr"/>
      <c r="D12" s="2" t="inlineStr">
        <is>
          <t>MAJOR</t>
        </is>
      </c>
      <c r="E12" s="2" t="inlineStr">
        <is>
          <t>h1_proposed</t>
        </is>
      </c>
      <c r="F12" s="2" t="inlineStr"/>
      <c r="G12" s="2" t="inlineStr">
        <is>
          <t>The submitted workbook row has no proposed H1.</t>
        </is>
      </c>
      <c r="H12" s="2" t="inlineStr">
        <is>
          <t>A publishable SEO title/H1 pair is incomplete when the H1 field is blank.</t>
        </is>
      </c>
      <c r="I12" s="2" t="inlineStr">
        <is>
          <t>Write one English H1 that matches the verified product type and visible design; do not copy unsupported claims.</t>
        </is>
      </c>
      <c r="J12" s="2" t="inlineStr">
        <is>
          <t>The submitted workbook row has no proposed H1.</t>
        </is>
      </c>
      <c r="K12" s="2" t="inlineStr">
        <is>
          <t>Workbook contains a non-empty H1 and it is consistent with title, primary keyword and live product evidence.</t>
        </is>
      </c>
    </row>
    <row r="13" ht="84" customHeight="1">
      <c r="A13" s="3" t="inlineStr">
        <is>
          <t>ISSUE-0012</t>
        </is>
      </c>
      <c r="B13" s="3" t="inlineStr">
        <is>
          <t>jeminise.com+personalized-baseball-bedding-full-size-flag-custom-name-d-design-17</t>
        </is>
      </c>
      <c r="C13" s="3" t="inlineStr"/>
      <c r="D13" s="3" t="inlineStr">
        <is>
          <t>MINOR</t>
        </is>
      </c>
      <c r="E13" s="3" t="inlineStr">
        <is>
          <t>meta_description_seo</t>
        </is>
      </c>
      <c r="F13" s="3" t="inlineStr">
        <is>
          <t>Shop a comforter set featuring brown baseball glove close-up bedding with oversized ball, leather glove details and script custom name. Review size and personalization options before checkout.</t>
        </is>
      </c>
      <c r="G13" s="3" t="inlineStr">
        <is>
          <t>Meta description length is 192 characters.</t>
        </is>
      </c>
      <c r="H13" s="3" t="inlineStr">
        <is>
          <t>Likely to truncate in search results and repeats review/personality wording in several rows.</t>
        </is>
      </c>
      <c r="I13" s="3" t="inlineStr">
        <is>
          <t>Rewrite to roughly 145-155 characters while preserving verified design and product type.</t>
        </is>
      </c>
      <c r="J13" s="3" t="inlineStr">
        <is>
          <t>Meta description length is 192 characters.</t>
        </is>
      </c>
      <c r="K13" s="3" t="inlineStr">
        <is>
          <t>Length check &lt;=160 characters and no unsupported claim remains.</t>
        </is>
      </c>
    </row>
    <row r="14" ht="84" customHeight="1">
      <c r="A14" s="2" t="inlineStr">
        <is>
          <t>ISSUE-0013</t>
        </is>
      </c>
      <c r="B14" s="2" t="inlineStr">
        <is>
          <t>jeminise.com+personalized-baseball-bedding-full-size-flag-custom-name-d-design-17</t>
        </is>
      </c>
      <c r="C14" s="2" t="inlineStr"/>
      <c r="D14" s="2" t="inlineStr">
        <is>
          <t>LIMITATION</t>
        </is>
      </c>
      <c r="E14" s="2" t="inlineStr">
        <is>
          <t>keyword_evidence_level</t>
        </is>
      </c>
      <c r="F14" s="2" t="inlineStr">
        <is>
          <t>SERP_ONLY</t>
        </is>
      </c>
      <c r="G14" s="2" t="inlineStr">
        <is>
          <t>Only public SERP comparables are available.</t>
        </is>
      </c>
      <c r="H14" s="2" t="inlineStr">
        <is>
          <t>No Search Console, paid keyword volume or internal site search export was supplied.</t>
        </is>
      </c>
      <c r="I14" s="2" t="inlineStr">
        <is>
          <t>Keep demand statements qualitative; do not claim volume or ranking potential.</t>
        </is>
      </c>
      <c r="J14" s="2" t="inlineStr">
        <is>
          <t>Only public SERP comparables are available.</t>
        </is>
      </c>
      <c r="K14" s="2" t="inlineStr">
        <is>
          <t>Additional first-party or paid keyword evidence is attached, or limitation remains documented.</t>
        </is>
      </c>
    </row>
    <row r="15" ht="84" customHeight="1">
      <c r="A15" s="3" t="inlineStr">
        <is>
          <t>ISSUE-0014</t>
        </is>
      </c>
      <c r="B15" s="3" t="inlineStr">
        <is>
          <t>jeminise.com+personalized-baseball-bedding-full-size-flag-custom-name-d-design-17</t>
        </is>
      </c>
      <c r="C15" s="3" t="inlineStr">
        <is>
          <t>img_97d31b0c9d6a1a1c</t>
        </is>
      </c>
      <c r="D15" s="3" t="inlineStr">
        <is>
          <t>MINOR</t>
        </is>
      </c>
      <c r="E15" s="3" t="inlineStr">
        <is>
          <t>alt text</t>
        </is>
      </c>
      <c r="F15" s="3" t="inlineStr">
        <is>
          <t>Brown Baseball Glove Bedding with Script Name displayed in a main product mockup</t>
        </is>
      </c>
      <c r="G15" s="3" t="inlineStr">
        <is>
          <t>Fresh image file: D:\Shopify_Workspace\jeminise_seo\seo_runs\jeminise.com\20260906_234129\qa\20260907_214100\images\192_01.jpg; source URL: https://cdn.shopify.com/s/files/1/0792/5098/1063/files/aa4923e9f29482ae80e50264a632d44e57fc52a4216de9db06a1575bd5c655c8.jpg?v=1787242324</t>
        </is>
      </c>
      <c r="H15" s="3" t="inlineStr">
        <is>
          <t>Alt text is too generic or describes placement more than visible content.</t>
        </is>
      </c>
      <c r="I15" s="3" t="inlineStr">
        <is>
          <t>Rewrite observation/alt from the directly opened image, naming the visible motif and use context.</t>
        </is>
      </c>
      <c r="J15" s="3" t="inlineStr">
        <is>
          <t>Fresh image file: D:\Shopify_Workspace\jeminise_seo\seo_runs\jeminise.com\20260906_234129\qa\20260907_214100\images\192_01.jpg; source URL: https://cdn.shopify.com/s/files/1/0792/5098/1063/files/aa4923e9f29482ae80e50264a632d44e57fc52a4216de9db06a1575bd5c655c8.jpg?v=1787242324</t>
        </is>
      </c>
      <c r="K15" s="3" t="inlineStr">
        <is>
          <t>The image row accurately describes the actual media at this gallery position.</t>
        </is>
      </c>
    </row>
    <row r="16" ht="84" customHeight="1">
      <c r="A16" s="2" t="inlineStr">
        <is>
          <t>ISSUE-0015</t>
        </is>
      </c>
      <c r="B16" s="2" t="inlineStr">
        <is>
          <t>jeminise.com+personalized-baseball-bedding-full-size-flag-custom-name-d-design-17</t>
        </is>
      </c>
      <c r="C16" s="2" t="inlineStr">
        <is>
          <t>img_abe61f3283666ae8</t>
        </is>
      </c>
      <c r="D16" s="2" t="inlineStr">
        <is>
          <t>MINOR</t>
        </is>
      </c>
      <c r="E16" s="2" t="inlineStr">
        <is>
          <t>image observation</t>
        </is>
      </c>
      <c r="F16" s="2" t="inlineStr">
        <is>
          <t>Bedding type, feature, lifestyle or material image for brown baseball glove close-up bedding with script name.</t>
        </is>
      </c>
      <c r="G16" s="2" t="inlineStr">
        <is>
          <t>Fresh image file: D:\Shopify_Workspace\jeminise_seo\seo_runs\jeminise.com\20260906_234129\qa\20260907_214100\images\192_03.jpg; source URL: https://cdn.shopify.com/s/files/1/0792/5098/1063/files/dd38943d38d35a36c268004706d6c6d16244636812f0a2c4fa90136ea7a93f17.jpg?v=1787242324</t>
        </is>
      </c>
      <c r="H16" s="2" t="inlineStr">
        <is>
          <t>Observation is generic or position-based; rewrite from the actual image content.</t>
        </is>
      </c>
      <c r="I16" s="2" t="inlineStr">
        <is>
          <t>Rewrite observation/alt from the directly opened image, naming the visible motif and use context.</t>
        </is>
      </c>
      <c r="J16" s="2" t="inlineStr">
        <is>
          <t>Fresh image file: D:\Shopify_Workspace\jeminise_seo\seo_runs\jeminise.com\20260906_234129\qa\20260907_214100\images\192_03.jpg; source URL: https://cdn.shopify.com/s/files/1/0792/5098/1063/files/dd38943d38d35a36c268004706d6c6d16244636812f0a2c4fa90136ea7a93f17.jpg?v=1787242324</t>
        </is>
      </c>
      <c r="K16" s="2" t="inlineStr">
        <is>
          <t>The image row accurately describes the actual media at this gallery position.</t>
        </is>
      </c>
    </row>
    <row r="17" ht="84" customHeight="1">
      <c r="A17" s="3" t="inlineStr">
        <is>
          <t>ISSUE-0016</t>
        </is>
      </c>
      <c r="B17" s="3" t="inlineStr">
        <is>
          <t>jeminise.com+personalized-baseball-bedding-full-size-flag-custom-name-d-design-17</t>
        </is>
      </c>
      <c r="C17" s="3" t="inlineStr">
        <is>
          <t>img_3fb5a3a61c6a42d2</t>
        </is>
      </c>
      <c r="D17" s="3" t="inlineStr">
        <is>
          <t>MINOR</t>
        </is>
      </c>
      <c r="E17" s="3" t="inlineStr">
        <is>
          <t>image observation</t>
        </is>
      </c>
      <c r="F17" s="3" t="inlineStr">
        <is>
          <t>Detail, feature panel or lifestyle image connected to brown baseball glove close-up bedding with script name.</t>
        </is>
      </c>
      <c r="G17" s="3" t="inlineStr">
        <is>
          <t>Fresh image file: D:\Shopify_Workspace\jeminise_seo\seo_runs\jeminise.com\20260906_234129\qa\20260907_214100\images\192_04.jpg; source URL: https://cdn.shopify.com/s/files/1/0792/5098/1063/files/8190fe0d621cb3cce926de911d8b1f7f9cdac3656270eea2fa5180515027c9d1.jpg?v=1787242324</t>
        </is>
      </c>
      <c r="H17" s="3" t="inlineStr">
        <is>
          <t>Observation is generic or position-based; rewrite from the actual image content.</t>
        </is>
      </c>
      <c r="I17" s="3" t="inlineStr">
        <is>
          <t>Rewrite observation/alt from the directly opened image, naming the visible motif and use context.</t>
        </is>
      </c>
      <c r="J17" s="3" t="inlineStr">
        <is>
          <t>Fresh image file: D:\Shopify_Workspace\jeminise_seo\seo_runs\jeminise.com\20260906_234129\qa\20260907_214100\images\192_04.jpg; source URL: https://cdn.shopify.com/s/files/1/0792/5098/1063/files/8190fe0d621cb3cce926de911d8b1f7f9cdac3656270eea2fa5180515027c9d1.jpg?v=1787242324</t>
        </is>
      </c>
      <c r="K17" s="3" t="inlineStr">
        <is>
          <t>The image row accurately describes the actual media at this gallery position.</t>
        </is>
      </c>
    </row>
    <row r="18" ht="84" customHeight="1">
      <c r="A18" s="2" t="inlineStr">
        <is>
          <t>ISSUE-0017</t>
        </is>
      </c>
      <c r="B18" s="2" t="inlineStr">
        <is>
          <t>jeminise.com+personalized-baseball-bedding-full-size-flag-custom-name-d-design-17</t>
        </is>
      </c>
      <c r="C18" s="2" t="inlineStr">
        <is>
          <t>img_79c21b4a603fbdba</t>
        </is>
      </c>
      <c r="D18" s="2" t="inlineStr">
        <is>
          <t>MINOR</t>
        </is>
      </c>
      <c r="E18" s="2" t="inlineStr">
        <is>
          <t>image observation</t>
        </is>
      </c>
      <c r="F18" s="2" t="inlineStr">
        <is>
          <t>Easy-care, size guide or product feature image for brown baseball glove close-up bedding with script name.</t>
        </is>
      </c>
      <c r="G18" s="2" t="inlineStr">
        <is>
          <t>Fresh image file: D:\Shopify_Workspace\jeminise_seo\seo_runs\jeminise.com\20260906_234129\qa\20260907_214100\images\192_06.jpg; source URL: https://cdn.shopify.com/s/files/1/0792/5098/1063/files/50f96559dd878ae5bbee14ba7a34337ccd740d21a8ffe86a8a1be819656d26c0_138364e3-3d1c-426f-92a3-317dccefdfb3.jpg?v=1787242324</t>
        </is>
      </c>
      <c r="H18" s="2" t="inlineStr">
        <is>
          <t>Observation is generic or position-based; rewrite from the actual image content.</t>
        </is>
      </c>
      <c r="I18" s="2" t="inlineStr">
        <is>
          <t>Rewrite observation/alt from the directly opened image, naming the visible motif and use context.</t>
        </is>
      </c>
      <c r="J18" s="2" t="inlineStr">
        <is>
          <t>Fresh image file: D:\Shopify_Workspace\jeminise_seo\seo_runs\jeminise.com\20260906_234129\qa\20260907_214100\images\192_06.jpg; source URL: https://cdn.shopify.com/s/files/1/0792/5098/1063/files/50f96559dd878ae5bbee14ba7a34337ccd740d21a8ffe86a8a1be819656d26c0_138364e3-3d1c-426f-92a3-317dccefdfb3.jpg?v=1787242324</t>
        </is>
      </c>
      <c r="K18" s="2" t="inlineStr">
        <is>
          <t>The image row accurately describes the actual media at this gallery position.</t>
        </is>
      </c>
    </row>
    <row r="19" ht="84" customHeight="1">
      <c r="A19" s="3" t="inlineStr">
        <is>
          <t>ISSUE-0018</t>
        </is>
      </c>
      <c r="B19" s="3" t="inlineStr">
        <is>
          <t>jeminise.com+personalized-baseball-bedding-full-size-flag-custom-name-d-design-17</t>
        </is>
      </c>
      <c r="C19" s="3" t="inlineStr">
        <is>
          <t>img_4dc687fec74e588b</t>
        </is>
      </c>
      <c r="D19" s="3" t="inlineStr">
        <is>
          <t>MINOR</t>
        </is>
      </c>
      <c r="E19" s="3" t="inlineStr">
        <is>
          <t>image observation</t>
        </is>
      </c>
      <c r="F19" s="3" t="inlineStr">
        <is>
          <t>Additional lifestyle, feature or product detail image showing brown baseball glove close-up bedding with script name.</t>
        </is>
      </c>
      <c r="G19" s="3" t="inlineStr">
        <is>
          <t>Fresh image file: D:\Shopify_Workspace\jeminise_seo\seo_runs\jeminise.com\20260906_234129\qa\20260907_214100\images\192_07.jpg; source URL: https://cdn.shopify.com/s/files/1/0792/5098/1063/files/d6b8438a259ef28ba839a68ba108f40464bc9629b0bc2168779fc7776c9cbffa_bc33aecb-4db9-4354-b1fd-308ab7d32cd9.jpg?v=1787242324</t>
        </is>
      </c>
      <c r="H19" s="3" t="inlineStr">
        <is>
          <t>Observation is generic or position-based; rewrite from the actual image content.</t>
        </is>
      </c>
      <c r="I19" s="3" t="inlineStr">
        <is>
          <t>Rewrite observation/alt from the directly opened image, naming the visible motif and use context.</t>
        </is>
      </c>
      <c r="J19" s="3" t="inlineStr">
        <is>
          <t>Fresh image file: D:\Shopify_Workspace\jeminise_seo\seo_runs\jeminise.com\20260906_234129\qa\20260907_214100\images\192_07.jpg; source URL: https://cdn.shopify.com/s/files/1/0792/5098/1063/files/d6b8438a259ef28ba839a68ba108f40464bc9629b0bc2168779fc7776c9cbffa_bc33aecb-4db9-4354-b1fd-308ab7d32cd9.jpg?v=1787242324</t>
        </is>
      </c>
      <c r="K19" s="3" t="inlineStr">
        <is>
          <t>The image row accurately describes the actual media at this gallery position.</t>
        </is>
      </c>
    </row>
    <row r="20" ht="84" customHeight="1">
      <c r="A20" s="2" t="inlineStr">
        <is>
          <t>ISSUE-0019</t>
        </is>
      </c>
      <c r="B20" s="2" t="inlineStr">
        <is>
          <t>jeminise.com+personalized-baseball-bedding-full-size-flag-custom-name-d-design-18</t>
        </is>
      </c>
      <c r="C20" s="2" t="inlineStr"/>
      <c r="D20" s="2" t="inlineStr">
        <is>
          <t>MAJOR</t>
        </is>
      </c>
      <c r="E20" s="2" t="inlineStr">
        <is>
          <t>description_proposed_html</t>
        </is>
      </c>
      <c r="F20" s="2"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t>
        </is>
      </c>
      <c r="G20" s="2" t="inlineStr">
        <is>
          <t>Draft contains SEO Use / QA approval wording.</t>
        </is>
      </c>
      <c r="H20" s="2" t="inlineStr">
        <is>
          <t>Internal workflow language is not publish-ready storefront copy.</t>
        </is>
      </c>
      <c r="I20" s="2" t="inlineStr">
        <is>
          <t>Remove internal QA/import block and replace with customer-facing verified copy.</t>
        </is>
      </c>
      <c r="J20" s="2" t="inlineStr">
        <is>
          <t>Draft contains SEO Use / QA approval wording.</t>
        </is>
      </c>
      <c r="K20" s="2" t="inlineStr">
        <is>
          <t>Description HTML no longer contains SEO Use, QA, approval, import or draft language.</t>
        </is>
      </c>
    </row>
    <row r="21" ht="84" customHeight="1">
      <c r="A21" s="3" t="inlineStr">
        <is>
          <t>ISSUE-0020</t>
        </is>
      </c>
      <c r="B21" s="3" t="inlineStr">
        <is>
          <t>jeminise.com+personalized-baseball-bedding-full-size-flag-custom-name-d-design-18</t>
        </is>
      </c>
      <c r="C21" s="3" t="inlineStr"/>
      <c r="D21" s="3" t="inlineStr">
        <is>
          <t>MAJOR</t>
        </is>
      </c>
      <c r="E21" s="3" t="inlineStr">
        <is>
          <t>h1_proposed</t>
        </is>
      </c>
      <c r="F21" s="3" t="inlineStr"/>
      <c r="G21" s="3" t="inlineStr">
        <is>
          <t>The submitted workbook row has no proposed H1.</t>
        </is>
      </c>
      <c r="H21" s="3" t="inlineStr">
        <is>
          <t>A publishable SEO title/H1 pair is incomplete when the H1 field is blank.</t>
        </is>
      </c>
      <c r="I21" s="3" t="inlineStr">
        <is>
          <t>Write one English H1 that matches the verified product type and visible design; do not copy unsupported claims.</t>
        </is>
      </c>
      <c r="J21" s="3" t="inlineStr">
        <is>
          <t>The submitted workbook row has no proposed H1.</t>
        </is>
      </c>
      <c r="K21" s="3" t="inlineStr">
        <is>
          <t>Workbook contains a non-empty H1 and it is consistent with title, primary keyword and live product evidence.</t>
        </is>
      </c>
    </row>
    <row r="22" ht="84" customHeight="1">
      <c r="A22" s="2" t="inlineStr">
        <is>
          <t>ISSUE-0021</t>
        </is>
      </c>
      <c r="B22" s="2" t="inlineStr">
        <is>
          <t>jeminise.com+personalized-baseball-bedding-full-size-flag-custom-name-d-design-18</t>
        </is>
      </c>
      <c r="C22" s="2" t="inlineStr"/>
      <c r="D22" s="2" t="inlineStr">
        <is>
          <t>MINOR</t>
        </is>
      </c>
      <c r="E22" s="2" t="inlineStr">
        <is>
          <t>meta_description_seo</t>
        </is>
      </c>
      <c r="F22" s="2" t="inlineStr">
        <is>
          <t>Shop a comforter set featuring black baseball bedding with flame effects, batter artwork, vertical custom name and jersey number. Review size and personalization options before checkout.</t>
        </is>
      </c>
      <c r="G22" s="2" t="inlineStr">
        <is>
          <t>Meta description length is 186 characters.</t>
        </is>
      </c>
      <c r="H22" s="2" t="inlineStr">
        <is>
          <t>Likely to truncate in search results and repeats review/personality wording in several rows.</t>
        </is>
      </c>
      <c r="I22" s="2" t="inlineStr">
        <is>
          <t>Rewrite to roughly 145-155 characters while preserving verified design and product type.</t>
        </is>
      </c>
      <c r="J22" s="2" t="inlineStr">
        <is>
          <t>Meta description length is 186 characters.</t>
        </is>
      </c>
      <c r="K22" s="2" t="inlineStr">
        <is>
          <t>Length check &lt;=160 characters and no unsupported claim remains.</t>
        </is>
      </c>
    </row>
    <row r="23" ht="84" customHeight="1">
      <c r="A23" s="3" t="inlineStr">
        <is>
          <t>ISSUE-0022</t>
        </is>
      </c>
      <c r="B23" s="3" t="inlineStr">
        <is>
          <t>jeminise.com+personalized-baseball-bedding-full-size-flag-custom-name-d-design-18</t>
        </is>
      </c>
      <c r="C23" s="3" t="inlineStr"/>
      <c r="D23" s="3" t="inlineStr">
        <is>
          <t>LIMITATION</t>
        </is>
      </c>
      <c r="E23" s="3" t="inlineStr">
        <is>
          <t>keyword_evidence_level</t>
        </is>
      </c>
      <c r="F23" s="3" t="inlineStr">
        <is>
          <t>SERP_ONLY</t>
        </is>
      </c>
      <c r="G23" s="3" t="inlineStr">
        <is>
          <t>Only public SERP comparables are available.</t>
        </is>
      </c>
      <c r="H23" s="3" t="inlineStr">
        <is>
          <t>No Search Console, paid keyword volume or internal site search export was supplied.</t>
        </is>
      </c>
      <c r="I23" s="3" t="inlineStr">
        <is>
          <t>Keep demand statements qualitative; do not claim volume or ranking potential.</t>
        </is>
      </c>
      <c r="J23" s="3" t="inlineStr">
        <is>
          <t>Only public SERP comparables are available.</t>
        </is>
      </c>
      <c r="K23" s="3" t="inlineStr">
        <is>
          <t>Additional first-party or paid keyword evidence is attached, or limitation remains documented.</t>
        </is>
      </c>
    </row>
    <row r="24" ht="84" customHeight="1">
      <c r="A24" s="2" t="inlineStr">
        <is>
          <t>ISSUE-0023</t>
        </is>
      </c>
      <c r="B24" s="2" t="inlineStr">
        <is>
          <t>jeminise.com+personalized-baseball-bedding-full-size-flag-custom-name-d-design-18</t>
        </is>
      </c>
      <c r="C24" s="2" t="inlineStr">
        <is>
          <t>img_74f1b22a91715453</t>
        </is>
      </c>
      <c r="D24" s="2" t="inlineStr">
        <is>
          <t>MINOR</t>
        </is>
      </c>
      <c r="E24" s="2" t="inlineStr">
        <is>
          <t>alt text</t>
        </is>
      </c>
      <c r="F24" s="2" t="inlineStr">
        <is>
          <t>Flaming Baseball Batter Bedding with Custom Name displayed in a main product mockup</t>
        </is>
      </c>
      <c r="G24" s="2" t="inlineStr">
        <is>
          <t>Fresh image file: D:\Shopify_Workspace\jeminise_seo\seo_runs\jeminise.com\20260906_234129\qa\20260907_214100\images\193_01.jpg; source URL: https://cdn.shopify.com/s/files/1/0792/5098/1063/files/0fd40d9335554d99de52ba6149196d8c8282f53db344007b27c3052e0709ff05.jpg?v=1787242319</t>
        </is>
      </c>
      <c r="H24" s="2" t="inlineStr">
        <is>
          <t>Alt text is too generic or describes placement more than visible content.</t>
        </is>
      </c>
      <c r="I24" s="2" t="inlineStr">
        <is>
          <t>Rewrite observation/alt from the directly opened image, naming the visible motif and use context.</t>
        </is>
      </c>
      <c r="J24" s="2" t="inlineStr">
        <is>
          <t>Fresh image file: D:\Shopify_Workspace\jeminise_seo\seo_runs\jeminise.com\20260906_234129\qa\20260907_214100\images\193_01.jpg; source URL: https://cdn.shopify.com/s/files/1/0792/5098/1063/files/0fd40d9335554d99de52ba6149196d8c8282f53db344007b27c3052e0709ff05.jpg?v=1787242319</t>
        </is>
      </c>
      <c r="K24" s="2" t="inlineStr">
        <is>
          <t>The image row accurately describes the actual media at this gallery position.</t>
        </is>
      </c>
    </row>
    <row r="25" ht="84" customHeight="1">
      <c r="A25" s="3" t="inlineStr">
        <is>
          <t>ISSUE-0024</t>
        </is>
      </c>
      <c r="B25" s="3" t="inlineStr">
        <is>
          <t>jeminise.com+personalized-baseball-bedding-full-size-flag-custom-name-d-design-18</t>
        </is>
      </c>
      <c r="C25" s="3" t="inlineStr">
        <is>
          <t>img_0f02479a4cd1fa7b</t>
        </is>
      </c>
      <c r="D25" s="3" t="inlineStr">
        <is>
          <t>MINOR</t>
        </is>
      </c>
      <c r="E25" s="3" t="inlineStr">
        <is>
          <t>image observation</t>
        </is>
      </c>
      <c r="F25" s="3" t="inlineStr">
        <is>
          <t>Bedding type, feature, lifestyle or material image for flaming baseball batter bedding with vertical name.</t>
        </is>
      </c>
      <c r="G25" s="3" t="inlineStr">
        <is>
          <t>Fresh image file: D:\Shopify_Workspace\jeminise_seo\seo_runs\jeminise.com\20260906_234129\qa\20260907_214100\images\193_03.jpg; source URL: https://cdn.shopify.com/s/files/1/0792/5098/1063/files/ef81c56fe7d5f4f60045bfbd0778e14ad11ce2a6824c23132d2b864ef763fe85_f77bbc82-6b12-4d2d-8e3f-c92c0936c85f.jpg?v=1787242319</t>
        </is>
      </c>
      <c r="H25" s="3" t="inlineStr">
        <is>
          <t>Observation is generic or position-based; rewrite from the actual image content.</t>
        </is>
      </c>
      <c r="I25" s="3" t="inlineStr">
        <is>
          <t>Rewrite observation/alt from the directly opened image, naming the visible motif and use context.</t>
        </is>
      </c>
      <c r="J25" s="3" t="inlineStr">
        <is>
          <t>Fresh image file: D:\Shopify_Workspace\jeminise_seo\seo_runs\jeminise.com\20260906_234129\qa\20260907_214100\images\193_03.jpg; source URL: https://cdn.shopify.com/s/files/1/0792/5098/1063/files/ef81c56fe7d5f4f60045bfbd0778e14ad11ce2a6824c23132d2b864ef763fe85_f77bbc82-6b12-4d2d-8e3f-c92c0936c85f.jpg?v=1787242319</t>
        </is>
      </c>
      <c r="K25" s="3" t="inlineStr">
        <is>
          <t>The image row accurately describes the actual media at this gallery position.</t>
        </is>
      </c>
    </row>
    <row r="26" ht="84" customHeight="1">
      <c r="A26" s="2" t="inlineStr">
        <is>
          <t>ISSUE-0025</t>
        </is>
      </c>
      <c r="B26" s="2" t="inlineStr">
        <is>
          <t>jeminise.com+personalized-baseball-bedding-full-size-flag-custom-name-d-design-18</t>
        </is>
      </c>
      <c r="C26" s="2" t="inlineStr">
        <is>
          <t>img_467c7bfcdb720d16</t>
        </is>
      </c>
      <c r="D26" s="2" t="inlineStr">
        <is>
          <t>MINOR</t>
        </is>
      </c>
      <c r="E26" s="2" t="inlineStr">
        <is>
          <t>image observation</t>
        </is>
      </c>
      <c r="F26" s="2" t="inlineStr">
        <is>
          <t>Detail, feature panel or lifestyle image connected to flaming baseball batter bedding with vertical name.</t>
        </is>
      </c>
      <c r="G26" s="2" t="inlineStr">
        <is>
          <t>Fresh image file: D:\Shopify_Workspace\jeminise_seo\seo_runs\jeminise.com\20260906_234129\qa\20260907_214100\images\193_04.jpg; source URL: https://cdn.shopify.com/s/files/1/0792/5098/1063/files/b495d9b37eafdceff5caf3643256f7b3a83de826d49a14bdc531b13424296018_bbfe5d74-1e7b-45c5-b218-3e4035c49e22.jpg?v=1787242319</t>
        </is>
      </c>
      <c r="H26" s="2" t="inlineStr">
        <is>
          <t>Observation is generic or position-based; rewrite from the actual image content.</t>
        </is>
      </c>
      <c r="I26" s="2" t="inlineStr">
        <is>
          <t>Rewrite observation/alt from the directly opened image, naming the visible motif and use context.</t>
        </is>
      </c>
      <c r="J26" s="2" t="inlineStr">
        <is>
          <t>Fresh image file: D:\Shopify_Workspace\jeminise_seo\seo_runs\jeminise.com\20260906_234129\qa\20260907_214100\images\193_04.jpg; source URL: https://cdn.shopify.com/s/files/1/0792/5098/1063/files/b495d9b37eafdceff5caf3643256f7b3a83de826d49a14bdc531b13424296018_bbfe5d74-1e7b-45c5-b218-3e4035c49e22.jpg?v=1787242319</t>
        </is>
      </c>
      <c r="K26" s="2" t="inlineStr">
        <is>
          <t>The image row accurately describes the actual media at this gallery position.</t>
        </is>
      </c>
    </row>
    <row r="27" ht="84" customHeight="1">
      <c r="A27" s="3" t="inlineStr">
        <is>
          <t>ISSUE-0026</t>
        </is>
      </c>
      <c r="B27" s="3" t="inlineStr">
        <is>
          <t>jeminise.com+personalized-baseball-bedding-full-size-flag-custom-name-d-design-19</t>
        </is>
      </c>
      <c r="C27" s="3" t="inlineStr"/>
      <c r="D27" s="3" t="inlineStr">
        <is>
          <t>MAJOR</t>
        </is>
      </c>
      <c r="E27" s="3" t="inlineStr">
        <is>
          <t>description_proposed_html</t>
        </is>
      </c>
      <c r="F27" s="3"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t>
        </is>
      </c>
      <c r="G27" s="3" t="inlineStr">
        <is>
          <t>Draft contains SEO Use / QA approval wording.</t>
        </is>
      </c>
      <c r="H27" s="3" t="inlineStr">
        <is>
          <t>Internal workflow language is not publish-ready storefront copy.</t>
        </is>
      </c>
      <c r="I27" s="3" t="inlineStr">
        <is>
          <t>Remove internal QA/import block and replace with customer-facing verified copy.</t>
        </is>
      </c>
      <c r="J27" s="3" t="inlineStr">
        <is>
          <t>Draft contains SEO Use / QA approval wording.</t>
        </is>
      </c>
      <c r="K27" s="3" t="inlineStr">
        <is>
          <t>Description HTML no longer contains SEO Use, QA, approval, import or draft language.</t>
        </is>
      </c>
    </row>
    <row r="28" ht="84" customHeight="1">
      <c r="A28" s="2" t="inlineStr">
        <is>
          <t>ISSUE-0027</t>
        </is>
      </c>
      <c r="B28" s="2" t="inlineStr">
        <is>
          <t>jeminise.com+personalized-baseball-bedding-full-size-flag-custom-name-d-design-19</t>
        </is>
      </c>
      <c r="C28" s="2" t="inlineStr"/>
      <c r="D28" s="2" t="inlineStr">
        <is>
          <t>MAJOR</t>
        </is>
      </c>
      <c r="E28" s="2" t="inlineStr">
        <is>
          <t>h1_proposed</t>
        </is>
      </c>
      <c r="F28" s="2" t="inlineStr"/>
      <c r="G28" s="2" t="inlineStr">
        <is>
          <t>The submitted workbook row has no proposed H1.</t>
        </is>
      </c>
      <c r="H28" s="2" t="inlineStr">
        <is>
          <t>A publishable SEO title/H1 pair is incomplete when the H1 field is blank.</t>
        </is>
      </c>
      <c r="I28" s="2" t="inlineStr">
        <is>
          <t>Write one English H1 that matches the verified product type and visible design; do not copy unsupported claims.</t>
        </is>
      </c>
      <c r="J28" s="2" t="inlineStr">
        <is>
          <t>The submitted workbook row has no proposed H1.</t>
        </is>
      </c>
      <c r="K28" s="2" t="inlineStr">
        <is>
          <t>Workbook contains a non-empty H1 and it is consistent with title, primary keyword and live product evidence.</t>
        </is>
      </c>
    </row>
    <row r="29" ht="84" customHeight="1">
      <c r="A29" s="3" t="inlineStr">
        <is>
          <t>ISSUE-0028</t>
        </is>
      </c>
      <c r="B29" s="3" t="inlineStr">
        <is>
          <t>jeminise.com+personalized-baseball-bedding-full-size-flag-custom-name-d-design-19</t>
        </is>
      </c>
      <c r="C29" s="3" t="inlineStr"/>
      <c r="D29" s="3" t="inlineStr">
        <is>
          <t>MINOR</t>
        </is>
      </c>
      <c r="E29" s="3" t="inlineStr">
        <is>
          <t>meta_description_seo</t>
        </is>
      </c>
      <c r="F29" s="3" t="inlineStr">
        <is>
          <t>Shop a comforter set featuring orange fire baseball bedding with batter stance, vertical custom name and bold jersey number. Review size and personalization options before checkout.</t>
        </is>
      </c>
      <c r="G29" s="3" t="inlineStr">
        <is>
          <t>Meta description length is 181 characters.</t>
        </is>
      </c>
      <c r="H29" s="3" t="inlineStr">
        <is>
          <t>Likely to truncate in search results and repeats review/personality wording in several rows.</t>
        </is>
      </c>
      <c r="I29" s="3" t="inlineStr">
        <is>
          <t>Rewrite to roughly 145-155 characters while preserving verified design and product type.</t>
        </is>
      </c>
      <c r="J29" s="3" t="inlineStr">
        <is>
          <t>Meta description length is 181 characters.</t>
        </is>
      </c>
      <c r="K29" s="3" t="inlineStr">
        <is>
          <t>Length check &lt;=160 characters and no unsupported claim remains.</t>
        </is>
      </c>
    </row>
    <row r="30" ht="84" customHeight="1">
      <c r="A30" s="2" t="inlineStr">
        <is>
          <t>ISSUE-0029</t>
        </is>
      </c>
      <c r="B30" s="2" t="inlineStr">
        <is>
          <t>jeminise.com+personalized-baseball-bedding-full-size-flag-custom-name-d-design-19</t>
        </is>
      </c>
      <c r="C30" s="2" t="inlineStr"/>
      <c r="D30" s="2" t="inlineStr">
        <is>
          <t>LIMITATION</t>
        </is>
      </c>
      <c r="E30" s="2" t="inlineStr">
        <is>
          <t>keyword_evidence_level</t>
        </is>
      </c>
      <c r="F30" s="2" t="inlineStr">
        <is>
          <t>SERP_ONLY</t>
        </is>
      </c>
      <c r="G30" s="2" t="inlineStr">
        <is>
          <t>Only public SERP comparables are available.</t>
        </is>
      </c>
      <c r="H30" s="2" t="inlineStr">
        <is>
          <t>No Search Console, paid keyword volume or internal site search export was supplied.</t>
        </is>
      </c>
      <c r="I30" s="2" t="inlineStr">
        <is>
          <t>Keep demand statements qualitative; do not claim volume or ranking potential.</t>
        </is>
      </c>
      <c r="J30" s="2" t="inlineStr">
        <is>
          <t>Only public SERP comparables are available.</t>
        </is>
      </c>
      <c r="K30" s="2" t="inlineStr">
        <is>
          <t>Additional first-party or paid keyword evidence is attached, or limitation remains documented.</t>
        </is>
      </c>
    </row>
    <row r="31" ht="84" customHeight="1">
      <c r="A31" s="3" t="inlineStr">
        <is>
          <t>ISSUE-0030</t>
        </is>
      </c>
      <c r="B31" s="3" t="inlineStr">
        <is>
          <t>jeminise.com+personalized-baseball-bedding-full-size-flag-custom-name-d-design-19</t>
        </is>
      </c>
      <c r="C31" s="3" t="inlineStr">
        <is>
          <t>img_5b5e123ba03625c4</t>
        </is>
      </c>
      <c r="D31" s="3" t="inlineStr">
        <is>
          <t>MINOR</t>
        </is>
      </c>
      <c r="E31" s="3" t="inlineStr">
        <is>
          <t>alt text</t>
        </is>
      </c>
      <c r="F31" s="3" t="inlineStr">
        <is>
          <t>Orange Fire Baseball Player Bedding with Name displayed in a main product mockup</t>
        </is>
      </c>
      <c r="G31" s="3" t="inlineStr">
        <is>
          <t>Fresh image file: D:\Shopify_Workspace\jeminise_seo\seo_runs\jeminise.com\20260906_234129\qa\20260907_214100\images\194_01.jpg; source URL: https://cdn.shopify.com/s/files/1/0792/5098/1063/files/61c881e384a92769ae7d3f5be9cb5a95fc23436bdd571361509748c60fc5a8bd.jpg?v=1787242323</t>
        </is>
      </c>
      <c r="H31" s="3" t="inlineStr">
        <is>
          <t>Alt text is too generic or describes placement more than visible content.</t>
        </is>
      </c>
      <c r="I31" s="3" t="inlineStr">
        <is>
          <t>Rewrite observation/alt from the directly opened image, naming the visible motif and use context.</t>
        </is>
      </c>
      <c r="J31" s="3" t="inlineStr">
        <is>
          <t>Fresh image file: D:\Shopify_Workspace\jeminise_seo\seo_runs\jeminise.com\20260906_234129\qa\20260907_214100\images\194_01.jpg; source URL: https://cdn.shopify.com/s/files/1/0792/5098/1063/files/61c881e384a92769ae7d3f5be9cb5a95fc23436bdd571361509748c60fc5a8bd.jpg?v=1787242323</t>
        </is>
      </c>
      <c r="K31" s="3" t="inlineStr">
        <is>
          <t>The image row accurately describes the actual media at this gallery position.</t>
        </is>
      </c>
    </row>
    <row r="32" ht="84" customHeight="1">
      <c r="A32" s="2" t="inlineStr">
        <is>
          <t>ISSUE-0031</t>
        </is>
      </c>
      <c r="B32" s="2" t="inlineStr">
        <is>
          <t>jeminise.com+personalized-baseball-bedding-full-size-flag-custom-name-d-design-19</t>
        </is>
      </c>
      <c r="C32" s="2" t="inlineStr">
        <is>
          <t>img_014f3227dfdbd35a</t>
        </is>
      </c>
      <c r="D32" s="2" t="inlineStr">
        <is>
          <t>MINOR</t>
        </is>
      </c>
      <c r="E32" s="2" t="inlineStr">
        <is>
          <t>image observation</t>
        </is>
      </c>
      <c r="F32" s="2" t="inlineStr">
        <is>
          <t>Bedding type, feature, lifestyle or material image for orange fire baseball player bedding with name.</t>
        </is>
      </c>
      <c r="G32" s="2" t="inlineStr">
        <is>
          <t>Fresh image file: D:\Shopify_Workspace\jeminise_seo\seo_runs\jeminise.com\20260906_234129\qa\20260907_214100\images\194_03.jpg; source URL: https://cdn.shopify.com/s/files/1/0792/5098/1063/files/ef81c56fe7d5f4f60045bfbd0778e14ad11ce2a6824c23132d2b864ef763fe85_3300ba49-d34d-4474-ad91-ba64390bf805.jpg?v=1787242323</t>
        </is>
      </c>
      <c r="H32" s="2" t="inlineStr">
        <is>
          <t>Observation is generic or position-based; rewrite from the actual image content.</t>
        </is>
      </c>
      <c r="I32" s="2" t="inlineStr">
        <is>
          <t>Rewrite observation/alt from the directly opened image, naming the visible motif and use context.</t>
        </is>
      </c>
      <c r="J32" s="2" t="inlineStr">
        <is>
          <t>Fresh image file: D:\Shopify_Workspace\jeminise_seo\seo_runs\jeminise.com\20260906_234129\qa\20260907_214100\images\194_03.jpg; source URL: https://cdn.shopify.com/s/files/1/0792/5098/1063/files/ef81c56fe7d5f4f60045bfbd0778e14ad11ce2a6824c23132d2b864ef763fe85_3300ba49-d34d-4474-ad91-ba64390bf805.jpg?v=1787242323</t>
        </is>
      </c>
      <c r="K32" s="2" t="inlineStr">
        <is>
          <t>The image row accurately describes the actual media at this gallery position.</t>
        </is>
      </c>
    </row>
    <row r="33" ht="84" customHeight="1">
      <c r="A33" s="3" t="inlineStr">
        <is>
          <t>ISSUE-0032</t>
        </is>
      </c>
      <c r="B33" s="3" t="inlineStr">
        <is>
          <t>jeminise.com+personalized-baseball-bedding-full-size-flag-custom-name-d-design-19</t>
        </is>
      </c>
      <c r="C33" s="3" t="inlineStr">
        <is>
          <t>img_4d01c575f199b440</t>
        </is>
      </c>
      <c r="D33" s="3" t="inlineStr">
        <is>
          <t>MINOR</t>
        </is>
      </c>
      <c r="E33" s="3" t="inlineStr">
        <is>
          <t>image observation</t>
        </is>
      </c>
      <c r="F33" s="3" t="inlineStr">
        <is>
          <t>Detail, feature panel or lifestyle image connected to orange fire baseball player bedding with name.</t>
        </is>
      </c>
      <c r="G33" s="3" t="inlineStr">
        <is>
          <t>Fresh image file: D:\Shopify_Workspace\jeminise_seo\seo_runs\jeminise.com\20260906_234129\qa\20260907_214100\images\194_04.jpg; source URL: https://cdn.shopify.com/s/files/1/0792/5098/1063/files/b495d9b37eafdceff5caf3643256f7b3a83de826d49a14bdc531b13424296018_e2f47848-6b65-4978-a1aa-d21f7f641bc3.jpg?v=1787242323</t>
        </is>
      </c>
      <c r="H33" s="3" t="inlineStr">
        <is>
          <t>Observation is generic or position-based; rewrite from the actual image content.</t>
        </is>
      </c>
      <c r="I33" s="3" t="inlineStr">
        <is>
          <t>Rewrite observation/alt from the directly opened image, naming the visible motif and use context.</t>
        </is>
      </c>
      <c r="J33" s="3" t="inlineStr">
        <is>
          <t>Fresh image file: D:\Shopify_Workspace\jeminise_seo\seo_runs\jeminise.com\20260906_234129\qa\20260907_214100\images\194_04.jpg; source URL: https://cdn.shopify.com/s/files/1/0792/5098/1063/files/b495d9b37eafdceff5caf3643256f7b3a83de826d49a14bdc531b13424296018_e2f47848-6b65-4978-a1aa-d21f7f641bc3.jpg?v=1787242323</t>
        </is>
      </c>
      <c r="K33" s="3" t="inlineStr">
        <is>
          <t>The image row accurately describes the actual media at this gallery position.</t>
        </is>
      </c>
    </row>
    <row r="34" ht="84" customHeight="1">
      <c r="A34" s="2" t="inlineStr">
        <is>
          <t>ISSUE-0033</t>
        </is>
      </c>
      <c r="B34" s="2" t="inlineStr">
        <is>
          <t>jeminise.com+personalized-baseball-bedding-full-size-flag-custom-name-d-design-20</t>
        </is>
      </c>
      <c r="C34" s="2" t="inlineStr"/>
      <c r="D34" s="2" t="inlineStr">
        <is>
          <t>MAJOR</t>
        </is>
      </c>
      <c r="E34" s="2" t="inlineStr">
        <is>
          <t>description_proposed_html</t>
        </is>
      </c>
      <c r="F34" s="2"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t>
        </is>
      </c>
      <c r="G34" s="2" t="inlineStr">
        <is>
          <t>Draft contains SEO Use / QA approval wording.</t>
        </is>
      </c>
      <c r="H34" s="2" t="inlineStr">
        <is>
          <t>Internal workflow language is not publish-ready storefront copy.</t>
        </is>
      </c>
      <c r="I34" s="2" t="inlineStr">
        <is>
          <t>Remove internal QA/import block and replace with customer-facing verified copy.</t>
        </is>
      </c>
      <c r="J34" s="2" t="inlineStr">
        <is>
          <t>Draft contains SEO Use / QA approval wording.</t>
        </is>
      </c>
      <c r="K34" s="2" t="inlineStr">
        <is>
          <t>Description HTML no longer contains SEO Use, QA, approval, import or draft language.</t>
        </is>
      </c>
    </row>
    <row r="35" ht="84" customHeight="1">
      <c r="A35" s="3" t="inlineStr">
        <is>
          <t>ISSUE-0034</t>
        </is>
      </c>
      <c r="B35" s="3" t="inlineStr">
        <is>
          <t>jeminise.com+personalized-baseball-bedding-full-size-flag-custom-name-d-design-20</t>
        </is>
      </c>
      <c r="C35" s="3" t="inlineStr"/>
      <c r="D35" s="3" t="inlineStr">
        <is>
          <t>MAJOR</t>
        </is>
      </c>
      <c r="E35" s="3" t="inlineStr">
        <is>
          <t>h1_proposed</t>
        </is>
      </c>
      <c r="F35" s="3" t="inlineStr"/>
      <c r="G35" s="3" t="inlineStr">
        <is>
          <t>The submitted workbook row has no proposed H1.</t>
        </is>
      </c>
      <c r="H35" s="3" t="inlineStr">
        <is>
          <t>A publishable SEO title/H1 pair is incomplete when the H1 field is blank.</t>
        </is>
      </c>
      <c r="I35" s="3" t="inlineStr">
        <is>
          <t>Write one English H1 that matches the verified product type and visible design; do not copy unsupported claims.</t>
        </is>
      </c>
      <c r="J35" s="3" t="inlineStr">
        <is>
          <t>The submitted workbook row has no proposed H1.</t>
        </is>
      </c>
      <c r="K35" s="3" t="inlineStr">
        <is>
          <t>Workbook contains a non-empty H1 and it is consistent with title, primary keyword and live product evidence.</t>
        </is>
      </c>
    </row>
    <row r="36" ht="84" customHeight="1">
      <c r="A36" s="2" t="inlineStr">
        <is>
          <t>ISSUE-0035</t>
        </is>
      </c>
      <c r="B36" s="2" t="inlineStr">
        <is>
          <t>jeminise.com+personalized-baseball-bedding-full-size-flag-custom-name-d-design-20</t>
        </is>
      </c>
      <c r="C36" s="2" t="inlineStr"/>
      <c r="D36" s="2" t="inlineStr">
        <is>
          <t>MINOR</t>
        </is>
      </c>
      <c r="E36" s="2" t="inlineStr">
        <is>
          <t>meta_description_seo</t>
        </is>
      </c>
      <c r="F36" s="2" t="inlineStr">
        <is>
          <t>Shop a comforter set featuring American flag baseball bedding with glove and ball artwork, vertical custom name and jersey number on shams. Review size and personalization options before checkout.</t>
        </is>
      </c>
      <c r="G36" s="2" t="inlineStr">
        <is>
          <t>Meta description length is 196 characters.</t>
        </is>
      </c>
      <c r="H36" s="2" t="inlineStr">
        <is>
          <t>Likely to truncate in search results and repeats review/personality wording in several rows.</t>
        </is>
      </c>
      <c r="I36" s="2" t="inlineStr">
        <is>
          <t>Rewrite to roughly 145-155 characters while preserving verified design and product type.</t>
        </is>
      </c>
      <c r="J36" s="2" t="inlineStr">
        <is>
          <t>Meta description length is 196 characters.</t>
        </is>
      </c>
      <c r="K36" s="2" t="inlineStr">
        <is>
          <t>Length check &lt;=160 characters and no unsupported claim remains.</t>
        </is>
      </c>
    </row>
    <row r="37" ht="84" customHeight="1">
      <c r="A37" s="3" t="inlineStr">
        <is>
          <t>ISSUE-0036</t>
        </is>
      </c>
      <c r="B37" s="3" t="inlineStr">
        <is>
          <t>jeminise.com+personalized-baseball-bedding-full-size-flag-custom-name-d-design-20</t>
        </is>
      </c>
      <c r="C37" s="3" t="inlineStr"/>
      <c r="D37" s="3" t="inlineStr">
        <is>
          <t>LIMITATION</t>
        </is>
      </c>
      <c r="E37" s="3" t="inlineStr">
        <is>
          <t>keyword_evidence_level</t>
        </is>
      </c>
      <c r="F37" s="3" t="inlineStr">
        <is>
          <t>SERP_ONLY</t>
        </is>
      </c>
      <c r="G37" s="3" t="inlineStr">
        <is>
          <t>Only public SERP comparables are available.</t>
        </is>
      </c>
      <c r="H37" s="3" t="inlineStr">
        <is>
          <t>No Search Console, paid keyword volume or internal site search export was supplied.</t>
        </is>
      </c>
      <c r="I37" s="3" t="inlineStr">
        <is>
          <t>Keep demand statements qualitative; do not claim volume or ranking potential.</t>
        </is>
      </c>
      <c r="J37" s="3" t="inlineStr">
        <is>
          <t>Only public SERP comparables are available.</t>
        </is>
      </c>
      <c r="K37" s="3" t="inlineStr">
        <is>
          <t>Additional first-party or paid keyword evidence is attached, or limitation remains documented.</t>
        </is>
      </c>
    </row>
    <row r="38" ht="84" customHeight="1">
      <c r="A38" s="2" t="inlineStr">
        <is>
          <t>ISSUE-0037</t>
        </is>
      </c>
      <c r="B38" s="2" t="inlineStr">
        <is>
          <t>jeminise.com+personalized-baseball-bedding-full-size-flag-custom-name-d-design-20</t>
        </is>
      </c>
      <c r="C38" s="2" t="inlineStr">
        <is>
          <t>img_3ff60e17656fb6a6</t>
        </is>
      </c>
      <c r="D38" s="2" t="inlineStr">
        <is>
          <t>MINOR</t>
        </is>
      </c>
      <c r="E38" s="2" t="inlineStr">
        <is>
          <t>alt text</t>
        </is>
      </c>
      <c r="F38" s="2" t="inlineStr">
        <is>
          <t>American Flag Baseball Glove Bedding with Name displayed in a main product mockup</t>
        </is>
      </c>
      <c r="G38" s="2" t="inlineStr">
        <is>
          <t>Fresh image file: D:\Shopify_Workspace\jeminise_seo\seo_runs\jeminise.com\20260906_234129\qa\20260907_214100\images\195_01.jpg; source URL: https://cdn.shopify.com/s/files/1/0792/5098/1063/files/e4e2338aa85d3f668a15c82fa2ea0cfb93432ed8792267b4e09f9f55c1cf8b2e.jpg?v=1787242327</t>
        </is>
      </c>
      <c r="H38" s="2" t="inlineStr">
        <is>
          <t>Alt text is too generic or describes placement more than visible content.</t>
        </is>
      </c>
      <c r="I38" s="2" t="inlineStr">
        <is>
          <t>Rewrite observation/alt from the directly opened image, naming the visible motif and use context.</t>
        </is>
      </c>
      <c r="J38" s="2" t="inlineStr">
        <is>
          <t>Fresh image file: D:\Shopify_Workspace\jeminise_seo\seo_runs\jeminise.com\20260906_234129\qa\20260907_214100\images\195_01.jpg; source URL: https://cdn.shopify.com/s/files/1/0792/5098/1063/files/e4e2338aa85d3f668a15c82fa2ea0cfb93432ed8792267b4e09f9f55c1cf8b2e.jpg?v=1787242327</t>
        </is>
      </c>
      <c r="K38" s="2" t="inlineStr">
        <is>
          <t>The image row accurately describes the actual media at this gallery position.</t>
        </is>
      </c>
    </row>
    <row r="39" ht="84" customHeight="1">
      <c r="A39" s="3" t="inlineStr">
        <is>
          <t>ISSUE-0038</t>
        </is>
      </c>
      <c r="B39" s="3" t="inlineStr">
        <is>
          <t>jeminise.com+personalized-baseball-bedding-full-size-flag-custom-name-d-design-20</t>
        </is>
      </c>
      <c r="C39" s="3" t="inlineStr">
        <is>
          <t>img_cb4a6d118418eb86</t>
        </is>
      </c>
      <c r="D39" s="3" t="inlineStr">
        <is>
          <t>MINOR</t>
        </is>
      </c>
      <c r="E39" s="3" t="inlineStr">
        <is>
          <t>image observation</t>
        </is>
      </c>
      <c r="F39" s="3" t="inlineStr">
        <is>
          <t>Bedding type, feature, lifestyle or material image for American flag baseball glove bedding with vertical name.</t>
        </is>
      </c>
      <c r="G39" s="3" t="inlineStr">
        <is>
          <t>Fresh image file: D:\Shopify_Workspace\jeminise_seo\seo_runs\jeminise.com\20260906_234129\qa\20260907_214100\images\195_03.jpg; source URL: https://cdn.shopify.com/s/files/1/0792/5098/1063/files/d51e3360a3e4b984af63b01c4b53d517484ca3d6cb1beeea158bcf59acab9ed4_977041c9-eadf-4e13-8d3a-c5486389ed7f.jpg?v=1787242328</t>
        </is>
      </c>
      <c r="H39" s="3" t="inlineStr">
        <is>
          <t>Observation is generic or position-based; rewrite from the actual image content.</t>
        </is>
      </c>
      <c r="I39" s="3" t="inlineStr">
        <is>
          <t>Rewrite observation/alt from the directly opened image, naming the visible motif and use context.</t>
        </is>
      </c>
      <c r="J39" s="3" t="inlineStr">
        <is>
          <t>Fresh image file: D:\Shopify_Workspace\jeminise_seo\seo_runs\jeminise.com\20260906_234129\qa\20260907_214100\images\195_03.jpg; source URL: https://cdn.shopify.com/s/files/1/0792/5098/1063/files/d51e3360a3e4b984af63b01c4b53d517484ca3d6cb1beeea158bcf59acab9ed4_977041c9-eadf-4e13-8d3a-c5486389ed7f.jpg?v=1787242328</t>
        </is>
      </c>
      <c r="K39" s="3" t="inlineStr">
        <is>
          <t>The image row accurately describes the actual media at this gallery position.</t>
        </is>
      </c>
    </row>
    <row r="40" ht="84" customHeight="1">
      <c r="A40" s="2" t="inlineStr">
        <is>
          <t>ISSUE-0039</t>
        </is>
      </c>
      <c r="B40" s="2" t="inlineStr">
        <is>
          <t>jeminise.com+personalized-baseball-bedding-full-size-flag-custom-name-d-design-20</t>
        </is>
      </c>
      <c r="C40" s="2" t="inlineStr">
        <is>
          <t>img_1eafb19c92915a7f</t>
        </is>
      </c>
      <c r="D40" s="2" t="inlineStr">
        <is>
          <t>MINOR</t>
        </is>
      </c>
      <c r="E40" s="2" t="inlineStr">
        <is>
          <t>image observation</t>
        </is>
      </c>
      <c r="F40" s="2" t="inlineStr">
        <is>
          <t>Detail, feature panel or lifestyle image connected to American flag baseball glove bedding with vertical name.</t>
        </is>
      </c>
      <c r="G40" s="2" t="inlineStr">
        <is>
          <t>Fresh image file: D:\Shopify_Workspace\jeminise_seo\seo_runs\jeminise.com\20260906_234129\qa\20260907_214100\images\195_04.jpg; source URL: https://cdn.shopify.com/s/files/1/0792/5098/1063/files/ef81c56fe7d5f4f60045bfbd0778e14ad11ce2a6824c23132d2b864ef763fe85_086abb91-5272-4549-8a43-f5abe073b73e.jpg?v=1787242328</t>
        </is>
      </c>
      <c r="H40" s="2" t="inlineStr">
        <is>
          <t>Observation is generic or position-based; rewrite from the actual image content.</t>
        </is>
      </c>
      <c r="I40" s="2" t="inlineStr">
        <is>
          <t>Rewrite observation/alt from the directly opened image, naming the visible motif and use context.</t>
        </is>
      </c>
      <c r="J40" s="2" t="inlineStr">
        <is>
          <t>Fresh image file: D:\Shopify_Workspace\jeminise_seo\seo_runs\jeminise.com\20260906_234129\qa\20260907_214100\images\195_04.jpg; source URL: https://cdn.shopify.com/s/files/1/0792/5098/1063/files/ef81c56fe7d5f4f60045bfbd0778e14ad11ce2a6824c23132d2b864ef763fe85_086abb91-5272-4549-8a43-f5abe073b73e.jpg?v=1787242328</t>
        </is>
      </c>
      <c r="K40" s="2" t="inlineStr">
        <is>
          <t>The image row accurately describes the actual media at this gallery position.</t>
        </is>
      </c>
    </row>
    <row r="41" ht="84" customHeight="1">
      <c r="A41" s="3" t="inlineStr">
        <is>
          <t>ISSUE-0040</t>
        </is>
      </c>
      <c r="B41" s="3" t="inlineStr">
        <is>
          <t>jeminise.com+personalized-baseball-bedding-full-size-flag-custom-name-d-design-21</t>
        </is>
      </c>
      <c r="C41" s="3" t="inlineStr"/>
      <c r="D41" s="3" t="inlineStr">
        <is>
          <t>MAJOR</t>
        </is>
      </c>
      <c r="E41" s="3" t="inlineStr">
        <is>
          <t>description_proposed_html</t>
        </is>
      </c>
      <c r="F41" s="3"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t>
        </is>
      </c>
      <c r="G41" s="3" t="inlineStr">
        <is>
          <t>Draft contains SEO Use / QA approval wording.</t>
        </is>
      </c>
      <c r="H41" s="3" t="inlineStr">
        <is>
          <t>Internal workflow language is not publish-ready storefront copy.</t>
        </is>
      </c>
      <c r="I41" s="3" t="inlineStr">
        <is>
          <t>Remove internal QA/import block and replace with customer-facing verified copy.</t>
        </is>
      </c>
      <c r="J41" s="3" t="inlineStr">
        <is>
          <t>Draft contains SEO Use / QA approval wording.</t>
        </is>
      </c>
      <c r="K41" s="3" t="inlineStr">
        <is>
          <t>Description HTML no longer contains SEO Use, QA, approval, import or draft language.</t>
        </is>
      </c>
    </row>
    <row r="42" ht="84" customHeight="1">
      <c r="A42" s="2" t="inlineStr">
        <is>
          <t>ISSUE-0041</t>
        </is>
      </c>
      <c r="B42" s="2" t="inlineStr">
        <is>
          <t>jeminise.com+personalized-baseball-bedding-full-size-flag-custom-name-d-design-21</t>
        </is>
      </c>
      <c r="C42" s="2" t="inlineStr"/>
      <c r="D42" s="2" t="inlineStr">
        <is>
          <t>MAJOR</t>
        </is>
      </c>
      <c r="E42" s="2" t="inlineStr">
        <is>
          <t>h1_proposed</t>
        </is>
      </c>
      <c r="F42" s="2" t="inlineStr"/>
      <c r="G42" s="2" t="inlineStr">
        <is>
          <t>The submitted workbook row has no proposed H1.</t>
        </is>
      </c>
      <c r="H42" s="2" t="inlineStr">
        <is>
          <t>A publishable SEO title/H1 pair is incomplete when the H1 field is blank.</t>
        </is>
      </c>
      <c r="I42" s="2" t="inlineStr">
        <is>
          <t>Write one English H1 that matches the verified product type and visible design; do not copy unsupported claims.</t>
        </is>
      </c>
      <c r="J42" s="2" t="inlineStr">
        <is>
          <t>The submitted workbook row has no proposed H1.</t>
        </is>
      </c>
      <c r="K42" s="2" t="inlineStr">
        <is>
          <t>Workbook contains a non-empty H1 and it is consistent with title, primary keyword and live product evidence.</t>
        </is>
      </c>
    </row>
    <row r="43" ht="84" customHeight="1">
      <c r="A43" s="3" t="inlineStr">
        <is>
          <t>ISSUE-0042</t>
        </is>
      </c>
      <c r="B43" s="3" t="inlineStr">
        <is>
          <t>jeminise.com+personalized-baseball-bedding-full-size-flag-custom-name-d-design-21</t>
        </is>
      </c>
      <c r="C43" s="3" t="inlineStr"/>
      <c r="D43" s="3" t="inlineStr">
        <is>
          <t>MINOR</t>
        </is>
      </c>
      <c r="E43" s="3" t="inlineStr">
        <is>
          <t>meta_description_seo</t>
        </is>
      </c>
      <c r="F43" s="3" t="inlineStr">
        <is>
          <t>Shop a comforter set featuring black baseball bedding with grayscale glove and ball artwork, script custom name and jersey number. Review size and personalization options before checkout.</t>
        </is>
      </c>
      <c r="G43" s="3" t="inlineStr">
        <is>
          <t>Meta description length is 187 characters.</t>
        </is>
      </c>
      <c r="H43" s="3" t="inlineStr">
        <is>
          <t>Likely to truncate in search results and repeats review/personality wording in several rows.</t>
        </is>
      </c>
      <c r="I43" s="3" t="inlineStr">
        <is>
          <t>Rewrite to roughly 145-155 characters while preserving verified design and product type.</t>
        </is>
      </c>
      <c r="J43" s="3" t="inlineStr">
        <is>
          <t>Meta description length is 187 characters.</t>
        </is>
      </c>
      <c r="K43" s="3" t="inlineStr">
        <is>
          <t>Length check &lt;=160 characters and no unsupported claim remains.</t>
        </is>
      </c>
    </row>
    <row r="44" ht="84" customHeight="1">
      <c r="A44" s="2" t="inlineStr">
        <is>
          <t>ISSUE-0043</t>
        </is>
      </c>
      <c r="B44" s="2" t="inlineStr">
        <is>
          <t>jeminise.com+personalized-baseball-bedding-full-size-flag-custom-name-d-design-21</t>
        </is>
      </c>
      <c r="C44" s="2" t="inlineStr"/>
      <c r="D44" s="2" t="inlineStr">
        <is>
          <t>LIMITATION</t>
        </is>
      </c>
      <c r="E44" s="2" t="inlineStr">
        <is>
          <t>keyword_evidence_level</t>
        </is>
      </c>
      <c r="F44" s="2" t="inlineStr">
        <is>
          <t>SERP_ONLY</t>
        </is>
      </c>
      <c r="G44" s="2" t="inlineStr">
        <is>
          <t>Only public SERP comparables are available.</t>
        </is>
      </c>
      <c r="H44" s="2" t="inlineStr">
        <is>
          <t>No Search Console, paid keyword volume or internal site search export was supplied.</t>
        </is>
      </c>
      <c r="I44" s="2" t="inlineStr">
        <is>
          <t>Keep demand statements qualitative; do not claim volume or ranking potential.</t>
        </is>
      </c>
      <c r="J44" s="2" t="inlineStr">
        <is>
          <t>Only public SERP comparables are available.</t>
        </is>
      </c>
      <c r="K44" s="2" t="inlineStr">
        <is>
          <t>Additional first-party or paid keyword evidence is attached, or limitation remains documented.</t>
        </is>
      </c>
    </row>
    <row r="45" ht="84" customHeight="1">
      <c r="A45" s="3" t="inlineStr">
        <is>
          <t>ISSUE-0044</t>
        </is>
      </c>
      <c r="B45" s="3" t="inlineStr">
        <is>
          <t>jeminise.com+personalized-baseball-bedding-full-size-flag-custom-name-d-design-21</t>
        </is>
      </c>
      <c r="C45" s="3" t="inlineStr">
        <is>
          <t>img_170a78e84ef28443</t>
        </is>
      </c>
      <c r="D45" s="3" t="inlineStr">
        <is>
          <t>MINOR</t>
        </is>
      </c>
      <c r="E45" s="3" t="inlineStr">
        <is>
          <t>alt text</t>
        </is>
      </c>
      <c r="F45" s="3" t="inlineStr">
        <is>
          <t>Black Baseball Glove Bedding with Script Name displayed in a main product mockup</t>
        </is>
      </c>
      <c r="G45" s="3" t="inlineStr">
        <is>
          <t>Fresh image file: D:\Shopify_Workspace\jeminise_seo\seo_runs\jeminise.com\20260906_234129\qa\20260907_214100\images\196_01.jpg; source URL: https://cdn.shopify.com/s/files/1/0792/5098/1063/files/8a848b0ed0b502d09e60f9124d8e753486022275aa6cabec6be40339d169fd60.jpg?v=1787242336</t>
        </is>
      </c>
      <c r="H45" s="3" t="inlineStr">
        <is>
          <t>Alt text is too generic or describes placement more than visible content.</t>
        </is>
      </c>
      <c r="I45" s="3" t="inlineStr">
        <is>
          <t>Rewrite observation/alt from the directly opened image, naming the visible motif and use context.</t>
        </is>
      </c>
      <c r="J45" s="3" t="inlineStr">
        <is>
          <t>Fresh image file: D:\Shopify_Workspace\jeminise_seo\seo_runs\jeminise.com\20260906_234129\qa\20260907_214100\images\196_01.jpg; source URL: https://cdn.shopify.com/s/files/1/0792/5098/1063/files/8a848b0ed0b502d09e60f9124d8e753486022275aa6cabec6be40339d169fd60.jpg?v=1787242336</t>
        </is>
      </c>
      <c r="K45" s="3" t="inlineStr">
        <is>
          <t>The image row accurately describes the actual media at this gallery position.</t>
        </is>
      </c>
    </row>
    <row r="46" ht="84" customHeight="1">
      <c r="A46" s="2" t="inlineStr">
        <is>
          <t>ISSUE-0045</t>
        </is>
      </c>
      <c r="B46" s="2" t="inlineStr">
        <is>
          <t>jeminise.com+personalized-baseball-bedding-full-size-flag-custom-name-d-design-21</t>
        </is>
      </c>
      <c r="C46" s="2" t="inlineStr">
        <is>
          <t>img_581334d0baef6798</t>
        </is>
      </c>
      <c r="D46" s="2" t="inlineStr">
        <is>
          <t>MINOR</t>
        </is>
      </c>
      <c r="E46" s="2" t="inlineStr">
        <is>
          <t>image observation</t>
        </is>
      </c>
      <c r="F46" s="2" t="inlineStr">
        <is>
          <t>Bedding type, feature, lifestyle or material image for black baseball glove bedding with script name and number.</t>
        </is>
      </c>
      <c r="G46" s="2" t="inlineStr">
        <is>
          <t>Fresh image file: D:\Shopify_Workspace\jeminise_seo\seo_runs\jeminise.com\20260906_234129\qa\20260907_214100\images\196_03.jpg; source URL: https://cdn.shopify.com/s/files/1/0792/5098/1063/files/b495d9b37eafdceff5caf3643256f7b3a83de826d49a14bdc531b13424296018_ed380f76-8a95-4ffa-9450-96511fe8e841.jpg?v=1787242336</t>
        </is>
      </c>
      <c r="H46" s="2" t="inlineStr">
        <is>
          <t>Observation is generic or position-based; rewrite from the actual image content.</t>
        </is>
      </c>
      <c r="I46" s="2" t="inlineStr">
        <is>
          <t>Rewrite observation/alt from the directly opened image, naming the visible motif and use context.</t>
        </is>
      </c>
      <c r="J46" s="2" t="inlineStr">
        <is>
          <t>Fresh image file: D:\Shopify_Workspace\jeminise_seo\seo_runs\jeminise.com\20260906_234129\qa\20260907_214100\images\196_03.jpg; source URL: https://cdn.shopify.com/s/files/1/0792/5098/1063/files/b495d9b37eafdceff5caf3643256f7b3a83de826d49a14bdc531b13424296018_ed380f76-8a95-4ffa-9450-96511fe8e841.jpg?v=1787242336</t>
        </is>
      </c>
      <c r="K46" s="2" t="inlineStr">
        <is>
          <t>The image row accurately describes the actual media at this gallery position.</t>
        </is>
      </c>
    </row>
    <row r="47" ht="84" customHeight="1">
      <c r="A47" s="3" t="inlineStr">
        <is>
          <t>ISSUE-0046</t>
        </is>
      </c>
      <c r="B47" s="3" t="inlineStr">
        <is>
          <t>jeminise.com+personalized-baseball-bedding-full-size-flag-custom-name-d-design-21</t>
        </is>
      </c>
      <c r="C47" s="3" t="inlineStr">
        <is>
          <t>img_0687e2d28a2db0d1</t>
        </is>
      </c>
      <c r="D47" s="3" t="inlineStr">
        <is>
          <t>MINOR</t>
        </is>
      </c>
      <c r="E47" s="3" t="inlineStr">
        <is>
          <t>image observation</t>
        </is>
      </c>
      <c r="F47" s="3" t="inlineStr">
        <is>
          <t>Detail, feature panel or lifestyle image connected to black baseball glove bedding with script name and number.</t>
        </is>
      </c>
      <c r="G47" s="3" t="inlineStr">
        <is>
          <t>Fresh image file: D:\Shopify_Workspace\jeminise_seo\seo_runs\jeminise.com\20260906_234129\qa\20260907_214100\images\196_04.jpg; source URL: https://cdn.shopify.com/s/files/1/0792/5098/1063/files/d51e3360a3e4b984af63b01c4b53d517484ca3d6cb1beeea158bcf59acab9ed4_a6ef995a-d4c4-4f6b-badb-65a4e158b3aa.jpg?v=1787242336</t>
        </is>
      </c>
      <c r="H47" s="3" t="inlineStr">
        <is>
          <t>Observation is generic or position-based; rewrite from the actual image content.</t>
        </is>
      </c>
      <c r="I47" s="3" t="inlineStr">
        <is>
          <t>Rewrite observation/alt from the directly opened image, naming the visible motif and use context.</t>
        </is>
      </c>
      <c r="J47" s="3" t="inlineStr">
        <is>
          <t>Fresh image file: D:\Shopify_Workspace\jeminise_seo\seo_runs\jeminise.com\20260906_234129\qa\20260907_214100\images\196_04.jpg; source URL: https://cdn.shopify.com/s/files/1/0792/5098/1063/files/d51e3360a3e4b984af63b01c4b53d517484ca3d6cb1beeea158bcf59acab9ed4_a6ef995a-d4c4-4f6b-badb-65a4e158b3aa.jpg?v=1787242336</t>
        </is>
      </c>
      <c r="K47" s="3" t="inlineStr">
        <is>
          <t>The image row accurately describes the actual media at this gallery position.</t>
        </is>
      </c>
    </row>
    <row r="48" ht="84" customHeight="1">
      <c r="A48" s="2" t="inlineStr">
        <is>
          <t>ISSUE-0047</t>
        </is>
      </c>
      <c r="B48" s="2" t="inlineStr">
        <is>
          <t>jeminise.com+personalized-baseball-bedding-full-size-flag-custom-name-d-design-22</t>
        </is>
      </c>
      <c r="C48" s="2" t="inlineStr"/>
      <c r="D48" s="2" t="inlineStr">
        <is>
          <t>MAJOR</t>
        </is>
      </c>
      <c r="E48" s="2" t="inlineStr">
        <is>
          <t>description_proposed_html</t>
        </is>
      </c>
      <c r="F48" s="2"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t>
        </is>
      </c>
      <c r="G48" s="2" t="inlineStr">
        <is>
          <t>Draft contains SEO Use / QA approval wording.</t>
        </is>
      </c>
      <c r="H48" s="2" t="inlineStr">
        <is>
          <t>Internal workflow language is not publish-ready storefront copy.</t>
        </is>
      </c>
      <c r="I48" s="2" t="inlineStr">
        <is>
          <t>Remove internal QA/import block and replace with customer-facing verified copy.</t>
        </is>
      </c>
      <c r="J48" s="2" t="inlineStr">
        <is>
          <t>Draft contains SEO Use / QA approval wording.</t>
        </is>
      </c>
      <c r="K48" s="2" t="inlineStr">
        <is>
          <t>Description HTML no longer contains SEO Use, QA, approval, import or draft language.</t>
        </is>
      </c>
    </row>
    <row r="49" ht="84" customHeight="1">
      <c r="A49" s="3" t="inlineStr">
        <is>
          <t>ISSUE-0048</t>
        </is>
      </c>
      <c r="B49" s="3" t="inlineStr">
        <is>
          <t>jeminise.com+personalized-baseball-bedding-full-size-flag-custom-name-d-design-22</t>
        </is>
      </c>
      <c r="C49" s="3" t="inlineStr"/>
      <c r="D49" s="3" t="inlineStr">
        <is>
          <t>MAJOR</t>
        </is>
      </c>
      <c r="E49" s="3" t="inlineStr">
        <is>
          <t>h1_proposed</t>
        </is>
      </c>
      <c r="F49" s="3" t="inlineStr"/>
      <c r="G49" s="3" t="inlineStr">
        <is>
          <t>The submitted workbook row has no proposed H1.</t>
        </is>
      </c>
      <c r="H49" s="3" t="inlineStr">
        <is>
          <t>A publishable SEO title/H1 pair is incomplete when the H1 field is blank.</t>
        </is>
      </c>
      <c r="I49" s="3" t="inlineStr">
        <is>
          <t>Write one English H1 that matches the verified product type and visible design; do not copy unsupported claims.</t>
        </is>
      </c>
      <c r="J49" s="3" t="inlineStr">
        <is>
          <t>The submitted workbook row has no proposed H1.</t>
        </is>
      </c>
      <c r="K49" s="3" t="inlineStr">
        <is>
          <t>Workbook contains a non-empty H1 and it is consistent with title, primary keyword and live product evidence.</t>
        </is>
      </c>
    </row>
    <row r="50" ht="84" customHeight="1">
      <c r="A50" s="2" t="inlineStr">
        <is>
          <t>ISSUE-0049</t>
        </is>
      </c>
      <c r="B50" s="2" t="inlineStr">
        <is>
          <t>jeminise.com+personalized-baseball-bedding-full-size-flag-custom-name-d-design-22</t>
        </is>
      </c>
      <c r="C50" s="2" t="inlineStr"/>
      <c r="D50" s="2" t="inlineStr">
        <is>
          <t>MINOR</t>
        </is>
      </c>
      <c r="E50" s="2" t="inlineStr">
        <is>
          <t>meta_description_seo</t>
        </is>
      </c>
      <c r="F50" s="2" t="inlineStr">
        <is>
          <t>Shop a comforter set featuring stormy blue baseball bedding with lightning effects, large baseball, custom name and jersey number. Review size and personalization options before checkout.</t>
        </is>
      </c>
      <c r="G50" s="2" t="inlineStr">
        <is>
          <t>Meta description length is 187 characters.</t>
        </is>
      </c>
      <c r="H50" s="2" t="inlineStr">
        <is>
          <t>Likely to truncate in search results and repeats review/personality wording in several rows.</t>
        </is>
      </c>
      <c r="I50" s="2" t="inlineStr">
        <is>
          <t>Rewrite to roughly 145-155 characters while preserving verified design and product type.</t>
        </is>
      </c>
      <c r="J50" s="2" t="inlineStr">
        <is>
          <t>Meta description length is 187 characters.</t>
        </is>
      </c>
      <c r="K50" s="2" t="inlineStr">
        <is>
          <t>Length check &lt;=160 characters and no unsupported claim remains.</t>
        </is>
      </c>
    </row>
    <row r="51" ht="84" customHeight="1">
      <c r="A51" s="3" t="inlineStr">
        <is>
          <t>ISSUE-0050</t>
        </is>
      </c>
      <c r="B51" s="3" t="inlineStr">
        <is>
          <t>jeminise.com+personalized-baseball-bedding-full-size-flag-custom-name-d-design-22</t>
        </is>
      </c>
      <c r="C51" s="3" t="inlineStr"/>
      <c r="D51" s="3" t="inlineStr">
        <is>
          <t>LIMITATION</t>
        </is>
      </c>
      <c r="E51" s="3" t="inlineStr">
        <is>
          <t>keyword_evidence_level</t>
        </is>
      </c>
      <c r="F51" s="3" t="inlineStr">
        <is>
          <t>SERP_ONLY</t>
        </is>
      </c>
      <c r="G51" s="3" t="inlineStr">
        <is>
          <t>Only public SERP comparables are available.</t>
        </is>
      </c>
      <c r="H51" s="3" t="inlineStr">
        <is>
          <t>No Search Console, paid keyword volume or internal site search export was supplied.</t>
        </is>
      </c>
      <c r="I51" s="3" t="inlineStr">
        <is>
          <t>Keep demand statements qualitative; do not claim volume or ranking potential.</t>
        </is>
      </c>
      <c r="J51" s="3" t="inlineStr">
        <is>
          <t>Only public SERP comparables are available.</t>
        </is>
      </c>
      <c r="K51" s="3" t="inlineStr">
        <is>
          <t>Additional first-party or paid keyword evidence is attached, or limitation remains documented.</t>
        </is>
      </c>
    </row>
    <row r="52" ht="84" customHeight="1">
      <c r="A52" s="2" t="inlineStr">
        <is>
          <t>ISSUE-0051</t>
        </is>
      </c>
      <c r="B52" s="2" t="inlineStr">
        <is>
          <t>jeminise.com+personalized-baseball-bedding-full-size-flag-custom-name-d-design-22</t>
        </is>
      </c>
      <c r="C52" s="2" t="inlineStr">
        <is>
          <t>img_e8b5a9fbc1a8b6a7</t>
        </is>
      </c>
      <c r="D52" s="2" t="inlineStr">
        <is>
          <t>MINOR</t>
        </is>
      </c>
      <c r="E52" s="2" t="inlineStr">
        <is>
          <t>alt text</t>
        </is>
      </c>
      <c r="F52" s="2" t="inlineStr">
        <is>
          <t>Lightning Baseball Bedding with Name and Number displayed in a main product mockup</t>
        </is>
      </c>
      <c r="G52" s="2" t="inlineStr">
        <is>
          <t>Fresh image file: D:\Shopify_Workspace\jeminise_seo\seo_runs\jeminise.com\20260906_234129\qa\20260907_214100\images\197_01.jpg; source URL: https://cdn.shopify.com/s/files/1/0792/5098/1063/files/76f774a931f7c5c91510a65804cd4a186b89f7020c009e61c6b0e85896bf0d67.jpg?v=1787242346</t>
        </is>
      </c>
      <c r="H52" s="2" t="inlineStr">
        <is>
          <t>Alt text is too generic or describes placement more than visible content.</t>
        </is>
      </c>
      <c r="I52" s="2" t="inlineStr">
        <is>
          <t>Rewrite observation/alt from the directly opened image, naming the visible motif and use context.</t>
        </is>
      </c>
      <c r="J52" s="2" t="inlineStr">
        <is>
          <t>Fresh image file: D:\Shopify_Workspace\jeminise_seo\seo_runs\jeminise.com\20260906_234129\qa\20260907_214100\images\197_01.jpg; source URL: https://cdn.shopify.com/s/files/1/0792/5098/1063/files/76f774a931f7c5c91510a65804cd4a186b89f7020c009e61c6b0e85896bf0d67.jpg?v=1787242346</t>
        </is>
      </c>
      <c r="K52" s="2" t="inlineStr">
        <is>
          <t>The image row accurately describes the actual media at this gallery position.</t>
        </is>
      </c>
    </row>
    <row r="53" ht="84" customHeight="1">
      <c r="A53" s="3" t="inlineStr">
        <is>
          <t>ISSUE-0052</t>
        </is>
      </c>
      <c r="B53" s="3" t="inlineStr">
        <is>
          <t>jeminise.com+personalized-baseball-bedding-full-size-flag-custom-name-d-design-22</t>
        </is>
      </c>
      <c r="C53" s="3" t="inlineStr">
        <is>
          <t>img_368b7b7bbf434d74</t>
        </is>
      </c>
      <c r="D53" s="3" t="inlineStr">
        <is>
          <t>MINOR</t>
        </is>
      </c>
      <c r="E53" s="3" t="inlineStr">
        <is>
          <t>image observation</t>
        </is>
      </c>
      <c r="F53" s="3" t="inlineStr">
        <is>
          <t>Bedding type, feature, lifestyle or material image for lightning baseball bedding with custom name and number.</t>
        </is>
      </c>
      <c r="G53" s="3" t="inlineStr">
        <is>
          <t>Fresh image file: D:\Shopify_Workspace\jeminise_seo\seo_runs\jeminise.com\20260906_234129\qa\20260907_214100\images\197_03.jpg; source URL: https://cdn.shopify.com/s/files/1/0792/5098/1063/files/ef81c56fe7d5f4f60045bfbd0778e14ad11ce2a6824c23132d2b864ef763fe85_51634434-5014-45d6-994f-821922c04116.jpg?v=1787242345</t>
        </is>
      </c>
      <c r="H53" s="3" t="inlineStr">
        <is>
          <t>Observation is generic or position-based; rewrite from the actual image content.</t>
        </is>
      </c>
      <c r="I53" s="3" t="inlineStr">
        <is>
          <t>Rewrite observation/alt from the directly opened image, naming the visible motif and use context.</t>
        </is>
      </c>
      <c r="J53" s="3" t="inlineStr">
        <is>
          <t>Fresh image file: D:\Shopify_Workspace\jeminise_seo\seo_runs\jeminise.com\20260906_234129\qa\20260907_214100\images\197_03.jpg; source URL: https://cdn.shopify.com/s/files/1/0792/5098/1063/files/ef81c56fe7d5f4f60045bfbd0778e14ad11ce2a6824c23132d2b864ef763fe85_51634434-5014-45d6-994f-821922c04116.jpg?v=1787242345</t>
        </is>
      </c>
      <c r="K53" s="3" t="inlineStr">
        <is>
          <t>The image row accurately describes the actual media at this gallery position.</t>
        </is>
      </c>
    </row>
    <row r="54" ht="84" customHeight="1">
      <c r="A54" s="2" t="inlineStr">
        <is>
          <t>ISSUE-0053</t>
        </is>
      </c>
      <c r="B54" s="2" t="inlineStr">
        <is>
          <t>jeminise.com+personalized-baseball-bedding-full-size-flag-custom-name-d-design-22</t>
        </is>
      </c>
      <c r="C54" s="2" t="inlineStr">
        <is>
          <t>img_5ffc4354282e2d16</t>
        </is>
      </c>
      <c r="D54" s="2" t="inlineStr">
        <is>
          <t>MINOR</t>
        </is>
      </c>
      <c r="E54" s="2" t="inlineStr">
        <is>
          <t>image observation</t>
        </is>
      </c>
      <c r="F54" s="2" t="inlineStr">
        <is>
          <t>Detail, feature panel or lifestyle image connected to lightning baseball bedding with custom name and number.</t>
        </is>
      </c>
      <c r="G54" s="2" t="inlineStr">
        <is>
          <t>Fresh image file: D:\Shopify_Workspace\jeminise_seo\seo_runs\jeminise.com\20260906_234129\qa\20260907_214100\images\197_04.jpg; source URL: https://cdn.shopify.com/s/files/1/0792/5098/1063/files/b495d9b37eafdceff5caf3643256f7b3a83de826d49a14bdc531b13424296018_41990bf5-b2e6-47ee-a38f-4d52044d7358.jpg?v=1787242345</t>
        </is>
      </c>
      <c r="H54" s="2" t="inlineStr">
        <is>
          <t>Observation is generic or position-based; rewrite from the actual image content.</t>
        </is>
      </c>
      <c r="I54" s="2" t="inlineStr">
        <is>
          <t>Rewrite observation/alt from the directly opened image, naming the visible motif and use context.</t>
        </is>
      </c>
      <c r="J54" s="2" t="inlineStr">
        <is>
          <t>Fresh image file: D:\Shopify_Workspace\jeminise_seo\seo_runs\jeminise.com\20260906_234129\qa\20260907_214100\images\197_04.jpg; source URL: https://cdn.shopify.com/s/files/1/0792/5098/1063/files/b495d9b37eafdceff5caf3643256f7b3a83de826d49a14bdc531b13424296018_41990bf5-b2e6-47ee-a38f-4d52044d7358.jpg?v=1787242345</t>
        </is>
      </c>
      <c r="K54" s="2" t="inlineStr">
        <is>
          <t>The image row accurately describes the actual media at this gallery position.</t>
        </is>
      </c>
    </row>
    <row r="55" ht="84" customHeight="1">
      <c r="A55" s="3" t="inlineStr">
        <is>
          <t>ISSUE-0054</t>
        </is>
      </c>
      <c r="B55" s="3" t="inlineStr">
        <is>
          <t>jeminise.com+personalized-baseball-bedding-full-size-flag-custom-name-d-design-23</t>
        </is>
      </c>
      <c r="C55" s="3" t="inlineStr"/>
      <c r="D55" s="3" t="inlineStr">
        <is>
          <t>MAJOR</t>
        </is>
      </c>
      <c r="E55" s="3" t="inlineStr">
        <is>
          <t>description_proposed_html</t>
        </is>
      </c>
      <c r="F55" s="3"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t>
        </is>
      </c>
      <c r="G55" s="3" t="inlineStr">
        <is>
          <t>Draft contains SEO Use / QA approval wording.</t>
        </is>
      </c>
      <c r="H55" s="3" t="inlineStr">
        <is>
          <t>Internal workflow language is not publish-ready storefront copy.</t>
        </is>
      </c>
      <c r="I55" s="3" t="inlineStr">
        <is>
          <t>Remove internal QA/import block and replace with customer-facing verified copy.</t>
        </is>
      </c>
      <c r="J55" s="3" t="inlineStr">
        <is>
          <t>Draft contains SEO Use / QA approval wording.</t>
        </is>
      </c>
      <c r="K55" s="3" t="inlineStr">
        <is>
          <t>Description HTML no longer contains SEO Use, QA, approval, import or draft language.</t>
        </is>
      </c>
    </row>
    <row r="56" ht="84" customHeight="1">
      <c r="A56" s="2" t="inlineStr">
        <is>
          <t>ISSUE-0055</t>
        </is>
      </c>
      <c r="B56" s="2" t="inlineStr">
        <is>
          <t>jeminise.com+personalized-baseball-bedding-full-size-flag-custom-name-d-design-23</t>
        </is>
      </c>
      <c r="C56" s="2" t="inlineStr"/>
      <c r="D56" s="2" t="inlineStr">
        <is>
          <t>MAJOR</t>
        </is>
      </c>
      <c r="E56" s="2" t="inlineStr">
        <is>
          <t>h1_proposed</t>
        </is>
      </c>
      <c r="F56" s="2" t="inlineStr"/>
      <c r="G56" s="2" t="inlineStr">
        <is>
          <t>The submitted workbook row has no proposed H1.</t>
        </is>
      </c>
      <c r="H56" s="2" t="inlineStr">
        <is>
          <t>A publishable SEO title/H1 pair is incomplete when the H1 field is blank.</t>
        </is>
      </c>
      <c r="I56" s="2" t="inlineStr">
        <is>
          <t>Write one English H1 that matches the verified product type and visible design; do not copy unsupported claims.</t>
        </is>
      </c>
      <c r="J56" s="2" t="inlineStr">
        <is>
          <t>The submitted workbook row has no proposed H1.</t>
        </is>
      </c>
      <c r="K56" s="2" t="inlineStr">
        <is>
          <t>Workbook contains a non-empty H1 and it is consistent with title, primary keyword and live product evidence.</t>
        </is>
      </c>
    </row>
    <row r="57" ht="84" customHeight="1">
      <c r="A57" s="3" t="inlineStr">
        <is>
          <t>ISSUE-0056</t>
        </is>
      </c>
      <c r="B57" s="3" t="inlineStr">
        <is>
          <t>jeminise.com+personalized-baseball-bedding-full-size-flag-custom-name-d-design-23</t>
        </is>
      </c>
      <c r="C57" s="3" t="inlineStr"/>
      <c r="D57" s="3" t="inlineStr">
        <is>
          <t>MINOR</t>
        </is>
      </c>
      <c r="E57" s="3" t="inlineStr">
        <is>
          <t>meta_description_seo</t>
        </is>
      </c>
      <c r="F57" s="3" t="inlineStr">
        <is>
          <t>Shop a comforter set featuring night-sky baseball bedding with helmet, glove, bat, ball, grass field detail and script custom name. Review size and personalization options before checkout.</t>
        </is>
      </c>
      <c r="G57" s="3" t="inlineStr">
        <is>
          <t>Meta description length is 188 characters.</t>
        </is>
      </c>
      <c r="H57" s="3" t="inlineStr">
        <is>
          <t>Likely to truncate in search results and repeats review/personality wording in several rows.</t>
        </is>
      </c>
      <c r="I57" s="3" t="inlineStr">
        <is>
          <t>Rewrite to roughly 145-155 characters while preserving verified design and product type.</t>
        </is>
      </c>
      <c r="J57" s="3" t="inlineStr">
        <is>
          <t>Meta description length is 188 characters.</t>
        </is>
      </c>
      <c r="K57" s="3" t="inlineStr">
        <is>
          <t>Length check &lt;=160 characters and no unsupported claim remains.</t>
        </is>
      </c>
    </row>
    <row r="58" ht="84" customHeight="1">
      <c r="A58" s="2" t="inlineStr">
        <is>
          <t>ISSUE-0057</t>
        </is>
      </c>
      <c r="B58" s="2" t="inlineStr">
        <is>
          <t>jeminise.com+personalized-baseball-bedding-full-size-flag-custom-name-d-design-23</t>
        </is>
      </c>
      <c r="C58" s="2" t="inlineStr"/>
      <c r="D58" s="2" t="inlineStr">
        <is>
          <t>LIMITATION</t>
        </is>
      </c>
      <c r="E58" s="2" t="inlineStr">
        <is>
          <t>keyword_evidence_level</t>
        </is>
      </c>
      <c r="F58" s="2" t="inlineStr">
        <is>
          <t>SERP_ONLY</t>
        </is>
      </c>
      <c r="G58" s="2" t="inlineStr">
        <is>
          <t>Only public SERP comparables are available.</t>
        </is>
      </c>
      <c r="H58" s="2" t="inlineStr">
        <is>
          <t>No Search Console, paid keyword volume or internal site search export was supplied.</t>
        </is>
      </c>
      <c r="I58" s="2" t="inlineStr">
        <is>
          <t>Keep demand statements qualitative; do not claim volume or ranking potential.</t>
        </is>
      </c>
      <c r="J58" s="2" t="inlineStr">
        <is>
          <t>Only public SERP comparables are available.</t>
        </is>
      </c>
      <c r="K58" s="2" t="inlineStr">
        <is>
          <t>Additional first-party or paid keyword evidence is attached, or limitation remains documented.</t>
        </is>
      </c>
    </row>
    <row r="59" ht="84" customHeight="1">
      <c r="A59" s="3" t="inlineStr">
        <is>
          <t>ISSUE-0058</t>
        </is>
      </c>
      <c r="B59" s="3" t="inlineStr">
        <is>
          <t>jeminise.com+personalized-baseball-bedding-full-size-flag-custom-name-d-design-23</t>
        </is>
      </c>
      <c r="C59" s="3" t="inlineStr">
        <is>
          <t>img_2dc9c1da03271d25</t>
        </is>
      </c>
      <c r="D59" s="3" t="inlineStr">
        <is>
          <t>MINOR</t>
        </is>
      </c>
      <c r="E59" s="3" t="inlineStr">
        <is>
          <t>alt text</t>
        </is>
      </c>
      <c r="F59" s="3" t="inlineStr">
        <is>
          <t>Night Field Baseball Glove Bedding with Custom Name displayed in a main product mockup</t>
        </is>
      </c>
      <c r="G59" s="3" t="inlineStr">
        <is>
          <t>Fresh image file: D:\Shopify_Workspace\jeminise_seo\seo_runs\jeminise.com\20260906_234129\qa\20260907_214100\images\198_01.jpg; source URL: https://cdn.shopify.com/s/files/1/0792/5098/1063/files/9df70f0343a5c034d346fd9dde42e97c78ba2ce598854a71221d454a2ee76637.jpg?v=1787242356</t>
        </is>
      </c>
      <c r="H59" s="3" t="inlineStr">
        <is>
          <t>Alt text is too generic or describes placement more than visible content.</t>
        </is>
      </c>
      <c r="I59" s="3" t="inlineStr">
        <is>
          <t>Rewrite observation/alt from the directly opened image, naming the visible motif and use context.</t>
        </is>
      </c>
      <c r="J59" s="3" t="inlineStr">
        <is>
          <t>Fresh image file: D:\Shopify_Workspace\jeminise_seo\seo_runs\jeminise.com\20260906_234129\qa\20260907_214100\images\198_01.jpg; source URL: https://cdn.shopify.com/s/files/1/0792/5098/1063/files/9df70f0343a5c034d346fd9dde42e97c78ba2ce598854a71221d454a2ee76637.jpg?v=1787242356</t>
        </is>
      </c>
      <c r="K59" s="3" t="inlineStr">
        <is>
          <t>The image row accurately describes the actual media at this gallery position.</t>
        </is>
      </c>
    </row>
    <row r="60" ht="84" customHeight="1">
      <c r="A60" s="2" t="inlineStr">
        <is>
          <t>ISSUE-0059</t>
        </is>
      </c>
      <c r="B60" s="2" t="inlineStr">
        <is>
          <t>jeminise.com+personalized-baseball-bedding-full-size-flag-custom-name-d-design-23</t>
        </is>
      </c>
      <c r="C60" s="2" t="inlineStr">
        <is>
          <t>img_db3c4fb9e3a346f6</t>
        </is>
      </c>
      <c r="D60" s="2" t="inlineStr">
        <is>
          <t>MINOR</t>
        </is>
      </c>
      <c r="E60" s="2" t="inlineStr">
        <is>
          <t>image observation</t>
        </is>
      </c>
      <c r="F60" s="2" t="inlineStr">
        <is>
          <t>Bedding type, feature, lifestyle or material image for night field baseball glove bedding with custom name.</t>
        </is>
      </c>
      <c r="G60" s="2" t="inlineStr">
        <is>
          <t>Fresh image file: D:\Shopify_Workspace\jeminise_seo\seo_runs\jeminise.com\20260906_234129\qa\20260907_214100\images\198_03.jpg; source URL: https://cdn.shopify.com/s/files/1/0792/5098/1063/files/b495d9b37eafdceff5caf3643256f7b3a83de826d49a14bdc531b13424296018_f0ab96a2-f663-4cfb-be58-fb49e4b15426.jpg?v=1787242356</t>
        </is>
      </c>
      <c r="H60" s="2" t="inlineStr">
        <is>
          <t>Observation is generic or position-based; rewrite from the actual image content.</t>
        </is>
      </c>
      <c r="I60" s="2" t="inlineStr">
        <is>
          <t>Rewrite observation/alt from the directly opened image, naming the visible motif and use context.</t>
        </is>
      </c>
      <c r="J60" s="2" t="inlineStr">
        <is>
          <t>Fresh image file: D:\Shopify_Workspace\jeminise_seo\seo_runs\jeminise.com\20260906_234129\qa\20260907_214100\images\198_03.jpg; source URL: https://cdn.shopify.com/s/files/1/0792/5098/1063/files/b495d9b37eafdceff5caf3643256f7b3a83de826d49a14bdc531b13424296018_f0ab96a2-f663-4cfb-be58-fb49e4b15426.jpg?v=1787242356</t>
        </is>
      </c>
      <c r="K60" s="2" t="inlineStr">
        <is>
          <t>The image row accurately describes the actual media at this gallery position.</t>
        </is>
      </c>
    </row>
    <row r="61" ht="84" customHeight="1">
      <c r="A61" s="3" t="inlineStr">
        <is>
          <t>ISSUE-0060</t>
        </is>
      </c>
      <c r="B61" s="3" t="inlineStr">
        <is>
          <t>jeminise.com+personalized-baseball-bedding-full-size-flag-custom-name-d-design-23</t>
        </is>
      </c>
      <c r="C61" s="3" t="inlineStr">
        <is>
          <t>img_99ecff8dbda8353e</t>
        </is>
      </c>
      <c r="D61" s="3" t="inlineStr">
        <is>
          <t>MINOR</t>
        </is>
      </c>
      <c r="E61" s="3" t="inlineStr">
        <is>
          <t>image observation</t>
        </is>
      </c>
      <c r="F61" s="3" t="inlineStr">
        <is>
          <t>Detail, feature panel or lifestyle image connected to night field baseball glove bedding with custom name.</t>
        </is>
      </c>
      <c r="G61" s="3" t="inlineStr">
        <is>
          <t>Fresh image file: D:\Shopify_Workspace\jeminise_seo\seo_runs\jeminise.com\20260906_234129\qa\20260907_214100\images\198_04.jpg; source URL: https://cdn.shopify.com/s/files/1/0792/5098/1063/files/d51e3360a3e4b984af63b01c4b53d517484ca3d6cb1beeea158bcf59acab9ed4_0af73dba-e243-4566-bbfe-d666cef91f7d.jpg?v=1787242356</t>
        </is>
      </c>
      <c r="H61" s="3" t="inlineStr">
        <is>
          <t>Observation is generic or position-based; rewrite from the actual image content.</t>
        </is>
      </c>
      <c r="I61" s="3" t="inlineStr">
        <is>
          <t>Rewrite observation/alt from the directly opened image, naming the visible motif and use context.</t>
        </is>
      </c>
      <c r="J61" s="3" t="inlineStr">
        <is>
          <t>Fresh image file: D:\Shopify_Workspace\jeminise_seo\seo_runs\jeminise.com\20260906_234129\qa\20260907_214100\images\198_04.jpg; source URL: https://cdn.shopify.com/s/files/1/0792/5098/1063/files/d51e3360a3e4b984af63b01c4b53d517484ca3d6cb1beeea158bcf59acab9ed4_0af73dba-e243-4566-bbfe-d666cef91f7d.jpg?v=1787242356</t>
        </is>
      </c>
      <c r="K61" s="3" t="inlineStr">
        <is>
          <t>The image row accurately describes the actual media at this gallery position.</t>
        </is>
      </c>
    </row>
    <row r="62" ht="84" customHeight="1">
      <c r="A62" s="2" t="inlineStr">
        <is>
          <t>ISSUE-0061</t>
        </is>
      </c>
      <c r="B62" s="2" t="inlineStr">
        <is>
          <t>jeminise.com+personalized-baseball-bedding-full-size-flag-custom-name-d-design-24</t>
        </is>
      </c>
      <c r="C62" s="2" t="inlineStr"/>
      <c r="D62" s="2" t="inlineStr">
        <is>
          <t>MAJOR</t>
        </is>
      </c>
      <c r="E62" s="2" t="inlineStr">
        <is>
          <t>description_proposed_html</t>
        </is>
      </c>
      <c r="F62" s="2"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t>
        </is>
      </c>
      <c r="G62" s="2" t="inlineStr">
        <is>
          <t>Draft contains SEO Use / QA approval wording.</t>
        </is>
      </c>
      <c r="H62" s="2" t="inlineStr">
        <is>
          <t>Internal workflow language is not publish-ready storefront copy.</t>
        </is>
      </c>
      <c r="I62" s="2" t="inlineStr">
        <is>
          <t>Remove internal QA/import block and replace with customer-facing verified copy.</t>
        </is>
      </c>
      <c r="J62" s="2" t="inlineStr">
        <is>
          <t>Draft contains SEO Use / QA approval wording.</t>
        </is>
      </c>
      <c r="K62" s="2" t="inlineStr">
        <is>
          <t>Description HTML no longer contains SEO Use, QA, approval, import or draft language.</t>
        </is>
      </c>
    </row>
    <row r="63" ht="84" customHeight="1">
      <c r="A63" s="3" t="inlineStr">
        <is>
          <t>ISSUE-0062</t>
        </is>
      </c>
      <c r="B63" s="3" t="inlineStr">
        <is>
          <t>jeminise.com+personalized-baseball-bedding-full-size-flag-custom-name-d-design-24</t>
        </is>
      </c>
      <c r="C63" s="3" t="inlineStr"/>
      <c r="D63" s="3" t="inlineStr">
        <is>
          <t>MAJOR</t>
        </is>
      </c>
      <c r="E63" s="3" t="inlineStr">
        <is>
          <t>h1_proposed</t>
        </is>
      </c>
      <c r="F63" s="3" t="inlineStr"/>
      <c r="G63" s="3" t="inlineStr">
        <is>
          <t>The submitted workbook row has no proposed H1.</t>
        </is>
      </c>
      <c r="H63" s="3" t="inlineStr">
        <is>
          <t>A publishable SEO title/H1 pair is incomplete when the H1 field is blank.</t>
        </is>
      </c>
      <c r="I63" s="3" t="inlineStr">
        <is>
          <t>Write one English H1 that matches the verified product type and visible design; do not copy unsupported claims.</t>
        </is>
      </c>
      <c r="J63" s="3" t="inlineStr">
        <is>
          <t>The submitted workbook row has no proposed H1.</t>
        </is>
      </c>
      <c r="K63" s="3" t="inlineStr">
        <is>
          <t>Workbook contains a non-empty H1 and it is consistent with title, primary keyword and live product evidence.</t>
        </is>
      </c>
    </row>
    <row r="64" ht="84" customHeight="1">
      <c r="A64" s="2" t="inlineStr">
        <is>
          <t>ISSUE-0063</t>
        </is>
      </c>
      <c r="B64" s="2" t="inlineStr">
        <is>
          <t>jeminise.com+personalized-baseball-bedding-full-size-flag-custom-name-d-design-24</t>
        </is>
      </c>
      <c r="C64" s="2" t="inlineStr"/>
      <c r="D64" s="2" t="inlineStr">
        <is>
          <t>MINOR</t>
        </is>
      </c>
      <c r="E64" s="2" t="inlineStr">
        <is>
          <t>meta_description_seo</t>
        </is>
      </c>
      <c r="F64" s="2" t="inlineStr">
        <is>
          <t>Shop a comforter set featuring black and smoke baseball bedding with batter silhouette, vertical custom name and jersey number on pillow shams. Review size and personalization options before checkout.</t>
        </is>
      </c>
      <c r="G64" s="2" t="inlineStr">
        <is>
          <t>Meta description length is 200 characters.</t>
        </is>
      </c>
      <c r="H64" s="2" t="inlineStr">
        <is>
          <t>Likely to truncate in search results and repeats review/personality wording in several rows.</t>
        </is>
      </c>
      <c r="I64" s="2" t="inlineStr">
        <is>
          <t>Rewrite to roughly 145-155 characters while preserving verified design and product type.</t>
        </is>
      </c>
      <c r="J64" s="2" t="inlineStr">
        <is>
          <t>Meta description length is 200 characters.</t>
        </is>
      </c>
      <c r="K64" s="2" t="inlineStr">
        <is>
          <t>Length check &lt;=160 characters and no unsupported claim remains.</t>
        </is>
      </c>
    </row>
    <row r="65" ht="84" customHeight="1">
      <c r="A65" s="3" t="inlineStr">
        <is>
          <t>ISSUE-0064</t>
        </is>
      </c>
      <c r="B65" s="3" t="inlineStr">
        <is>
          <t>jeminise.com+personalized-baseball-bedding-full-size-flag-custom-name-d-design-24</t>
        </is>
      </c>
      <c r="C65" s="3" t="inlineStr"/>
      <c r="D65" s="3" t="inlineStr">
        <is>
          <t>LIMITATION</t>
        </is>
      </c>
      <c r="E65" s="3" t="inlineStr">
        <is>
          <t>keyword_evidence_level</t>
        </is>
      </c>
      <c r="F65" s="3" t="inlineStr">
        <is>
          <t>SERP_ONLY</t>
        </is>
      </c>
      <c r="G65" s="3" t="inlineStr">
        <is>
          <t>Only public SERP comparables are available.</t>
        </is>
      </c>
      <c r="H65" s="3" t="inlineStr">
        <is>
          <t>No Search Console, paid keyword volume or internal site search export was supplied.</t>
        </is>
      </c>
      <c r="I65" s="3" t="inlineStr">
        <is>
          <t>Keep demand statements qualitative; do not claim volume or ranking potential.</t>
        </is>
      </c>
      <c r="J65" s="3" t="inlineStr">
        <is>
          <t>Only public SERP comparables are available.</t>
        </is>
      </c>
      <c r="K65" s="3" t="inlineStr">
        <is>
          <t>Additional first-party or paid keyword evidence is attached, or limitation remains documented.</t>
        </is>
      </c>
    </row>
    <row r="66" ht="84" customHeight="1">
      <c r="A66" s="2" t="inlineStr">
        <is>
          <t>ISSUE-0065</t>
        </is>
      </c>
      <c r="B66" s="2" t="inlineStr">
        <is>
          <t>jeminise.com+personalized-baseball-bedding-full-size-flag-custom-name-d-design-24</t>
        </is>
      </c>
      <c r="C66" s="2" t="inlineStr">
        <is>
          <t>img_a940e34e85906dfe</t>
        </is>
      </c>
      <c r="D66" s="2" t="inlineStr">
        <is>
          <t>MINOR</t>
        </is>
      </c>
      <c r="E66" s="2" t="inlineStr">
        <is>
          <t>alt text</t>
        </is>
      </c>
      <c r="F66" s="2" t="inlineStr">
        <is>
          <t>Smoke Baseball Batter Bedding with Custom Name displayed in a main product mockup</t>
        </is>
      </c>
      <c r="G66" s="2" t="inlineStr">
        <is>
          <t>Fresh image file: D:\Shopify_Workspace\jeminise_seo\seo_runs\jeminise.com\20260906_234129\qa\20260907_214100\images\199_01.jpg; source URL: https://cdn.shopify.com/s/files/1/0792/5098/1063/files/48589fe36faa0094c3abd003db43e21d9258e2fb97447a7de81929f16ea14bd3.jpg?v=1787242367</t>
        </is>
      </c>
      <c r="H66" s="2" t="inlineStr">
        <is>
          <t>Alt text is too generic or describes placement more than visible content.</t>
        </is>
      </c>
      <c r="I66" s="2" t="inlineStr">
        <is>
          <t>Rewrite observation/alt from the directly opened image, naming the visible motif and use context.</t>
        </is>
      </c>
      <c r="J66" s="2" t="inlineStr">
        <is>
          <t>Fresh image file: D:\Shopify_Workspace\jeminise_seo\seo_runs\jeminise.com\20260906_234129\qa\20260907_214100\images\199_01.jpg; source URL: https://cdn.shopify.com/s/files/1/0792/5098/1063/files/48589fe36faa0094c3abd003db43e21d9258e2fb97447a7de81929f16ea14bd3.jpg?v=1787242367</t>
        </is>
      </c>
      <c r="K66" s="2" t="inlineStr">
        <is>
          <t>The image row accurately describes the actual media at this gallery position.</t>
        </is>
      </c>
    </row>
    <row r="67" ht="84" customHeight="1">
      <c r="A67" s="3" t="inlineStr">
        <is>
          <t>ISSUE-0066</t>
        </is>
      </c>
      <c r="B67" s="3" t="inlineStr">
        <is>
          <t>jeminise.com+personalized-baseball-bedding-full-size-flag-custom-name-d-design-24</t>
        </is>
      </c>
      <c r="C67" s="3" t="inlineStr">
        <is>
          <t>img_cd71d0bf3b005510</t>
        </is>
      </c>
      <c r="D67" s="3" t="inlineStr">
        <is>
          <t>MINOR</t>
        </is>
      </c>
      <c r="E67" s="3" t="inlineStr">
        <is>
          <t>image observation</t>
        </is>
      </c>
      <c r="F67" s="3" t="inlineStr">
        <is>
          <t>Bedding type, feature, lifestyle or material image for smoke baseball batter bedding with vertical name.</t>
        </is>
      </c>
      <c r="G67" s="3" t="inlineStr">
        <is>
          <t>Fresh image file: D:\Shopify_Workspace\jeminise_seo\seo_runs\jeminise.com\20260906_234129\qa\20260907_214100\images\199_03.jpg; source URL: https://cdn.shopify.com/s/files/1/0792/5098/1063/files/ef81c56fe7d5f4f60045bfbd0778e14ad11ce2a6824c23132d2b864ef763fe85_766ef4c1-884c-44d5-827f-36e14e40edcc.jpg?v=1787242367</t>
        </is>
      </c>
      <c r="H67" s="3" t="inlineStr">
        <is>
          <t>Observation is generic or position-based; rewrite from the actual image content.</t>
        </is>
      </c>
      <c r="I67" s="3" t="inlineStr">
        <is>
          <t>Rewrite observation/alt from the directly opened image, naming the visible motif and use context.</t>
        </is>
      </c>
      <c r="J67" s="3" t="inlineStr">
        <is>
          <t>Fresh image file: D:\Shopify_Workspace\jeminise_seo\seo_runs\jeminise.com\20260906_234129\qa\20260907_214100\images\199_03.jpg; source URL: https://cdn.shopify.com/s/files/1/0792/5098/1063/files/ef81c56fe7d5f4f60045bfbd0778e14ad11ce2a6824c23132d2b864ef763fe85_766ef4c1-884c-44d5-827f-36e14e40edcc.jpg?v=1787242367</t>
        </is>
      </c>
      <c r="K67" s="3" t="inlineStr">
        <is>
          <t>The image row accurately describes the actual media at this gallery position.</t>
        </is>
      </c>
    </row>
    <row r="68" ht="84" customHeight="1">
      <c r="A68" s="2" t="inlineStr">
        <is>
          <t>ISSUE-0067</t>
        </is>
      </c>
      <c r="B68" s="2" t="inlineStr">
        <is>
          <t>jeminise.com+personalized-baseball-bedding-full-size-flag-custom-name-d-design-24</t>
        </is>
      </c>
      <c r="C68" s="2" t="inlineStr">
        <is>
          <t>img_4e2cfa888bcd40e4</t>
        </is>
      </c>
      <c r="D68" s="2" t="inlineStr">
        <is>
          <t>MINOR</t>
        </is>
      </c>
      <c r="E68" s="2" t="inlineStr">
        <is>
          <t>image observation</t>
        </is>
      </c>
      <c r="F68" s="2" t="inlineStr">
        <is>
          <t>Detail, feature panel or lifestyle image connected to smoke baseball batter bedding with vertical name.</t>
        </is>
      </c>
      <c r="G68" s="2" t="inlineStr">
        <is>
          <t>Fresh image file: D:\Shopify_Workspace\jeminise_seo\seo_runs\jeminise.com\20260906_234129\qa\20260907_214100\images\199_04.jpg; source URL: https://cdn.shopify.com/s/files/1/0792/5098/1063/files/b495d9b37eafdceff5caf3643256f7b3a83de826d49a14bdc531b13424296018_c1b435da-31ed-49cb-90f8-62de1a425cc9.jpg?v=1787242367</t>
        </is>
      </c>
      <c r="H68" s="2" t="inlineStr">
        <is>
          <t>Observation is generic or position-based; rewrite from the actual image content.</t>
        </is>
      </c>
      <c r="I68" s="2" t="inlineStr">
        <is>
          <t>Rewrite observation/alt from the directly opened image, naming the visible motif and use context.</t>
        </is>
      </c>
      <c r="J68" s="2" t="inlineStr">
        <is>
          <t>Fresh image file: D:\Shopify_Workspace\jeminise_seo\seo_runs\jeminise.com\20260906_234129\qa\20260907_214100\images\199_04.jpg; source URL: https://cdn.shopify.com/s/files/1/0792/5098/1063/files/b495d9b37eafdceff5caf3643256f7b3a83de826d49a14bdc531b13424296018_c1b435da-31ed-49cb-90f8-62de1a425cc9.jpg?v=1787242367</t>
        </is>
      </c>
      <c r="K68" s="2" t="inlineStr">
        <is>
          <t>The image row accurately describes the actual media at this gallery position.</t>
        </is>
      </c>
    </row>
    <row r="69" ht="84" customHeight="1">
      <c r="A69" s="3" t="inlineStr">
        <is>
          <t>ISSUE-0068</t>
        </is>
      </c>
      <c r="B69" s="3" t="inlineStr">
        <is>
          <t>jeminise.com+personalized-baseball-bedding-full-size-flag-custom-name-d-design-25</t>
        </is>
      </c>
      <c r="C69" s="3" t="inlineStr"/>
      <c r="D69" s="3" t="inlineStr">
        <is>
          <t>MAJOR</t>
        </is>
      </c>
      <c r="E69" s="3" t="inlineStr">
        <is>
          <t>description_proposed_html</t>
        </is>
      </c>
      <c r="F69" s="3"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t>
        </is>
      </c>
      <c r="G69" s="3" t="inlineStr">
        <is>
          <t>Draft contains SEO Use / QA approval wording.</t>
        </is>
      </c>
      <c r="H69" s="3" t="inlineStr">
        <is>
          <t>Internal workflow language is not publish-ready storefront copy.</t>
        </is>
      </c>
      <c r="I69" s="3" t="inlineStr">
        <is>
          <t>Remove internal QA/import block and replace with customer-facing verified copy.</t>
        </is>
      </c>
      <c r="J69" s="3" t="inlineStr">
        <is>
          <t>Draft contains SEO Use / QA approval wording.</t>
        </is>
      </c>
      <c r="K69" s="3" t="inlineStr">
        <is>
          <t>Description HTML no longer contains SEO Use, QA, approval, import or draft language.</t>
        </is>
      </c>
    </row>
    <row r="70" ht="84" customHeight="1">
      <c r="A70" s="2" t="inlineStr">
        <is>
          <t>ISSUE-0069</t>
        </is>
      </c>
      <c r="B70" s="2" t="inlineStr">
        <is>
          <t>jeminise.com+personalized-baseball-bedding-full-size-flag-custom-name-d-design-25</t>
        </is>
      </c>
      <c r="C70" s="2" t="inlineStr"/>
      <c r="D70" s="2" t="inlineStr">
        <is>
          <t>MAJOR</t>
        </is>
      </c>
      <c r="E70" s="2" t="inlineStr">
        <is>
          <t>h1_proposed</t>
        </is>
      </c>
      <c r="F70" s="2" t="inlineStr"/>
      <c r="G70" s="2" t="inlineStr">
        <is>
          <t>The submitted workbook row has no proposed H1.</t>
        </is>
      </c>
      <c r="H70" s="2" t="inlineStr">
        <is>
          <t>A publishable SEO title/H1 pair is incomplete when the H1 field is blank.</t>
        </is>
      </c>
      <c r="I70" s="2" t="inlineStr">
        <is>
          <t>Write one English H1 that matches the verified product type and visible design; do not copy unsupported claims.</t>
        </is>
      </c>
      <c r="J70" s="2" t="inlineStr">
        <is>
          <t>The submitted workbook row has no proposed H1.</t>
        </is>
      </c>
      <c r="K70" s="2" t="inlineStr">
        <is>
          <t>Workbook contains a non-empty H1 and it is consistent with title, primary keyword and live product evidence.</t>
        </is>
      </c>
    </row>
    <row r="71" ht="84" customHeight="1">
      <c r="A71" s="3" t="inlineStr">
        <is>
          <t>ISSUE-0070</t>
        </is>
      </c>
      <c r="B71" s="3" t="inlineStr">
        <is>
          <t>jeminise.com+personalized-baseball-bedding-full-size-flag-custom-name-d-design-25</t>
        </is>
      </c>
      <c r="C71" s="3" t="inlineStr"/>
      <c r="D71" s="3" t="inlineStr">
        <is>
          <t>MINOR</t>
        </is>
      </c>
      <c r="E71" s="3" t="inlineStr">
        <is>
          <t>meta_description_seo</t>
        </is>
      </c>
      <c r="F71" s="3" t="inlineStr">
        <is>
          <t>Shop a comforter set featuring cream baseball stitching bedding with red lace detail, script custom name and jersey number. Review size and personalization options before checkout.</t>
        </is>
      </c>
      <c r="G71" s="3" t="inlineStr">
        <is>
          <t>Meta description length is 180 characters.</t>
        </is>
      </c>
      <c r="H71" s="3" t="inlineStr">
        <is>
          <t>Likely to truncate in search results and repeats review/personality wording in several rows.</t>
        </is>
      </c>
      <c r="I71" s="3" t="inlineStr">
        <is>
          <t>Rewrite to roughly 145-155 characters while preserving verified design and product type.</t>
        </is>
      </c>
      <c r="J71" s="3" t="inlineStr">
        <is>
          <t>Meta description length is 180 characters.</t>
        </is>
      </c>
      <c r="K71" s="3" t="inlineStr">
        <is>
          <t>Length check &lt;=160 characters and no unsupported claim remains.</t>
        </is>
      </c>
    </row>
    <row r="72" ht="84" customHeight="1">
      <c r="A72" s="2" t="inlineStr">
        <is>
          <t>ISSUE-0071</t>
        </is>
      </c>
      <c r="B72" s="2" t="inlineStr">
        <is>
          <t>jeminise.com+personalized-baseball-bedding-full-size-flag-custom-name-d-design-25</t>
        </is>
      </c>
      <c r="C72" s="2" t="inlineStr"/>
      <c r="D72" s="2" t="inlineStr">
        <is>
          <t>LIMITATION</t>
        </is>
      </c>
      <c r="E72" s="2" t="inlineStr">
        <is>
          <t>keyword_evidence_level</t>
        </is>
      </c>
      <c r="F72" s="2" t="inlineStr">
        <is>
          <t>SERP_ONLY</t>
        </is>
      </c>
      <c r="G72" s="2" t="inlineStr">
        <is>
          <t>Only public SERP comparables are available.</t>
        </is>
      </c>
      <c r="H72" s="2" t="inlineStr">
        <is>
          <t>No Search Console, paid keyword volume or internal site search export was supplied.</t>
        </is>
      </c>
      <c r="I72" s="2" t="inlineStr">
        <is>
          <t>Keep demand statements qualitative; do not claim volume or ranking potential.</t>
        </is>
      </c>
      <c r="J72" s="2" t="inlineStr">
        <is>
          <t>Only public SERP comparables are available.</t>
        </is>
      </c>
      <c r="K72" s="2" t="inlineStr">
        <is>
          <t>Additional first-party or paid keyword evidence is attached, or limitation remains documented.</t>
        </is>
      </c>
    </row>
    <row r="73" ht="84" customHeight="1">
      <c r="A73" s="3" t="inlineStr">
        <is>
          <t>ISSUE-0072</t>
        </is>
      </c>
      <c r="B73" s="3" t="inlineStr">
        <is>
          <t>jeminise.com+personalized-baseball-bedding-full-size-flag-custom-name-d-design-25</t>
        </is>
      </c>
      <c r="C73" s="3" t="inlineStr">
        <is>
          <t>img_c9078cd90b1bb6ee</t>
        </is>
      </c>
      <c r="D73" s="3" t="inlineStr">
        <is>
          <t>MINOR</t>
        </is>
      </c>
      <c r="E73" s="3" t="inlineStr">
        <is>
          <t>alt text</t>
        </is>
      </c>
      <c r="F73" s="3" t="inlineStr">
        <is>
          <t>Baseball Stitching Bedding with Name and Number displayed in a main product mockup</t>
        </is>
      </c>
      <c r="G73" s="3" t="inlineStr">
        <is>
          <t>Fresh image file: D:\Shopify_Workspace\jeminise_seo\seo_runs\jeminise.com\20260906_234129\qa\20260907_214100\images\200_01.jpg; source URL: https://cdn.shopify.com/s/files/1/0792/5098/1063/files/11df9a4659d388206c41b6ce006bba9cd9188c4599d5b1e80f4bbcd5c77de54c.jpg?v=1787242376</t>
        </is>
      </c>
      <c r="H73" s="3" t="inlineStr">
        <is>
          <t>Alt text is too generic or describes placement more than visible content.</t>
        </is>
      </c>
      <c r="I73" s="3" t="inlineStr">
        <is>
          <t>Rewrite observation/alt from the directly opened image, naming the visible motif and use context.</t>
        </is>
      </c>
      <c r="J73" s="3" t="inlineStr">
        <is>
          <t>Fresh image file: D:\Shopify_Workspace\jeminise_seo\seo_runs\jeminise.com\20260906_234129\qa\20260907_214100\images\200_01.jpg; source URL: https://cdn.shopify.com/s/files/1/0792/5098/1063/files/11df9a4659d388206c41b6ce006bba9cd9188c4599d5b1e80f4bbcd5c77de54c.jpg?v=1787242376</t>
        </is>
      </c>
      <c r="K73" s="3" t="inlineStr">
        <is>
          <t>The image row accurately describes the actual media at this gallery position.</t>
        </is>
      </c>
    </row>
    <row r="74" ht="84" customHeight="1">
      <c r="A74" s="2" t="inlineStr">
        <is>
          <t>ISSUE-0073</t>
        </is>
      </c>
      <c r="B74" s="2" t="inlineStr">
        <is>
          <t>jeminise.com+personalized-baseball-bedding-full-size-flag-custom-name-d-design-25</t>
        </is>
      </c>
      <c r="C74" s="2" t="inlineStr">
        <is>
          <t>img_2d4066b726fff0eb</t>
        </is>
      </c>
      <c r="D74" s="2" t="inlineStr">
        <is>
          <t>MINOR</t>
        </is>
      </c>
      <c r="E74" s="2" t="inlineStr">
        <is>
          <t>image observation</t>
        </is>
      </c>
      <c r="F74" s="2" t="inlineStr">
        <is>
          <t>Bedding type, feature, lifestyle or material image for baseball stitching bedding with script name and number.</t>
        </is>
      </c>
      <c r="G74" s="2" t="inlineStr">
        <is>
          <t>Fresh image file: D:\Shopify_Workspace\jeminise_seo\seo_runs\jeminise.com\20260906_234129\qa\20260907_214100\images\200_03.jpg; source URL: https://cdn.shopify.com/s/files/1/0792/5098/1063/files/b495d9b37eafdceff5caf3643256f7b3a83de826d49a14bdc531b13424296018_b3a0dd2b-a99d-414d-a718-2cbc419deb98.jpg?v=1787242376</t>
        </is>
      </c>
      <c r="H74" s="2" t="inlineStr">
        <is>
          <t>Observation is generic or position-based; rewrite from the actual image content.</t>
        </is>
      </c>
      <c r="I74" s="2" t="inlineStr">
        <is>
          <t>Rewrite observation/alt from the directly opened image, naming the visible motif and use context.</t>
        </is>
      </c>
      <c r="J74" s="2" t="inlineStr">
        <is>
          <t>Fresh image file: D:\Shopify_Workspace\jeminise_seo\seo_runs\jeminise.com\20260906_234129\qa\20260907_214100\images\200_03.jpg; source URL: https://cdn.shopify.com/s/files/1/0792/5098/1063/files/b495d9b37eafdceff5caf3643256f7b3a83de826d49a14bdc531b13424296018_b3a0dd2b-a99d-414d-a718-2cbc419deb98.jpg?v=1787242376</t>
        </is>
      </c>
      <c r="K74" s="2" t="inlineStr">
        <is>
          <t>The image row accurately describes the actual media at this gallery position.</t>
        </is>
      </c>
    </row>
    <row r="75" ht="84" customHeight="1">
      <c r="A75" s="3" t="inlineStr">
        <is>
          <t>ISSUE-0074</t>
        </is>
      </c>
      <c r="B75" s="3" t="inlineStr">
        <is>
          <t>jeminise.com+personalized-baseball-bedding-full-size-flag-custom-name-d-design-25</t>
        </is>
      </c>
      <c r="C75" s="3" t="inlineStr">
        <is>
          <t>img_36841232a1354643</t>
        </is>
      </c>
      <c r="D75" s="3" t="inlineStr">
        <is>
          <t>MINOR</t>
        </is>
      </c>
      <c r="E75" s="3" t="inlineStr">
        <is>
          <t>image observation</t>
        </is>
      </c>
      <c r="F75" s="3" t="inlineStr">
        <is>
          <t>Detail, feature panel or lifestyle image connected to baseball stitching bedding with script name and number.</t>
        </is>
      </c>
      <c r="G75" s="3" t="inlineStr">
        <is>
          <t>Fresh image file: D:\Shopify_Workspace\jeminise_seo\seo_runs\jeminise.com\20260906_234129\qa\20260907_214100\images\200_04.jpg; source URL: https://cdn.shopify.com/s/files/1/0792/5098/1063/files/d51e3360a3e4b984af63b01c4b53d517484ca3d6cb1beeea158bcf59acab9ed4_6b97eed2-12e5-4dfe-b90c-c6cb2b7ed923.jpg?v=1787242376</t>
        </is>
      </c>
      <c r="H75" s="3" t="inlineStr">
        <is>
          <t>Observation is generic or position-based; rewrite from the actual image content.</t>
        </is>
      </c>
      <c r="I75" s="3" t="inlineStr">
        <is>
          <t>Rewrite observation/alt from the directly opened image, naming the visible motif and use context.</t>
        </is>
      </c>
      <c r="J75" s="3" t="inlineStr">
        <is>
          <t>Fresh image file: D:\Shopify_Workspace\jeminise_seo\seo_runs\jeminise.com\20260906_234129\qa\20260907_214100\images\200_04.jpg; source URL: https://cdn.shopify.com/s/files/1/0792/5098/1063/files/d51e3360a3e4b984af63b01c4b53d517484ca3d6cb1beeea158bcf59acab9ed4_6b97eed2-12e5-4dfe-b90c-c6cb2b7ed923.jpg?v=1787242376</t>
        </is>
      </c>
      <c r="K75" s="3" t="inlineStr">
        <is>
          <t>The image row accurately describes the actual media at this gallery position.</t>
        </is>
      </c>
    </row>
  </sheetData>
  <autoFilter ref="A1:K75"/>
  <conditionalFormatting sqref="D2:D75">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2026-09-07T14:54:18Z</dcterms:created>
  <dcterms:modified xmlns:dcterms="http://purl.org/dc/terms/" xmlns:xsi="http://www.w3.org/2001/XMLSchema-instance" xsi:type="dcterms:W3CDTF">2026-09-07T14:54:19Z</dcterms:modified>
</cp:coreProperties>
</file>