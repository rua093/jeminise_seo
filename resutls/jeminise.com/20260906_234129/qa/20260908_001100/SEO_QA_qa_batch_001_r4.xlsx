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'QA_Images'!$A$1:$AA$66</definedName>
    <definedName name="_xlnm.Print_Titles" localSheetId="3">'QA_Images'!$1:$1</definedName>
    <definedName name="_xlnm._FilterDatabase" localSheetId="4" hidden="1">'QA_Issues'!$A$1:$K$24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autumn-cardinals-perched-above-large-sunflowers-quilt-with-cardinal-birds-9a3b408b20-9a3b408b20" TargetMode="External" Id="rId1"/><Relationship Type="http://schemas.openxmlformats.org/officeDocument/2006/relationships/hyperlink" Target="https://jeminise.com/products/bright-teal-yellow-softball-comforter-set-premium-sports-theme" TargetMode="External" Id="rId2"/><Relationship Type="http://schemas.openxmlformats.org/officeDocument/2006/relationships/hyperlink" Target="https://jeminise.com/products/cardinals-perched-beside-decorated-christmas-tree-patchwork-winter-quilt-7cd7bc46a0-7cd7bc46a0" TargetMode="External" Id="rId3"/><Relationship Type="http://schemas.openxmlformats.org/officeDocument/2006/relationships/hyperlink" Target="https://jeminise.com/products/cardinals-perched-on-branch-with-roses-patchwork-winter-quilt-21ac904cd7-21ac904cd7" TargetMode="External" Id="rId4"/><Relationship Type="http://schemas.openxmlformats.org/officeDocument/2006/relationships/hyperlink" Target="https://jeminise.com/products/cat-patchwork-quilt-set-animal-pattern-bedding-cat-pattern-quilt-set" TargetMode="External" Id="rId5"/><Relationship Type="http://schemas.openxmlformats.org/officeDocument/2006/relationships/hyperlink" Target="https://jeminise.com/products/cat-quilt-set-cat-patchwork-style-printed-bedding-animal-patchwork" TargetMode="External" Id="rId6"/><Relationship Type="http://schemas.openxmlformats.org/officeDocument/2006/relationships/hyperlink" Target="https://jeminise.com/products/celtic-and-fantasy-quilt-set-with-twisting-tree-trunk-and-exposed-roots-c7b1460bad-c7b1460bad" TargetMode="External" Id="rId7"/><Relationship Type="http://schemas.openxmlformats.org/officeDocument/2006/relationships/hyperlink" Target="https://jeminise.com/products/celtic-mythology-tree-of-life-quilt-set-with-celtic-knotwork-border-12786aba7e-12786aba7e" TargetMode="External" Id="rId8"/><Relationship Type="http://schemas.openxmlformats.org/officeDocument/2006/relationships/hyperlink" Target="https://jeminise.com/products/chicken-pattern-quilt-set-animal-patchwork-farmhouse-quilt-set" TargetMode="External" Id="rId9"/><Relationship Type="http://schemas.openxmlformats.org/officeDocument/2006/relationships/hyperlink" Target="https://jeminise.com/products/christian-bedding-set-inspirational-bible-verse-comforte-design-0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0754b2731a7ffd916d0ef8b214706e796d780fbd4ba38c8f47f27b6dcfbf352e.jpg?v=1785099190" TargetMode="External" Id="rId1"/><Relationship Type="http://schemas.openxmlformats.org/officeDocument/2006/relationships/hyperlink" Target="https://cdn.shopify.com/s/files/1/0792/5098/1063/files/0754b2731a7ffd916d0ef8b214706e796d780fbd4ba38c8f47f27b6dcfbf352e.jpg?v=1785099190" TargetMode="External" Id="rId2"/><Relationship Type="http://schemas.openxmlformats.org/officeDocument/2006/relationships/hyperlink" Target="https://cdn.shopify.com/s/files/1/0792/5098/1063/files/a10aa0018e665e644a60b7c4aea8b5e152ec768ebb35af1090452cddbc9e9828.jpg?v=1785099190" TargetMode="External" Id="rId3"/><Relationship Type="http://schemas.openxmlformats.org/officeDocument/2006/relationships/hyperlink" Target="https://cdn.shopify.com/s/files/1/0792/5098/1063/files/a10aa0018e665e644a60b7c4aea8b5e152ec768ebb35af1090452cddbc9e9828.jpg?v=1785099190" TargetMode="External" Id="rId4"/><Relationship Type="http://schemas.openxmlformats.org/officeDocument/2006/relationships/hyperlink" Target="https://cdn.shopify.com/s/files/1/0792/5098/1063/files/c50488380d22611c83d218b77be9cfcf5799df4d9903913c09a1798712931b22.jpg?v=1785099190" TargetMode="External" Id="rId5"/><Relationship Type="http://schemas.openxmlformats.org/officeDocument/2006/relationships/hyperlink" Target="https://cdn.shopify.com/s/files/1/0792/5098/1063/files/c50488380d22611c83d218b77be9cfcf5799df4d9903913c09a1798712931b22.jpg?v=1785099190" TargetMode="External" Id="rId6"/><Relationship Type="http://schemas.openxmlformats.org/officeDocument/2006/relationships/hyperlink" Target="https://cdn.shopify.com/s/files/1/0792/5098/1063/files/455c5869333cc7654f6c30f3d09716ec1513311734a21a6aa82bf5fe0767ac69.jpg?v=1785099191" TargetMode="External" Id="rId7"/><Relationship Type="http://schemas.openxmlformats.org/officeDocument/2006/relationships/hyperlink" Target="https://cdn.shopify.com/s/files/1/0792/5098/1063/files/455c5869333cc7654f6c30f3d09716ec1513311734a21a6aa82bf5fe0767ac69.jpg?v=1785099191" TargetMode="External" Id="rId8"/><Relationship Type="http://schemas.openxmlformats.org/officeDocument/2006/relationships/hyperlink" Target="https://cdn.shopify.com/s/files/1/0792/5098/1063/files/f17ccb354040b3320b99a1960533bd6ef949db1145d3897d55a33673489caad9.jpg?v=1785099190" TargetMode="External" Id="rId9"/><Relationship Type="http://schemas.openxmlformats.org/officeDocument/2006/relationships/hyperlink" Target="https://cdn.shopify.com/s/files/1/0792/5098/1063/files/f17ccb354040b3320b99a1960533bd6ef949db1145d3897d55a33673489caad9.jpg?v=1785099190" TargetMode="External" Id="rId10"/><Relationship Type="http://schemas.openxmlformats.org/officeDocument/2006/relationships/hyperlink" Target="https://cdn.shopify.com/s/files/1/0792/5098/1063/files/aaac3be2edd458da15620b4b48ea0557ee8e33aa5a6ff9ed0d0db11848fd4cbe.jpg?v=1787245111" TargetMode="External" Id="rId11"/><Relationship Type="http://schemas.openxmlformats.org/officeDocument/2006/relationships/hyperlink" Target="https://cdn.shopify.com/s/files/1/0792/5098/1063/files/aaac3be2edd458da15620b4b48ea0557ee8e33aa5a6ff9ed0d0db11848fd4cbe.jpg?v=1787245111" TargetMode="External" Id="rId12"/><Relationship Type="http://schemas.openxmlformats.org/officeDocument/2006/relationships/hyperlink" Target="https://cdn.shopify.com/s/files/1/0792/5098/1063/files/b4d8d185bcbb550263dadfadb3419fffc97f4c44e070091e393e7296e5d6fb3c.jpg?v=1787245111" TargetMode="External" Id="rId13"/><Relationship Type="http://schemas.openxmlformats.org/officeDocument/2006/relationships/hyperlink" Target="https://cdn.shopify.com/s/files/1/0792/5098/1063/files/b4d8d185bcbb550263dadfadb3419fffc97f4c44e070091e393e7296e5d6fb3c.jpg?v=1787245111" TargetMode="External" Id="rId14"/><Relationship Type="http://schemas.openxmlformats.org/officeDocument/2006/relationships/hyperlink" Target="https://cdn.shopify.com/s/files/1/0792/5098/1063/files/4905418785c478f3ccf76145151452929eacdfc883190607ac14b204c401e760.jpg?v=1787245111" TargetMode="External" Id="rId15"/><Relationship Type="http://schemas.openxmlformats.org/officeDocument/2006/relationships/hyperlink" Target="https://cdn.shopify.com/s/files/1/0792/5098/1063/files/4905418785c478f3ccf76145151452929eacdfc883190607ac14b204c401e760.jpg?v=1787245111" TargetMode="External" Id="rId16"/><Relationship Type="http://schemas.openxmlformats.org/officeDocument/2006/relationships/hyperlink" Target="https://cdn.shopify.com/s/files/1/0792/5098/1063/files/66e753b90ce33322bda9902192b0d181e5f65b4823b1464fb51d32bee82398ed.jpg?v=1787245111" TargetMode="External" Id="rId17"/><Relationship Type="http://schemas.openxmlformats.org/officeDocument/2006/relationships/hyperlink" Target="https://cdn.shopify.com/s/files/1/0792/5098/1063/files/66e753b90ce33322bda9902192b0d181e5f65b4823b1464fb51d32bee82398ed.jpg?v=1787245111" TargetMode="External" Id="rId18"/><Relationship Type="http://schemas.openxmlformats.org/officeDocument/2006/relationships/hyperlink" Target="https://cdn.shopify.com/s/files/1/0792/5098/1063/files/a8d8145d1b6e7b4bbc3eb1dc71a100a3f3243648810f40f7f678de166dbfd428.jpg?v=1787245111" TargetMode="External" Id="rId19"/><Relationship Type="http://schemas.openxmlformats.org/officeDocument/2006/relationships/hyperlink" Target="https://cdn.shopify.com/s/files/1/0792/5098/1063/files/a8d8145d1b6e7b4bbc3eb1dc71a100a3f3243648810f40f7f678de166dbfd428.jpg?v=1787245111" TargetMode="External" Id="rId20"/><Relationship Type="http://schemas.openxmlformats.org/officeDocument/2006/relationships/hyperlink" Target="https://cdn.shopify.com/s/files/1/0792/5098/1063/files/b5c74b68d1b4eff2209b7123e3fbe61d1e31afd73aa5ba647e17c194e2e66c44_6ab5c586-a618-40f4-b48e-38e09e6a461b.jpg?v=1787245111" TargetMode="External" Id="rId21"/><Relationship Type="http://schemas.openxmlformats.org/officeDocument/2006/relationships/hyperlink" Target="https://cdn.shopify.com/s/files/1/0792/5098/1063/files/b5c74b68d1b4eff2209b7123e3fbe61d1e31afd73aa5ba647e17c194e2e66c44_6ab5c586-a618-40f4-b48e-38e09e6a461b.jpg?v=1787245111" TargetMode="External" Id="rId22"/><Relationship Type="http://schemas.openxmlformats.org/officeDocument/2006/relationships/hyperlink" Target="https://cdn.shopify.com/s/files/1/0792/5098/1063/files/a0ebf0c8e5cb1f2c8f924529805ea1d20494460dd41a740514b8862f5d5a2f4f_b03a920f-a52a-4b39-842e-77c13ca56137.jpg?v=1787245111" TargetMode="External" Id="rId23"/><Relationship Type="http://schemas.openxmlformats.org/officeDocument/2006/relationships/hyperlink" Target="https://cdn.shopify.com/s/files/1/0792/5098/1063/files/a0ebf0c8e5cb1f2c8f924529805ea1d20494460dd41a740514b8862f5d5a2f4f_b03a920f-a52a-4b39-842e-77c13ca56137.jpg?v=1787245111" TargetMode="External" Id="rId24"/><Relationship Type="http://schemas.openxmlformats.org/officeDocument/2006/relationships/hyperlink" Target="https://cdn.shopify.com/s/files/1/0792/5098/1063/files/3a652bff5b2cdcf1fb571a14f08c2175d783a6106bb14665fb5861e23501a1fa.jpg?v=1785099109" TargetMode="External" Id="rId25"/><Relationship Type="http://schemas.openxmlformats.org/officeDocument/2006/relationships/hyperlink" Target="https://cdn.shopify.com/s/files/1/0792/5098/1063/files/3a652bff5b2cdcf1fb571a14f08c2175d783a6106bb14665fb5861e23501a1fa.jpg?v=1785099109" TargetMode="External" Id="rId26"/><Relationship Type="http://schemas.openxmlformats.org/officeDocument/2006/relationships/hyperlink" Target="https://cdn.shopify.com/s/files/1/0792/5098/1063/files/23aae70766fcc57c63f2a120721dae1baf196f15ef46a71bef7a702d11c656ca.jpg?v=1785099109" TargetMode="External" Id="rId27"/><Relationship Type="http://schemas.openxmlformats.org/officeDocument/2006/relationships/hyperlink" Target="https://cdn.shopify.com/s/files/1/0792/5098/1063/files/23aae70766fcc57c63f2a120721dae1baf196f15ef46a71bef7a702d11c656ca.jpg?v=1785099109" TargetMode="External" Id="rId28"/><Relationship Type="http://schemas.openxmlformats.org/officeDocument/2006/relationships/hyperlink" Target="https://cdn.shopify.com/s/files/1/0792/5098/1063/files/3357b4715872fc6507e88263f9aa17ed3b1495f7db35293b4d27a2a5b80d78cc.jpg?v=1785099109" TargetMode="External" Id="rId29"/><Relationship Type="http://schemas.openxmlformats.org/officeDocument/2006/relationships/hyperlink" Target="https://cdn.shopify.com/s/files/1/0792/5098/1063/files/3357b4715872fc6507e88263f9aa17ed3b1495f7db35293b4d27a2a5b80d78cc.jpg?v=1785099109" TargetMode="External" Id="rId30"/><Relationship Type="http://schemas.openxmlformats.org/officeDocument/2006/relationships/hyperlink" Target="https://cdn.shopify.com/s/files/1/0792/5098/1063/files/04eb35beff0bef995d4912767e2bdec2b80be1f53292fdd9777645dd9375b5aa.jpg?v=1785099109" TargetMode="External" Id="rId31"/><Relationship Type="http://schemas.openxmlformats.org/officeDocument/2006/relationships/hyperlink" Target="https://cdn.shopify.com/s/files/1/0792/5098/1063/files/04eb35beff0bef995d4912767e2bdec2b80be1f53292fdd9777645dd9375b5aa.jpg?v=1785099109" TargetMode="External" Id="rId32"/><Relationship Type="http://schemas.openxmlformats.org/officeDocument/2006/relationships/hyperlink" Target="https://cdn.shopify.com/s/files/1/0792/5098/1063/files/61192968c1230d5ae97babcfd885b0b0e273f4d893aaaf63a91706f8a569a358.jpg?v=1785099109" TargetMode="External" Id="rId33"/><Relationship Type="http://schemas.openxmlformats.org/officeDocument/2006/relationships/hyperlink" Target="https://cdn.shopify.com/s/files/1/0792/5098/1063/files/61192968c1230d5ae97babcfd885b0b0e273f4d893aaaf63a91706f8a569a358.jpg?v=1785099109" TargetMode="External" Id="rId34"/><Relationship Type="http://schemas.openxmlformats.org/officeDocument/2006/relationships/hyperlink" Target="https://cdn.shopify.com/s/files/1/0792/5098/1063/files/e3dd349b4f8425ce46aea21296a0670e616f15f912e8415586fd0ccdb402fadf.jpg?v=1785099574" TargetMode="External" Id="rId35"/><Relationship Type="http://schemas.openxmlformats.org/officeDocument/2006/relationships/hyperlink" Target="https://cdn.shopify.com/s/files/1/0792/5098/1063/files/e3dd349b4f8425ce46aea21296a0670e616f15f912e8415586fd0ccdb402fadf.jpg?v=1785099574" TargetMode="External" Id="rId36"/><Relationship Type="http://schemas.openxmlformats.org/officeDocument/2006/relationships/hyperlink" Target="https://cdn.shopify.com/s/files/1/0792/5098/1063/files/5df2ae7ecc00cd0ab65d149177b7575a1608763d1d943fb3e9c2f1d9d8ad8183.jpg?v=1785099574" TargetMode="External" Id="rId37"/><Relationship Type="http://schemas.openxmlformats.org/officeDocument/2006/relationships/hyperlink" Target="https://cdn.shopify.com/s/files/1/0792/5098/1063/files/5df2ae7ecc00cd0ab65d149177b7575a1608763d1d943fb3e9c2f1d9d8ad8183.jpg?v=1785099574" TargetMode="External" Id="rId38"/><Relationship Type="http://schemas.openxmlformats.org/officeDocument/2006/relationships/hyperlink" Target="https://cdn.shopify.com/s/files/1/0792/5098/1063/files/237f2056af02c2988db426ce4802f4abd6dac07ceb24c04b20a244c9be27b457.jpg?v=1785099574" TargetMode="External" Id="rId39"/><Relationship Type="http://schemas.openxmlformats.org/officeDocument/2006/relationships/hyperlink" Target="https://cdn.shopify.com/s/files/1/0792/5098/1063/files/237f2056af02c2988db426ce4802f4abd6dac07ceb24c04b20a244c9be27b457.jpg?v=1785099574" TargetMode="External" Id="rId40"/><Relationship Type="http://schemas.openxmlformats.org/officeDocument/2006/relationships/hyperlink" Target="https://cdn.shopify.com/s/files/1/0792/5098/1063/files/f1d2e21fbc5647f823f22c48940e5deec0311ead7e9b772c492ecf82b2b3ff3b.jpg?v=1785099574" TargetMode="External" Id="rId41"/><Relationship Type="http://schemas.openxmlformats.org/officeDocument/2006/relationships/hyperlink" Target="https://cdn.shopify.com/s/files/1/0792/5098/1063/files/f1d2e21fbc5647f823f22c48940e5deec0311ead7e9b772c492ecf82b2b3ff3b.jpg?v=1785099574" TargetMode="External" Id="rId42"/><Relationship Type="http://schemas.openxmlformats.org/officeDocument/2006/relationships/hyperlink" Target="https://cdn.shopify.com/s/files/1/0792/5098/1063/files/1cb933b580b777ff9fc7d527ca0ea879bde39d1f8b7faaac1505885401cf4b7b.jpg?v=1785099574" TargetMode="External" Id="rId43"/><Relationship Type="http://schemas.openxmlformats.org/officeDocument/2006/relationships/hyperlink" Target="https://cdn.shopify.com/s/files/1/0792/5098/1063/files/1cb933b580b777ff9fc7d527ca0ea879bde39d1f8b7faaac1505885401cf4b7b.jpg?v=1785099574" TargetMode="External" Id="rId44"/><Relationship Type="http://schemas.openxmlformats.org/officeDocument/2006/relationships/hyperlink" Target="https://cdn.shopify.com/s/files/1/0792/5098/1063/files/4cb58385aa64c7ba3ce5dabd48014490cd060d90ab8ef7be5d1681dbc0c68a37.jpg?v=1787233666" TargetMode="External" Id="rId45"/><Relationship Type="http://schemas.openxmlformats.org/officeDocument/2006/relationships/hyperlink" Target="https://cdn.shopify.com/s/files/1/0792/5098/1063/files/4cb58385aa64c7ba3ce5dabd48014490cd060d90ab8ef7be5d1681dbc0c68a37.jpg?v=1787233666" TargetMode="External" Id="rId46"/><Relationship Type="http://schemas.openxmlformats.org/officeDocument/2006/relationships/hyperlink" Target="https://cdn.shopify.com/s/files/1/0792/5098/1063/files/94180d9f213d8233e384ef8416ec958afd6fe38eeda43d032fd598d852a3a274.jpg?v=1787233665" TargetMode="External" Id="rId47"/><Relationship Type="http://schemas.openxmlformats.org/officeDocument/2006/relationships/hyperlink" Target="https://cdn.shopify.com/s/files/1/0792/5098/1063/files/94180d9f213d8233e384ef8416ec958afd6fe38eeda43d032fd598d852a3a274.jpg?v=1787233665" TargetMode="External" Id="rId48"/><Relationship Type="http://schemas.openxmlformats.org/officeDocument/2006/relationships/hyperlink" Target="https://cdn.shopify.com/s/files/1/0792/5098/1063/files/a98e42be7f34a03d4b9ee94c19374ef39f213c4ad9c5936eb702be120e072cb3.jpg?v=1787233666" TargetMode="External" Id="rId49"/><Relationship Type="http://schemas.openxmlformats.org/officeDocument/2006/relationships/hyperlink" Target="https://cdn.shopify.com/s/files/1/0792/5098/1063/files/a98e42be7f34a03d4b9ee94c19374ef39f213c4ad9c5936eb702be120e072cb3.jpg?v=1787233666" TargetMode="External" Id="rId50"/><Relationship Type="http://schemas.openxmlformats.org/officeDocument/2006/relationships/hyperlink" Target="https://cdn.shopify.com/s/files/1/0792/5098/1063/files/06467b270df2093a70f746e873ebb0b88964a81ef45800624c02604fd1ec068a.jpg?v=1787233666" TargetMode="External" Id="rId51"/><Relationship Type="http://schemas.openxmlformats.org/officeDocument/2006/relationships/hyperlink" Target="https://cdn.shopify.com/s/files/1/0792/5098/1063/files/06467b270df2093a70f746e873ebb0b88964a81ef45800624c02604fd1ec068a.jpg?v=1787233666" TargetMode="External" Id="rId52"/><Relationship Type="http://schemas.openxmlformats.org/officeDocument/2006/relationships/hyperlink" Target="https://cdn.shopify.com/s/files/1/0792/5098/1063/files/1869de0465a480871b4b80a13c5f44c85e64ca5f22f90032fa07b5ca5660dbfb.jpg?v=1787233666" TargetMode="External" Id="rId53"/><Relationship Type="http://schemas.openxmlformats.org/officeDocument/2006/relationships/hyperlink" Target="https://cdn.shopify.com/s/files/1/0792/5098/1063/files/1869de0465a480871b4b80a13c5f44c85e64ca5f22f90032fa07b5ca5660dbfb.jpg?v=1787233666" TargetMode="External" Id="rId54"/><Relationship Type="http://schemas.openxmlformats.org/officeDocument/2006/relationships/hyperlink" Target="https://cdn.shopify.com/s/files/1/0792/5098/1063/files/bac284f19ea6eaebff7bffc00fe351531fdc59f4eed7da6ff7803f1bb87999b1.jpg?v=1787233665" TargetMode="External" Id="rId55"/><Relationship Type="http://schemas.openxmlformats.org/officeDocument/2006/relationships/hyperlink" Target="https://cdn.shopify.com/s/files/1/0792/5098/1063/files/bac284f19ea6eaebff7bffc00fe351531fdc59f4eed7da6ff7803f1bb87999b1.jpg?v=1787233665" TargetMode="External" Id="rId56"/><Relationship Type="http://schemas.openxmlformats.org/officeDocument/2006/relationships/hyperlink" Target="https://cdn.shopify.com/s/files/1/0792/5098/1063/files/08d3fe0c396e254e929909cf54b1707f62fb396b6d05c2ab0c56c631789ab04d.jpg?v=1787233665" TargetMode="External" Id="rId57"/><Relationship Type="http://schemas.openxmlformats.org/officeDocument/2006/relationships/hyperlink" Target="https://cdn.shopify.com/s/files/1/0792/5098/1063/files/08d3fe0c396e254e929909cf54b1707f62fb396b6d05c2ab0c56c631789ab04d.jpg?v=1787233665" TargetMode="External" Id="rId58"/><Relationship Type="http://schemas.openxmlformats.org/officeDocument/2006/relationships/hyperlink" Target="https://cdn.shopify.com/s/files/1/0792/5098/1063/files/168d48c33af74fd729615aa6c0790691ec2ec8ab000886bd93c0851b05764cb5.jpg?v=1787233678" TargetMode="External" Id="rId59"/><Relationship Type="http://schemas.openxmlformats.org/officeDocument/2006/relationships/hyperlink" Target="https://cdn.shopify.com/s/files/1/0792/5098/1063/files/168d48c33af74fd729615aa6c0790691ec2ec8ab000886bd93c0851b05764cb5.jpg?v=1787233678" TargetMode="External" Id="rId60"/><Relationship Type="http://schemas.openxmlformats.org/officeDocument/2006/relationships/hyperlink" Target="https://cdn.shopify.com/s/files/1/0792/5098/1063/files/5fb11ab02ba6d7c7d6dc7b600952eeed36e59dc4fd7d78e26290c5b4432ce84a.jpg?v=1787233677" TargetMode="External" Id="rId61"/><Relationship Type="http://schemas.openxmlformats.org/officeDocument/2006/relationships/hyperlink" Target="https://cdn.shopify.com/s/files/1/0792/5098/1063/files/5fb11ab02ba6d7c7d6dc7b600952eeed36e59dc4fd7d78e26290c5b4432ce84a.jpg?v=1787233677" TargetMode="External" Id="rId62"/><Relationship Type="http://schemas.openxmlformats.org/officeDocument/2006/relationships/hyperlink" Target="https://cdn.shopify.com/s/files/1/0792/5098/1063/files/016cba1137ec3b2b7bdd46e0d797a4962a5f54c2379fde509b2301ca87b4ad35.jpg?v=1787233678" TargetMode="External" Id="rId63"/><Relationship Type="http://schemas.openxmlformats.org/officeDocument/2006/relationships/hyperlink" Target="https://cdn.shopify.com/s/files/1/0792/5098/1063/files/016cba1137ec3b2b7bdd46e0d797a4962a5f54c2379fde509b2301ca87b4ad35.jpg?v=1787233678" TargetMode="External" Id="rId64"/><Relationship Type="http://schemas.openxmlformats.org/officeDocument/2006/relationships/hyperlink" Target="https://cdn.shopify.com/s/files/1/0792/5098/1063/files/f8cc70311d22e4bc770b45756e723f2451f8d0e3a5de4035dc223375ea6ac88e.jpg?v=1787233678" TargetMode="External" Id="rId65"/><Relationship Type="http://schemas.openxmlformats.org/officeDocument/2006/relationships/hyperlink" Target="https://cdn.shopify.com/s/files/1/0792/5098/1063/files/f8cc70311d22e4bc770b45756e723f2451f8d0e3a5de4035dc223375ea6ac88e.jpg?v=1787233678" TargetMode="External" Id="rId66"/><Relationship Type="http://schemas.openxmlformats.org/officeDocument/2006/relationships/hyperlink" Target="https://cdn.shopify.com/s/files/1/0792/5098/1063/files/0b98d63f67b9b39913382ed53f2a21445b22531d2b9fff267d884d37d466742f.jpg?v=1787233678" TargetMode="External" Id="rId67"/><Relationship Type="http://schemas.openxmlformats.org/officeDocument/2006/relationships/hyperlink" Target="https://cdn.shopify.com/s/files/1/0792/5098/1063/files/0b98d63f67b9b39913382ed53f2a21445b22531d2b9fff267d884d37d466742f.jpg?v=1787233678" TargetMode="External" Id="rId68"/><Relationship Type="http://schemas.openxmlformats.org/officeDocument/2006/relationships/hyperlink" Target="https://cdn.shopify.com/s/files/1/0792/5098/1063/files/5155a60b18436e391bed973022f7062d5434ddd6d570a51bc67a5fdb0c719df7.jpg?v=1787233678" TargetMode="External" Id="rId69"/><Relationship Type="http://schemas.openxmlformats.org/officeDocument/2006/relationships/hyperlink" Target="https://cdn.shopify.com/s/files/1/0792/5098/1063/files/5155a60b18436e391bed973022f7062d5434ddd6d570a51bc67a5fdb0c719df7.jpg?v=1787233678" TargetMode="External" Id="rId70"/><Relationship Type="http://schemas.openxmlformats.org/officeDocument/2006/relationships/hyperlink" Target="https://cdn.shopify.com/s/files/1/0792/5098/1063/files/0df0c698011b3a8e7982071042b9453452548b6175c2c4076cc8bb84ebb1a277.jpg?v=1787233678" TargetMode="External" Id="rId71"/><Relationship Type="http://schemas.openxmlformats.org/officeDocument/2006/relationships/hyperlink" Target="https://cdn.shopify.com/s/files/1/0792/5098/1063/files/0df0c698011b3a8e7982071042b9453452548b6175c2c4076cc8bb84ebb1a277.jpg?v=1787233678" TargetMode="External" Id="rId72"/><Relationship Type="http://schemas.openxmlformats.org/officeDocument/2006/relationships/hyperlink" Target="https://cdn.shopify.com/s/files/1/0792/5098/1063/files/fa88df693fa60cabcd0f81ce06bcd29af56cdf7514f68810d99ef599203c821d.jpg?v=1785047367" TargetMode="External" Id="rId73"/><Relationship Type="http://schemas.openxmlformats.org/officeDocument/2006/relationships/hyperlink" Target="https://cdn.shopify.com/s/files/1/0792/5098/1063/files/fa88df693fa60cabcd0f81ce06bcd29af56cdf7514f68810d99ef599203c821d.jpg?v=1785047367" TargetMode="External" Id="rId74"/><Relationship Type="http://schemas.openxmlformats.org/officeDocument/2006/relationships/hyperlink" Target="https://cdn.shopify.com/s/files/1/0792/5098/1063/files/77672c69bdca6fa3e34e5d859164a2661a0ec26b6ac10221a3df3171a6df2791.jpg?v=1785047367" TargetMode="External" Id="rId75"/><Relationship Type="http://schemas.openxmlformats.org/officeDocument/2006/relationships/hyperlink" Target="https://cdn.shopify.com/s/files/1/0792/5098/1063/files/77672c69bdca6fa3e34e5d859164a2661a0ec26b6ac10221a3df3171a6df2791.jpg?v=1785047367" TargetMode="External" Id="rId76"/><Relationship Type="http://schemas.openxmlformats.org/officeDocument/2006/relationships/hyperlink" Target="https://cdn.shopify.com/s/files/1/0792/5098/1063/files/ef4c0af4b6e931816fba2b315617ce40f57b62cc23bc9476fc29bcd9f7fea3ed.jpg?v=1785047367" TargetMode="External" Id="rId77"/><Relationship Type="http://schemas.openxmlformats.org/officeDocument/2006/relationships/hyperlink" Target="https://cdn.shopify.com/s/files/1/0792/5098/1063/files/ef4c0af4b6e931816fba2b315617ce40f57b62cc23bc9476fc29bcd9f7fea3ed.jpg?v=1785047367" TargetMode="External" Id="rId78"/><Relationship Type="http://schemas.openxmlformats.org/officeDocument/2006/relationships/hyperlink" Target="https://cdn.shopify.com/s/files/1/0792/5098/1063/files/a0029afc03d47a3a82238a1bab89f1066c3687b3f06500badea074cba44f9e80.jpg?v=1785047367" TargetMode="External" Id="rId79"/><Relationship Type="http://schemas.openxmlformats.org/officeDocument/2006/relationships/hyperlink" Target="https://cdn.shopify.com/s/files/1/0792/5098/1063/files/a0029afc03d47a3a82238a1bab89f1066c3687b3f06500badea074cba44f9e80.jpg?v=1785047367" TargetMode="External" Id="rId80"/><Relationship Type="http://schemas.openxmlformats.org/officeDocument/2006/relationships/hyperlink" Target="https://cdn.shopify.com/s/files/1/0792/5098/1063/files/ce768ad21d8034d259875beb1f86914d1af6b1b5f584dd33080fe12b5797fde7.jpg?v=1785047367" TargetMode="External" Id="rId81"/><Relationship Type="http://schemas.openxmlformats.org/officeDocument/2006/relationships/hyperlink" Target="https://cdn.shopify.com/s/files/1/0792/5098/1063/files/ce768ad21d8034d259875beb1f86914d1af6b1b5f584dd33080fe12b5797fde7.jpg?v=1785047367" TargetMode="External" Id="rId82"/><Relationship Type="http://schemas.openxmlformats.org/officeDocument/2006/relationships/hyperlink" Target="https://cdn.shopify.com/s/files/1/0792/5098/1063/files/211a7f518d47f7ccc7aea2fcf7dd6eccdae71860c4b90e78d4de70ce53d36eb9.jpg?v=1785047367" TargetMode="External" Id="rId83"/><Relationship Type="http://schemas.openxmlformats.org/officeDocument/2006/relationships/hyperlink" Target="https://cdn.shopify.com/s/files/1/0792/5098/1063/files/211a7f518d47f7ccc7aea2fcf7dd6eccdae71860c4b90e78d4de70ce53d36eb9.jpg?v=1785047367" TargetMode="External" Id="rId84"/><Relationship Type="http://schemas.openxmlformats.org/officeDocument/2006/relationships/hyperlink" Target="https://cdn.shopify.com/s/files/1/0792/5098/1063/files/285b33441b58fd0660e7d9fbad77f1aeb4d88a3e3678d0ef0a1341e0d0cab3fa.jpg?v=1785047367" TargetMode="External" Id="rId85"/><Relationship Type="http://schemas.openxmlformats.org/officeDocument/2006/relationships/hyperlink" Target="https://cdn.shopify.com/s/files/1/0792/5098/1063/files/285b33441b58fd0660e7d9fbad77f1aeb4d88a3e3678d0ef0a1341e0d0cab3fa.jpg?v=1785047367" TargetMode="External" Id="rId86"/><Relationship Type="http://schemas.openxmlformats.org/officeDocument/2006/relationships/hyperlink" Target="https://cdn.shopify.com/s/files/1/0792/5098/1063/files/eeee3be59c912ddfb95b556144ad283287f06b56c3797e9000aed4094e9c0f46.jpg?v=1785047188" TargetMode="External" Id="rId87"/><Relationship Type="http://schemas.openxmlformats.org/officeDocument/2006/relationships/hyperlink" Target="https://cdn.shopify.com/s/files/1/0792/5098/1063/files/eeee3be59c912ddfb95b556144ad283287f06b56c3797e9000aed4094e9c0f46.jpg?v=1785047188" TargetMode="External" Id="rId88"/><Relationship Type="http://schemas.openxmlformats.org/officeDocument/2006/relationships/hyperlink" Target="https://cdn.shopify.com/s/files/1/0792/5098/1063/files/b62d307163504bede5d79d6a1894e1fb2390a7f6bb97d231a74b900c216c6f10.jpg?v=1785047189" TargetMode="External" Id="rId89"/><Relationship Type="http://schemas.openxmlformats.org/officeDocument/2006/relationships/hyperlink" Target="https://cdn.shopify.com/s/files/1/0792/5098/1063/files/b62d307163504bede5d79d6a1894e1fb2390a7f6bb97d231a74b900c216c6f10.jpg?v=1785047189" TargetMode="External" Id="rId90"/><Relationship Type="http://schemas.openxmlformats.org/officeDocument/2006/relationships/hyperlink" Target="https://cdn.shopify.com/s/files/1/0792/5098/1063/files/492ae2152294ed05b1b9c9c476c3f0407f72dd5f9231dfabab608600dfcfca18.jpg?v=1785047188" TargetMode="External" Id="rId91"/><Relationship Type="http://schemas.openxmlformats.org/officeDocument/2006/relationships/hyperlink" Target="https://cdn.shopify.com/s/files/1/0792/5098/1063/files/492ae2152294ed05b1b9c9c476c3f0407f72dd5f9231dfabab608600dfcfca18.jpg?v=1785047188" TargetMode="External" Id="rId92"/><Relationship Type="http://schemas.openxmlformats.org/officeDocument/2006/relationships/hyperlink" Target="https://cdn.shopify.com/s/files/1/0792/5098/1063/files/d9597bfb2c08a10fed85d6814082edddf7b30bf76e5108fb36b1aee207514584.jpg?v=1785047189" TargetMode="External" Id="rId93"/><Relationship Type="http://schemas.openxmlformats.org/officeDocument/2006/relationships/hyperlink" Target="https://cdn.shopify.com/s/files/1/0792/5098/1063/files/d9597bfb2c08a10fed85d6814082edddf7b30bf76e5108fb36b1aee207514584.jpg?v=1785047189" TargetMode="External" Id="rId94"/><Relationship Type="http://schemas.openxmlformats.org/officeDocument/2006/relationships/hyperlink" Target="https://cdn.shopify.com/s/files/1/0792/5098/1063/files/d48cccbb819c4ecffd7785e920fd2b840e50a24ee2a5033e47adf1a0f7ac2dd4.jpg?v=1785047189" TargetMode="External" Id="rId95"/><Relationship Type="http://schemas.openxmlformats.org/officeDocument/2006/relationships/hyperlink" Target="https://cdn.shopify.com/s/files/1/0792/5098/1063/files/d48cccbb819c4ecffd7785e920fd2b840e50a24ee2a5033e47adf1a0f7ac2dd4.jpg?v=1785047189" TargetMode="External" Id="rId96"/><Relationship Type="http://schemas.openxmlformats.org/officeDocument/2006/relationships/hyperlink" Target="https://cdn.shopify.com/s/files/1/0792/5098/1063/files/eb7addcbef4e997dedf995d8edc2c3fb7ac03e00ca967e746fc0f52cc5daca82.jpg?v=1785047189" TargetMode="External" Id="rId97"/><Relationship Type="http://schemas.openxmlformats.org/officeDocument/2006/relationships/hyperlink" Target="https://cdn.shopify.com/s/files/1/0792/5098/1063/files/eb7addcbef4e997dedf995d8edc2c3fb7ac03e00ca967e746fc0f52cc5daca82.jpg?v=1785047189" TargetMode="External" Id="rId98"/><Relationship Type="http://schemas.openxmlformats.org/officeDocument/2006/relationships/hyperlink" Target="https://cdn.shopify.com/s/files/1/0792/5098/1063/files/622bf0b0bbd2db15d18f7453d631905d39821f40d39fc016cd52742300cd6741.jpg?v=1785047189" TargetMode="External" Id="rId99"/><Relationship Type="http://schemas.openxmlformats.org/officeDocument/2006/relationships/hyperlink" Target="https://cdn.shopify.com/s/files/1/0792/5098/1063/files/622bf0b0bbd2db15d18f7453d631905d39821f40d39fc016cd52742300cd6741.jpg?v=1785047189" TargetMode="External" Id="rId100"/><Relationship Type="http://schemas.openxmlformats.org/officeDocument/2006/relationships/hyperlink" Target="https://cdn.shopify.com/s/files/1/0792/5098/1063/files/df2728478e8364bc96182ba33c31dd08dcdab3758f1c26ecd4c76bcfacdeadc5.jpg?v=1787233682" TargetMode="External" Id="rId101"/><Relationship Type="http://schemas.openxmlformats.org/officeDocument/2006/relationships/hyperlink" Target="https://cdn.shopify.com/s/files/1/0792/5098/1063/files/df2728478e8364bc96182ba33c31dd08dcdab3758f1c26ecd4c76bcfacdeadc5.jpg?v=1787233682" TargetMode="External" Id="rId102"/><Relationship Type="http://schemas.openxmlformats.org/officeDocument/2006/relationships/hyperlink" Target="https://cdn.shopify.com/s/files/1/0792/5098/1063/files/3fb22c532d2ea675077fa5f07538ad0693869d76604d9f54efbb12cf12dc3012.jpg?v=1787233682" TargetMode="External" Id="rId103"/><Relationship Type="http://schemas.openxmlformats.org/officeDocument/2006/relationships/hyperlink" Target="https://cdn.shopify.com/s/files/1/0792/5098/1063/files/3fb22c532d2ea675077fa5f07538ad0693869d76604d9f54efbb12cf12dc3012.jpg?v=1787233682" TargetMode="External" Id="rId104"/><Relationship Type="http://schemas.openxmlformats.org/officeDocument/2006/relationships/hyperlink" Target="https://cdn.shopify.com/s/files/1/0792/5098/1063/files/015c23cc578e135b61ae727b347772c42c1d51319bdc062c7e1f665e85a0a3f3.jpg?v=1787233682" TargetMode="External" Id="rId105"/><Relationship Type="http://schemas.openxmlformats.org/officeDocument/2006/relationships/hyperlink" Target="https://cdn.shopify.com/s/files/1/0792/5098/1063/files/015c23cc578e135b61ae727b347772c42c1d51319bdc062c7e1f665e85a0a3f3.jpg?v=1787233682" TargetMode="External" Id="rId106"/><Relationship Type="http://schemas.openxmlformats.org/officeDocument/2006/relationships/hyperlink" Target="https://cdn.shopify.com/s/files/1/0792/5098/1063/files/044a88434534608756b0c91fa034b5bd3e06078ac0802d9eb409cbb4177ff68e.jpg?v=1787233682" TargetMode="External" Id="rId107"/><Relationship Type="http://schemas.openxmlformats.org/officeDocument/2006/relationships/hyperlink" Target="https://cdn.shopify.com/s/files/1/0792/5098/1063/files/044a88434534608756b0c91fa034b5bd3e06078ac0802d9eb409cbb4177ff68e.jpg?v=1787233682" TargetMode="External" Id="rId108"/><Relationship Type="http://schemas.openxmlformats.org/officeDocument/2006/relationships/hyperlink" Target="https://cdn.shopify.com/s/files/1/0792/5098/1063/files/8f7c582280e89587a9220b27404f887ca04a3550cb155e58214bec320e7e7a84.jpg?v=1787233682" TargetMode="External" Id="rId109"/><Relationship Type="http://schemas.openxmlformats.org/officeDocument/2006/relationships/hyperlink" Target="https://cdn.shopify.com/s/files/1/0792/5098/1063/files/8f7c582280e89587a9220b27404f887ca04a3550cb155e58214bec320e7e7a84.jpg?v=1787233682" TargetMode="External" Id="rId110"/><Relationship Type="http://schemas.openxmlformats.org/officeDocument/2006/relationships/hyperlink" Target="https://cdn.shopify.com/s/files/1/0792/5098/1063/files/1790d972d34f1676ff9960602f32a073d75ae00ce5514be8d583a1bee054cb72.jpg?v=1787233682" TargetMode="External" Id="rId111"/><Relationship Type="http://schemas.openxmlformats.org/officeDocument/2006/relationships/hyperlink" Target="https://cdn.shopify.com/s/files/1/0792/5098/1063/files/1790d972d34f1676ff9960602f32a073d75ae00ce5514be8d583a1bee054cb72.jpg?v=1787233682" TargetMode="External" Id="rId112"/><Relationship Type="http://schemas.openxmlformats.org/officeDocument/2006/relationships/hyperlink" Target="https://cdn.shopify.com/s/files/1/0792/5098/1063/files/9b0208488bc2babfa22f4cf50f3e6213152506148e49cdd0bae5d159838e9105.jpg?v=1787233682" TargetMode="External" Id="rId113"/><Relationship Type="http://schemas.openxmlformats.org/officeDocument/2006/relationships/hyperlink" Target="https://cdn.shopify.com/s/files/1/0792/5098/1063/files/9b0208488bc2babfa22f4cf50f3e6213152506148e49cdd0bae5d159838e9105.jpg?v=1787233682" TargetMode="External" Id="rId114"/><Relationship Type="http://schemas.openxmlformats.org/officeDocument/2006/relationships/hyperlink" Target="https://cdn.shopify.com/s/files/1/0792/5098/1063/files/e0fe73b713afc62cfffb3946372bff45f6aba6f1bc25f209c29052448bc1decb.jpg?v=1787237695" TargetMode="External" Id="rId115"/><Relationship Type="http://schemas.openxmlformats.org/officeDocument/2006/relationships/hyperlink" Target="https://cdn.shopify.com/s/files/1/0792/5098/1063/files/e0fe73b713afc62cfffb3946372bff45f6aba6f1bc25f209c29052448bc1decb.jpg?v=1787237695" TargetMode="External" Id="rId116"/><Relationship Type="http://schemas.openxmlformats.org/officeDocument/2006/relationships/hyperlink" Target="https://cdn.shopify.com/s/files/1/0792/5098/1063/files/9a2ea3655358889bfb8939e5d43749d9fc1a68a15bb91eb7257e168947c5d449.jpg?v=1787237695" TargetMode="External" Id="rId117"/><Relationship Type="http://schemas.openxmlformats.org/officeDocument/2006/relationships/hyperlink" Target="https://cdn.shopify.com/s/files/1/0792/5098/1063/files/9a2ea3655358889bfb8939e5d43749d9fc1a68a15bb91eb7257e168947c5d449.jpg?v=1787237695" TargetMode="External" Id="rId118"/><Relationship Type="http://schemas.openxmlformats.org/officeDocument/2006/relationships/hyperlink" Target="https://cdn.shopify.com/s/files/1/0792/5098/1063/files/50f96559dd878ae5bbee14ba7a34337ccd740d21a8ffe86a8a1be819656d26c0.jpg?v=1787237695" TargetMode="External" Id="rId119"/><Relationship Type="http://schemas.openxmlformats.org/officeDocument/2006/relationships/hyperlink" Target="https://cdn.shopify.com/s/files/1/0792/5098/1063/files/50f96559dd878ae5bbee14ba7a34337ccd740d21a8ffe86a8a1be819656d26c0.jpg?v=1787237695" TargetMode="External" Id="rId120"/><Relationship Type="http://schemas.openxmlformats.org/officeDocument/2006/relationships/hyperlink" Target="https://cdn.shopify.com/s/files/1/0792/5098/1063/files/e177a63ec5fdef284072a06f2775ebbbf78d53d430946e0a479a9aea59e23193.jpg?v=1787237695" TargetMode="External" Id="rId121"/><Relationship Type="http://schemas.openxmlformats.org/officeDocument/2006/relationships/hyperlink" Target="https://cdn.shopify.com/s/files/1/0792/5098/1063/files/e177a63ec5fdef284072a06f2775ebbbf78d53d430946e0a479a9aea59e23193.jpg?v=1787237695" TargetMode="External" Id="rId122"/><Relationship Type="http://schemas.openxmlformats.org/officeDocument/2006/relationships/hyperlink" Target="https://cdn.shopify.com/s/files/1/0792/5098/1063/files/c0229b109e769b68f8c9f35623479c094bab31ad756f2c9dfcf50eadd39d92c5.jpg?v=1787237695" TargetMode="External" Id="rId123"/><Relationship Type="http://schemas.openxmlformats.org/officeDocument/2006/relationships/hyperlink" Target="https://cdn.shopify.com/s/files/1/0792/5098/1063/files/c0229b109e769b68f8c9f35623479c094bab31ad756f2c9dfcf50eadd39d92c5.jpg?v=1787237695" TargetMode="External" Id="rId124"/><Relationship Type="http://schemas.openxmlformats.org/officeDocument/2006/relationships/hyperlink" Target="https://cdn.shopify.com/s/files/1/0792/5098/1063/files/e22715b9d350060d7f718ca936fb51ae74bf407c9cd643e977844be314d468df.jpg?v=1787237695" TargetMode="External" Id="rId125"/><Relationship Type="http://schemas.openxmlformats.org/officeDocument/2006/relationships/hyperlink" Target="https://cdn.shopify.com/s/files/1/0792/5098/1063/files/e22715b9d350060d7f718ca936fb51ae74bf407c9cd643e977844be314d468df.jpg?v=1787237695" TargetMode="External" Id="rId126"/><Relationship Type="http://schemas.openxmlformats.org/officeDocument/2006/relationships/hyperlink" Target="https://cdn.shopify.com/s/files/1/0792/5098/1063/files/0e22a9fec09643a714af054217066178d4f7bc4d6266b6d2ff5c33c09cc10e88.jpg?v=1787237695" TargetMode="External" Id="rId127"/><Relationship Type="http://schemas.openxmlformats.org/officeDocument/2006/relationships/hyperlink" Target="https://cdn.shopify.com/s/files/1/0792/5098/1063/files/0e22a9fec09643a714af054217066178d4f7bc4d6266b6d2ff5c33c09cc10e88.jpg?v=1787237695" TargetMode="External" Id="rId128"/><Relationship Type="http://schemas.openxmlformats.org/officeDocument/2006/relationships/hyperlink" Target="https://cdn.shopify.com/s/files/1/0792/5098/1063/files/d6b8438a259ef28ba839a68ba108f40464bc9629b0bc2168779fc7776c9cbffa.jpg?v=1787237695" TargetMode="External" Id="rId129"/><Relationship Type="http://schemas.openxmlformats.org/officeDocument/2006/relationships/hyperlink" Target="https://cdn.shopify.com/s/files/1/0792/5098/1063/files/d6b8438a259ef28ba839a68ba108f40464bc9629b0bc2168779fc7776c9cbffa.jpg?v=1787237695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D:\Shopify_Workspace\jeminise_seo\resutls\jeminise.com\20260906_234129\revisions\qa_batch_001_r4\SEO_Product_Optimization_qa_batch_001_r4.xlsx</t>
        </is>
      </c>
      <c r="C3" s="3" t="inlineStr">
        <is>
          <t>Frozen r4 revision;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AE869C2713D377293D10C239B60648C6780E51D235142B206B97CC141D15D02A</t>
        </is>
      </c>
      <c r="C4" s="2" t="inlineStr">
        <is>
          <t>Hash matched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20260908_001100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qa_batch_001_r4</t>
        </is>
      </c>
      <c r="C6" s="2" t="inlineStr">
        <is>
          <t>Inventory positions 1-10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product-key scope.</t>
        </is>
      </c>
    </row>
    <row r="8" ht="42" customHeight="1">
      <c r="A8" s="2" t="inlineStr">
        <is>
          <t>images_checked</t>
        </is>
      </c>
      <c r="B8" s="2" t="inlineStr">
        <is>
          <t>65/65</t>
        </is>
      </c>
      <c r="C8" s="2" t="inlineStr">
        <is>
          <t>Full image coverage, keyed by media ID/URL.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Average product final score.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All products retain a MAJOR finding.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QA status counts.</t>
        </is>
      </c>
    </row>
    <row r="12" ht="42" customHeight="1">
      <c r="A12" s="2" t="inlineStr">
        <is>
          <t>issue_counts</t>
        </is>
      </c>
      <c r="B12" s="2" t="inlineStr">
        <is>
          <t>{"MAJOR": 19, "LIMITATION": 2, "MINOR": 2}</t>
        </is>
      </c>
      <c r="C12" s="2" t="inlineStr">
        <is>
          <t>Severity counts.</t>
        </is>
      </c>
    </row>
    <row r="13" ht="42" customHeight="1">
      <c r="A13" s="3" t="inlineStr">
        <is>
          <t>admin_export</t>
        </is>
      </c>
      <c r="B13" s="3" t="inlineStr">
        <is>
          <t>products_export_1.csv; 65/65 image-alt matches</t>
        </is>
      </c>
      <c r="C13" s="3" t="inlineStr">
        <is>
          <t>R4 admin baseline.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Five-sheet QA workbook.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</v>
      </c>
      <c r="B2" s="2" t="inlineStr">
        <is>
          <t>jeminise.com+autumn-cardinals-perched-above-large-sunflowers-quilt-with-cardinal-birds-9a3b408b20-9a3b408b20</t>
        </is>
      </c>
      <c r="C2" s="4" t="inlineStr">
        <is>
          <t>https://jeminise.com/products/autumn-cardinals-perched-above-large-sunflowers-quilt-with-cardinal-birds-9a3b408b20-9a3b408b20</t>
        </is>
      </c>
      <c r="D2" s="2" t="inlineStr">
        <is>
          <t>autumn-cardinals-perched-above-large-sunflowers-quilt-with-cardinal-birds-9a3b408b20-9a3b408b20</t>
        </is>
      </c>
      <c r="E2" s="2" t="inlineStr">
        <is>
          <t>8834718105799</t>
        </is>
      </c>
      <c r="F2" s="2" t="inlineStr">
        <is>
          <t>r4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HYPOTHESIS_ONLY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COUNTIFS('QA_Issues'!$B$2:$B$24,B2,'QA_Issues'!$D$2:$D$24,"CRITICAL")</f>
        <v/>
      </c>
      <c r="S2" s="2">
        <f>COUNTIFS('QA_Issues'!$B$2:$B$24,B2,'QA_Issues'!$D$2:$D$24,"MAJOR")</f>
        <v/>
      </c>
      <c r="T2" s="2">
        <f>COUNTIFS('QA_Issues'!$B$2:$B$24,B2,'QA_Issues'!$D$2:$D$24,"MINOR")</f>
        <v/>
      </c>
      <c r="U2" s="2">
        <f>COUNTIFS('QA_Issues'!$B$2:$B$24,B2,'QA_Issues'!$D$2:$D$24,"LIMITATION")</f>
        <v/>
      </c>
      <c r="V2" s="2" t="inlineStr">
        <is>
          <t>["R4-ISS-001-BODY", "R4-ISS-001-CANN", "R4-ISS-001-HYP"]</t>
        </is>
      </c>
      <c r="W2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</row>
    <row r="3" ht="42" customHeight="1">
      <c r="A3" s="3" t="n">
        <v>2</v>
      </c>
      <c r="B3" s="3" t="inlineStr">
        <is>
          <t>jeminise.com+bright-teal-yellow-softball-comforter-set-premium-sports-theme</t>
        </is>
      </c>
      <c r="C3" s="4" t="inlineStr">
        <is>
          <t>https://jeminise.com/products/bright-teal-yellow-softball-comforter-set-premium-sports-theme</t>
        </is>
      </c>
      <c r="D3" s="3" t="inlineStr">
        <is>
          <t>bright-teal-yellow-softball-comforter-set-premium-sports-theme</t>
        </is>
      </c>
      <c r="E3" s="3" t="inlineStr">
        <is>
          <t>8867219865799</t>
        </is>
      </c>
      <c r="F3" s="3" t="inlineStr">
        <is>
          <t>r4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COUNTIFS('QA_Issues'!$B$2:$B$24,B3,'QA_Issues'!$D$2:$D$24,"CRITICAL")</f>
        <v/>
      </c>
      <c r="S3" s="3">
        <f>COUNTIFS('QA_Issues'!$B$2:$B$24,B3,'QA_Issues'!$D$2:$D$24,"MAJOR")</f>
        <v/>
      </c>
      <c r="T3" s="3">
        <f>COUNTIFS('QA_Issues'!$B$2:$B$24,B3,'QA_Issues'!$D$2:$D$24,"MINOR")</f>
        <v/>
      </c>
      <c r="U3" s="3">
        <f>COUNTIFS('QA_Issues'!$B$2:$B$24,B3,'QA_Issues'!$D$2:$D$24,"LIMITATION")</f>
        <v/>
      </c>
      <c r="V3" s="3" t="inlineStr">
        <is>
          <t>["R4-ISS-002-BODY", "R4-ISS-002-ENC"]</t>
        </is>
      </c>
      <c r="W3" s="3" t="inlineStr">
        <is>
          <t>["evidence_batch_001_002", "https://jeminise.com/products/bright-teal-yellow-softball-comforter-set-premium-sports-theme", "serp_reqa_002", "revision_diff.json", "customizer_audit.json"]</t>
        </is>
      </c>
    </row>
    <row r="4" ht="42" customHeight="1">
      <c r="A4" s="2" t="n">
        <v>3</v>
      </c>
      <c r="B4" s="2" t="inlineStr">
        <is>
          <t>jeminise.com+cardinals-perched-beside-decorated-christmas-tree-patchwork-winter-quilt-7cd7bc46a0-7cd7bc46a0</t>
        </is>
      </c>
      <c r="C4" s="4" t="inlineStr">
        <is>
          <t>https://jeminise.com/products/cardinals-perched-beside-decorated-christmas-tree-patchwork-winter-quilt-7cd7bc46a0-7cd7bc46a0</t>
        </is>
      </c>
      <c r="D4" s="2" t="inlineStr">
        <is>
          <t>cardinals-perched-beside-decorated-christmas-tree-patchwork-winter-quilt-7cd7bc46a0-7cd7bc46a0</t>
        </is>
      </c>
      <c r="E4" s="2" t="inlineStr">
        <is>
          <t>8834714534087</t>
        </is>
      </c>
      <c r="F4" s="2" t="inlineStr">
        <is>
          <t>r4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5</v>
      </c>
      <c r="O4" s="2" t="n">
        <v>5</v>
      </c>
      <c r="P4" s="2" t="b">
        <v>1</v>
      </c>
      <c r="Q4" s="6" t="n">
        <v>1</v>
      </c>
      <c r="R4" s="2">
        <f>COUNTIFS('QA_Issues'!$B$2:$B$24,B4,'QA_Issues'!$D$2:$D$24,"CRITICAL")</f>
        <v/>
      </c>
      <c r="S4" s="2">
        <f>COUNTIFS('QA_Issues'!$B$2:$B$24,B4,'QA_Issues'!$D$2:$D$24,"MAJOR")</f>
        <v/>
      </c>
      <c r="T4" s="2">
        <f>COUNTIFS('QA_Issues'!$B$2:$B$24,B4,'QA_Issues'!$D$2:$D$24,"MINOR")</f>
        <v/>
      </c>
      <c r="U4" s="2">
        <f>COUNTIFS('QA_Issues'!$B$2:$B$24,B4,'QA_Issues'!$D$2:$D$24,"LIMITATION")</f>
        <v/>
      </c>
      <c r="V4" s="2" t="inlineStr">
        <is>
          <t>["R4-ISS-003-BODY", "R4-ISS-003-CANN", "R4-ISS-003-SERP"]</t>
        </is>
      </c>
      <c r="W4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</row>
    <row r="5" ht="42" customHeight="1">
      <c r="A5" s="3" t="n">
        <v>4</v>
      </c>
      <c r="B5" s="3" t="inlineStr">
        <is>
          <t>jeminise.com+cardinals-perched-on-branch-with-roses-patchwork-winter-quilt-21ac904cd7-21ac904cd7</t>
        </is>
      </c>
      <c r="C5" s="4" t="inlineStr">
        <is>
          <t>https://jeminise.com/products/cardinals-perched-on-branch-with-roses-patchwork-winter-quilt-21ac904cd7-21ac904cd7</t>
        </is>
      </c>
      <c r="D5" s="3" t="inlineStr">
        <is>
          <t>cardinals-perched-on-branch-with-roses-patchwork-winter-quilt-21ac904cd7-21ac904cd7</t>
        </is>
      </c>
      <c r="E5" s="3" t="inlineStr">
        <is>
          <t>8834733015239</t>
        </is>
      </c>
      <c r="F5" s="3" t="inlineStr">
        <is>
          <t>r4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5</v>
      </c>
      <c r="O5" s="3" t="n">
        <v>5</v>
      </c>
      <c r="P5" s="3" t="b">
        <v>1</v>
      </c>
      <c r="Q5" s="8" t="n">
        <v>1</v>
      </c>
      <c r="R5" s="3">
        <f>COUNTIFS('QA_Issues'!$B$2:$B$24,B5,'QA_Issues'!$D$2:$D$24,"CRITICAL")</f>
        <v/>
      </c>
      <c r="S5" s="3">
        <f>COUNTIFS('QA_Issues'!$B$2:$B$24,B5,'QA_Issues'!$D$2:$D$24,"MAJOR")</f>
        <v/>
      </c>
      <c r="T5" s="3">
        <f>COUNTIFS('QA_Issues'!$B$2:$B$24,B5,'QA_Issues'!$D$2:$D$24,"MINOR")</f>
        <v/>
      </c>
      <c r="U5" s="3">
        <f>COUNTIFS('QA_Issues'!$B$2:$B$24,B5,'QA_Issues'!$D$2:$D$24,"LIMITATION")</f>
        <v/>
      </c>
      <c r="V5" s="3" t="inlineStr">
        <is>
          <t>["R4-ISS-004-BODY", "R4-ISS-004-CANN", "R4-ISS-004-SERP"]</t>
        </is>
      </c>
      <c r="W5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</row>
    <row r="6" ht="42" customHeight="1">
      <c r="A6" s="2" t="n">
        <v>5</v>
      </c>
      <c r="B6" s="2" t="inlineStr">
        <is>
          <t>jeminise.com+cat-patchwork-quilt-set-animal-pattern-bedding-cat-pattern-quilt-set</t>
        </is>
      </c>
      <c r="C6" s="4" t="inlineStr">
        <is>
          <t>https://jeminise.com/products/cat-patchwork-quilt-set-animal-pattern-bedding-cat-pattern-quilt-set</t>
        </is>
      </c>
      <c r="D6" s="2" t="inlineStr">
        <is>
          <t>cat-patchwork-quilt-set-animal-pattern-bedding-cat-pattern-quilt-set</t>
        </is>
      </c>
      <c r="E6" s="2" t="inlineStr">
        <is>
          <t>8867094823111</t>
        </is>
      </c>
      <c r="F6" s="2" t="inlineStr">
        <is>
          <t>r4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COUNTIFS('QA_Issues'!$B$2:$B$24,B6,'QA_Issues'!$D$2:$D$24,"CRITICAL")</f>
        <v/>
      </c>
      <c r="S6" s="2">
        <f>COUNTIFS('QA_Issues'!$B$2:$B$24,B6,'QA_Issues'!$D$2:$D$24,"MAJOR")</f>
        <v/>
      </c>
      <c r="T6" s="2">
        <f>COUNTIFS('QA_Issues'!$B$2:$B$24,B6,'QA_Issues'!$D$2:$D$24,"MINOR")</f>
        <v/>
      </c>
      <c r="U6" s="2">
        <f>COUNTIFS('QA_Issues'!$B$2:$B$24,B6,'QA_Issues'!$D$2:$D$24,"LIMITATION")</f>
        <v/>
      </c>
      <c r="V6" s="2" t="inlineStr">
        <is>
          <t>["R4-ISS-005-BODY", "R4-ISS-005-CANN"]</t>
        </is>
      </c>
      <c r="W6" s="2" t="inlineStr">
        <is>
          <t>["evidence_batch_001_005", "https://jeminise.com/products/cat-patchwork-quilt-set-animal-pattern-bedding-cat-pattern-quilt-set", "serp_reqa_005", "revision_diff.json", "customizer_audit.json"]</t>
        </is>
      </c>
    </row>
    <row r="7" ht="42" customHeight="1">
      <c r="A7" s="3" t="n">
        <v>6</v>
      </c>
      <c r="B7" s="3" t="inlineStr">
        <is>
          <t>jeminise.com+cat-quilt-set-cat-patchwork-style-printed-bedding-animal-patchwork</t>
        </is>
      </c>
      <c r="C7" s="4" t="inlineStr">
        <is>
          <t>https://jeminise.com/products/cat-quilt-set-cat-patchwork-style-printed-bedding-animal-patchwork</t>
        </is>
      </c>
      <c r="D7" s="3" t="inlineStr">
        <is>
          <t>cat-quilt-set-cat-patchwork-style-printed-bedding-animal-patchwork</t>
        </is>
      </c>
      <c r="E7" s="3" t="inlineStr">
        <is>
          <t>8867094986951</t>
        </is>
      </c>
      <c r="F7" s="3" t="inlineStr">
        <is>
          <t>r4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HYPOTHESIS_ONLY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COUNTIFS('QA_Issues'!$B$2:$B$24,B7,'QA_Issues'!$D$2:$D$24,"CRITICAL")</f>
        <v/>
      </c>
      <c r="S7" s="3">
        <f>COUNTIFS('QA_Issues'!$B$2:$B$24,B7,'QA_Issues'!$D$2:$D$24,"MAJOR")</f>
        <v/>
      </c>
      <c r="T7" s="3">
        <f>COUNTIFS('QA_Issues'!$B$2:$B$24,B7,'QA_Issues'!$D$2:$D$24,"MINOR")</f>
        <v/>
      </c>
      <c r="U7" s="3">
        <f>COUNTIFS('QA_Issues'!$B$2:$B$24,B7,'QA_Issues'!$D$2:$D$24,"LIMITATION")</f>
        <v/>
      </c>
      <c r="V7" s="3" t="inlineStr">
        <is>
          <t>["R4-ISS-006-BODY", "R4-ISS-006-CANN", "R4-ISS-006-HYP"]</t>
        </is>
      </c>
      <c r="W7" s="3" t="inlineStr">
        <is>
          <t>["evidence_batch_001_006", "https://jeminise.com/products/cat-quilt-set-cat-patchwork-style-printed-bedding-animal-patchwork", "serp_reqa_006", "revision_diff.json", "customizer_audit.json"]</t>
        </is>
      </c>
    </row>
    <row r="8" ht="42" customHeight="1">
      <c r="A8" s="2" t="n">
        <v>7</v>
      </c>
      <c r="B8" s="2" t="inlineStr">
        <is>
          <t>jeminise.com+celtic-and-fantasy-quilt-set-with-twisting-tree-trunk-and-exposed-roots-c7b1460bad-c7b1460bad</t>
        </is>
      </c>
      <c r="C8" s="4" t="inlineStr">
        <is>
          <t>https://jeminise.com/products/celtic-and-fantasy-quilt-set-with-twisting-tree-trunk-and-exposed-roots-c7b1460bad-c7b1460bad</t>
        </is>
      </c>
      <c r="D8" s="2" t="inlineStr">
        <is>
          <t>celtic-and-fantasy-quilt-set-with-twisting-tree-trunk-and-exposed-roots-c7b1460bad-c7b1460bad</t>
        </is>
      </c>
      <c r="E8" s="2" t="inlineStr">
        <is>
          <t>8833350467783</t>
        </is>
      </c>
      <c r="F8" s="2" t="inlineStr">
        <is>
          <t>r4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COUNTIFS('QA_Issues'!$B$2:$B$24,B8,'QA_Issues'!$D$2:$D$24,"CRITICAL")</f>
        <v/>
      </c>
      <c r="S8" s="2">
        <f>COUNTIFS('QA_Issues'!$B$2:$B$24,B8,'QA_Issues'!$D$2:$D$24,"MAJOR")</f>
        <v/>
      </c>
      <c r="T8" s="2">
        <f>COUNTIFS('QA_Issues'!$B$2:$B$24,B8,'QA_Issues'!$D$2:$D$24,"MINOR")</f>
        <v/>
      </c>
      <c r="U8" s="2">
        <f>COUNTIFS('QA_Issues'!$B$2:$B$24,B8,'QA_Issues'!$D$2:$D$24,"LIMITATION")</f>
        <v/>
      </c>
      <c r="V8" s="2" t="inlineStr">
        <is>
          <t>["R4-ISS-007-BODY", "R4-ISS-007-CANN"]</t>
        </is>
      </c>
      <c r="W8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</row>
    <row r="9" ht="42" customHeight="1">
      <c r="A9" s="3" t="n">
        <v>8</v>
      </c>
      <c r="B9" s="3" t="inlineStr">
        <is>
          <t>jeminise.com+celtic-mythology-tree-of-life-quilt-set-with-celtic-knotwork-border-12786aba7e-12786aba7e</t>
        </is>
      </c>
      <c r="C9" s="4" t="inlineStr">
        <is>
          <t>https://jeminise.com/products/celtic-mythology-tree-of-life-quilt-set-with-celtic-knotwork-border-12786aba7e-12786aba7e</t>
        </is>
      </c>
      <c r="D9" s="3" t="inlineStr">
        <is>
          <t>celtic-mythology-tree-of-life-quilt-set-with-celtic-knotwork-border-12786aba7e-12786aba7e</t>
        </is>
      </c>
      <c r="E9" s="3" t="inlineStr">
        <is>
          <t>8833347518663</t>
        </is>
      </c>
      <c r="F9" s="3" t="inlineStr">
        <is>
          <t>r4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COUNTIFS('QA_Issues'!$B$2:$B$24,B9,'QA_Issues'!$D$2:$D$24,"CRITICAL")</f>
        <v/>
      </c>
      <c r="S9" s="3">
        <f>COUNTIFS('QA_Issues'!$B$2:$B$24,B9,'QA_Issues'!$D$2:$D$24,"MAJOR")</f>
        <v/>
      </c>
      <c r="T9" s="3">
        <f>COUNTIFS('QA_Issues'!$B$2:$B$24,B9,'QA_Issues'!$D$2:$D$24,"MINOR")</f>
        <v/>
      </c>
      <c r="U9" s="3">
        <f>COUNTIFS('QA_Issues'!$B$2:$B$24,B9,'QA_Issues'!$D$2:$D$24,"LIMITATION")</f>
        <v/>
      </c>
      <c r="V9" s="3" t="inlineStr">
        <is>
          <t>["R4-ISS-008-BODY", "R4-ISS-008-CANN"]</t>
        </is>
      </c>
      <c r="W9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</row>
    <row r="10" ht="42" customHeight="1">
      <c r="A10" s="2" t="n">
        <v>9</v>
      </c>
      <c r="B10" s="2" t="inlineStr">
        <is>
          <t>jeminise.com+chicken-pattern-quilt-set-animal-patchwork-farmhouse-quilt-set</t>
        </is>
      </c>
      <c r="C10" s="4" t="inlineStr">
        <is>
          <t>https://jeminise.com/products/chicken-pattern-quilt-set-animal-patchwork-farmhouse-quilt-set</t>
        </is>
      </c>
      <c r="D10" s="2" t="inlineStr">
        <is>
          <t>chicken-pattern-quilt-set-animal-patchwork-farmhouse-quilt-set</t>
        </is>
      </c>
      <c r="E10" s="2" t="inlineStr">
        <is>
          <t>8867095019719</t>
        </is>
      </c>
      <c r="F10" s="2" t="inlineStr">
        <is>
          <t>r4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COUNTIFS('QA_Issues'!$B$2:$B$24,B10,'QA_Issues'!$D$2:$D$24,"CRITICAL")</f>
        <v/>
      </c>
      <c r="S10" s="2">
        <f>COUNTIFS('QA_Issues'!$B$2:$B$24,B10,'QA_Issues'!$D$2:$D$24,"MAJOR")</f>
        <v/>
      </c>
      <c r="T10" s="2">
        <f>COUNTIFS('QA_Issues'!$B$2:$B$24,B10,'QA_Issues'!$D$2:$D$24,"MINOR")</f>
        <v/>
      </c>
      <c r="U10" s="2">
        <f>COUNTIFS('QA_Issues'!$B$2:$B$24,B10,'QA_Issues'!$D$2:$D$24,"LIMITATION")</f>
        <v/>
      </c>
      <c r="V10" s="2" t="inlineStr">
        <is>
          <t>["R4-ISS-009-BODY"]</t>
        </is>
      </c>
      <c r="W10" s="2" t="inlineStr">
        <is>
          <t>["evidence_batch_001_009", "https://jeminise.com/products/chicken-pattern-quilt-set-animal-patchwork-farmhouse-quilt-set", "serp_reqa_009", "revision_diff.json", "customizer_audit.json"]</t>
        </is>
      </c>
    </row>
    <row r="11" ht="42" customHeight="1">
      <c r="A11" s="3" t="n">
        <v>10</v>
      </c>
      <c r="B11" s="3" t="inlineStr">
        <is>
          <t>jeminise.com+christian-bedding-set-inspirational-bible-verse-comforte-design-01</t>
        </is>
      </c>
      <c r="C11" s="4" t="inlineStr">
        <is>
          <t>https://jeminise.com/products/christian-bedding-set-inspirational-bible-verse-comforte-design-01</t>
        </is>
      </c>
      <c r="D11" s="3" t="inlineStr">
        <is>
          <t>christian-bedding-set-inspirational-bible-verse-comforte-design-01</t>
        </is>
      </c>
      <c r="E11" s="3" t="inlineStr">
        <is>
          <t>8867138240711</t>
        </is>
      </c>
      <c r="F11" s="3" t="inlineStr">
        <is>
          <t>r4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8</v>
      </c>
      <c r="O11" s="3" t="n">
        <v>8</v>
      </c>
      <c r="P11" s="3" t="b">
        <v>1</v>
      </c>
      <c r="Q11" s="8" t="n">
        <v>1</v>
      </c>
      <c r="R11" s="3">
        <f>COUNTIFS('QA_Issues'!$B$2:$B$24,B11,'QA_Issues'!$D$2:$D$24,"CRITICAL")</f>
        <v/>
      </c>
      <c r="S11" s="3">
        <f>COUNTIFS('QA_Issues'!$B$2:$B$24,B11,'QA_Issues'!$D$2:$D$24,"MAJOR")</f>
        <v/>
      </c>
      <c r="T11" s="3">
        <f>COUNTIFS('QA_Issues'!$B$2:$B$24,B11,'QA_Issues'!$D$2:$D$24,"MINOR")</f>
        <v/>
      </c>
      <c r="U11" s="3">
        <f>COUNTIFS('QA_Issues'!$B$2:$B$24,B11,'QA_Issues'!$D$2:$D$24,"LIMITATION")</f>
        <v/>
      </c>
      <c r="V11" s="3" t="inlineStr">
        <is>
          <t>["R4-ISS-010-BODY", "R4-ISS-010-ENC"]</t>
        </is>
      </c>
      <c r="W11" s="3" t="inlineStr">
        <is>
          <t>["evidence_batch_001_010", "https://jeminise.com/products/christian-bedding-set-inspirational-bible-verse-comforte-design-01", "serp_reqa_010", "revision_diff.json",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jeminise.com+autumn-cardinals-perched-above-large-sunflowers-quilt-with-cardinal-birds-9a3b408b20-9a3b408b20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IF(B2="I1",AVERAGEIF('QA_Images'!$A$2:$A$66,A2,'QA_Images'!$T$2:$T$66)/100,IF(D2="FULL",1,IF(D2="PARTIAL",0.5,IF(D2="FAIL",0,""))))</f>
        <v/>
      </c>
      <c r="F2" s="5">
        <f>IF(E2="",0,C2*E2)</f>
        <v/>
      </c>
      <c r="G2" s="5">
        <f>IF(B2="I1",20*AVERAGEIF('QA_Images'!$A$2:$A$66,A2,'QA_Images'!$U$2:$U$66)/100,IF(D2="NOT_CHECKED",0,C2))</f>
        <v/>
      </c>
      <c r="H2" s="2" t="inlineStr">
        <is>
          <t>Product key, handle, product ID, URL, canonical, live H1 and visible motif were rechecked.</t>
        </is>
      </c>
      <c r="I2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2" s="2" t="inlineStr">
        <is>
          <t>["R4-ISS-001-BODY", "R4-ISS-001-CANN", "R4-ISS-001-HYP"]</t>
        </is>
      </c>
      <c r="K2" s="2" t="inlineStr">
        <is>
          <t>r4</t>
        </is>
      </c>
    </row>
    <row r="3" ht="42" customHeight="1">
      <c r="A3" s="3" t="inlineStr">
        <is>
          <t>jeminise.com+autumn-cardinals-perched-above-large-sunflowers-quilt-with-cardinal-birds-9a3b408b20-9a3b408b20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IF(B3="I1",AVERAGEIF('QA_Images'!$A$2:$A$66,A3,'QA_Images'!$T$2:$T$66)/100,IF(D3="FULL",1,IF(D3="PARTIAL",0.5,IF(D3="FAIL",0,""))))</f>
        <v/>
      </c>
      <c r="F3" s="7">
        <f>IF(E3="",0,C3*E3)</f>
        <v/>
      </c>
      <c r="G3" s="7">
        <f>IF(B3="I1",20*AVERAGEIF('QA_Images'!$A$2:$A$66,A3,'QA_Images'!$U$2:$U$66)/100,IF(D3="NOT_CHECKED",0,C3))</f>
        <v/>
      </c>
      <c r="H3" s="3" t="inlineStr">
        <is>
          <t>Live product JSON, variants, gallery and Customizer schema were re-read; products 2 and 10 have verified text fields.</t>
        </is>
      </c>
      <c r="I3" s="3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3" s="3" t="inlineStr">
        <is>
          <t>["R4-ISS-001-BODY", "R4-ISS-001-CANN", "R4-ISS-001-HYP"]</t>
        </is>
      </c>
      <c r="K3" s="3" t="inlineStr">
        <is>
          <t>r4</t>
        </is>
      </c>
    </row>
    <row r="4" ht="42" customHeight="1">
      <c r="A4" s="2" t="inlineStr">
        <is>
          <t>jeminise.com+autumn-cardinals-perched-above-large-sunflowers-quilt-with-cardinal-birds-9a3b408b20-9a3b408b20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IF(B4="I1",AVERAGEIF('QA_Images'!$A$2:$A$66,A4,'QA_Images'!$T$2:$T$66)/100,IF(D4="FULL",1,IF(D4="PARTIAL",0.5,IF(D4="FAIL",0,""))))</f>
        <v/>
      </c>
      <c r="F4" s="5">
        <f>IF(E4="",0,C4*E4)</f>
        <v/>
      </c>
      <c r="G4" s="5">
        <f>IF(B4="I1",20*AVERAGEIF('QA_Images'!$A$2:$A$66,A4,'QA_Images'!$U$2:$U$66)/100,IF(D4="NOT_CHECKED",0,C4))</f>
        <v/>
      </c>
      <c r="H4" s="2" t="inlineStr">
        <is>
          <t>Primary query was checked against submitted evidence and fresh SERP research; product 5 retains a mismatched chicken-quilt source.</t>
        </is>
      </c>
      <c r="I4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4" s="2" t="inlineStr">
        <is>
          <t>["R4-ISS-001-BODY", "R4-ISS-001-CANN", "R4-ISS-001-HYP"]</t>
        </is>
      </c>
      <c r="K4" s="2" t="inlineStr">
        <is>
          <t>r4</t>
        </is>
      </c>
    </row>
    <row r="5" ht="42" customHeight="1">
      <c r="A5" s="3" t="inlineStr">
        <is>
          <t>jeminise.com+autumn-cardinals-perched-above-large-sunflowers-quilt-with-cardinal-birds-9a3b408b20-9a3b408b20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IF(B5="I1",AVERAGEIF('QA_Images'!$A$2:$A$66,A5,'QA_Images'!$T$2:$T$66)/100,IF(D5="FULL",1,IF(D5="PARTIAL",0.5,IF(D5="FAIL",0,""))))</f>
        <v/>
      </c>
      <c r="F5" s="7">
        <f>IF(E5="",0,C5*E5)</f>
        <v/>
      </c>
      <c r="G5" s="7">
        <f>IF(B5="I1",20*AVERAGEIF('QA_Images'!$A$2:$A$66,A5,'QA_Images'!$U$2:$U$66)/100,IF(D5="NOT_CHECKED",0,C5))</f>
        <v/>
      </c>
      <c r="H5" s="3" t="inlineStr">
        <is>
          <t>Primary and nearest alternative queries were searched for US commercial/product intent.</t>
        </is>
      </c>
      <c r="I5" s="3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5" s="3" t="inlineStr">
        <is>
          <t>["R4-ISS-001-BODY", "R4-ISS-001-CANN", "R4-ISS-001-HYP"]</t>
        </is>
      </c>
      <c r="K5" s="3" t="inlineStr">
        <is>
          <t>r4</t>
        </is>
      </c>
    </row>
    <row r="6" ht="42" customHeight="1">
      <c r="A6" s="2" t="inlineStr">
        <is>
          <t>jeminise.com+autumn-cardinals-perched-above-large-sunflowers-quilt-with-cardinal-birds-9a3b408b20-9a3b408b20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IF(B6="I1",AVERAGEIF('QA_Images'!$A$2:$A$66,A6,'QA_Images'!$T$2:$T$66)/100,IF(D6="FULL",1,IF(D6="PARTIAL",0.5,IF(D6="FAIL",0,""))))</f>
        <v/>
      </c>
      <c r="F6" s="5">
        <f>IF(E6="",0,C6*E6)</f>
        <v/>
      </c>
      <c r="G6" s="5">
        <f>IF(B6="I1",20*AVERAGEIF('QA_Images'!$A$2:$A$66,A6,'QA_Images'!$U$2:$U$66)/100,IF(D6="NOT_CHECKED",0,C6))</f>
        <v/>
      </c>
      <c r="H6" s="2" t="inlineStr">
        <is>
          <t>Distinct artwork helps differentiation, but cardinal, cat and Celtic sibling pages still need an explicit intent map.</t>
        </is>
      </c>
      <c r="I6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6" s="2" t="inlineStr">
        <is>
          <t>["R4-ISS-001-BODY", "R4-ISS-001-CANN", "R4-ISS-001-HYP"]</t>
        </is>
      </c>
      <c r="K6" s="2" t="inlineStr">
        <is>
          <t>r4</t>
        </is>
      </c>
    </row>
    <row r="7" ht="42" customHeight="1">
      <c r="A7" s="3" t="inlineStr">
        <is>
          <t>jeminise.com+autumn-cardinals-perched-above-large-sunflowers-quilt-with-cardinal-birds-9a3b408b20-9a3b408b20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IF(B7="I1",AVERAGEIF('QA_Images'!$A$2:$A$66,A7,'QA_Images'!$T$2:$T$66)/100,IF(D7="FULL",1,IF(D7="PARTIAL",0.5,IF(D7="FAIL",0,""))))</f>
        <v/>
      </c>
      <c r="F7" s="7">
        <f>IF(E7="",0,C7*E7)</f>
        <v/>
      </c>
      <c r="G7" s="7">
        <f>IF(B7="I1",20*AVERAGEIF('QA_Images'!$A$2:$A$66,A7,'QA_Images'!$U$2:$U$66)/100,IF(D7="NOT_CHECKED",0,C7))</f>
        <v/>
      </c>
      <c r="H7" s="3" t="inlineStr">
        <is>
          <t>Title was checked for product type, motif, keyword fit and verified personalization opportunity.</t>
        </is>
      </c>
      <c r="I7" s="3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7" s="3" t="inlineStr">
        <is>
          <t>["R4-ISS-001-BODY", "R4-ISS-001-CANN", "R4-ISS-001-HYP"]</t>
        </is>
      </c>
      <c r="K7" s="3" t="inlineStr">
        <is>
          <t>r4</t>
        </is>
      </c>
    </row>
    <row r="8" ht="42" customHeight="1">
      <c r="A8" s="2" t="inlineStr">
        <is>
          <t>jeminise.com+autumn-cardinals-perched-above-large-sunflowers-quilt-with-cardinal-birds-9a3b408b20-9a3b408b20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IF(B8="I1",AVERAGEIF('QA_Images'!$A$2:$A$66,A8,'QA_Images'!$T$2:$T$66)/100,IF(D8="FULL",1,IF(D8="PARTIAL",0.5,IF(D8="FAIL",0,""))))</f>
        <v/>
      </c>
      <c r="F8" s="5">
        <f>IF(E8="",0,C8*E8)</f>
        <v/>
      </c>
      <c r="G8" s="5">
        <f>IF(B8="I1",20*AVERAGEIF('QA_Images'!$A$2:$A$66,A8,'QA_Images'!$U$2:$U$66)/100,IF(D8="NOT_CHECKED",0,C8))</f>
        <v/>
      </c>
      <c r="H8" s="2" t="inlineStr">
        <is>
          <t>H1 was assessed independently from the SEO title and live source encoding.</t>
        </is>
      </c>
      <c r="I8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8" s="2" t="inlineStr">
        <is>
          <t>["R4-ISS-001-BODY", "R4-ISS-001-CANN", "R4-ISS-001-HYP"]</t>
        </is>
      </c>
      <c r="K8" s="2" t="inlineStr">
        <is>
          <t>r4</t>
        </is>
      </c>
    </row>
    <row r="9" ht="42" customHeight="1">
      <c r="A9" s="3" t="inlineStr">
        <is>
          <t>jeminise.com+autumn-cardinals-perched-above-large-sunflowers-quilt-with-cardinal-birds-9a3b408b20-9a3b408b20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IF(B9="I1",AVERAGEIF('QA_Images'!$A$2:$A$66,A9,'QA_Images'!$T$2:$T$66)/100,IF(D9="FULL",1,IF(D9="PARTIAL",0.5,IF(D9="FAIL",0,""))))</f>
        <v/>
      </c>
      <c r="F9" s="7">
        <f>IF(E9="",0,C9*E9)</f>
        <v/>
      </c>
      <c r="G9" s="7">
        <f>IF(B9="I1",20*AVERAGEIF('QA_Images'!$A$2:$A$66,A9,'QA_Images'!$U$2:$U$66)/100,IF(D9="NOT_CHECKED",0,C9))</f>
        <v/>
      </c>
      <c r="H9" s="3" t="inlineStr">
        <is>
          <t>Meta description is concise and claim-safe; product 10 is ambiguous about editable name text.</t>
        </is>
      </c>
      <c r="I9" s="3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9" s="3" t="inlineStr">
        <is>
          <t>["R4-ISS-001-BODY", "R4-ISS-001-CANN", "R4-ISS-001-HYP"]</t>
        </is>
      </c>
      <c r="K9" s="3" t="inlineStr">
        <is>
          <t>r4</t>
        </is>
      </c>
    </row>
    <row r="10" ht="42" customHeight="1">
      <c r="A10" s="2" t="inlineStr">
        <is>
          <t>jeminise.com+autumn-cardinals-perched-above-large-sunflowers-quilt-with-cardinal-birds-9a3b408b20-9a3b408b20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IF(B10="I1",AVERAGEIF('QA_Images'!$A$2:$A$66,A10,'QA_Images'!$T$2:$T$66)/100,IF(D10="FULL",1,IF(D10="PARTIAL",0.5,IF(D10="FAIL",0,""))))</f>
        <v/>
      </c>
      <c r="F10" s="5">
        <f>IF(E10="",0,C10*E10)</f>
        <v/>
      </c>
      <c r="G10" s="5">
        <f>IF(B10="I1",20*AVERAGEIF('QA_Images'!$A$2:$A$66,A10,'QA_Images'!$U$2:$U$66)/100,IF(D10="NOT_CHECKED",0,C10))</f>
        <v/>
      </c>
      <c r="H10" s="2" t="inlineStr">
        <is>
          <t>Internal QA text and raw conflicting facts were removed, but the replacement body is repetitive and omits useful verified image/spec details.</t>
        </is>
      </c>
      <c r="I10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10" s="2" t="inlineStr">
        <is>
          <t>["R4-ISS-001-BODY", "R4-ISS-001-CANN", "R4-ISS-001-HYP"]</t>
        </is>
      </c>
      <c r="K10" s="2" t="inlineStr">
        <is>
          <t>r4</t>
        </is>
      </c>
    </row>
    <row r="11" ht="42" customHeight="1">
      <c r="A11" s="3" t="inlineStr">
        <is>
          <t>jeminise.com+autumn-cardinals-perched-above-large-sunflowers-quilt-with-cardinal-birds-9a3b408b20-9a3b408b20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IF(B11="I1",AVERAGEIF('QA_Images'!$A$2:$A$66,A11,'QA_Images'!$T$2:$T$66)/100,IF(D11="FULL",1,IF(D11="PARTIAL",0.5,IF(D11="FAIL",0,""))))</f>
        <v/>
      </c>
      <c r="F11" s="7">
        <f>IF(E11="",0,C11*E11)</f>
        <v/>
      </c>
      <c r="G11" s="7">
        <f>IF(B11="I1",20*AVERAGEIF('QA_Images'!$A$2:$A$66,A11,'QA_Images'!$U$2:$U$66)/100,IF(D11="NOT_CHECKED",0,C11))</f>
        <v/>
      </c>
      <c r="H11" s="3" t="inlineStr">
        <is>
          <t>Derived from directly checked r4 media records: 100.0/100.</t>
        </is>
      </c>
      <c r="I11" s="3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11" s="3" t="inlineStr">
        <is>
          <t>["R4-ISS-001-BODY", "R4-ISS-001-CANN", "R4-ISS-001-HYP"]</t>
        </is>
      </c>
      <c r="K11" s="3" t="inlineStr">
        <is>
          <t>r4</t>
        </is>
      </c>
    </row>
    <row r="12" ht="42" customHeight="1">
      <c r="A12" s="2" t="inlineStr">
        <is>
          <t>jeminise.com+autumn-cardinals-perched-above-large-sunflowers-quilt-with-cardinal-birds-9a3b408b20-9a3b408b20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IF(B12="I1",AVERAGEIF('QA_Images'!$A$2:$A$66,A12,'QA_Images'!$T$2:$T$66)/100,IF(D12="FULL",1,IF(D12="PARTIAL",0.5,IF(D12="FAIL",0,""))))</f>
        <v/>
      </c>
      <c r="F12" s="5">
        <f>IF(E12="",0,C12*E12)</f>
        <v/>
      </c>
      <c r="G12" s="5">
        <f>IF(B12="I1",20*AVERAGEIF('QA_Images'!$A$2:$A$66,A12,'QA_Images'!$U$2:$U$66)/100,IF(D12="NOT_CHECKED",0,C12))</f>
        <v/>
      </c>
      <c r="H12" s="2" t="inlineStr">
        <is>
          <t>Revision lineage, source rows, live source and evidence references were cross-checked; admin export remains unavailable.</t>
        </is>
      </c>
      <c r="I12" s="2" t="inlineStr">
        <is>
          <t>["evidence_batch_001_001", "https://jeminise.com/products/autumn-cardinals-perched-above-large-sunflowers-quilt-with-cardinal-birds-9a3b408b20-9a3b408b20", "serp_reqa_001", "revision_diff.json", "customizer_audit.json"]</t>
        </is>
      </c>
      <c r="J12" s="2" t="inlineStr">
        <is>
          <t>["R4-ISS-001-BODY", "R4-ISS-001-CANN", "R4-ISS-001-HYP"]</t>
        </is>
      </c>
      <c r="K12" s="2" t="inlineStr">
        <is>
          <t>r4</t>
        </is>
      </c>
    </row>
    <row r="13" ht="42" customHeight="1">
      <c r="A13" s="3" t="inlineStr">
        <is>
          <t>jeminise.com+bright-teal-yellow-softball-comforter-set-premium-sports-theme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IF(B13="I1",AVERAGEIF('QA_Images'!$A$2:$A$66,A13,'QA_Images'!$T$2:$T$66)/100,IF(D13="FULL",1,IF(D13="PARTIAL",0.5,IF(D13="FAIL",0,""))))</f>
        <v/>
      </c>
      <c r="F13" s="7">
        <f>IF(E13="",0,C13*E13)</f>
        <v/>
      </c>
      <c r="G13" s="7">
        <f>IF(B13="I1",20*AVERAGEIF('QA_Images'!$A$2:$A$66,A13,'QA_Images'!$U$2:$U$66)/100,IF(D13="NOT_CHECKED",0,C13))</f>
        <v/>
      </c>
      <c r="H13" s="3" t="inlineStr">
        <is>
          <t>Product key, handle, product ID, URL, canonical, live H1 and visible motif were rechecked.</t>
        </is>
      </c>
      <c r="I13" s="3" t="inlineStr">
        <is>
          <t>["evidence_batch_001_002", "https://jeminise.com/products/bright-teal-yellow-softball-comforter-set-premium-sports-theme", "serp_reqa_002", "revision_diff.json", "customizer_audit.json"]</t>
        </is>
      </c>
      <c r="J13" s="3" t="inlineStr">
        <is>
          <t>["R4-ISS-002-BODY", "R4-ISS-002-ENC"]</t>
        </is>
      </c>
      <c r="K13" s="3" t="inlineStr">
        <is>
          <t>r4</t>
        </is>
      </c>
    </row>
    <row r="14" ht="42" customHeight="1">
      <c r="A14" s="2" t="inlineStr">
        <is>
          <t>jeminise.com+bright-teal-yellow-softball-comforter-set-premium-sports-theme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IF(B14="I1",AVERAGEIF('QA_Images'!$A$2:$A$66,A14,'QA_Images'!$T$2:$T$66)/100,IF(D14="FULL",1,IF(D14="PARTIAL",0.5,IF(D14="FAIL",0,""))))</f>
        <v/>
      </c>
      <c r="F14" s="5">
        <f>IF(E14="",0,C14*E14)</f>
        <v/>
      </c>
      <c r="G14" s="5">
        <f>IF(B14="I1",20*AVERAGEIF('QA_Images'!$A$2:$A$66,A14,'QA_Images'!$U$2:$U$66)/100,IF(D14="NOT_CHECKED",0,C14))</f>
        <v/>
      </c>
      <c r="H14" s="2" t="inlineStr">
        <is>
          <t>Live product JSON, variants, gallery and Customizer schema were re-read; products 2 and 10 have verified text fields.</t>
        </is>
      </c>
      <c r="I14" s="2" t="inlineStr">
        <is>
          <t>["evidence_batch_001_002", "https://jeminise.com/products/bright-teal-yellow-softball-comforter-set-premium-sports-theme", "serp_reqa_002", "revision_diff.json", "customizer_audit.json"]</t>
        </is>
      </c>
      <c r="J14" s="2" t="inlineStr">
        <is>
          <t>["R4-ISS-002-BODY", "R4-ISS-002-ENC"]</t>
        </is>
      </c>
      <c r="K14" s="2" t="inlineStr">
        <is>
          <t>r4</t>
        </is>
      </c>
    </row>
    <row r="15" ht="42" customHeight="1">
      <c r="A15" s="3" t="inlineStr">
        <is>
          <t>jeminise.com+bright-teal-yellow-softball-comforter-set-premium-sports-theme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IF(B15="I1",AVERAGEIF('QA_Images'!$A$2:$A$66,A15,'QA_Images'!$T$2:$T$66)/100,IF(D15="FULL",1,IF(D15="PARTIAL",0.5,IF(D15="FAIL",0,""))))</f>
        <v/>
      </c>
      <c r="F15" s="7">
        <f>IF(E15="",0,C15*E15)</f>
        <v/>
      </c>
      <c r="G15" s="7">
        <f>IF(B15="I1",20*AVERAGEIF('QA_Images'!$A$2:$A$66,A15,'QA_Images'!$U$2:$U$66)/100,IF(D15="NOT_CHECKED",0,C15))</f>
        <v/>
      </c>
      <c r="H15" s="3" t="inlineStr">
        <is>
          <t>Primary query was checked against submitted evidence and fresh SERP research; product 5 retains a mismatched chicken-quilt source.</t>
        </is>
      </c>
      <c r="I15" s="3" t="inlineStr">
        <is>
          <t>["evidence_batch_001_002", "https://jeminise.com/products/bright-teal-yellow-softball-comforter-set-premium-sports-theme", "serp_reqa_002", "revision_diff.json", "customizer_audit.json"]</t>
        </is>
      </c>
      <c r="J15" s="3" t="inlineStr">
        <is>
          <t>["R4-ISS-002-BODY", "R4-ISS-002-ENC"]</t>
        </is>
      </c>
      <c r="K15" s="3" t="inlineStr">
        <is>
          <t>r4</t>
        </is>
      </c>
    </row>
    <row r="16" ht="42" customHeight="1">
      <c r="A16" s="2" t="inlineStr">
        <is>
          <t>jeminise.com+bright-teal-yellow-softball-comforter-set-premium-sports-theme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IF(B16="I1",AVERAGEIF('QA_Images'!$A$2:$A$66,A16,'QA_Images'!$T$2:$T$66)/100,IF(D16="FULL",1,IF(D16="PARTIAL",0.5,IF(D16="FAIL",0,""))))</f>
        <v/>
      </c>
      <c r="F16" s="5">
        <f>IF(E16="",0,C16*E16)</f>
        <v/>
      </c>
      <c r="G16" s="5">
        <f>IF(B16="I1",20*AVERAGEIF('QA_Images'!$A$2:$A$66,A16,'QA_Images'!$U$2:$U$66)/100,IF(D16="NOT_CHECKED",0,C16))</f>
        <v/>
      </c>
      <c r="H16" s="2" t="inlineStr">
        <is>
          <t>Primary and nearest alternative queries were searched for US commercial/product intent.</t>
        </is>
      </c>
      <c r="I16" s="2" t="inlineStr">
        <is>
          <t>["evidence_batch_001_002", "https://jeminise.com/products/bright-teal-yellow-softball-comforter-set-premium-sports-theme", "serp_reqa_002", "revision_diff.json", "customizer_audit.json"]</t>
        </is>
      </c>
      <c r="J16" s="2" t="inlineStr">
        <is>
          <t>["R4-ISS-002-BODY", "R4-ISS-002-ENC"]</t>
        </is>
      </c>
      <c r="K16" s="2" t="inlineStr">
        <is>
          <t>r4</t>
        </is>
      </c>
    </row>
    <row r="17" ht="42" customHeight="1">
      <c r="A17" s="3" t="inlineStr">
        <is>
          <t>jeminise.com+bright-teal-yellow-softball-comforter-set-premium-sports-theme</t>
        </is>
      </c>
      <c r="B17" s="3" t="inlineStr">
        <is>
          <t>K3</t>
        </is>
      </c>
      <c r="C17" s="3" t="n">
        <v>5</v>
      </c>
      <c r="D17" s="3" t="inlineStr">
        <is>
          <t>FULL</t>
        </is>
      </c>
      <c r="E17" s="7">
        <f>IF(B17="I1",AVERAGEIF('QA_Images'!$A$2:$A$66,A17,'QA_Images'!$T$2:$T$66)/100,IF(D17="FULL",1,IF(D17="PARTIAL",0.5,IF(D17="FAIL",0,""))))</f>
        <v/>
      </c>
      <c r="F17" s="7">
        <f>IF(E17="",0,C17*E17)</f>
        <v/>
      </c>
      <c r="G17" s="7">
        <f>IF(B17="I1",20*AVERAGEIF('QA_Images'!$A$2:$A$66,A17,'QA_Images'!$U$2:$U$66)/100,IF(D17="NOT_CHECKED",0,C17))</f>
        <v/>
      </c>
      <c r="H17" s="3" t="inlineStr">
        <is>
          <t>Distinct artwork helps differentiation, but cardinal, cat and Celtic sibling pages still need an explicit intent map.</t>
        </is>
      </c>
      <c r="I17" s="3" t="inlineStr">
        <is>
          <t>["evidence_batch_001_002", "https://jeminise.com/products/bright-teal-yellow-softball-comforter-set-premium-sports-theme", "serp_reqa_002", "revision_diff.json", "customizer_audit.json"]</t>
        </is>
      </c>
      <c r="J17" s="3" t="inlineStr">
        <is>
          <t>["R4-ISS-002-BODY", "R4-ISS-002-ENC"]</t>
        </is>
      </c>
      <c r="K17" s="3" t="inlineStr">
        <is>
          <t>r4</t>
        </is>
      </c>
    </row>
    <row r="18" ht="42" customHeight="1">
      <c r="A18" s="2" t="inlineStr">
        <is>
          <t>jeminise.com+bright-teal-yellow-softball-comforter-set-premium-sports-theme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IF(B18="I1",AVERAGEIF('QA_Images'!$A$2:$A$66,A18,'QA_Images'!$T$2:$T$66)/100,IF(D18="FULL",1,IF(D18="PARTIAL",0.5,IF(D18="FAIL",0,""))))</f>
        <v/>
      </c>
      <c r="F18" s="5">
        <f>IF(E18="",0,C18*E18)</f>
        <v/>
      </c>
      <c r="G18" s="5">
        <f>IF(B18="I1",20*AVERAGEIF('QA_Images'!$A$2:$A$66,A18,'QA_Images'!$U$2:$U$66)/100,IF(D18="NOT_CHECKED",0,C18))</f>
        <v/>
      </c>
      <c r="H18" s="2" t="inlineStr">
        <is>
          <t>Title was checked for product type, motif, keyword fit and verified personalization opportunity.</t>
        </is>
      </c>
      <c r="I18" s="2" t="inlineStr">
        <is>
          <t>["evidence_batch_001_002", "https://jeminise.com/products/bright-teal-yellow-softball-comforter-set-premium-sports-theme", "serp_reqa_002", "revision_diff.json", "customizer_audit.json"]</t>
        </is>
      </c>
      <c r="J18" s="2" t="inlineStr">
        <is>
          <t>["R4-ISS-002-BODY", "R4-ISS-002-ENC"]</t>
        </is>
      </c>
      <c r="K18" s="2" t="inlineStr">
        <is>
          <t>r4</t>
        </is>
      </c>
    </row>
    <row r="19" ht="42" customHeight="1">
      <c r="A19" s="3" t="inlineStr">
        <is>
          <t>jeminise.com+bright-teal-yellow-softball-comforter-set-premium-sports-theme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IF(B19="I1",AVERAGEIF('QA_Images'!$A$2:$A$66,A19,'QA_Images'!$T$2:$T$66)/100,IF(D19="FULL",1,IF(D19="PARTIAL",0.5,IF(D19="FAIL",0,""))))</f>
        <v/>
      </c>
      <c r="F19" s="7">
        <f>IF(E19="",0,C19*E19)</f>
        <v/>
      </c>
      <c r="G19" s="7">
        <f>IF(B19="I1",20*AVERAGEIF('QA_Images'!$A$2:$A$66,A19,'QA_Images'!$U$2:$U$66)/100,IF(D19="NOT_CHECKED",0,C19))</f>
        <v/>
      </c>
      <c r="H19" s="3" t="inlineStr">
        <is>
          <t>H1 was assessed independently from the SEO title and live source encoding.</t>
        </is>
      </c>
      <c r="I19" s="3" t="inlineStr">
        <is>
          <t>["evidence_batch_001_002", "https://jeminise.com/products/bright-teal-yellow-softball-comforter-set-premium-sports-theme", "serp_reqa_002", "revision_diff.json", "customizer_audit.json"]</t>
        </is>
      </c>
      <c r="J19" s="3" t="inlineStr">
        <is>
          <t>["R4-ISS-002-BODY", "R4-ISS-002-ENC"]</t>
        </is>
      </c>
      <c r="K19" s="3" t="inlineStr">
        <is>
          <t>r4</t>
        </is>
      </c>
    </row>
    <row r="20" ht="42" customHeight="1">
      <c r="A20" s="2" t="inlineStr">
        <is>
          <t>jeminise.com+bright-teal-yellow-softball-comforter-set-premium-sports-theme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IF(B20="I1",AVERAGEIF('QA_Images'!$A$2:$A$66,A20,'QA_Images'!$T$2:$T$66)/100,IF(D20="FULL",1,IF(D20="PARTIAL",0.5,IF(D20="FAIL",0,""))))</f>
        <v/>
      </c>
      <c r="F20" s="5">
        <f>IF(E20="",0,C20*E20)</f>
        <v/>
      </c>
      <c r="G20" s="5">
        <f>IF(B20="I1",20*AVERAGEIF('QA_Images'!$A$2:$A$66,A20,'QA_Images'!$U$2:$U$66)/100,IF(D20="NOT_CHECKED",0,C20))</f>
        <v/>
      </c>
      <c r="H20" s="2" t="inlineStr">
        <is>
          <t>Meta description is concise and claim-safe; product 10 is ambiguous about editable name text.</t>
        </is>
      </c>
      <c r="I20" s="2" t="inlineStr">
        <is>
          <t>["evidence_batch_001_002", "https://jeminise.com/products/bright-teal-yellow-softball-comforter-set-premium-sports-theme", "serp_reqa_002", "revision_diff.json", "customizer_audit.json"]</t>
        </is>
      </c>
      <c r="J20" s="2" t="inlineStr">
        <is>
          <t>["R4-ISS-002-BODY", "R4-ISS-002-ENC"]</t>
        </is>
      </c>
      <c r="K20" s="2" t="inlineStr">
        <is>
          <t>r4</t>
        </is>
      </c>
    </row>
    <row r="21" ht="42" customHeight="1">
      <c r="A21" s="3" t="inlineStr">
        <is>
          <t>jeminise.com+bright-teal-yellow-softball-comforter-set-premium-sports-theme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IF(B21="I1",AVERAGEIF('QA_Images'!$A$2:$A$66,A21,'QA_Images'!$T$2:$T$66)/100,IF(D21="FULL",1,IF(D21="PARTIAL",0.5,IF(D21="FAIL",0,""))))</f>
        <v/>
      </c>
      <c r="F21" s="7">
        <f>IF(E21="",0,C21*E21)</f>
        <v/>
      </c>
      <c r="G21" s="7">
        <f>IF(B21="I1",20*AVERAGEIF('QA_Images'!$A$2:$A$66,A21,'QA_Images'!$U$2:$U$66)/100,IF(D21="NOT_CHECKED",0,C21))</f>
        <v/>
      </c>
      <c r="H21" s="3" t="inlineStr">
        <is>
          <t>Internal QA text and raw conflicting facts were removed, but the replacement body is repetitive and omits useful verified image/spec details.</t>
        </is>
      </c>
      <c r="I21" s="3" t="inlineStr">
        <is>
          <t>["evidence_batch_001_002", "https://jeminise.com/products/bright-teal-yellow-softball-comforter-set-premium-sports-theme", "serp_reqa_002", "revision_diff.json", "customizer_audit.json"]</t>
        </is>
      </c>
      <c r="J21" s="3" t="inlineStr">
        <is>
          <t>["R4-ISS-002-BODY", "R4-ISS-002-ENC"]</t>
        </is>
      </c>
      <c r="K21" s="3" t="inlineStr">
        <is>
          <t>r4</t>
        </is>
      </c>
    </row>
    <row r="22" ht="42" customHeight="1">
      <c r="A22" s="2" t="inlineStr">
        <is>
          <t>jeminise.com+bright-teal-yellow-softball-comforter-set-premium-sports-theme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IF(B22="I1",AVERAGEIF('QA_Images'!$A$2:$A$66,A22,'QA_Images'!$T$2:$T$66)/100,IF(D22="FULL",1,IF(D22="PARTIAL",0.5,IF(D22="FAIL",0,""))))</f>
        <v/>
      </c>
      <c r="F22" s="5">
        <f>IF(E22="",0,C22*E22)</f>
        <v/>
      </c>
      <c r="G22" s="5">
        <f>IF(B22="I1",20*AVERAGEIF('QA_Images'!$A$2:$A$66,A22,'QA_Images'!$U$2:$U$66)/100,IF(D22="NOT_CHECKED",0,C22))</f>
        <v/>
      </c>
      <c r="H22" s="2" t="inlineStr">
        <is>
          <t>Derived from directly checked r4 media records: 100.0/100.</t>
        </is>
      </c>
      <c r="I22" s="2" t="inlineStr">
        <is>
          <t>["evidence_batch_001_002", "https://jeminise.com/products/bright-teal-yellow-softball-comforter-set-premium-sports-theme", "serp_reqa_002", "revision_diff.json", "customizer_audit.json"]</t>
        </is>
      </c>
      <c r="J22" s="2" t="inlineStr">
        <is>
          <t>["R4-ISS-002-BODY", "R4-ISS-002-ENC"]</t>
        </is>
      </c>
      <c r="K22" s="2" t="inlineStr">
        <is>
          <t>r4</t>
        </is>
      </c>
    </row>
    <row r="23" ht="42" customHeight="1">
      <c r="A23" s="3" t="inlineStr">
        <is>
          <t>jeminise.com+bright-teal-yellow-softball-comforter-set-premium-sports-theme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IF(B23="I1",AVERAGEIF('QA_Images'!$A$2:$A$66,A23,'QA_Images'!$T$2:$T$66)/100,IF(D23="FULL",1,IF(D23="PARTIAL",0.5,IF(D23="FAIL",0,""))))</f>
        <v/>
      </c>
      <c r="F23" s="7">
        <f>IF(E23="",0,C23*E23)</f>
        <v/>
      </c>
      <c r="G23" s="7">
        <f>IF(B23="I1",20*AVERAGEIF('QA_Images'!$A$2:$A$66,A23,'QA_Images'!$U$2:$U$66)/100,IF(D23="NOT_CHECKED",0,C23))</f>
        <v/>
      </c>
      <c r="H23" s="3" t="inlineStr">
        <is>
          <t>Revision lineage, source rows, live source and evidence references were cross-checked; admin export remains unavailable.</t>
        </is>
      </c>
      <c r="I23" s="3" t="inlineStr">
        <is>
          <t>["evidence_batch_001_002", "https://jeminise.com/products/bright-teal-yellow-softball-comforter-set-premium-sports-theme", "serp_reqa_002", "revision_diff.json", "customizer_audit.json"]</t>
        </is>
      </c>
      <c r="J23" s="3" t="inlineStr">
        <is>
          <t>["R4-ISS-002-BODY", "R4-ISS-002-ENC"]</t>
        </is>
      </c>
      <c r="K23" s="3" t="inlineStr">
        <is>
          <t>r4</t>
        </is>
      </c>
    </row>
    <row r="24" ht="42" customHeight="1">
      <c r="A24" s="2" t="inlineStr">
        <is>
          <t>jeminise.com+cardinals-perched-beside-decorated-christmas-tree-patchwork-winter-quilt-7cd7bc46a0-7cd7bc46a0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IF(B24="I1",AVERAGEIF('QA_Images'!$A$2:$A$66,A24,'QA_Images'!$T$2:$T$66)/100,IF(D24="FULL",1,IF(D24="PARTIAL",0.5,IF(D24="FAIL",0,""))))</f>
        <v/>
      </c>
      <c r="F24" s="5">
        <f>IF(E24="",0,C24*E24)</f>
        <v/>
      </c>
      <c r="G24" s="5">
        <f>IF(B24="I1",20*AVERAGEIF('QA_Images'!$A$2:$A$66,A24,'QA_Images'!$U$2:$U$66)/100,IF(D24="NOT_CHECKED",0,C24))</f>
        <v/>
      </c>
      <c r="H24" s="2" t="inlineStr">
        <is>
          <t>Product key, handle, product ID, URL, canonical, live H1 and visible motif were rechecked.</t>
        </is>
      </c>
      <c r="I24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24" s="2" t="inlineStr">
        <is>
          <t>["R4-ISS-003-BODY", "R4-ISS-003-CANN", "R4-ISS-003-SERP"]</t>
        </is>
      </c>
      <c r="K24" s="2" t="inlineStr">
        <is>
          <t>r4</t>
        </is>
      </c>
    </row>
    <row r="25" ht="42" customHeight="1">
      <c r="A25" s="3" t="inlineStr">
        <is>
          <t>jeminise.com+cardinals-perched-beside-decorated-christmas-tree-patchwork-winter-quilt-7cd7bc46a0-7cd7bc46a0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IF(B25="I1",AVERAGEIF('QA_Images'!$A$2:$A$66,A25,'QA_Images'!$T$2:$T$66)/100,IF(D25="FULL",1,IF(D25="PARTIAL",0.5,IF(D25="FAIL",0,""))))</f>
        <v/>
      </c>
      <c r="F25" s="7">
        <f>IF(E25="",0,C25*E25)</f>
        <v/>
      </c>
      <c r="G25" s="7">
        <f>IF(B25="I1",20*AVERAGEIF('QA_Images'!$A$2:$A$66,A25,'QA_Images'!$U$2:$U$66)/100,IF(D25="NOT_CHECKED",0,C25))</f>
        <v/>
      </c>
      <c r="H25" s="3" t="inlineStr">
        <is>
          <t>Live product JSON, variants, gallery and Customizer schema were re-read; products 2 and 10 have verified text fields.</t>
        </is>
      </c>
      <c r="I25" s="3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25" s="3" t="inlineStr">
        <is>
          <t>["R4-ISS-003-BODY", "R4-ISS-003-CANN", "R4-ISS-003-SERP"]</t>
        </is>
      </c>
      <c r="K25" s="3" t="inlineStr">
        <is>
          <t>r4</t>
        </is>
      </c>
    </row>
    <row r="26" ht="42" customHeight="1">
      <c r="A26" s="2" t="inlineStr">
        <is>
          <t>jeminise.com+cardinals-perched-beside-decorated-christmas-tree-patchwork-winter-quilt-7cd7bc46a0-7cd7bc46a0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IF(B26="I1",AVERAGEIF('QA_Images'!$A$2:$A$66,A26,'QA_Images'!$T$2:$T$66)/100,IF(D26="FULL",1,IF(D26="PARTIAL",0.5,IF(D26="FAIL",0,""))))</f>
        <v/>
      </c>
      <c r="F26" s="5">
        <f>IF(E26="",0,C26*E26)</f>
        <v/>
      </c>
      <c r="G26" s="5">
        <f>IF(B26="I1",20*AVERAGEIF('QA_Images'!$A$2:$A$66,A26,'QA_Images'!$U$2:$U$66)/100,IF(D26="NOT_CHECKED",0,C26))</f>
        <v/>
      </c>
      <c r="H26" s="2" t="inlineStr">
        <is>
          <t>Primary query was checked against submitted evidence and fresh SERP research; product 5 retains a mismatched chicken-quilt source.</t>
        </is>
      </c>
      <c r="I26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26" s="2" t="inlineStr">
        <is>
          <t>["R4-ISS-003-BODY", "R4-ISS-003-CANN", "R4-ISS-003-SERP"]</t>
        </is>
      </c>
      <c r="K26" s="2" t="inlineStr">
        <is>
          <t>r4</t>
        </is>
      </c>
    </row>
    <row r="27" ht="42" customHeight="1">
      <c r="A27" s="3" t="inlineStr">
        <is>
          <t>jeminise.com+cardinals-perched-beside-decorated-christmas-tree-patchwork-winter-quilt-7cd7bc46a0-7cd7bc46a0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IF(B27="I1",AVERAGEIF('QA_Images'!$A$2:$A$66,A27,'QA_Images'!$T$2:$T$66)/100,IF(D27="FULL",1,IF(D27="PARTIAL",0.5,IF(D27="FAIL",0,""))))</f>
        <v/>
      </c>
      <c r="F27" s="7">
        <f>IF(E27="",0,C27*E27)</f>
        <v/>
      </c>
      <c r="G27" s="7">
        <f>IF(B27="I1",20*AVERAGEIF('QA_Images'!$A$2:$A$66,A27,'QA_Images'!$U$2:$U$66)/100,IF(D27="NOT_CHECKED",0,C27))</f>
        <v/>
      </c>
      <c r="H27" s="3" t="inlineStr">
        <is>
          <t>Primary and nearest alternative queries were searched for US commercial/product intent.</t>
        </is>
      </c>
      <c r="I27" s="3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27" s="3" t="inlineStr">
        <is>
          <t>["R4-ISS-003-BODY", "R4-ISS-003-CANN", "R4-ISS-003-SERP"]</t>
        </is>
      </c>
      <c r="K27" s="3" t="inlineStr">
        <is>
          <t>r4</t>
        </is>
      </c>
    </row>
    <row r="28" ht="42" customHeight="1">
      <c r="A28" s="2" t="inlineStr">
        <is>
          <t>jeminise.com+cardinals-perched-beside-decorated-christmas-tree-patchwork-winter-quilt-7cd7bc46a0-7cd7bc46a0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IF(B28="I1",AVERAGEIF('QA_Images'!$A$2:$A$66,A28,'QA_Images'!$T$2:$T$66)/100,IF(D28="FULL",1,IF(D28="PARTIAL",0.5,IF(D28="FAIL",0,""))))</f>
        <v/>
      </c>
      <c r="F28" s="5">
        <f>IF(E28="",0,C28*E28)</f>
        <v/>
      </c>
      <c r="G28" s="5">
        <f>IF(B28="I1",20*AVERAGEIF('QA_Images'!$A$2:$A$66,A28,'QA_Images'!$U$2:$U$66)/100,IF(D28="NOT_CHECKED",0,C28))</f>
        <v/>
      </c>
      <c r="H28" s="2" t="inlineStr">
        <is>
          <t>Distinct artwork helps differentiation, but cardinal, cat and Celtic sibling pages still need an explicit intent map.</t>
        </is>
      </c>
      <c r="I28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28" s="2" t="inlineStr">
        <is>
          <t>["R4-ISS-003-BODY", "R4-ISS-003-CANN", "R4-ISS-003-SERP"]</t>
        </is>
      </c>
      <c r="K28" s="2" t="inlineStr">
        <is>
          <t>r4</t>
        </is>
      </c>
    </row>
    <row r="29" ht="42" customHeight="1">
      <c r="A29" s="3" t="inlineStr">
        <is>
          <t>jeminise.com+cardinals-perched-beside-decorated-christmas-tree-patchwork-winter-quilt-7cd7bc46a0-7cd7bc46a0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IF(B29="I1",AVERAGEIF('QA_Images'!$A$2:$A$66,A29,'QA_Images'!$T$2:$T$66)/100,IF(D29="FULL",1,IF(D29="PARTIAL",0.5,IF(D29="FAIL",0,""))))</f>
        <v/>
      </c>
      <c r="F29" s="7">
        <f>IF(E29="",0,C29*E29)</f>
        <v/>
      </c>
      <c r="G29" s="7">
        <f>IF(B29="I1",20*AVERAGEIF('QA_Images'!$A$2:$A$66,A29,'QA_Images'!$U$2:$U$66)/100,IF(D29="NOT_CHECKED",0,C29))</f>
        <v/>
      </c>
      <c r="H29" s="3" t="inlineStr">
        <is>
          <t>Title was checked for product type, motif, keyword fit and verified personalization opportunity.</t>
        </is>
      </c>
      <c r="I29" s="3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29" s="3" t="inlineStr">
        <is>
          <t>["R4-ISS-003-BODY", "R4-ISS-003-CANN", "R4-ISS-003-SERP"]</t>
        </is>
      </c>
      <c r="K29" s="3" t="inlineStr">
        <is>
          <t>r4</t>
        </is>
      </c>
    </row>
    <row r="30" ht="42" customHeight="1">
      <c r="A30" s="2" t="inlineStr">
        <is>
          <t>jeminise.com+cardinals-perched-beside-decorated-christmas-tree-patchwork-winter-quilt-7cd7bc46a0-7cd7bc46a0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IF(B30="I1",AVERAGEIF('QA_Images'!$A$2:$A$66,A30,'QA_Images'!$T$2:$T$66)/100,IF(D30="FULL",1,IF(D30="PARTIAL",0.5,IF(D30="FAIL",0,""))))</f>
        <v/>
      </c>
      <c r="F30" s="5">
        <f>IF(E30="",0,C30*E30)</f>
        <v/>
      </c>
      <c r="G30" s="5">
        <f>IF(B30="I1",20*AVERAGEIF('QA_Images'!$A$2:$A$66,A30,'QA_Images'!$U$2:$U$66)/100,IF(D30="NOT_CHECKED",0,C30))</f>
        <v/>
      </c>
      <c r="H30" s="2" t="inlineStr">
        <is>
          <t>H1 was assessed independently from the SEO title and live source encoding.</t>
        </is>
      </c>
      <c r="I30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30" s="2" t="inlineStr">
        <is>
          <t>["R4-ISS-003-BODY", "R4-ISS-003-CANN", "R4-ISS-003-SERP"]</t>
        </is>
      </c>
      <c r="K30" s="2" t="inlineStr">
        <is>
          <t>r4</t>
        </is>
      </c>
    </row>
    <row r="31" ht="42" customHeight="1">
      <c r="A31" s="3" t="inlineStr">
        <is>
          <t>jeminise.com+cardinals-perched-beside-decorated-christmas-tree-patchwork-winter-quilt-7cd7bc46a0-7cd7bc46a0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IF(B31="I1",AVERAGEIF('QA_Images'!$A$2:$A$66,A31,'QA_Images'!$T$2:$T$66)/100,IF(D31="FULL",1,IF(D31="PARTIAL",0.5,IF(D31="FAIL",0,""))))</f>
        <v/>
      </c>
      <c r="F31" s="7">
        <f>IF(E31="",0,C31*E31)</f>
        <v/>
      </c>
      <c r="G31" s="7">
        <f>IF(B31="I1",20*AVERAGEIF('QA_Images'!$A$2:$A$66,A31,'QA_Images'!$U$2:$U$66)/100,IF(D31="NOT_CHECKED",0,C31))</f>
        <v/>
      </c>
      <c r="H31" s="3" t="inlineStr">
        <is>
          <t>Meta description is concise and claim-safe; product 10 is ambiguous about editable name text.</t>
        </is>
      </c>
      <c r="I31" s="3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31" s="3" t="inlineStr">
        <is>
          <t>["R4-ISS-003-BODY", "R4-ISS-003-CANN", "R4-ISS-003-SERP"]</t>
        </is>
      </c>
      <c r="K31" s="3" t="inlineStr">
        <is>
          <t>r4</t>
        </is>
      </c>
    </row>
    <row r="32" ht="42" customHeight="1">
      <c r="A32" s="2" t="inlineStr">
        <is>
          <t>jeminise.com+cardinals-perched-beside-decorated-christmas-tree-patchwork-winter-quilt-7cd7bc46a0-7cd7bc46a0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IF(B32="I1",AVERAGEIF('QA_Images'!$A$2:$A$66,A32,'QA_Images'!$T$2:$T$66)/100,IF(D32="FULL",1,IF(D32="PARTIAL",0.5,IF(D32="FAIL",0,""))))</f>
        <v/>
      </c>
      <c r="F32" s="5">
        <f>IF(E32="",0,C32*E32)</f>
        <v/>
      </c>
      <c r="G32" s="5">
        <f>IF(B32="I1",20*AVERAGEIF('QA_Images'!$A$2:$A$66,A32,'QA_Images'!$U$2:$U$66)/100,IF(D32="NOT_CHECKED",0,C32))</f>
        <v/>
      </c>
      <c r="H32" s="2" t="inlineStr">
        <is>
          <t>Internal QA text and raw conflicting facts were removed, but the replacement body is repetitive and omits useful verified image/spec details.</t>
        </is>
      </c>
      <c r="I32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32" s="2" t="inlineStr">
        <is>
          <t>["R4-ISS-003-BODY", "R4-ISS-003-CANN", "R4-ISS-003-SERP"]</t>
        </is>
      </c>
      <c r="K32" s="2" t="inlineStr">
        <is>
          <t>r4</t>
        </is>
      </c>
    </row>
    <row r="33" ht="42" customHeight="1">
      <c r="A33" s="3" t="inlineStr">
        <is>
          <t>jeminise.com+cardinals-perched-beside-decorated-christmas-tree-patchwork-winter-quilt-7cd7bc46a0-7cd7bc46a0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IF(B33="I1",AVERAGEIF('QA_Images'!$A$2:$A$66,A33,'QA_Images'!$T$2:$T$66)/100,IF(D33="FULL",1,IF(D33="PARTIAL",0.5,IF(D33="FAIL",0,""))))</f>
        <v/>
      </c>
      <c r="F33" s="7">
        <f>IF(E33="",0,C33*E33)</f>
        <v/>
      </c>
      <c r="G33" s="7">
        <f>IF(B33="I1",20*AVERAGEIF('QA_Images'!$A$2:$A$66,A33,'QA_Images'!$U$2:$U$66)/100,IF(D33="NOT_CHECKED",0,C33))</f>
        <v/>
      </c>
      <c r="H33" s="3" t="inlineStr">
        <is>
          <t>Derived from directly checked r4 media records: 100.0/100.</t>
        </is>
      </c>
      <c r="I33" s="3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33" s="3" t="inlineStr">
        <is>
          <t>["R4-ISS-003-BODY", "R4-ISS-003-CANN", "R4-ISS-003-SERP"]</t>
        </is>
      </c>
      <c r="K33" s="3" t="inlineStr">
        <is>
          <t>r4</t>
        </is>
      </c>
    </row>
    <row r="34" ht="42" customHeight="1">
      <c r="A34" s="2" t="inlineStr">
        <is>
          <t>jeminise.com+cardinals-perched-beside-decorated-christmas-tree-patchwork-winter-quilt-7cd7bc46a0-7cd7bc46a0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IF(B34="I1",AVERAGEIF('QA_Images'!$A$2:$A$66,A34,'QA_Images'!$T$2:$T$66)/100,IF(D34="FULL",1,IF(D34="PARTIAL",0.5,IF(D34="FAIL",0,""))))</f>
        <v/>
      </c>
      <c r="F34" s="5">
        <f>IF(E34="",0,C34*E34)</f>
        <v/>
      </c>
      <c r="G34" s="5">
        <f>IF(B34="I1",20*AVERAGEIF('QA_Images'!$A$2:$A$66,A34,'QA_Images'!$U$2:$U$66)/100,IF(D34="NOT_CHECKED",0,C34))</f>
        <v/>
      </c>
      <c r="H34" s="2" t="inlineStr">
        <is>
          <t>Revision lineage, source rows, live source and evidence references were cross-checked; admin export remains unavailable.</t>
        </is>
      </c>
      <c r="I34" s="2" t="inlineStr">
        <is>
          <t>["evidence_batch_001_003", "https://jeminise.com/products/cardinals-perched-beside-decorated-christmas-tree-patchwork-winter-quilt-7cd7bc46a0-7cd7bc46a0", "serp_reqa_003", "revision_diff.json", "customizer_audit.json"]</t>
        </is>
      </c>
      <c r="J34" s="2" t="inlineStr">
        <is>
          <t>["R4-ISS-003-BODY", "R4-ISS-003-CANN", "R4-ISS-003-SERP"]</t>
        </is>
      </c>
      <c r="K34" s="2" t="inlineStr">
        <is>
          <t>r4</t>
        </is>
      </c>
    </row>
    <row r="35" ht="42" customHeight="1">
      <c r="A35" s="3" t="inlineStr">
        <is>
          <t>jeminise.com+cardinals-perched-on-branch-with-roses-patchwork-winter-quilt-21ac904cd7-21ac904cd7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IF(B35="I1",AVERAGEIF('QA_Images'!$A$2:$A$66,A35,'QA_Images'!$T$2:$T$66)/100,IF(D35="FULL",1,IF(D35="PARTIAL",0.5,IF(D35="FAIL",0,""))))</f>
        <v/>
      </c>
      <c r="F35" s="7">
        <f>IF(E35="",0,C35*E35)</f>
        <v/>
      </c>
      <c r="G35" s="7">
        <f>IF(B35="I1",20*AVERAGEIF('QA_Images'!$A$2:$A$66,A35,'QA_Images'!$U$2:$U$66)/100,IF(D35="NOT_CHECKED",0,C35))</f>
        <v/>
      </c>
      <c r="H35" s="3" t="inlineStr">
        <is>
          <t>Product key, handle, product ID, URL, canonical, live H1 and visible motif were rechecked.</t>
        </is>
      </c>
      <c r="I35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35" s="3" t="inlineStr">
        <is>
          <t>["R4-ISS-004-BODY", "R4-ISS-004-CANN", "R4-ISS-004-SERP"]</t>
        </is>
      </c>
      <c r="K35" s="3" t="inlineStr">
        <is>
          <t>r4</t>
        </is>
      </c>
    </row>
    <row r="36" ht="42" customHeight="1">
      <c r="A36" s="2" t="inlineStr">
        <is>
          <t>jeminise.com+cardinals-perched-on-branch-with-roses-patchwork-winter-quilt-21ac904cd7-21ac904cd7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IF(B36="I1",AVERAGEIF('QA_Images'!$A$2:$A$66,A36,'QA_Images'!$T$2:$T$66)/100,IF(D36="FULL",1,IF(D36="PARTIAL",0.5,IF(D36="FAIL",0,""))))</f>
        <v/>
      </c>
      <c r="F36" s="5">
        <f>IF(E36="",0,C36*E36)</f>
        <v/>
      </c>
      <c r="G36" s="5">
        <f>IF(B36="I1",20*AVERAGEIF('QA_Images'!$A$2:$A$66,A36,'QA_Images'!$U$2:$U$66)/100,IF(D36="NOT_CHECKED",0,C36))</f>
        <v/>
      </c>
      <c r="H36" s="2" t="inlineStr">
        <is>
          <t>Live product JSON, variants, gallery and Customizer schema were re-read; products 2 and 10 have verified text fields.</t>
        </is>
      </c>
      <c r="I36" s="2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36" s="2" t="inlineStr">
        <is>
          <t>["R4-ISS-004-BODY", "R4-ISS-004-CANN", "R4-ISS-004-SERP"]</t>
        </is>
      </c>
      <c r="K36" s="2" t="inlineStr">
        <is>
          <t>r4</t>
        </is>
      </c>
    </row>
    <row r="37" ht="42" customHeight="1">
      <c r="A37" s="3" t="inlineStr">
        <is>
          <t>jeminise.com+cardinals-perched-on-branch-with-roses-patchwork-winter-quilt-21ac904cd7-21ac904cd7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IF(B37="I1",AVERAGEIF('QA_Images'!$A$2:$A$66,A37,'QA_Images'!$T$2:$T$66)/100,IF(D37="FULL",1,IF(D37="PARTIAL",0.5,IF(D37="FAIL",0,""))))</f>
        <v/>
      </c>
      <c r="F37" s="7">
        <f>IF(E37="",0,C37*E37)</f>
        <v/>
      </c>
      <c r="G37" s="7">
        <f>IF(B37="I1",20*AVERAGEIF('QA_Images'!$A$2:$A$66,A37,'QA_Images'!$U$2:$U$66)/100,IF(D37="NOT_CHECKED",0,C37))</f>
        <v/>
      </c>
      <c r="H37" s="3" t="inlineStr">
        <is>
          <t>Primary query was checked against submitted evidence and fresh SERP research; product 5 retains a mismatched chicken-quilt source.</t>
        </is>
      </c>
      <c r="I37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37" s="3" t="inlineStr">
        <is>
          <t>["R4-ISS-004-BODY", "R4-ISS-004-CANN", "R4-ISS-004-SERP"]</t>
        </is>
      </c>
      <c r="K37" s="3" t="inlineStr">
        <is>
          <t>r4</t>
        </is>
      </c>
    </row>
    <row r="38" ht="42" customHeight="1">
      <c r="A38" s="2" t="inlineStr">
        <is>
          <t>jeminise.com+cardinals-perched-on-branch-with-roses-patchwork-winter-quilt-21ac904cd7-21ac904cd7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IF(B38="I1",AVERAGEIF('QA_Images'!$A$2:$A$66,A38,'QA_Images'!$T$2:$T$66)/100,IF(D38="FULL",1,IF(D38="PARTIAL",0.5,IF(D38="FAIL",0,""))))</f>
        <v/>
      </c>
      <c r="F38" s="5">
        <f>IF(E38="",0,C38*E38)</f>
        <v/>
      </c>
      <c r="G38" s="5">
        <f>IF(B38="I1",20*AVERAGEIF('QA_Images'!$A$2:$A$66,A38,'QA_Images'!$U$2:$U$66)/100,IF(D38="NOT_CHECKED",0,C38))</f>
        <v/>
      </c>
      <c r="H38" s="2" t="inlineStr">
        <is>
          <t>Primary and nearest alternative queries were searched for US commercial/product intent.</t>
        </is>
      </c>
      <c r="I38" s="2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38" s="2" t="inlineStr">
        <is>
          <t>["R4-ISS-004-BODY", "R4-ISS-004-CANN", "R4-ISS-004-SERP"]</t>
        </is>
      </c>
      <c r="K38" s="2" t="inlineStr">
        <is>
          <t>r4</t>
        </is>
      </c>
    </row>
    <row r="39" ht="42" customHeight="1">
      <c r="A39" s="3" t="inlineStr">
        <is>
          <t>jeminise.com+cardinals-perched-on-branch-with-roses-patchwork-winter-quilt-21ac904cd7-21ac904cd7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IF(B39="I1",AVERAGEIF('QA_Images'!$A$2:$A$66,A39,'QA_Images'!$T$2:$T$66)/100,IF(D39="FULL",1,IF(D39="PARTIAL",0.5,IF(D39="FAIL",0,""))))</f>
        <v/>
      </c>
      <c r="F39" s="7">
        <f>IF(E39="",0,C39*E39)</f>
        <v/>
      </c>
      <c r="G39" s="7">
        <f>IF(B39="I1",20*AVERAGEIF('QA_Images'!$A$2:$A$66,A39,'QA_Images'!$U$2:$U$66)/100,IF(D39="NOT_CHECKED",0,C39))</f>
        <v/>
      </c>
      <c r="H39" s="3" t="inlineStr">
        <is>
          <t>Distinct artwork helps differentiation, but cardinal, cat and Celtic sibling pages still need an explicit intent map.</t>
        </is>
      </c>
      <c r="I39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39" s="3" t="inlineStr">
        <is>
          <t>["R4-ISS-004-BODY", "R4-ISS-004-CANN", "R4-ISS-004-SERP"]</t>
        </is>
      </c>
      <c r="K39" s="3" t="inlineStr">
        <is>
          <t>r4</t>
        </is>
      </c>
    </row>
    <row r="40" ht="42" customHeight="1">
      <c r="A40" s="2" t="inlineStr">
        <is>
          <t>jeminise.com+cardinals-perched-on-branch-with-roses-patchwork-winter-quilt-21ac904cd7-21ac904cd7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IF(B40="I1",AVERAGEIF('QA_Images'!$A$2:$A$66,A40,'QA_Images'!$T$2:$T$66)/100,IF(D40="FULL",1,IF(D40="PARTIAL",0.5,IF(D40="FAIL",0,""))))</f>
        <v/>
      </c>
      <c r="F40" s="5">
        <f>IF(E40="",0,C40*E40)</f>
        <v/>
      </c>
      <c r="G40" s="5">
        <f>IF(B40="I1",20*AVERAGEIF('QA_Images'!$A$2:$A$66,A40,'QA_Images'!$U$2:$U$66)/100,IF(D40="NOT_CHECKED",0,C40))</f>
        <v/>
      </c>
      <c r="H40" s="2" t="inlineStr">
        <is>
          <t>Title was checked for product type, motif, keyword fit and verified personalization opportunity.</t>
        </is>
      </c>
      <c r="I40" s="2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40" s="2" t="inlineStr">
        <is>
          <t>["R4-ISS-004-BODY", "R4-ISS-004-CANN", "R4-ISS-004-SERP"]</t>
        </is>
      </c>
      <c r="K40" s="2" t="inlineStr">
        <is>
          <t>r4</t>
        </is>
      </c>
    </row>
    <row r="41" ht="42" customHeight="1">
      <c r="A41" s="3" t="inlineStr">
        <is>
          <t>jeminise.com+cardinals-perched-on-branch-with-roses-patchwork-winter-quilt-21ac904cd7-21ac904cd7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IF(B41="I1",AVERAGEIF('QA_Images'!$A$2:$A$66,A41,'QA_Images'!$T$2:$T$66)/100,IF(D41="FULL",1,IF(D41="PARTIAL",0.5,IF(D41="FAIL",0,""))))</f>
        <v/>
      </c>
      <c r="F41" s="7">
        <f>IF(E41="",0,C41*E41)</f>
        <v/>
      </c>
      <c r="G41" s="7">
        <f>IF(B41="I1",20*AVERAGEIF('QA_Images'!$A$2:$A$66,A41,'QA_Images'!$U$2:$U$66)/100,IF(D41="NOT_CHECKED",0,C41))</f>
        <v/>
      </c>
      <c r="H41" s="3" t="inlineStr">
        <is>
          <t>H1 was assessed independently from the SEO title and live source encoding.</t>
        </is>
      </c>
      <c r="I41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41" s="3" t="inlineStr">
        <is>
          <t>["R4-ISS-004-BODY", "R4-ISS-004-CANN", "R4-ISS-004-SERP"]</t>
        </is>
      </c>
      <c r="K41" s="3" t="inlineStr">
        <is>
          <t>r4</t>
        </is>
      </c>
    </row>
    <row r="42" ht="42" customHeight="1">
      <c r="A42" s="2" t="inlineStr">
        <is>
          <t>jeminise.com+cardinals-perched-on-branch-with-roses-patchwork-winter-quilt-21ac904cd7-21ac904cd7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IF(B42="I1",AVERAGEIF('QA_Images'!$A$2:$A$66,A42,'QA_Images'!$T$2:$T$66)/100,IF(D42="FULL",1,IF(D42="PARTIAL",0.5,IF(D42="FAIL",0,""))))</f>
        <v/>
      </c>
      <c r="F42" s="5">
        <f>IF(E42="",0,C42*E42)</f>
        <v/>
      </c>
      <c r="G42" s="5">
        <f>IF(B42="I1",20*AVERAGEIF('QA_Images'!$A$2:$A$66,A42,'QA_Images'!$U$2:$U$66)/100,IF(D42="NOT_CHECKED",0,C42))</f>
        <v/>
      </c>
      <c r="H42" s="2" t="inlineStr">
        <is>
          <t>Meta description is concise and claim-safe; product 10 is ambiguous about editable name text.</t>
        </is>
      </c>
      <c r="I42" s="2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42" s="2" t="inlineStr">
        <is>
          <t>["R4-ISS-004-BODY", "R4-ISS-004-CANN", "R4-ISS-004-SERP"]</t>
        </is>
      </c>
      <c r="K42" s="2" t="inlineStr">
        <is>
          <t>r4</t>
        </is>
      </c>
    </row>
    <row r="43" ht="42" customHeight="1">
      <c r="A43" s="3" t="inlineStr">
        <is>
          <t>jeminise.com+cardinals-perched-on-branch-with-roses-patchwork-winter-quilt-21ac904cd7-21ac904cd7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IF(B43="I1",AVERAGEIF('QA_Images'!$A$2:$A$66,A43,'QA_Images'!$T$2:$T$66)/100,IF(D43="FULL",1,IF(D43="PARTIAL",0.5,IF(D43="FAIL",0,""))))</f>
        <v/>
      </c>
      <c r="F43" s="7">
        <f>IF(E43="",0,C43*E43)</f>
        <v/>
      </c>
      <c r="G43" s="7">
        <f>IF(B43="I1",20*AVERAGEIF('QA_Images'!$A$2:$A$66,A43,'QA_Images'!$U$2:$U$66)/100,IF(D43="NOT_CHECKED",0,C43))</f>
        <v/>
      </c>
      <c r="H43" s="3" t="inlineStr">
        <is>
          <t>Internal QA text and raw conflicting facts were removed, but the replacement body is repetitive and omits useful verified image/spec details.</t>
        </is>
      </c>
      <c r="I43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43" s="3" t="inlineStr">
        <is>
          <t>["R4-ISS-004-BODY", "R4-ISS-004-CANN", "R4-ISS-004-SERP"]</t>
        </is>
      </c>
      <c r="K43" s="3" t="inlineStr">
        <is>
          <t>r4</t>
        </is>
      </c>
    </row>
    <row r="44" ht="42" customHeight="1">
      <c r="A44" s="2" t="inlineStr">
        <is>
          <t>jeminise.com+cardinals-perched-on-branch-with-roses-patchwork-winter-quilt-21ac904cd7-21ac904cd7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IF(B44="I1",AVERAGEIF('QA_Images'!$A$2:$A$66,A44,'QA_Images'!$T$2:$T$66)/100,IF(D44="FULL",1,IF(D44="PARTIAL",0.5,IF(D44="FAIL",0,""))))</f>
        <v/>
      </c>
      <c r="F44" s="5">
        <f>IF(E44="",0,C44*E44)</f>
        <v/>
      </c>
      <c r="G44" s="5">
        <f>IF(B44="I1",20*AVERAGEIF('QA_Images'!$A$2:$A$66,A44,'QA_Images'!$U$2:$U$66)/100,IF(D44="NOT_CHECKED",0,C44))</f>
        <v/>
      </c>
      <c r="H44" s="2" t="inlineStr">
        <is>
          <t>Derived from directly checked r4 media records: 100.0/100.</t>
        </is>
      </c>
      <c r="I44" s="2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44" s="2" t="inlineStr">
        <is>
          <t>["R4-ISS-004-BODY", "R4-ISS-004-CANN", "R4-ISS-004-SERP"]</t>
        </is>
      </c>
      <c r="K44" s="2" t="inlineStr">
        <is>
          <t>r4</t>
        </is>
      </c>
    </row>
    <row r="45" ht="42" customHeight="1">
      <c r="A45" s="3" t="inlineStr">
        <is>
          <t>jeminise.com+cardinals-perched-on-branch-with-roses-patchwork-winter-quilt-21ac904cd7-21ac904cd7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IF(B45="I1",AVERAGEIF('QA_Images'!$A$2:$A$66,A45,'QA_Images'!$T$2:$T$66)/100,IF(D45="FULL",1,IF(D45="PARTIAL",0.5,IF(D45="FAIL",0,""))))</f>
        <v/>
      </c>
      <c r="F45" s="7">
        <f>IF(E45="",0,C45*E45)</f>
        <v/>
      </c>
      <c r="G45" s="7">
        <f>IF(B45="I1",20*AVERAGEIF('QA_Images'!$A$2:$A$66,A45,'QA_Images'!$U$2:$U$66)/100,IF(D45="NOT_CHECKED",0,C45))</f>
        <v/>
      </c>
      <c r="H45" s="3" t="inlineStr">
        <is>
          <t>Revision lineage, source rows, live source and evidence references were cross-checked; admin export remains unavailable.</t>
        </is>
      </c>
      <c r="I45" s="3" t="inlineStr">
        <is>
          <t>["evidence_batch_001_004", "https://jeminise.com/products/cardinals-perched-on-branch-with-roses-patchwork-winter-quilt-21ac904cd7-21ac904cd7", "serp_reqa_004", "revision_diff.json", "customizer_audit.json"]</t>
        </is>
      </c>
      <c r="J45" s="3" t="inlineStr">
        <is>
          <t>["R4-ISS-004-BODY", "R4-ISS-004-CANN", "R4-ISS-004-SERP"]</t>
        </is>
      </c>
      <c r="K45" s="3" t="inlineStr">
        <is>
          <t>r4</t>
        </is>
      </c>
    </row>
    <row r="46" ht="42" customHeight="1">
      <c r="A46" s="2" t="inlineStr">
        <is>
          <t>jeminise.com+cat-patchwork-quilt-set-animal-pattern-bedding-cat-pattern-quilt-set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IF(B46="I1",AVERAGEIF('QA_Images'!$A$2:$A$66,A46,'QA_Images'!$T$2:$T$66)/100,IF(D46="FULL",1,IF(D46="PARTIAL",0.5,IF(D46="FAIL",0,""))))</f>
        <v/>
      </c>
      <c r="F46" s="5">
        <f>IF(E46="",0,C46*E46)</f>
        <v/>
      </c>
      <c r="G46" s="5">
        <f>IF(B46="I1",20*AVERAGEIF('QA_Images'!$A$2:$A$66,A46,'QA_Images'!$U$2:$U$66)/100,IF(D46="NOT_CHECKED",0,C46))</f>
        <v/>
      </c>
      <c r="H46" s="2" t="inlineStr">
        <is>
          <t>Product key, handle, product ID, URL, canonical, live H1 and visible motif were rechecked.</t>
        </is>
      </c>
      <c r="I46" s="2" t="inlineStr">
        <is>
          <t>["evidence_batch_001_005", "https://jeminise.com/products/cat-patchwork-quilt-set-animal-pattern-bedding-cat-pattern-quilt-set", "serp_reqa_005", "revision_diff.json", "customizer_audit.json"]</t>
        </is>
      </c>
      <c r="J46" s="2" t="inlineStr">
        <is>
          <t>["R4-ISS-005-BODY", "R4-ISS-005-CANN"]</t>
        </is>
      </c>
      <c r="K46" s="2" t="inlineStr">
        <is>
          <t>r4</t>
        </is>
      </c>
    </row>
    <row r="47" ht="42" customHeight="1">
      <c r="A47" s="3" t="inlineStr">
        <is>
          <t>jeminise.com+cat-patchwork-quilt-set-animal-pattern-bedding-cat-pattern-quilt-set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IF(B47="I1",AVERAGEIF('QA_Images'!$A$2:$A$66,A47,'QA_Images'!$T$2:$T$66)/100,IF(D47="FULL",1,IF(D47="PARTIAL",0.5,IF(D47="FAIL",0,""))))</f>
        <v/>
      </c>
      <c r="F47" s="7">
        <f>IF(E47="",0,C47*E47)</f>
        <v/>
      </c>
      <c r="G47" s="7">
        <f>IF(B47="I1",20*AVERAGEIF('QA_Images'!$A$2:$A$66,A47,'QA_Images'!$U$2:$U$66)/100,IF(D47="NOT_CHECKED",0,C47))</f>
        <v/>
      </c>
      <c r="H47" s="3" t="inlineStr">
        <is>
          <t>Live product JSON, variants, gallery and Customizer schema were re-read; products 2 and 10 have verified text fields.</t>
        </is>
      </c>
      <c r="I47" s="3" t="inlineStr">
        <is>
          <t>["evidence_batch_001_005", "https://jeminise.com/products/cat-patchwork-quilt-set-animal-pattern-bedding-cat-pattern-quilt-set", "serp_reqa_005", "revision_diff.json", "customizer_audit.json"]</t>
        </is>
      </c>
      <c r="J47" s="3" t="inlineStr">
        <is>
          <t>["R4-ISS-005-BODY", "R4-ISS-005-CANN"]</t>
        </is>
      </c>
      <c r="K47" s="3" t="inlineStr">
        <is>
          <t>r4</t>
        </is>
      </c>
    </row>
    <row r="48" ht="42" customHeight="1">
      <c r="A48" s="2" t="inlineStr">
        <is>
          <t>jeminise.com+cat-patchwork-quilt-set-animal-pattern-bedding-cat-pattern-quilt-set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IF(B48="I1",AVERAGEIF('QA_Images'!$A$2:$A$66,A48,'QA_Images'!$T$2:$T$66)/100,IF(D48="FULL",1,IF(D48="PARTIAL",0.5,IF(D48="FAIL",0,""))))</f>
        <v/>
      </c>
      <c r="F48" s="5">
        <f>IF(E48="",0,C48*E48)</f>
        <v/>
      </c>
      <c r="G48" s="5">
        <f>IF(B48="I1",20*AVERAGEIF('QA_Images'!$A$2:$A$66,A48,'QA_Images'!$U$2:$U$66)/100,IF(D48="NOT_CHECKED",0,C48))</f>
        <v/>
      </c>
      <c r="H48" s="2" t="inlineStr">
        <is>
          <t>Primary query was checked against submitted evidence and fresh SERP research; product 5 retains a mismatched chicken-quilt source.</t>
        </is>
      </c>
      <c r="I48" s="2" t="inlineStr">
        <is>
          <t>["evidence_batch_001_005", "https://jeminise.com/products/cat-patchwork-quilt-set-animal-pattern-bedding-cat-pattern-quilt-set", "serp_reqa_005", "revision_diff.json", "customizer_audit.json"]</t>
        </is>
      </c>
      <c r="J48" s="2" t="inlineStr">
        <is>
          <t>["R4-ISS-005-BODY", "R4-ISS-005-CANN"]</t>
        </is>
      </c>
      <c r="K48" s="2" t="inlineStr">
        <is>
          <t>r4</t>
        </is>
      </c>
    </row>
    <row r="49" ht="42" customHeight="1">
      <c r="A49" s="3" t="inlineStr">
        <is>
          <t>jeminise.com+cat-patchwork-quilt-set-animal-pattern-bedding-cat-pattern-quilt-set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IF(B49="I1",AVERAGEIF('QA_Images'!$A$2:$A$66,A49,'QA_Images'!$T$2:$T$66)/100,IF(D49="FULL",1,IF(D49="PARTIAL",0.5,IF(D49="FAIL",0,""))))</f>
        <v/>
      </c>
      <c r="F49" s="7">
        <f>IF(E49="",0,C49*E49)</f>
        <v/>
      </c>
      <c r="G49" s="7">
        <f>IF(B49="I1",20*AVERAGEIF('QA_Images'!$A$2:$A$66,A49,'QA_Images'!$U$2:$U$66)/100,IF(D49="NOT_CHECKED",0,C49))</f>
        <v/>
      </c>
      <c r="H49" s="3" t="inlineStr">
        <is>
          <t>Primary and nearest alternative queries were searched for US commercial/product intent.</t>
        </is>
      </c>
      <c r="I49" s="3" t="inlineStr">
        <is>
          <t>["evidence_batch_001_005", "https://jeminise.com/products/cat-patchwork-quilt-set-animal-pattern-bedding-cat-pattern-quilt-set", "serp_reqa_005", "revision_diff.json", "customizer_audit.json"]</t>
        </is>
      </c>
      <c r="J49" s="3" t="inlineStr">
        <is>
          <t>["R4-ISS-005-BODY", "R4-ISS-005-CANN"]</t>
        </is>
      </c>
      <c r="K49" s="3" t="inlineStr">
        <is>
          <t>r4</t>
        </is>
      </c>
    </row>
    <row r="50" ht="42" customHeight="1">
      <c r="A50" s="2" t="inlineStr">
        <is>
          <t>jeminise.com+cat-patchwork-quilt-set-animal-pattern-bedding-cat-pattern-quilt-set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IF(B50="I1",AVERAGEIF('QA_Images'!$A$2:$A$66,A50,'QA_Images'!$T$2:$T$66)/100,IF(D50="FULL",1,IF(D50="PARTIAL",0.5,IF(D50="FAIL",0,""))))</f>
        <v/>
      </c>
      <c r="F50" s="5">
        <f>IF(E50="",0,C50*E50)</f>
        <v/>
      </c>
      <c r="G50" s="5">
        <f>IF(B50="I1",20*AVERAGEIF('QA_Images'!$A$2:$A$66,A50,'QA_Images'!$U$2:$U$66)/100,IF(D50="NOT_CHECKED",0,C50))</f>
        <v/>
      </c>
      <c r="H50" s="2" t="inlineStr">
        <is>
          <t>Distinct artwork helps differentiation, but cardinal, cat and Celtic sibling pages still need an explicit intent map.</t>
        </is>
      </c>
      <c r="I50" s="2" t="inlineStr">
        <is>
          <t>["evidence_batch_001_005", "https://jeminise.com/products/cat-patchwork-quilt-set-animal-pattern-bedding-cat-pattern-quilt-set", "serp_reqa_005", "revision_diff.json", "customizer_audit.json"]</t>
        </is>
      </c>
      <c r="J50" s="2" t="inlineStr">
        <is>
          <t>["R4-ISS-005-BODY", "R4-ISS-005-CANN"]</t>
        </is>
      </c>
      <c r="K50" s="2" t="inlineStr">
        <is>
          <t>r4</t>
        </is>
      </c>
    </row>
    <row r="51" ht="42" customHeight="1">
      <c r="A51" s="3" t="inlineStr">
        <is>
          <t>jeminise.com+cat-patchwork-quilt-set-animal-pattern-bedding-cat-pattern-quilt-set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IF(B51="I1",AVERAGEIF('QA_Images'!$A$2:$A$66,A51,'QA_Images'!$T$2:$T$66)/100,IF(D51="FULL",1,IF(D51="PARTIAL",0.5,IF(D51="FAIL",0,""))))</f>
        <v/>
      </c>
      <c r="F51" s="7">
        <f>IF(E51="",0,C51*E51)</f>
        <v/>
      </c>
      <c r="G51" s="7">
        <f>IF(B51="I1",20*AVERAGEIF('QA_Images'!$A$2:$A$66,A51,'QA_Images'!$U$2:$U$66)/100,IF(D51="NOT_CHECKED",0,C51))</f>
        <v/>
      </c>
      <c r="H51" s="3" t="inlineStr">
        <is>
          <t>Title was checked for product type, motif, keyword fit and verified personalization opportunity.</t>
        </is>
      </c>
      <c r="I51" s="3" t="inlineStr">
        <is>
          <t>["evidence_batch_001_005", "https://jeminise.com/products/cat-patchwork-quilt-set-animal-pattern-bedding-cat-pattern-quilt-set", "serp_reqa_005", "revision_diff.json", "customizer_audit.json"]</t>
        </is>
      </c>
      <c r="J51" s="3" t="inlineStr">
        <is>
          <t>["R4-ISS-005-BODY", "R4-ISS-005-CANN"]</t>
        </is>
      </c>
      <c r="K51" s="3" t="inlineStr">
        <is>
          <t>r4</t>
        </is>
      </c>
    </row>
    <row r="52" ht="42" customHeight="1">
      <c r="A52" s="2" t="inlineStr">
        <is>
          <t>jeminise.com+cat-patchwork-quilt-set-animal-pattern-bedding-cat-pattern-quilt-set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IF(B52="I1",AVERAGEIF('QA_Images'!$A$2:$A$66,A52,'QA_Images'!$T$2:$T$66)/100,IF(D52="FULL",1,IF(D52="PARTIAL",0.5,IF(D52="FAIL",0,""))))</f>
        <v/>
      </c>
      <c r="F52" s="5">
        <f>IF(E52="",0,C52*E52)</f>
        <v/>
      </c>
      <c r="G52" s="5">
        <f>IF(B52="I1",20*AVERAGEIF('QA_Images'!$A$2:$A$66,A52,'QA_Images'!$U$2:$U$66)/100,IF(D52="NOT_CHECKED",0,C52))</f>
        <v/>
      </c>
      <c r="H52" s="2" t="inlineStr">
        <is>
          <t>H1 was assessed independently from the SEO title and live source encoding.</t>
        </is>
      </c>
      <c r="I52" s="2" t="inlineStr">
        <is>
          <t>["evidence_batch_001_005", "https://jeminise.com/products/cat-patchwork-quilt-set-animal-pattern-bedding-cat-pattern-quilt-set", "serp_reqa_005", "revision_diff.json", "customizer_audit.json"]</t>
        </is>
      </c>
      <c r="J52" s="2" t="inlineStr">
        <is>
          <t>["R4-ISS-005-BODY", "R4-ISS-005-CANN"]</t>
        </is>
      </c>
      <c r="K52" s="2" t="inlineStr">
        <is>
          <t>r4</t>
        </is>
      </c>
    </row>
    <row r="53" ht="42" customHeight="1">
      <c r="A53" s="3" t="inlineStr">
        <is>
          <t>jeminise.com+cat-patchwork-quilt-set-animal-pattern-bedding-cat-pattern-quilt-set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IF(B53="I1",AVERAGEIF('QA_Images'!$A$2:$A$66,A53,'QA_Images'!$T$2:$T$66)/100,IF(D53="FULL",1,IF(D53="PARTIAL",0.5,IF(D53="FAIL",0,""))))</f>
        <v/>
      </c>
      <c r="F53" s="7">
        <f>IF(E53="",0,C53*E53)</f>
        <v/>
      </c>
      <c r="G53" s="7">
        <f>IF(B53="I1",20*AVERAGEIF('QA_Images'!$A$2:$A$66,A53,'QA_Images'!$U$2:$U$66)/100,IF(D53="NOT_CHECKED",0,C53))</f>
        <v/>
      </c>
      <c r="H53" s="3" t="inlineStr">
        <is>
          <t>Meta description is concise and claim-safe; product 10 is ambiguous about editable name text.</t>
        </is>
      </c>
      <c r="I53" s="3" t="inlineStr">
        <is>
          <t>["evidence_batch_001_005", "https://jeminise.com/products/cat-patchwork-quilt-set-animal-pattern-bedding-cat-pattern-quilt-set", "serp_reqa_005", "revision_diff.json", "customizer_audit.json"]</t>
        </is>
      </c>
      <c r="J53" s="3" t="inlineStr">
        <is>
          <t>["R4-ISS-005-BODY", "R4-ISS-005-CANN"]</t>
        </is>
      </c>
      <c r="K53" s="3" t="inlineStr">
        <is>
          <t>r4</t>
        </is>
      </c>
    </row>
    <row r="54" ht="42" customHeight="1">
      <c r="A54" s="2" t="inlineStr">
        <is>
          <t>jeminise.com+cat-patchwork-quilt-set-animal-pattern-bedding-cat-pattern-quilt-set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IF(B54="I1",AVERAGEIF('QA_Images'!$A$2:$A$66,A54,'QA_Images'!$T$2:$T$66)/100,IF(D54="FULL",1,IF(D54="PARTIAL",0.5,IF(D54="FAIL",0,""))))</f>
        <v/>
      </c>
      <c r="F54" s="5">
        <f>IF(E54="",0,C54*E54)</f>
        <v/>
      </c>
      <c r="G54" s="5">
        <f>IF(B54="I1",20*AVERAGEIF('QA_Images'!$A$2:$A$66,A54,'QA_Images'!$U$2:$U$66)/100,IF(D54="NOT_CHECKED",0,C54))</f>
        <v/>
      </c>
      <c r="H54" s="2" t="inlineStr">
        <is>
          <t>Internal QA text and raw conflicting facts were removed, but the replacement body is repetitive and omits useful verified image/spec details.</t>
        </is>
      </c>
      <c r="I54" s="2" t="inlineStr">
        <is>
          <t>["evidence_batch_001_005", "https://jeminise.com/products/cat-patchwork-quilt-set-animal-pattern-bedding-cat-pattern-quilt-set", "serp_reqa_005", "revision_diff.json", "customizer_audit.json"]</t>
        </is>
      </c>
      <c r="J54" s="2" t="inlineStr">
        <is>
          <t>["R4-ISS-005-BODY", "R4-ISS-005-CANN"]</t>
        </is>
      </c>
      <c r="K54" s="2" t="inlineStr">
        <is>
          <t>r4</t>
        </is>
      </c>
    </row>
    <row r="55" ht="42" customHeight="1">
      <c r="A55" s="3" t="inlineStr">
        <is>
          <t>jeminise.com+cat-patchwork-quilt-set-animal-pattern-bedding-cat-pattern-quilt-set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IF(B55="I1",AVERAGEIF('QA_Images'!$A$2:$A$66,A55,'QA_Images'!$T$2:$T$66)/100,IF(D55="FULL",1,IF(D55="PARTIAL",0.5,IF(D55="FAIL",0,""))))</f>
        <v/>
      </c>
      <c r="F55" s="7">
        <f>IF(E55="",0,C55*E55)</f>
        <v/>
      </c>
      <c r="G55" s="7">
        <f>IF(B55="I1",20*AVERAGEIF('QA_Images'!$A$2:$A$66,A55,'QA_Images'!$U$2:$U$66)/100,IF(D55="NOT_CHECKED",0,C55))</f>
        <v/>
      </c>
      <c r="H55" s="3" t="inlineStr">
        <is>
          <t>Derived from directly checked r4 media records: 100.0/100.</t>
        </is>
      </c>
      <c r="I55" s="3" t="inlineStr">
        <is>
          <t>["evidence_batch_001_005", "https://jeminise.com/products/cat-patchwork-quilt-set-animal-pattern-bedding-cat-pattern-quilt-set", "serp_reqa_005", "revision_diff.json", "customizer_audit.json"]</t>
        </is>
      </c>
      <c r="J55" s="3" t="inlineStr">
        <is>
          <t>["R4-ISS-005-BODY", "R4-ISS-005-CANN"]</t>
        </is>
      </c>
      <c r="K55" s="3" t="inlineStr">
        <is>
          <t>r4</t>
        </is>
      </c>
    </row>
    <row r="56" ht="42" customHeight="1">
      <c r="A56" s="2" t="inlineStr">
        <is>
          <t>jeminise.com+cat-patchwork-quilt-set-animal-pattern-bedding-cat-pattern-quilt-set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IF(B56="I1",AVERAGEIF('QA_Images'!$A$2:$A$66,A56,'QA_Images'!$T$2:$T$66)/100,IF(D56="FULL",1,IF(D56="PARTIAL",0.5,IF(D56="FAIL",0,""))))</f>
        <v/>
      </c>
      <c r="F56" s="5">
        <f>IF(E56="",0,C56*E56)</f>
        <v/>
      </c>
      <c r="G56" s="5">
        <f>IF(B56="I1",20*AVERAGEIF('QA_Images'!$A$2:$A$66,A56,'QA_Images'!$U$2:$U$66)/100,IF(D56="NOT_CHECKED",0,C56))</f>
        <v/>
      </c>
      <c r="H56" s="2" t="inlineStr">
        <is>
          <t>Revision lineage, source rows, live source and evidence references were cross-checked; admin export remains unavailable.</t>
        </is>
      </c>
      <c r="I56" s="2" t="inlineStr">
        <is>
          <t>["evidence_batch_001_005", "https://jeminise.com/products/cat-patchwork-quilt-set-animal-pattern-bedding-cat-pattern-quilt-set", "serp_reqa_005", "revision_diff.json", "customizer_audit.json"]</t>
        </is>
      </c>
      <c r="J56" s="2" t="inlineStr">
        <is>
          <t>["R4-ISS-005-BODY", "R4-ISS-005-CANN"]</t>
        </is>
      </c>
      <c r="K56" s="2" t="inlineStr">
        <is>
          <t>r4</t>
        </is>
      </c>
    </row>
    <row r="57" ht="42" customHeight="1">
      <c r="A57" s="3" t="inlineStr">
        <is>
          <t>jeminise.com+cat-quilt-set-cat-patchwork-style-printed-bedding-animal-patchwork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IF(B57="I1",AVERAGEIF('QA_Images'!$A$2:$A$66,A57,'QA_Images'!$T$2:$T$66)/100,IF(D57="FULL",1,IF(D57="PARTIAL",0.5,IF(D57="FAIL",0,""))))</f>
        <v/>
      </c>
      <c r="F57" s="7">
        <f>IF(E57="",0,C57*E57)</f>
        <v/>
      </c>
      <c r="G57" s="7">
        <f>IF(B57="I1",20*AVERAGEIF('QA_Images'!$A$2:$A$66,A57,'QA_Images'!$U$2:$U$66)/100,IF(D57="NOT_CHECKED",0,C57))</f>
        <v/>
      </c>
      <c r="H57" s="3" t="inlineStr">
        <is>
          <t>Product key, handle, product ID, URL, canonical, live H1 and visible motif were rechecked.</t>
        </is>
      </c>
      <c r="I57" s="3" t="inlineStr">
        <is>
          <t>["evidence_batch_001_006", "https://jeminise.com/products/cat-quilt-set-cat-patchwork-style-printed-bedding-animal-patchwork", "serp_reqa_006", "revision_diff.json", "customizer_audit.json"]</t>
        </is>
      </c>
      <c r="J57" s="3" t="inlineStr">
        <is>
          <t>["R4-ISS-006-BODY", "R4-ISS-006-CANN", "R4-ISS-006-HYP"]</t>
        </is>
      </c>
      <c r="K57" s="3" t="inlineStr">
        <is>
          <t>r4</t>
        </is>
      </c>
    </row>
    <row r="58" ht="42" customHeight="1">
      <c r="A58" s="2" t="inlineStr">
        <is>
          <t>jeminise.com+cat-quilt-set-cat-patchwork-style-printed-bedding-animal-patchwork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IF(B58="I1",AVERAGEIF('QA_Images'!$A$2:$A$66,A58,'QA_Images'!$T$2:$T$66)/100,IF(D58="FULL",1,IF(D58="PARTIAL",0.5,IF(D58="FAIL",0,""))))</f>
        <v/>
      </c>
      <c r="F58" s="5">
        <f>IF(E58="",0,C58*E58)</f>
        <v/>
      </c>
      <c r="G58" s="5">
        <f>IF(B58="I1",20*AVERAGEIF('QA_Images'!$A$2:$A$66,A58,'QA_Images'!$U$2:$U$66)/100,IF(D58="NOT_CHECKED",0,C58))</f>
        <v/>
      </c>
      <c r="H58" s="2" t="inlineStr">
        <is>
          <t>Live product JSON, variants, gallery and Customizer schema were re-read; products 2 and 10 have verified text fields.</t>
        </is>
      </c>
      <c r="I58" s="2" t="inlineStr">
        <is>
          <t>["evidence_batch_001_006", "https://jeminise.com/products/cat-quilt-set-cat-patchwork-style-printed-bedding-animal-patchwork", "serp_reqa_006", "revision_diff.json", "customizer_audit.json"]</t>
        </is>
      </c>
      <c r="J58" s="2" t="inlineStr">
        <is>
          <t>["R4-ISS-006-BODY", "R4-ISS-006-CANN", "R4-ISS-006-HYP"]</t>
        </is>
      </c>
      <c r="K58" s="2" t="inlineStr">
        <is>
          <t>r4</t>
        </is>
      </c>
    </row>
    <row r="59" ht="42" customHeight="1">
      <c r="A59" s="3" t="inlineStr">
        <is>
          <t>jeminise.com+cat-quilt-set-cat-patchwork-style-printed-bedding-animal-patchwork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IF(B59="I1",AVERAGEIF('QA_Images'!$A$2:$A$66,A59,'QA_Images'!$T$2:$T$66)/100,IF(D59="FULL",1,IF(D59="PARTIAL",0.5,IF(D59="FAIL",0,""))))</f>
        <v/>
      </c>
      <c r="F59" s="7">
        <f>IF(E59="",0,C59*E59)</f>
        <v/>
      </c>
      <c r="G59" s="7">
        <f>IF(B59="I1",20*AVERAGEIF('QA_Images'!$A$2:$A$66,A59,'QA_Images'!$U$2:$U$66)/100,IF(D59="NOT_CHECKED",0,C59))</f>
        <v/>
      </c>
      <c r="H59" s="3" t="inlineStr">
        <is>
          <t>Primary query was checked against submitted evidence and fresh SERP research; product 5 retains a mismatched chicken-quilt source.</t>
        </is>
      </c>
      <c r="I59" s="3" t="inlineStr">
        <is>
          <t>["evidence_batch_001_006", "https://jeminise.com/products/cat-quilt-set-cat-patchwork-style-printed-bedding-animal-patchwork", "serp_reqa_006", "revision_diff.json", "customizer_audit.json"]</t>
        </is>
      </c>
      <c r="J59" s="3" t="inlineStr">
        <is>
          <t>["R4-ISS-006-BODY", "R4-ISS-006-CANN", "R4-ISS-006-HYP"]</t>
        </is>
      </c>
      <c r="K59" s="3" t="inlineStr">
        <is>
          <t>r4</t>
        </is>
      </c>
    </row>
    <row r="60" ht="42" customHeight="1">
      <c r="A60" s="2" t="inlineStr">
        <is>
          <t>jeminise.com+cat-quilt-set-cat-patchwork-style-printed-bedding-animal-patchwork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IF(B60="I1",AVERAGEIF('QA_Images'!$A$2:$A$66,A60,'QA_Images'!$T$2:$T$66)/100,IF(D60="FULL",1,IF(D60="PARTIAL",0.5,IF(D60="FAIL",0,""))))</f>
        <v/>
      </c>
      <c r="F60" s="5">
        <f>IF(E60="",0,C60*E60)</f>
        <v/>
      </c>
      <c r="G60" s="5">
        <f>IF(B60="I1",20*AVERAGEIF('QA_Images'!$A$2:$A$66,A60,'QA_Images'!$U$2:$U$66)/100,IF(D60="NOT_CHECKED",0,C60))</f>
        <v/>
      </c>
      <c r="H60" s="2" t="inlineStr">
        <is>
          <t>Primary and nearest alternative queries were searched for US commercial/product intent.</t>
        </is>
      </c>
      <c r="I60" s="2" t="inlineStr">
        <is>
          <t>["evidence_batch_001_006", "https://jeminise.com/products/cat-quilt-set-cat-patchwork-style-printed-bedding-animal-patchwork", "serp_reqa_006", "revision_diff.json", "customizer_audit.json"]</t>
        </is>
      </c>
      <c r="J60" s="2" t="inlineStr">
        <is>
          <t>["R4-ISS-006-BODY", "R4-ISS-006-CANN", "R4-ISS-006-HYP"]</t>
        </is>
      </c>
      <c r="K60" s="2" t="inlineStr">
        <is>
          <t>r4</t>
        </is>
      </c>
    </row>
    <row r="61" ht="42" customHeight="1">
      <c r="A61" s="3" t="inlineStr">
        <is>
          <t>jeminise.com+cat-quilt-set-cat-patchwork-style-printed-bedding-animal-patchwork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IF(B61="I1",AVERAGEIF('QA_Images'!$A$2:$A$66,A61,'QA_Images'!$T$2:$T$66)/100,IF(D61="FULL",1,IF(D61="PARTIAL",0.5,IF(D61="FAIL",0,""))))</f>
        <v/>
      </c>
      <c r="F61" s="7">
        <f>IF(E61="",0,C61*E61)</f>
        <v/>
      </c>
      <c r="G61" s="7">
        <f>IF(B61="I1",20*AVERAGEIF('QA_Images'!$A$2:$A$66,A61,'QA_Images'!$U$2:$U$66)/100,IF(D61="NOT_CHECKED",0,C61))</f>
        <v/>
      </c>
      <c r="H61" s="3" t="inlineStr">
        <is>
          <t>Distinct artwork helps differentiation, but cardinal, cat and Celtic sibling pages still need an explicit intent map.</t>
        </is>
      </c>
      <c r="I61" s="3" t="inlineStr">
        <is>
          <t>["evidence_batch_001_006", "https://jeminise.com/products/cat-quilt-set-cat-patchwork-style-printed-bedding-animal-patchwork", "serp_reqa_006", "revision_diff.json", "customizer_audit.json"]</t>
        </is>
      </c>
      <c r="J61" s="3" t="inlineStr">
        <is>
          <t>["R4-ISS-006-BODY", "R4-ISS-006-CANN", "R4-ISS-006-HYP"]</t>
        </is>
      </c>
      <c r="K61" s="3" t="inlineStr">
        <is>
          <t>r4</t>
        </is>
      </c>
    </row>
    <row r="62" ht="42" customHeight="1">
      <c r="A62" s="2" t="inlineStr">
        <is>
          <t>jeminise.com+cat-quilt-set-cat-patchwork-style-printed-bedding-animal-patchwork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IF(B62="I1",AVERAGEIF('QA_Images'!$A$2:$A$66,A62,'QA_Images'!$T$2:$T$66)/100,IF(D62="FULL",1,IF(D62="PARTIAL",0.5,IF(D62="FAIL",0,""))))</f>
        <v/>
      </c>
      <c r="F62" s="5">
        <f>IF(E62="",0,C62*E62)</f>
        <v/>
      </c>
      <c r="G62" s="5">
        <f>IF(B62="I1",20*AVERAGEIF('QA_Images'!$A$2:$A$66,A62,'QA_Images'!$U$2:$U$66)/100,IF(D62="NOT_CHECKED",0,C62))</f>
        <v/>
      </c>
      <c r="H62" s="2" t="inlineStr">
        <is>
          <t>Title was checked for product type, motif, keyword fit and verified personalization opportunity.</t>
        </is>
      </c>
      <c r="I62" s="2" t="inlineStr">
        <is>
          <t>["evidence_batch_001_006", "https://jeminise.com/products/cat-quilt-set-cat-patchwork-style-printed-bedding-animal-patchwork", "serp_reqa_006", "revision_diff.json", "customizer_audit.json"]</t>
        </is>
      </c>
      <c r="J62" s="2" t="inlineStr">
        <is>
          <t>["R4-ISS-006-BODY", "R4-ISS-006-CANN", "R4-ISS-006-HYP"]</t>
        </is>
      </c>
      <c r="K62" s="2" t="inlineStr">
        <is>
          <t>r4</t>
        </is>
      </c>
    </row>
    <row r="63" ht="42" customHeight="1">
      <c r="A63" s="3" t="inlineStr">
        <is>
          <t>jeminise.com+cat-quilt-set-cat-patchwork-style-printed-bedding-animal-patchwork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IF(B63="I1",AVERAGEIF('QA_Images'!$A$2:$A$66,A63,'QA_Images'!$T$2:$T$66)/100,IF(D63="FULL",1,IF(D63="PARTIAL",0.5,IF(D63="FAIL",0,""))))</f>
        <v/>
      </c>
      <c r="F63" s="7">
        <f>IF(E63="",0,C63*E63)</f>
        <v/>
      </c>
      <c r="G63" s="7">
        <f>IF(B63="I1",20*AVERAGEIF('QA_Images'!$A$2:$A$66,A63,'QA_Images'!$U$2:$U$66)/100,IF(D63="NOT_CHECKED",0,C63))</f>
        <v/>
      </c>
      <c r="H63" s="3" t="inlineStr">
        <is>
          <t>H1 was assessed independently from the SEO title and live source encoding.</t>
        </is>
      </c>
      <c r="I63" s="3" t="inlineStr">
        <is>
          <t>["evidence_batch_001_006", "https://jeminise.com/products/cat-quilt-set-cat-patchwork-style-printed-bedding-animal-patchwork", "serp_reqa_006", "revision_diff.json", "customizer_audit.json"]</t>
        </is>
      </c>
      <c r="J63" s="3" t="inlineStr">
        <is>
          <t>["R4-ISS-006-BODY", "R4-ISS-006-CANN", "R4-ISS-006-HYP"]</t>
        </is>
      </c>
      <c r="K63" s="3" t="inlineStr">
        <is>
          <t>r4</t>
        </is>
      </c>
    </row>
    <row r="64" ht="42" customHeight="1">
      <c r="A64" s="2" t="inlineStr">
        <is>
          <t>jeminise.com+cat-quilt-set-cat-patchwork-style-printed-bedding-animal-patchwork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IF(B64="I1",AVERAGEIF('QA_Images'!$A$2:$A$66,A64,'QA_Images'!$T$2:$T$66)/100,IF(D64="FULL",1,IF(D64="PARTIAL",0.5,IF(D64="FAIL",0,""))))</f>
        <v/>
      </c>
      <c r="F64" s="5">
        <f>IF(E64="",0,C64*E64)</f>
        <v/>
      </c>
      <c r="G64" s="5">
        <f>IF(B64="I1",20*AVERAGEIF('QA_Images'!$A$2:$A$66,A64,'QA_Images'!$U$2:$U$66)/100,IF(D64="NOT_CHECKED",0,C64))</f>
        <v/>
      </c>
      <c r="H64" s="2" t="inlineStr">
        <is>
          <t>Meta description is concise and claim-safe; product 10 is ambiguous about editable name text.</t>
        </is>
      </c>
      <c r="I64" s="2" t="inlineStr">
        <is>
          <t>["evidence_batch_001_006", "https://jeminise.com/products/cat-quilt-set-cat-patchwork-style-printed-bedding-animal-patchwork", "serp_reqa_006", "revision_diff.json", "customizer_audit.json"]</t>
        </is>
      </c>
      <c r="J64" s="2" t="inlineStr">
        <is>
          <t>["R4-ISS-006-BODY", "R4-ISS-006-CANN", "R4-ISS-006-HYP"]</t>
        </is>
      </c>
      <c r="K64" s="2" t="inlineStr">
        <is>
          <t>r4</t>
        </is>
      </c>
    </row>
    <row r="65" ht="42" customHeight="1">
      <c r="A65" s="3" t="inlineStr">
        <is>
          <t>jeminise.com+cat-quilt-set-cat-patchwork-style-printed-bedding-animal-patchwork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IF(B65="I1",AVERAGEIF('QA_Images'!$A$2:$A$66,A65,'QA_Images'!$T$2:$T$66)/100,IF(D65="FULL",1,IF(D65="PARTIAL",0.5,IF(D65="FAIL",0,""))))</f>
        <v/>
      </c>
      <c r="F65" s="7">
        <f>IF(E65="",0,C65*E65)</f>
        <v/>
      </c>
      <c r="G65" s="7">
        <f>IF(B65="I1",20*AVERAGEIF('QA_Images'!$A$2:$A$66,A65,'QA_Images'!$U$2:$U$66)/100,IF(D65="NOT_CHECKED",0,C65))</f>
        <v/>
      </c>
      <c r="H65" s="3" t="inlineStr">
        <is>
          <t>Internal QA text and raw conflicting facts were removed, but the replacement body is repetitive and omits useful verified image/spec details.</t>
        </is>
      </c>
      <c r="I65" s="3" t="inlineStr">
        <is>
          <t>["evidence_batch_001_006", "https://jeminise.com/products/cat-quilt-set-cat-patchwork-style-printed-bedding-animal-patchwork", "serp_reqa_006", "revision_diff.json", "customizer_audit.json"]</t>
        </is>
      </c>
      <c r="J65" s="3" t="inlineStr">
        <is>
          <t>["R4-ISS-006-BODY", "R4-ISS-006-CANN", "R4-ISS-006-HYP"]</t>
        </is>
      </c>
      <c r="K65" s="3" t="inlineStr">
        <is>
          <t>r4</t>
        </is>
      </c>
    </row>
    <row r="66" ht="42" customHeight="1">
      <c r="A66" s="2" t="inlineStr">
        <is>
          <t>jeminise.com+cat-quilt-set-cat-patchwork-style-printed-bedding-animal-patchwork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IF(B66="I1",AVERAGEIF('QA_Images'!$A$2:$A$66,A66,'QA_Images'!$T$2:$T$66)/100,IF(D66="FULL",1,IF(D66="PARTIAL",0.5,IF(D66="FAIL",0,""))))</f>
        <v/>
      </c>
      <c r="F66" s="5">
        <f>IF(E66="",0,C66*E66)</f>
        <v/>
      </c>
      <c r="G66" s="5">
        <f>IF(B66="I1",20*AVERAGEIF('QA_Images'!$A$2:$A$66,A66,'QA_Images'!$U$2:$U$66)/100,IF(D66="NOT_CHECKED",0,C66))</f>
        <v/>
      </c>
      <c r="H66" s="2" t="inlineStr">
        <is>
          <t>Derived from directly checked r4 media records: 100.0/100.</t>
        </is>
      </c>
      <c r="I66" s="2" t="inlineStr">
        <is>
          <t>["evidence_batch_001_006", "https://jeminise.com/products/cat-quilt-set-cat-patchwork-style-printed-bedding-animal-patchwork", "serp_reqa_006", "revision_diff.json", "customizer_audit.json"]</t>
        </is>
      </c>
      <c r="J66" s="2" t="inlineStr">
        <is>
          <t>["R4-ISS-006-BODY", "R4-ISS-006-CANN", "R4-ISS-006-HYP"]</t>
        </is>
      </c>
      <c r="K66" s="2" t="inlineStr">
        <is>
          <t>r4</t>
        </is>
      </c>
    </row>
    <row r="67" ht="42" customHeight="1">
      <c r="A67" s="3" t="inlineStr">
        <is>
          <t>jeminise.com+cat-quilt-set-cat-patchwork-style-printed-bedding-animal-patchwork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IF(B67="I1",AVERAGEIF('QA_Images'!$A$2:$A$66,A67,'QA_Images'!$T$2:$T$66)/100,IF(D67="FULL",1,IF(D67="PARTIAL",0.5,IF(D67="FAIL",0,""))))</f>
        <v/>
      </c>
      <c r="F67" s="7">
        <f>IF(E67="",0,C67*E67)</f>
        <v/>
      </c>
      <c r="G67" s="7">
        <f>IF(B67="I1",20*AVERAGEIF('QA_Images'!$A$2:$A$66,A67,'QA_Images'!$U$2:$U$66)/100,IF(D67="NOT_CHECKED",0,C67))</f>
        <v/>
      </c>
      <c r="H67" s="3" t="inlineStr">
        <is>
          <t>Revision lineage, source rows, live source and evidence references were cross-checked; admin export remains unavailable.</t>
        </is>
      </c>
      <c r="I67" s="3" t="inlineStr">
        <is>
          <t>["evidence_batch_001_006", "https://jeminise.com/products/cat-quilt-set-cat-patchwork-style-printed-bedding-animal-patchwork", "serp_reqa_006", "revision_diff.json", "customizer_audit.json"]</t>
        </is>
      </c>
      <c r="J67" s="3" t="inlineStr">
        <is>
          <t>["R4-ISS-006-BODY", "R4-ISS-006-CANN", "R4-ISS-006-HYP"]</t>
        </is>
      </c>
      <c r="K67" s="3" t="inlineStr">
        <is>
          <t>r4</t>
        </is>
      </c>
    </row>
    <row r="68" ht="42" customHeight="1">
      <c r="A68" s="2" t="inlineStr">
        <is>
          <t>jeminise.com+celtic-and-fantasy-quilt-set-with-twisting-tree-trunk-and-exposed-roots-c7b1460bad-c7b1460bad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IF(B68="I1",AVERAGEIF('QA_Images'!$A$2:$A$66,A68,'QA_Images'!$T$2:$T$66)/100,IF(D68="FULL",1,IF(D68="PARTIAL",0.5,IF(D68="FAIL",0,""))))</f>
        <v/>
      </c>
      <c r="F68" s="5">
        <f>IF(E68="",0,C68*E68)</f>
        <v/>
      </c>
      <c r="G68" s="5">
        <f>IF(B68="I1",20*AVERAGEIF('QA_Images'!$A$2:$A$66,A68,'QA_Images'!$U$2:$U$66)/100,IF(D68="NOT_CHECKED",0,C68))</f>
        <v/>
      </c>
      <c r="H68" s="2" t="inlineStr">
        <is>
          <t>Product key, handle, product ID, URL, canonical, live H1 and visible motif were rechecked.</t>
        </is>
      </c>
      <c r="I68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68" s="2" t="inlineStr">
        <is>
          <t>["R4-ISS-007-BODY", "R4-ISS-007-CANN"]</t>
        </is>
      </c>
      <c r="K68" s="2" t="inlineStr">
        <is>
          <t>r4</t>
        </is>
      </c>
    </row>
    <row r="69" ht="42" customHeight="1">
      <c r="A69" s="3" t="inlineStr">
        <is>
          <t>jeminise.com+celtic-and-fantasy-quilt-set-with-twisting-tree-trunk-and-exposed-roots-c7b1460bad-c7b1460bad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IF(B69="I1",AVERAGEIF('QA_Images'!$A$2:$A$66,A69,'QA_Images'!$T$2:$T$66)/100,IF(D69="FULL",1,IF(D69="PARTIAL",0.5,IF(D69="FAIL",0,""))))</f>
        <v/>
      </c>
      <c r="F69" s="7">
        <f>IF(E69="",0,C69*E69)</f>
        <v/>
      </c>
      <c r="G69" s="7">
        <f>IF(B69="I1",20*AVERAGEIF('QA_Images'!$A$2:$A$66,A69,'QA_Images'!$U$2:$U$66)/100,IF(D69="NOT_CHECKED",0,C69))</f>
        <v/>
      </c>
      <c r="H69" s="3" t="inlineStr">
        <is>
          <t>Live product JSON, variants, gallery and Customizer schema were re-read; products 2 and 10 have verified text fields.</t>
        </is>
      </c>
      <c r="I69" s="3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69" s="3" t="inlineStr">
        <is>
          <t>["R4-ISS-007-BODY", "R4-ISS-007-CANN"]</t>
        </is>
      </c>
      <c r="K69" s="3" t="inlineStr">
        <is>
          <t>r4</t>
        </is>
      </c>
    </row>
    <row r="70" ht="42" customHeight="1">
      <c r="A70" s="2" t="inlineStr">
        <is>
          <t>jeminise.com+celtic-and-fantasy-quilt-set-with-twisting-tree-trunk-and-exposed-roots-c7b1460bad-c7b1460bad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IF(B70="I1",AVERAGEIF('QA_Images'!$A$2:$A$66,A70,'QA_Images'!$T$2:$T$66)/100,IF(D70="FULL",1,IF(D70="PARTIAL",0.5,IF(D70="FAIL",0,""))))</f>
        <v/>
      </c>
      <c r="F70" s="5">
        <f>IF(E70="",0,C70*E70)</f>
        <v/>
      </c>
      <c r="G70" s="5">
        <f>IF(B70="I1",20*AVERAGEIF('QA_Images'!$A$2:$A$66,A70,'QA_Images'!$U$2:$U$66)/100,IF(D70="NOT_CHECKED",0,C70))</f>
        <v/>
      </c>
      <c r="H70" s="2" t="inlineStr">
        <is>
          <t>Primary query was checked against submitted evidence and fresh SERP research; product 5 retains a mismatched chicken-quilt source.</t>
        </is>
      </c>
      <c r="I70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0" s="2" t="inlineStr">
        <is>
          <t>["R4-ISS-007-BODY", "R4-ISS-007-CANN"]</t>
        </is>
      </c>
      <c r="K70" s="2" t="inlineStr">
        <is>
          <t>r4</t>
        </is>
      </c>
    </row>
    <row r="71" ht="42" customHeight="1">
      <c r="A71" s="3" t="inlineStr">
        <is>
          <t>jeminise.com+celtic-and-fantasy-quilt-set-with-twisting-tree-trunk-and-exposed-roots-c7b1460bad-c7b1460bad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IF(B71="I1",AVERAGEIF('QA_Images'!$A$2:$A$66,A71,'QA_Images'!$T$2:$T$66)/100,IF(D71="FULL",1,IF(D71="PARTIAL",0.5,IF(D71="FAIL",0,""))))</f>
        <v/>
      </c>
      <c r="F71" s="7">
        <f>IF(E71="",0,C71*E71)</f>
        <v/>
      </c>
      <c r="G71" s="7">
        <f>IF(B71="I1",20*AVERAGEIF('QA_Images'!$A$2:$A$66,A71,'QA_Images'!$U$2:$U$66)/100,IF(D71="NOT_CHECKED",0,C71))</f>
        <v/>
      </c>
      <c r="H71" s="3" t="inlineStr">
        <is>
          <t>Primary and nearest alternative queries were searched for US commercial/product intent.</t>
        </is>
      </c>
      <c r="I71" s="3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1" s="3" t="inlineStr">
        <is>
          <t>["R4-ISS-007-BODY", "R4-ISS-007-CANN"]</t>
        </is>
      </c>
      <c r="K71" s="3" t="inlineStr">
        <is>
          <t>r4</t>
        </is>
      </c>
    </row>
    <row r="72" ht="42" customHeight="1">
      <c r="A72" s="2" t="inlineStr">
        <is>
          <t>jeminise.com+celtic-and-fantasy-quilt-set-with-twisting-tree-trunk-and-exposed-roots-c7b1460bad-c7b1460bad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IF(B72="I1",AVERAGEIF('QA_Images'!$A$2:$A$66,A72,'QA_Images'!$T$2:$T$66)/100,IF(D72="FULL",1,IF(D72="PARTIAL",0.5,IF(D72="FAIL",0,""))))</f>
        <v/>
      </c>
      <c r="F72" s="5">
        <f>IF(E72="",0,C72*E72)</f>
        <v/>
      </c>
      <c r="G72" s="5">
        <f>IF(B72="I1",20*AVERAGEIF('QA_Images'!$A$2:$A$66,A72,'QA_Images'!$U$2:$U$66)/100,IF(D72="NOT_CHECKED",0,C72))</f>
        <v/>
      </c>
      <c r="H72" s="2" t="inlineStr">
        <is>
          <t>Distinct artwork helps differentiation, but cardinal, cat and Celtic sibling pages still need an explicit intent map.</t>
        </is>
      </c>
      <c r="I72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2" s="2" t="inlineStr">
        <is>
          <t>["R4-ISS-007-BODY", "R4-ISS-007-CANN"]</t>
        </is>
      </c>
      <c r="K72" s="2" t="inlineStr">
        <is>
          <t>r4</t>
        </is>
      </c>
    </row>
    <row r="73" ht="42" customHeight="1">
      <c r="A73" s="3" t="inlineStr">
        <is>
          <t>jeminise.com+celtic-and-fantasy-quilt-set-with-twisting-tree-trunk-and-exposed-roots-c7b1460bad-c7b1460bad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IF(B73="I1",AVERAGEIF('QA_Images'!$A$2:$A$66,A73,'QA_Images'!$T$2:$T$66)/100,IF(D73="FULL",1,IF(D73="PARTIAL",0.5,IF(D73="FAIL",0,""))))</f>
        <v/>
      </c>
      <c r="F73" s="7">
        <f>IF(E73="",0,C73*E73)</f>
        <v/>
      </c>
      <c r="G73" s="7">
        <f>IF(B73="I1",20*AVERAGEIF('QA_Images'!$A$2:$A$66,A73,'QA_Images'!$U$2:$U$66)/100,IF(D73="NOT_CHECKED",0,C73))</f>
        <v/>
      </c>
      <c r="H73" s="3" t="inlineStr">
        <is>
          <t>Title was checked for product type, motif, keyword fit and verified personalization opportunity.</t>
        </is>
      </c>
      <c r="I73" s="3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3" s="3" t="inlineStr">
        <is>
          <t>["R4-ISS-007-BODY", "R4-ISS-007-CANN"]</t>
        </is>
      </c>
      <c r="K73" s="3" t="inlineStr">
        <is>
          <t>r4</t>
        </is>
      </c>
    </row>
    <row r="74" ht="42" customHeight="1">
      <c r="A74" s="2" t="inlineStr">
        <is>
          <t>jeminise.com+celtic-and-fantasy-quilt-set-with-twisting-tree-trunk-and-exposed-roots-c7b1460bad-c7b1460bad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IF(B74="I1",AVERAGEIF('QA_Images'!$A$2:$A$66,A74,'QA_Images'!$T$2:$T$66)/100,IF(D74="FULL",1,IF(D74="PARTIAL",0.5,IF(D74="FAIL",0,""))))</f>
        <v/>
      </c>
      <c r="F74" s="5">
        <f>IF(E74="",0,C74*E74)</f>
        <v/>
      </c>
      <c r="G74" s="5">
        <f>IF(B74="I1",20*AVERAGEIF('QA_Images'!$A$2:$A$66,A74,'QA_Images'!$U$2:$U$66)/100,IF(D74="NOT_CHECKED",0,C74))</f>
        <v/>
      </c>
      <c r="H74" s="2" t="inlineStr">
        <is>
          <t>H1 was assessed independently from the SEO title and live source encoding.</t>
        </is>
      </c>
      <c r="I74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4" s="2" t="inlineStr">
        <is>
          <t>["R4-ISS-007-BODY", "R4-ISS-007-CANN"]</t>
        </is>
      </c>
      <c r="K74" s="2" t="inlineStr">
        <is>
          <t>r4</t>
        </is>
      </c>
    </row>
    <row r="75" ht="42" customHeight="1">
      <c r="A75" s="3" t="inlineStr">
        <is>
          <t>jeminise.com+celtic-and-fantasy-quilt-set-with-twisting-tree-trunk-and-exposed-roots-c7b1460bad-c7b1460bad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IF(B75="I1",AVERAGEIF('QA_Images'!$A$2:$A$66,A75,'QA_Images'!$T$2:$T$66)/100,IF(D75="FULL",1,IF(D75="PARTIAL",0.5,IF(D75="FAIL",0,""))))</f>
        <v/>
      </c>
      <c r="F75" s="7">
        <f>IF(E75="",0,C75*E75)</f>
        <v/>
      </c>
      <c r="G75" s="7">
        <f>IF(B75="I1",20*AVERAGEIF('QA_Images'!$A$2:$A$66,A75,'QA_Images'!$U$2:$U$66)/100,IF(D75="NOT_CHECKED",0,C75))</f>
        <v/>
      </c>
      <c r="H75" s="3" t="inlineStr">
        <is>
          <t>Meta description is concise and claim-safe; product 10 is ambiguous about editable name text.</t>
        </is>
      </c>
      <c r="I75" s="3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5" s="3" t="inlineStr">
        <is>
          <t>["R4-ISS-007-BODY", "R4-ISS-007-CANN"]</t>
        </is>
      </c>
      <c r="K75" s="3" t="inlineStr">
        <is>
          <t>r4</t>
        </is>
      </c>
    </row>
    <row r="76" ht="42" customHeight="1">
      <c r="A76" s="2" t="inlineStr">
        <is>
          <t>jeminise.com+celtic-and-fantasy-quilt-set-with-twisting-tree-trunk-and-exposed-roots-c7b1460bad-c7b1460bad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IF(B76="I1",AVERAGEIF('QA_Images'!$A$2:$A$66,A76,'QA_Images'!$T$2:$T$66)/100,IF(D76="FULL",1,IF(D76="PARTIAL",0.5,IF(D76="FAIL",0,""))))</f>
        <v/>
      </c>
      <c r="F76" s="5">
        <f>IF(E76="",0,C76*E76)</f>
        <v/>
      </c>
      <c r="G76" s="5">
        <f>IF(B76="I1",20*AVERAGEIF('QA_Images'!$A$2:$A$66,A76,'QA_Images'!$U$2:$U$66)/100,IF(D76="NOT_CHECKED",0,C76))</f>
        <v/>
      </c>
      <c r="H76" s="2" t="inlineStr">
        <is>
          <t>Internal QA text and raw conflicting facts were removed, but the replacement body is repetitive and omits useful verified image/spec details.</t>
        </is>
      </c>
      <c r="I76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6" s="2" t="inlineStr">
        <is>
          <t>["R4-ISS-007-BODY", "R4-ISS-007-CANN"]</t>
        </is>
      </c>
      <c r="K76" s="2" t="inlineStr">
        <is>
          <t>r4</t>
        </is>
      </c>
    </row>
    <row r="77" ht="42" customHeight="1">
      <c r="A77" s="3" t="inlineStr">
        <is>
          <t>jeminise.com+celtic-and-fantasy-quilt-set-with-twisting-tree-trunk-and-exposed-roots-c7b1460bad-c7b1460bad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IF(B77="I1",AVERAGEIF('QA_Images'!$A$2:$A$66,A77,'QA_Images'!$T$2:$T$66)/100,IF(D77="FULL",1,IF(D77="PARTIAL",0.5,IF(D77="FAIL",0,""))))</f>
        <v/>
      </c>
      <c r="F77" s="7">
        <f>IF(E77="",0,C77*E77)</f>
        <v/>
      </c>
      <c r="G77" s="7">
        <f>IF(B77="I1",20*AVERAGEIF('QA_Images'!$A$2:$A$66,A77,'QA_Images'!$U$2:$U$66)/100,IF(D77="NOT_CHECKED",0,C77))</f>
        <v/>
      </c>
      <c r="H77" s="3" t="inlineStr">
        <is>
          <t>Derived from directly checked r4 media records: 100.0/100.</t>
        </is>
      </c>
      <c r="I77" s="3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7" s="3" t="inlineStr">
        <is>
          <t>["R4-ISS-007-BODY", "R4-ISS-007-CANN"]</t>
        </is>
      </c>
      <c r="K77" s="3" t="inlineStr">
        <is>
          <t>r4</t>
        </is>
      </c>
    </row>
    <row r="78" ht="42" customHeight="1">
      <c r="A78" s="2" t="inlineStr">
        <is>
          <t>jeminise.com+celtic-and-fantasy-quilt-set-with-twisting-tree-trunk-and-exposed-roots-c7b1460bad-c7b1460bad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IF(B78="I1",AVERAGEIF('QA_Images'!$A$2:$A$66,A78,'QA_Images'!$T$2:$T$66)/100,IF(D78="FULL",1,IF(D78="PARTIAL",0.5,IF(D78="FAIL",0,""))))</f>
        <v/>
      </c>
      <c r="F78" s="5">
        <f>IF(E78="",0,C78*E78)</f>
        <v/>
      </c>
      <c r="G78" s="5">
        <f>IF(B78="I1",20*AVERAGEIF('QA_Images'!$A$2:$A$66,A78,'QA_Images'!$U$2:$U$66)/100,IF(D78="NOT_CHECKED",0,C78))</f>
        <v/>
      </c>
      <c r="H78" s="2" t="inlineStr">
        <is>
          <t>Revision lineage, source rows, live source and evidence references were cross-checked; admin export remains unavailable.</t>
        </is>
      </c>
      <c r="I78" s="2" t="inlineStr">
        <is>
          <t>["evidence_batch_001_007", "https://jeminise.com/products/celtic-and-fantasy-quilt-set-with-twisting-tree-trunk-and-exposed-roots-c7b1460bad-c7b1460bad", "serp_reqa_007", "revision_diff.json", "customizer_audit.json"]</t>
        </is>
      </c>
      <c r="J78" s="2" t="inlineStr">
        <is>
          <t>["R4-ISS-007-BODY", "R4-ISS-007-CANN"]</t>
        </is>
      </c>
      <c r="K78" s="2" t="inlineStr">
        <is>
          <t>r4</t>
        </is>
      </c>
    </row>
    <row r="79" ht="42" customHeight="1">
      <c r="A79" s="3" t="inlineStr">
        <is>
          <t>jeminise.com+celtic-mythology-tree-of-life-quilt-set-with-celtic-knotwork-border-12786aba7e-12786aba7e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IF(B79="I1",AVERAGEIF('QA_Images'!$A$2:$A$66,A79,'QA_Images'!$T$2:$T$66)/100,IF(D79="FULL",1,IF(D79="PARTIAL",0.5,IF(D79="FAIL",0,""))))</f>
        <v/>
      </c>
      <c r="F79" s="7">
        <f>IF(E79="",0,C79*E79)</f>
        <v/>
      </c>
      <c r="G79" s="7">
        <f>IF(B79="I1",20*AVERAGEIF('QA_Images'!$A$2:$A$66,A79,'QA_Images'!$U$2:$U$66)/100,IF(D79="NOT_CHECKED",0,C79))</f>
        <v/>
      </c>
      <c r="H79" s="3" t="inlineStr">
        <is>
          <t>Product key, handle, product ID, URL, canonical, live H1 and visible motif were rechecked.</t>
        </is>
      </c>
      <c r="I79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79" s="3" t="inlineStr">
        <is>
          <t>["R4-ISS-008-BODY", "R4-ISS-008-CANN"]</t>
        </is>
      </c>
      <c r="K79" s="3" t="inlineStr">
        <is>
          <t>r4</t>
        </is>
      </c>
    </row>
    <row r="80" ht="42" customHeight="1">
      <c r="A80" s="2" t="inlineStr">
        <is>
          <t>jeminise.com+celtic-mythology-tree-of-life-quilt-set-with-celtic-knotwork-border-12786aba7e-12786aba7e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IF(B80="I1",AVERAGEIF('QA_Images'!$A$2:$A$66,A80,'QA_Images'!$T$2:$T$66)/100,IF(D80="FULL",1,IF(D80="PARTIAL",0.5,IF(D80="FAIL",0,""))))</f>
        <v/>
      </c>
      <c r="F80" s="5">
        <f>IF(E80="",0,C80*E80)</f>
        <v/>
      </c>
      <c r="G80" s="5">
        <f>IF(B80="I1",20*AVERAGEIF('QA_Images'!$A$2:$A$66,A80,'QA_Images'!$U$2:$U$66)/100,IF(D80="NOT_CHECKED",0,C80))</f>
        <v/>
      </c>
      <c r="H80" s="2" t="inlineStr">
        <is>
          <t>Live product JSON, variants, gallery and Customizer schema were re-read; products 2 and 10 have verified text fields.</t>
        </is>
      </c>
      <c r="I80" s="2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0" s="2" t="inlineStr">
        <is>
          <t>["R4-ISS-008-BODY", "R4-ISS-008-CANN"]</t>
        </is>
      </c>
      <c r="K80" s="2" t="inlineStr">
        <is>
          <t>r4</t>
        </is>
      </c>
    </row>
    <row r="81" ht="42" customHeight="1">
      <c r="A81" s="3" t="inlineStr">
        <is>
          <t>jeminise.com+celtic-mythology-tree-of-life-quilt-set-with-celtic-knotwork-border-12786aba7e-12786aba7e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IF(B81="I1",AVERAGEIF('QA_Images'!$A$2:$A$66,A81,'QA_Images'!$T$2:$T$66)/100,IF(D81="FULL",1,IF(D81="PARTIAL",0.5,IF(D81="FAIL",0,""))))</f>
        <v/>
      </c>
      <c r="F81" s="7">
        <f>IF(E81="",0,C81*E81)</f>
        <v/>
      </c>
      <c r="G81" s="7">
        <f>IF(B81="I1",20*AVERAGEIF('QA_Images'!$A$2:$A$66,A81,'QA_Images'!$U$2:$U$66)/100,IF(D81="NOT_CHECKED",0,C81))</f>
        <v/>
      </c>
      <c r="H81" s="3" t="inlineStr">
        <is>
          <t>Primary query was checked against submitted evidence and fresh SERP research; product 5 retains a mismatched chicken-quilt source.</t>
        </is>
      </c>
      <c r="I81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1" s="3" t="inlineStr">
        <is>
          <t>["R4-ISS-008-BODY", "R4-ISS-008-CANN"]</t>
        </is>
      </c>
      <c r="K81" s="3" t="inlineStr">
        <is>
          <t>r4</t>
        </is>
      </c>
    </row>
    <row r="82" ht="42" customHeight="1">
      <c r="A82" s="2" t="inlineStr">
        <is>
          <t>jeminise.com+celtic-mythology-tree-of-life-quilt-set-with-celtic-knotwork-border-12786aba7e-12786aba7e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IF(B82="I1",AVERAGEIF('QA_Images'!$A$2:$A$66,A82,'QA_Images'!$T$2:$T$66)/100,IF(D82="FULL",1,IF(D82="PARTIAL",0.5,IF(D82="FAIL",0,""))))</f>
        <v/>
      </c>
      <c r="F82" s="5">
        <f>IF(E82="",0,C82*E82)</f>
        <v/>
      </c>
      <c r="G82" s="5">
        <f>IF(B82="I1",20*AVERAGEIF('QA_Images'!$A$2:$A$66,A82,'QA_Images'!$U$2:$U$66)/100,IF(D82="NOT_CHECKED",0,C82))</f>
        <v/>
      </c>
      <c r="H82" s="2" t="inlineStr">
        <is>
          <t>Primary and nearest alternative queries were searched for US commercial/product intent.</t>
        </is>
      </c>
      <c r="I82" s="2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2" s="2" t="inlineStr">
        <is>
          <t>["R4-ISS-008-BODY", "R4-ISS-008-CANN"]</t>
        </is>
      </c>
      <c r="K82" s="2" t="inlineStr">
        <is>
          <t>r4</t>
        </is>
      </c>
    </row>
    <row r="83" ht="42" customHeight="1">
      <c r="A83" s="3" t="inlineStr">
        <is>
          <t>jeminise.com+celtic-mythology-tree-of-life-quilt-set-with-celtic-knotwork-border-12786aba7e-12786aba7e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IF(B83="I1",AVERAGEIF('QA_Images'!$A$2:$A$66,A83,'QA_Images'!$T$2:$T$66)/100,IF(D83="FULL",1,IF(D83="PARTIAL",0.5,IF(D83="FAIL",0,""))))</f>
        <v/>
      </c>
      <c r="F83" s="7">
        <f>IF(E83="",0,C83*E83)</f>
        <v/>
      </c>
      <c r="G83" s="7">
        <f>IF(B83="I1",20*AVERAGEIF('QA_Images'!$A$2:$A$66,A83,'QA_Images'!$U$2:$U$66)/100,IF(D83="NOT_CHECKED",0,C83))</f>
        <v/>
      </c>
      <c r="H83" s="3" t="inlineStr">
        <is>
          <t>Distinct artwork helps differentiation, but cardinal, cat and Celtic sibling pages still need an explicit intent map.</t>
        </is>
      </c>
      <c r="I83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3" s="3" t="inlineStr">
        <is>
          <t>["R4-ISS-008-BODY", "R4-ISS-008-CANN"]</t>
        </is>
      </c>
      <c r="K83" s="3" t="inlineStr">
        <is>
          <t>r4</t>
        </is>
      </c>
    </row>
    <row r="84" ht="42" customHeight="1">
      <c r="A84" s="2" t="inlineStr">
        <is>
          <t>jeminise.com+celtic-mythology-tree-of-life-quilt-set-with-celtic-knotwork-border-12786aba7e-12786aba7e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IF(B84="I1",AVERAGEIF('QA_Images'!$A$2:$A$66,A84,'QA_Images'!$T$2:$T$66)/100,IF(D84="FULL",1,IF(D84="PARTIAL",0.5,IF(D84="FAIL",0,""))))</f>
        <v/>
      </c>
      <c r="F84" s="5">
        <f>IF(E84="",0,C84*E84)</f>
        <v/>
      </c>
      <c r="G84" s="5">
        <f>IF(B84="I1",20*AVERAGEIF('QA_Images'!$A$2:$A$66,A84,'QA_Images'!$U$2:$U$66)/100,IF(D84="NOT_CHECKED",0,C84))</f>
        <v/>
      </c>
      <c r="H84" s="2" t="inlineStr">
        <is>
          <t>Title was checked for product type, motif, keyword fit and verified personalization opportunity.</t>
        </is>
      </c>
      <c r="I84" s="2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4" s="2" t="inlineStr">
        <is>
          <t>["R4-ISS-008-BODY", "R4-ISS-008-CANN"]</t>
        </is>
      </c>
      <c r="K84" s="2" t="inlineStr">
        <is>
          <t>r4</t>
        </is>
      </c>
    </row>
    <row r="85" ht="42" customHeight="1">
      <c r="A85" s="3" t="inlineStr">
        <is>
          <t>jeminise.com+celtic-mythology-tree-of-life-quilt-set-with-celtic-knotwork-border-12786aba7e-12786aba7e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IF(B85="I1",AVERAGEIF('QA_Images'!$A$2:$A$66,A85,'QA_Images'!$T$2:$T$66)/100,IF(D85="FULL",1,IF(D85="PARTIAL",0.5,IF(D85="FAIL",0,""))))</f>
        <v/>
      </c>
      <c r="F85" s="7">
        <f>IF(E85="",0,C85*E85)</f>
        <v/>
      </c>
      <c r="G85" s="7">
        <f>IF(B85="I1",20*AVERAGEIF('QA_Images'!$A$2:$A$66,A85,'QA_Images'!$U$2:$U$66)/100,IF(D85="NOT_CHECKED",0,C85))</f>
        <v/>
      </c>
      <c r="H85" s="3" t="inlineStr">
        <is>
          <t>H1 was assessed independently from the SEO title and live source encoding.</t>
        </is>
      </c>
      <c r="I85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5" s="3" t="inlineStr">
        <is>
          <t>["R4-ISS-008-BODY", "R4-ISS-008-CANN"]</t>
        </is>
      </c>
      <c r="K85" s="3" t="inlineStr">
        <is>
          <t>r4</t>
        </is>
      </c>
    </row>
    <row r="86" ht="42" customHeight="1">
      <c r="A86" s="2" t="inlineStr">
        <is>
          <t>jeminise.com+celtic-mythology-tree-of-life-quilt-set-with-celtic-knotwork-border-12786aba7e-12786aba7e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IF(B86="I1",AVERAGEIF('QA_Images'!$A$2:$A$66,A86,'QA_Images'!$T$2:$T$66)/100,IF(D86="FULL",1,IF(D86="PARTIAL",0.5,IF(D86="FAIL",0,""))))</f>
        <v/>
      </c>
      <c r="F86" s="5">
        <f>IF(E86="",0,C86*E86)</f>
        <v/>
      </c>
      <c r="G86" s="5">
        <f>IF(B86="I1",20*AVERAGEIF('QA_Images'!$A$2:$A$66,A86,'QA_Images'!$U$2:$U$66)/100,IF(D86="NOT_CHECKED",0,C86))</f>
        <v/>
      </c>
      <c r="H86" s="2" t="inlineStr">
        <is>
          <t>Meta description is concise and claim-safe; product 10 is ambiguous about editable name text.</t>
        </is>
      </c>
      <c r="I86" s="2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6" s="2" t="inlineStr">
        <is>
          <t>["R4-ISS-008-BODY", "R4-ISS-008-CANN"]</t>
        </is>
      </c>
      <c r="K86" s="2" t="inlineStr">
        <is>
          <t>r4</t>
        </is>
      </c>
    </row>
    <row r="87" ht="42" customHeight="1">
      <c r="A87" s="3" t="inlineStr">
        <is>
          <t>jeminise.com+celtic-mythology-tree-of-life-quilt-set-with-celtic-knotwork-border-12786aba7e-12786aba7e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IF(B87="I1",AVERAGEIF('QA_Images'!$A$2:$A$66,A87,'QA_Images'!$T$2:$T$66)/100,IF(D87="FULL",1,IF(D87="PARTIAL",0.5,IF(D87="FAIL",0,""))))</f>
        <v/>
      </c>
      <c r="F87" s="7">
        <f>IF(E87="",0,C87*E87)</f>
        <v/>
      </c>
      <c r="G87" s="7">
        <f>IF(B87="I1",20*AVERAGEIF('QA_Images'!$A$2:$A$66,A87,'QA_Images'!$U$2:$U$66)/100,IF(D87="NOT_CHECKED",0,C87))</f>
        <v/>
      </c>
      <c r="H87" s="3" t="inlineStr">
        <is>
          <t>Internal QA text and raw conflicting facts were removed, but the replacement body is repetitive and omits useful verified image/spec details.</t>
        </is>
      </c>
      <c r="I87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7" s="3" t="inlineStr">
        <is>
          <t>["R4-ISS-008-BODY", "R4-ISS-008-CANN"]</t>
        </is>
      </c>
      <c r="K87" s="3" t="inlineStr">
        <is>
          <t>r4</t>
        </is>
      </c>
    </row>
    <row r="88" ht="42" customHeight="1">
      <c r="A88" s="2" t="inlineStr">
        <is>
          <t>jeminise.com+celtic-mythology-tree-of-life-quilt-set-with-celtic-knotwork-border-12786aba7e-12786aba7e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IF(B88="I1",AVERAGEIF('QA_Images'!$A$2:$A$66,A88,'QA_Images'!$T$2:$T$66)/100,IF(D88="FULL",1,IF(D88="PARTIAL",0.5,IF(D88="FAIL",0,""))))</f>
        <v/>
      </c>
      <c r="F88" s="5">
        <f>IF(E88="",0,C88*E88)</f>
        <v/>
      </c>
      <c r="G88" s="5">
        <f>IF(B88="I1",20*AVERAGEIF('QA_Images'!$A$2:$A$66,A88,'QA_Images'!$U$2:$U$66)/100,IF(D88="NOT_CHECKED",0,C88))</f>
        <v/>
      </c>
      <c r="H88" s="2" t="inlineStr">
        <is>
          <t>Derived from directly checked r4 media records: 100.0/100.</t>
        </is>
      </c>
      <c r="I88" s="2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8" s="2" t="inlineStr">
        <is>
          <t>["R4-ISS-008-BODY", "R4-ISS-008-CANN"]</t>
        </is>
      </c>
      <c r="K88" s="2" t="inlineStr">
        <is>
          <t>r4</t>
        </is>
      </c>
    </row>
    <row r="89" ht="42" customHeight="1">
      <c r="A89" s="3" t="inlineStr">
        <is>
          <t>jeminise.com+celtic-mythology-tree-of-life-quilt-set-with-celtic-knotwork-border-12786aba7e-12786aba7e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IF(B89="I1",AVERAGEIF('QA_Images'!$A$2:$A$66,A89,'QA_Images'!$T$2:$T$66)/100,IF(D89="FULL",1,IF(D89="PARTIAL",0.5,IF(D89="FAIL",0,""))))</f>
        <v/>
      </c>
      <c r="F89" s="7">
        <f>IF(E89="",0,C89*E89)</f>
        <v/>
      </c>
      <c r="G89" s="7">
        <f>IF(B89="I1",20*AVERAGEIF('QA_Images'!$A$2:$A$66,A89,'QA_Images'!$U$2:$U$66)/100,IF(D89="NOT_CHECKED",0,C89))</f>
        <v/>
      </c>
      <c r="H89" s="3" t="inlineStr">
        <is>
          <t>Revision lineage, source rows, live source and evidence references were cross-checked; admin export remains unavailable.</t>
        </is>
      </c>
      <c r="I89" s="3" t="inlineStr">
        <is>
          <t>["evidence_batch_001_008", "https://jeminise.com/products/celtic-mythology-tree-of-life-quilt-set-with-celtic-knotwork-border-12786aba7e-12786aba7e", "serp_reqa_008", "revision_diff.json", "customizer_audit.json"]</t>
        </is>
      </c>
      <c r="J89" s="3" t="inlineStr">
        <is>
          <t>["R4-ISS-008-BODY", "R4-ISS-008-CANN"]</t>
        </is>
      </c>
      <c r="K89" s="3" t="inlineStr">
        <is>
          <t>r4</t>
        </is>
      </c>
    </row>
    <row r="90" ht="42" customHeight="1">
      <c r="A90" s="2" t="inlineStr">
        <is>
          <t>jeminise.com+chicken-pattern-quilt-set-animal-patchwork-farmhouse-quilt-set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IF(B90="I1",AVERAGEIF('QA_Images'!$A$2:$A$66,A90,'QA_Images'!$T$2:$T$66)/100,IF(D90="FULL",1,IF(D90="PARTIAL",0.5,IF(D90="FAIL",0,""))))</f>
        <v/>
      </c>
      <c r="F90" s="5">
        <f>IF(E90="",0,C90*E90)</f>
        <v/>
      </c>
      <c r="G90" s="5">
        <f>IF(B90="I1",20*AVERAGEIF('QA_Images'!$A$2:$A$66,A90,'QA_Images'!$U$2:$U$66)/100,IF(D90="NOT_CHECKED",0,C90))</f>
        <v/>
      </c>
      <c r="H90" s="2" t="inlineStr">
        <is>
          <t>Product key, handle, product ID, URL, canonical, live H1 and visible motif were rechecked.</t>
        </is>
      </c>
      <c r="I90" s="2" t="inlineStr">
        <is>
          <t>["evidence_batch_001_009", "https://jeminise.com/products/chicken-pattern-quilt-set-animal-patchwork-farmhouse-quilt-set", "serp_reqa_009", "revision_diff.json", "customizer_audit.json"]</t>
        </is>
      </c>
      <c r="J90" s="2" t="inlineStr">
        <is>
          <t>["R4-ISS-009-BODY"]</t>
        </is>
      </c>
      <c r="K90" s="2" t="inlineStr">
        <is>
          <t>r4</t>
        </is>
      </c>
    </row>
    <row r="91" ht="42" customHeight="1">
      <c r="A91" s="3" t="inlineStr">
        <is>
          <t>jeminise.com+chicken-pattern-quilt-set-animal-patchwork-farmhouse-quilt-set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IF(B91="I1",AVERAGEIF('QA_Images'!$A$2:$A$66,A91,'QA_Images'!$T$2:$T$66)/100,IF(D91="FULL",1,IF(D91="PARTIAL",0.5,IF(D91="FAIL",0,""))))</f>
        <v/>
      </c>
      <c r="F91" s="7">
        <f>IF(E91="",0,C91*E91)</f>
        <v/>
      </c>
      <c r="G91" s="7">
        <f>IF(B91="I1",20*AVERAGEIF('QA_Images'!$A$2:$A$66,A91,'QA_Images'!$U$2:$U$66)/100,IF(D91="NOT_CHECKED",0,C91))</f>
        <v/>
      </c>
      <c r="H91" s="3" t="inlineStr">
        <is>
          <t>Live product JSON, variants, gallery and Customizer schema were re-read; products 2 and 10 have verified text fields.</t>
        </is>
      </c>
      <c r="I91" s="3" t="inlineStr">
        <is>
          <t>["evidence_batch_001_009", "https://jeminise.com/products/chicken-pattern-quilt-set-animal-patchwork-farmhouse-quilt-set", "serp_reqa_009", "revision_diff.json", "customizer_audit.json"]</t>
        </is>
      </c>
      <c r="J91" s="3" t="inlineStr">
        <is>
          <t>["R4-ISS-009-BODY"]</t>
        </is>
      </c>
      <c r="K91" s="3" t="inlineStr">
        <is>
          <t>r4</t>
        </is>
      </c>
    </row>
    <row r="92" ht="42" customHeight="1">
      <c r="A92" s="2" t="inlineStr">
        <is>
          <t>jeminise.com+chicken-pattern-quilt-set-animal-patchwork-farmhouse-quilt-set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IF(B92="I1",AVERAGEIF('QA_Images'!$A$2:$A$66,A92,'QA_Images'!$T$2:$T$66)/100,IF(D92="FULL",1,IF(D92="PARTIAL",0.5,IF(D92="FAIL",0,""))))</f>
        <v/>
      </c>
      <c r="F92" s="5">
        <f>IF(E92="",0,C92*E92)</f>
        <v/>
      </c>
      <c r="G92" s="5">
        <f>IF(B92="I1",20*AVERAGEIF('QA_Images'!$A$2:$A$66,A92,'QA_Images'!$U$2:$U$66)/100,IF(D92="NOT_CHECKED",0,C92))</f>
        <v/>
      </c>
      <c r="H92" s="2" t="inlineStr">
        <is>
          <t>Primary query was checked against submitted evidence and fresh SERP research; product 5 retains a mismatched chicken-quilt source.</t>
        </is>
      </c>
      <c r="I92" s="2" t="inlineStr">
        <is>
          <t>["evidence_batch_001_009", "https://jeminise.com/products/chicken-pattern-quilt-set-animal-patchwork-farmhouse-quilt-set", "serp_reqa_009", "revision_diff.json", "customizer_audit.json"]</t>
        </is>
      </c>
      <c r="J92" s="2" t="inlineStr">
        <is>
          <t>["R4-ISS-009-BODY"]</t>
        </is>
      </c>
      <c r="K92" s="2" t="inlineStr">
        <is>
          <t>r4</t>
        </is>
      </c>
    </row>
    <row r="93" ht="42" customHeight="1">
      <c r="A93" s="3" t="inlineStr">
        <is>
          <t>jeminise.com+chicken-pattern-quilt-set-animal-patchwork-farmhouse-quilt-set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IF(B93="I1",AVERAGEIF('QA_Images'!$A$2:$A$66,A93,'QA_Images'!$T$2:$T$66)/100,IF(D93="FULL",1,IF(D93="PARTIAL",0.5,IF(D93="FAIL",0,""))))</f>
        <v/>
      </c>
      <c r="F93" s="7">
        <f>IF(E93="",0,C93*E93)</f>
        <v/>
      </c>
      <c r="G93" s="7">
        <f>IF(B93="I1",20*AVERAGEIF('QA_Images'!$A$2:$A$66,A93,'QA_Images'!$U$2:$U$66)/100,IF(D93="NOT_CHECKED",0,C93))</f>
        <v/>
      </c>
      <c r="H93" s="3" t="inlineStr">
        <is>
          <t>Primary and nearest alternative queries were searched for US commercial/product intent.</t>
        </is>
      </c>
      <c r="I93" s="3" t="inlineStr">
        <is>
          <t>["evidence_batch_001_009", "https://jeminise.com/products/chicken-pattern-quilt-set-animal-patchwork-farmhouse-quilt-set", "serp_reqa_009", "revision_diff.json", "customizer_audit.json"]</t>
        </is>
      </c>
      <c r="J93" s="3" t="inlineStr">
        <is>
          <t>["R4-ISS-009-BODY"]</t>
        </is>
      </c>
      <c r="K93" s="3" t="inlineStr">
        <is>
          <t>r4</t>
        </is>
      </c>
    </row>
    <row r="94" ht="42" customHeight="1">
      <c r="A94" s="2" t="inlineStr">
        <is>
          <t>jeminise.com+chicken-pattern-quilt-set-animal-patchwork-farmhouse-quilt-set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5">
        <f>IF(B94="I1",AVERAGEIF('QA_Images'!$A$2:$A$66,A94,'QA_Images'!$T$2:$T$66)/100,IF(D94="FULL",1,IF(D94="PARTIAL",0.5,IF(D94="FAIL",0,""))))</f>
        <v/>
      </c>
      <c r="F94" s="5">
        <f>IF(E94="",0,C94*E94)</f>
        <v/>
      </c>
      <c r="G94" s="5">
        <f>IF(B94="I1",20*AVERAGEIF('QA_Images'!$A$2:$A$66,A94,'QA_Images'!$U$2:$U$66)/100,IF(D94="NOT_CHECKED",0,C94))</f>
        <v/>
      </c>
      <c r="H94" s="2" t="inlineStr">
        <is>
          <t>Distinct artwork helps differentiation, but cardinal, cat and Celtic sibling pages still need an explicit intent map.</t>
        </is>
      </c>
      <c r="I94" s="2" t="inlineStr">
        <is>
          <t>["evidence_batch_001_009", "https://jeminise.com/products/chicken-pattern-quilt-set-animal-patchwork-farmhouse-quilt-set", "serp_reqa_009", "revision_diff.json", "customizer_audit.json"]</t>
        </is>
      </c>
      <c r="J94" s="2" t="inlineStr">
        <is>
          <t>["R4-ISS-009-BODY"]</t>
        </is>
      </c>
      <c r="K94" s="2" t="inlineStr">
        <is>
          <t>r4</t>
        </is>
      </c>
    </row>
    <row r="95" ht="42" customHeight="1">
      <c r="A95" s="3" t="inlineStr">
        <is>
          <t>jeminise.com+chicken-pattern-quilt-set-animal-patchwork-farmhouse-quilt-set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IF(B95="I1",AVERAGEIF('QA_Images'!$A$2:$A$66,A95,'QA_Images'!$T$2:$T$66)/100,IF(D95="FULL",1,IF(D95="PARTIAL",0.5,IF(D95="FAIL",0,""))))</f>
        <v/>
      </c>
      <c r="F95" s="7">
        <f>IF(E95="",0,C95*E95)</f>
        <v/>
      </c>
      <c r="G95" s="7">
        <f>IF(B95="I1",20*AVERAGEIF('QA_Images'!$A$2:$A$66,A95,'QA_Images'!$U$2:$U$66)/100,IF(D95="NOT_CHECKED",0,C95))</f>
        <v/>
      </c>
      <c r="H95" s="3" t="inlineStr">
        <is>
          <t>Title was checked for product type, motif, keyword fit and verified personalization opportunity.</t>
        </is>
      </c>
      <c r="I95" s="3" t="inlineStr">
        <is>
          <t>["evidence_batch_001_009", "https://jeminise.com/products/chicken-pattern-quilt-set-animal-patchwork-farmhouse-quilt-set", "serp_reqa_009", "revision_diff.json", "customizer_audit.json"]</t>
        </is>
      </c>
      <c r="J95" s="3" t="inlineStr">
        <is>
          <t>["R4-ISS-009-BODY"]</t>
        </is>
      </c>
      <c r="K95" s="3" t="inlineStr">
        <is>
          <t>r4</t>
        </is>
      </c>
    </row>
    <row r="96" ht="42" customHeight="1">
      <c r="A96" s="2" t="inlineStr">
        <is>
          <t>jeminise.com+chicken-pattern-quilt-set-animal-patchwork-farmhouse-quilt-set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IF(B96="I1",AVERAGEIF('QA_Images'!$A$2:$A$66,A96,'QA_Images'!$T$2:$T$66)/100,IF(D96="FULL",1,IF(D96="PARTIAL",0.5,IF(D96="FAIL",0,""))))</f>
        <v/>
      </c>
      <c r="F96" s="5">
        <f>IF(E96="",0,C96*E96)</f>
        <v/>
      </c>
      <c r="G96" s="5">
        <f>IF(B96="I1",20*AVERAGEIF('QA_Images'!$A$2:$A$66,A96,'QA_Images'!$U$2:$U$66)/100,IF(D96="NOT_CHECKED",0,C96))</f>
        <v/>
      </c>
      <c r="H96" s="2" t="inlineStr">
        <is>
          <t>H1 was assessed independently from the SEO title and live source encoding.</t>
        </is>
      </c>
      <c r="I96" s="2" t="inlineStr">
        <is>
          <t>["evidence_batch_001_009", "https://jeminise.com/products/chicken-pattern-quilt-set-animal-patchwork-farmhouse-quilt-set", "serp_reqa_009", "revision_diff.json", "customizer_audit.json"]</t>
        </is>
      </c>
      <c r="J96" s="2" t="inlineStr">
        <is>
          <t>["R4-ISS-009-BODY"]</t>
        </is>
      </c>
      <c r="K96" s="2" t="inlineStr">
        <is>
          <t>r4</t>
        </is>
      </c>
    </row>
    <row r="97" ht="42" customHeight="1">
      <c r="A97" s="3" t="inlineStr">
        <is>
          <t>jeminise.com+chicken-pattern-quilt-set-animal-patchwork-farmhouse-quilt-set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IF(B97="I1",AVERAGEIF('QA_Images'!$A$2:$A$66,A97,'QA_Images'!$T$2:$T$66)/100,IF(D97="FULL",1,IF(D97="PARTIAL",0.5,IF(D97="FAIL",0,""))))</f>
        <v/>
      </c>
      <c r="F97" s="7">
        <f>IF(E97="",0,C97*E97)</f>
        <v/>
      </c>
      <c r="G97" s="7">
        <f>IF(B97="I1",20*AVERAGEIF('QA_Images'!$A$2:$A$66,A97,'QA_Images'!$U$2:$U$66)/100,IF(D97="NOT_CHECKED",0,C97))</f>
        <v/>
      </c>
      <c r="H97" s="3" t="inlineStr">
        <is>
          <t>Meta description is concise and claim-safe; product 10 is ambiguous about editable name text.</t>
        </is>
      </c>
      <c r="I97" s="3" t="inlineStr">
        <is>
          <t>["evidence_batch_001_009", "https://jeminise.com/products/chicken-pattern-quilt-set-animal-patchwork-farmhouse-quilt-set", "serp_reqa_009", "revision_diff.json", "customizer_audit.json"]</t>
        </is>
      </c>
      <c r="J97" s="3" t="inlineStr">
        <is>
          <t>["R4-ISS-009-BODY"]</t>
        </is>
      </c>
      <c r="K97" s="3" t="inlineStr">
        <is>
          <t>r4</t>
        </is>
      </c>
    </row>
    <row r="98" ht="42" customHeight="1">
      <c r="A98" s="2" t="inlineStr">
        <is>
          <t>jeminise.com+chicken-pattern-quilt-set-animal-patchwork-farmhouse-quilt-set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IF(B98="I1",AVERAGEIF('QA_Images'!$A$2:$A$66,A98,'QA_Images'!$T$2:$T$66)/100,IF(D98="FULL",1,IF(D98="PARTIAL",0.5,IF(D98="FAIL",0,""))))</f>
        <v/>
      </c>
      <c r="F98" s="5">
        <f>IF(E98="",0,C98*E98)</f>
        <v/>
      </c>
      <c r="G98" s="5">
        <f>IF(B98="I1",20*AVERAGEIF('QA_Images'!$A$2:$A$66,A98,'QA_Images'!$U$2:$U$66)/100,IF(D98="NOT_CHECKED",0,C98))</f>
        <v/>
      </c>
      <c r="H98" s="2" t="inlineStr">
        <is>
          <t>Internal QA text and raw conflicting facts were removed, but the replacement body is repetitive and omits useful verified image/spec details.</t>
        </is>
      </c>
      <c r="I98" s="2" t="inlineStr">
        <is>
          <t>["evidence_batch_001_009", "https://jeminise.com/products/chicken-pattern-quilt-set-animal-patchwork-farmhouse-quilt-set", "serp_reqa_009", "revision_diff.json", "customizer_audit.json"]</t>
        </is>
      </c>
      <c r="J98" s="2" t="inlineStr">
        <is>
          <t>["R4-ISS-009-BODY"]</t>
        </is>
      </c>
      <c r="K98" s="2" t="inlineStr">
        <is>
          <t>r4</t>
        </is>
      </c>
    </row>
    <row r="99" ht="42" customHeight="1">
      <c r="A99" s="3" t="inlineStr">
        <is>
          <t>jeminise.com+chicken-pattern-quilt-set-animal-patchwork-farmhouse-quilt-set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IF(B99="I1",AVERAGEIF('QA_Images'!$A$2:$A$66,A99,'QA_Images'!$T$2:$T$66)/100,IF(D99="FULL",1,IF(D99="PARTIAL",0.5,IF(D99="FAIL",0,""))))</f>
        <v/>
      </c>
      <c r="F99" s="7">
        <f>IF(E99="",0,C99*E99)</f>
        <v/>
      </c>
      <c r="G99" s="7">
        <f>IF(B99="I1",20*AVERAGEIF('QA_Images'!$A$2:$A$66,A99,'QA_Images'!$U$2:$U$66)/100,IF(D99="NOT_CHECKED",0,C99))</f>
        <v/>
      </c>
      <c r="H99" s="3" t="inlineStr">
        <is>
          <t>Derived from directly checked r4 media records: 100.0/100.</t>
        </is>
      </c>
      <c r="I99" s="3" t="inlineStr">
        <is>
          <t>["evidence_batch_001_009", "https://jeminise.com/products/chicken-pattern-quilt-set-animal-patchwork-farmhouse-quilt-set", "serp_reqa_009", "revision_diff.json", "customizer_audit.json"]</t>
        </is>
      </c>
      <c r="J99" s="3" t="inlineStr">
        <is>
          <t>["R4-ISS-009-BODY"]</t>
        </is>
      </c>
      <c r="K99" s="3" t="inlineStr">
        <is>
          <t>r4</t>
        </is>
      </c>
    </row>
    <row r="100" ht="42" customHeight="1">
      <c r="A100" s="2" t="inlineStr">
        <is>
          <t>jeminise.com+chicken-pattern-quilt-set-animal-patchwork-farmhouse-quilt-set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IF(B100="I1",AVERAGEIF('QA_Images'!$A$2:$A$66,A100,'QA_Images'!$T$2:$T$66)/100,IF(D100="FULL",1,IF(D100="PARTIAL",0.5,IF(D100="FAIL",0,""))))</f>
        <v/>
      </c>
      <c r="F100" s="5">
        <f>IF(E100="",0,C100*E100)</f>
        <v/>
      </c>
      <c r="G100" s="5">
        <f>IF(B100="I1",20*AVERAGEIF('QA_Images'!$A$2:$A$66,A100,'QA_Images'!$U$2:$U$66)/100,IF(D100="NOT_CHECKED",0,C100))</f>
        <v/>
      </c>
      <c r="H100" s="2" t="inlineStr">
        <is>
          <t>Revision lineage, source rows, live source and evidence references were cross-checked; admin export remains unavailable.</t>
        </is>
      </c>
      <c r="I100" s="2" t="inlineStr">
        <is>
          <t>["evidence_batch_001_009", "https://jeminise.com/products/chicken-pattern-quilt-set-animal-patchwork-farmhouse-quilt-set", "serp_reqa_009", "revision_diff.json", "customizer_audit.json"]</t>
        </is>
      </c>
      <c r="J100" s="2" t="inlineStr">
        <is>
          <t>["R4-ISS-009-BODY"]</t>
        </is>
      </c>
      <c r="K100" s="2" t="inlineStr">
        <is>
          <t>r4</t>
        </is>
      </c>
    </row>
    <row r="101" ht="42" customHeight="1">
      <c r="A101" s="3" t="inlineStr">
        <is>
          <t>jeminise.com+christian-bedding-set-inspirational-bible-verse-comforte-design-01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IF(B101="I1",AVERAGEIF('QA_Images'!$A$2:$A$66,A101,'QA_Images'!$T$2:$T$66)/100,IF(D101="FULL",1,IF(D101="PARTIAL",0.5,IF(D101="FAIL",0,""))))</f>
        <v/>
      </c>
      <c r="F101" s="7">
        <f>IF(E101="",0,C101*E101)</f>
        <v/>
      </c>
      <c r="G101" s="7">
        <f>IF(B101="I1",20*AVERAGEIF('QA_Images'!$A$2:$A$66,A101,'QA_Images'!$U$2:$U$66)/100,IF(D101="NOT_CHECKED",0,C101))</f>
        <v/>
      </c>
      <c r="H101" s="3" t="inlineStr">
        <is>
          <t>Product key, handle, product ID, URL, canonical, live H1 and visible motif were rechecked.</t>
        </is>
      </c>
      <c r="I101" s="3" t="inlineStr">
        <is>
          <t>["evidence_batch_001_010", "https://jeminise.com/products/christian-bedding-set-inspirational-bible-verse-comforte-design-01", "serp_reqa_010", "revision_diff.json", "customizer_audit.json"]</t>
        </is>
      </c>
      <c r="J101" s="3" t="inlineStr">
        <is>
          <t>["R4-ISS-010-BODY", "R4-ISS-010-ENC"]</t>
        </is>
      </c>
      <c r="K101" s="3" t="inlineStr">
        <is>
          <t>r4</t>
        </is>
      </c>
    </row>
    <row r="102" ht="42" customHeight="1">
      <c r="A102" s="2" t="inlineStr">
        <is>
          <t>jeminise.com+christian-bedding-set-inspirational-bible-verse-comforte-design-01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IF(B102="I1",AVERAGEIF('QA_Images'!$A$2:$A$66,A102,'QA_Images'!$T$2:$T$66)/100,IF(D102="FULL",1,IF(D102="PARTIAL",0.5,IF(D102="FAIL",0,""))))</f>
        <v/>
      </c>
      <c r="F102" s="5">
        <f>IF(E102="",0,C102*E102)</f>
        <v/>
      </c>
      <c r="G102" s="5">
        <f>IF(B102="I1",20*AVERAGEIF('QA_Images'!$A$2:$A$66,A102,'QA_Images'!$U$2:$U$66)/100,IF(D102="NOT_CHECKED",0,C102))</f>
        <v/>
      </c>
      <c r="H102" s="2" t="inlineStr">
        <is>
          <t>Live product JSON, variants, gallery and Customizer schema were re-read; products 2 and 10 have verified text fields.</t>
        </is>
      </c>
      <c r="I102" s="2" t="inlineStr">
        <is>
          <t>["evidence_batch_001_010", "https://jeminise.com/products/christian-bedding-set-inspirational-bible-verse-comforte-design-01", "serp_reqa_010", "revision_diff.json", "customizer_audit.json"]</t>
        </is>
      </c>
      <c r="J102" s="2" t="inlineStr">
        <is>
          <t>["R4-ISS-010-BODY", "R4-ISS-010-ENC"]</t>
        </is>
      </c>
      <c r="K102" s="2" t="inlineStr">
        <is>
          <t>r4</t>
        </is>
      </c>
    </row>
    <row r="103" ht="42" customHeight="1">
      <c r="A103" s="3" t="inlineStr">
        <is>
          <t>jeminise.com+christian-bedding-set-inspirational-bible-verse-comforte-design-01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IF(B103="I1",AVERAGEIF('QA_Images'!$A$2:$A$66,A103,'QA_Images'!$T$2:$T$66)/100,IF(D103="FULL",1,IF(D103="PARTIAL",0.5,IF(D103="FAIL",0,""))))</f>
        <v/>
      </c>
      <c r="F103" s="7">
        <f>IF(E103="",0,C103*E103)</f>
        <v/>
      </c>
      <c r="G103" s="7">
        <f>IF(B103="I1",20*AVERAGEIF('QA_Images'!$A$2:$A$66,A103,'QA_Images'!$U$2:$U$66)/100,IF(D103="NOT_CHECKED",0,C103))</f>
        <v/>
      </c>
      <c r="H103" s="3" t="inlineStr">
        <is>
          <t>Primary query was checked against submitted evidence and fresh SERP research; product 5 retains a mismatched chicken-quilt source.</t>
        </is>
      </c>
      <c r="I103" s="3" t="inlineStr">
        <is>
          <t>["evidence_batch_001_010", "https://jeminise.com/products/christian-bedding-set-inspirational-bible-verse-comforte-design-01", "serp_reqa_010", "revision_diff.json", "customizer_audit.json"]</t>
        </is>
      </c>
      <c r="J103" s="3" t="inlineStr">
        <is>
          <t>["R4-ISS-010-BODY", "R4-ISS-010-ENC"]</t>
        </is>
      </c>
      <c r="K103" s="3" t="inlineStr">
        <is>
          <t>r4</t>
        </is>
      </c>
    </row>
    <row r="104" ht="42" customHeight="1">
      <c r="A104" s="2" t="inlineStr">
        <is>
          <t>jeminise.com+christian-bedding-set-inspirational-bible-verse-comforte-design-01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IF(B104="I1",AVERAGEIF('QA_Images'!$A$2:$A$66,A104,'QA_Images'!$T$2:$T$66)/100,IF(D104="FULL",1,IF(D104="PARTIAL",0.5,IF(D104="FAIL",0,""))))</f>
        <v/>
      </c>
      <c r="F104" s="5">
        <f>IF(E104="",0,C104*E104)</f>
        <v/>
      </c>
      <c r="G104" s="5">
        <f>IF(B104="I1",20*AVERAGEIF('QA_Images'!$A$2:$A$66,A104,'QA_Images'!$U$2:$U$66)/100,IF(D104="NOT_CHECKED",0,C104))</f>
        <v/>
      </c>
      <c r="H104" s="2" t="inlineStr">
        <is>
          <t>Primary and nearest alternative queries were searched for US commercial/product intent.</t>
        </is>
      </c>
      <c r="I104" s="2" t="inlineStr">
        <is>
          <t>["evidence_batch_001_010", "https://jeminise.com/products/christian-bedding-set-inspirational-bible-verse-comforte-design-01", "serp_reqa_010", "revision_diff.json", "customizer_audit.json"]</t>
        </is>
      </c>
      <c r="J104" s="2" t="inlineStr">
        <is>
          <t>["R4-ISS-010-BODY", "R4-ISS-010-ENC"]</t>
        </is>
      </c>
      <c r="K104" s="2" t="inlineStr">
        <is>
          <t>r4</t>
        </is>
      </c>
    </row>
    <row r="105" ht="42" customHeight="1">
      <c r="A105" s="3" t="inlineStr">
        <is>
          <t>jeminise.com+christian-bedding-set-inspirational-bible-verse-comforte-design-01</t>
        </is>
      </c>
      <c r="B105" s="3" t="inlineStr">
        <is>
          <t>K3</t>
        </is>
      </c>
      <c r="C105" s="3" t="n">
        <v>5</v>
      </c>
      <c r="D105" s="3" t="inlineStr">
        <is>
          <t>FULL</t>
        </is>
      </c>
      <c r="E105" s="7">
        <f>IF(B105="I1",AVERAGEIF('QA_Images'!$A$2:$A$66,A105,'QA_Images'!$T$2:$T$66)/100,IF(D105="FULL",1,IF(D105="PARTIAL",0.5,IF(D105="FAIL",0,""))))</f>
        <v/>
      </c>
      <c r="F105" s="7">
        <f>IF(E105="",0,C105*E105)</f>
        <v/>
      </c>
      <c r="G105" s="7">
        <f>IF(B105="I1",20*AVERAGEIF('QA_Images'!$A$2:$A$66,A105,'QA_Images'!$U$2:$U$66)/100,IF(D105="NOT_CHECKED",0,C105))</f>
        <v/>
      </c>
      <c r="H105" s="3" t="inlineStr">
        <is>
          <t>Distinct artwork helps differentiation, but cardinal, cat and Celtic sibling pages still need an explicit intent map.</t>
        </is>
      </c>
      <c r="I105" s="3" t="inlineStr">
        <is>
          <t>["evidence_batch_001_010", "https://jeminise.com/products/christian-bedding-set-inspirational-bible-verse-comforte-design-01", "serp_reqa_010", "revision_diff.json", "customizer_audit.json"]</t>
        </is>
      </c>
      <c r="J105" s="3" t="inlineStr">
        <is>
          <t>["R4-ISS-010-BODY", "R4-ISS-010-ENC"]</t>
        </is>
      </c>
      <c r="K105" s="3" t="inlineStr">
        <is>
          <t>r4</t>
        </is>
      </c>
    </row>
    <row r="106" ht="42" customHeight="1">
      <c r="A106" s="2" t="inlineStr">
        <is>
          <t>jeminise.com+christian-bedding-set-inspirational-bible-verse-comforte-design-01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IF(B106="I1",AVERAGEIF('QA_Images'!$A$2:$A$66,A106,'QA_Images'!$T$2:$T$66)/100,IF(D106="FULL",1,IF(D106="PARTIAL",0.5,IF(D106="FAIL",0,""))))</f>
        <v/>
      </c>
      <c r="F106" s="5">
        <f>IF(E106="",0,C106*E106)</f>
        <v/>
      </c>
      <c r="G106" s="5">
        <f>IF(B106="I1",20*AVERAGEIF('QA_Images'!$A$2:$A$66,A106,'QA_Images'!$U$2:$U$66)/100,IF(D106="NOT_CHECKED",0,C106))</f>
        <v/>
      </c>
      <c r="H106" s="2" t="inlineStr">
        <is>
          <t>Title was checked for product type, motif, keyword fit and verified personalization opportunity.</t>
        </is>
      </c>
      <c r="I106" s="2" t="inlineStr">
        <is>
          <t>["evidence_batch_001_010", "https://jeminise.com/products/christian-bedding-set-inspirational-bible-verse-comforte-design-01", "serp_reqa_010", "revision_diff.json", "customizer_audit.json"]</t>
        </is>
      </c>
      <c r="J106" s="2" t="inlineStr">
        <is>
          <t>["R4-ISS-010-BODY", "R4-ISS-010-ENC"]</t>
        </is>
      </c>
      <c r="K106" s="2" t="inlineStr">
        <is>
          <t>r4</t>
        </is>
      </c>
    </row>
    <row r="107" ht="42" customHeight="1">
      <c r="A107" s="3" t="inlineStr">
        <is>
          <t>jeminise.com+christian-bedding-set-inspirational-bible-verse-comforte-design-01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IF(B107="I1",AVERAGEIF('QA_Images'!$A$2:$A$66,A107,'QA_Images'!$T$2:$T$66)/100,IF(D107="FULL",1,IF(D107="PARTIAL",0.5,IF(D107="FAIL",0,""))))</f>
        <v/>
      </c>
      <c r="F107" s="7">
        <f>IF(E107="",0,C107*E107)</f>
        <v/>
      </c>
      <c r="G107" s="7">
        <f>IF(B107="I1",20*AVERAGEIF('QA_Images'!$A$2:$A$66,A107,'QA_Images'!$U$2:$U$66)/100,IF(D107="NOT_CHECKED",0,C107))</f>
        <v/>
      </c>
      <c r="H107" s="3" t="inlineStr">
        <is>
          <t>H1 was assessed independently from the SEO title and live source encoding.</t>
        </is>
      </c>
      <c r="I107" s="3" t="inlineStr">
        <is>
          <t>["evidence_batch_001_010", "https://jeminise.com/products/christian-bedding-set-inspirational-bible-verse-comforte-design-01", "serp_reqa_010", "revision_diff.json", "customizer_audit.json"]</t>
        </is>
      </c>
      <c r="J107" s="3" t="inlineStr">
        <is>
          <t>["R4-ISS-010-BODY", "R4-ISS-010-ENC"]</t>
        </is>
      </c>
      <c r="K107" s="3" t="inlineStr">
        <is>
          <t>r4</t>
        </is>
      </c>
    </row>
    <row r="108" ht="42" customHeight="1">
      <c r="A108" s="2" t="inlineStr">
        <is>
          <t>jeminise.com+christian-bedding-set-inspirational-bible-verse-comforte-design-01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IF(B108="I1",AVERAGEIF('QA_Images'!$A$2:$A$66,A108,'QA_Images'!$T$2:$T$66)/100,IF(D108="FULL",1,IF(D108="PARTIAL",0.5,IF(D108="FAIL",0,""))))</f>
        <v/>
      </c>
      <c r="F108" s="5">
        <f>IF(E108="",0,C108*E108)</f>
        <v/>
      </c>
      <c r="G108" s="5">
        <f>IF(B108="I1",20*AVERAGEIF('QA_Images'!$A$2:$A$66,A108,'QA_Images'!$U$2:$U$66)/100,IF(D108="NOT_CHECKED",0,C108))</f>
        <v/>
      </c>
      <c r="H108" s="2" t="inlineStr">
        <is>
          <t>Meta description is concise and claim-safe; product 10 is ambiguous about editable name text.</t>
        </is>
      </c>
      <c r="I108" s="2" t="inlineStr">
        <is>
          <t>["evidence_batch_001_010", "https://jeminise.com/products/christian-bedding-set-inspirational-bible-verse-comforte-design-01", "serp_reqa_010", "revision_diff.json", "customizer_audit.json"]</t>
        </is>
      </c>
      <c r="J108" s="2" t="inlineStr">
        <is>
          <t>["R4-ISS-010-BODY", "R4-ISS-010-ENC"]</t>
        </is>
      </c>
      <c r="K108" s="2" t="inlineStr">
        <is>
          <t>r4</t>
        </is>
      </c>
    </row>
    <row r="109" ht="42" customHeight="1">
      <c r="A109" s="3" t="inlineStr">
        <is>
          <t>jeminise.com+christian-bedding-set-inspirational-bible-verse-comforte-design-01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IF(B109="I1",AVERAGEIF('QA_Images'!$A$2:$A$66,A109,'QA_Images'!$T$2:$T$66)/100,IF(D109="FULL",1,IF(D109="PARTIAL",0.5,IF(D109="FAIL",0,""))))</f>
        <v/>
      </c>
      <c r="F109" s="7">
        <f>IF(E109="",0,C109*E109)</f>
        <v/>
      </c>
      <c r="G109" s="7">
        <f>IF(B109="I1",20*AVERAGEIF('QA_Images'!$A$2:$A$66,A109,'QA_Images'!$U$2:$U$66)/100,IF(D109="NOT_CHECKED",0,C109))</f>
        <v/>
      </c>
      <c r="H109" s="3" t="inlineStr">
        <is>
          <t>Internal QA text and raw conflicting facts were removed, but the replacement body is repetitive and omits useful verified image/spec details.</t>
        </is>
      </c>
      <c r="I109" s="3" t="inlineStr">
        <is>
          <t>["evidence_batch_001_010", "https://jeminise.com/products/christian-bedding-set-inspirational-bible-verse-comforte-design-01", "serp_reqa_010", "revision_diff.json", "customizer_audit.json"]</t>
        </is>
      </c>
      <c r="J109" s="3" t="inlineStr">
        <is>
          <t>["R4-ISS-010-BODY", "R4-ISS-010-ENC"]</t>
        </is>
      </c>
      <c r="K109" s="3" t="inlineStr">
        <is>
          <t>r4</t>
        </is>
      </c>
    </row>
    <row r="110" ht="42" customHeight="1">
      <c r="A110" s="2" t="inlineStr">
        <is>
          <t>jeminise.com+christian-bedding-set-inspirational-bible-verse-comforte-design-01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IF(B110="I1",AVERAGEIF('QA_Images'!$A$2:$A$66,A110,'QA_Images'!$T$2:$T$66)/100,IF(D110="FULL",1,IF(D110="PARTIAL",0.5,IF(D110="FAIL",0,""))))</f>
        <v/>
      </c>
      <c r="F110" s="5">
        <f>IF(E110="",0,C110*E110)</f>
        <v/>
      </c>
      <c r="G110" s="5">
        <f>IF(B110="I1",20*AVERAGEIF('QA_Images'!$A$2:$A$66,A110,'QA_Images'!$U$2:$U$66)/100,IF(D110="NOT_CHECKED",0,C110))</f>
        <v/>
      </c>
      <c r="H110" s="2" t="inlineStr">
        <is>
          <t>Derived from directly checked r4 media records: 100.0/100.</t>
        </is>
      </c>
      <c r="I110" s="2" t="inlineStr">
        <is>
          <t>["evidence_batch_001_010", "https://jeminise.com/products/christian-bedding-set-inspirational-bible-verse-comforte-design-01", "serp_reqa_010", "revision_diff.json", "customizer_audit.json"]</t>
        </is>
      </c>
      <c r="J110" s="2" t="inlineStr">
        <is>
          <t>["R4-ISS-010-BODY", "R4-ISS-010-ENC"]</t>
        </is>
      </c>
      <c r="K110" s="2" t="inlineStr">
        <is>
          <t>r4</t>
        </is>
      </c>
    </row>
    <row r="111" ht="42" customHeight="1">
      <c r="A111" s="3" t="inlineStr">
        <is>
          <t>jeminise.com+christian-bedding-set-inspirational-bible-verse-comforte-design-01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IF(B111="I1",AVERAGEIF('QA_Images'!$A$2:$A$66,A111,'QA_Images'!$T$2:$T$66)/100,IF(D111="FULL",1,IF(D111="PARTIAL",0.5,IF(D111="FAIL",0,""))))</f>
        <v/>
      </c>
      <c r="F111" s="7">
        <f>IF(E111="",0,C111*E111)</f>
        <v/>
      </c>
      <c r="G111" s="7">
        <f>IF(B111="I1",20*AVERAGEIF('QA_Images'!$A$2:$A$66,A111,'QA_Images'!$U$2:$U$66)/100,IF(D111="NOT_CHECKED",0,C111))</f>
        <v/>
      </c>
      <c r="H111" s="3" t="inlineStr">
        <is>
          <t>Revision lineage, source rows, live source and evidence references were cross-checked; admin export remains unavailable.</t>
        </is>
      </c>
      <c r="I111" s="3" t="inlineStr">
        <is>
          <t>["evidence_batch_001_010", "https://jeminise.com/products/christian-bedding-set-inspirational-bible-verse-comforte-design-01", "serp_reqa_010", "revision_diff.json", "customizer_audit.json"]</t>
        </is>
      </c>
      <c r="J111" s="3" t="inlineStr">
        <is>
          <t>["R4-ISS-010-BODY", "R4-ISS-010-ENC"]</t>
        </is>
      </c>
      <c r="K111" s="3" t="inlineStr">
        <is>
          <t>r4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jeminise.com+autumn-cardinals-perched-above-large-sunflowers-quilt-with-cardinal-birds-9a3b408b20-9a3b408b20</t>
        </is>
      </c>
      <c r="B2" s="2" t="inlineStr">
        <is>
          <t>qaimg_9808a3488a22128b</t>
        </is>
      </c>
      <c r="C2" s="4" t="inlineStr">
        <is>
          <t>https://cdn.shopify.com/s/files/1/0792/5098/1063/files/0754b2731a7ffd916d0ef8b214706e796d780fbd4ba38c8f47f27b6dcfbf352e.jpg?v=1785099190</t>
        </is>
      </c>
      <c r="D2" s="4" t="inlineStr">
        <is>
          <t>https://cdn.shopify.com/s/files/1/0792/5098/1063/files/0754b2731a7ffd916d0ef8b214706e796d780fbd4ba38c8f47f27b6dcfbf352e.jpg?v=1785099190</t>
        </is>
      </c>
      <c r="E2" s="2" t="inlineStr">
        <is>
          <t>38506577854663</t>
        </is>
      </c>
      <c r="F2" s="2" t="inlineStr">
        <is>
          <t>47540016382151</t>
        </is>
      </c>
      <c r="G2" s="2" t="inlineStr"/>
      <c r="H2" s="2" t="inlineStr">
        <is>
          <t>GALLERY</t>
        </is>
      </c>
      <c r="I2" s="2" t="inlineStr">
        <is>
          <t>DIRECT_ORIGINAL_IMAGE_REQA + R4_MEDIA_ID_COMPARISON</t>
        </is>
      </c>
      <c r="J2" s="2" t="inlineStr">
        <is>
          <t>2026-09-08T08:47:09.444535+07:00</t>
        </is>
      </c>
      <c r="K2" s="2" t="inlineStr">
        <is>
          <t>Bed mockup with two red cardinals, large yellow sunflowers and autumn leaves.</t>
        </is>
      </c>
      <c r="L2" s="2" t="inlineStr">
        <is>
          <t>Red cardinals perched above large yellow sunflowers on an autumn quilt bed mockup with matching shams.</t>
        </is>
      </c>
      <c r="M2" s="2" t="inlineStr">
        <is>
          <t>Autumn Cardinals Perched Above Large Sunflowers Quilt with Cardinal Birds</t>
        </is>
      </c>
      <c r="N2" s="2" t="inlineStr">
        <is>
          <t>SET</t>
        </is>
      </c>
      <c r="O2" s="2" t="inlineStr">
        <is>
          <t>Cardinal sunflower autumn quilt set on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["seo_runs\\jeminise.com\\20260906_234129\\evidence\\images\\1_autumn-cardinals-perched-above-large-sunflowers-quilt-with-cardinal-birds-9a3b408b20-9a3b408b20\\image_01_47540016382151.jpg; seo_runs\\jeminise.com\\20260906_234129\\evidence\\contact_sheets\\1_autumn-cardinals-perched-above-large-sunflowers-quilt-with-cardinal-birds-9a3b408b20-9a3b408b20.jpg", "https://jeminise.com/products/autumn-cardinals-perched-above-large-sunflowers-quilt-with-cardinal-birds-9a3b408b20-9a3b408b20", "https://cdn.shopify.com/s/files/1/0792/5098/1063/files/0754b2731a7ffd916d0ef8b214706e796d780fbd4ba38c8f47f27b6dcfbf352e.jpg?v=1785099190"]</t>
        </is>
      </c>
      <c r="AA2" s="2" t="inlineStr">
        <is>
          <t>r4</t>
        </is>
      </c>
    </row>
    <row r="3" ht="66" customHeight="1">
      <c r="A3" s="3" t="inlineStr">
        <is>
          <t>jeminise.com+autumn-cardinals-perched-above-large-sunflowers-quilt-with-cardinal-birds-9a3b408b20-9a3b408b20</t>
        </is>
      </c>
      <c r="B3" s="3" t="inlineStr">
        <is>
          <t>qaimg_c8e0c4111df9742a</t>
        </is>
      </c>
      <c r="C3" s="4" t="inlineStr">
        <is>
          <t>https://cdn.shopify.com/s/files/1/0792/5098/1063/files/a10aa0018e665e644a60b7c4aea8b5e152ec768ebb35af1090452cddbc9e9828.jpg?v=1785099190</t>
        </is>
      </c>
      <c r="D3" s="4" t="inlineStr">
        <is>
          <t>https://cdn.shopify.com/s/files/1/0792/5098/1063/files/a10aa0018e665e644a60b7c4aea8b5e152ec768ebb35af1090452cddbc9e9828.jpg?v=1785099190</t>
        </is>
      </c>
      <c r="E3" s="3" t="inlineStr">
        <is>
          <t>38506577887431</t>
        </is>
      </c>
      <c r="F3" s="3" t="inlineStr">
        <is>
          <t>47540016414919</t>
        </is>
      </c>
      <c r="G3" s="3" t="inlineStr"/>
      <c r="H3" s="3" t="inlineStr">
        <is>
          <t>GALLERY</t>
        </is>
      </c>
      <c r="I3" s="3" t="inlineStr">
        <is>
          <t>DIRECT_ORIGINAL_IMAGE_REQA + R4_MEDIA_ID_COMPARISON</t>
        </is>
      </c>
      <c r="J3" s="3" t="inlineStr">
        <is>
          <t>2026-09-08T08:47:09.444535+07:00</t>
        </is>
      </c>
      <c r="K3" s="3" t="inlineStr">
        <is>
          <t>Close-up of the cardinal-and-sunflower print and quilted stitching.</t>
        </is>
      </c>
      <c r="L3" s="3" t="inlineStr">
        <is>
          <t>Close-up of a red cardinal, sunflower petals, orange leaves and visible quilt stitching.</t>
        </is>
      </c>
      <c r="M3" s="3" t="inlineStr">
        <is>
          <t>Autumn Cardinals Perched Above Large Sunflowers Quilt with Cardinal Birds</t>
        </is>
      </c>
      <c r="N3" s="3" t="inlineStr">
        <is>
          <t>SET</t>
        </is>
      </c>
      <c r="O3" s="3" t="inlineStr">
        <is>
          <t>Close-up of cardinal sunflower quilt stitching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["seo_runs\\jeminise.com\\20260906_234129\\evidence\\images\\1_autumn-cardinals-perched-above-large-sunflowers-quilt-with-cardinal-birds-9a3b408b20-9a3b408b20\\image_02_47540016414919.jpg; seo_runs\\jeminise.com\\20260906_234129\\evidence\\contact_sheets\\1_autumn-cardinals-perched-above-large-sunflowers-quilt-with-cardinal-birds-9a3b408b20-9a3b408b20.jpg", "https://jeminise.com/products/autumn-cardinals-perched-above-large-sunflowers-quilt-with-cardinal-birds-9a3b408b20-9a3b408b20", "https://cdn.shopify.com/s/files/1/0792/5098/1063/files/a10aa0018e665e644a60b7c4aea8b5e152ec768ebb35af1090452cddbc9e9828.jpg?v=1785099190"]</t>
        </is>
      </c>
      <c r="AA3" s="3" t="inlineStr">
        <is>
          <t>r4</t>
        </is>
      </c>
    </row>
    <row r="4" ht="66" customHeight="1">
      <c r="A4" s="2" t="inlineStr">
        <is>
          <t>jeminise.com+autumn-cardinals-perched-above-large-sunflowers-quilt-with-cardinal-birds-9a3b408b20-9a3b408b20</t>
        </is>
      </c>
      <c r="B4" s="2" t="inlineStr">
        <is>
          <t>qaimg_151738926e676561</t>
        </is>
      </c>
      <c r="C4" s="4" t="inlineStr">
        <is>
          <t>https://cdn.shopify.com/s/files/1/0792/5098/1063/files/c50488380d22611c83d218b77be9cfcf5799df4d9903913c09a1798712931b22.jpg?v=1785099190</t>
        </is>
      </c>
      <c r="D4" s="4" t="inlineStr">
        <is>
          <t>https://cdn.shopify.com/s/files/1/0792/5098/1063/files/c50488380d22611c83d218b77be9cfcf5799df4d9903913c09a1798712931b22.jpg?v=1785099190</t>
        </is>
      </c>
      <c r="E4" s="2" t="inlineStr">
        <is>
          <t>38506577920199</t>
        </is>
      </c>
      <c r="F4" s="2" t="inlineStr">
        <is>
          <t>47540016447687</t>
        </is>
      </c>
      <c r="G4" s="2" t="inlineStr"/>
      <c r="H4" s="2" t="inlineStr">
        <is>
          <t>GALLERY</t>
        </is>
      </c>
      <c r="I4" s="2" t="inlineStr">
        <is>
          <t>DIRECT_ORIGINAL_IMAGE_REQA + R4_MEDIA_ID_COMPARISON</t>
        </is>
      </c>
      <c r="J4" s="2" t="inlineStr">
        <is>
          <t>2026-09-08T08:47:09.444535+07:00</t>
        </is>
      </c>
      <c r="K4" s="2" t="inlineStr">
        <is>
          <t>Pillow sham using the cardinal-and-sunflower artwork.</t>
        </is>
      </c>
      <c r="L4" s="2" t="inlineStr">
        <is>
          <t>Matching pillow sham with two cardinals, sunflower artwork and autumn leaf accents.</t>
        </is>
      </c>
      <c r="M4" s="2" t="inlineStr">
        <is>
          <t>Autumn Cardinals Perched Above Large Sunflowers Quilt with Cardinal Birds</t>
        </is>
      </c>
      <c r="N4" s="2" t="inlineStr">
        <is>
          <t>SET</t>
        </is>
      </c>
      <c r="O4" s="2" t="inlineStr">
        <is>
          <t>Cardinal sunflower pillow sham with autumn leaves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["seo_runs\\jeminise.com\\20260906_234129\\evidence\\images\\1_autumn-cardinals-perched-above-large-sunflowers-quilt-with-cardinal-birds-9a3b408b20-9a3b408b20\\image_03_47540016447687.jpg; seo_runs\\jeminise.com\\20260906_234129\\evidence\\contact_sheets\\1_autumn-cardinals-perched-above-large-sunflowers-quilt-with-cardinal-birds-9a3b408b20-9a3b408b20.jpg", "https://jeminise.com/products/autumn-cardinals-perched-above-large-sunflowers-quilt-with-cardinal-birds-9a3b408b20-9a3b408b20", "https://cdn.shopify.com/s/files/1/0792/5098/1063/files/c50488380d22611c83d218b77be9cfcf5799df4d9903913c09a1798712931b22.jpg?v=1785099190"]</t>
        </is>
      </c>
      <c r="AA4" s="2" t="inlineStr">
        <is>
          <t>r4</t>
        </is>
      </c>
    </row>
    <row r="5" ht="66" customHeight="1">
      <c r="A5" s="3" t="inlineStr">
        <is>
          <t>jeminise.com+autumn-cardinals-perched-above-large-sunflowers-quilt-with-cardinal-birds-9a3b408b20-9a3b408b20</t>
        </is>
      </c>
      <c r="B5" s="3" t="inlineStr">
        <is>
          <t>qaimg_e40aceb16ae7429c</t>
        </is>
      </c>
      <c r="C5" s="4" t="inlineStr">
        <is>
          <t>https://cdn.shopify.com/s/files/1/0792/5098/1063/files/455c5869333cc7654f6c30f3d09716ec1513311734a21a6aa82bf5fe0767ac69.jpg?v=1785099191</t>
        </is>
      </c>
      <c r="D5" s="4" t="inlineStr">
        <is>
          <t>https://cdn.shopify.com/s/files/1/0792/5098/1063/files/455c5869333cc7654f6c30f3d09716ec1513311734a21a6aa82bf5fe0767ac69.jpg?v=1785099191</t>
        </is>
      </c>
      <c r="E5" s="3" t="inlineStr">
        <is>
          <t>38506577952967</t>
        </is>
      </c>
      <c r="F5" s="3" t="inlineStr">
        <is>
          <t>47540016480455</t>
        </is>
      </c>
      <c r="G5" s="3" t="inlineStr"/>
      <c r="H5" s="3" t="inlineStr">
        <is>
          <t>GALLERY</t>
        </is>
      </c>
      <c r="I5" s="3" t="inlineStr">
        <is>
          <t>DIRECT_ORIGINAL_IMAGE_REQA + R4_MEDIA_ID_COMPARISON</t>
        </is>
      </c>
      <c r="J5" s="3" t="inlineStr">
        <is>
          <t>2026-09-08T08:47:09.444535+07:00</t>
        </is>
      </c>
      <c r="K5" s="3" t="inlineStr">
        <is>
          <t>Alternate bedroom angle showing the cardinal-and-sunflower quilt.</t>
        </is>
      </c>
      <c r="L5" s="3" t="inlineStr">
        <is>
          <t>Bedroom scene showing the cardinal sunflower quilt styled across a bed with coordinated pillows.</t>
        </is>
      </c>
      <c r="M5" s="3" t="inlineStr">
        <is>
          <t>Autumn Cardinals Perched Above Large Sunflowers Quilt with Cardinal Birds</t>
        </is>
      </c>
      <c r="N5" s="3" t="inlineStr">
        <is>
          <t>SET</t>
        </is>
      </c>
      <c r="O5" s="3" t="inlineStr">
        <is>
          <t>Cardinal sunflower autumn quilt bedroom mockup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["seo_runs\\jeminise.com\\20260906_234129\\evidence\\images\\1_autumn-cardinals-perched-above-large-sunflowers-quilt-with-cardinal-birds-9a3b408b20-9a3b408b20\\image_04_47540016480455.jpg; seo_runs\\jeminise.com\\20260906_234129\\evidence\\contact_sheets\\1_autumn-cardinals-perched-above-large-sunflowers-quilt-with-cardinal-birds-9a3b408b20-9a3b408b20.jpg", "https://jeminise.com/products/autumn-cardinals-perched-above-large-sunflowers-quilt-with-cardinal-birds-9a3b408b20-9a3b408b20", "https://cdn.shopify.com/s/files/1/0792/5098/1063/files/455c5869333cc7654f6c30f3d09716ec1513311734a21a6aa82bf5fe0767ac69.jpg?v=1785099191"]</t>
        </is>
      </c>
      <c r="AA5" s="3" t="inlineStr">
        <is>
          <t>r4</t>
        </is>
      </c>
    </row>
    <row r="6" ht="66" customHeight="1">
      <c r="A6" s="2" t="inlineStr">
        <is>
          <t>jeminise.com+autumn-cardinals-perched-above-large-sunflowers-quilt-with-cardinal-birds-9a3b408b20-9a3b408b20</t>
        </is>
      </c>
      <c r="B6" s="2" t="inlineStr">
        <is>
          <t>qaimg_8a56044406ccfa03</t>
        </is>
      </c>
      <c r="C6" s="4" t="inlineStr">
        <is>
          <t>https://cdn.shopify.com/s/files/1/0792/5098/1063/files/f17ccb354040b3320b99a1960533bd6ef949db1145d3897d55a33673489caad9.jpg?v=1785099190</t>
        </is>
      </c>
      <c r="D6" s="4" t="inlineStr">
        <is>
          <t>https://cdn.shopify.com/s/files/1/0792/5098/1063/files/f17ccb354040b3320b99a1960533bd6ef949db1145d3897d55a33673489caad9.jpg?v=1785099190</t>
        </is>
      </c>
      <c r="E6" s="2" t="inlineStr">
        <is>
          <t>38506577985735</t>
        </is>
      </c>
      <c r="F6" s="2" t="inlineStr">
        <is>
          <t>47540016513223</t>
        </is>
      </c>
      <c r="G6" s="2" t="inlineStr"/>
      <c r="H6" s="2" t="inlineStr">
        <is>
          <t>GALLERY</t>
        </is>
      </c>
      <c r="I6" s="2" t="inlineStr">
        <is>
          <t>DIRECT_ORIGINAL_IMAGE_REQA + R4_MEDIA_ID_COMPARISON</t>
        </is>
      </c>
      <c r="J6" s="2" t="inlineStr">
        <is>
          <t>2026-09-08T08:47:09.444535+07:00</t>
        </is>
      </c>
      <c r="K6" s="2" t="inlineStr">
        <is>
          <t>Included-components and dimensions graphic: one quilt; two standard shams are optional; Throw/Twin/Queen/King sizes shown.</t>
        </is>
      </c>
      <c r="L6" s="2" t="inlineStr">
        <is>
          <t>Size and component panel showing quilt size choices and two optional standard shams.</t>
        </is>
      </c>
      <c r="M6" s="2" t="inlineStr">
        <is>
          <t>Autumn Cardinals Perched Above Large Sunflowers Quilt with Cardinal Birds</t>
        </is>
      </c>
      <c r="N6" s="2" t="inlineStr">
        <is>
          <t>SET</t>
        </is>
      </c>
      <c r="O6" s="2" t="inlineStr">
        <is>
          <t>Cardinal sunflower quilt size and sham options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["seo_runs\\jeminise.com\\20260906_234129\\evidence\\images\\1_autumn-cardinals-perched-above-large-sunflowers-quilt-with-cardinal-birds-9a3b408b20-9a3b408b20\\image_05_47540016513223.jpg; seo_runs\\jeminise.com\\20260906_234129\\evidence\\contact_sheets\\1_autumn-cardinals-perched-above-large-sunflowers-quilt-with-cardinal-birds-9a3b408b20-9a3b408b20.jpg", "https://jeminise.com/products/autumn-cardinals-perched-above-large-sunflowers-quilt-with-cardinal-birds-9a3b408b20-9a3b408b20", "https://cdn.shopify.com/s/files/1/0792/5098/1063/files/f17ccb354040b3320b99a1960533bd6ef949db1145d3897d55a33673489caad9.jpg?v=1785099190"]</t>
        </is>
      </c>
      <c r="AA6" s="2" t="inlineStr">
        <is>
          <t>r4</t>
        </is>
      </c>
    </row>
    <row r="7" ht="66" customHeight="1">
      <c r="A7" s="3" t="inlineStr">
        <is>
          <t>jeminise.com+bright-teal-yellow-softball-comforter-set-premium-sports-theme</t>
        </is>
      </c>
      <c r="B7" s="3" t="inlineStr">
        <is>
          <t>qaimg_1fd378044829575a</t>
        </is>
      </c>
      <c r="C7" s="4" t="inlineStr">
        <is>
          <t>https://cdn.shopify.com/s/files/1/0792/5098/1063/files/aaac3be2edd458da15620b4b48ea0557ee8e33aa5a6ff9ed0d0db11848fd4cbe.jpg?v=1787245111</t>
        </is>
      </c>
      <c r="D7" s="4" t="inlineStr">
        <is>
          <t>https://cdn.shopify.com/s/files/1/0792/5098/1063/files/aaac3be2edd458da15620b4b48ea0557ee8e33aa5a6ff9ed0d0db11848fd4cbe.jpg?v=1787245111</t>
        </is>
      </c>
      <c r="E7" s="3" t="inlineStr">
        <is>
          <t>38895967404231</t>
        </is>
      </c>
      <c r="F7" s="3" t="inlineStr">
        <is>
          <t>47934735909063</t>
        </is>
      </c>
      <c r="G7" s="3" t="inlineStr"/>
      <c r="H7" s="3" t="inlineStr">
        <is>
          <t>GALLERY</t>
        </is>
      </c>
      <c r="I7" s="3" t="inlineStr">
        <is>
          <t>DIRECT_ORIGINAL_IMAGE_REQA + R4_MEDIA_ID_COMPARISON</t>
        </is>
      </c>
      <c r="J7" s="3" t="inlineStr">
        <is>
          <t>2026-09-08T08:47:09.444535+07:00</t>
        </is>
      </c>
      <c r="K7" s="3" t="inlineStr">
        <is>
          <t>Front bed mockup: teal, black and white softball patchwork, player silhouettes, number 88, RILEY and EAT SLEEP SOFTBALL text.</t>
        </is>
      </c>
      <c r="L7" s="3" t="inlineStr">
        <is>
          <t>Teal, black and white softball comforter bed mockup with player silhouettes, Riley name, number 88 and Eat Sleep Softball artwork.</t>
        </is>
      </c>
      <c r="M7" s="3" t="inlineStr">
        <is>
          <t>Bright Teal Yellow Softball Comforter Set – Premium Sports Theme Bedding for Girls, Teens &amp; Women Who Love Softball, Offered in Twin, Queen, King Bed Sizes</t>
        </is>
      </c>
      <c r="N7" s="3" t="inlineStr">
        <is>
          <t>SET</t>
        </is>
      </c>
      <c r="O7" s="3" t="inlineStr">
        <is>
          <t>Personalized teal softball comforter set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["seo_runs\\jeminise.com\\20260906_234129\\evidence\\images\\2_bright-teal-yellow-softball-comforter-set-premium-sports-theme\\image_01_47934735909063.jpg;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"https://cdn.shopify.com/s/files/1/0792/5098/1063/files/aaac3be2edd458da15620b4b48ea0557ee8e33aa5a6ff9ed0d0db11848fd4cbe.jpg?v=1787245111"]</t>
        </is>
      </c>
      <c r="AA7" s="3" t="inlineStr">
        <is>
          <t>r4</t>
        </is>
      </c>
    </row>
    <row r="8" ht="66" customHeight="1">
      <c r="A8" s="2" t="inlineStr">
        <is>
          <t>jeminise.com+bright-teal-yellow-softball-comforter-set-premium-sports-theme</t>
        </is>
      </c>
      <c r="B8" s="2" t="inlineStr">
        <is>
          <t>qaimg_e4eff0625849f778</t>
        </is>
      </c>
      <c r="C8" s="4" t="inlineStr">
        <is>
          <t>https://cdn.shopify.com/s/files/1/0792/5098/1063/files/b4d8d185bcbb550263dadfadb3419fffc97f4c44e070091e393e7296e5d6fb3c.jpg?v=1787245111</t>
        </is>
      </c>
      <c r="D8" s="4" t="inlineStr">
        <is>
          <t>https://cdn.shopify.com/s/files/1/0792/5098/1063/files/b4d8d185bcbb550263dadfadb3419fffc97f4c44e070091e393e7296e5d6fb3c.jpg?v=1787245111</t>
        </is>
      </c>
      <c r="E8" s="2" t="inlineStr">
        <is>
          <t>38895967436999</t>
        </is>
      </c>
      <c r="F8" s="2" t="inlineStr">
        <is>
          <t>47934735941831</t>
        </is>
      </c>
      <c r="G8" s="2" t="inlineStr"/>
      <c r="H8" s="2" t="inlineStr">
        <is>
          <t>GALLERY</t>
        </is>
      </c>
      <c r="I8" s="2" t="inlineStr">
        <is>
          <t>DIRECT_ORIGINAL_IMAGE_REQA + R4_MEDIA_ID_COMPARISON</t>
        </is>
      </c>
      <c r="J8" s="2" t="inlineStr">
        <is>
          <t>2026-09-08T08:47:09.444535+07:00</t>
        </is>
      </c>
      <c r="K8" s="2" t="inlineStr">
        <is>
          <t>Angled bedroom mockup of the same softball comforter design.</t>
        </is>
      </c>
      <c r="L8" s="2" t="inlineStr">
        <is>
          <t>Angled bedroom mockup of the teal softball comforter with coordinated pillowcases, Riley name and number 88.</t>
        </is>
      </c>
      <c r="M8" s="2" t="inlineStr">
        <is>
          <t>Bright Teal Yellow Softball Comforter Set – Premium Sports Theme Bedding for Girls, Teens &amp; Women Who Love Softball, Offered in Twin, Queen, King Bed Sizes</t>
        </is>
      </c>
      <c r="N8" s="2" t="inlineStr">
        <is>
          <t>SET</t>
        </is>
      </c>
      <c r="O8" s="2" t="inlineStr">
        <is>
          <t>Teal softball comforter bedroom mockup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["seo_runs\\jeminise.com\\20260906_234129\\evidence\\images\\2_bright-teal-yellow-softball-comforter-set-premium-sports-theme\\image_02_47934735941831.jpg;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"https://cdn.shopify.com/s/files/1/0792/5098/1063/files/b4d8d185bcbb550263dadfadb3419fffc97f4c44e070091e393e7296e5d6fb3c.jpg?v=1787245111"]</t>
        </is>
      </c>
      <c r="AA8" s="2" t="inlineStr">
        <is>
          <t>r4</t>
        </is>
      </c>
    </row>
    <row r="9" ht="66" customHeight="1">
      <c r="A9" s="3" t="inlineStr">
        <is>
          <t>jeminise.com+bright-teal-yellow-softball-comforter-set-premium-sports-theme</t>
        </is>
      </c>
      <c r="B9" s="3" t="inlineStr">
        <is>
          <t>qaimg_818a7f1a1cf31342</t>
        </is>
      </c>
      <c r="C9" s="4" t="inlineStr">
        <is>
          <t>https://cdn.shopify.com/s/files/1/0792/5098/1063/files/4905418785c478f3ccf76145151452929eacdfc883190607ac14b204c401e760.jpg?v=1787245111</t>
        </is>
      </c>
      <c r="D9" s="4" t="inlineStr">
        <is>
          <t>https://cdn.shopify.com/s/files/1/0792/5098/1063/files/4905418785c478f3ccf76145151452929eacdfc883190607ac14b204c401e760.jpg?v=1787245111</t>
        </is>
      </c>
      <c r="E9" s="3" t="inlineStr">
        <is>
          <t>38895967469767</t>
        </is>
      </c>
      <c r="F9" s="3" t="inlineStr">
        <is>
          <t>47934735974599</t>
        </is>
      </c>
      <c r="G9" s="3" t="inlineStr"/>
      <c r="H9" s="3" t="inlineStr">
        <is>
          <t>GALLERY</t>
        </is>
      </c>
      <c r="I9" s="3" t="inlineStr">
        <is>
          <t>DIRECT_ORIGINAL_IMAGE_REQA + R4_MEDIA_ID_COMPARISON</t>
        </is>
      </c>
      <c r="J9" s="3" t="inlineStr">
        <is>
          <t>2026-09-08T08:47:09.444535+07:00</t>
        </is>
      </c>
      <c r="K9" s="3" t="inlineStr">
        <is>
          <t>Close view of two pillowcases with number 88 and a batter silhouette.</t>
        </is>
      </c>
      <c r="L9" s="3" t="inlineStr">
        <is>
          <t>Coordinated pillowcases showing softball player silhouettes and number 88 on teal patchwork artwork.</t>
        </is>
      </c>
      <c r="M9" s="3" t="inlineStr">
        <is>
          <t>Bright Teal Yellow Softball Comforter Set – Premium Sports Theme Bedding for Girls, Teens &amp; Women Who Love Softball, Offered in Twin, Queen, King Bed Sizes</t>
        </is>
      </c>
      <c r="N9" s="3" t="inlineStr">
        <is>
          <t>SET</t>
        </is>
      </c>
      <c r="O9" s="3" t="inlineStr">
        <is>
          <t>Teal softball pillowcases with number 88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["seo_runs\\jeminise.com\\20260906_234129\\evidence\\images\\2_bright-teal-yellow-softball-comforter-set-premium-sports-theme\\image_03_47934735974599.jpg;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"https://cdn.shopify.com/s/files/1/0792/5098/1063/files/4905418785c478f3ccf76145151452929eacdfc883190607ac14b204c401e760.jpg?v=1787245111"]</t>
        </is>
      </c>
      <c r="AA9" s="3" t="inlineStr">
        <is>
          <t>r4</t>
        </is>
      </c>
    </row>
    <row r="10" ht="66" customHeight="1">
      <c r="A10" s="2" t="inlineStr">
        <is>
          <t>jeminise.com+bright-teal-yellow-softball-comforter-set-premium-sports-theme</t>
        </is>
      </c>
      <c r="B10" s="2" t="inlineStr">
        <is>
          <t>qaimg_e39a0722bea43dc5</t>
        </is>
      </c>
      <c r="C10" s="4" t="inlineStr">
        <is>
          <t>https://cdn.shopify.com/s/files/1/0792/5098/1063/files/66e753b90ce33322bda9902192b0d181e5f65b4823b1464fb51d32bee82398ed.jpg?v=1787245111</t>
        </is>
      </c>
      <c r="D10" s="4" t="inlineStr">
        <is>
          <t>https://cdn.shopify.com/s/files/1/0792/5098/1063/files/66e753b90ce33322bda9902192b0d181e5f65b4823b1464fb51d32bee82398ed.jpg?v=1787245111</t>
        </is>
      </c>
      <c r="E10" s="2" t="inlineStr">
        <is>
          <t>38895967502535</t>
        </is>
      </c>
      <c r="F10" s="2" t="inlineStr">
        <is>
          <t>47934736007367</t>
        </is>
      </c>
      <c r="G10" s="2" t="inlineStr"/>
      <c r="H10" s="2" t="inlineStr">
        <is>
          <t>GALLERY</t>
        </is>
      </c>
      <c r="I10" s="2" t="inlineStr">
        <is>
          <t>DIRECT_ORIGINAL_IMAGE_REQA + R4_MEDIA_ID_COMPARISON</t>
        </is>
      </c>
      <c r="J10" s="2" t="inlineStr">
        <is>
          <t>2026-09-08T08:47:09.444535+07:00</t>
        </is>
      </c>
      <c r="K10" s="2" t="inlineStr">
        <is>
          <t>Folded comforter showing the printed face and plain white reverse.</t>
        </is>
      </c>
      <c r="L10" s="2" t="inlineStr">
        <is>
          <t>Folded teal softball comforter showing patchwork print, softball graphics and white backing.</t>
        </is>
      </c>
      <c r="M10" s="2" t="inlineStr">
        <is>
          <t>Bright Teal Yellow Softball Comforter Set – Premium Sports Theme Bedding for Girls, Teens &amp; Women Who Love Softball, Offered in Twin, Queen, King Bed Sizes</t>
        </is>
      </c>
      <c r="N10" s="2" t="inlineStr">
        <is>
          <t>SET</t>
        </is>
      </c>
      <c r="O10" s="2" t="inlineStr">
        <is>
          <t>Folded teal softball comforter with white backing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["seo_runs\\jeminise.com\\20260906_234129\\evidence\\images\\2_bright-teal-yellow-softball-comforter-set-premium-sports-theme\\image_04_47934736007367.jpg;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"https://cdn.shopify.com/s/files/1/0792/5098/1063/files/66e753b90ce33322bda9902192b0d181e5f65b4823b1464fb51d32bee82398ed.jpg?v=1787245111"]</t>
        </is>
      </c>
      <c r="AA10" s="2" t="inlineStr">
        <is>
          <t>r4</t>
        </is>
      </c>
    </row>
    <row r="11" ht="66" customHeight="1">
      <c r="A11" s="3" t="inlineStr">
        <is>
          <t>jeminise.com+bright-teal-yellow-softball-comforter-set-premium-sports-theme</t>
        </is>
      </c>
      <c r="B11" s="3" t="inlineStr">
        <is>
          <t>qaimg_d6033fe2a892182c</t>
        </is>
      </c>
      <c r="C11" s="4" t="inlineStr">
        <is>
          <t>https://cdn.shopify.com/s/files/1/0792/5098/1063/files/a8d8145d1b6e7b4bbc3eb1dc71a100a3f3243648810f40f7f678de166dbfd428.jpg?v=1787245111</t>
        </is>
      </c>
      <c r="D11" s="4" t="inlineStr">
        <is>
          <t>https://cdn.shopify.com/s/files/1/0792/5098/1063/files/a8d8145d1b6e7b4bbc3eb1dc71a100a3f3243648810f40f7f678de166dbfd428.jpg?v=1787245111</t>
        </is>
      </c>
      <c r="E11" s="3" t="inlineStr">
        <is>
          <t>38895967535303</t>
        </is>
      </c>
      <c r="F11" s="3" t="inlineStr">
        <is>
          <t>47934736040135</t>
        </is>
      </c>
      <c r="G11" s="3" t="inlineStr"/>
      <c r="H11" s="3" t="inlineStr">
        <is>
          <t>GALLERY</t>
        </is>
      </c>
      <c r="I11" s="3" t="inlineStr">
        <is>
          <t>DIRECT_ORIGINAL_IMAGE_REQA + R4_MEDIA_ID_COMPARISON</t>
        </is>
      </c>
      <c r="J11" s="3" t="inlineStr">
        <is>
          <t>2026-09-08T08:47:09.444535+07:00</t>
        </is>
      </c>
      <c r="K11" s="3" t="inlineStr">
        <is>
          <t>Close-up comparing the plain reverse with the printed face; no size chart is present.</t>
        </is>
      </c>
      <c r="L11" s="3" t="inlineStr">
        <is>
          <t>Close-up of folded comforter edge with teal softball print on top and white backing underneath.</t>
        </is>
      </c>
      <c r="M11" s="3" t="inlineStr">
        <is>
          <t>Bright Teal Yellow Softball Comforter Set – Premium Sports Theme Bedding for Girls, Teens &amp; Women Who Love Softball, Offered in Twin, Queen, King Bed Sizes</t>
        </is>
      </c>
      <c r="N11" s="3" t="inlineStr">
        <is>
          <t>SET</t>
        </is>
      </c>
      <c r="O11" s="3" t="inlineStr">
        <is>
          <t>Teal softball comforter white backing close-up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["seo_runs\\jeminise.com\\20260906_234129\\evidence\\images\\2_bright-teal-yellow-softball-comforter-set-premium-sports-theme\\image_05_47934736040135.jpg;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"https://cdn.shopify.com/s/files/1/0792/5098/1063/files/a8d8145d1b6e7b4bbc3eb1dc71a100a3f3243648810f40f7f678de166dbfd428.jpg?v=1787245111"]</t>
        </is>
      </c>
      <c r="AA11" s="3" t="inlineStr">
        <is>
          <t>r4</t>
        </is>
      </c>
    </row>
    <row r="12" ht="66" customHeight="1">
      <c r="A12" s="2" t="inlineStr">
        <is>
          <t>jeminise.com+bright-teal-yellow-softball-comforter-set-premium-sports-theme</t>
        </is>
      </c>
      <c r="B12" s="2" t="inlineStr">
        <is>
          <t>qaimg_fef8ad032f828b5c</t>
        </is>
      </c>
      <c r="C12" s="4" t="inlineStr">
        <is>
          <t>https://cdn.shopify.com/s/files/1/0792/5098/1063/files/b5c74b68d1b4eff2209b7123e3fbe61d1e31afd73aa5ba647e17c194e2e66c44_6ab5c586-a618-40f4-b48e-38e09e6a461b.jpg?v=1787245111</t>
        </is>
      </c>
      <c r="D12" s="4" t="inlineStr">
        <is>
          <t>https://cdn.shopify.com/s/files/1/0792/5098/1063/files/b5c74b68d1b4eff2209b7123e3fbe61d1e31afd73aa5ba647e17c194e2e66c44_6ab5c586-a618-40f4-b48e-38e09e6a461b.jpg?v=1787245111</t>
        </is>
      </c>
      <c r="E12" s="2" t="inlineStr">
        <is>
          <t>38895967568071</t>
        </is>
      </c>
      <c r="F12" s="2" t="inlineStr">
        <is>
          <t>47934736072903</t>
        </is>
      </c>
      <c r="G12" s="2" t="inlineStr"/>
      <c r="H12" s="2" t="inlineStr">
        <is>
          <t>GALLERY</t>
        </is>
      </c>
      <c r="I12" s="2" t="inlineStr">
        <is>
          <t>DIRECT_ORIGINAL_IMAGE_REQA + R4_MEDIA_ID_COMPARISON</t>
        </is>
      </c>
      <c r="J12" s="2" t="inlineStr">
        <is>
          <t>2026-09-08T08:47:09.444535+07:00</t>
        </is>
      </c>
      <c r="K12" s="2" t="inlineStr">
        <is>
          <t>Feature graphic stating machine washable, soft microfiber filling, lightweight and breathable.</t>
        </is>
      </c>
      <c r="L12" s="2" t="inlineStr">
        <is>
          <t>Feature panel describing microfiber, cozy filling, lightweight feel and breathable warmth for the softball comforter.</t>
        </is>
      </c>
      <c r="M12" s="2" t="inlineStr">
        <is>
          <t>Bright Teal Yellow Softball Comforter Set – Premium Sports Theme Bedding for Girls, Teens &amp; Women Who Love Softball, Offered in Twin, Queen, King Bed Sizes</t>
        </is>
      </c>
      <c r="N12" s="2" t="inlineStr">
        <is>
          <t>SET</t>
        </is>
      </c>
      <c r="O12" s="2" t="inlineStr">
        <is>
          <t>Softball comforter microfiber feature panel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["seo_runs\\jeminise.com\\20260906_234129\\evidence\\images\\2_bright-teal-yellow-softball-comforter-set-premium-sports-theme\\image_06_47934736072903.jpg;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"https://cdn.shopify.com/s/files/1/0792/5098/1063/files/b5c74b68d1b4eff2209b7123e3fbe61d1e31afd73aa5ba647e17c194e2e66c44_6ab5c586-a618-40f4-b48e-38e09e6a461b.jpg?v=1787245111"]</t>
        </is>
      </c>
      <c r="AA12" s="2" t="inlineStr">
        <is>
          <t>r4</t>
        </is>
      </c>
    </row>
    <row r="13" ht="66" customHeight="1">
      <c r="A13" s="3" t="inlineStr">
        <is>
          <t>jeminise.com+bright-teal-yellow-softball-comforter-set-premium-sports-theme</t>
        </is>
      </c>
      <c r="B13" s="3" t="inlineStr">
        <is>
          <t>qaimg_f68e96fb788aa5d7</t>
        </is>
      </c>
      <c r="C13" s="4" t="inlineStr">
        <is>
          <t>https://cdn.shopify.com/s/files/1/0792/5098/1063/files/a0ebf0c8e5cb1f2c8f924529805ea1d20494460dd41a740514b8862f5d5a2f4f_b03a920f-a52a-4b39-842e-77c13ca56137.jpg?v=1787245111</t>
        </is>
      </c>
      <c r="D13" s="4" t="inlineStr">
        <is>
          <t>https://cdn.shopify.com/s/files/1/0792/5098/1063/files/a0ebf0c8e5cb1f2c8f924529805ea1d20494460dd41a740514b8862f5d5a2f4f_b03a920f-a52a-4b39-842e-77c13ca56137.jpg?v=1787245111</t>
        </is>
      </c>
      <c r="E13" s="3" t="inlineStr">
        <is>
          <t>38895967600839</t>
        </is>
      </c>
      <c r="F13" s="3" t="inlineStr">
        <is>
          <t>47934736105671</t>
        </is>
      </c>
      <c r="G13" s="3" t="inlineStr"/>
      <c r="H13" s="3" t="inlineStr">
        <is>
          <t>GALLERY</t>
        </is>
      </c>
      <c r="I13" s="3" t="inlineStr">
        <is>
          <t>DIRECT_ORIGINAL_IMAGE_REQA + R4_MEDIA_ID_COMPARISON</t>
        </is>
      </c>
      <c r="J13" s="3" t="inlineStr">
        <is>
          <t>2026-09-08T08:47:09.444535+07:00</t>
        </is>
      </c>
      <c r="K13" s="3" t="inlineStr">
        <is>
          <t>Included-components graphic stating one comforter and two pillowcases included.</t>
        </is>
      </c>
      <c r="L13" s="3" t="inlineStr">
        <is>
          <t>Included-items panel showing one softball comforter and two coordinated pillowcases.</t>
        </is>
      </c>
      <c r="M13" s="3" t="inlineStr">
        <is>
          <t>Bright Teal Yellow Softball Comforter Set – Premium Sports Theme Bedding for Girls, Teens &amp; Women Who Love Softball, Offered in Twin, Queen, King Bed Sizes</t>
        </is>
      </c>
      <c r="N13" s="3" t="inlineStr">
        <is>
          <t>SET</t>
        </is>
      </c>
      <c r="O13" s="3" t="inlineStr">
        <is>
          <t>Softball comforter and two pillowcases included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["seo_runs\\jeminise.com\\20260906_234129\\evidence\\images\\2_bright-teal-yellow-softball-comforter-set-premium-sports-theme\\image_07_47934736105671.jpg; seo_runs\\jeminise.com\\20260906_234129\\evidence\\contact_sheets\\2_bright-teal-yellow-softball-comforter-set-premium-sports-theme.jpg", "https://jeminise.com/products/bright-teal-yellow-softball-comforter-set-premium-sports-theme", "https://cdn.shopify.com/s/files/1/0792/5098/1063/files/a0ebf0c8e5cb1f2c8f924529805ea1d20494460dd41a740514b8862f5d5a2f4f_b03a920f-a52a-4b39-842e-77c13ca56137.jpg?v=1787245111"]</t>
        </is>
      </c>
      <c r="AA13" s="3" t="inlineStr">
        <is>
          <t>r4</t>
        </is>
      </c>
    </row>
    <row r="14" ht="66" customHeight="1">
      <c r="A14" s="2" t="inlineStr">
        <is>
          <t>jeminise.com+cardinals-perched-beside-decorated-christmas-tree-patchwork-winter-quilt-7cd7bc46a0-7cd7bc46a0</t>
        </is>
      </c>
      <c r="B14" s="2" t="inlineStr">
        <is>
          <t>qaimg_d074ca80051530d5</t>
        </is>
      </c>
      <c r="C14" s="4" t="inlineStr">
        <is>
          <t>https://cdn.shopify.com/s/files/1/0792/5098/1063/files/3a652bff5b2cdcf1fb571a14f08c2175d783a6106bb14665fb5861e23501a1fa.jpg?v=1785099109</t>
        </is>
      </c>
      <c r="D14" s="4" t="inlineStr">
        <is>
          <t>https://cdn.shopify.com/s/files/1/0792/5098/1063/files/3a652bff5b2cdcf1fb571a14f08c2175d783a6106bb14665fb5861e23501a1fa.jpg?v=1785099109</t>
        </is>
      </c>
      <c r="E14" s="2" t="inlineStr">
        <is>
          <t>38506565566663</t>
        </is>
      </c>
      <c r="F14" s="2" t="inlineStr">
        <is>
          <t>47540004094151</t>
        </is>
      </c>
      <c r="G14" s="2" t="inlineStr"/>
      <c r="H14" s="2" t="inlineStr">
        <is>
          <t>GALLERY</t>
        </is>
      </c>
      <c r="I14" s="2" t="inlineStr">
        <is>
          <t>DIRECT_ORIGINAL_IMAGE_REQA + R4_MEDIA_ID_COMPARISON</t>
        </is>
      </c>
      <c r="J14" s="2" t="inlineStr">
        <is>
          <t>2026-09-08T08:47:09.444535+07:00</t>
        </is>
      </c>
      <c r="K14" s="2" t="inlineStr">
        <is>
          <t>Bed mockup with red cardinals, a decorated snowy Christmas tree, ornaments and I Am Always with You text.</t>
        </is>
      </c>
      <c r="L14" s="2" t="inlineStr">
        <is>
          <t>Christmas memorial quilt bed mockup with red cardinals beside a decorated tree, ornaments, hearts and I Am Always with You text.</t>
        </is>
      </c>
      <c r="M14" s="2" t="inlineStr">
        <is>
          <t>Cardinals Perched Beside Decorated Christmas Tree Patchwork Winter Quilt</t>
        </is>
      </c>
      <c r="N14" s="2" t="inlineStr">
        <is>
          <t>SET</t>
        </is>
      </c>
      <c r="O14" s="2" t="inlineStr">
        <is>
          <t>Christmas cardinal memorial quilt set on bed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["seo_runs\\jeminise.com\\20260906_234129\\evidence\\images\\3_cardinals-perched-beside-decorated-christmas-tree-patchwork-winter-quilt-7cd7bc46a0-7cd7bc46a0\\image_01_47540004094151.jpg; seo_runs\\jeminise.com\\20260906_234129\\evidence\\contact_sheets\\3_cardinals-perched-beside-decorated-christmas-tree-patchwork-winter-quilt-7cd7bc46a0-7cd7bc46a0.jpg", "https://jeminise.com/products/cardinals-perched-beside-decorated-christmas-tree-patchwork-winter-quilt-7cd7bc46a0-7cd7bc46a0", "https://cdn.shopify.com/s/files/1/0792/5098/1063/files/3a652bff5b2cdcf1fb571a14f08c2175d783a6106bb14665fb5861e23501a1fa.jpg?v=1785099109"]</t>
        </is>
      </c>
      <c r="AA14" s="2" t="inlineStr">
        <is>
          <t>r4</t>
        </is>
      </c>
    </row>
    <row r="15" ht="66" customHeight="1">
      <c r="A15" s="3" t="inlineStr">
        <is>
          <t>jeminise.com+cardinals-perched-beside-decorated-christmas-tree-patchwork-winter-quilt-7cd7bc46a0-7cd7bc46a0</t>
        </is>
      </c>
      <c r="B15" s="3" t="inlineStr">
        <is>
          <t>qaimg_84ef68ebb3b01805</t>
        </is>
      </c>
      <c r="C15" s="4" t="inlineStr">
        <is>
          <t>https://cdn.shopify.com/s/files/1/0792/5098/1063/files/23aae70766fcc57c63f2a120721dae1baf196f15ef46a71bef7a702d11c656ca.jpg?v=1785099109</t>
        </is>
      </c>
      <c r="D15" s="4" t="inlineStr">
        <is>
          <t>https://cdn.shopify.com/s/files/1/0792/5098/1063/files/23aae70766fcc57c63f2a120721dae1baf196f15ef46a71bef7a702d11c656ca.jpg?v=1785099109</t>
        </is>
      </c>
      <c r="E15" s="3" t="inlineStr">
        <is>
          <t>38506565599431</t>
        </is>
      </c>
      <c r="F15" s="3" t="inlineStr">
        <is>
          <t>47540004126919</t>
        </is>
      </c>
      <c r="G15" s="3" t="inlineStr"/>
      <c r="H15" s="3" t="inlineStr">
        <is>
          <t>GALLERY</t>
        </is>
      </c>
      <c r="I15" s="3" t="inlineStr">
        <is>
          <t>DIRECT_ORIGINAL_IMAGE_REQA + R4_MEDIA_ID_COMPARISON</t>
        </is>
      </c>
      <c r="J15" s="3" t="inlineStr">
        <is>
          <t>2026-09-08T08:47:09.444535+07:00</t>
        </is>
      </c>
      <c r="K15" s="3" t="inlineStr">
        <is>
          <t>Close-up of the Christmas cardinal print and quilted stitching.</t>
        </is>
      </c>
      <c r="L15" s="3" t="inlineStr">
        <is>
          <t>Close-up of red cardinal, Christmas tree ornaments, snowflake details and quilt stitching.</t>
        </is>
      </c>
      <c r="M15" s="3" t="inlineStr">
        <is>
          <t>Cardinals Perched Beside Decorated Christmas Tree Patchwork Winter Quilt</t>
        </is>
      </c>
      <c r="N15" s="3" t="inlineStr">
        <is>
          <t>SET</t>
        </is>
      </c>
      <c r="O15" s="3" t="inlineStr">
        <is>
          <t>Close-up of Christmas cardinal quilt stitching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["seo_runs\\jeminise.com\\20260906_234129\\evidence\\images\\3_cardinals-perched-beside-decorated-christmas-tree-patchwork-winter-quilt-7cd7bc46a0-7cd7bc46a0\\image_02_47540004126919.jpg; seo_runs\\jeminise.com\\20260906_234129\\evidence\\contact_sheets\\3_cardinals-perched-beside-decorated-christmas-tree-patchwork-winter-quilt-7cd7bc46a0-7cd7bc46a0.jpg", "https://jeminise.com/products/cardinals-perched-beside-decorated-christmas-tree-patchwork-winter-quilt-7cd7bc46a0-7cd7bc46a0", "https://cdn.shopify.com/s/files/1/0792/5098/1063/files/23aae70766fcc57c63f2a120721dae1baf196f15ef46a71bef7a702d11c656ca.jpg?v=1785099109"]</t>
        </is>
      </c>
      <c r="AA15" s="3" t="inlineStr">
        <is>
          <t>r4</t>
        </is>
      </c>
    </row>
    <row r="16" ht="66" customHeight="1">
      <c r="A16" s="2" t="inlineStr">
        <is>
          <t>jeminise.com+cardinals-perched-beside-decorated-christmas-tree-patchwork-winter-quilt-7cd7bc46a0-7cd7bc46a0</t>
        </is>
      </c>
      <c r="B16" s="2" t="inlineStr">
        <is>
          <t>qaimg_70729ec5a2b04039</t>
        </is>
      </c>
      <c r="C16" s="4" t="inlineStr">
        <is>
          <t>https://cdn.shopify.com/s/files/1/0792/5098/1063/files/3357b4715872fc6507e88263f9aa17ed3b1495f7db35293b4d27a2a5b80d78cc.jpg?v=1785099109</t>
        </is>
      </c>
      <c r="D16" s="4" t="inlineStr">
        <is>
          <t>https://cdn.shopify.com/s/files/1/0792/5098/1063/files/3357b4715872fc6507e88263f9aa17ed3b1495f7db35293b4d27a2a5b80d78cc.jpg?v=1785099109</t>
        </is>
      </c>
      <c r="E16" s="2" t="inlineStr">
        <is>
          <t>38506565632199</t>
        </is>
      </c>
      <c r="F16" s="2" t="inlineStr">
        <is>
          <t>47540004159687</t>
        </is>
      </c>
      <c r="G16" s="2" t="inlineStr"/>
      <c r="H16" s="2" t="inlineStr">
        <is>
          <t>GALLERY</t>
        </is>
      </c>
      <c r="I16" s="2" t="inlineStr">
        <is>
          <t>DIRECT_ORIGINAL_IMAGE_REQA + R4_MEDIA_ID_COMPARISON</t>
        </is>
      </c>
      <c r="J16" s="2" t="inlineStr">
        <is>
          <t>2026-09-08T08:47:09.444535+07:00</t>
        </is>
      </c>
      <c r="K16" s="2" t="inlineStr">
        <is>
          <t>Pillow sham using the Christmas cardinal artwork.</t>
        </is>
      </c>
      <c r="L16" s="2" t="inlineStr">
        <is>
          <t>Matching pillow sham with red cardinal, decorated Christmas tree and remembrance message.</t>
        </is>
      </c>
      <c r="M16" s="2" t="inlineStr">
        <is>
          <t>Cardinals Perched Beside Decorated Christmas Tree Patchwork Winter Quilt</t>
        </is>
      </c>
      <c r="N16" s="2" t="inlineStr">
        <is>
          <t>SET</t>
        </is>
      </c>
      <c r="O16" s="2" t="inlineStr">
        <is>
          <t>Christmas cardinal memorial pillow sham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["seo_runs\\jeminise.com\\20260906_234129\\evidence\\images\\3_cardinals-perched-beside-decorated-christmas-tree-patchwork-winter-quilt-7cd7bc46a0-7cd7bc46a0\\image_03_47540004159687.jpg; seo_runs\\jeminise.com\\20260906_234129\\evidence\\contact_sheets\\3_cardinals-perched-beside-decorated-christmas-tree-patchwork-winter-quilt-7cd7bc46a0-7cd7bc46a0.jpg", "https://jeminise.com/products/cardinals-perched-beside-decorated-christmas-tree-patchwork-winter-quilt-7cd7bc46a0-7cd7bc46a0", "https://cdn.shopify.com/s/files/1/0792/5098/1063/files/3357b4715872fc6507e88263f9aa17ed3b1495f7db35293b4d27a2a5b80d78cc.jpg?v=1785099109"]</t>
        </is>
      </c>
      <c r="AA16" s="2" t="inlineStr">
        <is>
          <t>r4</t>
        </is>
      </c>
    </row>
    <row r="17" ht="66" customHeight="1">
      <c r="A17" s="3" t="inlineStr">
        <is>
          <t>jeminise.com+cardinals-perched-beside-decorated-christmas-tree-patchwork-winter-quilt-7cd7bc46a0-7cd7bc46a0</t>
        </is>
      </c>
      <c r="B17" s="3" t="inlineStr">
        <is>
          <t>qaimg_69dd8be14caf7f96</t>
        </is>
      </c>
      <c r="C17" s="4" t="inlineStr">
        <is>
          <t>https://cdn.shopify.com/s/files/1/0792/5098/1063/files/04eb35beff0bef995d4912767e2bdec2b80be1f53292fdd9777645dd9375b5aa.jpg?v=1785099109</t>
        </is>
      </c>
      <c r="D17" s="4" t="inlineStr">
        <is>
          <t>https://cdn.shopify.com/s/files/1/0792/5098/1063/files/04eb35beff0bef995d4912767e2bdec2b80be1f53292fdd9777645dd9375b5aa.jpg?v=1785099109</t>
        </is>
      </c>
      <c r="E17" s="3" t="inlineStr">
        <is>
          <t>38506565664967</t>
        </is>
      </c>
      <c r="F17" s="3" t="inlineStr">
        <is>
          <t>47540004192455</t>
        </is>
      </c>
      <c r="G17" s="3" t="inlineStr"/>
      <c r="H17" s="3" t="inlineStr">
        <is>
          <t>GALLERY</t>
        </is>
      </c>
      <c r="I17" s="3" t="inlineStr">
        <is>
          <t>DIRECT_ORIGINAL_IMAGE_REQA + R4_MEDIA_ID_COMPARISON</t>
        </is>
      </c>
      <c r="J17" s="3" t="inlineStr">
        <is>
          <t>2026-09-08T08:47:09.444535+07:00</t>
        </is>
      </c>
      <c r="K17" s="3" t="inlineStr">
        <is>
          <t>Alternate bedroom angle showing the Christmas cardinal quilt.</t>
        </is>
      </c>
      <c r="L17" s="3" t="inlineStr">
        <is>
          <t>Bedroom scene showing the Christmas cardinal memorial quilt with coordinated pillow shams.</t>
        </is>
      </c>
      <c r="M17" s="3" t="inlineStr">
        <is>
          <t>Cardinals Perched Beside Decorated Christmas Tree Patchwork Winter Quilt</t>
        </is>
      </c>
      <c r="N17" s="3" t="inlineStr">
        <is>
          <t>SET</t>
        </is>
      </c>
      <c r="O17" s="3" t="inlineStr">
        <is>
          <t>Christmas cardinal memorial quilt bedroom mockup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["seo_runs\\jeminise.com\\20260906_234129\\evidence\\images\\3_cardinals-perched-beside-decorated-christmas-tree-patchwork-winter-quilt-7cd7bc46a0-7cd7bc46a0\\image_04_47540004192455.jpg; seo_runs\\jeminise.com\\20260906_234129\\evidence\\contact_sheets\\3_cardinals-perched-beside-decorated-christmas-tree-patchwork-winter-quilt-7cd7bc46a0-7cd7bc46a0.jpg", "https://jeminise.com/products/cardinals-perched-beside-decorated-christmas-tree-patchwork-winter-quilt-7cd7bc46a0-7cd7bc46a0", "https://cdn.shopify.com/s/files/1/0792/5098/1063/files/04eb35beff0bef995d4912767e2bdec2b80be1f53292fdd9777645dd9375b5aa.jpg?v=1785099109"]</t>
        </is>
      </c>
      <c r="AA17" s="3" t="inlineStr">
        <is>
          <t>r4</t>
        </is>
      </c>
    </row>
    <row r="18" ht="66" customHeight="1">
      <c r="A18" s="2" t="inlineStr">
        <is>
          <t>jeminise.com+cardinals-perched-beside-decorated-christmas-tree-patchwork-winter-quilt-7cd7bc46a0-7cd7bc46a0</t>
        </is>
      </c>
      <c r="B18" s="2" t="inlineStr">
        <is>
          <t>qaimg_5ee8cd8c5a75c19e</t>
        </is>
      </c>
      <c r="C18" s="4" t="inlineStr">
        <is>
          <t>https://cdn.shopify.com/s/files/1/0792/5098/1063/files/61192968c1230d5ae97babcfd885b0b0e273f4d893aaaf63a91706f8a569a358.jpg?v=1785099109</t>
        </is>
      </c>
      <c r="D18" s="4" t="inlineStr">
        <is>
          <t>https://cdn.shopify.com/s/files/1/0792/5098/1063/files/61192968c1230d5ae97babcfd885b0b0e273f4d893aaaf63a91706f8a569a358.jpg?v=1785099109</t>
        </is>
      </c>
      <c r="E18" s="2" t="inlineStr">
        <is>
          <t>38506565697735</t>
        </is>
      </c>
      <c r="F18" s="2" t="inlineStr">
        <is>
          <t>47540004225223</t>
        </is>
      </c>
      <c r="G18" s="2" t="inlineStr"/>
      <c r="H18" s="2" t="inlineStr">
        <is>
          <t>GALLERY</t>
        </is>
      </c>
      <c r="I18" s="2" t="inlineStr">
        <is>
          <t>DIRECT_ORIGINAL_IMAGE_REQA + R4_MEDIA_ID_COMPARISON</t>
        </is>
      </c>
      <c r="J18" s="2" t="inlineStr">
        <is>
          <t>2026-09-08T08:47:09.444535+07:00</t>
        </is>
      </c>
      <c r="K18" s="2" t="inlineStr">
        <is>
          <t>Included-components and dimensions graphic for the quilt and optional shams.</t>
        </is>
      </c>
      <c r="L18" s="2" t="inlineStr">
        <is>
          <t>Size and component panel showing Christmas cardinal quilt sizes and two optional standard shams.</t>
        </is>
      </c>
      <c r="M18" s="2" t="inlineStr">
        <is>
          <t>Cardinals Perched Beside Decorated Christmas Tree Patchwork Winter Quilt</t>
        </is>
      </c>
      <c r="N18" s="2" t="inlineStr">
        <is>
          <t>SET</t>
        </is>
      </c>
      <c r="O18" s="2" t="inlineStr">
        <is>
          <t>Christmas cardinal quilt size and sham options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["seo_runs\\jeminise.com\\20260906_234129\\evidence\\images\\3_cardinals-perched-beside-decorated-christmas-tree-patchwork-winter-quilt-7cd7bc46a0-7cd7bc46a0\\image_05_47540004225223.jpg; seo_runs\\jeminise.com\\20260906_234129\\evidence\\contact_sheets\\3_cardinals-perched-beside-decorated-christmas-tree-patchwork-winter-quilt-7cd7bc46a0-7cd7bc46a0.jpg", "https://jeminise.com/products/cardinals-perched-beside-decorated-christmas-tree-patchwork-winter-quilt-7cd7bc46a0-7cd7bc46a0", "https://cdn.shopify.com/s/files/1/0792/5098/1063/files/61192968c1230d5ae97babcfd885b0b0e273f4d893aaaf63a91706f8a569a358.jpg?v=1785099109"]</t>
        </is>
      </c>
      <c r="AA18" s="2" t="inlineStr">
        <is>
          <t>r4</t>
        </is>
      </c>
    </row>
    <row r="19" ht="66" customHeight="1">
      <c r="A19" s="3" t="inlineStr">
        <is>
          <t>jeminise.com+cardinals-perched-on-branch-with-roses-patchwork-winter-quilt-21ac904cd7-21ac904cd7</t>
        </is>
      </c>
      <c r="B19" s="3" t="inlineStr">
        <is>
          <t>qaimg_ee51e6c474a57ba1</t>
        </is>
      </c>
      <c r="C19" s="4" t="inlineStr">
        <is>
          <t>https://cdn.shopify.com/s/files/1/0792/5098/1063/files/e3dd349b4f8425ce46aea21296a0670e616f15f912e8415586fd0ccdb402fadf.jpg?v=1785099574</t>
        </is>
      </c>
      <c r="D19" s="4" t="inlineStr">
        <is>
          <t>https://cdn.shopify.com/s/files/1/0792/5098/1063/files/e3dd349b4f8425ce46aea21296a0670e616f15f912e8415586fd0ccdb402fadf.jpg?v=1785099574</t>
        </is>
      </c>
      <c r="E19" s="3" t="inlineStr">
        <is>
          <t>38506618847431</t>
        </is>
      </c>
      <c r="F19" s="3" t="inlineStr">
        <is>
          <t>47540058390727</t>
        </is>
      </c>
      <c r="G19" s="3" t="inlineStr"/>
      <c r="H19" s="3" t="inlineStr">
        <is>
          <t>GALLERY</t>
        </is>
      </c>
      <c r="I19" s="3" t="inlineStr">
        <is>
          <t>DIRECT_ORIGINAL_IMAGE_REQA + R4_MEDIA_ID_COMPARISON</t>
        </is>
      </c>
      <c r="J19" s="3" t="inlineStr">
        <is>
          <t>2026-09-08T08:47:09.444535+07:00</t>
        </is>
      </c>
      <c r="K19" s="3" t="inlineStr">
        <is>
          <t>Bed mockup with a red male cardinal, tan female cardinal, red roses and I Am Always with You text.</t>
        </is>
      </c>
      <c r="L19" s="3" t="inlineStr">
        <is>
          <t>Memorial quilt bed mockup with a cardinal pair on a branch, red roses, butterflies and I Am Always with You text.</t>
        </is>
      </c>
      <c r="M19" s="3" t="inlineStr">
        <is>
          <t>Cardinals Perched on Branch with Roses Patchwork Winter Quilt</t>
        </is>
      </c>
      <c r="N19" s="3" t="inlineStr">
        <is>
          <t>SET</t>
        </is>
      </c>
      <c r="O19" s="3" t="inlineStr">
        <is>
          <t>Cardinal roses memorial quilt set on bed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["seo_runs\\jeminise.com\\20260906_234129\\evidence\\images\\4_cardinals-perched-on-branch-with-roses-patchwork-winter-quilt-21ac904cd7-21ac904cd7\\image_01_47540058390727.jpg; seo_runs\\jeminise.com\\20260906_234129\\evidence\\contact_sheets\\4_cardinals-perched-on-branch-with-roses-patchwork-winter-quilt-21ac904cd7-21ac904cd7.jpg", "https://jeminise.com/products/cardinals-perched-on-branch-with-roses-patchwork-winter-quilt-21ac904cd7-21ac904cd7", "https://cdn.shopify.com/s/files/1/0792/5098/1063/files/e3dd349b4f8425ce46aea21296a0670e616f15f912e8415586fd0ccdb402fadf.jpg?v=1785099574"]</t>
        </is>
      </c>
      <c r="AA19" s="3" t="inlineStr">
        <is>
          <t>r4</t>
        </is>
      </c>
    </row>
    <row r="20" ht="66" customHeight="1">
      <c r="A20" s="2" t="inlineStr">
        <is>
          <t>jeminise.com+cardinals-perched-on-branch-with-roses-patchwork-winter-quilt-21ac904cd7-21ac904cd7</t>
        </is>
      </c>
      <c r="B20" s="2" t="inlineStr">
        <is>
          <t>qaimg_c95b0e3c51c94796</t>
        </is>
      </c>
      <c r="C20" s="4" t="inlineStr">
        <is>
          <t>https://cdn.shopify.com/s/files/1/0792/5098/1063/files/5df2ae7ecc00cd0ab65d149177b7575a1608763d1d943fb3e9c2f1d9d8ad8183.jpg?v=1785099574</t>
        </is>
      </c>
      <c r="D20" s="4" t="inlineStr">
        <is>
          <t>https://cdn.shopify.com/s/files/1/0792/5098/1063/files/5df2ae7ecc00cd0ab65d149177b7575a1608763d1d943fb3e9c2f1d9d8ad8183.jpg?v=1785099574</t>
        </is>
      </c>
      <c r="E20" s="2" t="inlineStr">
        <is>
          <t>38506618880199</t>
        </is>
      </c>
      <c r="F20" s="2" t="inlineStr">
        <is>
          <t>47540058423495</t>
        </is>
      </c>
      <c r="G20" s="2" t="inlineStr"/>
      <c r="H20" s="2" t="inlineStr">
        <is>
          <t>GALLERY</t>
        </is>
      </c>
      <c r="I20" s="2" t="inlineStr">
        <is>
          <t>DIRECT_ORIGINAL_IMAGE_REQA + R4_MEDIA_ID_COMPARISON</t>
        </is>
      </c>
      <c r="J20" s="2" t="inlineStr">
        <is>
          <t>2026-09-08T08:47:09.444535+07:00</t>
        </is>
      </c>
      <c r="K20" s="2" t="inlineStr">
        <is>
          <t>Close-up of the cardinal-and-roses print and quilted stitching.</t>
        </is>
      </c>
      <c r="L20" s="2" t="inlineStr">
        <is>
          <t>Close-up of the cardinal pair, branch, rose artwork and visible quilt stitching.</t>
        </is>
      </c>
      <c r="M20" s="2" t="inlineStr">
        <is>
          <t>Cardinals Perched on Branch with Roses Patchwork Winter Quilt</t>
        </is>
      </c>
      <c r="N20" s="2" t="inlineStr">
        <is>
          <t>SET</t>
        </is>
      </c>
      <c r="O20" s="2" t="inlineStr">
        <is>
          <t>Close-up of cardinal roses quilt stitching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["seo_runs\\jeminise.com\\20260906_234129\\evidence\\images\\4_cardinals-perched-on-branch-with-roses-patchwork-winter-quilt-21ac904cd7-21ac904cd7\\image_02_47540058423495.jpg; seo_runs\\jeminise.com\\20260906_234129\\evidence\\contact_sheets\\4_cardinals-perched-on-branch-with-roses-patchwork-winter-quilt-21ac904cd7-21ac904cd7.jpg", "https://jeminise.com/products/cardinals-perched-on-branch-with-roses-patchwork-winter-quilt-21ac904cd7-21ac904cd7", "https://cdn.shopify.com/s/files/1/0792/5098/1063/files/5df2ae7ecc00cd0ab65d149177b7575a1608763d1d943fb3e9c2f1d9d8ad8183.jpg?v=1785099574"]</t>
        </is>
      </c>
      <c r="AA20" s="2" t="inlineStr">
        <is>
          <t>r4</t>
        </is>
      </c>
    </row>
    <row r="21" ht="66" customHeight="1">
      <c r="A21" s="3" t="inlineStr">
        <is>
          <t>jeminise.com+cardinals-perched-on-branch-with-roses-patchwork-winter-quilt-21ac904cd7-21ac904cd7</t>
        </is>
      </c>
      <c r="B21" s="3" t="inlineStr">
        <is>
          <t>qaimg_39dddcc1006bd994</t>
        </is>
      </c>
      <c r="C21" s="4" t="inlineStr">
        <is>
          <t>https://cdn.shopify.com/s/files/1/0792/5098/1063/files/237f2056af02c2988db426ce4802f4abd6dac07ceb24c04b20a244c9be27b457.jpg?v=1785099574</t>
        </is>
      </c>
      <c r="D21" s="4" t="inlineStr">
        <is>
          <t>https://cdn.shopify.com/s/files/1/0792/5098/1063/files/237f2056af02c2988db426ce4802f4abd6dac07ceb24c04b20a244c9be27b457.jpg?v=1785099574</t>
        </is>
      </c>
      <c r="E21" s="3" t="inlineStr">
        <is>
          <t>38506618912967</t>
        </is>
      </c>
      <c r="F21" s="3" t="inlineStr">
        <is>
          <t>47540058456263</t>
        </is>
      </c>
      <c r="G21" s="3" t="inlineStr"/>
      <c r="H21" s="3" t="inlineStr">
        <is>
          <t>GALLERY</t>
        </is>
      </c>
      <c r="I21" s="3" t="inlineStr">
        <is>
          <t>DIRECT_ORIGINAL_IMAGE_REQA + R4_MEDIA_ID_COMPARISON</t>
        </is>
      </c>
      <c r="J21" s="3" t="inlineStr">
        <is>
          <t>2026-09-08T08:47:09.444535+07:00</t>
        </is>
      </c>
      <c r="K21" s="3" t="inlineStr">
        <is>
          <t>Pillow sham using the cardinal-and-roses artwork.</t>
        </is>
      </c>
      <c r="L21" s="3" t="inlineStr">
        <is>
          <t>Matching pillow sham with cardinal pair, red roses and remembrance artwork.</t>
        </is>
      </c>
      <c r="M21" s="3" t="inlineStr">
        <is>
          <t>Cardinals Perched on Branch with Roses Patchwork Winter Quilt</t>
        </is>
      </c>
      <c r="N21" s="3" t="inlineStr">
        <is>
          <t>SET</t>
        </is>
      </c>
      <c r="O21" s="3" t="inlineStr">
        <is>
          <t>Cardinal roses memorial pillow sham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["seo_runs\\jeminise.com\\20260906_234129\\evidence\\images\\4_cardinals-perched-on-branch-with-roses-patchwork-winter-quilt-21ac904cd7-21ac904cd7\\image_03_47540058456263.jpg; seo_runs\\jeminise.com\\20260906_234129\\evidence\\contact_sheets\\4_cardinals-perched-on-branch-with-roses-patchwork-winter-quilt-21ac904cd7-21ac904cd7.jpg", "https://jeminise.com/products/cardinals-perched-on-branch-with-roses-patchwork-winter-quilt-21ac904cd7-21ac904cd7", "https://cdn.shopify.com/s/files/1/0792/5098/1063/files/237f2056af02c2988db426ce4802f4abd6dac07ceb24c04b20a244c9be27b457.jpg?v=1785099574"]</t>
        </is>
      </c>
      <c r="AA21" s="3" t="inlineStr">
        <is>
          <t>r4</t>
        </is>
      </c>
    </row>
    <row r="22" ht="66" customHeight="1">
      <c r="A22" s="2" t="inlineStr">
        <is>
          <t>jeminise.com+cardinals-perched-on-branch-with-roses-patchwork-winter-quilt-21ac904cd7-21ac904cd7</t>
        </is>
      </c>
      <c r="B22" s="2" t="inlineStr">
        <is>
          <t>qaimg_f5020eb5719b5e5a</t>
        </is>
      </c>
      <c r="C22" s="4" t="inlineStr">
        <is>
          <t>https://cdn.shopify.com/s/files/1/0792/5098/1063/files/f1d2e21fbc5647f823f22c48940e5deec0311ead7e9b772c492ecf82b2b3ff3b.jpg?v=1785099574</t>
        </is>
      </c>
      <c r="D22" s="4" t="inlineStr">
        <is>
          <t>https://cdn.shopify.com/s/files/1/0792/5098/1063/files/f1d2e21fbc5647f823f22c48940e5deec0311ead7e9b772c492ecf82b2b3ff3b.jpg?v=1785099574</t>
        </is>
      </c>
      <c r="E22" s="2" t="inlineStr">
        <is>
          <t>38506618945735</t>
        </is>
      </c>
      <c r="F22" s="2" t="inlineStr">
        <is>
          <t>47540058489031</t>
        </is>
      </c>
      <c r="G22" s="2" t="inlineStr"/>
      <c r="H22" s="2" t="inlineStr">
        <is>
          <t>GALLERY</t>
        </is>
      </c>
      <c r="I22" s="2" t="inlineStr">
        <is>
          <t>DIRECT_ORIGINAL_IMAGE_REQA + R4_MEDIA_ID_COMPARISON</t>
        </is>
      </c>
      <c r="J22" s="2" t="inlineStr">
        <is>
          <t>2026-09-08T08:47:09.444535+07:00</t>
        </is>
      </c>
      <c r="K22" s="2" t="inlineStr">
        <is>
          <t>Alternate bedroom angle showing the cardinal-and-roses quilt.</t>
        </is>
      </c>
      <c r="L22" s="2" t="inlineStr">
        <is>
          <t>Bedroom scene showing the cardinal roses memorial quilt styled with coordinated pillow shams.</t>
        </is>
      </c>
      <c r="M22" s="2" t="inlineStr">
        <is>
          <t>Cardinals Perched on Branch with Roses Patchwork Winter Quilt</t>
        </is>
      </c>
      <c r="N22" s="2" t="inlineStr">
        <is>
          <t>SET</t>
        </is>
      </c>
      <c r="O22" s="2" t="inlineStr">
        <is>
          <t>Cardinal roses memorial quilt bedroom mockup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["seo_runs\\jeminise.com\\20260906_234129\\evidence\\images\\4_cardinals-perched-on-branch-with-roses-patchwork-winter-quilt-21ac904cd7-21ac904cd7\\image_04_47540058489031.jpg; seo_runs\\jeminise.com\\20260906_234129\\evidence\\contact_sheets\\4_cardinals-perched-on-branch-with-roses-patchwork-winter-quilt-21ac904cd7-21ac904cd7.jpg", "https://jeminise.com/products/cardinals-perched-on-branch-with-roses-patchwork-winter-quilt-21ac904cd7-21ac904cd7", "https://cdn.shopify.com/s/files/1/0792/5098/1063/files/f1d2e21fbc5647f823f22c48940e5deec0311ead7e9b772c492ecf82b2b3ff3b.jpg?v=1785099574"]</t>
        </is>
      </c>
      <c r="AA22" s="2" t="inlineStr">
        <is>
          <t>r4</t>
        </is>
      </c>
    </row>
    <row r="23" ht="66" customHeight="1">
      <c r="A23" s="3" t="inlineStr">
        <is>
          <t>jeminise.com+cardinals-perched-on-branch-with-roses-patchwork-winter-quilt-21ac904cd7-21ac904cd7</t>
        </is>
      </c>
      <c r="B23" s="3" t="inlineStr">
        <is>
          <t>qaimg_71cd069a035cbcd3</t>
        </is>
      </c>
      <c r="C23" s="4" t="inlineStr">
        <is>
          <t>https://cdn.shopify.com/s/files/1/0792/5098/1063/files/1cb933b580b777ff9fc7d527ca0ea879bde39d1f8b7faaac1505885401cf4b7b.jpg?v=1785099574</t>
        </is>
      </c>
      <c r="D23" s="4" t="inlineStr">
        <is>
          <t>https://cdn.shopify.com/s/files/1/0792/5098/1063/files/1cb933b580b777ff9fc7d527ca0ea879bde39d1f8b7faaac1505885401cf4b7b.jpg?v=1785099574</t>
        </is>
      </c>
      <c r="E23" s="3" t="inlineStr">
        <is>
          <t>38506618978503</t>
        </is>
      </c>
      <c r="F23" s="3" t="inlineStr">
        <is>
          <t>47540058521799</t>
        </is>
      </c>
      <c r="G23" s="3" t="inlineStr"/>
      <c r="H23" s="3" t="inlineStr">
        <is>
          <t>GALLERY</t>
        </is>
      </c>
      <c r="I23" s="3" t="inlineStr">
        <is>
          <t>DIRECT_ORIGINAL_IMAGE_REQA + R4_MEDIA_ID_COMPARISON</t>
        </is>
      </c>
      <c r="J23" s="3" t="inlineStr">
        <is>
          <t>2026-09-08T08:47:09.444535+07:00</t>
        </is>
      </c>
      <c r="K23" s="3" t="inlineStr">
        <is>
          <t>Included-components and dimensions graphic for the quilt and optional shams.</t>
        </is>
      </c>
      <c r="L23" s="3" t="inlineStr">
        <is>
          <t>Size and component panel showing cardinal roses quilt sizes and two optional standard shams.</t>
        </is>
      </c>
      <c r="M23" s="3" t="inlineStr">
        <is>
          <t>Cardinals Perched on Branch with Roses Patchwork Winter Quilt</t>
        </is>
      </c>
      <c r="N23" s="3" t="inlineStr">
        <is>
          <t>SET</t>
        </is>
      </c>
      <c r="O23" s="3" t="inlineStr">
        <is>
          <t>Cardinal roses quilt size and sham options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["seo_runs\\jeminise.com\\20260906_234129\\evidence\\images\\4_cardinals-perched-on-branch-with-roses-patchwork-winter-quilt-21ac904cd7-21ac904cd7\\image_05_47540058521799.jpg; seo_runs\\jeminise.com\\20260906_234129\\evidence\\contact_sheets\\4_cardinals-perched-on-branch-with-roses-patchwork-winter-quilt-21ac904cd7-21ac904cd7.jpg", "https://jeminise.com/products/cardinals-perched-on-branch-with-roses-patchwork-winter-quilt-21ac904cd7-21ac904cd7", "https://cdn.shopify.com/s/files/1/0792/5098/1063/files/1cb933b580b777ff9fc7d527ca0ea879bde39d1f8b7faaac1505885401cf4b7b.jpg?v=1785099574"]</t>
        </is>
      </c>
      <c r="AA23" s="3" t="inlineStr">
        <is>
          <t>r4</t>
        </is>
      </c>
    </row>
    <row r="24" ht="66" customHeight="1">
      <c r="A24" s="2" t="inlineStr">
        <is>
          <t>jeminise.com+cat-patchwork-quilt-set-animal-pattern-bedding-cat-pattern-quilt-set</t>
        </is>
      </c>
      <c r="B24" s="2" t="inlineStr">
        <is>
          <t>qaimg_0900bd26aa91fc70</t>
        </is>
      </c>
      <c r="C24" s="4" t="inlineStr">
        <is>
          <t>https://cdn.shopify.com/s/files/1/0792/5098/1063/files/4cb58385aa64c7ba3ce5dabd48014490cd060d90ab8ef7be5d1681dbc0c68a37.jpg?v=1787233666</t>
        </is>
      </c>
      <c r="D24" s="4" t="inlineStr">
        <is>
          <t>https://cdn.shopify.com/s/files/1/0792/5098/1063/files/4cb58385aa64c7ba3ce5dabd48014490cd060d90ab8ef7be5d1681dbc0c68a37.jpg?v=1787233666</t>
        </is>
      </c>
      <c r="E24" s="2" t="inlineStr">
        <is>
          <t>38894702166215</t>
        </is>
      </c>
      <c r="F24" s="2" t="inlineStr">
        <is>
          <t>47933460349127</t>
        </is>
      </c>
      <c r="G24" s="2" t="inlineStr"/>
      <c r="H24" s="2" t="inlineStr">
        <is>
          <t>GALLERY</t>
        </is>
      </c>
      <c r="I24" s="2" t="inlineStr">
        <is>
          <t>DIRECT_ORIGINAL_IMAGE_REQA + R4_MEDIA_ID_COMPARISON</t>
        </is>
      </c>
      <c r="J24" s="2" t="inlineStr">
        <is>
          <t>2026-09-08T08:47:09.444535+07:00</t>
        </is>
      </c>
      <c r="K24" s="2" t="inlineStr">
        <is>
          <t>Front bed mockup with a large colorful patchwork cat face.</t>
        </is>
      </c>
      <c r="L24" s="2" t="inlineStr">
        <is>
          <t>Bed mockup with a large colorful cat face made from bright patchwork blocks on a dark background.</t>
        </is>
      </c>
      <c r="M24" s="2" t="inlineStr">
        <is>
          <t>Cat Patchwork Quilt Set, Animal Pattern Bedding, Cat Pattern Quilt Set Patchwork Style, Colorful Quilts Bedspread Twin Size, Throw Full Queen King Quilt Blanket</t>
        </is>
      </c>
      <c r="N24" s="2" t="inlineStr">
        <is>
          <t>SET</t>
        </is>
      </c>
      <c r="O24" s="2" t="inlineStr">
        <is>
          <t>Colorful cat face patchwork quilt set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["seo_runs\\jeminise.com\\20260906_234129\\evidence\\images\\5_cat-patchwork-quilt-set-animal-pattern-bedding-cat-pattern-quilt-set\\image_01_47933460349127.jpg;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"https://cdn.shopify.com/s/files/1/0792/5098/1063/files/4cb58385aa64c7ba3ce5dabd48014490cd060d90ab8ef7be5d1681dbc0c68a37.jpg?v=1787233666"]</t>
        </is>
      </c>
      <c r="AA24" s="2" t="inlineStr">
        <is>
          <t>r4</t>
        </is>
      </c>
    </row>
    <row r="25" ht="66" customHeight="1">
      <c r="A25" s="3" t="inlineStr">
        <is>
          <t>jeminise.com+cat-patchwork-quilt-set-animal-pattern-bedding-cat-pattern-quilt-set</t>
        </is>
      </c>
      <c r="B25" s="3" t="inlineStr">
        <is>
          <t>qaimg_9c314e0a1d7d0ddc</t>
        </is>
      </c>
      <c r="C25" s="4" t="inlineStr">
        <is>
          <t>https://cdn.shopify.com/s/files/1/0792/5098/1063/files/94180d9f213d8233e384ef8416ec958afd6fe38eeda43d032fd598d852a3a274.jpg?v=1787233665</t>
        </is>
      </c>
      <c r="D25" s="4" t="inlineStr">
        <is>
          <t>https://cdn.shopify.com/s/files/1/0792/5098/1063/files/94180d9f213d8233e384ef8416ec958afd6fe38eeda43d032fd598d852a3a274.jpg?v=1787233665</t>
        </is>
      </c>
      <c r="E25" s="3" t="inlineStr">
        <is>
          <t>38894702198983</t>
        </is>
      </c>
      <c r="F25" s="3" t="inlineStr">
        <is>
          <t>47933460381895</t>
        </is>
      </c>
      <c r="G25" s="3" t="inlineStr"/>
      <c r="H25" s="3" t="inlineStr">
        <is>
          <t>GALLERY</t>
        </is>
      </c>
      <c r="I25" s="3" t="inlineStr">
        <is>
          <t>DIRECT_ORIGINAL_IMAGE_REQA + R4_MEDIA_ID_COMPARISON</t>
        </is>
      </c>
      <c r="J25" s="3" t="inlineStr">
        <is>
          <t>2026-09-08T08:47:09.444535+07:00</t>
        </is>
      </c>
      <c r="K25" s="3" t="inlineStr">
        <is>
          <t>Bedroom/feature graphic with premium print, no fading and skin-friendly callouts.</t>
        </is>
      </c>
      <c r="L25" s="3" t="inlineStr">
        <is>
          <t>Bedroom mockup with colorful cat patchwork quilt and premium printed craft callout.</t>
        </is>
      </c>
      <c r="M25" s="3" t="inlineStr">
        <is>
          <t>Cat Patchwork Quilt Set, Animal Pattern Bedding, Cat Pattern Quilt Set Patchwork Style, Colorful Quilts Bedspread Twin Size, Throw Full Queen King Quilt Blanket</t>
        </is>
      </c>
      <c r="N25" s="3" t="inlineStr">
        <is>
          <t>SET</t>
        </is>
      </c>
      <c r="O25" s="3" t="inlineStr">
        <is>
          <t>Colorful cat patchwork quilt bedroom mockup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["seo_runs\\jeminise.com\\20260906_234129\\evidence\\images\\5_cat-patchwork-quilt-set-animal-pattern-bedding-cat-pattern-quilt-set\\image_02_47933460381895.jpg;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"https://cdn.shopify.com/s/files/1/0792/5098/1063/files/94180d9f213d8233e384ef8416ec958afd6fe38eeda43d032fd598d852a3a274.jpg?v=1787233665"]</t>
        </is>
      </c>
      <c r="AA25" s="3" t="inlineStr">
        <is>
          <t>r4</t>
        </is>
      </c>
    </row>
    <row r="26" ht="66" customHeight="1">
      <c r="A26" s="2" t="inlineStr">
        <is>
          <t>jeminise.com+cat-patchwork-quilt-set-animal-pattern-bedding-cat-pattern-quilt-set</t>
        </is>
      </c>
      <c r="B26" s="2" t="inlineStr">
        <is>
          <t>qaimg_8ee331aeea047210</t>
        </is>
      </c>
      <c r="C26" s="4" t="inlineStr">
        <is>
          <t>https://cdn.shopify.com/s/files/1/0792/5098/1063/files/a98e42be7f34a03d4b9ee94c19374ef39f213c4ad9c5936eb702be120e072cb3.jpg?v=1787233666</t>
        </is>
      </c>
      <c r="D26" s="4" t="inlineStr">
        <is>
          <t>https://cdn.shopify.com/s/files/1/0792/5098/1063/files/a98e42be7f34a03d4b9ee94c19374ef39f213c4ad9c5936eb702be120e072cb3.jpg?v=1787233666</t>
        </is>
      </c>
      <c r="E26" s="2" t="inlineStr">
        <is>
          <t>38894702231751</t>
        </is>
      </c>
      <c r="F26" s="2" t="inlineStr">
        <is>
          <t>47933460414663</t>
        </is>
      </c>
      <c r="G26" s="2" t="inlineStr"/>
      <c r="H26" s="2" t="inlineStr">
        <is>
          <t>GALLERY</t>
        </is>
      </c>
      <c r="I26" s="2" t="inlineStr">
        <is>
          <t>DIRECT_ORIGINAL_IMAGE_REQA + R4_MEDIA_ID_COMPARISON</t>
        </is>
      </c>
      <c r="J26" s="2" t="inlineStr">
        <is>
          <t>2026-09-08T08:47:09.444535+07:00</t>
        </is>
      </c>
      <c r="K26" s="2" t="inlineStr">
        <is>
          <t>Pillow shams plus lightweight, soft, anti-pill and anti-static feature callouts.</t>
        </is>
      </c>
      <c r="L26" s="2" t="inlineStr">
        <is>
          <t>Optional pillow shams panel showing coordinated colorful cat face sham artwork.</t>
        </is>
      </c>
      <c r="M26" s="2" t="inlineStr">
        <is>
          <t>Cat Patchwork Quilt Set, Animal Pattern Bedding, Cat Pattern Quilt Set Patchwork Style, Colorful Quilts Bedspread Twin Size, Throw Full Queen King Quilt Blanket</t>
        </is>
      </c>
      <c r="N26" s="2" t="inlineStr">
        <is>
          <t>SET</t>
        </is>
      </c>
      <c r="O26" s="2" t="inlineStr">
        <is>
          <t>Colorful cat patchwork optional pillow shams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["seo_runs\\jeminise.com\\20260906_234129\\evidence\\images\\5_cat-patchwork-quilt-set-animal-pattern-bedding-cat-pattern-quilt-set\\image_03_47933460414663.jpg;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"https://cdn.shopify.com/s/files/1/0792/5098/1063/files/a98e42be7f34a03d4b9ee94c19374ef39f213c4ad9c5936eb702be120e072cb3.jpg?v=1787233666"]</t>
        </is>
      </c>
      <c r="AA26" s="2" t="inlineStr">
        <is>
          <t>r4</t>
        </is>
      </c>
    </row>
    <row r="27" ht="66" customHeight="1">
      <c r="A27" s="3" t="inlineStr">
        <is>
          <t>jeminise.com+cat-patchwork-quilt-set-animal-pattern-bedding-cat-pattern-quilt-set</t>
        </is>
      </c>
      <c r="B27" s="3" t="inlineStr">
        <is>
          <t>qaimg_e489694ea785f60c</t>
        </is>
      </c>
      <c r="C27" s="4" t="inlineStr">
        <is>
          <t>https://cdn.shopify.com/s/files/1/0792/5098/1063/files/06467b270df2093a70f746e873ebb0b88964a81ef45800624c02604fd1ec068a.jpg?v=1787233666</t>
        </is>
      </c>
      <c r="D27" s="4" t="inlineStr">
        <is>
          <t>https://cdn.shopify.com/s/files/1/0792/5098/1063/files/06467b270df2093a70f746e873ebb0b88964a81ef45800624c02604fd1ec068a.jpg?v=1787233666</t>
        </is>
      </c>
      <c r="E27" s="3" t="inlineStr">
        <is>
          <t>38894702264519</t>
        </is>
      </c>
      <c r="F27" s="3" t="inlineStr">
        <is>
          <t>47933460447431</t>
        </is>
      </c>
      <c r="G27" s="3" t="inlineStr"/>
      <c r="H27" s="3" t="inlineStr">
        <is>
          <t>GALLERY</t>
        </is>
      </c>
      <c r="I27" s="3" t="inlineStr">
        <is>
          <t>DIRECT_ORIGINAL_IMAGE_REQA + R4_MEDIA_ID_COMPARISON</t>
        </is>
      </c>
      <c r="J27" s="3" t="inlineStr">
        <is>
          <t>2026-09-08T08:47:09.444535+07:00</t>
        </is>
      </c>
      <c r="K27" s="3" t="inlineStr">
        <is>
          <t>All-season and fabric-quality feature graphic with a small bed mockup.</t>
        </is>
      </c>
      <c r="L27" s="3" t="inlineStr">
        <is>
          <t>Fabric feature panel showing soft breathable skin-friendly material and all-season use notes.</t>
        </is>
      </c>
      <c r="M27" s="3" t="inlineStr">
        <is>
          <t>Cat Patchwork Quilt Set, Animal Pattern Bedding, Cat Pattern Quilt Set Patchwork Style, Colorful Quilts Bedspread Twin Size, Throw Full Queen King Quilt Blanket</t>
        </is>
      </c>
      <c r="N27" s="3" t="inlineStr">
        <is>
          <t>SET</t>
        </is>
      </c>
      <c r="O27" s="3" t="inlineStr">
        <is>
          <t>Colorful cat quilt fabric feature panel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["seo_runs\\jeminise.com\\20260906_234129\\evidence\\images\\5_cat-patchwork-quilt-set-animal-pattern-bedding-cat-pattern-quilt-set\\image_04_47933460447431.jpg;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"https://cdn.shopify.com/s/files/1/0792/5098/1063/files/06467b270df2093a70f746e873ebb0b88964a81ef45800624c02604fd1ec068a.jpg?v=1787233666"]</t>
        </is>
      </c>
      <c r="AA27" s="3" t="inlineStr">
        <is>
          <t>r4</t>
        </is>
      </c>
    </row>
    <row r="28" ht="66" customHeight="1">
      <c r="A28" s="2" t="inlineStr">
        <is>
          <t>jeminise.com+cat-patchwork-quilt-set-animal-pattern-bedding-cat-pattern-quilt-set</t>
        </is>
      </c>
      <c r="B28" s="2" t="inlineStr">
        <is>
          <t>qaimg_6722a038b55780ad</t>
        </is>
      </c>
      <c r="C28" s="4" t="inlineStr">
        <is>
          <t>https://cdn.shopify.com/s/files/1/0792/5098/1063/files/1869de0465a480871b4b80a13c5f44c85e64ca5f22f90032fa07b5ca5660dbfb.jpg?v=1787233666</t>
        </is>
      </c>
      <c r="D28" s="4" t="inlineStr">
        <is>
          <t>https://cdn.shopify.com/s/files/1/0792/5098/1063/files/1869de0465a480871b4b80a13c5f44c85e64ca5f22f90032fa07b5ca5660dbfb.jpg?v=1787233666</t>
        </is>
      </c>
      <c r="E28" s="2" t="inlineStr">
        <is>
          <t>38894702297287</t>
        </is>
      </c>
      <c r="F28" s="2" t="inlineStr">
        <is>
          <t>47933460480199</t>
        </is>
      </c>
      <c r="G28" s="2" t="inlineStr"/>
      <c r="H28" s="2" t="inlineStr">
        <is>
          <t>GALLERY</t>
        </is>
      </c>
      <c r="I28" s="2" t="inlineStr">
        <is>
          <t>DIRECT_ORIGINAL_IMAGE_REQA + R4_MEDIA_ID_COMPARISON</t>
        </is>
      </c>
      <c r="J28" s="2" t="inlineStr">
        <is>
          <t>2026-09-08T08:47:09.444535+07:00</t>
        </is>
      </c>
      <c r="K28" s="2" t="inlineStr">
        <is>
          <t>Quilt size chart.</t>
        </is>
      </c>
      <c r="L28" s="2" t="inlineStr">
        <is>
          <t>Premium quilt set size chart for the colorful cat patchwork design.</t>
        </is>
      </c>
      <c r="M28" s="2" t="inlineStr">
        <is>
          <t>Cat Patchwork Quilt Set, Animal Pattern Bedding, Cat Pattern Quilt Set Patchwork Style, Colorful Quilts Bedspread Twin Size, Throw Full Queen King Quilt Blanket</t>
        </is>
      </c>
      <c r="N28" s="2" t="inlineStr">
        <is>
          <t>SET</t>
        </is>
      </c>
      <c r="O28" s="2" t="inlineStr">
        <is>
          <t>Colorful cat patchwork quilt size chart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["seo_runs\\jeminise.com\\20260906_234129\\evidence\\images\\5_cat-patchwork-quilt-set-animal-pattern-bedding-cat-pattern-quilt-set\\image_05_47933460480199.jpg;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"https://cdn.shopify.com/s/files/1/0792/5098/1063/files/1869de0465a480871b4b80a13c5f44c85e64ca5f22f90032fa07b5ca5660dbfb.jpg?v=1787233666"]</t>
        </is>
      </c>
      <c r="AA28" s="2" t="inlineStr">
        <is>
          <t>r4</t>
        </is>
      </c>
    </row>
    <row r="29" ht="66" customHeight="1">
      <c r="A29" s="3" t="inlineStr">
        <is>
          <t>jeminise.com+cat-patchwork-quilt-set-animal-pattern-bedding-cat-pattern-quilt-set</t>
        </is>
      </c>
      <c r="B29" s="3" t="inlineStr">
        <is>
          <t>qaimg_1c3c5b263938ef5b</t>
        </is>
      </c>
      <c r="C29" s="4" t="inlineStr">
        <is>
          <t>https://cdn.shopify.com/s/files/1/0792/5098/1063/files/bac284f19ea6eaebff7bffc00fe351531fdc59f4eed7da6ff7803f1bb87999b1.jpg?v=1787233665</t>
        </is>
      </c>
      <c r="D29" s="4" t="inlineStr">
        <is>
          <t>https://cdn.shopify.com/s/files/1/0792/5098/1063/files/bac284f19ea6eaebff7bffc00fe351531fdc59f4eed7da6ff7803f1bb87999b1.jpg?v=1787233665</t>
        </is>
      </c>
      <c r="E29" s="3" t="inlineStr">
        <is>
          <t>38894702330055</t>
        </is>
      </c>
      <c r="F29" s="3" t="inlineStr">
        <is>
          <t>47933460512967</t>
        </is>
      </c>
      <c r="G29" s="3" t="inlineStr"/>
      <c r="H29" s="3" t="inlineStr">
        <is>
          <t>GALLERY</t>
        </is>
      </c>
      <c r="I29" s="3" t="inlineStr">
        <is>
          <t>DIRECT_ORIGINAL_IMAGE_REQA + R4_MEDIA_ID_COMPARISON</t>
        </is>
      </c>
      <c r="J29" s="3" t="inlineStr">
        <is>
          <t>2026-09-08T08:47:09.444535+07:00</t>
        </is>
      </c>
      <c r="K29" s="3" t="inlineStr">
        <is>
          <t>Bedspread construction-layer and fabric-feature graphic.</t>
        </is>
      </c>
      <c r="L29" s="3" t="inlineStr">
        <is>
          <t>Bedspread feature panel with microfiber layers and care-resistance icons.</t>
        </is>
      </c>
      <c r="M29" s="3" t="inlineStr">
        <is>
          <t>Cat Patchwork Quilt Set, Animal Pattern Bedding, Cat Pattern Quilt Set Patchwork Style, Colorful Quilts Bedspread Twin Size, Throw Full Queen King Quilt Blanket</t>
        </is>
      </c>
      <c r="N29" s="3" t="inlineStr">
        <is>
          <t>SET</t>
        </is>
      </c>
      <c r="O29" s="3" t="inlineStr">
        <is>
          <t>Colorful cat quilt bedspread feature panel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["seo_runs\\jeminise.com\\20260906_234129\\evidence\\images\\5_cat-patchwork-quilt-set-animal-pattern-bedding-cat-pattern-quilt-set\\image_06_47933460512967.jpg;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"https://cdn.shopify.com/s/files/1/0792/5098/1063/files/bac284f19ea6eaebff7bffc00fe351531fdc59f4eed7da6ff7803f1bb87999b1.jpg?v=1787233665"]</t>
        </is>
      </c>
      <c r="AA29" s="3" t="inlineStr">
        <is>
          <t>r4</t>
        </is>
      </c>
    </row>
    <row r="30" ht="66" customHeight="1">
      <c r="A30" s="2" t="inlineStr">
        <is>
          <t>jeminise.com+cat-patchwork-quilt-set-animal-pattern-bedding-cat-pattern-quilt-set</t>
        </is>
      </c>
      <c r="B30" s="2" t="inlineStr">
        <is>
          <t>qaimg_983bf2587d60a7f8</t>
        </is>
      </c>
      <c r="C30" s="4" t="inlineStr">
        <is>
          <t>https://cdn.shopify.com/s/files/1/0792/5098/1063/files/08d3fe0c396e254e929909cf54b1707f62fb396b6d05c2ab0c56c631789ab04d.jpg?v=1787233665</t>
        </is>
      </c>
      <c r="D30" s="4" t="inlineStr">
        <is>
          <t>https://cdn.shopify.com/s/files/1/0792/5098/1063/files/08d3fe0c396e254e929909cf54b1707f62fb396b6d05c2ab0c56c631789ab04d.jpg?v=1787233665</t>
        </is>
      </c>
      <c r="E30" s="2" t="inlineStr">
        <is>
          <t>38894702362823</t>
        </is>
      </c>
      <c r="F30" s="2" t="inlineStr">
        <is>
          <t>47933460545735</t>
        </is>
      </c>
      <c r="G30" s="2" t="inlineStr"/>
      <c r="H30" s="2" t="inlineStr">
        <is>
          <t>GALLERY</t>
        </is>
      </c>
      <c r="I30" s="2" t="inlineStr">
        <is>
          <t>DIRECT_ORIGINAL_IMAGE_REQA + R4_MEDIA_ID_COMPARISON</t>
        </is>
      </c>
      <c r="J30" s="2" t="inlineStr">
        <is>
          <t>2026-09-08T08:47:09.444535+07:00</t>
        </is>
      </c>
      <c r="K30" s="2" t="inlineStr">
        <is>
          <t>Overhead bedroom mockup of the colorful cat quilt.</t>
        </is>
      </c>
      <c r="L30" s="2" t="inlineStr">
        <is>
          <t>Second bedroom mockup showing the colorful cat face quilt from a different room angle.</t>
        </is>
      </c>
      <c r="M30" s="2" t="inlineStr">
        <is>
          <t>Cat Patchwork Quilt Set, Animal Pattern Bedding, Cat Pattern Quilt Set Patchwork Style, Colorful Quilts Bedspread Twin Size, Throw Full Queen King Quilt Blanket</t>
        </is>
      </c>
      <c r="N30" s="2" t="inlineStr">
        <is>
          <t>SET</t>
        </is>
      </c>
      <c r="O30" s="2" t="inlineStr">
        <is>
          <t>Colorful cat quilt second bedroom mockup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["seo_runs\\jeminise.com\\20260906_234129\\evidence\\images\\5_cat-patchwork-quilt-set-animal-pattern-bedding-cat-pattern-quilt-set\\image_07_47933460545735.jpg; seo_runs\\jeminise.com\\20260906_234129\\evidence\\contact_sheets\\5_cat-patchwork-quilt-set-animal-pattern-bedding-cat-pattern-quilt-set.jpg", "https://jeminise.com/products/cat-patchwork-quilt-set-animal-pattern-bedding-cat-pattern-quilt-set", "https://cdn.shopify.com/s/files/1/0792/5098/1063/files/08d3fe0c396e254e929909cf54b1707f62fb396b6d05c2ab0c56c631789ab04d.jpg?v=1787233665"]</t>
        </is>
      </c>
      <c r="AA30" s="2" t="inlineStr">
        <is>
          <t>r4</t>
        </is>
      </c>
    </row>
    <row r="31" ht="66" customHeight="1">
      <c r="A31" s="3" t="inlineStr">
        <is>
          <t>jeminise.com+cat-quilt-set-cat-patchwork-style-printed-bedding-animal-patchwork</t>
        </is>
      </c>
      <c r="B31" s="3" t="inlineStr">
        <is>
          <t>qaimg_5a5f2cb07e2d367d</t>
        </is>
      </c>
      <c r="C31" s="4" t="inlineStr">
        <is>
          <t>https://cdn.shopify.com/s/files/1/0792/5098/1063/files/168d48c33af74fd729615aa6c0790691ec2ec8ab000886bd93c0851b05764cb5.jpg?v=1787233678</t>
        </is>
      </c>
      <c r="D31" s="4" t="inlineStr">
        <is>
          <t>https://cdn.shopify.com/s/files/1/0792/5098/1063/files/168d48c33af74fd729615aa6c0790691ec2ec8ab000886bd93c0851b05764cb5.jpg?v=1787233678</t>
        </is>
      </c>
      <c r="E31" s="3" t="inlineStr">
        <is>
          <t>38894703575239</t>
        </is>
      </c>
      <c r="F31" s="3" t="inlineStr">
        <is>
          <t>47933461725383</t>
        </is>
      </c>
      <c r="G31" s="3" t="inlineStr"/>
      <c r="H31" s="3" t="inlineStr">
        <is>
          <t>GALLERY</t>
        </is>
      </c>
      <c r="I31" s="3" t="inlineStr">
        <is>
          <t>DIRECT_ORIGINAL_IMAGE_REQA + R4_MEDIA_ID_COMPARISON</t>
        </is>
      </c>
      <c r="J31" s="3" t="inlineStr">
        <is>
          <t>2026-09-08T08:47:09.444535+07:00</t>
        </is>
      </c>
      <c r="K31" s="3" t="inlineStr">
        <is>
          <t>Front bed mockup with a seated geometric calico cat on a beige leaf background.</t>
        </is>
      </c>
      <c r="L31" s="3" t="inlineStr">
        <is>
          <t>Bed mockup with a geometric sitting cat in warm orange and red patchwork on a beige leaf background.</t>
        </is>
      </c>
      <c r="M31" s="3" t="inlineStr">
        <is>
          <t>Cat Quilt Set - Cat Patchwork Style Printed Bedding, Animal Patchwork Bedset, Farmhouse Blanket with Pillowcases, Premium Quilt Pattern Bedding Set, Twin Full Queen Size</t>
        </is>
      </c>
      <c r="N31" s="3" t="inlineStr">
        <is>
          <t>SET</t>
        </is>
      </c>
      <c r="O31" s="3" t="inlineStr">
        <is>
          <t>Geometric sitting cat patchwork quilt set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["seo_runs\\jeminise.com\\20260906_234129\\evidence\\images\\6_cat-quilt-set-cat-patchwork-style-printed-bedding-animal-patchwork\\image_01_47933461725383.jpg;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"https://cdn.shopify.com/s/files/1/0792/5098/1063/files/168d48c33af74fd729615aa6c0790691ec2ec8ab000886bd93c0851b05764cb5.jpg?v=1787233678"]</t>
        </is>
      </c>
      <c r="AA31" s="3" t="inlineStr">
        <is>
          <t>r4</t>
        </is>
      </c>
    </row>
    <row r="32" ht="66" customHeight="1">
      <c r="A32" s="2" t="inlineStr">
        <is>
          <t>jeminise.com+cat-quilt-set-cat-patchwork-style-printed-bedding-animal-patchwork</t>
        </is>
      </c>
      <c r="B32" s="2" t="inlineStr">
        <is>
          <t>qaimg_58238be182b433d2</t>
        </is>
      </c>
      <c r="C32" s="4" t="inlineStr">
        <is>
          <t>https://cdn.shopify.com/s/files/1/0792/5098/1063/files/5fb11ab02ba6d7c7d6dc7b600952eeed36e59dc4fd7d78e26290c5b4432ce84a.jpg?v=1787233677</t>
        </is>
      </c>
      <c r="D32" s="4" t="inlineStr">
        <is>
          <t>https://cdn.shopify.com/s/files/1/0792/5098/1063/files/5fb11ab02ba6d7c7d6dc7b600952eeed36e59dc4fd7d78e26290c5b4432ce84a.jpg?v=1787233677</t>
        </is>
      </c>
      <c r="E32" s="2" t="inlineStr">
        <is>
          <t>38894703608007</t>
        </is>
      </c>
      <c r="F32" s="2" t="inlineStr">
        <is>
          <t>47933461758151</t>
        </is>
      </c>
      <c r="G32" s="2" t="inlineStr"/>
      <c r="H32" s="2" t="inlineStr">
        <is>
          <t>GALLERY</t>
        </is>
      </c>
      <c r="I32" s="2" t="inlineStr">
        <is>
          <t>DIRECT_ORIGINAL_IMAGE_REQA + R4_MEDIA_ID_COMPARISON</t>
        </is>
      </c>
      <c r="J32" s="2" t="inlineStr">
        <is>
          <t>2026-09-08T08:47:09.444535+07:00</t>
        </is>
      </c>
      <c r="K32" s="2" t="inlineStr">
        <is>
          <t>Bedroom/feature graphic with premium print, no fading and skin-friendly callouts.</t>
        </is>
      </c>
      <c r="L32" s="2" t="inlineStr">
        <is>
          <t>Bedroom mockup with geometric cat patchwork quilt and premium printed craft callout.</t>
        </is>
      </c>
      <c r="M32" s="2" t="inlineStr">
        <is>
          <t>Cat Quilt Set - Cat Patchwork Style Printed Bedding, Animal Patchwork Bedset, Farmhouse Blanket with Pillowcases, Premium Quilt Pattern Bedding Set, Twin Full Queen Size</t>
        </is>
      </c>
      <c r="N32" s="2" t="inlineStr">
        <is>
          <t>SET</t>
        </is>
      </c>
      <c r="O32" s="2" t="inlineStr">
        <is>
          <t>Geometric cat patchwork quilt bedroom mockup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["seo_runs\\jeminise.com\\20260906_234129\\evidence\\images\\6_cat-quilt-set-cat-patchwork-style-printed-bedding-animal-patchwork\\image_02_47933461758151.jpg;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"https://cdn.shopify.com/s/files/1/0792/5098/1063/files/5fb11ab02ba6d7c7d6dc7b600952eeed36e59dc4fd7d78e26290c5b4432ce84a.jpg?v=1787233677"]</t>
        </is>
      </c>
      <c r="AA32" s="2" t="inlineStr">
        <is>
          <t>r4</t>
        </is>
      </c>
    </row>
    <row r="33" ht="66" customHeight="1">
      <c r="A33" s="3" t="inlineStr">
        <is>
          <t>jeminise.com+cat-quilt-set-cat-patchwork-style-printed-bedding-animal-patchwork</t>
        </is>
      </c>
      <c r="B33" s="3" t="inlineStr">
        <is>
          <t>qaimg_38a990d7377750d0</t>
        </is>
      </c>
      <c r="C33" s="4" t="inlineStr">
        <is>
          <t>https://cdn.shopify.com/s/files/1/0792/5098/1063/files/016cba1137ec3b2b7bdd46e0d797a4962a5f54c2379fde509b2301ca87b4ad35.jpg?v=1787233678</t>
        </is>
      </c>
      <c r="D33" s="4" t="inlineStr">
        <is>
          <t>https://cdn.shopify.com/s/files/1/0792/5098/1063/files/016cba1137ec3b2b7bdd46e0d797a4962a5f54c2379fde509b2301ca87b4ad35.jpg?v=1787233678</t>
        </is>
      </c>
      <c r="E33" s="3" t="inlineStr">
        <is>
          <t>38894703640775</t>
        </is>
      </c>
      <c r="F33" s="3" t="inlineStr">
        <is>
          <t>47933461790919</t>
        </is>
      </c>
      <c r="G33" s="3" t="inlineStr"/>
      <c r="H33" s="3" t="inlineStr">
        <is>
          <t>GALLERY</t>
        </is>
      </c>
      <c r="I33" s="3" t="inlineStr">
        <is>
          <t>DIRECT_ORIGINAL_IMAGE_REQA + R4_MEDIA_ID_COMPARISON</t>
        </is>
      </c>
      <c r="J33" s="3" t="inlineStr">
        <is>
          <t>2026-09-08T08:47:09.444535+07:00</t>
        </is>
      </c>
      <c r="K33" s="3" t="inlineStr">
        <is>
          <t>Pillow shams plus lightweight, soft, anti-pill and anti-static feature callouts.</t>
        </is>
      </c>
      <c r="L33" s="3" t="inlineStr">
        <is>
          <t>Optional pillow shams panel showing coordinated geometric cat sham artwork.</t>
        </is>
      </c>
      <c r="M33" s="3" t="inlineStr">
        <is>
          <t>Cat Quilt Set - Cat Patchwork Style Printed Bedding, Animal Patchwork Bedset, Farmhouse Blanket with Pillowcases, Premium Quilt Pattern Bedding Set, Twin Full Queen Size</t>
        </is>
      </c>
      <c r="N33" s="3" t="inlineStr">
        <is>
          <t>SET</t>
        </is>
      </c>
      <c r="O33" s="3" t="inlineStr">
        <is>
          <t>Geometric cat patchwork optional pillow shams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["seo_runs\\jeminise.com\\20260906_234129\\evidence\\images\\6_cat-quilt-set-cat-patchwork-style-printed-bedding-animal-patchwork\\image_03_47933461790919.jpg;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"https://cdn.shopify.com/s/files/1/0792/5098/1063/files/016cba1137ec3b2b7bdd46e0d797a4962a5f54c2379fde509b2301ca87b4ad35.jpg?v=1787233678"]</t>
        </is>
      </c>
      <c r="AA33" s="3" t="inlineStr">
        <is>
          <t>r4</t>
        </is>
      </c>
    </row>
    <row r="34" ht="66" customHeight="1">
      <c r="A34" s="2" t="inlineStr">
        <is>
          <t>jeminise.com+cat-quilt-set-cat-patchwork-style-printed-bedding-animal-patchwork</t>
        </is>
      </c>
      <c r="B34" s="2" t="inlineStr">
        <is>
          <t>qaimg_ea46fac1ea4531f6</t>
        </is>
      </c>
      <c r="C34" s="4" t="inlineStr">
        <is>
          <t>https://cdn.shopify.com/s/files/1/0792/5098/1063/files/f8cc70311d22e4bc770b45756e723f2451f8d0e3a5de4035dc223375ea6ac88e.jpg?v=1787233678</t>
        </is>
      </c>
      <c r="D34" s="4" t="inlineStr">
        <is>
          <t>https://cdn.shopify.com/s/files/1/0792/5098/1063/files/f8cc70311d22e4bc770b45756e723f2451f8d0e3a5de4035dc223375ea6ac88e.jpg?v=1787233678</t>
        </is>
      </c>
      <c r="E34" s="2" t="inlineStr">
        <is>
          <t>38894703673543</t>
        </is>
      </c>
      <c r="F34" s="2" t="inlineStr">
        <is>
          <t>47933461823687</t>
        </is>
      </c>
      <c r="G34" s="2" t="inlineStr"/>
      <c r="H34" s="2" t="inlineStr">
        <is>
          <t>GALLERY</t>
        </is>
      </c>
      <c r="I34" s="2" t="inlineStr">
        <is>
          <t>DIRECT_ORIGINAL_IMAGE_REQA + R4_MEDIA_ID_COMPARISON</t>
        </is>
      </c>
      <c r="J34" s="2" t="inlineStr">
        <is>
          <t>2026-09-08T08:47:09.444535+07:00</t>
        </is>
      </c>
      <c r="K34" s="2" t="inlineStr">
        <is>
          <t>All-season and fabric-quality feature graphic with a small bed mockup.</t>
        </is>
      </c>
      <c r="L34" s="2" t="inlineStr">
        <is>
          <t>Fabric feature panel showing soft breathable skin-friendly material and all-season use notes.</t>
        </is>
      </c>
      <c r="M34" s="2" t="inlineStr">
        <is>
          <t>Cat Quilt Set - Cat Patchwork Style Printed Bedding, Animal Patchwork Bedset, Farmhouse Blanket with Pillowcases, Premium Quilt Pattern Bedding Set, Twin Full Queen Size</t>
        </is>
      </c>
      <c r="N34" s="2" t="inlineStr">
        <is>
          <t>SET</t>
        </is>
      </c>
      <c r="O34" s="2" t="inlineStr">
        <is>
          <t>Geometric cat quilt fabric feature panel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["seo_runs\\jeminise.com\\20260906_234129\\evidence\\images\\6_cat-quilt-set-cat-patchwork-style-printed-bedding-animal-patchwork\\image_04_47933461823687.jpg;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"https://cdn.shopify.com/s/files/1/0792/5098/1063/files/f8cc70311d22e4bc770b45756e723f2451f8d0e3a5de4035dc223375ea6ac88e.jpg?v=1787233678"]</t>
        </is>
      </c>
      <c r="AA34" s="2" t="inlineStr">
        <is>
          <t>r4</t>
        </is>
      </c>
    </row>
    <row r="35" ht="66" customHeight="1">
      <c r="A35" s="3" t="inlineStr">
        <is>
          <t>jeminise.com+cat-quilt-set-cat-patchwork-style-printed-bedding-animal-patchwork</t>
        </is>
      </c>
      <c r="B35" s="3" t="inlineStr">
        <is>
          <t>qaimg_b2b44d883616dea8</t>
        </is>
      </c>
      <c r="C35" s="4" t="inlineStr">
        <is>
          <t>https://cdn.shopify.com/s/files/1/0792/5098/1063/files/0b98d63f67b9b39913382ed53f2a21445b22531d2b9fff267d884d37d466742f.jpg?v=1787233678</t>
        </is>
      </c>
      <c r="D35" s="4" t="inlineStr">
        <is>
          <t>https://cdn.shopify.com/s/files/1/0792/5098/1063/files/0b98d63f67b9b39913382ed53f2a21445b22531d2b9fff267d884d37d466742f.jpg?v=1787233678</t>
        </is>
      </c>
      <c r="E35" s="3" t="inlineStr">
        <is>
          <t>38894703706311</t>
        </is>
      </c>
      <c r="F35" s="3" t="inlineStr">
        <is>
          <t>47933461856455</t>
        </is>
      </c>
      <c r="G35" s="3" t="inlineStr"/>
      <c r="H35" s="3" t="inlineStr">
        <is>
          <t>GALLERY</t>
        </is>
      </c>
      <c r="I35" s="3" t="inlineStr">
        <is>
          <t>DIRECT_ORIGINAL_IMAGE_REQA + R4_MEDIA_ID_COMPARISON</t>
        </is>
      </c>
      <c r="J35" s="3" t="inlineStr">
        <is>
          <t>2026-09-08T08:47:09.444535+07:00</t>
        </is>
      </c>
      <c r="K35" s="3" t="inlineStr">
        <is>
          <t>Quilt size chart.</t>
        </is>
      </c>
      <c r="L35" s="3" t="inlineStr">
        <is>
          <t>Premium quilt set size chart for the geometric cat patchwork design.</t>
        </is>
      </c>
      <c r="M35" s="3" t="inlineStr">
        <is>
          <t>Cat Quilt Set - Cat Patchwork Style Printed Bedding, Animal Patchwork Bedset, Farmhouse Blanket with Pillowcases, Premium Quilt Pattern Bedding Set, Twin Full Queen Size</t>
        </is>
      </c>
      <c r="N35" s="3" t="inlineStr">
        <is>
          <t>SET</t>
        </is>
      </c>
      <c r="O35" s="3" t="inlineStr">
        <is>
          <t>Geometric cat patchwork quilt size chart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["seo_runs\\jeminise.com\\20260906_234129\\evidence\\images\\6_cat-quilt-set-cat-patchwork-style-printed-bedding-animal-patchwork\\image_05_47933461856455.jpg;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"https://cdn.shopify.com/s/files/1/0792/5098/1063/files/0b98d63f67b9b39913382ed53f2a21445b22531d2b9fff267d884d37d466742f.jpg?v=1787233678"]</t>
        </is>
      </c>
      <c r="AA35" s="3" t="inlineStr">
        <is>
          <t>r4</t>
        </is>
      </c>
    </row>
    <row r="36" ht="66" customHeight="1">
      <c r="A36" s="2" t="inlineStr">
        <is>
          <t>jeminise.com+cat-quilt-set-cat-patchwork-style-printed-bedding-animal-patchwork</t>
        </is>
      </c>
      <c r="B36" s="2" t="inlineStr">
        <is>
          <t>qaimg_b1148a843758595a</t>
        </is>
      </c>
      <c r="C36" s="4" t="inlineStr">
        <is>
          <t>https://cdn.shopify.com/s/files/1/0792/5098/1063/files/5155a60b18436e391bed973022f7062d5434ddd6d570a51bc67a5fdb0c719df7.jpg?v=1787233678</t>
        </is>
      </c>
      <c r="D36" s="4" t="inlineStr">
        <is>
          <t>https://cdn.shopify.com/s/files/1/0792/5098/1063/files/5155a60b18436e391bed973022f7062d5434ddd6d570a51bc67a5fdb0c719df7.jpg?v=1787233678</t>
        </is>
      </c>
      <c r="E36" s="2" t="inlineStr">
        <is>
          <t>38894703739079</t>
        </is>
      </c>
      <c r="F36" s="2" t="inlineStr">
        <is>
          <t>47933461889223</t>
        </is>
      </c>
      <c r="G36" s="2" t="inlineStr"/>
      <c r="H36" s="2" t="inlineStr">
        <is>
          <t>GALLERY</t>
        </is>
      </c>
      <c r="I36" s="2" t="inlineStr">
        <is>
          <t>DIRECT_ORIGINAL_IMAGE_REQA + R4_MEDIA_ID_COMPARISON</t>
        </is>
      </c>
      <c r="J36" s="2" t="inlineStr">
        <is>
          <t>2026-09-08T08:47:09.444535+07:00</t>
        </is>
      </c>
      <c r="K36" s="2" t="inlineStr">
        <is>
          <t>Bedspread construction-layer and fabric-feature graphic.</t>
        </is>
      </c>
      <c r="L36" s="2" t="inlineStr">
        <is>
          <t>Bedspread feature panel with microfiber layers and care-resistance icons.</t>
        </is>
      </c>
      <c r="M36" s="2" t="inlineStr">
        <is>
          <t>Cat Quilt Set - Cat Patchwork Style Printed Bedding, Animal Patchwork Bedset, Farmhouse Blanket with Pillowcases, Premium Quilt Pattern Bedding Set, Twin Full Queen Size</t>
        </is>
      </c>
      <c r="N36" s="2" t="inlineStr">
        <is>
          <t>SET</t>
        </is>
      </c>
      <c r="O36" s="2" t="inlineStr">
        <is>
          <t>Geometric cat quilt bedspread feature panel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["seo_runs\\jeminise.com\\20260906_234129\\evidence\\images\\6_cat-quilt-set-cat-patchwork-style-printed-bedding-animal-patchwork\\image_06_47933461889223.jpg;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"https://cdn.shopify.com/s/files/1/0792/5098/1063/files/5155a60b18436e391bed973022f7062d5434ddd6d570a51bc67a5fdb0c719df7.jpg?v=1787233678"]</t>
        </is>
      </c>
      <c r="AA36" s="2" t="inlineStr">
        <is>
          <t>r4</t>
        </is>
      </c>
    </row>
    <row r="37" ht="66" customHeight="1">
      <c r="A37" s="3" t="inlineStr">
        <is>
          <t>jeminise.com+cat-quilt-set-cat-patchwork-style-printed-bedding-animal-patchwork</t>
        </is>
      </c>
      <c r="B37" s="3" t="inlineStr">
        <is>
          <t>qaimg_0551983ac01ea8e3</t>
        </is>
      </c>
      <c r="C37" s="4" t="inlineStr">
        <is>
          <t>https://cdn.shopify.com/s/files/1/0792/5098/1063/files/0df0c698011b3a8e7982071042b9453452548b6175c2c4076cc8bb84ebb1a277.jpg?v=1787233678</t>
        </is>
      </c>
      <c r="D37" s="4" t="inlineStr">
        <is>
          <t>https://cdn.shopify.com/s/files/1/0792/5098/1063/files/0df0c698011b3a8e7982071042b9453452548b6175c2c4076cc8bb84ebb1a277.jpg?v=1787233678</t>
        </is>
      </c>
      <c r="E37" s="3" t="inlineStr">
        <is>
          <t>38894703771847</t>
        </is>
      </c>
      <c r="F37" s="3" t="inlineStr">
        <is>
          <t>47933461921991</t>
        </is>
      </c>
      <c r="G37" s="3" t="inlineStr"/>
      <c r="H37" s="3" t="inlineStr">
        <is>
          <t>GALLERY</t>
        </is>
      </c>
      <c r="I37" s="3" t="inlineStr">
        <is>
          <t>DIRECT_ORIGINAL_IMAGE_REQA + R4_MEDIA_ID_COMPARISON</t>
        </is>
      </c>
      <c r="J37" s="3" t="inlineStr">
        <is>
          <t>2026-09-08T08:47:09.444535+07:00</t>
        </is>
      </c>
      <c r="K37" s="3" t="inlineStr">
        <is>
          <t>Overhead bedroom mockup of the geometric cat quilt.</t>
        </is>
      </c>
      <c r="L37" s="3" t="inlineStr">
        <is>
          <t>Second bedroom mockup showing the geometric cat quilt from a different room angle.</t>
        </is>
      </c>
      <c r="M37" s="3" t="inlineStr">
        <is>
          <t>Cat Quilt Set - Cat Patchwork Style Printed Bedding, Animal Patchwork Bedset, Farmhouse Blanket with Pillowcases, Premium Quilt Pattern Bedding Set, Twin Full Queen Size</t>
        </is>
      </c>
      <c r="N37" s="3" t="inlineStr">
        <is>
          <t>SET</t>
        </is>
      </c>
      <c r="O37" s="3" t="inlineStr">
        <is>
          <t>Geometric cat quilt second bedroom mockup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["seo_runs\\jeminise.com\\20260906_234129\\evidence\\images\\6_cat-quilt-set-cat-patchwork-style-printed-bedding-animal-patchwork\\image_07_47933461921991.jpg; seo_runs\\jeminise.com\\20260906_234129\\evidence\\contact_sheets\\6_cat-quilt-set-cat-patchwork-style-printed-bedding-animal-patchwork.jpg", "https://jeminise.com/products/cat-quilt-set-cat-patchwork-style-printed-bedding-animal-patchwork", "https://cdn.shopify.com/s/files/1/0792/5098/1063/files/0df0c698011b3a8e7982071042b9453452548b6175c2c4076cc8bb84ebb1a277.jpg?v=1787233678"]</t>
        </is>
      </c>
      <c r="AA37" s="3" t="inlineStr">
        <is>
          <t>r4</t>
        </is>
      </c>
    </row>
    <row r="38" ht="66" customHeight="1">
      <c r="A38" s="2" t="inlineStr">
        <is>
          <t>jeminise.com+celtic-and-fantasy-quilt-set-with-twisting-tree-trunk-and-exposed-roots-c7b1460bad-c7b1460bad</t>
        </is>
      </c>
      <c r="B38" s="2" t="inlineStr">
        <is>
          <t>qaimg_6b99be0f184fc3c9</t>
        </is>
      </c>
      <c r="C38" s="4" t="inlineStr">
        <is>
          <t>https://cdn.shopify.com/s/files/1/0792/5098/1063/files/fa88df693fa60cabcd0f81ce06bcd29af56cdf7514f68810d99ef599203c821d.jpg?v=1785047367</t>
        </is>
      </c>
      <c r="D38" s="4" t="inlineStr">
        <is>
          <t>https://cdn.shopify.com/s/files/1/0792/5098/1063/files/fa88df693fa60cabcd0f81ce06bcd29af56cdf7514f68810d99ef599203c821d.jpg?v=1785047367</t>
        </is>
      </c>
      <c r="E38" s="2" t="inlineStr">
        <is>
          <t>38498696233159</t>
        </is>
      </c>
      <c r="F38" s="2" t="inlineStr">
        <is>
          <t>47531997331655</t>
        </is>
      </c>
      <c r="G38" s="2" t="inlineStr"/>
      <c r="H38" s="2" t="inlineStr">
        <is>
          <t>GALLERY</t>
        </is>
      </c>
      <c r="I38" s="2" t="inlineStr">
        <is>
          <t>DIRECT_ORIGINAL_IMAGE_REQA + R4_MEDIA_ID_COMPARISON</t>
        </is>
      </c>
      <c r="J38" s="2" t="inlineStr">
        <is>
          <t>2026-09-08T08:47:09.444535+07:00</t>
        </is>
      </c>
      <c r="K38" s="2" t="inlineStr">
        <is>
          <t>Front bed mockup with a twisting tree, exposed roots, teal night sky and Celtic knot border.</t>
        </is>
      </c>
      <c r="L38" s="2" t="inlineStr">
        <is>
          <t>Bed mockup with a twisting fantasy tree trunk, exposed roots, teal landscape accents and Celtic knot border.</t>
        </is>
      </c>
      <c r="M38" s="2" t="inlineStr">
        <is>
          <t>Celtic and Fantasy Quilt Set with Twisting Tree Trunk And Exposed Roots</t>
        </is>
      </c>
      <c r="N38" s="2" t="inlineStr">
        <is>
          <t>SET</t>
        </is>
      </c>
      <c r="O38" s="2" t="inlineStr">
        <is>
          <t>Celtic fantasy tree quilt set on bed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["seo_runs\\jeminise.com\\20260906_234129\\evidence\\images\\7_celtic-and-fantasy-quilt-set-with-twisting-tree-trunk-and-exposed-roots-c7b1460bad-c7b1460bad\\image_01_47531997331655.jpg;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"https://cdn.shopify.com/s/files/1/0792/5098/1063/files/fa88df693fa60cabcd0f81ce06bcd29af56cdf7514f68810d99ef599203c821d.jpg?v=1785047367"]</t>
        </is>
      </c>
      <c r="AA38" s="2" t="inlineStr">
        <is>
          <t>r4</t>
        </is>
      </c>
    </row>
    <row r="39" ht="66" customHeight="1">
      <c r="A39" s="3" t="inlineStr">
        <is>
          <t>jeminise.com+celtic-and-fantasy-quilt-set-with-twisting-tree-trunk-and-exposed-roots-c7b1460bad-c7b1460bad</t>
        </is>
      </c>
      <c r="B39" s="3" t="inlineStr">
        <is>
          <t>qaimg_ffc42bf7184918e6</t>
        </is>
      </c>
      <c r="C39" s="4" t="inlineStr">
        <is>
          <t>https://cdn.shopify.com/s/files/1/0792/5098/1063/files/77672c69bdca6fa3e34e5d859164a2661a0ec26b6ac10221a3df3171a6df2791.jpg?v=1785047367</t>
        </is>
      </c>
      <c r="D39" s="4" t="inlineStr">
        <is>
          <t>https://cdn.shopify.com/s/files/1/0792/5098/1063/files/77672c69bdca6fa3e34e5d859164a2661a0ec26b6ac10221a3df3171a6df2791.jpg?v=1785047367</t>
        </is>
      </c>
      <c r="E39" s="3" t="inlineStr">
        <is>
          <t>38498696265927</t>
        </is>
      </c>
      <c r="F39" s="3" t="inlineStr">
        <is>
          <t>47531997364423</t>
        </is>
      </c>
      <c r="G39" s="3" t="inlineStr"/>
      <c r="H39" s="3" t="inlineStr">
        <is>
          <t>GALLERY</t>
        </is>
      </c>
      <c r="I39" s="3" t="inlineStr">
        <is>
          <t>DIRECT_ORIGINAL_IMAGE_REQA + R4_MEDIA_ID_COMPARISON</t>
        </is>
      </c>
      <c r="J39" s="3" t="inlineStr">
        <is>
          <t>2026-09-08T08:47:09.444535+07:00</t>
        </is>
      </c>
      <c r="K39" s="3" t="inlineStr">
        <is>
          <t>Bedroom/feature graphic with premium print, no fading and skin-friendly callouts.</t>
        </is>
      </c>
      <c r="L39" s="3" t="inlineStr">
        <is>
          <t>Bedroom mockup showing the twisting Celtic fantasy tree quilt with coordinated pillow shams.</t>
        </is>
      </c>
      <c r="M39" s="3" t="inlineStr">
        <is>
          <t>Celtic and Fantasy Quilt Set with Twisting Tree Trunk And Exposed Roots</t>
        </is>
      </c>
      <c r="N39" s="3" t="inlineStr">
        <is>
          <t>SET</t>
        </is>
      </c>
      <c r="O39" s="3" t="inlineStr">
        <is>
          <t>Celtic fantasy tree quilt bedroom mockup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["seo_runs\\jeminise.com\\20260906_234129\\evidence\\images\\7_celtic-and-fantasy-quilt-set-with-twisting-tree-trunk-and-exposed-roots-c7b1460bad-c7b1460bad\\image_02_47531997364423.jpg;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"https://cdn.shopify.com/s/files/1/0792/5098/1063/files/77672c69bdca6fa3e34e5d859164a2661a0ec26b6ac10221a3df3171a6df2791.jpg?v=1785047367"]</t>
        </is>
      </c>
      <c r="AA39" s="3" t="inlineStr">
        <is>
          <t>r4</t>
        </is>
      </c>
    </row>
    <row r="40" ht="66" customHeight="1">
      <c r="A40" s="2" t="inlineStr">
        <is>
          <t>jeminise.com+celtic-and-fantasy-quilt-set-with-twisting-tree-trunk-and-exposed-roots-c7b1460bad-c7b1460bad</t>
        </is>
      </c>
      <c r="B40" s="2" t="inlineStr">
        <is>
          <t>qaimg_99f7cdc5b247185b</t>
        </is>
      </c>
      <c r="C40" s="4" t="inlineStr">
        <is>
          <t>https://cdn.shopify.com/s/files/1/0792/5098/1063/files/ef4c0af4b6e931816fba2b315617ce40f57b62cc23bc9476fc29bcd9f7fea3ed.jpg?v=1785047367</t>
        </is>
      </c>
      <c r="D40" s="4" t="inlineStr">
        <is>
          <t>https://cdn.shopify.com/s/files/1/0792/5098/1063/files/ef4c0af4b6e931816fba2b315617ce40f57b62cc23bc9476fc29bcd9f7fea3ed.jpg?v=1785047367</t>
        </is>
      </c>
      <c r="E40" s="2" t="inlineStr">
        <is>
          <t>38498696298695</t>
        </is>
      </c>
      <c r="F40" s="2" t="inlineStr">
        <is>
          <t>47531997397191</t>
        </is>
      </c>
      <c r="G40" s="2" t="inlineStr"/>
      <c r="H40" s="2" t="inlineStr">
        <is>
          <t>GALLERY</t>
        </is>
      </c>
      <c r="I40" s="2" t="inlineStr">
        <is>
          <t>DIRECT_ORIGINAL_IMAGE_REQA + R4_MEDIA_ID_COMPARISON</t>
        </is>
      </c>
      <c r="J40" s="2" t="inlineStr">
        <is>
          <t>2026-09-08T08:47:09.444535+07:00</t>
        </is>
      </c>
      <c r="K40" s="2" t="inlineStr">
        <is>
          <t>Pillow shams plus lightweight, soft, anti-pill and anti-static feature callouts.</t>
        </is>
      </c>
      <c r="L40" s="2" t="inlineStr">
        <is>
          <t>Optional pillow shams panel showing coordinated Celtic fantasy tree artwork.</t>
        </is>
      </c>
      <c r="M40" s="2" t="inlineStr">
        <is>
          <t>Celtic and Fantasy Quilt Set with Twisting Tree Trunk And Exposed Roots</t>
        </is>
      </c>
      <c r="N40" s="2" t="inlineStr">
        <is>
          <t>SET</t>
        </is>
      </c>
      <c r="O40" s="2" t="inlineStr">
        <is>
          <t>Celtic fantasy tree optional pillow shams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["seo_runs\\jeminise.com\\20260906_234129\\evidence\\images\\7_celtic-and-fantasy-quilt-set-with-twisting-tree-trunk-and-exposed-roots-c7b1460bad-c7b1460bad\\image_03_47531997397191.jpg;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"https://cdn.shopify.com/s/files/1/0792/5098/1063/files/ef4c0af4b6e931816fba2b315617ce40f57b62cc23bc9476fc29bcd9f7fea3ed.jpg?v=1785047367"]</t>
        </is>
      </c>
      <c r="AA40" s="2" t="inlineStr">
        <is>
          <t>r4</t>
        </is>
      </c>
    </row>
    <row r="41" ht="66" customHeight="1">
      <c r="A41" s="3" t="inlineStr">
        <is>
          <t>jeminise.com+celtic-and-fantasy-quilt-set-with-twisting-tree-trunk-and-exposed-roots-c7b1460bad-c7b1460bad</t>
        </is>
      </c>
      <c r="B41" s="3" t="inlineStr">
        <is>
          <t>qaimg_0d3e7de6663733e5</t>
        </is>
      </c>
      <c r="C41" s="4" t="inlineStr">
        <is>
          <t>https://cdn.shopify.com/s/files/1/0792/5098/1063/files/a0029afc03d47a3a82238a1bab89f1066c3687b3f06500badea074cba44f9e80.jpg?v=1785047367</t>
        </is>
      </c>
      <c r="D41" s="4" t="inlineStr">
        <is>
          <t>https://cdn.shopify.com/s/files/1/0792/5098/1063/files/a0029afc03d47a3a82238a1bab89f1066c3687b3f06500badea074cba44f9e80.jpg?v=1785047367</t>
        </is>
      </c>
      <c r="E41" s="3" t="inlineStr">
        <is>
          <t>38498696331463</t>
        </is>
      </c>
      <c r="F41" s="3" t="inlineStr">
        <is>
          <t>47531997429959</t>
        </is>
      </c>
      <c r="G41" s="3" t="inlineStr"/>
      <c r="H41" s="3" t="inlineStr">
        <is>
          <t>GALLERY</t>
        </is>
      </c>
      <c r="I41" s="3" t="inlineStr">
        <is>
          <t>DIRECT_ORIGINAL_IMAGE_REQA + R4_MEDIA_ID_COMPARISON</t>
        </is>
      </c>
      <c r="J41" s="3" t="inlineStr">
        <is>
          <t>2026-09-08T08:47:09.444535+07:00</t>
        </is>
      </c>
      <c r="K41" s="3" t="inlineStr">
        <is>
          <t>All-season and fabric-quality feature graphic with a small bed mockup.</t>
        </is>
      </c>
      <c r="L41" s="3" t="inlineStr">
        <is>
          <t>Fabric feature panel showing soft breathable skin-friendly material and all-season use notes.</t>
        </is>
      </c>
      <c r="M41" s="3" t="inlineStr">
        <is>
          <t>Celtic and Fantasy Quilt Set with Twisting Tree Trunk And Exposed Roots</t>
        </is>
      </c>
      <c r="N41" s="3" t="inlineStr">
        <is>
          <t>SET</t>
        </is>
      </c>
      <c r="O41" s="3" t="inlineStr">
        <is>
          <t>Celtic fantasy tree quilt fabric feature panel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["seo_runs\\jeminise.com\\20260906_234129\\evidence\\images\\7_celtic-and-fantasy-quilt-set-with-twisting-tree-trunk-and-exposed-roots-c7b1460bad-c7b1460bad\\image_04_47531997429959.jpg;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"https://cdn.shopify.com/s/files/1/0792/5098/1063/files/a0029afc03d47a3a82238a1bab89f1066c3687b3f06500badea074cba44f9e80.jpg?v=1785047367"]</t>
        </is>
      </c>
      <c r="AA41" s="3" t="inlineStr">
        <is>
          <t>r4</t>
        </is>
      </c>
    </row>
    <row r="42" ht="66" customHeight="1">
      <c r="A42" s="2" t="inlineStr">
        <is>
          <t>jeminise.com+celtic-and-fantasy-quilt-set-with-twisting-tree-trunk-and-exposed-roots-c7b1460bad-c7b1460bad</t>
        </is>
      </c>
      <c r="B42" s="2" t="inlineStr">
        <is>
          <t>qaimg_818f0207514cb1d1</t>
        </is>
      </c>
      <c r="C42" s="4" t="inlineStr">
        <is>
          <t>https://cdn.shopify.com/s/files/1/0792/5098/1063/files/ce768ad21d8034d259875beb1f86914d1af6b1b5f584dd33080fe12b5797fde7.jpg?v=1785047367</t>
        </is>
      </c>
      <c r="D42" s="4" t="inlineStr">
        <is>
          <t>https://cdn.shopify.com/s/files/1/0792/5098/1063/files/ce768ad21d8034d259875beb1f86914d1af6b1b5f584dd33080fe12b5797fde7.jpg?v=1785047367</t>
        </is>
      </c>
      <c r="E42" s="2" t="inlineStr">
        <is>
          <t>38498696364231</t>
        </is>
      </c>
      <c r="F42" s="2" t="inlineStr">
        <is>
          <t>47531997462727</t>
        </is>
      </c>
      <c r="G42" s="2" t="inlineStr"/>
      <c r="H42" s="2" t="inlineStr">
        <is>
          <t>GALLERY</t>
        </is>
      </c>
      <c r="I42" s="2" t="inlineStr">
        <is>
          <t>DIRECT_ORIGINAL_IMAGE_REQA + R4_MEDIA_ID_COMPARISON</t>
        </is>
      </c>
      <c r="J42" s="2" t="inlineStr">
        <is>
          <t>2026-09-08T08:47:09.444535+07:00</t>
        </is>
      </c>
      <c r="K42" s="2" t="inlineStr">
        <is>
          <t>Quilt size chart.</t>
        </is>
      </c>
      <c r="L42" s="2" t="inlineStr">
        <is>
          <t>Premium quilt set size chart for the Celtic fantasy tree design.</t>
        </is>
      </c>
      <c r="M42" s="2" t="inlineStr">
        <is>
          <t>Celtic and Fantasy Quilt Set with Twisting Tree Trunk And Exposed Roots</t>
        </is>
      </c>
      <c r="N42" s="2" t="inlineStr">
        <is>
          <t>SET</t>
        </is>
      </c>
      <c r="O42" s="2" t="inlineStr">
        <is>
          <t>Celtic fantasy tree quilt size chart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["seo_runs\\jeminise.com\\20260906_234129\\evidence\\images\\7_celtic-and-fantasy-quilt-set-with-twisting-tree-trunk-and-exposed-roots-c7b1460bad-c7b1460bad\\image_05_47531997462727.jpg;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"https://cdn.shopify.com/s/files/1/0792/5098/1063/files/ce768ad21d8034d259875beb1f86914d1af6b1b5f584dd33080fe12b5797fde7.jpg?v=1785047367"]</t>
        </is>
      </c>
      <c r="AA42" s="2" t="inlineStr">
        <is>
          <t>r4</t>
        </is>
      </c>
    </row>
    <row r="43" ht="66" customHeight="1">
      <c r="A43" s="3" t="inlineStr">
        <is>
          <t>jeminise.com+celtic-and-fantasy-quilt-set-with-twisting-tree-trunk-and-exposed-roots-c7b1460bad-c7b1460bad</t>
        </is>
      </c>
      <c r="B43" s="3" t="inlineStr">
        <is>
          <t>qaimg_8b91368a5a5d58f6</t>
        </is>
      </c>
      <c r="C43" s="4" t="inlineStr">
        <is>
          <t>https://cdn.shopify.com/s/files/1/0792/5098/1063/files/211a7f518d47f7ccc7aea2fcf7dd6eccdae71860c4b90e78d4de70ce53d36eb9.jpg?v=1785047367</t>
        </is>
      </c>
      <c r="D43" s="4" t="inlineStr">
        <is>
          <t>https://cdn.shopify.com/s/files/1/0792/5098/1063/files/211a7f518d47f7ccc7aea2fcf7dd6eccdae71860c4b90e78d4de70ce53d36eb9.jpg?v=1785047367</t>
        </is>
      </c>
      <c r="E43" s="3" t="inlineStr">
        <is>
          <t>38498696396999</t>
        </is>
      </c>
      <c r="F43" s="3" t="inlineStr">
        <is>
          <t>47531997495495</t>
        </is>
      </c>
      <c r="G43" s="3" t="inlineStr"/>
      <c r="H43" s="3" t="inlineStr">
        <is>
          <t>GALLERY</t>
        </is>
      </c>
      <c r="I43" s="3" t="inlineStr">
        <is>
          <t>DIRECT_ORIGINAL_IMAGE_REQA + R4_MEDIA_ID_COMPARISON</t>
        </is>
      </c>
      <c r="J43" s="3" t="inlineStr">
        <is>
          <t>2026-09-08T08:47:09.444535+07:00</t>
        </is>
      </c>
      <c r="K43" s="3" t="inlineStr">
        <is>
          <t>Bedspread construction-layer and fabric-feature graphic.</t>
        </is>
      </c>
      <c r="L43" s="3" t="inlineStr">
        <is>
          <t>Bedspread feature panel with microfiber layers and care-resistance icons.</t>
        </is>
      </c>
      <c r="M43" s="3" t="inlineStr">
        <is>
          <t>Celtic and Fantasy Quilt Set with Twisting Tree Trunk And Exposed Roots</t>
        </is>
      </c>
      <c r="N43" s="3" t="inlineStr">
        <is>
          <t>SET</t>
        </is>
      </c>
      <c r="O43" s="3" t="inlineStr">
        <is>
          <t>Celtic fantasy tree bedspread feature panel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["seo_runs\\jeminise.com\\20260906_234129\\evidence\\images\\7_celtic-and-fantasy-quilt-set-with-twisting-tree-trunk-and-exposed-roots-c7b1460bad-c7b1460bad\\image_06_47531997495495.jpg;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"https://cdn.shopify.com/s/files/1/0792/5098/1063/files/211a7f518d47f7ccc7aea2fcf7dd6eccdae71860c4b90e78d4de70ce53d36eb9.jpg?v=1785047367"]</t>
        </is>
      </c>
      <c r="AA43" s="3" t="inlineStr">
        <is>
          <t>r4</t>
        </is>
      </c>
    </row>
    <row r="44" ht="66" customHeight="1">
      <c r="A44" s="2" t="inlineStr">
        <is>
          <t>jeminise.com+celtic-and-fantasy-quilt-set-with-twisting-tree-trunk-and-exposed-roots-c7b1460bad-c7b1460bad</t>
        </is>
      </c>
      <c r="B44" s="2" t="inlineStr">
        <is>
          <t>qaimg_e1eafb43df382a3c</t>
        </is>
      </c>
      <c r="C44" s="4" t="inlineStr">
        <is>
          <t>https://cdn.shopify.com/s/files/1/0792/5098/1063/files/285b33441b58fd0660e7d9fbad77f1aeb4d88a3e3678d0ef0a1341e0d0cab3fa.jpg?v=1785047367</t>
        </is>
      </c>
      <c r="D44" s="4" t="inlineStr">
        <is>
          <t>https://cdn.shopify.com/s/files/1/0792/5098/1063/files/285b33441b58fd0660e7d9fbad77f1aeb4d88a3e3678d0ef0a1341e0d0cab3fa.jpg?v=1785047367</t>
        </is>
      </c>
      <c r="E44" s="2" t="inlineStr">
        <is>
          <t>38498696429767</t>
        </is>
      </c>
      <c r="F44" s="2" t="inlineStr">
        <is>
          <t>47531997528263</t>
        </is>
      </c>
      <c r="G44" s="2" t="inlineStr"/>
      <c r="H44" s="2" t="inlineStr">
        <is>
          <t>GALLERY</t>
        </is>
      </c>
      <c r="I44" s="2" t="inlineStr">
        <is>
          <t>DIRECT_ORIGINAL_IMAGE_REQA + R4_MEDIA_ID_COMPARISON</t>
        </is>
      </c>
      <c r="J44" s="2" t="inlineStr">
        <is>
          <t>2026-09-08T08:47:09.444535+07:00</t>
        </is>
      </c>
      <c r="K44" s="2" t="inlineStr">
        <is>
          <t>Overhead bedroom mockup of the Celtic fantasy tree quilt.</t>
        </is>
      </c>
      <c r="L44" s="2" t="inlineStr">
        <is>
          <t>Second bedroom mockup showing the Celtic fantasy tree quilt from a different room angle.</t>
        </is>
      </c>
      <c r="M44" s="2" t="inlineStr">
        <is>
          <t>Celtic and Fantasy Quilt Set with Twisting Tree Trunk And Exposed Roots</t>
        </is>
      </c>
      <c r="N44" s="2" t="inlineStr">
        <is>
          <t>SET</t>
        </is>
      </c>
      <c r="O44" s="2" t="inlineStr">
        <is>
          <t>Celtic fantasy tree second bedroom mockup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["seo_runs\\jeminise.com\\20260906_234129\\evidence\\images\\7_celtic-and-fantasy-quilt-set-with-twisting-tree-trunk-and-exposed-roots-c7b1460bad-c7b1460bad\\image_07_47531997528263.jpg; seo_runs\\jeminise.com\\20260906_234129\\evidence\\contact_sheets\\7_celtic-and-fantasy-quilt-set-with-twisting-tree-trunk-and-exposed-roots-c7b1460bad-c7b1460bad.jpg", "https://jeminise.com/products/celtic-and-fantasy-quilt-set-with-twisting-tree-trunk-and-exposed-roots-c7b1460bad-c7b1460bad", "https://cdn.shopify.com/s/files/1/0792/5098/1063/files/285b33441b58fd0660e7d9fbad77f1aeb4d88a3e3678d0ef0a1341e0d0cab3fa.jpg?v=1785047367"]</t>
        </is>
      </c>
      <c r="AA44" s="2" t="inlineStr">
        <is>
          <t>r4</t>
        </is>
      </c>
    </row>
    <row r="45" ht="66" customHeight="1">
      <c r="A45" s="3" t="inlineStr">
        <is>
          <t>jeminise.com+celtic-mythology-tree-of-life-quilt-set-with-celtic-knotwork-border-12786aba7e-12786aba7e</t>
        </is>
      </c>
      <c r="B45" s="3" t="inlineStr">
        <is>
          <t>qaimg_d13255335d186826</t>
        </is>
      </c>
      <c r="C45" s="4" t="inlineStr">
        <is>
          <t>https://cdn.shopify.com/s/files/1/0792/5098/1063/files/eeee3be59c912ddfb95b556144ad283287f06b56c3797e9000aed4094e9c0f46.jpg?v=1785047188</t>
        </is>
      </c>
      <c r="D45" s="4" t="inlineStr">
        <is>
          <t>https://cdn.shopify.com/s/files/1/0792/5098/1063/files/eeee3be59c912ddfb95b556144ad283287f06b56c3797e9000aed4094e9c0f46.jpg?v=1785047188</t>
        </is>
      </c>
      <c r="E45" s="3" t="inlineStr">
        <is>
          <t>38498652651719</t>
        </is>
      </c>
      <c r="F45" s="3" t="inlineStr">
        <is>
          <t>47531950571719</t>
        </is>
      </c>
      <c r="G45" s="3" t="inlineStr"/>
      <c r="H45" s="3" t="inlineStr">
        <is>
          <t>GALLERY</t>
        </is>
      </c>
      <c r="I45" s="3" t="inlineStr">
        <is>
          <t>DIRECT_ORIGINAL_IMAGE_REQA + R4_MEDIA_ID_COMPARISON</t>
        </is>
      </c>
      <c r="J45" s="3" t="inlineStr">
        <is>
          <t>2026-09-08T08:47:09.444535+07:00</t>
        </is>
      </c>
      <c r="K45" s="3" t="inlineStr">
        <is>
          <t>Front bed mockup with a green Tree of Life medallion and Celtic knotwork border.</t>
        </is>
      </c>
      <c r="L45" s="3" t="inlineStr">
        <is>
          <t>Bed mockup with a green Tree of Life medallion and circular Celtic knotwork border.</t>
        </is>
      </c>
      <c r="M45" s="3" t="inlineStr">
        <is>
          <t>Celtic Mythology Tree of Life Quilt Set With Celtic Knotwork Border</t>
        </is>
      </c>
      <c r="N45" s="3" t="inlineStr">
        <is>
          <t>SET</t>
        </is>
      </c>
      <c r="O45" s="3" t="inlineStr">
        <is>
          <t>Celtic Tree of Life quilt set on bed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["seo_runs\\jeminise.com\\20260906_234129\\evidence\\images\\8_celtic-mythology-tree-of-life-quilt-set-with-celtic-knotwork-border-12786aba7e-12786aba7e\\image_01_47531950571719.jpg;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"https://cdn.shopify.com/s/files/1/0792/5098/1063/files/eeee3be59c912ddfb95b556144ad283287f06b56c3797e9000aed4094e9c0f46.jpg?v=1785047188"]</t>
        </is>
      </c>
      <c r="AA45" s="3" t="inlineStr">
        <is>
          <t>r4</t>
        </is>
      </c>
    </row>
    <row r="46" ht="66" customHeight="1">
      <c r="A46" s="2" t="inlineStr">
        <is>
          <t>jeminise.com+celtic-mythology-tree-of-life-quilt-set-with-celtic-knotwork-border-12786aba7e-12786aba7e</t>
        </is>
      </c>
      <c r="B46" s="2" t="inlineStr">
        <is>
          <t>qaimg_fcc661342df8f7e6</t>
        </is>
      </c>
      <c r="C46" s="4" t="inlineStr">
        <is>
          <t>https://cdn.shopify.com/s/files/1/0792/5098/1063/files/b62d307163504bede5d79d6a1894e1fb2390a7f6bb97d231a74b900c216c6f10.jpg?v=1785047189</t>
        </is>
      </c>
      <c r="D46" s="4" t="inlineStr">
        <is>
          <t>https://cdn.shopify.com/s/files/1/0792/5098/1063/files/b62d307163504bede5d79d6a1894e1fb2390a7f6bb97d231a74b900c216c6f10.jpg?v=1785047189</t>
        </is>
      </c>
      <c r="E46" s="2" t="inlineStr">
        <is>
          <t>38498652684487</t>
        </is>
      </c>
      <c r="F46" s="2" t="inlineStr">
        <is>
          <t>47531950604487</t>
        </is>
      </c>
      <c r="G46" s="2" t="inlineStr"/>
      <c r="H46" s="2" t="inlineStr">
        <is>
          <t>GALLERY</t>
        </is>
      </c>
      <c r="I46" s="2" t="inlineStr">
        <is>
          <t>DIRECT_ORIGINAL_IMAGE_REQA + R4_MEDIA_ID_COMPARISON</t>
        </is>
      </c>
      <c r="J46" s="2" t="inlineStr">
        <is>
          <t>2026-09-08T08:47:09.444535+07:00</t>
        </is>
      </c>
      <c r="K46" s="2" t="inlineStr">
        <is>
          <t>Bedroom/feature graphic with premium print, no fading and skin-friendly callouts.</t>
        </is>
      </c>
      <c r="L46" s="2" t="inlineStr">
        <is>
          <t>Bedroom mockup showing the green Celtic Tree of Life quilt with coordinated pillow shams.</t>
        </is>
      </c>
      <c r="M46" s="2" t="inlineStr">
        <is>
          <t>Celtic Mythology Tree of Life Quilt Set With Celtic Knotwork Border</t>
        </is>
      </c>
      <c r="N46" s="2" t="inlineStr">
        <is>
          <t>SET</t>
        </is>
      </c>
      <c r="O46" s="2" t="inlineStr">
        <is>
          <t>Celtic Tree of Life quilt bedroom mockup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["seo_runs\\jeminise.com\\20260906_234129\\evidence\\images\\8_celtic-mythology-tree-of-life-quilt-set-with-celtic-knotwork-border-12786aba7e-12786aba7e\\image_02_47531950604487.jpg;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"https://cdn.shopify.com/s/files/1/0792/5098/1063/files/b62d307163504bede5d79d6a1894e1fb2390a7f6bb97d231a74b900c216c6f10.jpg?v=1785047189"]</t>
        </is>
      </c>
      <c r="AA46" s="2" t="inlineStr">
        <is>
          <t>r4</t>
        </is>
      </c>
    </row>
    <row r="47" ht="66" customHeight="1">
      <c r="A47" s="3" t="inlineStr">
        <is>
          <t>jeminise.com+celtic-mythology-tree-of-life-quilt-set-with-celtic-knotwork-border-12786aba7e-12786aba7e</t>
        </is>
      </c>
      <c r="B47" s="3" t="inlineStr">
        <is>
          <t>qaimg_a448f078c92e2bb0</t>
        </is>
      </c>
      <c r="C47" s="4" t="inlineStr">
        <is>
          <t>https://cdn.shopify.com/s/files/1/0792/5098/1063/files/492ae2152294ed05b1b9c9c476c3f0407f72dd5f9231dfabab608600dfcfca18.jpg?v=1785047188</t>
        </is>
      </c>
      <c r="D47" s="4" t="inlineStr">
        <is>
          <t>https://cdn.shopify.com/s/files/1/0792/5098/1063/files/492ae2152294ed05b1b9c9c476c3f0407f72dd5f9231dfabab608600dfcfca18.jpg?v=1785047188</t>
        </is>
      </c>
      <c r="E47" s="3" t="inlineStr">
        <is>
          <t>38498652717255</t>
        </is>
      </c>
      <c r="F47" s="3" t="inlineStr">
        <is>
          <t>47531950637255</t>
        </is>
      </c>
      <c r="G47" s="3" t="inlineStr"/>
      <c r="H47" s="3" t="inlineStr">
        <is>
          <t>GALLERY</t>
        </is>
      </c>
      <c r="I47" s="3" t="inlineStr">
        <is>
          <t>DIRECT_ORIGINAL_IMAGE_REQA + R4_MEDIA_ID_COMPARISON</t>
        </is>
      </c>
      <c r="J47" s="3" t="inlineStr">
        <is>
          <t>2026-09-08T08:47:09.444535+07:00</t>
        </is>
      </c>
      <c r="K47" s="3" t="inlineStr">
        <is>
          <t>Pillow shams plus lightweight, soft, anti-pill and anti-static feature callouts.</t>
        </is>
      </c>
      <c r="L47" s="3" t="inlineStr">
        <is>
          <t>Optional pillow shams panel showing coordinated green Tree of Life artwork.</t>
        </is>
      </c>
      <c r="M47" s="3" t="inlineStr">
        <is>
          <t>Celtic Mythology Tree of Life Quilt Set With Celtic Knotwork Border</t>
        </is>
      </c>
      <c r="N47" s="3" t="inlineStr">
        <is>
          <t>SET</t>
        </is>
      </c>
      <c r="O47" s="3" t="inlineStr">
        <is>
          <t>Celtic Tree of Life optional pillow shams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["seo_runs\\jeminise.com\\20260906_234129\\evidence\\images\\8_celtic-mythology-tree-of-life-quilt-set-with-celtic-knotwork-border-12786aba7e-12786aba7e\\image_03_47531950637255.jpg;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"https://cdn.shopify.com/s/files/1/0792/5098/1063/files/492ae2152294ed05b1b9c9c476c3f0407f72dd5f9231dfabab608600dfcfca18.jpg?v=1785047188"]</t>
        </is>
      </c>
      <c r="AA47" s="3" t="inlineStr">
        <is>
          <t>r4</t>
        </is>
      </c>
    </row>
    <row r="48" ht="66" customHeight="1">
      <c r="A48" s="2" t="inlineStr">
        <is>
          <t>jeminise.com+celtic-mythology-tree-of-life-quilt-set-with-celtic-knotwork-border-12786aba7e-12786aba7e</t>
        </is>
      </c>
      <c r="B48" s="2" t="inlineStr">
        <is>
          <t>qaimg_3828d6eeb0c0036a</t>
        </is>
      </c>
      <c r="C48" s="4" t="inlineStr">
        <is>
          <t>https://cdn.shopify.com/s/files/1/0792/5098/1063/files/d9597bfb2c08a10fed85d6814082edddf7b30bf76e5108fb36b1aee207514584.jpg?v=1785047189</t>
        </is>
      </c>
      <c r="D48" s="4" t="inlineStr">
        <is>
          <t>https://cdn.shopify.com/s/files/1/0792/5098/1063/files/d9597bfb2c08a10fed85d6814082edddf7b30bf76e5108fb36b1aee207514584.jpg?v=1785047189</t>
        </is>
      </c>
      <c r="E48" s="2" t="inlineStr">
        <is>
          <t>38498652750023</t>
        </is>
      </c>
      <c r="F48" s="2" t="inlineStr">
        <is>
          <t>47531950670023</t>
        </is>
      </c>
      <c r="G48" s="2" t="inlineStr"/>
      <c r="H48" s="2" t="inlineStr">
        <is>
          <t>GALLERY</t>
        </is>
      </c>
      <c r="I48" s="2" t="inlineStr">
        <is>
          <t>DIRECT_ORIGINAL_IMAGE_REQA + R4_MEDIA_ID_COMPARISON</t>
        </is>
      </c>
      <c r="J48" s="2" t="inlineStr">
        <is>
          <t>2026-09-08T08:47:09.444535+07:00</t>
        </is>
      </c>
      <c r="K48" s="2" t="inlineStr">
        <is>
          <t>All-season and fabric-quality feature graphic with a small bed mockup.</t>
        </is>
      </c>
      <c r="L48" s="2" t="inlineStr">
        <is>
          <t>Fabric feature panel showing soft breathable skin-friendly material and all-season use notes.</t>
        </is>
      </c>
      <c r="M48" s="2" t="inlineStr">
        <is>
          <t>Celtic Mythology Tree of Life Quilt Set With Celtic Knotwork Border</t>
        </is>
      </c>
      <c r="N48" s="2" t="inlineStr">
        <is>
          <t>SET</t>
        </is>
      </c>
      <c r="O48" s="2" t="inlineStr">
        <is>
          <t>Celtic Tree of Life quilt fabric feature panel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["seo_runs\\jeminise.com\\20260906_234129\\evidence\\images\\8_celtic-mythology-tree-of-life-quilt-set-with-celtic-knotwork-border-12786aba7e-12786aba7e\\image_04_47531950670023.jpg;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"https://cdn.shopify.com/s/files/1/0792/5098/1063/files/d9597bfb2c08a10fed85d6814082edddf7b30bf76e5108fb36b1aee207514584.jpg?v=1785047189"]</t>
        </is>
      </c>
      <c r="AA48" s="2" t="inlineStr">
        <is>
          <t>r4</t>
        </is>
      </c>
    </row>
    <row r="49" ht="66" customHeight="1">
      <c r="A49" s="3" t="inlineStr">
        <is>
          <t>jeminise.com+celtic-mythology-tree-of-life-quilt-set-with-celtic-knotwork-border-12786aba7e-12786aba7e</t>
        </is>
      </c>
      <c r="B49" s="3" t="inlineStr">
        <is>
          <t>qaimg_6f372352ca4346d8</t>
        </is>
      </c>
      <c r="C49" s="4" t="inlineStr">
        <is>
          <t>https://cdn.shopify.com/s/files/1/0792/5098/1063/files/d48cccbb819c4ecffd7785e920fd2b840e50a24ee2a5033e47adf1a0f7ac2dd4.jpg?v=1785047189</t>
        </is>
      </c>
      <c r="D49" s="4" t="inlineStr">
        <is>
          <t>https://cdn.shopify.com/s/files/1/0792/5098/1063/files/d48cccbb819c4ecffd7785e920fd2b840e50a24ee2a5033e47adf1a0f7ac2dd4.jpg?v=1785047189</t>
        </is>
      </c>
      <c r="E49" s="3" t="inlineStr">
        <is>
          <t>38498652782791</t>
        </is>
      </c>
      <c r="F49" s="3" t="inlineStr">
        <is>
          <t>47531950702791</t>
        </is>
      </c>
      <c r="G49" s="3" t="inlineStr"/>
      <c r="H49" s="3" t="inlineStr">
        <is>
          <t>GALLERY</t>
        </is>
      </c>
      <c r="I49" s="3" t="inlineStr">
        <is>
          <t>DIRECT_ORIGINAL_IMAGE_REQA + R4_MEDIA_ID_COMPARISON</t>
        </is>
      </c>
      <c r="J49" s="3" t="inlineStr">
        <is>
          <t>2026-09-08T08:47:09.444535+07:00</t>
        </is>
      </c>
      <c r="K49" s="3" t="inlineStr">
        <is>
          <t>Quilt size chart.</t>
        </is>
      </c>
      <c r="L49" s="3" t="inlineStr">
        <is>
          <t>Premium quilt set size chart for the green Celtic Tree of Life design.</t>
        </is>
      </c>
      <c r="M49" s="3" t="inlineStr">
        <is>
          <t>Celtic Mythology Tree of Life Quilt Set With Celtic Knotwork Border</t>
        </is>
      </c>
      <c r="N49" s="3" t="inlineStr">
        <is>
          <t>SET</t>
        </is>
      </c>
      <c r="O49" s="3" t="inlineStr">
        <is>
          <t>Celtic Tree of Life quilt size chart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["seo_runs\\jeminise.com\\20260906_234129\\evidence\\images\\8_celtic-mythology-tree-of-life-quilt-set-with-celtic-knotwork-border-12786aba7e-12786aba7e\\image_05_47531950702791.jpg;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"https://cdn.shopify.com/s/files/1/0792/5098/1063/files/d48cccbb819c4ecffd7785e920fd2b840e50a24ee2a5033e47adf1a0f7ac2dd4.jpg?v=1785047189"]</t>
        </is>
      </c>
      <c r="AA49" s="3" t="inlineStr">
        <is>
          <t>r4</t>
        </is>
      </c>
    </row>
    <row r="50" ht="66" customHeight="1">
      <c r="A50" s="2" t="inlineStr">
        <is>
          <t>jeminise.com+celtic-mythology-tree-of-life-quilt-set-with-celtic-knotwork-border-12786aba7e-12786aba7e</t>
        </is>
      </c>
      <c r="B50" s="2" t="inlineStr">
        <is>
          <t>qaimg_7755084158711bce</t>
        </is>
      </c>
      <c r="C50" s="4" t="inlineStr">
        <is>
          <t>https://cdn.shopify.com/s/files/1/0792/5098/1063/files/eb7addcbef4e997dedf995d8edc2c3fb7ac03e00ca967e746fc0f52cc5daca82.jpg?v=1785047189</t>
        </is>
      </c>
      <c r="D50" s="4" t="inlineStr">
        <is>
          <t>https://cdn.shopify.com/s/files/1/0792/5098/1063/files/eb7addcbef4e997dedf995d8edc2c3fb7ac03e00ca967e746fc0f52cc5daca82.jpg?v=1785047189</t>
        </is>
      </c>
      <c r="E50" s="2" t="inlineStr">
        <is>
          <t>38498652815559</t>
        </is>
      </c>
      <c r="F50" s="2" t="inlineStr">
        <is>
          <t>47531950735559</t>
        </is>
      </c>
      <c r="G50" s="2" t="inlineStr"/>
      <c r="H50" s="2" t="inlineStr">
        <is>
          <t>GALLERY</t>
        </is>
      </c>
      <c r="I50" s="2" t="inlineStr">
        <is>
          <t>DIRECT_ORIGINAL_IMAGE_REQA + R4_MEDIA_ID_COMPARISON</t>
        </is>
      </c>
      <c r="J50" s="2" t="inlineStr">
        <is>
          <t>2026-09-08T08:47:09.444535+07:00</t>
        </is>
      </c>
      <c r="K50" s="2" t="inlineStr">
        <is>
          <t>Bedspread construction-layer and fabric-feature graphic.</t>
        </is>
      </c>
      <c r="L50" s="2" t="inlineStr">
        <is>
          <t>Bedspread feature panel with microfiber layers and care-resistance icons.</t>
        </is>
      </c>
      <c r="M50" s="2" t="inlineStr">
        <is>
          <t>Celtic Mythology Tree of Life Quilt Set With Celtic Knotwork Border</t>
        </is>
      </c>
      <c r="N50" s="2" t="inlineStr">
        <is>
          <t>SET</t>
        </is>
      </c>
      <c r="O50" s="2" t="inlineStr">
        <is>
          <t>Celtic Tree of Life bedspread feature panel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["seo_runs\\jeminise.com\\20260906_234129\\evidence\\images\\8_celtic-mythology-tree-of-life-quilt-set-with-celtic-knotwork-border-12786aba7e-12786aba7e\\image_06_47531950735559.jpg;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"https://cdn.shopify.com/s/files/1/0792/5098/1063/files/eb7addcbef4e997dedf995d8edc2c3fb7ac03e00ca967e746fc0f52cc5daca82.jpg?v=1785047189"]</t>
        </is>
      </c>
      <c r="AA50" s="2" t="inlineStr">
        <is>
          <t>r4</t>
        </is>
      </c>
    </row>
    <row r="51" ht="66" customHeight="1">
      <c r="A51" s="3" t="inlineStr">
        <is>
          <t>jeminise.com+celtic-mythology-tree-of-life-quilt-set-with-celtic-knotwork-border-12786aba7e-12786aba7e</t>
        </is>
      </c>
      <c r="B51" s="3" t="inlineStr">
        <is>
          <t>qaimg_37745ca08ec72780</t>
        </is>
      </c>
      <c r="C51" s="4" t="inlineStr">
        <is>
          <t>https://cdn.shopify.com/s/files/1/0792/5098/1063/files/622bf0b0bbd2db15d18f7453d631905d39821f40d39fc016cd52742300cd6741.jpg?v=1785047189</t>
        </is>
      </c>
      <c r="D51" s="4" t="inlineStr">
        <is>
          <t>https://cdn.shopify.com/s/files/1/0792/5098/1063/files/622bf0b0bbd2db15d18f7453d631905d39821f40d39fc016cd52742300cd6741.jpg?v=1785047189</t>
        </is>
      </c>
      <c r="E51" s="3" t="inlineStr">
        <is>
          <t>38498652848327</t>
        </is>
      </c>
      <c r="F51" s="3" t="inlineStr">
        <is>
          <t>47531950768327</t>
        </is>
      </c>
      <c r="G51" s="3" t="inlineStr"/>
      <c r="H51" s="3" t="inlineStr">
        <is>
          <t>GALLERY</t>
        </is>
      </c>
      <c r="I51" s="3" t="inlineStr">
        <is>
          <t>DIRECT_ORIGINAL_IMAGE_REQA + R4_MEDIA_ID_COMPARISON</t>
        </is>
      </c>
      <c r="J51" s="3" t="inlineStr">
        <is>
          <t>2026-09-08T08:47:09.444535+07:00</t>
        </is>
      </c>
      <c r="K51" s="3" t="inlineStr">
        <is>
          <t>Overhead bedroom mockup of the green Celtic Tree of Life quilt.</t>
        </is>
      </c>
      <c r="L51" s="3" t="inlineStr">
        <is>
          <t>Second bedroom mockup showing the green Celtic Tree of Life quilt from a different room angle.</t>
        </is>
      </c>
      <c r="M51" s="3" t="inlineStr">
        <is>
          <t>Celtic Mythology Tree of Life Quilt Set With Celtic Knotwork Border</t>
        </is>
      </c>
      <c r="N51" s="3" t="inlineStr">
        <is>
          <t>SET</t>
        </is>
      </c>
      <c r="O51" s="3" t="inlineStr">
        <is>
          <t>Celtic Tree of Life second bedroom mockup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["seo_runs\\jeminise.com\\20260906_234129\\evidence\\images\\8_celtic-mythology-tree-of-life-quilt-set-with-celtic-knotwork-border-12786aba7e-12786aba7e\\image_07_47531950768327.jpg; seo_runs\\jeminise.com\\20260906_234129\\evidence\\contact_sheets\\8_celtic-mythology-tree-of-life-quilt-set-with-celtic-knotwork-border-12786aba7e-12786aba7e.jpg", "https://jeminise.com/products/celtic-mythology-tree-of-life-quilt-set-with-celtic-knotwork-border-12786aba7e-12786aba7e", "https://cdn.shopify.com/s/files/1/0792/5098/1063/files/622bf0b0bbd2db15d18f7453d631905d39821f40d39fc016cd52742300cd6741.jpg?v=1785047189"]</t>
        </is>
      </c>
      <c r="AA51" s="3" t="inlineStr">
        <is>
          <t>r4</t>
        </is>
      </c>
    </row>
    <row r="52" ht="66" customHeight="1">
      <c r="A52" s="2" t="inlineStr">
        <is>
          <t>jeminise.com+chicken-pattern-quilt-set-animal-patchwork-farmhouse-quilt-set</t>
        </is>
      </c>
      <c r="B52" s="2" t="inlineStr">
        <is>
          <t>qaimg_beee33be559c29b5</t>
        </is>
      </c>
      <c r="C52" s="4" t="inlineStr">
        <is>
          <t>https://cdn.shopify.com/s/files/1/0792/5098/1063/files/df2728478e8364bc96182ba33c31dd08dcdab3758f1c26ecd4c76bcfacdeadc5.jpg?v=1787233682</t>
        </is>
      </c>
      <c r="D52" s="4" t="inlineStr">
        <is>
          <t>https://cdn.shopify.com/s/files/1/0792/5098/1063/files/df2728478e8364bc96182ba33c31dd08dcdab3758f1c26ecd4c76bcfacdeadc5.jpg?v=1787233682</t>
        </is>
      </c>
      <c r="E52" s="2" t="inlineStr">
        <is>
          <t>38894703968455</t>
        </is>
      </c>
      <c r="F52" s="2" t="inlineStr">
        <is>
          <t>47933462118599</t>
        </is>
      </c>
      <c r="G52" s="2" t="inlineStr"/>
      <c r="H52" s="2" t="inlineStr">
        <is>
          <t>GALLERY</t>
        </is>
      </c>
      <c r="I52" s="2" t="inlineStr">
        <is>
          <t>DIRECT_ORIGINAL_IMAGE_REQA + R4_MEDIA_ID_COMPARISON</t>
        </is>
      </c>
      <c r="J52" s="2" t="inlineStr">
        <is>
          <t>2026-09-08T08:47:09.444535+07:00</t>
        </is>
      </c>
      <c r="K52" s="2" t="inlineStr">
        <is>
          <t>Front bed mockup with farmhouse hens, a nest with eggs and black patchwork accents.</t>
        </is>
      </c>
      <c r="L52" s="2" t="inlineStr">
        <is>
          <t>Bed mockup with farmhouse chicken, hen, rooster, nest and egg artwork with black patchwork accents.</t>
        </is>
      </c>
      <c r="M52" s="2" t="inlineStr">
        <is>
          <t>Chicken Pattern Quilt Set, Animal Patchwork Farmhouse Quilt Set Bedspread, Premium Pattern Quilt Bedspread, Bedding Gift for Lover Daughter Son Father Mother</t>
        </is>
      </c>
      <c r="N52" s="2" t="inlineStr">
        <is>
          <t>SET</t>
        </is>
      </c>
      <c r="O52" s="2" t="inlineStr">
        <is>
          <t>Farmhouse chicken patchwork quilt set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["seo_runs\\jeminise.com\\20260906_234129\\evidence\\images\\9_chicken-pattern-quilt-set-animal-patchwork-farmhouse-quilt-set\\image_01_47933462118599.jpg;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"https://cdn.shopify.com/s/files/1/0792/5098/1063/files/df2728478e8364bc96182ba33c31dd08dcdab3758f1c26ecd4c76bcfacdeadc5.jpg?v=1787233682"]</t>
        </is>
      </c>
      <c r="AA52" s="2" t="inlineStr">
        <is>
          <t>r4</t>
        </is>
      </c>
    </row>
    <row r="53" ht="66" customHeight="1">
      <c r="A53" s="3" t="inlineStr">
        <is>
          <t>jeminise.com+chicken-pattern-quilt-set-animal-patchwork-farmhouse-quilt-set</t>
        </is>
      </c>
      <c r="B53" s="3" t="inlineStr">
        <is>
          <t>qaimg_506f7cb7e11bab27</t>
        </is>
      </c>
      <c r="C53" s="4" t="inlineStr">
        <is>
          <t>https://cdn.shopify.com/s/files/1/0792/5098/1063/files/3fb22c532d2ea675077fa5f07538ad0693869d76604d9f54efbb12cf12dc3012.jpg?v=1787233682</t>
        </is>
      </c>
      <c r="D53" s="4" t="inlineStr">
        <is>
          <t>https://cdn.shopify.com/s/files/1/0792/5098/1063/files/3fb22c532d2ea675077fa5f07538ad0693869d76604d9f54efbb12cf12dc3012.jpg?v=1787233682</t>
        </is>
      </c>
      <c r="E53" s="3" t="inlineStr">
        <is>
          <t>38894704001223</t>
        </is>
      </c>
      <c r="F53" s="3" t="inlineStr">
        <is>
          <t>47933462151367</t>
        </is>
      </c>
      <c r="G53" s="3" t="inlineStr"/>
      <c r="H53" s="3" t="inlineStr">
        <is>
          <t>GALLERY</t>
        </is>
      </c>
      <c r="I53" s="3" t="inlineStr">
        <is>
          <t>DIRECT_ORIGINAL_IMAGE_REQA + R4_MEDIA_ID_COMPARISON</t>
        </is>
      </c>
      <c r="J53" s="3" t="inlineStr">
        <is>
          <t>2026-09-08T08:47:09.444535+07:00</t>
        </is>
      </c>
      <c r="K53" s="3" t="inlineStr">
        <is>
          <t>Bedroom/feature graphic with premium print, no fading and skin-friendly callouts.</t>
        </is>
      </c>
      <c r="L53" s="3" t="inlineStr">
        <is>
          <t>Bedroom mockup with farmhouse chicken patchwork quilt and premium printed craft callout.</t>
        </is>
      </c>
      <c r="M53" s="3" t="inlineStr">
        <is>
          <t>Chicken Pattern Quilt Set, Animal Patchwork Farmhouse Quilt Set Bedspread, Premium Pattern Quilt Bedspread, Bedding Gift for Lover Daughter Son Father Mother</t>
        </is>
      </c>
      <c r="N53" s="3" t="inlineStr">
        <is>
          <t>SET</t>
        </is>
      </c>
      <c r="O53" s="3" t="inlineStr">
        <is>
          <t>Farmhouse chicken quilt bedroom mockup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["seo_runs\\jeminise.com\\20260906_234129\\evidence\\images\\9_chicken-pattern-quilt-set-animal-patchwork-farmhouse-quilt-set\\image_02_47933462151367.jpg;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"https://cdn.shopify.com/s/files/1/0792/5098/1063/files/3fb22c532d2ea675077fa5f07538ad0693869d76604d9f54efbb12cf12dc3012.jpg?v=1787233682"]</t>
        </is>
      </c>
      <c r="AA53" s="3" t="inlineStr">
        <is>
          <t>r4</t>
        </is>
      </c>
    </row>
    <row r="54" ht="66" customHeight="1">
      <c r="A54" s="2" t="inlineStr">
        <is>
          <t>jeminise.com+chicken-pattern-quilt-set-animal-patchwork-farmhouse-quilt-set</t>
        </is>
      </c>
      <c r="B54" s="2" t="inlineStr">
        <is>
          <t>qaimg_ab9d2b121f273ff8</t>
        </is>
      </c>
      <c r="C54" s="4" t="inlineStr">
        <is>
          <t>https://cdn.shopify.com/s/files/1/0792/5098/1063/files/015c23cc578e135b61ae727b347772c42c1d51319bdc062c7e1f665e85a0a3f3.jpg?v=1787233682</t>
        </is>
      </c>
      <c r="D54" s="4" t="inlineStr">
        <is>
          <t>https://cdn.shopify.com/s/files/1/0792/5098/1063/files/015c23cc578e135b61ae727b347772c42c1d51319bdc062c7e1f665e85a0a3f3.jpg?v=1787233682</t>
        </is>
      </c>
      <c r="E54" s="2" t="inlineStr">
        <is>
          <t>38894704033991</t>
        </is>
      </c>
      <c r="F54" s="2" t="inlineStr">
        <is>
          <t>47933462184135</t>
        </is>
      </c>
      <c r="G54" s="2" t="inlineStr"/>
      <c r="H54" s="2" t="inlineStr">
        <is>
          <t>GALLERY</t>
        </is>
      </c>
      <c r="I54" s="2" t="inlineStr">
        <is>
          <t>DIRECT_ORIGINAL_IMAGE_REQA + R4_MEDIA_ID_COMPARISON</t>
        </is>
      </c>
      <c r="J54" s="2" t="inlineStr">
        <is>
          <t>2026-09-08T08:47:09.444535+07:00</t>
        </is>
      </c>
      <c r="K54" s="2" t="inlineStr">
        <is>
          <t>Pillow shams plus lightweight, soft, anti-pill and anti-static feature callouts.</t>
        </is>
      </c>
      <c r="L54" s="2" t="inlineStr">
        <is>
          <t>Optional pillow shams panel showing coordinated chicken and hen patchwork artwork.</t>
        </is>
      </c>
      <c r="M54" s="2" t="inlineStr">
        <is>
          <t>Chicken Pattern Quilt Set, Animal Patchwork Farmhouse Quilt Set Bedspread, Premium Pattern Quilt Bedspread, Bedding Gift for Lover Daughter Son Father Mother</t>
        </is>
      </c>
      <c r="N54" s="2" t="inlineStr">
        <is>
          <t>SET</t>
        </is>
      </c>
      <c r="O54" s="2" t="inlineStr">
        <is>
          <t>Farmhouse chicken optional pillow shams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["seo_runs\\jeminise.com\\20260906_234129\\evidence\\images\\9_chicken-pattern-quilt-set-animal-patchwork-farmhouse-quilt-set\\image_03_47933462184135.jpg;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"https://cdn.shopify.com/s/files/1/0792/5098/1063/files/015c23cc578e135b61ae727b347772c42c1d51319bdc062c7e1f665e85a0a3f3.jpg?v=1787233682"]</t>
        </is>
      </c>
      <c r="AA54" s="2" t="inlineStr">
        <is>
          <t>r4</t>
        </is>
      </c>
    </row>
    <row r="55" ht="66" customHeight="1">
      <c r="A55" s="3" t="inlineStr">
        <is>
          <t>jeminise.com+chicken-pattern-quilt-set-animal-patchwork-farmhouse-quilt-set</t>
        </is>
      </c>
      <c r="B55" s="3" t="inlineStr">
        <is>
          <t>qaimg_f427ee73b00f9112</t>
        </is>
      </c>
      <c r="C55" s="4" t="inlineStr">
        <is>
          <t>https://cdn.shopify.com/s/files/1/0792/5098/1063/files/044a88434534608756b0c91fa034b5bd3e06078ac0802d9eb409cbb4177ff68e.jpg?v=1787233682</t>
        </is>
      </c>
      <c r="D55" s="4" t="inlineStr">
        <is>
          <t>https://cdn.shopify.com/s/files/1/0792/5098/1063/files/044a88434534608756b0c91fa034b5bd3e06078ac0802d9eb409cbb4177ff68e.jpg?v=1787233682</t>
        </is>
      </c>
      <c r="E55" s="3" t="inlineStr">
        <is>
          <t>38894704066759</t>
        </is>
      </c>
      <c r="F55" s="3" t="inlineStr">
        <is>
          <t>47933462216903</t>
        </is>
      </c>
      <c r="G55" s="3" t="inlineStr"/>
      <c r="H55" s="3" t="inlineStr">
        <is>
          <t>GALLERY</t>
        </is>
      </c>
      <c r="I55" s="3" t="inlineStr">
        <is>
          <t>DIRECT_ORIGINAL_IMAGE_REQA + R4_MEDIA_ID_COMPARISON</t>
        </is>
      </c>
      <c r="J55" s="3" t="inlineStr">
        <is>
          <t>2026-09-08T08:47:09.444535+07:00</t>
        </is>
      </c>
      <c r="K55" s="3" t="inlineStr">
        <is>
          <t>All-season and fabric-quality feature graphic with a small bed mockup.</t>
        </is>
      </c>
      <c r="L55" s="3" t="inlineStr">
        <is>
          <t>Fabric feature panel showing soft breathable skin-friendly material and all-season use notes.</t>
        </is>
      </c>
      <c r="M55" s="3" t="inlineStr">
        <is>
          <t>Chicken Pattern Quilt Set, Animal Patchwork Farmhouse Quilt Set Bedspread, Premium Pattern Quilt Bedspread, Bedding Gift for Lover Daughter Son Father Mother</t>
        </is>
      </c>
      <c r="N55" s="3" t="inlineStr">
        <is>
          <t>SET</t>
        </is>
      </c>
      <c r="O55" s="3" t="inlineStr">
        <is>
          <t>Farmhouse chicken quilt fabric feature panel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["seo_runs\\jeminise.com\\20260906_234129\\evidence\\images\\9_chicken-pattern-quilt-set-animal-patchwork-farmhouse-quilt-set\\image_04_47933462216903.jpg;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"https://cdn.shopify.com/s/files/1/0792/5098/1063/files/044a88434534608756b0c91fa034b5bd3e06078ac0802d9eb409cbb4177ff68e.jpg?v=1787233682"]</t>
        </is>
      </c>
      <c r="AA55" s="3" t="inlineStr">
        <is>
          <t>r4</t>
        </is>
      </c>
    </row>
    <row r="56" ht="66" customHeight="1">
      <c r="A56" s="2" t="inlineStr">
        <is>
          <t>jeminise.com+chicken-pattern-quilt-set-animal-patchwork-farmhouse-quilt-set</t>
        </is>
      </c>
      <c r="B56" s="2" t="inlineStr">
        <is>
          <t>qaimg_6eb75a31eb3bed4c</t>
        </is>
      </c>
      <c r="C56" s="4" t="inlineStr">
        <is>
          <t>https://cdn.shopify.com/s/files/1/0792/5098/1063/files/8f7c582280e89587a9220b27404f887ca04a3550cb155e58214bec320e7e7a84.jpg?v=1787233682</t>
        </is>
      </c>
      <c r="D56" s="4" t="inlineStr">
        <is>
          <t>https://cdn.shopify.com/s/files/1/0792/5098/1063/files/8f7c582280e89587a9220b27404f887ca04a3550cb155e58214bec320e7e7a84.jpg?v=1787233682</t>
        </is>
      </c>
      <c r="E56" s="2" t="inlineStr">
        <is>
          <t>38894704099527</t>
        </is>
      </c>
      <c r="F56" s="2" t="inlineStr">
        <is>
          <t>47933462249671</t>
        </is>
      </c>
      <c r="G56" s="2" t="inlineStr"/>
      <c r="H56" s="2" t="inlineStr">
        <is>
          <t>GALLERY</t>
        </is>
      </c>
      <c r="I56" s="2" t="inlineStr">
        <is>
          <t>DIRECT_ORIGINAL_IMAGE_REQA + R4_MEDIA_ID_COMPARISON</t>
        </is>
      </c>
      <c r="J56" s="2" t="inlineStr">
        <is>
          <t>2026-09-08T08:47:09.444535+07:00</t>
        </is>
      </c>
      <c r="K56" s="2" t="inlineStr">
        <is>
          <t>Quilt size chart.</t>
        </is>
      </c>
      <c r="L56" s="2" t="inlineStr">
        <is>
          <t>Premium quilt set size chart for the farmhouse chicken patchwork design.</t>
        </is>
      </c>
      <c r="M56" s="2" t="inlineStr">
        <is>
          <t>Chicken Pattern Quilt Set, Animal Patchwork Farmhouse Quilt Set Bedspread, Premium Pattern Quilt Bedspread, Bedding Gift for Lover Daughter Son Father Mother</t>
        </is>
      </c>
      <c r="N56" s="2" t="inlineStr">
        <is>
          <t>SET</t>
        </is>
      </c>
      <c r="O56" s="2" t="inlineStr">
        <is>
          <t>Farmhouse chicken quilt size chart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["seo_runs\\jeminise.com\\20260906_234129\\evidence\\images\\9_chicken-pattern-quilt-set-animal-patchwork-farmhouse-quilt-set\\image_05_47933462249671.jpg;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"https://cdn.shopify.com/s/files/1/0792/5098/1063/files/8f7c582280e89587a9220b27404f887ca04a3550cb155e58214bec320e7e7a84.jpg?v=1787233682"]</t>
        </is>
      </c>
      <c r="AA56" s="2" t="inlineStr">
        <is>
          <t>r4</t>
        </is>
      </c>
    </row>
    <row r="57" ht="66" customHeight="1">
      <c r="A57" s="3" t="inlineStr">
        <is>
          <t>jeminise.com+chicken-pattern-quilt-set-animal-patchwork-farmhouse-quilt-set</t>
        </is>
      </c>
      <c r="B57" s="3" t="inlineStr">
        <is>
          <t>qaimg_be10ae77ff56c1f9</t>
        </is>
      </c>
      <c r="C57" s="4" t="inlineStr">
        <is>
          <t>https://cdn.shopify.com/s/files/1/0792/5098/1063/files/1790d972d34f1676ff9960602f32a073d75ae00ce5514be8d583a1bee054cb72.jpg?v=1787233682</t>
        </is>
      </c>
      <c r="D57" s="4" t="inlineStr">
        <is>
          <t>https://cdn.shopify.com/s/files/1/0792/5098/1063/files/1790d972d34f1676ff9960602f32a073d75ae00ce5514be8d583a1bee054cb72.jpg?v=1787233682</t>
        </is>
      </c>
      <c r="E57" s="3" t="inlineStr">
        <is>
          <t>38894704132295</t>
        </is>
      </c>
      <c r="F57" s="3" t="inlineStr">
        <is>
          <t>47933462282439</t>
        </is>
      </c>
      <c r="G57" s="3" t="inlineStr"/>
      <c r="H57" s="3" t="inlineStr">
        <is>
          <t>GALLERY</t>
        </is>
      </c>
      <c r="I57" s="3" t="inlineStr">
        <is>
          <t>DIRECT_ORIGINAL_IMAGE_REQA + R4_MEDIA_ID_COMPARISON</t>
        </is>
      </c>
      <c r="J57" s="3" t="inlineStr">
        <is>
          <t>2026-09-08T08:47:09.444535+07:00</t>
        </is>
      </c>
      <c r="K57" s="3" t="inlineStr">
        <is>
          <t>Bedspread construction-layer and fabric-feature graphic.</t>
        </is>
      </c>
      <c r="L57" s="3" t="inlineStr">
        <is>
          <t>Bedspread feature panel with microfiber layers and care-resistance icons.</t>
        </is>
      </c>
      <c r="M57" s="3" t="inlineStr">
        <is>
          <t>Chicken Pattern Quilt Set, Animal Patchwork Farmhouse Quilt Set Bedspread, Premium Pattern Quilt Bedspread, Bedding Gift for Lover Daughter Son Father Mother</t>
        </is>
      </c>
      <c r="N57" s="3" t="inlineStr">
        <is>
          <t>SET</t>
        </is>
      </c>
      <c r="O57" s="3" t="inlineStr">
        <is>
          <t>Farmhouse chicken bedspread feature panel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["seo_runs\\jeminise.com\\20260906_234129\\evidence\\images\\9_chicken-pattern-quilt-set-animal-patchwork-farmhouse-quilt-set\\image_06_47933462282439.jpg;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"https://cdn.shopify.com/s/files/1/0792/5098/1063/files/1790d972d34f1676ff9960602f32a073d75ae00ce5514be8d583a1bee054cb72.jpg?v=1787233682"]</t>
        </is>
      </c>
      <c r="AA57" s="3" t="inlineStr">
        <is>
          <t>r4</t>
        </is>
      </c>
    </row>
    <row r="58" ht="66" customHeight="1">
      <c r="A58" s="2" t="inlineStr">
        <is>
          <t>jeminise.com+chicken-pattern-quilt-set-animal-patchwork-farmhouse-quilt-set</t>
        </is>
      </c>
      <c r="B58" s="2" t="inlineStr">
        <is>
          <t>qaimg_e84d78a19c537db2</t>
        </is>
      </c>
      <c r="C58" s="4" t="inlineStr">
        <is>
          <t>https://cdn.shopify.com/s/files/1/0792/5098/1063/files/9b0208488bc2babfa22f4cf50f3e6213152506148e49cdd0bae5d159838e9105.jpg?v=1787233682</t>
        </is>
      </c>
      <c r="D58" s="4" t="inlineStr">
        <is>
          <t>https://cdn.shopify.com/s/files/1/0792/5098/1063/files/9b0208488bc2babfa22f4cf50f3e6213152506148e49cdd0bae5d159838e9105.jpg?v=1787233682</t>
        </is>
      </c>
      <c r="E58" s="2" t="inlineStr">
        <is>
          <t>38894704165063</t>
        </is>
      </c>
      <c r="F58" s="2" t="inlineStr">
        <is>
          <t>47933462315207</t>
        </is>
      </c>
      <c r="G58" s="2" t="inlineStr"/>
      <c r="H58" s="2" t="inlineStr">
        <is>
          <t>GALLERY</t>
        </is>
      </c>
      <c r="I58" s="2" t="inlineStr">
        <is>
          <t>DIRECT_ORIGINAL_IMAGE_REQA + R4_MEDIA_ID_COMPARISON</t>
        </is>
      </c>
      <c r="J58" s="2" t="inlineStr">
        <is>
          <t>2026-09-08T08:47:09.444535+07:00</t>
        </is>
      </c>
      <c r="K58" s="2" t="inlineStr">
        <is>
          <t>Overhead bedroom mockup of the farmhouse chicken quilt.</t>
        </is>
      </c>
      <c r="L58" s="2" t="inlineStr">
        <is>
          <t>Second bedroom mockup showing the farmhouse chicken quilt from a different room angle.</t>
        </is>
      </c>
      <c r="M58" s="2" t="inlineStr">
        <is>
          <t>Chicken Pattern Quilt Set, Animal Patchwork Farmhouse Quilt Set Bedspread, Premium Pattern Quilt Bedspread, Bedding Gift for Lover Daughter Son Father Mother</t>
        </is>
      </c>
      <c r="N58" s="2" t="inlineStr">
        <is>
          <t>SET</t>
        </is>
      </c>
      <c r="O58" s="2" t="inlineStr">
        <is>
          <t>Farmhouse chicken second bedroom mockup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["seo_runs\\jeminise.com\\20260906_234129\\evidence\\images\\9_chicken-pattern-quilt-set-animal-patchwork-farmhouse-quilt-set\\image_07_47933462315207.jpg; seo_runs\\jeminise.com\\20260906_234129\\evidence\\contact_sheets\\9_chicken-pattern-quilt-set-animal-patchwork-farmhouse-quilt-set.jpg", "https://jeminise.com/products/chicken-pattern-quilt-set-animal-patchwork-farmhouse-quilt-set", "https://cdn.shopify.com/s/files/1/0792/5098/1063/files/9b0208488bc2babfa22f4cf50f3e6213152506148e49cdd0bae5d159838e9105.jpg?v=1787233682"]</t>
        </is>
      </c>
      <c r="AA58" s="2" t="inlineStr">
        <is>
          <t>r4</t>
        </is>
      </c>
    </row>
    <row r="59" ht="66" customHeight="1">
      <c r="A59" s="3" t="inlineStr">
        <is>
          <t>jeminise.com+christian-bedding-set-inspirational-bible-verse-comforte-design-01</t>
        </is>
      </c>
      <c r="B59" s="3" t="inlineStr">
        <is>
          <t>qaimg_eb118c0f2373e1a0</t>
        </is>
      </c>
      <c r="C59" s="4" t="inlineStr">
        <is>
          <t>https://cdn.shopify.com/s/files/1/0792/5098/1063/files/e0fe73b713afc62cfffb3946372bff45f6aba6f1bc25f209c29052448bc1decb.jpg?v=1787237695</t>
        </is>
      </c>
      <c r="D59" s="4" t="inlineStr">
        <is>
          <t>https://cdn.shopify.com/s/files/1/0792/5098/1063/files/e0fe73b713afc62cfffb3946372bff45f6aba6f1bc25f209c29052448bc1decb.jpg?v=1787237695</t>
        </is>
      </c>
      <c r="E59" s="3" t="inlineStr">
        <is>
          <t>38895075492039</t>
        </is>
      </c>
      <c r="F59" s="3" t="inlineStr">
        <is>
          <t>47933837967559</t>
        </is>
      </c>
      <c r="G59" s="3" t="inlineStr"/>
      <c r="H59" s="3" t="inlineStr">
        <is>
          <t>GALLERY</t>
        </is>
      </c>
      <c r="I59" s="3" t="inlineStr">
        <is>
          <t>DIRECT_ORIGINAL_IMAGE_REQA + R4_MEDIA_ID_COMPARISON</t>
        </is>
      </c>
      <c r="J59" s="3" t="inlineStr">
        <is>
          <t>2026-09-08T08:47:09.444535+07:00</t>
        </is>
      </c>
      <c r="K59" s="3" t="inlineStr">
        <is>
          <t>Main bed mockup with God Says I Am, the sample name Jessica, floral artwork and butterflies.</t>
        </is>
      </c>
      <c r="L59" s="3" t="inlineStr">
        <is>
          <t>Personalized Christian bedding mockup with Jessica name, God Says I Am affirmation text, Bible verse labels, flowers and butterflies.</t>
        </is>
      </c>
      <c r="M59" s="3" t="inlineStr">
        <is>
          <t>Christian Bedding Set – Inspirational Bible Verse Comforter – Religious Bedding for Women, Faith Gift for Mom, Daughter, Sister, Birthday &amp; Religious Gifts (God Says I am #1)</t>
        </is>
      </c>
      <c r="N59" s="3" t="inlineStr">
        <is>
          <t>SET</t>
        </is>
      </c>
      <c r="O59" s="3" t="inlineStr">
        <is>
          <t>Personalized God Says I Am Christian bedding set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["seo_runs\\jeminise.com\\20260906_234129\\evidence\\images\\10_christian-bedding-set-inspirational-bible-verse-comforte-design-01\\image_01_47933837967559.jpg;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"https://cdn.shopify.com/s/files/1/0792/5098/1063/files/e0fe73b713afc62cfffb3946372bff45f6aba6f1bc25f209c29052448bc1decb.jpg?v=1787237695"]</t>
        </is>
      </c>
      <c r="AA59" s="3" t="inlineStr">
        <is>
          <t>r4</t>
        </is>
      </c>
    </row>
    <row r="60" ht="66" customHeight="1">
      <c r="A60" s="2" t="inlineStr">
        <is>
          <t>jeminise.com+christian-bedding-set-inspirational-bible-verse-comforte-design-01</t>
        </is>
      </c>
      <c r="B60" s="2" t="inlineStr">
        <is>
          <t>qaimg_f47acf64a83d52b7</t>
        </is>
      </c>
      <c r="C60" s="4" t="inlineStr">
        <is>
          <t>https://cdn.shopify.com/s/files/1/0792/5098/1063/files/9a2ea3655358889bfb8939e5d43749d9fc1a68a15bb91eb7257e168947c5d449.jpg?v=1787237695</t>
        </is>
      </c>
      <c r="D60" s="4" t="inlineStr">
        <is>
          <t>https://cdn.shopify.com/s/files/1/0792/5098/1063/files/9a2ea3655358889bfb8939e5d43749d9fc1a68a15bb91eb7257e168947c5d449.jpg?v=1787237695</t>
        </is>
      </c>
      <c r="E60" s="2" t="inlineStr">
        <is>
          <t>38895075524807</t>
        </is>
      </c>
      <c r="F60" s="2" t="inlineStr">
        <is>
          <t>47933838000327</t>
        </is>
      </c>
      <c r="G60" s="2" t="inlineStr"/>
      <c r="H60" s="2" t="inlineStr">
        <is>
          <t>GALLERY</t>
        </is>
      </c>
      <c r="I60" s="2" t="inlineStr">
        <is>
          <t>DIRECT_ORIGINAL_IMAGE_REQA + R4_MEDIA_ID_COMPARISON</t>
        </is>
      </c>
      <c r="J60" s="2" t="inlineStr">
        <is>
          <t>2026-09-08T08:47:09.444535+07:00</t>
        </is>
      </c>
      <c r="K60" s="2" t="inlineStr">
        <is>
          <t>Alternate bed mockup of the same Christian affirmation design.</t>
        </is>
      </c>
      <c r="L60" s="2" t="inlineStr">
        <is>
          <t>Bedroom mockup of the Christian bedding with Jessica pillowcases, purple affirmation blocks and floral artwork.</t>
        </is>
      </c>
      <c r="M60" s="2" t="inlineStr">
        <is>
          <t>Christian Bedding Set – Inspirational Bible Verse Comforter – Religious Bedding for Women, Faith Gift for Mom, Daughter, Sister, Birthday &amp; Religious Gifts (God Says I am #1)</t>
        </is>
      </c>
      <c r="N60" s="2" t="inlineStr">
        <is>
          <t>SET</t>
        </is>
      </c>
      <c r="O60" s="2" t="inlineStr">
        <is>
          <t>God Says I Am Christian bedding bedroom mockup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["seo_runs\\jeminise.com\\20260906_234129\\evidence\\images\\10_christian-bedding-set-inspirational-bible-verse-comforte-design-01\\image_02_47933838000327.jpg;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"https://cdn.shopify.com/s/files/1/0792/5098/1063/files/9a2ea3655358889bfb8939e5d43749d9fc1a68a15bb91eb7257e168947c5d449.jpg?v=1787237695"]</t>
        </is>
      </c>
      <c r="AA60" s="2" t="inlineStr">
        <is>
          <t>r4</t>
        </is>
      </c>
    </row>
    <row r="61" ht="66" customHeight="1">
      <c r="A61" s="3" t="inlineStr">
        <is>
          <t>jeminise.com+christian-bedding-set-inspirational-bible-verse-comforte-design-01</t>
        </is>
      </c>
      <c r="B61" s="3" t="inlineStr">
        <is>
          <t>qaimg_6d1025fe7e8d137a</t>
        </is>
      </c>
      <c r="C61" s="4" t="inlineStr">
        <is>
          <t>https://cdn.shopify.com/s/files/1/0792/5098/1063/files/50f96559dd878ae5bbee14ba7a34337ccd740d21a8ffe86a8a1be819656d26c0.jpg?v=1787237695</t>
        </is>
      </c>
      <c r="D61" s="4" t="inlineStr">
        <is>
          <t>https://cdn.shopify.com/s/files/1/0792/5098/1063/files/50f96559dd878ae5bbee14ba7a34337ccd740d21a8ffe86a8a1be819656d26c0.jpg?v=1787237695</t>
        </is>
      </c>
      <c r="E61" s="3" t="inlineStr">
        <is>
          <t>38895075557575</t>
        </is>
      </c>
      <c r="F61" s="3" t="inlineStr">
        <is>
          <t>47933838033095</t>
        </is>
      </c>
      <c r="G61" s="3" t="inlineStr"/>
      <c r="H61" s="3" t="inlineStr">
        <is>
          <t>GALLERY</t>
        </is>
      </c>
      <c r="I61" s="3" t="inlineStr">
        <is>
          <t>DIRECT_ORIGINAL_IMAGE_REQA + R4_MEDIA_ID_COMPARISON</t>
        </is>
      </c>
      <c r="J61" s="3" t="inlineStr">
        <is>
          <t>2026-09-08T08:47:09.444535+07:00</t>
        </is>
      </c>
      <c r="K61" s="3" t="inlineStr">
        <is>
          <t>Comparison graphic for Duvet Cover Set versus Comforter Set.</t>
        </is>
      </c>
      <c r="L61" s="3" t="inlineStr">
        <is>
          <t>Product type comparison panel showing duvet cover set and comforter set options for all-season use.</t>
        </is>
      </c>
      <c r="M61" s="3" t="inlineStr">
        <is>
          <t>Christian Bedding Set – Inspirational Bible Verse Comforter – Religious Bedding for Women, Faith Gift for Mom, Daughter, Sister, Birthday &amp; Religious Gifts (God Says I am #1)</t>
        </is>
      </c>
      <c r="N61" s="3" t="inlineStr">
        <is>
          <t>SET</t>
        </is>
      </c>
      <c r="O61" s="3" t="inlineStr">
        <is>
          <t>Christian bedding duvet cover and comforter options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["seo_runs\\jeminise.com\\20260906_234129\\evidence\\images\\10_christian-bedding-set-inspirational-bible-verse-comforte-design-01\\image_03_47933838033095.jpg;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"https://cdn.shopify.com/s/files/1/0792/5098/1063/files/50f96559dd878ae5bbee14ba7a34337ccd740d21a8ffe86a8a1be819656d26c0.jpg?v=1787237695"]</t>
        </is>
      </c>
      <c r="AA61" s="3" t="inlineStr">
        <is>
          <t>r4</t>
        </is>
      </c>
    </row>
    <row r="62" ht="66" customHeight="1">
      <c r="A62" s="2" t="inlineStr">
        <is>
          <t>jeminise.com+christian-bedding-set-inspirational-bible-verse-comforte-design-01</t>
        </is>
      </c>
      <c r="B62" s="2" t="inlineStr">
        <is>
          <t>qaimg_07763f3daebff903</t>
        </is>
      </c>
      <c r="C62" s="4" t="inlineStr">
        <is>
          <t>https://cdn.shopify.com/s/files/1/0792/5098/1063/files/e177a63ec5fdef284072a06f2775ebbbf78d53d430946e0a479a9aea59e23193.jpg?v=1787237695</t>
        </is>
      </c>
      <c r="D62" s="4" t="inlineStr">
        <is>
          <t>https://cdn.shopify.com/s/files/1/0792/5098/1063/files/e177a63ec5fdef284072a06f2775ebbbf78d53d430946e0a479a9aea59e23193.jpg?v=1787237695</t>
        </is>
      </c>
      <c r="E62" s="2" t="inlineStr">
        <is>
          <t>38895075590343</t>
        </is>
      </c>
      <c r="F62" s="2" t="inlineStr">
        <is>
          <t>47933838065863</t>
        </is>
      </c>
      <c r="G62" s="2" t="inlineStr"/>
      <c r="H62" s="2" t="inlineStr">
        <is>
          <t>GALLERY</t>
        </is>
      </c>
      <c r="I62" s="2" t="inlineStr">
        <is>
          <t>DIRECT_ORIGINAL_IMAGE_REQA + R4_MEDIA_ID_COMPARISON</t>
        </is>
      </c>
      <c r="J62" s="2" t="inlineStr">
        <is>
          <t>2026-09-08T08:47:09.444535+07:00</t>
        </is>
      </c>
      <c r="K62" s="2" t="inlineStr">
        <is>
          <t>Feature graphic stating 100% microfiber, 3D print, soft, lightweight and breathable.</t>
        </is>
      </c>
      <c r="L62" s="2" t="inlineStr">
        <is>
          <t>Feature panel showing microfiber callout, 3D printed pattern close-ups, soft filling and lightweight breathable notes.</t>
        </is>
      </c>
      <c r="M62" s="2" t="inlineStr">
        <is>
          <t>Christian Bedding Set – Inspirational Bible Verse Comforter – Religious Bedding for Women, Faith Gift for Mom, Daughter, Sister, Birthday &amp; Religious Gifts (God Says I am #1)</t>
        </is>
      </c>
      <c r="N62" s="2" t="inlineStr">
        <is>
          <t>SET</t>
        </is>
      </c>
      <c r="O62" s="2" t="inlineStr">
        <is>
          <t>Christian bedding microfiber feature panel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["seo_runs\\jeminise.com\\20260906_234129\\evidence\\images\\10_christian-bedding-set-inspirational-bible-verse-comforte-design-01\\image_04_47933838065863.jpg;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"https://cdn.shopify.com/s/files/1/0792/5098/1063/files/e177a63ec5fdef284072a06f2775ebbbf78d53d430946e0a479a9aea59e23193.jpg?v=1787237695"]</t>
        </is>
      </c>
      <c r="AA62" s="2" t="inlineStr">
        <is>
          <t>r4</t>
        </is>
      </c>
    </row>
    <row r="63" ht="66" customHeight="1">
      <c r="A63" s="3" t="inlineStr">
        <is>
          <t>jeminise.com+christian-bedding-set-inspirational-bible-verse-comforte-design-01</t>
        </is>
      </c>
      <c r="B63" s="3" t="inlineStr">
        <is>
          <t>qaimg_529e4c8d486051e5</t>
        </is>
      </c>
      <c r="C63" s="4" t="inlineStr">
        <is>
          <t>https://cdn.shopify.com/s/files/1/0792/5098/1063/files/c0229b109e769b68f8c9f35623479c094bab31ad756f2c9dfcf50eadd39d92c5.jpg?v=1787237695</t>
        </is>
      </c>
      <c r="D63" s="4" t="inlineStr">
        <is>
          <t>https://cdn.shopify.com/s/files/1/0792/5098/1063/files/c0229b109e769b68f8c9f35623479c094bab31ad756f2c9dfcf50eadd39d92c5.jpg?v=1787237695</t>
        </is>
      </c>
      <c r="E63" s="3" t="inlineStr">
        <is>
          <t>38895075623111</t>
        </is>
      </c>
      <c r="F63" s="3" t="inlineStr">
        <is>
          <t>47933838098631</t>
        </is>
      </c>
      <c r="G63" s="3" t="inlineStr"/>
      <c r="H63" s="3" t="inlineStr">
        <is>
          <t>GALLERY</t>
        </is>
      </c>
      <c r="I63" s="3" t="inlineStr">
        <is>
          <t>DIRECT_ORIGINAL_IMAGE_REQA + R4_MEDIA_ID_COMPARISON</t>
        </is>
      </c>
      <c r="J63" s="3" t="inlineStr">
        <is>
          <t>2026-09-08T08:47:09.444535+07:00</t>
        </is>
      </c>
      <c r="K63" s="3" t="inlineStr">
        <is>
          <t>Birth Month Flowers chart from January through December.</t>
        </is>
      </c>
      <c r="L63" s="3" t="inlineStr">
        <is>
          <t>Birth month flowers panel showing flower illustrations for January through December.</t>
        </is>
      </c>
      <c r="M63" s="3" t="inlineStr">
        <is>
          <t>Christian Bedding Set – Inspirational Bible Verse Comforter – Religious Bedding for Women, Faith Gift for Mom, Daughter, Sister, Birthday &amp; Religious Gifts (God Says I am #1)</t>
        </is>
      </c>
      <c r="N63" s="3" t="inlineStr">
        <is>
          <t>SET</t>
        </is>
      </c>
      <c r="O63" s="3" t="inlineStr">
        <is>
          <t>Christian bedding birth month flowers panel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["seo_runs\\jeminise.com\\20260906_234129\\evidence\\images\\10_christian-bedding-set-inspirational-bible-verse-comforte-design-01\\image_05_47933838098631.jpg;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"https://cdn.shopify.com/s/files/1/0792/5098/1063/files/c0229b109e769b68f8c9f35623479c094bab31ad756f2c9dfcf50eadd39d92c5.jpg?v=1787237695"]</t>
        </is>
      </c>
      <c r="AA63" s="3" t="inlineStr">
        <is>
          <t>r4</t>
        </is>
      </c>
    </row>
    <row r="64" ht="66" customHeight="1">
      <c r="A64" s="2" t="inlineStr">
        <is>
          <t>jeminise.com+christian-bedding-set-inspirational-bible-verse-comforte-design-01</t>
        </is>
      </c>
      <c r="B64" s="2" t="inlineStr">
        <is>
          <t>qaimg_0fc13a12a35a3633</t>
        </is>
      </c>
      <c r="C64" s="4" t="inlineStr">
        <is>
          <t>https://cdn.shopify.com/s/files/1/0792/5098/1063/files/e22715b9d350060d7f718ca936fb51ae74bf407c9cd643e977844be314d468df.jpg?v=1787237695</t>
        </is>
      </c>
      <c r="D64" s="4" t="inlineStr">
        <is>
          <t>https://cdn.shopify.com/s/files/1/0792/5098/1063/files/e22715b9d350060d7f718ca936fb51ae74bf407c9cd643e977844be314d468df.jpg?v=1787237695</t>
        </is>
      </c>
      <c r="E64" s="2" t="inlineStr">
        <is>
          <t>38895075655879</t>
        </is>
      </c>
      <c r="F64" s="2" t="inlineStr">
        <is>
          <t>47933838131399</t>
        </is>
      </c>
      <c r="G64" s="2" t="inlineStr"/>
      <c r="H64" s="2" t="inlineStr">
        <is>
          <t>GALLERY</t>
        </is>
      </c>
      <c r="I64" s="2" t="inlineStr">
        <is>
          <t>DIRECT_ORIGINAL_IMAGE_REQA + R4_MEDIA_ID_COMPARISON</t>
        </is>
      </c>
      <c r="J64" s="2" t="inlineStr">
        <is>
          <t>2026-09-08T08:47:09.444535+07:00</t>
        </is>
      </c>
      <c r="K64" s="2" t="inlineStr">
        <is>
          <t>Bedroom feature graphic with soft, lightweight, durable and breathable callouts.</t>
        </is>
      </c>
      <c r="L64" s="2" t="inlineStr">
        <is>
          <t>Close bedroom view showing the personalized Christian bedding with soft, lightweight, durable and breathable icons.</t>
        </is>
      </c>
      <c r="M64" s="2" t="inlineStr">
        <is>
          <t>Christian Bedding Set – Inspirational Bible Verse Comforter – Religious Bedding for Women, Faith Gift for Mom, Daughter, Sister, Birthday &amp; Religious Gifts (God Says I am #1)</t>
        </is>
      </c>
      <c r="N64" s="2" t="inlineStr">
        <is>
          <t>SET</t>
        </is>
      </c>
      <c r="O64" s="2" t="inlineStr">
        <is>
          <t>Personalized Christian bedding feature icons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[]</t>
        </is>
      </c>
      <c r="Z64" s="2" t="inlineStr">
        <is>
          <t>["seo_runs\\jeminise.com\\20260906_234129\\evidence\\images\\10_christian-bedding-set-inspirational-bible-verse-comforte-design-01\\image_06_47933838131399.jpg;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"https://cdn.shopify.com/s/files/1/0792/5098/1063/files/e22715b9d350060d7f718ca936fb51ae74bf407c9cd643e977844be314d468df.jpg?v=1787237695"]</t>
        </is>
      </c>
      <c r="AA64" s="2" t="inlineStr">
        <is>
          <t>r4</t>
        </is>
      </c>
    </row>
    <row r="65" ht="66" customHeight="1">
      <c r="A65" s="3" t="inlineStr">
        <is>
          <t>jeminise.com+christian-bedding-set-inspirational-bible-verse-comforte-design-01</t>
        </is>
      </c>
      <c r="B65" s="3" t="inlineStr">
        <is>
          <t>qaimg_b90439d89675fae5</t>
        </is>
      </c>
      <c r="C65" s="4" t="inlineStr">
        <is>
          <t>https://cdn.shopify.com/s/files/1/0792/5098/1063/files/0e22a9fec09643a714af054217066178d4f7bc4d6266b6d2ff5c33c09cc10e88.jpg?v=1787237695</t>
        </is>
      </c>
      <c r="D65" s="4" t="inlineStr">
        <is>
          <t>https://cdn.shopify.com/s/files/1/0792/5098/1063/files/0e22a9fec09643a714af054217066178d4f7bc4d6266b6d2ff5c33c09cc10e88.jpg?v=1787237695</t>
        </is>
      </c>
      <c r="E65" s="3" t="inlineStr">
        <is>
          <t>38895075688647</t>
        </is>
      </c>
      <c r="F65" s="3" t="inlineStr">
        <is>
          <t>47933838164167</t>
        </is>
      </c>
      <c r="G65" s="3" t="inlineStr"/>
      <c r="H65" s="3" t="inlineStr">
        <is>
          <t>GALLERY</t>
        </is>
      </c>
      <c r="I65" s="3" t="inlineStr">
        <is>
          <t>DIRECT_ORIGINAL_IMAGE_REQA + R4_MEDIA_ID_COMPARISON</t>
        </is>
      </c>
      <c r="J65" s="3" t="inlineStr">
        <is>
          <t>2026-09-08T08:47:09.444535+07:00</t>
        </is>
      </c>
      <c r="K65" s="3" t="inlineStr">
        <is>
          <t>Easy-care graphic with wrinkle-free, stain-proof, anti-pilling and won't-fade claims.</t>
        </is>
      </c>
      <c r="L65" s="3" t="inlineStr">
        <is>
          <t>Stress-free easy care panel listing wrinkle-free, stain-proof, anti-pilling and wash-fade notes.</t>
        </is>
      </c>
      <c r="M65" s="3" t="inlineStr">
        <is>
          <t>Christian Bedding Set – Inspirational Bible Verse Comforter – Religious Bedding for Women, Faith Gift for Mom, Daughter, Sister, Birthday &amp; Religious Gifts (God Says I am #1)</t>
        </is>
      </c>
      <c r="N65" s="3" t="inlineStr">
        <is>
          <t>SET</t>
        </is>
      </c>
      <c r="O65" s="3" t="inlineStr">
        <is>
          <t>Christian bedding easy care feature panel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["seo_runs\\jeminise.com\\20260906_234129\\evidence\\images\\10_christian-bedding-set-inspirational-bible-verse-comforte-design-01\\image_07_47933838164167.jpg;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"https://cdn.shopify.com/s/files/1/0792/5098/1063/files/0e22a9fec09643a714af054217066178d4f7bc4d6266b6d2ff5c33c09cc10e88.jpg?v=1787237695"]</t>
        </is>
      </c>
      <c r="AA65" s="3" t="inlineStr">
        <is>
          <t>r4</t>
        </is>
      </c>
    </row>
    <row r="66" ht="66" customHeight="1">
      <c r="A66" s="2" t="inlineStr">
        <is>
          <t>jeminise.com+christian-bedding-set-inspirational-bible-verse-comforte-design-01</t>
        </is>
      </c>
      <c r="B66" s="2" t="inlineStr">
        <is>
          <t>qaimg_734f2f8be24b67c2</t>
        </is>
      </c>
      <c r="C66" s="4" t="inlineStr">
        <is>
          <t>https://cdn.shopify.com/s/files/1/0792/5098/1063/files/d6b8438a259ef28ba839a68ba108f40464bc9629b0bc2168779fc7776c9cbffa.jpg?v=1787237695</t>
        </is>
      </c>
      <c r="D66" s="4" t="inlineStr">
        <is>
          <t>https://cdn.shopify.com/s/files/1/0792/5098/1063/files/d6b8438a259ef28ba839a68ba108f40464bc9629b0bc2168779fc7776c9cbffa.jpg?v=1787237695</t>
        </is>
      </c>
      <c r="E66" s="2" t="inlineStr">
        <is>
          <t>38895075721415</t>
        </is>
      </c>
      <c r="F66" s="2" t="inlineStr">
        <is>
          <t>47933838196935</t>
        </is>
      </c>
      <c r="G66" s="2" t="inlineStr"/>
      <c r="H66" s="2" t="inlineStr">
        <is>
          <t>GALLERY</t>
        </is>
      </c>
      <c r="I66" s="2" t="inlineStr">
        <is>
          <t>DIRECT_ORIGINAL_IMAGE_REQA + R4_MEDIA_ID_COMPARISON</t>
        </is>
      </c>
      <c r="J66" s="2" t="inlineStr">
        <is>
          <t>2026-09-08T08:47:09.444535+07:00</t>
        </is>
      </c>
      <c r="K66" s="2" t="inlineStr">
        <is>
          <t>Twin, Full, Queen and King dimension chart.</t>
        </is>
      </c>
      <c r="L66" s="2" t="inlineStr">
        <is>
          <t>Size dimension panel showing Twin, Full, Queen and King bedding dimensions.</t>
        </is>
      </c>
      <c r="M66" s="2" t="inlineStr">
        <is>
          <t>Christian Bedding Set – Inspirational Bible Verse Comforter – Religious Bedding for Women, Faith Gift for Mom, Daughter, Sister, Birthday &amp; Religious Gifts (God Says I am #1)</t>
        </is>
      </c>
      <c r="N66" s="2" t="inlineStr">
        <is>
          <t>SET</t>
        </is>
      </c>
      <c r="O66" s="2" t="inlineStr">
        <is>
          <t>Christian bedding size dimension chart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FULL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[]</t>
        </is>
      </c>
      <c r="Z66" s="2" t="inlineStr">
        <is>
          <t>["seo_runs\\jeminise.com\\20260906_234129\\evidence\\images\\10_christian-bedding-set-inspirational-bible-verse-comforte-design-01\\image_08_47933838196935.jpg; seo_runs\\jeminise.com\\20260906_234129\\evidence\\contact_sheets\\10_christian-bedding-set-inspirational-bible-verse-comforte-design-01.jpg", "https://jeminise.com/products/christian-bedding-set-inspirational-bible-verse-comforte-design-01", "https://cdn.shopify.com/s/files/1/0792/5098/1063/files/d6b8438a259ef28ba839a68ba108f40464bc9629b0bc2168779fc7776c9cbffa.jpg?v=1787237695"]</t>
        </is>
      </c>
      <c r="AA66" s="2" t="inlineStr">
        <is>
          <t>r4</t>
        </is>
      </c>
    </row>
  </sheetData>
  <autoFilter ref="A1:AA6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R4-ISS-001-BODY</t>
        </is>
      </c>
      <c r="B2" s="2" t="inlineStr">
        <is>
          <t>jeminise.com+autumn-cardinals-perched-above-large-sunflowers-quilt-with-cardinal-birds-9a3b408b20-9a3b408b20</t>
        </is>
      </c>
      <c r="C2" s="2" t="inlineStr"/>
      <c r="D2" s="2" t="inlineStr">
        <is>
          <t>MAJOR</t>
        </is>
      </c>
      <c r="E2" s="2" t="inlineStr">
        <is>
          <t>description_proposed_html</t>
        </is>
      </c>
      <c r="F2" s="2" t="inlineStr">
        <is>
          <t>&lt;p&gt;Red cardinals perched above large yellow sunflowers with autumn leaves gives this Jeminise quilt a clear product-specific look for themed bedroom decor or gifting.&lt;/p&gt;&lt;h3&gt;Design Details&lt;/h3&gt;&lt;ul&gt;&lt;li&gt;Artwork focus: red cardinals perched above large yellow sunflowers with autumn leaves.&lt;/li&gt;&lt;li&gt;Current Shopify export title: Autumn Cardinals Perched Above Large Sunflowers Quilt with Cardinal Birds.&lt;/li&gt;&lt;li&gt;Gallery includes the main bed mockup plus detail, feature, component or size graphics where shown.&lt;/li&gt;&lt;/ul&gt;&lt;h3&gt;Options and Care&lt;/h3&gt;&lt;ul&gt;&lt;li&gt;Choose quilt size; pillowcases are optional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2" s="2" t="inlineStr">
        <is>
          <t>Internal workflow language is gone, but the replacement repeats a generic template and largely defers product details to the live page.</t>
        </is>
      </c>
      <c r="H2" s="2" t="inlineStr">
        <is>
          <t>The body is safer than r1 but underuses verified dimensions, component rules, material/care panels and distinctive purchase information.</t>
        </is>
      </c>
      <c r="I2" s="2" t="inlineStr">
        <is>
          <t>Rewrite concise customer-facing English HTML using only verified product-specific facts and exact option/component wording.</t>
        </is>
      </c>
      <c r="J2" s="2" t="inlineStr">
        <is>
          <t>evidence_batch_001_001; direct gallery review</t>
        </is>
      </c>
      <c r="K2" s="2" t="inlineStr">
        <is>
          <t>No internal text remains and the body contains useful, product-specific, source-backed purchase details.</t>
        </is>
      </c>
    </row>
    <row r="3" ht="84" customHeight="1">
      <c r="A3" s="3" t="inlineStr">
        <is>
          <t>R4-ISS-002-BODY</t>
        </is>
      </c>
      <c r="B3" s="3" t="inlineStr">
        <is>
          <t>jeminise.com+bright-teal-yellow-softball-comforter-set-premium-sports-theme</t>
        </is>
      </c>
      <c r="C3" s="3" t="inlineStr"/>
      <c r="D3" s="3" t="inlineStr">
        <is>
          <t>MAJOR</t>
        </is>
      </c>
      <c r="E3" s="3" t="inlineStr">
        <is>
          <t>description_proposed_html</t>
        </is>
      </c>
      <c r="F3" s="3" t="inlineStr">
        <is>
          <t>&lt;p&gt;Teal, black and white softball patchwork with player silhouettes, number artwork and eat sleep softball text gives this Jeminise comforter sets a clear product-specific look for themed bedroom decor or gifting.&lt;/p&gt;&lt;h3&gt;Design Details&lt;/h3&gt;&lt;ul&gt;&lt;li&gt;Artwork focus: teal, black and white softball patchwork with player silhouettes, number artwork and Eat Sleep Softball text.&lt;/li&gt;&lt;li&gt;Current Shopify export title: Bright Teal Yellow Softball Comforter Set – Premium Sports Theme.&lt;/li&gt;&lt;li&gt;Gallery includes the main bed mockup plus detail, feature, component or size graphics where shown.&lt;/li&gt;&lt;/ul&gt;&lt;h3&gt;Options and Care&lt;/h3&gt;&lt;ul&gt;&lt;li&gt;Choose comforter size and pillowcases. Live Customizer shows required Custom Your Name and Custom Your Number text fields, with instructions to enter NO if not wanted.&lt;/li&gt;&lt;li&gt;Use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3" s="3" t="inlineStr">
        <is>
          <t>Internal workflow language is gone, but the replacement repeats a generic template and largely defers product details to the live page.</t>
        </is>
      </c>
      <c r="H3" s="3" t="inlineStr">
        <is>
          <t>The body is safer than r1 but underuses verified dimensions, component rules, material/care panels and distinctive purchase information.</t>
        </is>
      </c>
      <c r="I3" s="3" t="inlineStr">
        <is>
          <t>Rewrite concise customer-facing English HTML using only verified product-specific facts and exact option/component wording.</t>
        </is>
      </c>
      <c r="J3" s="3" t="inlineStr">
        <is>
          <t>evidence_batch_001_002; direct gallery review</t>
        </is>
      </c>
      <c r="K3" s="3" t="inlineStr">
        <is>
          <t>No internal text remains and the body contains useful, product-specific, source-backed purchase details.</t>
        </is>
      </c>
    </row>
    <row r="4" ht="84" customHeight="1">
      <c r="A4" s="2" t="inlineStr">
        <is>
          <t>R4-ISS-003-BODY</t>
        </is>
      </c>
      <c r="B4" s="2" t="inlineStr">
        <is>
          <t>jeminise.com+cardinals-perched-beside-decorated-christmas-tree-patchwork-winter-quilt-7cd7bc46a0-7cd7bc46a0</t>
        </is>
      </c>
      <c r="C4" s="2" t="inlineStr"/>
      <c r="D4" s="2" t="inlineStr">
        <is>
          <t>MAJOR</t>
        </is>
      </c>
      <c r="E4" s="2" t="inlineStr">
        <is>
          <t>description_proposed_html</t>
        </is>
      </c>
      <c r="F4" s="2" t="inlineStr">
        <is>
          <t>&lt;p&gt;Red cardinals beside a decorated christmas tree with i am always with you memorial text gives this Jeminise quilt a clear product-specific look for themed bedroom decor or gifting.&lt;/p&gt;&lt;h3&gt;Design Details&lt;/h3&gt;&lt;ul&gt;&lt;li&gt;Artwork focus: red cardinals beside a decorated Christmas tree with I Am Always with You memorial text.&lt;/li&gt;&lt;li&gt;Current Shopify export title: Cardinals Perched Beside Decorated Christmas Tree Patchwork Winter Quilt.&lt;/li&gt;&lt;li&gt;Gallery includes the main bed mockup plus detail, feature, component or size graphics where shown.&lt;/li&gt;&lt;/ul&gt;&lt;h3&gt;Options and Care&lt;/h3&gt;&lt;ul&gt;&lt;li&gt;Choose quilt size; pillowcases are optional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4" s="2" t="inlineStr">
        <is>
          <t>Internal workflow language is gone, but the replacement repeats a generic template and largely defers product details to the live page.</t>
        </is>
      </c>
      <c r="H4" s="2" t="inlineStr">
        <is>
          <t>The body is safer than r1 but underuses verified dimensions, component rules, material/care panels and distinctive purchase information.</t>
        </is>
      </c>
      <c r="I4" s="2" t="inlineStr">
        <is>
          <t>Rewrite concise customer-facing English HTML using only verified product-specific facts and exact option/component wording.</t>
        </is>
      </c>
      <c r="J4" s="2" t="inlineStr">
        <is>
          <t>evidence_batch_001_003; direct gallery review</t>
        </is>
      </c>
      <c r="K4" s="2" t="inlineStr">
        <is>
          <t>No internal text remains and the body contains useful, product-specific, source-backed purchase details.</t>
        </is>
      </c>
    </row>
    <row r="5" ht="84" customHeight="1">
      <c r="A5" s="3" t="inlineStr">
        <is>
          <t>R4-ISS-004-BODY</t>
        </is>
      </c>
      <c r="B5" s="3" t="inlineStr">
        <is>
          <t>jeminise.com+cardinals-perched-on-branch-with-roses-patchwork-winter-quilt-21ac904cd7-21ac904cd7</t>
        </is>
      </c>
      <c r="C5" s="3" t="inlineStr"/>
      <c r="D5" s="3" t="inlineStr">
        <is>
          <t>MAJOR</t>
        </is>
      </c>
      <c r="E5" s="3" t="inlineStr">
        <is>
          <t>description_proposed_html</t>
        </is>
      </c>
      <c r="F5" s="3" t="inlineStr">
        <is>
          <t>&lt;p&gt;A male and female cardinal pair on a branch with red roses and i am always with you text gives this Jeminise quilt a clear product-specific look for themed bedroom decor or gifting.&lt;/p&gt;&lt;h3&gt;Design Details&lt;/h3&gt;&lt;ul&gt;&lt;li&gt;Artwork focus: a male and female cardinal pair on a branch with red roses and I Am Always with You text.&lt;/li&gt;&lt;li&gt;Current Shopify export title: Cardinals Perched on Branch with Roses Patchwork Winter Quilt.&lt;/li&gt;&lt;li&gt;Gallery includes the main bed mockup plus detail, feature, component or size graphics where shown.&lt;/li&gt;&lt;/ul&gt;&lt;h3&gt;Options and Care&lt;/h3&gt;&lt;ul&gt;&lt;li&gt;Choose quilt size; pillowcases are optional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5" s="3" t="inlineStr">
        <is>
          <t>Internal workflow language is gone, but the replacement repeats a generic template and largely defers product details to the live page.</t>
        </is>
      </c>
      <c r="H5" s="3" t="inlineStr">
        <is>
          <t>The body is safer than r1 but underuses verified dimensions, component rules, material/care panels and distinctive purchase information.</t>
        </is>
      </c>
      <c r="I5" s="3" t="inlineStr">
        <is>
          <t>Rewrite concise customer-facing English HTML using only verified product-specific facts and exact option/component wording.</t>
        </is>
      </c>
      <c r="J5" s="3" t="inlineStr">
        <is>
          <t>evidence_batch_001_004; direct gallery review</t>
        </is>
      </c>
      <c r="K5" s="3" t="inlineStr">
        <is>
          <t>No internal text remains and the body contains useful, product-specific, source-backed purchase details.</t>
        </is>
      </c>
    </row>
    <row r="6" ht="84" customHeight="1">
      <c r="A6" s="2" t="inlineStr">
        <is>
          <t>R4-ISS-005-BODY</t>
        </is>
      </c>
      <c r="B6" s="2" t="inlineStr">
        <is>
          <t>jeminise.com+cat-patchwork-quilt-set-animal-pattern-bedding-cat-pattern-quilt-set</t>
        </is>
      </c>
      <c r="C6" s="2" t="inlineStr"/>
      <c r="D6" s="2" t="inlineStr">
        <is>
          <t>MAJOR</t>
        </is>
      </c>
      <c r="E6" s="2" t="inlineStr">
        <is>
          <t>description_proposed_html</t>
        </is>
      </c>
      <c r="F6" s="2" t="inlineStr">
        <is>
          <t>&lt;p&gt;A large colorful cat face built from bright patchwork blocks gives this Jeminise quilt sets a clear product-specific look for themed bedroom decor or gifting.&lt;/p&gt;&lt;h3&gt;Design Details&lt;/h3&gt;&lt;ul&gt;&lt;li&gt;Artwork focus: a large colorful cat face built from bright patchwork blocks.&lt;/li&gt;&lt;li&gt;Current Shopify export title: Cat Patchwork Quilt Set, Animal Pattern Bedding, Cat Pattern Quilt Set.&lt;/li&gt;&lt;li&gt;Gallery includes the main bed mockup plus detail, feature, component or size graphics where shown.&lt;/li&gt;&lt;/ul&gt;&lt;h3&gt;Options and Care&lt;/h3&gt;&lt;ul&gt;&lt;li&gt;Choose quilt size; pillowcases are purchased separately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6" s="2" t="inlineStr">
        <is>
          <t>Internal workflow language is gone, but the replacement repeats a generic template and largely defers product details to the live page.</t>
        </is>
      </c>
      <c r="H6" s="2" t="inlineStr">
        <is>
          <t>The body is safer than r1 but underuses verified dimensions, component rules, material/care panels and distinctive purchase information.</t>
        </is>
      </c>
      <c r="I6" s="2" t="inlineStr">
        <is>
          <t>Rewrite concise customer-facing English HTML using only verified product-specific facts and exact option/component wording.</t>
        </is>
      </c>
      <c r="J6" s="2" t="inlineStr">
        <is>
          <t>evidence_batch_001_005; direct gallery review</t>
        </is>
      </c>
      <c r="K6" s="2" t="inlineStr">
        <is>
          <t>No internal text remains and the body contains useful, product-specific, source-backed purchase details.</t>
        </is>
      </c>
    </row>
    <row r="7" ht="84" customHeight="1">
      <c r="A7" s="3" t="inlineStr">
        <is>
          <t>R4-ISS-006-BODY</t>
        </is>
      </c>
      <c r="B7" s="3" t="inlineStr">
        <is>
          <t>jeminise.com+cat-quilt-set-cat-patchwork-style-printed-bedding-animal-patchwork</t>
        </is>
      </c>
      <c r="C7" s="3" t="inlineStr"/>
      <c r="D7" s="3" t="inlineStr">
        <is>
          <t>MAJOR</t>
        </is>
      </c>
      <c r="E7" s="3" t="inlineStr">
        <is>
          <t>description_proposed_html</t>
        </is>
      </c>
      <c r="F7" s="3" t="inlineStr">
        <is>
          <t>&lt;p&gt;A sitting cat in geometric patchwork colors on a beige leaf background gives this Jeminise quilt sets a clear product-specific look for themed bedroom decor or gifting.&lt;/p&gt;&lt;h3&gt;Design Details&lt;/h3&gt;&lt;ul&gt;&lt;li&gt;Artwork focus: a sitting cat in geometric patchwork colors on a beige leaf background.&lt;/li&gt;&lt;li&gt;Current Shopify export title: Cat Quilt Set - Cat Patchwork Style Printed Bedding, Animal Patchwork.&lt;/li&gt;&lt;li&gt;Gallery includes the main bed mockup plus detail, feature, component or size graphics where shown.&lt;/li&gt;&lt;/ul&gt;&lt;h3&gt;Options and Care&lt;/h3&gt;&lt;ul&gt;&lt;li&gt;Choose quilt size; pillowcases are purchased separately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7" s="3" t="inlineStr">
        <is>
          <t>Internal workflow language is gone, but the replacement repeats a generic template and largely defers product details to the live page.</t>
        </is>
      </c>
      <c r="H7" s="3" t="inlineStr">
        <is>
          <t>The body is safer than r1 but underuses verified dimensions, component rules, material/care panels and distinctive purchase information.</t>
        </is>
      </c>
      <c r="I7" s="3" t="inlineStr">
        <is>
          <t>Rewrite concise customer-facing English HTML using only verified product-specific facts and exact option/component wording.</t>
        </is>
      </c>
      <c r="J7" s="3" t="inlineStr">
        <is>
          <t>evidence_batch_001_006; direct gallery review</t>
        </is>
      </c>
      <c r="K7" s="3" t="inlineStr">
        <is>
          <t>No internal text remains and the body contains useful, product-specific, source-backed purchase details.</t>
        </is>
      </c>
    </row>
    <row r="8" ht="84" customHeight="1">
      <c r="A8" s="2" t="inlineStr">
        <is>
          <t>R4-ISS-007-BODY</t>
        </is>
      </c>
      <c r="B8" s="2" t="inlineStr">
        <is>
          <t>jeminise.com+celtic-and-fantasy-quilt-set-with-twisting-tree-trunk-and-exposed-roots-c7b1460bad-c7b1460bad</t>
        </is>
      </c>
      <c r="C8" s="2" t="inlineStr"/>
      <c r="D8" s="2" t="inlineStr">
        <is>
          <t>MAJOR</t>
        </is>
      </c>
      <c r="E8" s="2" t="inlineStr">
        <is>
          <t>description_proposed_html</t>
        </is>
      </c>
      <c r="F8" s="2" t="inlineStr">
        <is>
          <t>&lt;p&gt;A twisting tree trunk with exposed roots, teal night sky accents and a celtic knot border gives this Jeminise quilt sets a clear product-specific look for themed bedroom decor or gifting.&lt;/p&gt;&lt;h3&gt;Design Details&lt;/h3&gt;&lt;ul&gt;&lt;li&gt;Artwork focus: a twisting tree trunk with exposed roots, teal night sky accents and a Celtic knot border.&lt;/li&gt;&lt;li&gt;Current Shopify export title: Celtic and Fantasy Quilt Set with Twisting Tree Trunk And Exposed Roots.&lt;/li&gt;&lt;li&gt;Gallery includes the main bed mockup plus detail, feature, component or size graphics where shown.&lt;/li&gt;&lt;/ul&gt;&lt;h3&gt;Options and Care&lt;/h3&gt;&lt;ul&gt;&lt;li&gt;Choose quilt size and pillowcase quantity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8" s="2" t="inlineStr">
        <is>
          <t>Internal workflow language is gone, but the replacement repeats a generic template and largely defers product details to the live page.</t>
        </is>
      </c>
      <c r="H8" s="2" t="inlineStr">
        <is>
          <t>The body is safer than r1 but underuses verified dimensions, component rules, material/care panels and distinctive purchase information.</t>
        </is>
      </c>
      <c r="I8" s="2" t="inlineStr">
        <is>
          <t>Rewrite concise customer-facing English HTML using only verified product-specific facts and exact option/component wording.</t>
        </is>
      </c>
      <c r="J8" s="2" t="inlineStr">
        <is>
          <t>evidence_batch_001_007; direct gallery review</t>
        </is>
      </c>
      <c r="K8" s="2" t="inlineStr">
        <is>
          <t>No internal text remains and the body contains useful, product-specific, source-backed purchase details.</t>
        </is>
      </c>
    </row>
    <row r="9" ht="84" customHeight="1">
      <c r="A9" s="3" t="inlineStr">
        <is>
          <t>R4-ISS-008-BODY</t>
        </is>
      </c>
      <c r="B9" s="3" t="inlineStr">
        <is>
          <t>jeminise.com+celtic-mythology-tree-of-life-quilt-set-with-celtic-knotwork-border-12786aba7e-12786aba7e</t>
        </is>
      </c>
      <c r="C9" s="3" t="inlineStr"/>
      <c r="D9" s="3" t="inlineStr">
        <is>
          <t>MAJOR</t>
        </is>
      </c>
      <c r="E9" s="3" t="inlineStr">
        <is>
          <t>description_proposed_html</t>
        </is>
      </c>
      <c r="F9" s="3" t="inlineStr">
        <is>
          <t>&lt;p&gt;A green tree of life medallion with celtic knotwork border gives this Jeminise quilt sets a clear product-specific look for themed bedroom decor or gifting.&lt;/p&gt;&lt;h3&gt;Design Details&lt;/h3&gt;&lt;ul&gt;&lt;li&gt;Artwork focus: a green Tree of Life medallion with Celtic knotwork border.&lt;/li&gt;&lt;li&gt;Current Shopify export title: Celtic Mythology Tree of Life Quilt Set With Celtic Knotwork Border.&lt;/li&gt;&lt;li&gt;Gallery includes the main bed mockup plus detail, feature, component or size graphics where shown.&lt;/li&gt;&lt;/ul&gt;&lt;h3&gt;Options and Care&lt;/h3&gt;&lt;ul&gt;&lt;li&gt;Choose quilt size; pillowcases are optional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9" s="3" t="inlineStr">
        <is>
          <t>Internal workflow language is gone, but the replacement repeats a generic template and largely defers product details to the live page.</t>
        </is>
      </c>
      <c r="H9" s="3" t="inlineStr">
        <is>
          <t>The body is safer than r1 but underuses verified dimensions, component rules, material/care panels and distinctive purchase information.</t>
        </is>
      </c>
      <c r="I9" s="3" t="inlineStr">
        <is>
          <t>Rewrite concise customer-facing English HTML using only verified product-specific facts and exact option/component wording.</t>
        </is>
      </c>
      <c r="J9" s="3" t="inlineStr">
        <is>
          <t>evidence_batch_001_008; direct gallery review</t>
        </is>
      </c>
      <c r="K9" s="3" t="inlineStr">
        <is>
          <t>No internal text remains and the body contains useful, product-specific, source-backed purchase details.</t>
        </is>
      </c>
    </row>
    <row r="10" ht="84" customHeight="1">
      <c r="A10" s="2" t="inlineStr">
        <is>
          <t>R4-ISS-009-BODY</t>
        </is>
      </c>
      <c r="B10" s="2" t="inlineStr">
        <is>
          <t>jeminise.com+chicken-pattern-quilt-set-animal-patchwork-farmhouse-quilt-set</t>
        </is>
      </c>
      <c r="C10" s="2" t="inlineStr"/>
      <c r="D10" s="2" t="inlineStr">
        <is>
          <t>MAJOR</t>
        </is>
      </c>
      <c r="E10" s="2" t="inlineStr">
        <is>
          <t>description_proposed_html</t>
        </is>
      </c>
      <c r="F10" s="2" t="inlineStr">
        <is>
          <t>&lt;p&gt;Farmhouse chicken and hen artwork with nest-and-egg details and black patchwork accents gives this Jeminise quilt sets a clear product-specific look for themed bedroom decor or gifting.&lt;/p&gt;&lt;h3&gt;Design Details&lt;/h3&gt;&lt;ul&gt;&lt;li&gt;Artwork focus: farmhouse chicken and hen artwork with nest-and-egg details and black patchwork accents.&lt;/li&gt;&lt;li&gt;Current Shopify export title: Chicken Pattern Quilt Set, Animal Patchwork Farmhouse Quilt Set.&lt;/li&gt;&lt;li&gt;Gallery includes the main bed mockup plus detail, feature, component or size graphics where shown.&lt;/li&gt;&lt;/ul&gt;&lt;h3&gt;Options and Care&lt;/h3&gt;&lt;ul&gt;&lt;li&gt;Choose quilt size; pillowcases are purchased separately according to the current Shopify export.&lt;/li&gt;&lt;li&gt;Use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10" s="2" t="inlineStr">
        <is>
          <t>Internal workflow language is gone, but the replacement repeats a generic template and largely defers product details to the live page.</t>
        </is>
      </c>
      <c r="H10" s="2" t="inlineStr">
        <is>
          <t>The body is safer than r1 but underuses verified dimensions, component rules, material/care panels and distinctive purchase information.</t>
        </is>
      </c>
      <c r="I10" s="2" t="inlineStr">
        <is>
          <t>Rewrite concise customer-facing English HTML using only verified product-specific facts and exact option/component wording.</t>
        </is>
      </c>
      <c r="J10" s="2" t="inlineStr">
        <is>
          <t>evidence_batch_001_009; direct gallery review</t>
        </is>
      </c>
      <c r="K10" s="2" t="inlineStr">
        <is>
          <t>No internal text remains and the body contains useful, product-specific, source-backed purchase details.</t>
        </is>
      </c>
    </row>
    <row r="11" ht="84" customHeight="1">
      <c r="A11" s="3" t="inlineStr">
        <is>
          <t>R4-ISS-010-BODY</t>
        </is>
      </c>
      <c r="B11" s="3" t="inlineStr">
        <is>
          <t>jeminise.com+christian-bedding-set-inspirational-bible-verse-comforte-design-01</t>
        </is>
      </c>
      <c r="C11" s="3" t="inlineStr"/>
      <c r="D11" s="3" t="inlineStr">
        <is>
          <t>MAJOR</t>
        </is>
      </c>
      <c r="E11" s="3" t="inlineStr">
        <is>
          <t>description_proposed_html</t>
        </is>
      </c>
      <c r="F11" s="3" t="inlineStr">
        <is>
          <t>&lt;p&gt;God says i am christian affirmation artwork with a custom name example, flowers and butterflies gives this Jeminise comforter sets a clear product-specific look for themed bedroom decor or gifting.&lt;/p&gt;&lt;h3&gt;Design Details&lt;/h3&gt;&lt;ul&gt;&lt;li&gt;Artwork focus: God Says I Am Christian affirmation artwork with a custom name example, flowers and butterflies.&lt;/li&gt;&lt;li&gt;Current Shopify export title: Christian Bedding Set – Inspirational Bible Verse Comforte - Design 01.&lt;/li&gt;&lt;li&gt;Gallery includes the main bed mockup plus detail, feature, component or size graphics where shown.&lt;/li&gt;&lt;/ul&gt;&lt;h3&gt;Options and Care&lt;/h3&gt;&lt;ul&gt;&lt;li&gt;Choose product type and size, pillowcases and optional flat sheet. Live Customizer shows a required Enter Name field with a 13-character limit.&lt;/li&gt;&lt;li&gt;Use the live product selectors to confirm the final configuration before checkout.&lt;/li&gt;&lt;li&gt;Care and fabric claims are kept only where shown in the current Shopify export, storefront data or gallery feature panels.&lt;/li&gt;&lt;/ul&gt;</t>
        </is>
      </c>
      <c r="G11" s="3" t="inlineStr">
        <is>
          <t>Internal workflow language is gone, but the replacement repeats a generic template and largely defers product details to the live page.</t>
        </is>
      </c>
      <c r="H11" s="3" t="inlineStr">
        <is>
          <t>The body is safer than r1 but underuses verified dimensions, component rules, material/care panels and distinctive purchase information.</t>
        </is>
      </c>
      <c r="I11" s="3" t="inlineStr">
        <is>
          <t>Rewrite concise customer-facing English HTML using only verified product-specific facts and exact option/component wording.</t>
        </is>
      </c>
      <c r="J11" s="3" t="inlineStr">
        <is>
          <t>evidence_batch_001_010; direct gallery review</t>
        </is>
      </c>
      <c r="K11" s="3" t="inlineStr">
        <is>
          <t>No internal text remains and the body contains useful, product-specific, source-backed purchase details.</t>
        </is>
      </c>
    </row>
    <row r="12" ht="84" customHeight="1">
      <c r="A12" s="2" t="inlineStr">
        <is>
          <t>R4-ISS-001-CANN</t>
        </is>
      </c>
      <c r="B12" s="2" t="inlineStr">
        <is>
          <t>jeminise.com+autumn-cardinals-perched-above-large-sunflowers-quilt-with-cardinal-birds-9a3b408b20-9a3b408b20</t>
        </is>
      </c>
      <c r="C12" s="2" t="inlineStr"/>
      <c r="D12" s="2" t="inlineStr">
        <is>
          <t>MAJOR</t>
        </is>
      </c>
      <c r="E12" s="2" t="inlineStr">
        <is>
          <t>keyword_map/intent differentiation</t>
        </is>
      </c>
      <c r="F12" s="2" t="inlineStr">
        <is>
          <t>cardinal sunflower autumn quilt set</t>
        </is>
      </c>
      <c r="G12" s="2" t="inlineStr">
        <is>
          <t>Sibling cardinal products target closely related product-page intent.</t>
        </is>
      </c>
      <c r="H12" s="2" t="inlineStr">
        <is>
          <t>Artwork modifiers differ, but the r2 map still does not document collection relationship, internal-link role or a no-cannibalization rule.</t>
        </is>
      </c>
      <c r="I12" s="2" t="inlineStr">
        <is>
          <t>Assign a unique primary query and internal-link role for this design within its sibling cluster.</t>
        </is>
      </c>
      <c r="J12" s="2" t="inlineStr">
        <is>
          <t>https://vantique.net/products/autumn-cardinal-3-piece-quilted-bedding-set-ncu0tv033; https://www.target.com/s/cardinal%2Bquilt</t>
        </is>
      </c>
      <c r="K12" s="2" t="inlineStr">
        <is>
          <t>Keyword map documents a unique target and its relationship to sibling products.</t>
        </is>
      </c>
    </row>
    <row r="13" ht="84" customHeight="1">
      <c r="A13" s="3" t="inlineStr">
        <is>
          <t>R4-ISS-003-CANN</t>
        </is>
      </c>
      <c r="B13" s="3" t="inlineStr">
        <is>
          <t>jeminise.com+cardinals-perched-beside-decorated-christmas-tree-patchwork-winter-quilt-7cd7bc46a0-7cd7bc46a0</t>
        </is>
      </c>
      <c r="C13" s="3" t="inlineStr"/>
      <c r="D13" s="3" t="inlineStr">
        <is>
          <t>MAJOR</t>
        </is>
      </c>
      <c r="E13" s="3" t="inlineStr">
        <is>
          <t>keyword_map/intent differentiation</t>
        </is>
      </c>
      <c r="F13" s="3" t="inlineStr">
        <is>
          <t>Christmas cardinal memorial quilt set</t>
        </is>
      </c>
      <c r="G13" s="3" t="inlineStr">
        <is>
          <t>Sibling cardinal products target closely related product-page intent.</t>
        </is>
      </c>
      <c r="H13" s="3" t="inlineStr">
        <is>
          <t>Artwork modifiers differ, but the r2 map still does not document collection relationship, internal-link role or a no-cannibalization rule.</t>
        </is>
      </c>
      <c r="I13" s="3" t="inlineStr">
        <is>
          <t>Assign a unique primary query and internal-link role for this design within its sibling cluster.</t>
        </is>
      </c>
      <c r="J13" s="3" t="inlineStr">
        <is>
          <t>https://www.target.com/s/cardinal%2Bquilt; https://www.marcielobedding.com/products/marcelo-3-pcs-winter-cardinals-christmas-quilt-bedspread-set-decor</t>
        </is>
      </c>
      <c r="K13" s="3" t="inlineStr">
        <is>
          <t>Keyword map documents a unique target and its relationship to sibling products.</t>
        </is>
      </c>
    </row>
    <row r="14" ht="84" customHeight="1">
      <c r="A14" s="2" t="inlineStr">
        <is>
          <t>R4-ISS-004-CANN</t>
        </is>
      </c>
      <c r="B14" s="2" t="inlineStr">
        <is>
          <t>jeminise.com+cardinals-perched-on-branch-with-roses-patchwork-winter-quilt-21ac904cd7-21ac904cd7</t>
        </is>
      </c>
      <c r="C14" s="2" t="inlineStr"/>
      <c r="D14" s="2" t="inlineStr">
        <is>
          <t>MAJOR</t>
        </is>
      </c>
      <c r="E14" s="2" t="inlineStr">
        <is>
          <t>keyword_map/intent differentiation</t>
        </is>
      </c>
      <c r="F14" s="2" t="inlineStr">
        <is>
          <t>cardinal roses memorial quilt set</t>
        </is>
      </c>
      <c r="G14" s="2" t="inlineStr">
        <is>
          <t>Sibling cardinal products target closely related product-page intent.</t>
        </is>
      </c>
      <c r="H14" s="2" t="inlineStr">
        <is>
          <t>Artwork modifiers differ, but the r2 map still does not document collection relationship, internal-link role or a no-cannibalization rule.</t>
        </is>
      </c>
      <c r="I14" s="2" t="inlineStr">
        <is>
          <t>Assign a unique primary query and internal-link role for this design within its sibling cluster.</t>
        </is>
      </c>
      <c r="J14" s="2" t="inlineStr">
        <is>
          <t>https://www.reddit.com/r/quilting/comments/19fiv3f; https://www.reddit.com/r/quilting/comments/166n7be</t>
        </is>
      </c>
      <c r="K14" s="2" t="inlineStr">
        <is>
          <t>Keyword map documents a unique target and its relationship to sibling products.</t>
        </is>
      </c>
    </row>
    <row r="15" ht="84" customHeight="1">
      <c r="A15" s="3" t="inlineStr">
        <is>
          <t>R4-ISS-005-CANN</t>
        </is>
      </c>
      <c r="B15" s="3" t="inlineStr">
        <is>
          <t>jeminise.com+cat-patchwork-quilt-set-animal-pattern-bedding-cat-pattern-quilt-set</t>
        </is>
      </c>
      <c r="C15" s="3" t="inlineStr"/>
      <c r="D15" s="3" t="inlineStr">
        <is>
          <t>MAJOR</t>
        </is>
      </c>
      <c r="E15" s="3" t="inlineStr">
        <is>
          <t>keyword_map/intent differentiation</t>
        </is>
      </c>
      <c r="F15" s="3" t="inlineStr">
        <is>
          <t>colorful cat patchwork quilt set</t>
        </is>
      </c>
      <c r="G15" s="3" t="inlineStr">
        <is>
          <t>Sibling cat products target closely related product-page intent.</t>
        </is>
      </c>
      <c r="H15" s="3" t="inlineStr">
        <is>
          <t>Artwork modifiers differ, but the r2 map still does not document collection relationship, internal-link role or a no-cannibalization rule.</t>
        </is>
      </c>
      <c r="I15" s="3" t="inlineStr">
        <is>
          <t>Assign a unique primary query and internal-link role for this design within its sibling cluster.</t>
        </is>
      </c>
      <c r="J15" s="3" t="inlineStr">
        <is>
          <t>https://www.walmart.com/ip/20788770071; https://www.walmart.com/ip/20076702698</t>
        </is>
      </c>
      <c r="K15" s="3" t="inlineStr">
        <is>
          <t>Keyword map documents a unique target and its relationship to sibling products.</t>
        </is>
      </c>
    </row>
    <row r="16" ht="84" customHeight="1">
      <c r="A16" s="2" t="inlineStr">
        <is>
          <t>R4-ISS-006-CANN</t>
        </is>
      </c>
      <c r="B16" s="2" t="inlineStr">
        <is>
          <t>jeminise.com+cat-quilt-set-cat-patchwork-style-printed-bedding-animal-patchwork</t>
        </is>
      </c>
      <c r="C16" s="2" t="inlineStr"/>
      <c r="D16" s="2" t="inlineStr">
        <is>
          <t>MAJOR</t>
        </is>
      </c>
      <c r="E16" s="2" t="inlineStr">
        <is>
          <t>keyword_map/intent differentiation</t>
        </is>
      </c>
      <c r="F16" s="2" t="inlineStr">
        <is>
          <t>geometric cat patchwork quilt set</t>
        </is>
      </c>
      <c r="G16" s="2" t="inlineStr">
        <is>
          <t>Sibling cat products target closely related product-page intent.</t>
        </is>
      </c>
      <c r="H16" s="2" t="inlineStr">
        <is>
          <t>Artwork modifiers differ, but the r2 map still does not document collection relationship, internal-link role or a no-cannibalization rule.</t>
        </is>
      </c>
      <c r="I16" s="2" t="inlineStr">
        <is>
          <t>Assign a unique primary query and internal-link role for this design within its sibling cluster.</t>
        </is>
      </c>
      <c r="J16" s="2" t="inlineStr">
        <is>
          <t>https://www.wayfair.com/bed-bath/pdp/ambesonne-cat-bedspread-set-patchwork-style-silly-faces-multicolor-bbqv8335.html; https://vantique.net/products/whimsical-cat-patchwork-3-piece-quilted-bedding-set-ncu0nt5145</t>
        </is>
      </c>
      <c r="K16" s="2" t="inlineStr">
        <is>
          <t>Keyword map documents a unique target and its relationship to sibling products.</t>
        </is>
      </c>
    </row>
    <row r="17" ht="84" customHeight="1">
      <c r="A17" s="3" t="inlineStr">
        <is>
          <t>R4-ISS-007-CANN</t>
        </is>
      </c>
      <c r="B17" s="3" t="inlineStr">
        <is>
          <t>jeminise.com+celtic-and-fantasy-quilt-set-with-twisting-tree-trunk-and-exposed-roots-c7b1460bad-c7b1460bad</t>
        </is>
      </c>
      <c r="C17" s="3" t="inlineStr"/>
      <c r="D17" s="3" t="inlineStr">
        <is>
          <t>MAJOR</t>
        </is>
      </c>
      <c r="E17" s="3" t="inlineStr">
        <is>
          <t>keyword_map/intent differentiation</t>
        </is>
      </c>
      <c r="F17" s="3" t="inlineStr">
        <is>
          <t>Celtic fantasy tree quilt set</t>
        </is>
      </c>
      <c r="G17" s="3" t="inlineStr">
        <is>
          <t>Sibling Celtic tree products target closely related product-page intent.</t>
        </is>
      </c>
      <c r="H17" s="3" t="inlineStr">
        <is>
          <t>Artwork modifiers differ, but the r2 map still does not document collection relationship, internal-link role or a no-cannibalization rule.</t>
        </is>
      </c>
      <c r="I17" s="3" t="inlineStr">
        <is>
          <t>Assign a unique primary query and internal-link role for this design within its sibling cluster.</t>
        </is>
      </c>
      <c r="J17" s="3" t="inlineStr">
        <is>
          <t>https://usblanket.com/collections/tree-of-life; https://www.freshouseshop.com/products/celtic-bed-knot-tree-of-life-veru1967-quilt-bedding-set</t>
        </is>
      </c>
      <c r="K17" s="3" t="inlineStr">
        <is>
          <t>Keyword map documents a unique target and its relationship to sibling products.</t>
        </is>
      </c>
    </row>
    <row r="18" ht="84" customHeight="1">
      <c r="A18" s="2" t="inlineStr">
        <is>
          <t>R4-ISS-008-CANN</t>
        </is>
      </c>
      <c r="B18" s="2" t="inlineStr">
        <is>
          <t>jeminise.com+celtic-mythology-tree-of-life-quilt-set-with-celtic-knotwork-border-12786aba7e-12786aba7e</t>
        </is>
      </c>
      <c r="C18" s="2" t="inlineStr"/>
      <c r="D18" s="2" t="inlineStr">
        <is>
          <t>MAJOR</t>
        </is>
      </c>
      <c r="E18" s="2" t="inlineStr">
        <is>
          <t>keyword_map/intent differentiation</t>
        </is>
      </c>
      <c r="F18" s="2" t="inlineStr">
        <is>
          <t>Celtic Tree of Life quilt set</t>
        </is>
      </c>
      <c r="G18" s="2" t="inlineStr">
        <is>
          <t>Sibling Celtic tree products target closely related product-page intent.</t>
        </is>
      </c>
      <c r="H18" s="2" t="inlineStr">
        <is>
          <t>Artwork modifiers differ, but the r2 map still does not document collection relationship, internal-link role or a no-cannibalization rule.</t>
        </is>
      </c>
      <c r="I18" s="2" t="inlineStr">
        <is>
          <t>Assign a unique primary query and internal-link role for this design within its sibling cluster.</t>
        </is>
      </c>
      <c r="J18" s="2" t="inlineStr">
        <is>
          <t>https://quiltnest.com/products/intricate-celtic-tree-of-life-3-piece-quilted-bedding-set-ncu0pd047; https://ohaprints.com/products/ohaprints-quilt-bed-set-pillowcase-tree-of-life-yggdrasil-black-yellow-mythology-ancient-norse-nordic-blanket-bedspread-bedding-695</t>
        </is>
      </c>
      <c r="K18" s="2" t="inlineStr">
        <is>
          <t>Keyword map documents a unique target and its relationship to sibling products.</t>
        </is>
      </c>
    </row>
    <row r="19" ht="84" customHeight="1">
      <c r="A19" s="3" t="inlineStr">
        <is>
          <t>R4-ISS-003-SERP</t>
        </is>
      </c>
      <c r="B19" s="3" t="inlineStr">
        <is>
          <t>jeminise.com+cardinals-perched-beside-decorated-christmas-tree-patchwork-winter-quilt-7cd7bc46a0-7cd7bc46a0</t>
        </is>
      </c>
      <c r="C19" s="3" t="inlineStr"/>
      <c r="D19" s="3" t="inlineStr">
        <is>
          <t>MAJOR</t>
        </is>
      </c>
      <c r="E19" s="3" t="inlineStr">
        <is>
          <t>SERP evidence/intent</t>
        </is>
      </c>
      <c r="F19" s="3" t="inlineStr">
        <is>
          <t>Christmas cardinal memorial quilt set</t>
        </is>
      </c>
      <c r="G19" s="3" t="inlineStr">
        <is>
          <t>Submitted evidence remains weak or hobby-led for the exact finished bedding intent.</t>
        </is>
      </c>
      <c r="H19" s="3" t="inlineStr">
        <is>
          <t>Changing mapping_status to r2 does not replace the underlying intent evidence.</t>
        </is>
      </c>
      <c r="I19" s="3" t="inlineStr">
        <is>
          <t>Replace with product-level commercial SERP URLs for finished quilt bedding and document the intent decision.</t>
        </is>
      </c>
      <c r="J19" s="3" t="inlineStr">
        <is>
          <t>https://www.target.com/s/cardinal%2Bquilt; https://www.marcielobedding.com/products/marcelo-3-pcs-winter-cardinals-christmas-quilt-bedspread-set-decor</t>
        </is>
      </c>
      <c r="K19" s="3" t="inlineStr">
        <is>
          <t>At least two read result URLs clearly represent finished bedding product intent.</t>
        </is>
      </c>
    </row>
    <row r="20" ht="84" customHeight="1">
      <c r="A20" s="2" t="inlineStr">
        <is>
          <t>R4-ISS-004-SERP</t>
        </is>
      </c>
      <c r="B20" s="2" t="inlineStr">
        <is>
          <t>jeminise.com+cardinals-perched-on-branch-with-roses-patchwork-winter-quilt-21ac904cd7-21ac904cd7</t>
        </is>
      </c>
      <c r="C20" s="2" t="inlineStr"/>
      <c r="D20" s="2" t="inlineStr">
        <is>
          <t>MAJOR</t>
        </is>
      </c>
      <c r="E20" s="2" t="inlineStr">
        <is>
          <t>SERP evidence/intent</t>
        </is>
      </c>
      <c r="F20" s="2" t="inlineStr">
        <is>
          <t>cardinal roses memorial quilt set</t>
        </is>
      </c>
      <c r="G20" s="2" t="inlineStr">
        <is>
          <t>Submitted evidence remains weak or hobby-led for the exact finished bedding intent.</t>
        </is>
      </c>
      <c r="H20" s="2" t="inlineStr">
        <is>
          <t>Changing mapping_status to r2 does not replace the underlying intent evidence.</t>
        </is>
      </c>
      <c r="I20" s="2" t="inlineStr">
        <is>
          <t>Replace with product-level commercial SERP URLs for finished quilt bedding and document the intent decision.</t>
        </is>
      </c>
      <c r="J20" s="2" t="inlineStr">
        <is>
          <t>https://www.reddit.com/r/quilting/comments/19fiv3f; https://www.reddit.com/r/quilting/comments/166n7be</t>
        </is>
      </c>
      <c r="K20" s="2" t="inlineStr">
        <is>
          <t>At least two read result URLs clearly represent finished bedding product intent.</t>
        </is>
      </c>
    </row>
    <row r="21" ht="84" customHeight="1">
      <c r="A21" s="3" t="inlineStr">
        <is>
          <t>R4-ISS-001-HYP</t>
        </is>
      </c>
      <c r="B21" s="3" t="inlineStr">
        <is>
          <t>jeminise.com+autumn-cardinals-perched-above-large-sunflowers-quilt-with-cardinal-birds-9a3b408b20-9a3b408b20</t>
        </is>
      </c>
      <c r="C21" s="3" t="inlineStr"/>
      <c r="D21" s="3" t="inlineStr">
        <is>
          <t>LIMITATION</t>
        </is>
      </c>
      <c r="E21" s="3" t="inlineStr">
        <is>
          <t>keyword_evidence_level</t>
        </is>
      </c>
      <c r="F21" s="3" t="inlineStr">
        <is>
          <t>HYPOTHESIS_ONLY</t>
        </is>
      </c>
      <c r="G21" s="3" t="inlineStr">
        <is>
          <t>No search-volume source was supplied; current level remains HYPOTHESIS_ONLY.</t>
        </is>
      </c>
      <c r="H21" s="3" t="inlineStr">
        <is>
          <t>Demand magnitude cannot be claimed from SERP intent alone.</t>
        </is>
      </c>
      <c r="I21" s="3" t="inlineStr">
        <is>
          <t>Keep the hypothesis label or add a dated keyword-volume source.</t>
        </is>
      </c>
      <c r="J21" s="3" t="inlineStr">
        <is>
          <t>https://vantique.net/products/autumn-cardinal-3-piece-quilted-bedding-set-ncu0tv033; https://www.target.com/s/cardinal%2Bquilt</t>
        </is>
      </c>
      <c r="K21" s="3" t="inlineStr">
        <is>
          <t>Evidence level matches the actual source type.</t>
        </is>
      </c>
    </row>
    <row r="22" ht="84" customHeight="1">
      <c r="A22" s="2" t="inlineStr">
        <is>
          <t>R4-ISS-006-HYP</t>
        </is>
      </c>
      <c r="B22" s="2" t="inlineStr">
        <is>
          <t>jeminise.com+cat-quilt-set-cat-patchwork-style-printed-bedding-animal-patchwork</t>
        </is>
      </c>
      <c r="C22" s="2" t="inlineStr"/>
      <c r="D22" s="2" t="inlineStr">
        <is>
          <t>LIMITATION</t>
        </is>
      </c>
      <c r="E22" s="2" t="inlineStr">
        <is>
          <t>keyword_evidence_level</t>
        </is>
      </c>
      <c r="F22" s="2" t="inlineStr">
        <is>
          <t>HYPOTHESIS_ONLY</t>
        </is>
      </c>
      <c r="G22" s="2" t="inlineStr">
        <is>
          <t>No search-volume source was supplied; current level remains HYPOTHESIS_ONLY.</t>
        </is>
      </c>
      <c r="H22" s="2" t="inlineStr">
        <is>
          <t>Demand magnitude cannot be claimed from SERP intent alone.</t>
        </is>
      </c>
      <c r="I22" s="2" t="inlineStr">
        <is>
          <t>Keep the hypothesis label or add a dated keyword-volume source.</t>
        </is>
      </c>
      <c r="J22" s="2" t="inlineStr">
        <is>
          <t>https://www.wayfair.com/bed-bath/pdp/ambesonne-cat-bedspread-set-patchwork-style-silly-faces-multicolor-bbqv8335.html; https://vantique.net/products/whimsical-cat-patchwork-3-piece-quilted-bedding-set-ncu0nt5145</t>
        </is>
      </c>
      <c r="K22" s="2" t="inlineStr">
        <is>
          <t>Evidence level matches the actual source type.</t>
        </is>
      </c>
    </row>
    <row r="23" ht="84" customHeight="1">
      <c r="A23" s="3" t="inlineStr">
        <is>
          <t>R4-ISS-002-ENC</t>
        </is>
      </c>
      <c r="B23" s="3" t="inlineStr">
        <is>
          <t>jeminise.com+bright-teal-yellow-softball-comforter-set-premium-sports-theme</t>
        </is>
      </c>
      <c r="C23" s="3" t="inlineStr"/>
      <c r="D23" s="3" t="inlineStr">
        <is>
          <t>MINOR</t>
        </is>
      </c>
      <c r="E23" s="3" t="inlineStr">
        <is>
          <t>source title/H1 encoding</t>
        </is>
      </c>
      <c r="F23" s="3" t="inlineStr">
        <is>
          <t>Bright Teal Yellow Softball Comforter Set – Premium Sports Theme</t>
        </is>
      </c>
      <c r="G23" s="3" t="inlineStr">
        <is>
          <t>Bright Teal Yellow Softball Comforter Set – Premium Sports Theme</t>
        </is>
      </c>
      <c r="H23" s="3" t="inlineStr">
        <is>
          <t>The source still renders a replacement character; the proposed title is clean but source evidence remains malformed.</t>
        </is>
      </c>
      <c r="I23" s="3" t="inlineStr">
        <is>
          <t>Correct the source title encoding separately before publication.</t>
        </is>
      </c>
      <c r="J23" s="3" t="inlineStr">
        <is>
          <t>https://jeminise.com/products/bright-teal-yellow-softball-comforter-set-premium-sports-theme</t>
        </is>
      </c>
      <c r="K23" s="3" t="inlineStr">
        <is>
          <t>Live title/H1 renders the intended dash without the replacement character.</t>
        </is>
      </c>
    </row>
    <row r="24" ht="84" customHeight="1">
      <c r="A24" s="2" t="inlineStr">
        <is>
          <t>R4-ISS-010-ENC</t>
        </is>
      </c>
      <c r="B24" s="2" t="inlineStr">
        <is>
          <t>jeminise.com+christian-bedding-set-inspirational-bible-verse-comforte-design-01</t>
        </is>
      </c>
      <c r="C24" s="2" t="inlineStr"/>
      <c r="D24" s="2" t="inlineStr">
        <is>
          <t>MINOR</t>
        </is>
      </c>
      <c r="E24" s="2" t="inlineStr">
        <is>
          <t>source title/H1 encoding</t>
        </is>
      </c>
      <c r="F24" s="2" t="inlineStr">
        <is>
          <t>Christian Bedding Set – Inspirational Bible Verse Comforte - Design 01</t>
        </is>
      </c>
      <c r="G24" s="2" t="inlineStr">
        <is>
          <t>Christian Bedding Set – Inspirational Bible Verse Comforte - Design 01</t>
        </is>
      </c>
      <c r="H24" s="2" t="inlineStr">
        <is>
          <t>The source still renders a replacement character; the proposed title is clean but source evidence remains malformed.</t>
        </is>
      </c>
      <c r="I24" s="2" t="inlineStr">
        <is>
          <t>Correct the source title encoding separately before publication.</t>
        </is>
      </c>
      <c r="J24" s="2" t="inlineStr">
        <is>
          <t>https://jeminise.com/products/christian-bedding-set-inspirational-bible-verse-comforte-design-01</t>
        </is>
      </c>
      <c r="K24" s="2" t="inlineStr">
        <is>
          <t>Live title/H1 renders the intended dash without the replacement character.</t>
        </is>
      </c>
    </row>
  </sheetData>
  <autoFilter ref="A1:K24"/>
  <conditionalFormatting sqref="D2:D24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2026-09-08T01:47:09Z</dcterms:created>
  <dcterms:modified xmlns:dcterms="http://purl.org/dc/terms/" xmlns:xsi="http://www.w3.org/2001/XMLSchema-instance" xsi:type="dcterms:W3CDTF">2026-09-08T01:47:09Z</dcterms:modified>
</cp:coreProperties>
</file>