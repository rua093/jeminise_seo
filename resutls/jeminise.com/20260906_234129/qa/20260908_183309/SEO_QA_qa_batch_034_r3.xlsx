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_Summary" sheetId="1" state="visible" r:id="rId1"/>
    <sheet xmlns:r="http://schemas.openxmlformats.org/officeDocument/2006/relationships" name="QA_Products" sheetId="2" state="visible" r:id="rId2"/>
    <sheet xmlns:r="http://schemas.openxmlformats.org/officeDocument/2006/relationships" name="QA_Criteria" sheetId="3" state="visible" r:id="rId3"/>
    <sheet xmlns:r="http://schemas.openxmlformats.org/officeDocument/2006/relationships" name="QA_Images" sheetId="4" state="visible" r:id="rId4"/>
    <sheet xmlns:r="http://schemas.openxmlformats.org/officeDocument/2006/relationships" name="QA_Issues" sheetId="5" state="visible" r:id="rId5"/>
  </sheets>
  <definedNames>
    <definedName name="_xlnm._FilterDatabase" localSheetId="0" hidden="1">'QA_Summary'!$A$1:$C$15</definedName>
    <definedName name="_xlnm._FilterDatabase" localSheetId="1" hidden="1">'QA_Products'!$A$1:$AI$9</definedName>
    <definedName name="_xlnm._FilterDatabase" localSheetId="2" hidden="1">'QA_Criteria'!$A$1:$P$89</definedName>
    <definedName name="_xlnm._FilterDatabase" localSheetId="3" hidden="1">'QA_Images'!$A$1:$AG$58</definedName>
    <definedName name="_xlnm._FilterDatabase" localSheetId="4" hidden="1">'QA_Issues'!$A$1:$M$26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1"/>
    </font>
    <font>
      <name val="Aptos"/>
      <color rgb="001F2937"/>
      <sz val="10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8FAFC"/>
      </patternFill>
    </fill>
  </fills>
  <borders count="3">
    <border>
      <left/>
      <right/>
      <top/>
      <bottom/>
      <diagonal/>
    </border>
    <border>
      <bottom style="medium">
        <color rgb="002F75B5"/>
      </bottom>
    </border>
    <border>
      <bottom style="thin">
        <color rgb="00CBD5E1"/>
      </bottom>
    </border>
  </borders>
  <cellStyleXfs count="2">
    <xf numFmtId="0" fontId="0" fillId="0" borderId="0"/>
    <xf numFmtId="0" fontId="3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3" fillId="0" borderId="0" applyAlignment="1" pivotButton="0" quotePrefix="0" xfId="1">
      <alignment vertical="top" wrapText="1"/>
    </xf>
    <xf numFmtId="165" fontId="2" fillId="3" borderId="2" applyAlignment="1" pivotButton="0" quotePrefix="0" xfId="0">
      <alignment vertical="top" wrapText="1"/>
    </xf>
    <xf numFmtId="164" fontId="2" fillId="3" borderId="2" applyAlignment="1" pivotButton="0" quotePrefix="0" xfId="0">
      <alignment vertical="top" wrapText="1"/>
    </xf>
    <xf numFmtId="165" fontId="2" fillId="0" borderId="2" applyAlignment="1" pivotButton="0" quotePrefix="0" xfId="0">
      <alignment vertical="top" wrapText="1"/>
    </xf>
    <xf numFmtId="164" fontId="2" fillId="0" borderId="2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5">
    <dxf>
      <fill>
        <patternFill patternType="solid">
          <fgColor rgb="00E2F0D9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E4DF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jeminise.com/products/softball-themed-bedding-for-girls-and-women-bright-teal-yellow" TargetMode="External" Id="rId1"/><Relationship Type="http://schemas.openxmlformats.org/officeDocument/2006/relationships/hyperlink" Target="https://jeminise.com/products/softball-themed-bedding-for-girls-and-women-bright-teal-yellow" TargetMode="External" Id="rId2"/><Relationship Type="http://schemas.openxmlformats.org/officeDocument/2006/relationships/hyperlink" Target="https://jeminise.com/products/sports-theme-softball-bedding-premium-teal-yellow-comforter-set-for" TargetMode="External" Id="rId3"/><Relationship Type="http://schemas.openxmlformats.org/officeDocument/2006/relationships/hyperlink" Target="https://jeminise.com/products/sports-theme-softball-bedding-premium-teal-yellow-comforter-set-for" TargetMode="External" Id="rId4"/><Relationship Type="http://schemas.openxmlformats.org/officeDocument/2006/relationships/hyperlink" Target="https://jeminise.com/products/teal-yellow-softball-comforter-set-vibrant-sports-bedroom-decor" TargetMode="External" Id="rId5"/><Relationship Type="http://schemas.openxmlformats.org/officeDocument/2006/relationships/hyperlink" Target="https://jeminise.com/products/teal-yellow-softball-comforter-set-vibrant-sports-bedroom-decor" TargetMode="External" Id="rId6"/><Relationship Type="http://schemas.openxmlformats.org/officeDocument/2006/relationships/hyperlink" Target="https://jeminise.com/products/teal-yellow-softball-bedding-set-stylish-sports-bedroom-decor" TargetMode="External" Id="rId7"/><Relationship Type="http://schemas.openxmlformats.org/officeDocument/2006/relationships/hyperlink" Target="https://jeminise.com/products/teal-yellow-softball-bedding-set-stylish-sports-bedroom-decor" TargetMode="External" Id="rId8"/><Relationship Type="http://schemas.openxmlformats.org/officeDocument/2006/relationships/hyperlink" Target="https://jeminise.com/products/tree-of-life-with-celtic-knot-roots-quilt-set-and-celtic-knot-borders-9482d2b2f5-9482d2b2f5" TargetMode="External" Id="rId9"/><Relationship Type="http://schemas.openxmlformats.org/officeDocument/2006/relationships/hyperlink" Target="https://jeminise.com/products/tree-of-life-with-celtic-knot-roots-quilt-set-and-celtic-knot-borders-9482d2b2f5-9482d2b2f5" TargetMode="External" Id="rId10"/><Relationship Type="http://schemas.openxmlformats.org/officeDocument/2006/relationships/hyperlink" Target="https://jeminise.com/products/winter-cardinal-on-berry-branch-patchwork-christmas-quilt-43ecda62b6-43ecda62b6" TargetMode="External" Id="rId11"/><Relationship Type="http://schemas.openxmlformats.org/officeDocument/2006/relationships/hyperlink" Target="https://jeminise.com/products/winter-cardinal-on-berry-branch-patchwork-christmas-quilt-43ecda62b6-43ecda62b6" TargetMode="External" Id="rId12"/><Relationship Type="http://schemas.openxmlformats.org/officeDocument/2006/relationships/hyperlink" Target="https://jeminise.com/products/winter-cardinals-on-heart-shaped-berry-branches-patchwork-christmas-quilt-de1c648f60-de1c648f60" TargetMode="External" Id="rId13"/><Relationship Type="http://schemas.openxmlformats.org/officeDocument/2006/relationships/hyperlink" Target="https://jeminise.com/products/winter-cardinals-on-heart-shaped-berry-branches-patchwork-christmas-quilt-de1c648f60-de1c648f60" TargetMode="External" Id="rId14"/><Relationship Type="http://schemas.openxmlformats.org/officeDocument/2006/relationships/hyperlink" Target="https://jeminise.com/products/winter-cat-and-cardinal-sitting-on-snowy-patchwork-christmas-quilt-82f86611f4-82f86611f4" TargetMode="External" Id="rId15"/><Relationship Type="http://schemas.openxmlformats.org/officeDocument/2006/relationships/hyperlink" Target="https://jeminise.com/products/winter-cat-and-cardinal-sitting-on-snowy-patchwork-christmas-quilt-82f86611f4-82f86611f4" TargetMode="External" Id="rId16"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0792/5098/1063/files/ab04f03ea2e57b507f5d9ccf6faf88e8de84e48a530986432662113077d6e982.jpg?v=1787245060" TargetMode="External" Id="rId1"/><Relationship Type="http://schemas.openxmlformats.org/officeDocument/2006/relationships/hyperlink" Target="https://cdn.shopify.com/s/files/1/0792/5098/1063/files/ab04f03ea2e57b507f5d9ccf6faf88e8de84e48a530986432662113077d6e982.jpg?v=1787245060" TargetMode="External" Id="rId2"/><Relationship Type="http://schemas.openxmlformats.org/officeDocument/2006/relationships/hyperlink" Target="https://cdn.shopify.com/s/files/1/0792/5098/1063/files/f09c0ba306746c0f7689c7317e7d2a677a8280aa56089fb166b8ebcf6c5cf09d.jpg?v=1787245060" TargetMode="External" Id="rId3"/><Relationship Type="http://schemas.openxmlformats.org/officeDocument/2006/relationships/hyperlink" Target="https://cdn.shopify.com/s/files/1/0792/5098/1063/files/f09c0ba306746c0f7689c7317e7d2a677a8280aa56089fb166b8ebcf6c5cf09d.jpg?v=1787245060" TargetMode="External" Id="rId4"/><Relationship Type="http://schemas.openxmlformats.org/officeDocument/2006/relationships/hyperlink" Target="https://cdn.shopify.com/s/files/1/0792/5098/1063/files/1be2beb1be1e50a96447d670a93f64ee14a6503c977478ef58231ea6a7594b74.jpg?v=1787245060" TargetMode="External" Id="rId5"/><Relationship Type="http://schemas.openxmlformats.org/officeDocument/2006/relationships/hyperlink" Target="https://cdn.shopify.com/s/files/1/0792/5098/1063/files/1be2beb1be1e50a96447d670a93f64ee14a6503c977478ef58231ea6a7594b74.jpg?v=1787245060" TargetMode="External" Id="rId6"/><Relationship Type="http://schemas.openxmlformats.org/officeDocument/2006/relationships/hyperlink" Target="https://cdn.shopify.com/s/files/1/0792/5098/1063/files/c984571acb2f3980f36ff7c0c2cd8b352ad28431a5ec2b0622f73043cee9eb5c.jpg?v=1787245061" TargetMode="External" Id="rId7"/><Relationship Type="http://schemas.openxmlformats.org/officeDocument/2006/relationships/hyperlink" Target="https://cdn.shopify.com/s/files/1/0792/5098/1063/files/c984571acb2f3980f36ff7c0c2cd8b352ad28431a5ec2b0622f73043cee9eb5c.jpg?v=1787245061" TargetMode="External" Id="rId8"/><Relationship Type="http://schemas.openxmlformats.org/officeDocument/2006/relationships/hyperlink" Target="https://cdn.shopify.com/s/files/1/0792/5098/1063/files/8aebb0f337155634b04127c72aa11000c2e87df088938892ded1541c977658ad.jpg?v=1787245060" TargetMode="External" Id="rId9"/><Relationship Type="http://schemas.openxmlformats.org/officeDocument/2006/relationships/hyperlink" Target="https://cdn.shopify.com/s/files/1/0792/5098/1063/files/8aebb0f337155634b04127c72aa11000c2e87df088938892ded1541c977658ad.jpg?v=1787245060" TargetMode="External" Id="rId10"/><Relationship Type="http://schemas.openxmlformats.org/officeDocument/2006/relationships/hyperlink" Target="https://cdn.shopify.com/s/files/1/0792/5098/1063/files/b5c74b68d1b4eff2209b7123e3fbe61d1e31afd73aa5ba647e17c194e2e66c44_7a1645c1-60e0-4a89-9882-ea83eb4825db.jpg?v=1787245060" TargetMode="External" Id="rId11"/><Relationship Type="http://schemas.openxmlformats.org/officeDocument/2006/relationships/hyperlink" Target="https://cdn.shopify.com/s/files/1/0792/5098/1063/files/b5c74b68d1b4eff2209b7123e3fbe61d1e31afd73aa5ba647e17c194e2e66c44_7a1645c1-60e0-4a89-9882-ea83eb4825db.jpg?v=1787245060" TargetMode="External" Id="rId12"/><Relationship Type="http://schemas.openxmlformats.org/officeDocument/2006/relationships/hyperlink" Target="https://cdn.shopify.com/s/files/1/0792/5098/1063/files/a0ebf0c8e5cb1f2c8f924529805ea1d20494460dd41a740514b8862f5d5a2f4f_8e8168de-4c19-461b-89da-d2d6790fe716.jpg?v=1787245060" TargetMode="External" Id="rId13"/><Relationship Type="http://schemas.openxmlformats.org/officeDocument/2006/relationships/hyperlink" Target="https://cdn.shopify.com/s/files/1/0792/5098/1063/files/a0ebf0c8e5cb1f2c8f924529805ea1d20494460dd41a740514b8862f5d5a2f4f_8e8168de-4c19-461b-89da-d2d6790fe716.jpg?v=1787245060" TargetMode="External" Id="rId14"/><Relationship Type="http://schemas.openxmlformats.org/officeDocument/2006/relationships/hyperlink" Target="https://cdn.shopify.com/s/files/1/0792/5098/1063/files/58c2f7d5cb4a34fd2f14dce9abbae66701891763c79e8df2e2cb4f1838949b16.jpg?v=1787245101" TargetMode="External" Id="rId15"/><Relationship Type="http://schemas.openxmlformats.org/officeDocument/2006/relationships/hyperlink" Target="https://cdn.shopify.com/s/files/1/0792/5098/1063/files/58c2f7d5cb4a34fd2f14dce9abbae66701891763c79e8df2e2cb4f1838949b16.jpg?v=1787245101" TargetMode="External" Id="rId16"/><Relationship Type="http://schemas.openxmlformats.org/officeDocument/2006/relationships/hyperlink" Target="https://cdn.shopify.com/s/files/1/0792/5098/1063/files/229cb45670a4319aa2b878f45acb729168a0652318cd8ac8ccbffc6383ec0b33.jpg?v=1787245101" TargetMode="External" Id="rId17"/><Relationship Type="http://schemas.openxmlformats.org/officeDocument/2006/relationships/hyperlink" Target="https://cdn.shopify.com/s/files/1/0792/5098/1063/files/229cb45670a4319aa2b878f45acb729168a0652318cd8ac8ccbffc6383ec0b33.jpg?v=1787245101" TargetMode="External" Id="rId18"/><Relationship Type="http://schemas.openxmlformats.org/officeDocument/2006/relationships/hyperlink" Target="https://cdn.shopify.com/s/files/1/0792/5098/1063/files/a7edb0efc97314bae6e78deb306f65e19cbf172393239636cc604cd9aad34f12.jpg?v=1787245101" TargetMode="External" Id="rId19"/><Relationship Type="http://schemas.openxmlformats.org/officeDocument/2006/relationships/hyperlink" Target="https://cdn.shopify.com/s/files/1/0792/5098/1063/files/a7edb0efc97314bae6e78deb306f65e19cbf172393239636cc604cd9aad34f12.jpg?v=1787245101" TargetMode="External" Id="rId20"/><Relationship Type="http://schemas.openxmlformats.org/officeDocument/2006/relationships/hyperlink" Target="https://cdn.shopify.com/s/files/1/0792/5098/1063/files/738e23da562ff8fe5bbf13fcf1e0024f2ce5b4f2917c1351c5a737f2ee6de5ae.jpg?v=1787245101" TargetMode="External" Id="rId21"/><Relationship Type="http://schemas.openxmlformats.org/officeDocument/2006/relationships/hyperlink" Target="https://cdn.shopify.com/s/files/1/0792/5098/1063/files/738e23da562ff8fe5bbf13fcf1e0024f2ce5b4f2917c1351c5a737f2ee6de5ae.jpg?v=1787245101" TargetMode="External" Id="rId22"/><Relationship Type="http://schemas.openxmlformats.org/officeDocument/2006/relationships/hyperlink" Target="https://cdn.shopify.com/s/files/1/0792/5098/1063/files/01d72427c1cb10ef68299a22f733b43117af5e7c41fbc6ff5e9bcbb4bf5363b8.jpg?v=1787245101" TargetMode="External" Id="rId23"/><Relationship Type="http://schemas.openxmlformats.org/officeDocument/2006/relationships/hyperlink" Target="https://cdn.shopify.com/s/files/1/0792/5098/1063/files/01d72427c1cb10ef68299a22f733b43117af5e7c41fbc6ff5e9bcbb4bf5363b8.jpg?v=1787245101" TargetMode="External" Id="rId24"/><Relationship Type="http://schemas.openxmlformats.org/officeDocument/2006/relationships/hyperlink" Target="https://cdn.shopify.com/s/files/1/0792/5098/1063/files/b5c74b68d1b4eff2209b7123e3fbe61d1e31afd73aa5ba647e17c194e2e66c44_8b5761a0-488d-4a49-850c-a686d964eb6c.jpg?v=1787245101" TargetMode="External" Id="rId25"/><Relationship Type="http://schemas.openxmlformats.org/officeDocument/2006/relationships/hyperlink" Target="https://cdn.shopify.com/s/files/1/0792/5098/1063/files/b5c74b68d1b4eff2209b7123e3fbe61d1e31afd73aa5ba647e17c194e2e66c44_8b5761a0-488d-4a49-850c-a686d964eb6c.jpg?v=1787245101" TargetMode="External" Id="rId26"/><Relationship Type="http://schemas.openxmlformats.org/officeDocument/2006/relationships/hyperlink" Target="https://cdn.shopify.com/s/files/1/0792/5098/1063/files/a0ebf0c8e5cb1f2c8f924529805ea1d20494460dd41a740514b8862f5d5a2f4f_5f22c7fa-dfb9-4771-88f4-1e97338dbc1f.jpg?v=1787245101" TargetMode="External" Id="rId27"/><Relationship Type="http://schemas.openxmlformats.org/officeDocument/2006/relationships/hyperlink" Target="https://cdn.shopify.com/s/files/1/0792/5098/1063/files/a0ebf0c8e5cb1f2c8f924529805ea1d20494460dd41a740514b8862f5d5a2f4f_5f22c7fa-dfb9-4771-88f4-1e97338dbc1f.jpg?v=1787245101" TargetMode="External" Id="rId28"/><Relationship Type="http://schemas.openxmlformats.org/officeDocument/2006/relationships/hyperlink" Target="https://cdn.shopify.com/s/files/1/0792/5098/1063/files/e9eb229020d1f2bc1779b9100e2cb371b101afe738a616a51db6126306a8e259.jpg?v=1787245055" TargetMode="External" Id="rId29"/><Relationship Type="http://schemas.openxmlformats.org/officeDocument/2006/relationships/hyperlink" Target="https://cdn.shopify.com/s/files/1/0792/5098/1063/files/e9eb229020d1f2bc1779b9100e2cb371b101afe738a616a51db6126306a8e259.jpg?v=1787245055" TargetMode="External" Id="rId30"/><Relationship Type="http://schemas.openxmlformats.org/officeDocument/2006/relationships/hyperlink" Target="https://cdn.shopify.com/s/files/1/0792/5098/1063/files/771ce2d8bddd2fc58174d41ac28a36d2d07208d5ea19b07d27e70b0d89ce18e1.jpg?v=1787245055" TargetMode="External" Id="rId31"/><Relationship Type="http://schemas.openxmlformats.org/officeDocument/2006/relationships/hyperlink" Target="https://cdn.shopify.com/s/files/1/0792/5098/1063/files/771ce2d8bddd2fc58174d41ac28a36d2d07208d5ea19b07d27e70b0d89ce18e1.jpg?v=1787245055" TargetMode="External" Id="rId32"/><Relationship Type="http://schemas.openxmlformats.org/officeDocument/2006/relationships/hyperlink" Target="https://cdn.shopify.com/s/files/1/0792/5098/1063/files/a30ef881d205e5ab13d1aae3041c52142e04db3cbe6ad29d3abcbe949e70ec7a.jpg?v=1787245055" TargetMode="External" Id="rId33"/><Relationship Type="http://schemas.openxmlformats.org/officeDocument/2006/relationships/hyperlink" Target="https://cdn.shopify.com/s/files/1/0792/5098/1063/files/a30ef881d205e5ab13d1aae3041c52142e04db3cbe6ad29d3abcbe949e70ec7a.jpg?v=1787245055" TargetMode="External" Id="rId34"/><Relationship Type="http://schemas.openxmlformats.org/officeDocument/2006/relationships/hyperlink" Target="https://cdn.shopify.com/s/files/1/0792/5098/1063/files/5c0206fb2e317bc66a3a0a3e5e42bcca88753ba50332255290f156cca3cc6e89.jpg?v=1787245055" TargetMode="External" Id="rId35"/><Relationship Type="http://schemas.openxmlformats.org/officeDocument/2006/relationships/hyperlink" Target="https://cdn.shopify.com/s/files/1/0792/5098/1063/files/5c0206fb2e317bc66a3a0a3e5e42bcca88753ba50332255290f156cca3cc6e89.jpg?v=1787245055" TargetMode="External" Id="rId36"/><Relationship Type="http://schemas.openxmlformats.org/officeDocument/2006/relationships/hyperlink" Target="https://cdn.shopify.com/s/files/1/0792/5098/1063/files/af034b872aaa0a051dc35f712c51dc6df17a7e259cbe52564b50b19babf9854e.jpg?v=1787245055" TargetMode="External" Id="rId37"/><Relationship Type="http://schemas.openxmlformats.org/officeDocument/2006/relationships/hyperlink" Target="https://cdn.shopify.com/s/files/1/0792/5098/1063/files/af034b872aaa0a051dc35f712c51dc6df17a7e259cbe52564b50b19babf9854e.jpg?v=1787245055" TargetMode="External" Id="rId38"/><Relationship Type="http://schemas.openxmlformats.org/officeDocument/2006/relationships/hyperlink" Target="https://cdn.shopify.com/s/files/1/0792/5098/1063/files/b5c74b68d1b4eff2209b7123e3fbe61d1e31afd73aa5ba647e17c194e2e66c44_bddb065c-22b0-471d-bcd3-9eab656c6384.jpg?v=1787245055" TargetMode="External" Id="rId39"/><Relationship Type="http://schemas.openxmlformats.org/officeDocument/2006/relationships/hyperlink" Target="https://cdn.shopify.com/s/files/1/0792/5098/1063/files/b5c74b68d1b4eff2209b7123e3fbe61d1e31afd73aa5ba647e17c194e2e66c44_bddb065c-22b0-471d-bcd3-9eab656c6384.jpg?v=1787245055" TargetMode="External" Id="rId40"/><Relationship Type="http://schemas.openxmlformats.org/officeDocument/2006/relationships/hyperlink" Target="https://cdn.shopify.com/s/files/1/0792/5098/1063/files/a0ebf0c8e5cb1f2c8f924529805ea1d20494460dd41a740514b8862f5d5a2f4f_8518a8b6-37d8-46fb-8c8c-4eadafbb10f4.jpg?v=1787245055" TargetMode="External" Id="rId41"/><Relationship Type="http://schemas.openxmlformats.org/officeDocument/2006/relationships/hyperlink" Target="https://cdn.shopify.com/s/files/1/0792/5098/1063/files/a0ebf0c8e5cb1f2c8f924529805ea1d20494460dd41a740514b8862f5d5a2f4f_8518a8b6-37d8-46fb-8c8c-4eadafbb10f4.jpg?v=1787245055" TargetMode="External" Id="rId42"/><Relationship Type="http://schemas.openxmlformats.org/officeDocument/2006/relationships/hyperlink" Target="https://cdn.shopify.com/s/files/1/0792/5098/1063/files/26eb896c5342e73633f09030262d7cd53341b53471814d45f57c4a53cd757f36.jpg?v=1787245038" TargetMode="External" Id="rId43"/><Relationship Type="http://schemas.openxmlformats.org/officeDocument/2006/relationships/hyperlink" Target="https://cdn.shopify.com/s/files/1/0792/5098/1063/files/26eb896c5342e73633f09030262d7cd53341b53471814d45f57c4a53cd757f36.jpg?v=1787245038" TargetMode="External" Id="rId44"/><Relationship Type="http://schemas.openxmlformats.org/officeDocument/2006/relationships/hyperlink" Target="https://cdn.shopify.com/s/files/1/0792/5098/1063/files/3994783df03039a2e8eef73a64e7b4a3c318bda1959ead110b1516247d42bc1d.jpg?v=1787245038" TargetMode="External" Id="rId45"/><Relationship Type="http://schemas.openxmlformats.org/officeDocument/2006/relationships/hyperlink" Target="https://cdn.shopify.com/s/files/1/0792/5098/1063/files/3994783df03039a2e8eef73a64e7b4a3c318bda1959ead110b1516247d42bc1d.jpg?v=1787245038" TargetMode="External" Id="rId46"/><Relationship Type="http://schemas.openxmlformats.org/officeDocument/2006/relationships/hyperlink" Target="https://cdn.shopify.com/s/files/1/0792/5098/1063/files/ded7a16d8854216045c42ef8e9f2315c8edbca9543a6e8f4f42d617ac2b7dee9.jpg?v=1787245038" TargetMode="External" Id="rId47"/><Relationship Type="http://schemas.openxmlformats.org/officeDocument/2006/relationships/hyperlink" Target="https://cdn.shopify.com/s/files/1/0792/5098/1063/files/ded7a16d8854216045c42ef8e9f2315c8edbca9543a6e8f4f42d617ac2b7dee9.jpg?v=1787245038" TargetMode="External" Id="rId48"/><Relationship Type="http://schemas.openxmlformats.org/officeDocument/2006/relationships/hyperlink" Target="https://cdn.shopify.com/s/files/1/0792/5098/1063/files/517fc6cc9181b8c4428d2b4f40fc73b8495aff64ad01a5c33b5cbe7c6e898b40.jpg?v=1787245038" TargetMode="External" Id="rId49"/><Relationship Type="http://schemas.openxmlformats.org/officeDocument/2006/relationships/hyperlink" Target="https://cdn.shopify.com/s/files/1/0792/5098/1063/files/517fc6cc9181b8c4428d2b4f40fc73b8495aff64ad01a5c33b5cbe7c6e898b40.jpg?v=1787245038" TargetMode="External" Id="rId50"/><Relationship Type="http://schemas.openxmlformats.org/officeDocument/2006/relationships/hyperlink" Target="https://cdn.shopify.com/s/files/1/0792/5098/1063/files/dd36ed3e788b7ed9d474b3e0773434d12de0da404bf870267a0eb6383474106b.jpg?v=1787245038" TargetMode="External" Id="rId51"/><Relationship Type="http://schemas.openxmlformats.org/officeDocument/2006/relationships/hyperlink" Target="https://cdn.shopify.com/s/files/1/0792/5098/1063/files/dd36ed3e788b7ed9d474b3e0773434d12de0da404bf870267a0eb6383474106b.jpg?v=1787245038" TargetMode="External" Id="rId52"/><Relationship Type="http://schemas.openxmlformats.org/officeDocument/2006/relationships/hyperlink" Target="https://cdn.shopify.com/s/files/1/0792/5098/1063/files/b5c74b68d1b4eff2209b7123e3fbe61d1e31afd73aa5ba647e17c194e2e66c44.jpg?v=1787245038" TargetMode="External" Id="rId53"/><Relationship Type="http://schemas.openxmlformats.org/officeDocument/2006/relationships/hyperlink" Target="https://cdn.shopify.com/s/files/1/0792/5098/1063/files/b5c74b68d1b4eff2209b7123e3fbe61d1e31afd73aa5ba647e17c194e2e66c44.jpg?v=1787245038" TargetMode="External" Id="rId54"/><Relationship Type="http://schemas.openxmlformats.org/officeDocument/2006/relationships/hyperlink" Target="https://cdn.shopify.com/s/files/1/0792/5098/1063/files/a0ebf0c8e5cb1f2c8f924529805ea1d20494460dd41a740514b8862f5d5a2f4f.jpg?v=1787245038" TargetMode="External" Id="rId55"/><Relationship Type="http://schemas.openxmlformats.org/officeDocument/2006/relationships/hyperlink" Target="https://cdn.shopify.com/s/files/1/0792/5098/1063/files/a0ebf0c8e5cb1f2c8f924529805ea1d20494460dd41a740514b8862f5d5a2f4f.jpg?v=1787245038" TargetMode="External" Id="rId56"/><Relationship Type="http://schemas.openxmlformats.org/officeDocument/2006/relationships/hyperlink" Target="https://cdn.shopify.com/s/files/1/0792/5098/1063/files/26eb896c5342e73633f09030262d7cd53341b53471814d45f57c4a53cd757f36_21fd67c6-e566-4c0b-b897-98c4a3b67bf7.jpg?v=1787245121" TargetMode="External" Id="rId57"/><Relationship Type="http://schemas.openxmlformats.org/officeDocument/2006/relationships/hyperlink" Target="https://cdn.shopify.com/s/files/1/0792/5098/1063/files/26eb896c5342e73633f09030262d7cd53341b53471814d45f57c4a53cd757f36_21fd67c6-e566-4c0b-b897-98c4a3b67bf7.jpg?v=1787245121" TargetMode="External" Id="rId58"/><Relationship Type="http://schemas.openxmlformats.org/officeDocument/2006/relationships/hyperlink" Target="https://cdn.shopify.com/s/files/1/0792/5098/1063/files/3994783df03039a2e8eef73a64e7b4a3c318bda1959ead110b1516247d42bc1d_a1c45a54-e83e-456d-a157-9c86e9de474d.jpg?v=1787245121" TargetMode="External" Id="rId59"/><Relationship Type="http://schemas.openxmlformats.org/officeDocument/2006/relationships/hyperlink" Target="https://cdn.shopify.com/s/files/1/0792/5098/1063/files/3994783df03039a2e8eef73a64e7b4a3c318bda1959ead110b1516247d42bc1d_a1c45a54-e83e-456d-a157-9c86e9de474d.jpg?v=1787245121" TargetMode="External" Id="rId60"/><Relationship Type="http://schemas.openxmlformats.org/officeDocument/2006/relationships/hyperlink" Target="https://cdn.shopify.com/s/files/1/0792/5098/1063/files/ded7a16d8854216045c42ef8e9f2315c8edbca9543a6e8f4f42d617ac2b7dee9_abe60063-23a8-4aa9-a459-9ab5c3947370.jpg?v=1787245121" TargetMode="External" Id="rId61"/><Relationship Type="http://schemas.openxmlformats.org/officeDocument/2006/relationships/hyperlink" Target="https://cdn.shopify.com/s/files/1/0792/5098/1063/files/ded7a16d8854216045c42ef8e9f2315c8edbca9543a6e8f4f42d617ac2b7dee9_abe60063-23a8-4aa9-a459-9ab5c3947370.jpg?v=1787245121" TargetMode="External" Id="rId62"/><Relationship Type="http://schemas.openxmlformats.org/officeDocument/2006/relationships/hyperlink" Target="https://cdn.shopify.com/s/files/1/0792/5098/1063/files/517fc6cc9181b8c4428d2b4f40fc73b8495aff64ad01a5c33b5cbe7c6e898b40_d80c129b-559b-45ce-819f-25506cd2aa15.jpg?v=1787245121" TargetMode="External" Id="rId63"/><Relationship Type="http://schemas.openxmlformats.org/officeDocument/2006/relationships/hyperlink" Target="https://cdn.shopify.com/s/files/1/0792/5098/1063/files/517fc6cc9181b8c4428d2b4f40fc73b8495aff64ad01a5c33b5cbe7c6e898b40_d80c129b-559b-45ce-819f-25506cd2aa15.jpg?v=1787245121" TargetMode="External" Id="rId64"/><Relationship Type="http://schemas.openxmlformats.org/officeDocument/2006/relationships/hyperlink" Target="https://cdn.shopify.com/s/files/1/0792/5098/1063/files/dd36ed3e788b7ed9d474b3e0773434d12de0da404bf870267a0eb6383474106b_bb4ba956-5937-4aa7-a673-00f3cc88131e.jpg?v=1787245121" TargetMode="External" Id="rId65"/><Relationship Type="http://schemas.openxmlformats.org/officeDocument/2006/relationships/hyperlink" Target="https://cdn.shopify.com/s/files/1/0792/5098/1063/files/dd36ed3e788b7ed9d474b3e0773434d12de0da404bf870267a0eb6383474106b_bb4ba956-5937-4aa7-a673-00f3cc88131e.jpg?v=1787245121" TargetMode="External" Id="rId66"/><Relationship Type="http://schemas.openxmlformats.org/officeDocument/2006/relationships/hyperlink" Target="https://cdn.shopify.com/s/files/1/0792/5098/1063/files/b5c74b68d1b4eff2209b7123e3fbe61d1e31afd73aa5ba647e17c194e2e66c44_a1cda676-2e7d-46cb-9f0d-d17966f3ac62.jpg?v=1787245121" TargetMode="External" Id="rId67"/><Relationship Type="http://schemas.openxmlformats.org/officeDocument/2006/relationships/hyperlink" Target="https://cdn.shopify.com/s/files/1/0792/5098/1063/files/b5c74b68d1b4eff2209b7123e3fbe61d1e31afd73aa5ba647e17c194e2e66c44_a1cda676-2e7d-46cb-9f0d-d17966f3ac62.jpg?v=1787245121" TargetMode="External" Id="rId68"/><Relationship Type="http://schemas.openxmlformats.org/officeDocument/2006/relationships/hyperlink" Target="https://cdn.shopify.com/s/files/1/0792/5098/1063/files/a0ebf0c8e5cb1f2c8f924529805ea1d20494460dd41a740514b8862f5d5a2f4f_7e4ffdb8-3745-4fb5-8f91-dc68d062e2c5.jpg?v=1787245121" TargetMode="External" Id="rId69"/><Relationship Type="http://schemas.openxmlformats.org/officeDocument/2006/relationships/hyperlink" Target="https://cdn.shopify.com/s/files/1/0792/5098/1063/files/a0ebf0c8e5cb1f2c8f924529805ea1d20494460dd41a740514b8862f5d5a2f4f_7e4ffdb8-3745-4fb5-8f91-dc68d062e2c5.jpg?v=1787245121" TargetMode="External" Id="rId70"/><Relationship Type="http://schemas.openxmlformats.org/officeDocument/2006/relationships/hyperlink" Target="https://cdn.shopify.com/s/files/1/0792/5098/1063/files/8bbc0950c2d593b255188b6eacb4c385b219460979b744e3ace1aded1dd8fdf2.jpg?v=1785047992" TargetMode="External" Id="rId71"/><Relationship Type="http://schemas.openxmlformats.org/officeDocument/2006/relationships/hyperlink" Target="https://cdn.shopify.com/s/files/1/0792/5098/1063/files/8bbc0950c2d593b255188b6eacb4c385b219460979b744e3ace1aded1dd8fdf2.jpg?v=1785047992" TargetMode="External" Id="rId72"/><Relationship Type="http://schemas.openxmlformats.org/officeDocument/2006/relationships/hyperlink" Target="https://cdn.shopify.com/s/files/1/0792/5098/1063/files/4f52ac9f037acbe258fee4afd491ad36915243fc2d475615742700a72d7f4f4d.jpg?v=1785047991" TargetMode="External" Id="rId73"/><Relationship Type="http://schemas.openxmlformats.org/officeDocument/2006/relationships/hyperlink" Target="https://cdn.shopify.com/s/files/1/0792/5098/1063/files/4f52ac9f037acbe258fee4afd491ad36915243fc2d475615742700a72d7f4f4d.jpg?v=1785047991" TargetMode="External" Id="rId74"/><Relationship Type="http://schemas.openxmlformats.org/officeDocument/2006/relationships/hyperlink" Target="https://cdn.shopify.com/s/files/1/0792/5098/1063/files/988fe5cac20039ac931d78c8e884a384841461234905389cd4ad49e403bf4f75.jpg?v=1785047992" TargetMode="External" Id="rId75"/><Relationship Type="http://schemas.openxmlformats.org/officeDocument/2006/relationships/hyperlink" Target="https://cdn.shopify.com/s/files/1/0792/5098/1063/files/988fe5cac20039ac931d78c8e884a384841461234905389cd4ad49e403bf4f75.jpg?v=1785047992" TargetMode="External" Id="rId76"/><Relationship Type="http://schemas.openxmlformats.org/officeDocument/2006/relationships/hyperlink" Target="https://cdn.shopify.com/s/files/1/0792/5098/1063/files/37467c3b01d4817171f483725fb34014bee4e55fad6d911e52cf444bf0784187.jpg?v=1785047991" TargetMode="External" Id="rId77"/><Relationship Type="http://schemas.openxmlformats.org/officeDocument/2006/relationships/hyperlink" Target="https://cdn.shopify.com/s/files/1/0792/5098/1063/files/37467c3b01d4817171f483725fb34014bee4e55fad6d911e52cf444bf0784187.jpg?v=1785047991" TargetMode="External" Id="rId78"/><Relationship Type="http://schemas.openxmlformats.org/officeDocument/2006/relationships/hyperlink" Target="https://cdn.shopify.com/s/files/1/0792/5098/1063/files/3cb9c6cd2f6273d975f044dcfbb72c066aeff805d9411e0a41c5c2c3d6adc577.jpg?v=1785047992" TargetMode="External" Id="rId79"/><Relationship Type="http://schemas.openxmlformats.org/officeDocument/2006/relationships/hyperlink" Target="https://cdn.shopify.com/s/files/1/0792/5098/1063/files/3cb9c6cd2f6273d975f044dcfbb72c066aeff805d9411e0a41c5c2c3d6adc577.jpg?v=1785047992" TargetMode="External" Id="rId80"/><Relationship Type="http://schemas.openxmlformats.org/officeDocument/2006/relationships/hyperlink" Target="https://cdn.shopify.com/s/files/1/0792/5098/1063/files/7849733d646255193a4855c883f3b918e45ec938d3642d99d699309429875588.jpg?v=1785047992" TargetMode="External" Id="rId81"/><Relationship Type="http://schemas.openxmlformats.org/officeDocument/2006/relationships/hyperlink" Target="https://cdn.shopify.com/s/files/1/0792/5098/1063/files/7849733d646255193a4855c883f3b918e45ec938d3642d99d699309429875588.jpg?v=1785047992" TargetMode="External" Id="rId82"/><Relationship Type="http://schemas.openxmlformats.org/officeDocument/2006/relationships/hyperlink" Target="https://cdn.shopify.com/s/files/1/0792/5098/1063/files/ebe6cc1793f7a994e4e4dc138d976f96296767d7cc7d8d895be36db207663b10.jpg?v=1785047992" TargetMode="External" Id="rId83"/><Relationship Type="http://schemas.openxmlformats.org/officeDocument/2006/relationships/hyperlink" Target="https://cdn.shopify.com/s/files/1/0792/5098/1063/files/ebe6cc1793f7a994e4e4dc138d976f96296767d7cc7d8d895be36db207663b10.jpg?v=1785047992" TargetMode="External" Id="rId84"/><Relationship Type="http://schemas.openxmlformats.org/officeDocument/2006/relationships/hyperlink" Target="https://cdn.shopify.com/s/files/1/0792/5098/1063/files/947e16eb6924808f97fc39212083dfc11bbc2b60832000a81204b6f5ebb0b2d8.jpg?v=1785099521" TargetMode="External" Id="rId85"/><Relationship Type="http://schemas.openxmlformats.org/officeDocument/2006/relationships/hyperlink" Target="https://cdn.shopify.com/s/files/1/0792/5098/1063/files/947e16eb6924808f97fc39212083dfc11bbc2b60832000a81204b6f5ebb0b2d8.jpg?v=1785099521" TargetMode="External" Id="rId86"/><Relationship Type="http://schemas.openxmlformats.org/officeDocument/2006/relationships/hyperlink" Target="https://cdn.shopify.com/s/files/1/0792/5098/1063/files/48fac73476b5f5180fb15b1df134cf2e6d122d025830ece4356d2109d9a66661.jpg?v=1785099521" TargetMode="External" Id="rId87"/><Relationship Type="http://schemas.openxmlformats.org/officeDocument/2006/relationships/hyperlink" Target="https://cdn.shopify.com/s/files/1/0792/5098/1063/files/48fac73476b5f5180fb15b1df134cf2e6d122d025830ece4356d2109d9a66661.jpg?v=1785099521" TargetMode="External" Id="rId88"/><Relationship Type="http://schemas.openxmlformats.org/officeDocument/2006/relationships/hyperlink" Target="https://cdn.shopify.com/s/files/1/0792/5098/1063/files/2dccff1885ad6dd740979eda7724eeef22039890fe3ad7b836dd7e3d36bce8e8.jpg?v=1785099521" TargetMode="External" Id="rId89"/><Relationship Type="http://schemas.openxmlformats.org/officeDocument/2006/relationships/hyperlink" Target="https://cdn.shopify.com/s/files/1/0792/5098/1063/files/2dccff1885ad6dd740979eda7724eeef22039890fe3ad7b836dd7e3d36bce8e8.jpg?v=1785099521" TargetMode="External" Id="rId90"/><Relationship Type="http://schemas.openxmlformats.org/officeDocument/2006/relationships/hyperlink" Target="https://cdn.shopify.com/s/files/1/0792/5098/1063/files/d4a0728c7e28188d79526e7362d765acb9e1b9f38ff7d6e35af39e078d998536.jpg?v=1785099521" TargetMode="External" Id="rId91"/><Relationship Type="http://schemas.openxmlformats.org/officeDocument/2006/relationships/hyperlink" Target="https://cdn.shopify.com/s/files/1/0792/5098/1063/files/d4a0728c7e28188d79526e7362d765acb9e1b9f38ff7d6e35af39e078d998536.jpg?v=1785099521" TargetMode="External" Id="rId92"/><Relationship Type="http://schemas.openxmlformats.org/officeDocument/2006/relationships/hyperlink" Target="https://cdn.shopify.com/s/files/1/0792/5098/1063/files/7264c8f84838b873992c6cc45408dabed8925c6431527d3529a0c866f2918464.jpg?v=1785099521" TargetMode="External" Id="rId93"/><Relationship Type="http://schemas.openxmlformats.org/officeDocument/2006/relationships/hyperlink" Target="https://cdn.shopify.com/s/files/1/0792/5098/1063/files/7264c8f84838b873992c6cc45408dabed8925c6431527d3529a0c866f2918464.jpg?v=1785099521" TargetMode="External" Id="rId94"/><Relationship Type="http://schemas.openxmlformats.org/officeDocument/2006/relationships/hyperlink" Target="https://cdn.shopify.com/s/files/1/0792/5098/1063/files/1ed094022a510d1930ad1bdca0a4095507b6051256b15201e3f8e37176714ca6.jpg?v=1785099625" TargetMode="External" Id="rId95"/><Relationship Type="http://schemas.openxmlformats.org/officeDocument/2006/relationships/hyperlink" Target="https://cdn.shopify.com/s/files/1/0792/5098/1063/files/1ed094022a510d1930ad1bdca0a4095507b6051256b15201e3f8e37176714ca6.jpg?v=1785099625" TargetMode="External" Id="rId96"/><Relationship Type="http://schemas.openxmlformats.org/officeDocument/2006/relationships/hyperlink" Target="https://cdn.shopify.com/s/files/1/0792/5098/1063/files/d5fe90d4b730e2a236ce598e9eccc7c82d43f85212d9f607db88487d5d7b28c8.jpg?v=1785099625" TargetMode="External" Id="rId97"/><Relationship Type="http://schemas.openxmlformats.org/officeDocument/2006/relationships/hyperlink" Target="https://cdn.shopify.com/s/files/1/0792/5098/1063/files/d5fe90d4b730e2a236ce598e9eccc7c82d43f85212d9f607db88487d5d7b28c8.jpg?v=1785099625" TargetMode="External" Id="rId98"/><Relationship Type="http://schemas.openxmlformats.org/officeDocument/2006/relationships/hyperlink" Target="https://cdn.shopify.com/s/files/1/0792/5098/1063/files/35e1e4a037fc9621f2e16aa3fb0a254fb342977a6e2d1032580954dd15ad756c.jpg?v=1785099625" TargetMode="External" Id="rId99"/><Relationship Type="http://schemas.openxmlformats.org/officeDocument/2006/relationships/hyperlink" Target="https://cdn.shopify.com/s/files/1/0792/5098/1063/files/35e1e4a037fc9621f2e16aa3fb0a254fb342977a6e2d1032580954dd15ad756c.jpg?v=1785099625" TargetMode="External" Id="rId100"/><Relationship Type="http://schemas.openxmlformats.org/officeDocument/2006/relationships/hyperlink" Target="https://cdn.shopify.com/s/files/1/0792/5098/1063/files/1a6ad3df8a2b8795e40e69564176ea97d60f06656398c584e39861aeb53159da.jpg?v=1785099625" TargetMode="External" Id="rId101"/><Relationship Type="http://schemas.openxmlformats.org/officeDocument/2006/relationships/hyperlink" Target="https://cdn.shopify.com/s/files/1/0792/5098/1063/files/1a6ad3df8a2b8795e40e69564176ea97d60f06656398c584e39861aeb53159da.jpg?v=1785099625" TargetMode="External" Id="rId102"/><Relationship Type="http://schemas.openxmlformats.org/officeDocument/2006/relationships/hyperlink" Target="https://cdn.shopify.com/s/files/1/0792/5098/1063/files/66228c0e133cfa4d81922fb5a9d9047c26bd914987208d5e722509b0542ef0eb.jpg?v=1785099625" TargetMode="External" Id="rId103"/><Relationship Type="http://schemas.openxmlformats.org/officeDocument/2006/relationships/hyperlink" Target="https://cdn.shopify.com/s/files/1/0792/5098/1063/files/66228c0e133cfa4d81922fb5a9d9047c26bd914987208d5e722509b0542ef0eb.jpg?v=1785099625" TargetMode="External" Id="rId104"/><Relationship Type="http://schemas.openxmlformats.org/officeDocument/2006/relationships/hyperlink" Target="https://cdn.shopify.com/s/files/1/0792/5098/1063/files/a7d533bd135fe7f47c558a3c6e1115f017b4b84bd401f77466f8f0b8e2c87cc0.jpg?v=1785099406" TargetMode="External" Id="rId105"/><Relationship Type="http://schemas.openxmlformats.org/officeDocument/2006/relationships/hyperlink" Target="https://cdn.shopify.com/s/files/1/0792/5098/1063/files/a7d533bd135fe7f47c558a3c6e1115f017b4b84bd401f77466f8f0b8e2c87cc0.jpg?v=1785099406" TargetMode="External" Id="rId106"/><Relationship Type="http://schemas.openxmlformats.org/officeDocument/2006/relationships/hyperlink" Target="https://cdn.shopify.com/s/files/1/0792/5098/1063/files/f13bdc67ae77d7580877474e2a602fe21f215bb388d6901eb2524f780df777b5.jpg?v=1785099406" TargetMode="External" Id="rId107"/><Relationship Type="http://schemas.openxmlformats.org/officeDocument/2006/relationships/hyperlink" Target="https://cdn.shopify.com/s/files/1/0792/5098/1063/files/f13bdc67ae77d7580877474e2a602fe21f215bb388d6901eb2524f780df777b5.jpg?v=1785099406" TargetMode="External" Id="rId108"/><Relationship Type="http://schemas.openxmlformats.org/officeDocument/2006/relationships/hyperlink" Target="https://cdn.shopify.com/s/files/1/0792/5098/1063/files/99da6765167e29adf0c46ba9a6839da918241411f82d6536c2e3f5d66b8212f4.jpg?v=1785099406" TargetMode="External" Id="rId109"/><Relationship Type="http://schemas.openxmlformats.org/officeDocument/2006/relationships/hyperlink" Target="https://cdn.shopify.com/s/files/1/0792/5098/1063/files/99da6765167e29adf0c46ba9a6839da918241411f82d6536c2e3f5d66b8212f4.jpg?v=1785099406" TargetMode="External" Id="rId110"/><Relationship Type="http://schemas.openxmlformats.org/officeDocument/2006/relationships/hyperlink" Target="https://cdn.shopify.com/s/files/1/0792/5098/1063/files/bac40deee2f526e68693e07fa0d0b95d19fbbf09c7e972b82c94382d2341c996.jpg?v=1785099406" TargetMode="External" Id="rId111"/><Relationship Type="http://schemas.openxmlformats.org/officeDocument/2006/relationships/hyperlink" Target="https://cdn.shopify.com/s/files/1/0792/5098/1063/files/bac40deee2f526e68693e07fa0d0b95d19fbbf09c7e972b82c94382d2341c996.jpg?v=1785099406" TargetMode="External" Id="rId112"/><Relationship Type="http://schemas.openxmlformats.org/officeDocument/2006/relationships/hyperlink" Target="https://cdn.shopify.com/s/files/1/0792/5098/1063/files/5e0d1c08967537d1b43a4a0780314fa2b213c10a311ce9ea427e94ae3dfd7c7e.jpg?v=1785099406" TargetMode="External" Id="rId113"/><Relationship Type="http://schemas.openxmlformats.org/officeDocument/2006/relationships/hyperlink" Target="https://cdn.shopify.com/s/files/1/0792/5098/1063/files/5e0d1c08967537d1b43a4a0780314fa2b213c10a311ce9ea427e94ae3dfd7c7e.jpg?v=1785099406" TargetMode="External" Id="rId1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42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notes</t>
        </is>
      </c>
    </row>
    <row r="2" ht="42" customHeight="1">
      <c r="A2" s="2" t="inlineStr">
        <is>
          <t>qa_run_id</t>
        </is>
      </c>
      <c r="B2" s="2" t="inlineStr">
        <is>
          <t>20260908_183309</t>
        </is>
      </c>
      <c r="C2" s="2" t="inlineStr">
        <is>
          <t>Independent QA run for batch 34 r3.</t>
        </is>
      </c>
    </row>
    <row r="3" ht="42" customHeight="1">
      <c r="A3" s="3" t="inlineStr">
        <is>
          <t>qa_batch_id</t>
        </is>
      </c>
      <c r="B3" s="3" t="inlineStr">
        <is>
          <t>qa_batch_034_r3</t>
        </is>
      </c>
      <c r="C3" s="3" t="inlineStr">
        <is>
          <t>Fixed scope inventory positions 331-338 only.</t>
        </is>
      </c>
    </row>
    <row r="4" ht="42" customHeight="1">
      <c r="A4" s="2" t="inlineStr">
        <is>
          <t>source_workbook</t>
        </is>
      </c>
      <c r="B4" s="2" t="inlineStr">
        <is>
          <t>D:\Shopify_Workspace\jeminise_seo\resutls\jeminise.com\20260906_234129\revisions\qa_batch_034_r3\SEO_Product_Optimization_qa_batch_034_r3.xlsx</t>
        </is>
      </c>
      <c r="C4" s="2" t="inlineStr">
        <is>
          <t>Source workbook was not edited.</t>
        </is>
      </c>
    </row>
    <row r="5" ht="42" customHeight="1">
      <c r="A5" s="3" t="inlineStr">
        <is>
          <t>source_sha256_start</t>
        </is>
      </c>
      <c r="B5" s="3" t="inlineStr">
        <is>
          <t>E8FF901F334297FAD3934DEA63775C95CF1BA9C5DFB1A80F7738B9C370EDC320</t>
        </is>
      </c>
      <c r="C5" s="3" t="inlineStr">
        <is>
          <t>Snapshot hash matched at start.</t>
        </is>
      </c>
    </row>
    <row r="6" ht="42" customHeight="1">
      <c r="A6" s="2" t="inlineStr">
        <is>
          <t>snapshot_workbook</t>
        </is>
      </c>
      <c r="B6" s="2" t="inlineStr">
        <is>
          <t>D:\Shopify_Workspace\jeminise_seo\seo_runs\jeminise.com\20260906_234129\qa\20260908_183309\source_snapshot\SEO_Product_Optimization_qa_batch_034_r3.xlsx</t>
        </is>
      </c>
      <c r="C6" s="2" t="inlineStr">
        <is>
          <t>Frozen copy used for QA.</t>
        </is>
      </c>
    </row>
    <row r="7" ht="42" customHeight="1">
      <c r="A7" s="3" t="inlineStr">
        <is>
          <t>snapshot_sha256</t>
        </is>
      </c>
      <c r="B7" s="3" t="inlineStr">
        <is>
          <t>E8FF901F334297FAD3934DEA63775C95CF1BA9C5DFB1A80F7738B9C370EDC320</t>
        </is>
      </c>
      <c r="C7" s="3" t="inlineStr">
        <is>
          <t>Must match source hash.</t>
        </is>
      </c>
    </row>
    <row r="8" ht="42" customHeight="1">
      <c r="A8" s="2" t="inlineStr">
        <is>
          <t>scope_counts</t>
        </is>
      </c>
      <c r="B8" s="2" t="inlineStr">
        <is>
          <t>8 products; 57/57 images; 32 keyword rows; 8 buyer rows; 8 evidence rows</t>
        </is>
      </c>
      <c r="C8" s="2" t="inlineStr">
        <is>
          <t>Image coverage 100%; no replacement products.</t>
        </is>
      </c>
    </row>
    <row r="9" ht="42" customHeight="1">
      <c r="A9" s="3" t="inlineStr">
        <is>
          <t>batch_final_score</t>
        </is>
      </c>
      <c r="B9" s="3">
        <f>AVERAGE('QA_Products'!$AA$2:$AA$9)</f>
        <v/>
      </c>
      <c r="C9" s="3" t="inlineStr">
        <is>
          <t>Average of product final scores; no incomplete product skipped.</t>
        </is>
      </c>
    </row>
    <row r="10" ht="42" customHeight="1">
      <c r="A10" s="2" t="inlineStr">
        <is>
          <t>batch_result</t>
        </is>
      </c>
      <c r="B10" s="2">
        <f>IF(COUNTIF('QA_Products'!$AB$2:$AB$9,"QA_PASS")=ROWS('QA_Products'!$AB$2:$AB$9),"PASSED","NOT_PASSED")</f>
        <v/>
      </c>
      <c r="C10" s="2" t="inlineStr">
        <is>
          <t>Not passed unless every product is QA_PASS.</t>
        </is>
      </c>
    </row>
    <row r="11" ht="42" customHeight="1">
      <c r="A11" s="3" t="inlineStr">
        <is>
          <t>status_counts</t>
        </is>
      </c>
      <c r="B11" s="3">
        <f>"PASS="&amp;COUNTIF('QA_Products'!$AB$2:$AB$9,"QA_PASS")&amp;"; REVISE="&amp;COUNTIF('QA_Products'!$AB$2:$AB$9,"QA_REVISE")&amp;"; FAIL="&amp;COUNTIF('QA_Products'!$AB$2:$AB$9,"QA_FAIL")&amp;"; INCOMPLETE="&amp;COUNTIF('QA_Products'!$AB$2:$AB$9,"QA_INCOMPLETE")</f>
        <v/>
      </c>
      <c r="C11" s="3" t="inlineStr">
        <is>
          <t>Rubric priority applied.</t>
        </is>
      </c>
    </row>
    <row r="12" ht="42" customHeight="1">
      <c r="A12" s="2" t="inlineStr">
        <is>
          <t>severity_counts</t>
        </is>
      </c>
      <c r="B12" s="2" t="inlineStr">
        <is>
          <t>CRITICAL=0; MAJOR=11; MINOR=6; LIMITATION=8</t>
        </is>
      </c>
      <c r="C12" s="2" t="inlineStr">
        <is>
          <t>Only open issues in this QA run.</t>
        </is>
      </c>
    </row>
    <row r="13" ht="42" customHeight="1">
      <c r="A13" s="3" t="inlineStr">
        <is>
          <t>serp_queries</t>
        </is>
      </c>
      <c r="B13" s="3" t="n">
        <v>16</v>
      </c>
      <c r="C13" s="3" t="inlineStr">
        <is>
          <t>Two queries per product, US/English, URLs read recorded in serp_evidence.json.</t>
        </is>
      </c>
    </row>
    <row r="14" ht="42" customHeight="1">
      <c r="A14" s="2" t="inlineStr">
        <is>
          <t>meta_description_policy</t>
        </is>
      </c>
      <c r="B14" s="2" t="inlineStr">
        <is>
          <t>145-165 is editorial guidance, not hard fail</t>
        </is>
      </c>
      <c r="C14" s="2" t="inlineStr">
        <is>
          <t>r3 meta descriptions are complete at 112-124 characters and were not penalized on length alone.</t>
        </is>
      </c>
    </row>
    <row r="15" ht="42" customHeight="1">
      <c r="A15" s="3" t="inlineStr">
        <is>
          <t>awaiting_confirmation</t>
        </is>
      </c>
      <c r="B15" s="3" t="b">
        <v>1</v>
      </c>
      <c r="C15" s="3" t="inlineStr">
        <is>
          <t>Stop after batch 34; do not QA another batch automatically.</t>
        </is>
      </c>
    </row>
  </sheetData>
  <autoFilter ref="A1:C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1" customWidth="1" min="3" max="3"/>
    <col width="20" customWidth="1" min="4" max="4"/>
    <col width="42" customWidth="1" min="5" max="5"/>
    <col width="15" customWidth="1" min="6" max="6"/>
    <col width="24" customWidth="1" min="7" max="7"/>
    <col width="38" customWidth="1" min="8" max="8"/>
    <col width="38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17" customWidth="1" min="15" max="15"/>
    <col width="18" customWidth="1" min="16" max="16"/>
    <col width="22" customWidth="1" min="17" max="17"/>
    <col width="16" customWidth="1" min="18" max="18"/>
    <col width="16" customWidth="1" min="19" max="19"/>
    <col width="24" customWidth="1" min="20" max="20"/>
    <col width="11" customWidth="1" min="21" max="21"/>
    <col width="24" customWidth="1" min="22" max="22"/>
    <col width="24" customWidth="1" min="23" max="23"/>
    <col width="24" customWidth="1" min="24" max="24"/>
    <col width="19" customWidth="1" min="25" max="25"/>
    <col width="19" customWidth="1" min="26" max="26"/>
    <col width="24" customWidth="1" min="27" max="27"/>
    <col width="20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42" customWidth="1" min="34" max="34"/>
    <col width="42" customWidth="1" min="35" max="35"/>
  </cols>
  <sheetData>
    <row r="1">
      <c r="A1" s="1" t="inlineStr">
        <is>
          <t>qa_run_id</t>
        </is>
      </c>
      <c r="B1" s="1" t="inlineStr">
        <is>
          <t>qa_batch_id</t>
        </is>
      </c>
      <c r="C1" s="1" t="inlineStr">
        <is>
          <t>revision</t>
        </is>
      </c>
      <c r="D1" s="1" t="inlineStr">
        <is>
          <t>inventory_position</t>
        </is>
      </c>
      <c r="E1" s="1" t="inlineStr">
        <is>
          <t>product_key</t>
        </is>
      </c>
      <c r="F1" s="1" t="inlineStr">
        <is>
          <t>product_id</t>
        </is>
      </c>
      <c r="G1" s="1" t="inlineStr">
        <is>
          <t>handle</t>
        </is>
      </c>
      <c r="H1" s="1" t="inlineStr">
        <is>
          <t>url</t>
        </is>
      </c>
      <c r="I1" s="1" t="inlineStr">
        <is>
          <t>canonical_url</t>
        </is>
      </c>
      <c r="J1" s="1" t="inlineStr">
        <is>
          <t>title_current</t>
        </is>
      </c>
      <c r="K1" s="1" t="inlineStr">
        <is>
          <t>title_proposed</t>
        </is>
      </c>
      <c r="L1" s="1" t="inlineStr">
        <is>
          <t>meta_title_seo</t>
        </is>
      </c>
      <c r="M1" s="1" t="inlineStr">
        <is>
          <t>meta_description_seo</t>
        </is>
      </c>
      <c r="N1" s="1" t="inlineStr">
        <is>
          <t>primary_keyword</t>
        </is>
      </c>
      <c r="O1" s="1" t="inlineStr">
        <is>
          <t>expected_images</t>
        </is>
      </c>
      <c r="P1" s="1" t="inlineStr">
        <is>
          <t>live_image_count</t>
        </is>
      </c>
      <c r="Q1" s="1" t="inlineStr">
        <is>
          <t>workbook_image_count</t>
        </is>
      </c>
      <c r="R1" s="1" t="inlineStr">
        <is>
          <t>images_checked</t>
        </is>
      </c>
      <c r="S1" s="1" t="inlineStr">
        <is>
          <t>image_coverage</t>
        </is>
      </c>
      <c r="T1" s="1" t="inlineStr">
        <is>
          <t>image_inventory_complete</t>
        </is>
      </c>
      <c r="U1" s="1" t="inlineStr">
        <is>
          <t>page_read</t>
        </is>
      </c>
      <c r="V1" s="1" t="inlineStr">
        <is>
          <t>customizer_evidence</t>
        </is>
      </c>
      <c r="W1" s="1" t="inlineStr">
        <is>
          <t>verified_points</t>
        </is>
      </c>
      <c r="X1" s="1" t="inlineStr">
        <is>
          <t>assessed_weight</t>
        </is>
      </c>
      <c r="Y1" s="1" t="inlineStr">
        <is>
          <t>score_lower_bound</t>
        </is>
      </c>
      <c r="Z1" s="1" t="inlineStr">
        <is>
          <t>score_upper_bound</t>
        </is>
      </c>
      <c r="AA1" s="1" t="inlineStr">
        <is>
          <t>final_score</t>
        </is>
      </c>
      <c r="AB1" s="1" t="inlineStr">
        <is>
          <t>qa_status</t>
        </is>
      </c>
      <c r="AC1" s="1" t="inlineStr">
        <is>
          <t>critical_count</t>
        </is>
      </c>
      <c r="AD1" s="1" t="inlineStr">
        <is>
          <t>major_count</t>
        </is>
      </c>
      <c r="AE1" s="1" t="inlineStr">
        <is>
          <t>minor_count</t>
        </is>
      </c>
      <c r="AF1" s="1" t="inlineStr">
        <is>
          <t>limitation_count</t>
        </is>
      </c>
      <c r="AG1" s="1" t="inlineStr">
        <is>
          <t>source_changed</t>
        </is>
      </c>
      <c r="AH1" s="1" t="inlineStr">
        <is>
          <t>evidence_refs</t>
        </is>
      </c>
      <c r="AI1" s="1" t="inlineStr">
        <is>
          <t>issue_refs</t>
        </is>
      </c>
    </row>
    <row r="2" ht="42" customHeight="1">
      <c r="A2" s="2" t="inlineStr">
        <is>
          <t>20260908_183309</t>
        </is>
      </c>
      <c r="B2" s="2" t="inlineStr">
        <is>
          <t>qa_batch_034_r3</t>
        </is>
      </c>
      <c r="C2" s="2" t="inlineStr">
        <is>
          <t>r3</t>
        </is>
      </c>
      <c r="D2" s="2" t="n">
        <v>331</v>
      </c>
      <c r="E2" s="2" t="inlineStr">
        <is>
          <t>jeminise.com+softball-themed-bedding-for-girls-and-women-bright-teal-yellow</t>
        </is>
      </c>
      <c r="F2" s="2" t="inlineStr">
        <is>
          <t>8867218489543</t>
        </is>
      </c>
      <c r="G2" s="2" t="inlineStr">
        <is>
          <t>softball-themed-bedding-for-girls-and-women-bright-teal-yellow</t>
        </is>
      </c>
      <c r="H2" s="4" t="inlineStr">
        <is>
          <t>https://jeminise.com/products/softball-themed-bedding-for-girls-and-women-bright-teal-yellow</t>
        </is>
      </c>
      <c r="I2" s="4" t="inlineStr">
        <is>
          <t>https://jeminise.com/products/softball-themed-bedding-for-girls-and-women-bright-teal-yellow</t>
        </is>
      </c>
      <c r="J2" s="2" t="inlineStr">
        <is>
          <t>Softball-Themed Bedding for Girls and Women – Bright Teal Yellow</t>
        </is>
      </c>
      <c r="K2" s="2" t="inlineStr">
        <is>
          <t>Vintage Yellow Softball Comforter Set</t>
        </is>
      </c>
      <c r="L2" s="2" t="inlineStr">
        <is>
          <t>Vintage Yellow Softball Comforter Set</t>
        </is>
      </c>
      <c r="M2" s="2" t="inlineStr">
        <is>
          <t>Shop vintage yellow softball comforter set with dark brown design, distressed softball, red stitching and number artwork.</t>
        </is>
      </c>
      <c r="N2" s="2" t="inlineStr">
        <is>
          <t>vintage yellow softball comforter set</t>
        </is>
      </c>
      <c r="O2" s="2" t="n">
        <v>7</v>
      </c>
      <c r="P2" s="2" t="n">
        <v>7</v>
      </c>
      <c r="Q2" s="2" t="n">
        <v>7</v>
      </c>
      <c r="R2" s="2" t="n">
        <v>7</v>
      </c>
      <c r="S2" s="5" t="n">
        <v>1</v>
      </c>
      <c r="T2" s="2" t="b">
        <v>1</v>
      </c>
      <c r="U2" s="2" t="b">
        <v>1</v>
      </c>
      <c r="V2" s="2" t="inlineStr">
        <is>
          <t>Custom Your Name (required, max 1000); Custom Your Number (required, max 1000)</t>
        </is>
      </c>
      <c r="W2" s="6">
        <f>SUMIF('QA_Criteria'!$D$2:$D$89,E2,'QA_Criteria'!$K$2:$K$89)</f>
        <v/>
      </c>
      <c r="X2" s="6">
        <f>SUMIF('QA_Criteria'!$D$2:$D$89,E2,'QA_Criteria'!$L$2:$L$89)</f>
        <v/>
      </c>
      <c r="Y2" s="6">
        <f>W2</f>
        <v/>
      </c>
      <c r="Z2" s="6">
        <f>W2+(100-X2)</f>
        <v/>
      </c>
      <c r="AA2" s="6">
        <f>IF(AND(X2=100,S2=1,T2=TRUE),W2,"")</f>
        <v/>
      </c>
      <c r="AB2" s="2">
        <f>IF(AC2&gt;0,"QA_FAIL",IF(AA2="","QA_INCOMPLETE",IF(AA2&lt;70,"QA_FAIL",IF(OR(AA2&lt;85,AD2&gt;0),"QA_REVISE","QA_PASS"))))</f>
        <v/>
      </c>
      <c r="AC2" s="2">
        <f>COUNTIFS('QA_Issues'!$B$2:$B$26,E2,'QA_Issues'!$E$2:$E$26,"CRITICAL")</f>
        <v/>
      </c>
      <c r="AD2" s="2">
        <f>COUNTIFS('QA_Issues'!$B$2:$B$26,E2,'QA_Issues'!$E$2:$E$26,"MAJOR")</f>
        <v/>
      </c>
      <c r="AE2" s="2">
        <f>COUNTIFS('QA_Issues'!$B$2:$B$26,E2,'QA_Issues'!$E$2:$E$26,"MINOR")</f>
        <v/>
      </c>
      <c r="AF2" s="2">
        <f>COUNTIFS('QA_Issues'!$B$2:$B$26,E2,'QA_Issues'!$E$2:$E$26,"LIMITATION")</f>
        <v/>
      </c>
      <c r="AG2" s="2" t="inlineStr">
        <is>
          <t>NO_MATERIAL_PRODUCT_DRIFT; static HTML fetched with SSL-unverified retry</t>
        </is>
      </c>
      <c r="AH2" s="2" t="inlineStr">
        <is>
          <t>D:\Shopify_Workspace\jeminise_seo\seo_runs\jeminise.com\20260906_234129\qa\20260908_183309\live\331_softball-themed-bedding-for-girls-and-women-bright-teal-yellow.js.json; D:\Shopify_Workspace\jeminise_seo\seo_runs\jeminise.com\20260906_234129\qa\20260908_183309\live\331_softball-themed-bedding-for-girls-and-women-bright-teal-yellow.html; D:\Shopify_Workspace\jeminise_seo\seo_runs\jeminise.com\20260906_234129\qa\20260908_183309\serp_evidence.json</t>
        </is>
      </c>
      <c r="AI2" s="2" t="inlineStr">
        <is>
          <t>ISS-034-331-K1-SERP-NICHE;ISS-034-331-K2-CLUSTER;ISS-034-331-D2-CUSTOMER-COPY;ISS-034-331-E1-REVISION-TRACE</t>
        </is>
      </c>
    </row>
    <row r="3" ht="42" customHeight="1">
      <c r="A3" s="3" t="inlineStr">
        <is>
          <t>20260908_183309</t>
        </is>
      </c>
      <c r="B3" s="3" t="inlineStr">
        <is>
          <t>qa_batch_034_r3</t>
        </is>
      </c>
      <c r="C3" s="3" t="inlineStr">
        <is>
          <t>r3</t>
        </is>
      </c>
      <c r="D3" s="3" t="n">
        <v>332</v>
      </c>
      <c r="E3" s="3" t="inlineStr">
        <is>
          <t>jeminise.com+sports-theme-softball-bedding-premium-teal-yellow-comforter-set-for</t>
        </is>
      </c>
      <c r="F3" s="3" t="inlineStr">
        <is>
          <t>8867219505351</t>
        </is>
      </c>
      <c r="G3" s="3" t="inlineStr">
        <is>
          <t>sports-theme-softball-bedding-premium-teal-yellow-comforter-set-for</t>
        </is>
      </c>
      <c r="H3" s="4" t="inlineStr">
        <is>
          <t>https://jeminise.com/products/sports-theme-softball-bedding-premium-teal-yellow-comforter-set-for</t>
        </is>
      </c>
      <c r="I3" s="4" t="inlineStr">
        <is>
          <t>https://jeminise.com/products/sports-theme-softball-bedding-premium-teal-yellow-comforter-set-for</t>
        </is>
      </c>
      <c r="J3" s="3" t="inlineStr">
        <is>
          <t>Sports Theme Softball Bedding – Premium Teal Yellow Comforter Set for</t>
        </is>
      </c>
      <c r="K3" s="3" t="inlineStr">
        <is>
          <t>Polka Dot Softball Comforter Set</t>
        </is>
      </c>
      <c r="L3" s="3" t="inlineStr">
        <is>
          <t>Polka Dot Softball Comforter Set</t>
        </is>
      </c>
      <c r="M3" s="3" t="inlineStr">
        <is>
          <t>Shop polka dot softball comforter set with black dots, teal stripe, paisley border, softball lettering and glove artwork.</t>
        </is>
      </c>
      <c r="N3" s="3" t="inlineStr">
        <is>
          <t>polka dot softball comforter set</t>
        </is>
      </c>
      <c r="O3" s="3" t="n">
        <v>7</v>
      </c>
      <c r="P3" s="3" t="n">
        <v>7</v>
      </c>
      <c r="Q3" s="3" t="n">
        <v>7</v>
      </c>
      <c r="R3" s="3" t="n">
        <v>7</v>
      </c>
      <c r="S3" s="7" t="n">
        <v>1</v>
      </c>
      <c r="T3" s="3" t="b">
        <v>1</v>
      </c>
      <c r="U3" s="3" t="b">
        <v>1</v>
      </c>
      <c r="V3" s="3" t="inlineStr">
        <is>
          <t>Custom Your Name (required, max 1000); Custom Your Number (required, max 1000)</t>
        </is>
      </c>
      <c r="W3" s="8">
        <f>SUMIF('QA_Criteria'!$D$2:$D$89,E3,'QA_Criteria'!$K$2:$K$89)</f>
        <v/>
      </c>
      <c r="X3" s="8">
        <f>SUMIF('QA_Criteria'!$D$2:$D$89,E3,'QA_Criteria'!$L$2:$L$89)</f>
        <v/>
      </c>
      <c r="Y3" s="8">
        <f>W3</f>
        <v/>
      </c>
      <c r="Z3" s="8">
        <f>W3+(100-X3)</f>
        <v/>
      </c>
      <c r="AA3" s="8">
        <f>IF(AND(X3=100,S3=1,T3=TRUE),W3,"")</f>
        <v/>
      </c>
      <c r="AB3" s="3">
        <f>IF(AC3&gt;0,"QA_FAIL",IF(AA3="","QA_INCOMPLETE",IF(AA3&lt;70,"QA_FAIL",IF(OR(AA3&lt;85,AD3&gt;0),"QA_REVISE","QA_PASS"))))</f>
        <v/>
      </c>
      <c r="AC3" s="3">
        <f>COUNTIFS('QA_Issues'!$B$2:$B$26,E3,'QA_Issues'!$E$2:$E$26,"CRITICAL")</f>
        <v/>
      </c>
      <c r="AD3" s="3">
        <f>COUNTIFS('QA_Issues'!$B$2:$B$26,E3,'QA_Issues'!$E$2:$E$26,"MAJOR")</f>
        <v/>
      </c>
      <c r="AE3" s="3">
        <f>COUNTIFS('QA_Issues'!$B$2:$B$26,E3,'QA_Issues'!$E$2:$E$26,"MINOR")</f>
        <v/>
      </c>
      <c r="AF3" s="3">
        <f>COUNTIFS('QA_Issues'!$B$2:$B$26,E3,'QA_Issues'!$E$2:$E$26,"LIMITATION")</f>
        <v/>
      </c>
      <c r="AG3" s="3" t="inlineStr">
        <is>
          <t>NO_MATERIAL_PRODUCT_DRIFT; static HTML fetched with SSL-unverified retry</t>
        </is>
      </c>
      <c r="AH3" s="3" t="inlineStr">
        <is>
          <t>D:\Shopify_Workspace\jeminise_seo\seo_runs\jeminise.com\20260906_234129\qa\20260908_183309\live\332_sports-theme-softball-bedding-premium-teal-yellow-comforter-set-for.js.json; D:\Shopify_Workspace\jeminise_seo\seo_runs\jeminise.com\20260906_234129\qa\20260908_183309\live\332_sports-theme-softball-bedding-premium-teal-yellow-comforter-set-for.html; D:\Shopify_Workspace\jeminise_seo\seo_runs\jeminise.com\20260906_234129\qa\20260908_183309\serp_evidence.json</t>
        </is>
      </c>
      <c r="AI3" s="3" t="inlineStr">
        <is>
          <t>ISS-034-332-K1-SERP-WEAK;ISS-034-332-D2-CUSTOMER-COPY;ISS-034-332-E1-REVISION-TRACE</t>
        </is>
      </c>
    </row>
    <row r="4" ht="42" customHeight="1">
      <c r="A4" s="2" t="inlineStr">
        <is>
          <t>20260908_183309</t>
        </is>
      </c>
      <c r="B4" s="2" t="inlineStr">
        <is>
          <t>qa_batch_034_r3</t>
        </is>
      </c>
      <c r="C4" s="2" t="inlineStr">
        <is>
          <t>r3</t>
        </is>
      </c>
      <c r="D4" s="2" t="n">
        <v>333</v>
      </c>
      <c r="E4" s="2" t="inlineStr">
        <is>
          <t>jeminise.com+teal-yellow-softball-comforter-set-vibrant-sports-bedroom-decor</t>
        </is>
      </c>
      <c r="F4" s="2" t="inlineStr">
        <is>
          <t>8867218424007</t>
        </is>
      </c>
      <c r="G4" s="2" t="inlineStr">
        <is>
          <t>teal-yellow-softball-comforter-set-vibrant-sports-bedroom-decor</t>
        </is>
      </c>
      <c r="H4" s="4" t="inlineStr">
        <is>
          <t>https://jeminise.com/products/teal-yellow-softball-comforter-set-vibrant-sports-bedroom-decor</t>
        </is>
      </c>
      <c r="I4" s="4" t="inlineStr">
        <is>
          <t>https://jeminise.com/products/teal-yellow-softball-comforter-set-vibrant-sports-bedroom-decor</t>
        </is>
      </c>
      <c r="J4" s="2" t="inlineStr">
        <is>
          <t>Teal &amp; Yellow Softball Comforter Set – Vibrant Sports Bedroom Decor</t>
        </is>
      </c>
      <c r="K4" s="2" t="inlineStr">
        <is>
          <t>Fireball Softball Comforter Set</t>
        </is>
      </c>
      <c r="L4" s="2" t="inlineStr">
        <is>
          <t>Fireball Softball Comforter Set</t>
        </is>
      </c>
      <c r="M4" s="2" t="inlineStr">
        <is>
          <t>Shop fireball softball comforter set with orange and blue design, glowing yellow softball, flame ring and number artwork.</t>
        </is>
      </c>
      <c r="N4" s="2" t="inlineStr">
        <is>
          <t>fireball softball comforter set</t>
        </is>
      </c>
      <c r="O4" s="2" t="n">
        <v>7</v>
      </c>
      <c r="P4" s="2" t="n">
        <v>7</v>
      </c>
      <c r="Q4" s="2" t="n">
        <v>7</v>
      </c>
      <c r="R4" s="2" t="n">
        <v>7</v>
      </c>
      <c r="S4" s="5" t="n">
        <v>1</v>
      </c>
      <c r="T4" s="2" t="b">
        <v>1</v>
      </c>
      <c r="U4" s="2" t="b">
        <v>1</v>
      </c>
      <c r="V4" s="2" t="inlineStr">
        <is>
          <t>Custom Your Name (required, max 1000); Custom Your Number (required, max 1000)</t>
        </is>
      </c>
      <c r="W4" s="6">
        <f>SUMIF('QA_Criteria'!$D$2:$D$89,E4,'QA_Criteria'!$K$2:$K$89)</f>
        <v/>
      </c>
      <c r="X4" s="6">
        <f>SUMIF('QA_Criteria'!$D$2:$D$89,E4,'QA_Criteria'!$L$2:$L$89)</f>
        <v/>
      </c>
      <c r="Y4" s="6">
        <f>W4</f>
        <v/>
      </c>
      <c r="Z4" s="6">
        <f>W4+(100-X4)</f>
        <v/>
      </c>
      <c r="AA4" s="6">
        <f>IF(AND(X4=100,S4=1,T4=TRUE),W4,"")</f>
        <v/>
      </c>
      <c r="AB4" s="2">
        <f>IF(AC4&gt;0,"QA_FAIL",IF(AA4="","QA_INCOMPLETE",IF(AA4&lt;70,"QA_FAIL",IF(OR(AA4&lt;85,AD4&gt;0),"QA_REVISE","QA_PASS"))))</f>
        <v/>
      </c>
      <c r="AC4" s="2">
        <f>COUNTIFS('QA_Issues'!$B$2:$B$26,E4,'QA_Issues'!$E$2:$E$26,"CRITICAL")</f>
        <v/>
      </c>
      <c r="AD4" s="2">
        <f>COUNTIFS('QA_Issues'!$B$2:$B$26,E4,'QA_Issues'!$E$2:$E$26,"MAJOR")</f>
        <v/>
      </c>
      <c r="AE4" s="2">
        <f>COUNTIFS('QA_Issues'!$B$2:$B$26,E4,'QA_Issues'!$E$2:$E$26,"MINOR")</f>
        <v/>
      </c>
      <c r="AF4" s="2">
        <f>COUNTIFS('QA_Issues'!$B$2:$B$26,E4,'QA_Issues'!$E$2:$E$26,"LIMITATION")</f>
        <v/>
      </c>
      <c r="AG4" s="2" t="inlineStr">
        <is>
          <t>NO_MATERIAL_PRODUCT_DRIFT; static HTML fetched with SSL-unverified retry</t>
        </is>
      </c>
      <c r="AH4" s="2" t="inlineStr">
        <is>
          <t>D:\Shopify_Workspace\jeminise_seo\seo_runs\jeminise.com\20260906_234129\qa\20260908_183309\live\333_teal-yellow-softball-comforter-set-vibrant-sports-bedroom-decor.js.json; D:\Shopify_Workspace\jeminise_seo\seo_runs\jeminise.com\20260906_234129\qa\20260908_183309\live\333_teal-yellow-softball-comforter-set-vibrant-sports-bedroom-decor.html; D:\Shopify_Workspace\jeminise_seo\seo_runs\jeminise.com\20260906_234129\qa\20260908_183309\serp_evidence.json</t>
        </is>
      </c>
      <c r="AI4" s="2" t="inlineStr">
        <is>
          <t>ISS-034-333-K1-SERP-NICHE;ISS-034-333-K2-CLUSTER;ISS-034-333-D2-CUSTOMER-COPY;ISS-034-333-E1-REVISION-TRACE</t>
        </is>
      </c>
    </row>
    <row r="5" ht="42" customHeight="1">
      <c r="A5" s="3" t="inlineStr">
        <is>
          <t>20260908_183309</t>
        </is>
      </c>
      <c r="B5" s="3" t="inlineStr">
        <is>
          <t>qa_batch_034_r3</t>
        </is>
      </c>
      <c r="C5" s="3" t="inlineStr">
        <is>
          <t>r3</t>
        </is>
      </c>
      <c r="D5" s="3" t="n">
        <v>334</v>
      </c>
      <c r="E5" s="3" t="inlineStr">
        <is>
          <t>jeminise.com+teal-yellow-softball-bedding-set-stylish-sports-bedroom-decor</t>
        </is>
      </c>
      <c r="F5" s="3" t="inlineStr">
        <is>
          <t>8867217965255</t>
        </is>
      </c>
      <c r="G5" s="3" t="inlineStr">
        <is>
          <t>teal-yellow-softball-bedding-set-stylish-sports-bedroom-decor</t>
        </is>
      </c>
      <c r="H5" s="4" t="inlineStr">
        <is>
          <t>https://jeminise.com/products/teal-yellow-softball-bedding-set-stylish-sports-bedroom-decor</t>
        </is>
      </c>
      <c r="I5" s="4" t="inlineStr">
        <is>
          <t>https://jeminise.com/products/teal-yellow-softball-bedding-set-stylish-sports-bedroom-decor</t>
        </is>
      </c>
      <c r="J5" s="3" t="inlineStr">
        <is>
          <t>Teal Yellow Softball Bedding Set – Stylish Sports Bedroom Decor</t>
        </is>
      </c>
      <c r="K5" s="3" t="inlineStr">
        <is>
          <t>Pink Glove Softball Comforter Set</t>
        </is>
      </c>
      <c r="L5" s="3" t="inlineStr">
        <is>
          <t>Pink Glove Softball Comforter Set</t>
        </is>
      </c>
      <c r="M5" s="3" t="inlineStr">
        <is>
          <t>Shop pink glove softball comforter set with pink and gray design, red glove, yellow softball and number artwork.</t>
        </is>
      </c>
      <c r="N5" s="3" t="inlineStr">
        <is>
          <t>pink glove softball comforter set</t>
        </is>
      </c>
      <c r="O5" s="3" t="n">
        <v>14</v>
      </c>
      <c r="P5" s="3" t="n">
        <v>14</v>
      </c>
      <c r="Q5" s="3" t="n">
        <v>14</v>
      </c>
      <c r="R5" s="3" t="n">
        <v>14</v>
      </c>
      <c r="S5" s="7" t="n">
        <v>1</v>
      </c>
      <c r="T5" s="3" t="b">
        <v>1</v>
      </c>
      <c r="U5" s="3" t="b">
        <v>1</v>
      </c>
      <c r="V5" s="3" t="inlineStr">
        <is>
          <t>Custom Your Name (required, max 1000); Custom Your Number (required, max 1000)</t>
        </is>
      </c>
      <c r="W5" s="8">
        <f>SUMIF('QA_Criteria'!$D$2:$D$89,E5,'QA_Criteria'!$K$2:$K$89)</f>
        <v/>
      </c>
      <c r="X5" s="8">
        <f>SUMIF('QA_Criteria'!$D$2:$D$89,E5,'QA_Criteria'!$L$2:$L$89)</f>
        <v/>
      </c>
      <c r="Y5" s="8">
        <f>W5</f>
        <v/>
      </c>
      <c r="Z5" s="8">
        <f>W5+(100-X5)</f>
        <v/>
      </c>
      <c r="AA5" s="8">
        <f>IF(AND(X5=100,S5=1,T5=TRUE),W5,"")</f>
        <v/>
      </c>
      <c r="AB5" s="3">
        <f>IF(AC5&gt;0,"QA_FAIL",IF(AA5="","QA_INCOMPLETE",IF(AA5&lt;70,"QA_FAIL",IF(OR(AA5&lt;85,AD5&gt;0),"QA_REVISE","QA_PASS"))))</f>
        <v/>
      </c>
      <c r="AC5" s="3">
        <f>COUNTIFS('QA_Issues'!$B$2:$B$26,E5,'QA_Issues'!$E$2:$E$26,"CRITICAL")</f>
        <v/>
      </c>
      <c r="AD5" s="3">
        <f>COUNTIFS('QA_Issues'!$B$2:$B$26,E5,'QA_Issues'!$E$2:$E$26,"MAJOR")</f>
        <v/>
      </c>
      <c r="AE5" s="3">
        <f>COUNTIFS('QA_Issues'!$B$2:$B$26,E5,'QA_Issues'!$E$2:$E$26,"MINOR")</f>
        <v/>
      </c>
      <c r="AF5" s="3">
        <f>COUNTIFS('QA_Issues'!$B$2:$B$26,E5,'QA_Issues'!$E$2:$E$26,"LIMITATION")</f>
        <v/>
      </c>
      <c r="AG5" s="3" t="inlineStr">
        <is>
          <t>NO_MATERIAL_PRODUCT_DRIFT; static HTML fetched with SSL-unverified retry</t>
        </is>
      </c>
      <c r="AH5" s="3" t="inlineStr">
        <is>
          <t>D:\Shopify_Workspace\jeminise_seo\seo_runs\jeminise.com\20260906_234129\qa\20260908_183309\live\334_teal-yellow-softball-bedding-set-stylish-sports-bedroom-decor.js.json; D:\Shopify_Workspace\jeminise_seo\seo_runs\jeminise.com\20260906_234129\qa\20260908_183309\live\334_teal-yellow-softball-bedding-set-stylish-sports-bedroom-decor.html; D:\Shopify_Workspace\jeminise_seo\seo_runs\jeminise.com\20260906_234129\qa\20260908_183309\serp_evidence.json</t>
        </is>
      </c>
      <c r="AI5" s="3" t="inlineStr">
        <is>
          <t>ISS-034-334-K2-CLUSTER;ISS-034-334-D2-CUSTOMER-COPY;ISS-034-334-E1-REVISION-TRACE;ISS-034-334-IMG-DUPLICATE-GALLERY</t>
        </is>
      </c>
    </row>
    <row r="6" ht="42" customHeight="1">
      <c r="A6" s="2" t="inlineStr">
        <is>
          <t>20260908_183309</t>
        </is>
      </c>
      <c r="B6" s="2" t="inlineStr">
        <is>
          <t>qa_batch_034_r3</t>
        </is>
      </c>
      <c r="C6" s="2" t="inlineStr">
        <is>
          <t>r3</t>
        </is>
      </c>
      <c r="D6" s="2" t="n">
        <v>335</v>
      </c>
      <c r="E6" s="2" t="inlineStr">
        <is>
          <t>jeminise.com+tree-of-life-with-celtic-knot-roots-quilt-set-and-celtic-knot-borders-9482d2b2f5-9482d2b2f5</t>
        </is>
      </c>
      <c r="F6" s="2" t="inlineStr">
        <is>
          <t>8833358856391</t>
        </is>
      </c>
      <c r="G6" s="2" t="inlineStr">
        <is>
          <t>tree-of-life-with-celtic-knot-roots-quilt-set-and-celtic-knot-borders-9482d2b2f5-9482d2b2f5</t>
        </is>
      </c>
      <c r="H6" s="4" t="inlineStr">
        <is>
          <t>https://jeminise.com/products/tree-of-life-with-celtic-knot-roots-quilt-set-and-celtic-knot-borders-9482d2b2f5-9482d2b2f5</t>
        </is>
      </c>
      <c r="I6" s="4" t="inlineStr">
        <is>
          <t>https://jeminise.com/products/tree-of-life-with-celtic-knot-roots-quilt-set-and-celtic-knot-borders-9482d2b2f5-9482d2b2f5</t>
        </is>
      </c>
      <c r="J6" s="2" t="inlineStr">
        <is>
          <t>Tree of Life with Celtic Knot Roots Quilt Set And Celtic Knot Borders</t>
        </is>
      </c>
      <c r="K6" s="2" t="inlineStr">
        <is>
          <t>Celtic Tree of Life Quilt Set</t>
        </is>
      </c>
      <c r="L6" s="2" t="inlineStr">
        <is>
          <t>Celtic Tree of Life Quilt Set</t>
        </is>
      </c>
      <c r="M6" s="2" t="inlineStr">
        <is>
          <t>Shop Celtic Tree of Life quilt set with earth tone artwork, green tree, exposed knot roots, hills and Celtic borders.</t>
        </is>
      </c>
      <c r="N6" s="2" t="inlineStr">
        <is>
          <t>Celtic Tree of Life quilt set</t>
        </is>
      </c>
      <c r="O6" s="2" t="n">
        <v>7</v>
      </c>
      <c r="P6" s="2" t="n">
        <v>7</v>
      </c>
      <c r="Q6" s="2" t="n">
        <v>7</v>
      </c>
      <c r="R6" s="2" t="n">
        <v>7</v>
      </c>
      <c r="S6" s="5" t="n">
        <v>1</v>
      </c>
      <c r="T6" s="2" t="b">
        <v>1</v>
      </c>
      <c r="U6" s="2" t="b">
        <v>1</v>
      </c>
      <c r="V6" s="2" t="inlineStr">
        <is>
          <t>Customize Your Quilt (optional, max 1000)</t>
        </is>
      </c>
      <c r="W6" s="6">
        <f>SUMIF('QA_Criteria'!$D$2:$D$89,E6,'QA_Criteria'!$K$2:$K$89)</f>
        <v/>
      </c>
      <c r="X6" s="6">
        <f>SUMIF('QA_Criteria'!$D$2:$D$89,E6,'QA_Criteria'!$L$2:$L$89)</f>
        <v/>
      </c>
      <c r="Y6" s="6">
        <f>W6</f>
        <v/>
      </c>
      <c r="Z6" s="6">
        <f>W6+(100-X6)</f>
        <v/>
      </c>
      <c r="AA6" s="6">
        <f>IF(AND(X6=100,S6=1,T6=TRUE),W6,"")</f>
        <v/>
      </c>
      <c r="AB6" s="2">
        <f>IF(AC6&gt;0,"QA_FAIL",IF(AA6="","QA_INCOMPLETE",IF(AA6&lt;70,"QA_FAIL",IF(OR(AA6&lt;85,AD6&gt;0),"QA_REVISE","QA_PASS"))))</f>
        <v/>
      </c>
      <c r="AC6" s="2">
        <f>COUNTIFS('QA_Issues'!$B$2:$B$26,E6,'QA_Issues'!$E$2:$E$26,"CRITICAL")</f>
        <v/>
      </c>
      <c r="AD6" s="2">
        <f>COUNTIFS('QA_Issues'!$B$2:$B$26,E6,'QA_Issues'!$E$2:$E$26,"MAJOR")</f>
        <v/>
      </c>
      <c r="AE6" s="2">
        <f>COUNTIFS('QA_Issues'!$B$2:$B$26,E6,'QA_Issues'!$E$2:$E$26,"MINOR")</f>
        <v/>
      </c>
      <c r="AF6" s="2">
        <f>COUNTIFS('QA_Issues'!$B$2:$B$26,E6,'QA_Issues'!$E$2:$E$26,"LIMITATION")</f>
        <v/>
      </c>
      <c r="AG6" s="2" t="inlineStr">
        <is>
          <t>NO_MATERIAL_PRODUCT_DRIFT; static HTML fetched with SSL-unverified retry</t>
        </is>
      </c>
      <c r="AH6" s="2" t="inlineStr">
        <is>
          <t>D:\Shopify_Workspace\jeminise_seo\seo_runs\jeminise.com\20260906_234129\qa\20260908_183309\live\335_tree-of-life-with-celtic-knot-roots-quilt-set-and-celtic-knot-borders-9482d2b2f5-9482d2b2f5.js.json; D:\Shopify_Workspace\jeminise_seo\seo_runs\jeminise.com\20260906_234129\qa\20260908_183309\live\335_tree-of-life-with-celtic-knot-roots-quilt-set-and-celtic-knot-borders-9482d2b2f5-9482d2b2f5.html; D:\Shopify_Workspace\jeminise_seo\seo_runs\jeminise.com\20260906_234129\qa\20260908_183309\serp_evidence.json</t>
        </is>
      </c>
      <c r="AI6" s="2" t="inlineStr">
        <is>
          <t>ISS-034-335-D2-CUSTOMER-COPY;ISS-034-335-E1-REVISION-TRACE</t>
        </is>
      </c>
    </row>
    <row r="7" ht="42" customHeight="1">
      <c r="A7" s="3" t="inlineStr">
        <is>
          <t>20260908_183309</t>
        </is>
      </c>
      <c r="B7" s="3" t="inlineStr">
        <is>
          <t>qa_batch_034_r3</t>
        </is>
      </c>
      <c r="C7" s="3" t="inlineStr">
        <is>
          <t>r3</t>
        </is>
      </c>
      <c r="D7" s="3" t="n">
        <v>336</v>
      </c>
      <c r="E7" s="3" t="inlineStr">
        <is>
          <t>jeminise.com+winter-cardinal-on-berry-branch-patchwork-christmas-quilt-43ecda62b6-43ecda62b6</t>
        </is>
      </c>
      <c r="F7" s="3" t="inlineStr">
        <is>
          <t>8834730787015</t>
        </is>
      </c>
      <c r="G7" s="3" t="inlineStr">
        <is>
          <t>winter-cardinal-on-berry-branch-patchwork-christmas-quilt-43ecda62b6-43ecda62b6</t>
        </is>
      </c>
      <c r="H7" s="4" t="inlineStr">
        <is>
          <t>https://jeminise.com/products/winter-cardinal-on-berry-branch-patchwork-christmas-quilt-43ecda62b6-43ecda62b6</t>
        </is>
      </c>
      <c r="I7" s="4" t="inlineStr">
        <is>
          <t>https://jeminise.com/products/winter-cardinal-on-berry-branch-patchwork-christmas-quilt-43ecda62b6-43ecda62b6</t>
        </is>
      </c>
      <c r="J7" s="3" t="inlineStr">
        <is>
          <t>Winter Cardinal on Berry Branch Patchwork Christmas Quilt</t>
        </is>
      </c>
      <c r="K7" s="3" t="inlineStr">
        <is>
          <t>Winter Cardinal Berry Branch Quilt</t>
        </is>
      </c>
      <c r="L7" s="3" t="inlineStr">
        <is>
          <t>Winter Cardinal Berry Branch Quilt</t>
        </is>
      </c>
      <c r="M7" s="3" t="inlineStr">
        <is>
          <t>Shop winter cardinal berry branch quilt with red cardinal, berry branches, blue-gray leaves and snowy watercolor background.</t>
        </is>
      </c>
      <c r="N7" s="3" t="inlineStr">
        <is>
          <t>winter cardinal berry branch quilt</t>
        </is>
      </c>
      <c r="O7" s="3" t="n">
        <v>5</v>
      </c>
      <c r="P7" s="3" t="n">
        <v>5</v>
      </c>
      <c r="Q7" s="3" t="n">
        <v>5</v>
      </c>
      <c r="R7" s="3" t="n">
        <v>5</v>
      </c>
      <c r="S7" s="7" t="n">
        <v>1</v>
      </c>
      <c r="T7" s="3" t="b">
        <v>1</v>
      </c>
      <c r="U7" s="3" t="b">
        <v>1</v>
      </c>
      <c r="V7" s="3" t="inlineStr">
        <is>
          <t>Customize Your Quilt (optional, max 1000)</t>
        </is>
      </c>
      <c r="W7" s="8">
        <f>SUMIF('QA_Criteria'!$D$2:$D$89,E7,'QA_Criteria'!$K$2:$K$89)</f>
        <v/>
      </c>
      <c r="X7" s="8">
        <f>SUMIF('QA_Criteria'!$D$2:$D$89,E7,'QA_Criteria'!$L$2:$L$89)</f>
        <v/>
      </c>
      <c r="Y7" s="8">
        <f>W7</f>
        <v/>
      </c>
      <c r="Z7" s="8">
        <f>W7+(100-X7)</f>
        <v/>
      </c>
      <c r="AA7" s="8">
        <f>IF(AND(X7=100,S7=1,T7=TRUE),W7,"")</f>
        <v/>
      </c>
      <c r="AB7" s="3">
        <f>IF(AC7&gt;0,"QA_FAIL",IF(AA7="","QA_INCOMPLETE",IF(AA7&lt;70,"QA_FAIL",IF(OR(AA7&lt;85,AD7&gt;0),"QA_REVISE","QA_PASS"))))</f>
        <v/>
      </c>
      <c r="AC7" s="3">
        <f>COUNTIFS('QA_Issues'!$B$2:$B$26,E7,'QA_Issues'!$E$2:$E$26,"CRITICAL")</f>
        <v/>
      </c>
      <c r="AD7" s="3">
        <f>COUNTIFS('QA_Issues'!$B$2:$B$26,E7,'QA_Issues'!$E$2:$E$26,"MAJOR")</f>
        <v/>
      </c>
      <c r="AE7" s="3">
        <f>COUNTIFS('QA_Issues'!$B$2:$B$26,E7,'QA_Issues'!$E$2:$E$26,"MINOR")</f>
        <v/>
      </c>
      <c r="AF7" s="3">
        <f>COUNTIFS('QA_Issues'!$B$2:$B$26,E7,'QA_Issues'!$E$2:$E$26,"LIMITATION")</f>
        <v/>
      </c>
      <c r="AG7" s="3" t="inlineStr">
        <is>
          <t>NO_MATERIAL_PRODUCT_DRIFT; static HTML fetched with SSL-unverified retry</t>
        </is>
      </c>
      <c r="AH7" s="3" t="inlineStr">
        <is>
          <t>D:\Shopify_Workspace\jeminise_seo\seo_runs\jeminise.com\20260906_234129\qa\20260908_183309\live\336_winter-cardinal-on-berry-branch-patchwork-christmas-quilt-43ecda62b6-43ecda62b6.js.json; D:\Shopify_Workspace\jeminise_seo\seo_runs\jeminise.com\20260906_234129\qa\20260908_183309\live\336_winter-cardinal-on-berry-branch-patchwork-christmas-quilt-43ecda62b6-43ecda62b6.html; D:\Shopify_Workspace\jeminise_seo\seo_runs\jeminise.com\20260906_234129\qa\20260908_183309\serp_evidence.json</t>
        </is>
      </c>
      <c r="AI7" s="3" t="inlineStr">
        <is>
          <t>ISS-034-336-D2-CUSTOMER-COPY;ISS-034-336-E1-REVISION-TRACE</t>
        </is>
      </c>
    </row>
    <row r="8" ht="42" customHeight="1">
      <c r="A8" s="2" t="inlineStr">
        <is>
          <t>20260908_183309</t>
        </is>
      </c>
      <c r="B8" s="2" t="inlineStr">
        <is>
          <t>qa_batch_034_r3</t>
        </is>
      </c>
      <c r="C8" s="2" t="inlineStr">
        <is>
          <t>r3</t>
        </is>
      </c>
      <c r="D8" s="2" t="n">
        <v>337</v>
      </c>
      <c r="E8" s="2" t="inlineStr">
        <is>
          <t>jeminise.com+winter-cardinals-on-heart-shaped-berry-branches-patchwork-christmas-quilt-de1c648f60-de1c648f60</t>
        </is>
      </c>
      <c r="F8" s="2" t="inlineStr">
        <is>
          <t>8834734489799</t>
        </is>
      </c>
      <c r="G8" s="2" t="inlineStr">
        <is>
          <t>winter-cardinals-on-heart-shaped-berry-branches-patchwork-christmas-quilt-de1c648f60-de1c648f60</t>
        </is>
      </c>
      <c r="H8" s="4" t="inlineStr">
        <is>
          <t>https://jeminise.com/products/winter-cardinals-on-heart-shaped-berry-branches-patchwork-christmas-quilt-de1c648f60-de1c648f60</t>
        </is>
      </c>
      <c r="I8" s="4" t="inlineStr">
        <is>
          <t>https://jeminise.com/products/winter-cardinals-on-heart-shaped-berry-branches-patchwork-christmas-quilt-de1c648f60-de1c648f60</t>
        </is>
      </c>
      <c r="J8" s="2" t="inlineStr">
        <is>
          <t>Winter Cardinals on Heart Shaped Berry Branches Patchwork Christmas Quilt</t>
        </is>
      </c>
      <c r="K8" s="2" t="inlineStr">
        <is>
          <t>Heart Branch Cardinals Christmas Quilt</t>
        </is>
      </c>
      <c r="L8" s="2" t="inlineStr">
        <is>
          <t>Heart Branch Cardinals Christmas Quilt</t>
        </is>
      </c>
      <c r="M8" s="2" t="inlineStr">
        <is>
          <t>Shop heart branch cardinals Christmas quilt with two red cardinals, berry heart branches and snowy village scenery.</t>
        </is>
      </c>
      <c r="N8" s="2" t="inlineStr">
        <is>
          <t>heart branch cardinals Christmas quilt</t>
        </is>
      </c>
      <c r="O8" s="2" t="n">
        <v>5</v>
      </c>
      <c r="P8" s="2" t="n">
        <v>5</v>
      </c>
      <c r="Q8" s="2" t="n">
        <v>5</v>
      </c>
      <c r="R8" s="2" t="n">
        <v>5</v>
      </c>
      <c r="S8" s="5" t="n">
        <v>1</v>
      </c>
      <c r="T8" s="2" t="b">
        <v>1</v>
      </c>
      <c r="U8" s="2" t="b">
        <v>1</v>
      </c>
      <c r="V8" s="2" t="inlineStr">
        <is>
          <t>Customize Your Quilt (optional, max 1000)</t>
        </is>
      </c>
      <c r="W8" s="6">
        <f>SUMIF('QA_Criteria'!$D$2:$D$89,E8,'QA_Criteria'!$K$2:$K$89)</f>
        <v/>
      </c>
      <c r="X8" s="6">
        <f>SUMIF('QA_Criteria'!$D$2:$D$89,E8,'QA_Criteria'!$L$2:$L$89)</f>
        <v/>
      </c>
      <c r="Y8" s="6">
        <f>W8</f>
        <v/>
      </c>
      <c r="Z8" s="6">
        <f>W8+(100-X8)</f>
        <v/>
      </c>
      <c r="AA8" s="6">
        <f>IF(AND(X8=100,S8=1,T8=TRUE),W8,"")</f>
        <v/>
      </c>
      <c r="AB8" s="2">
        <f>IF(AC8&gt;0,"QA_FAIL",IF(AA8="","QA_INCOMPLETE",IF(AA8&lt;70,"QA_FAIL",IF(OR(AA8&lt;85,AD8&gt;0),"QA_REVISE","QA_PASS"))))</f>
        <v/>
      </c>
      <c r="AC8" s="2">
        <f>COUNTIFS('QA_Issues'!$B$2:$B$26,E8,'QA_Issues'!$E$2:$E$26,"CRITICAL")</f>
        <v/>
      </c>
      <c r="AD8" s="2">
        <f>COUNTIFS('QA_Issues'!$B$2:$B$26,E8,'QA_Issues'!$E$2:$E$26,"MAJOR")</f>
        <v/>
      </c>
      <c r="AE8" s="2">
        <f>COUNTIFS('QA_Issues'!$B$2:$B$26,E8,'QA_Issues'!$E$2:$E$26,"MINOR")</f>
        <v/>
      </c>
      <c r="AF8" s="2">
        <f>COUNTIFS('QA_Issues'!$B$2:$B$26,E8,'QA_Issues'!$E$2:$E$26,"LIMITATION")</f>
        <v/>
      </c>
      <c r="AG8" s="2" t="inlineStr">
        <is>
          <t>NO_MATERIAL_PRODUCT_DRIFT; static HTML fetched with SSL-unverified retry</t>
        </is>
      </c>
      <c r="AH8" s="2" t="inlineStr">
        <is>
          <t>D:\Shopify_Workspace\jeminise_seo\seo_runs\jeminise.com\20260906_234129\qa\20260908_183309\live\337_winter-cardinals-on-heart-shaped-berry-branches-patchwork-christmas-quilt-de1c648f60-de1c648f60.js.json; D:\Shopify_Workspace\jeminise_seo\seo_runs\jeminise.com\20260906_234129\qa\20260908_183309\live\337_winter-cardinals-on-heart-shaped-berry-branches-patchwork-christmas-quilt-de1c648f60-de1c648f60.html; D:\Shopify_Workspace\jeminise_seo\seo_runs\jeminise.com\20260906_234129\qa\20260908_183309\serp_evidence.json</t>
        </is>
      </c>
      <c r="AI8" s="2" t="inlineStr">
        <is>
          <t>ISS-034-337-K1-SERP-WEAK;ISS-034-337-D2-CUSTOMER-COPY;ISS-034-337-E1-REVISION-TRACE</t>
        </is>
      </c>
    </row>
    <row r="9" ht="42" customHeight="1">
      <c r="A9" s="3" t="inlineStr">
        <is>
          <t>20260908_183309</t>
        </is>
      </c>
      <c r="B9" s="3" t="inlineStr">
        <is>
          <t>qa_batch_034_r3</t>
        </is>
      </c>
      <c r="C9" s="3" t="inlineStr">
        <is>
          <t>r3</t>
        </is>
      </c>
      <c r="D9" s="3" t="n">
        <v>338</v>
      </c>
      <c r="E9" s="3" t="inlineStr">
        <is>
          <t>jeminise.com+winter-cat-and-cardinal-sitting-on-snowy-patchwork-christmas-quilt-82f86611f4-82f86611f4</t>
        </is>
      </c>
      <c r="F9" s="3" t="inlineStr">
        <is>
          <t>8834725576903</t>
        </is>
      </c>
      <c r="G9" s="3" t="inlineStr">
        <is>
          <t>winter-cat-and-cardinal-sitting-on-snowy-patchwork-christmas-quilt-82f86611f4-82f86611f4</t>
        </is>
      </c>
      <c r="H9" s="4" t="inlineStr">
        <is>
          <t>https://jeminise.com/products/winter-cat-and-cardinal-sitting-on-snowy-patchwork-christmas-quilt-82f86611f4-82f86611f4</t>
        </is>
      </c>
      <c r="I9" s="4" t="inlineStr">
        <is>
          <t>https://jeminise.com/products/winter-cat-and-cardinal-sitting-on-snowy-patchwork-christmas-quilt-82f86611f4-82f86611f4</t>
        </is>
      </c>
      <c r="J9" s="3" t="inlineStr">
        <is>
          <t>Winter Cat and Cardinal Sitting on Snowy Patchwork Christmas Quilt</t>
        </is>
      </c>
      <c r="K9" s="3" t="inlineStr">
        <is>
          <t>Winter Cat Cardinal Christmas Quilt</t>
        </is>
      </c>
      <c r="L9" s="3" t="inlineStr">
        <is>
          <t>Winter Cat Cardinal Christmas Quilt</t>
        </is>
      </c>
      <c r="M9" s="3" t="inlineStr">
        <is>
          <t>Shop winter cat cardinal Christmas quilt with gray kitten, red cardinal, snowy branches and It's Well With My Soul text.</t>
        </is>
      </c>
      <c r="N9" s="3" t="inlineStr">
        <is>
          <t>winter cat cardinal Christmas quilt</t>
        </is>
      </c>
      <c r="O9" s="3" t="n">
        <v>5</v>
      </c>
      <c r="P9" s="3" t="n">
        <v>5</v>
      </c>
      <c r="Q9" s="3" t="n">
        <v>5</v>
      </c>
      <c r="R9" s="3" t="n">
        <v>5</v>
      </c>
      <c r="S9" s="7" t="n">
        <v>1</v>
      </c>
      <c r="T9" s="3" t="b">
        <v>1</v>
      </c>
      <c r="U9" s="3" t="b">
        <v>1</v>
      </c>
      <c r="V9" s="3" t="inlineStr">
        <is>
          <t>Customize Your Quilt (optional, max 1000)</t>
        </is>
      </c>
      <c r="W9" s="8">
        <f>SUMIF('QA_Criteria'!$D$2:$D$89,E9,'QA_Criteria'!$K$2:$K$89)</f>
        <v/>
      </c>
      <c r="X9" s="8">
        <f>SUMIF('QA_Criteria'!$D$2:$D$89,E9,'QA_Criteria'!$L$2:$L$89)</f>
        <v/>
      </c>
      <c r="Y9" s="8">
        <f>W9</f>
        <v/>
      </c>
      <c r="Z9" s="8">
        <f>W9+(100-X9)</f>
        <v/>
      </c>
      <c r="AA9" s="8">
        <f>IF(AND(X9=100,S9=1,T9=TRUE),W9,"")</f>
        <v/>
      </c>
      <c r="AB9" s="3">
        <f>IF(AC9&gt;0,"QA_FAIL",IF(AA9="","QA_INCOMPLETE",IF(AA9&lt;70,"QA_FAIL",IF(OR(AA9&lt;85,AD9&gt;0),"QA_REVISE","QA_PASS"))))</f>
        <v/>
      </c>
      <c r="AC9" s="3">
        <f>COUNTIFS('QA_Issues'!$B$2:$B$26,E9,'QA_Issues'!$E$2:$E$26,"CRITICAL")</f>
        <v/>
      </c>
      <c r="AD9" s="3">
        <f>COUNTIFS('QA_Issues'!$B$2:$B$26,E9,'QA_Issues'!$E$2:$E$26,"MAJOR")</f>
        <v/>
      </c>
      <c r="AE9" s="3">
        <f>COUNTIFS('QA_Issues'!$B$2:$B$26,E9,'QA_Issues'!$E$2:$E$26,"MINOR")</f>
        <v/>
      </c>
      <c r="AF9" s="3">
        <f>COUNTIFS('QA_Issues'!$B$2:$B$26,E9,'QA_Issues'!$E$2:$E$26,"LIMITATION")</f>
        <v/>
      </c>
      <c r="AG9" s="3" t="inlineStr">
        <is>
          <t>NO_MATERIAL_PRODUCT_DRIFT; static HTML fetched with SSL-unverified retry</t>
        </is>
      </c>
      <c r="AH9" s="3" t="inlineStr">
        <is>
          <t>D:\Shopify_Workspace\jeminise_seo\seo_runs\jeminise.com\20260906_234129\qa\20260908_183309\live\338_winter-cat-and-cardinal-sitting-on-snowy-patchwork-christmas-quilt-82f86611f4-82f86611f4.js.json; D:\Shopify_Workspace\jeminise_seo\seo_runs\jeminise.com\20260906_234129\qa\20260908_183309\live\338_winter-cat-and-cardinal-sitting-on-snowy-patchwork-christmas-quilt-82f86611f4-82f86611f4.html; D:\Shopify_Workspace\jeminise_seo\seo_runs\jeminise.com\20260906_234129\qa\20260908_183309\serp_evidence.json</t>
        </is>
      </c>
      <c r="AI9" s="3" t="inlineStr">
        <is>
          <t>ISS-034-338-K1-SERP-NICHE;ISS-034-338-D2-CUSTOMER-COPY;ISS-034-338-E1-REVISION-TRACE</t>
        </is>
      </c>
    </row>
  </sheetData>
  <autoFilter ref="A1:AI9"/>
  <conditionalFormatting sqref="AB2:AB9">
    <cfRule type="expression" priority="1" dxfId="0">
      <formula>AB2="QA_PASS"</formula>
    </cfRule>
    <cfRule type="expression" priority="2" dxfId="1">
      <formula>AB2="QA_REVISE"</formula>
    </cfRule>
    <cfRule type="expression" priority="3" dxfId="2">
      <formula>AB2="QA_FAIL"</formula>
    </cfRule>
  </conditionalFormatting>
  <hyperlinks>
    <hyperlink xmlns:r="http://schemas.openxmlformats.org/officeDocument/2006/relationships" ref="H2" r:id="rId1"/>
    <hyperlink xmlns:r="http://schemas.openxmlformats.org/officeDocument/2006/relationships" ref="I2" r:id="rId2"/>
    <hyperlink xmlns:r="http://schemas.openxmlformats.org/officeDocument/2006/relationships" ref="H3" r:id="rId3"/>
    <hyperlink xmlns:r="http://schemas.openxmlformats.org/officeDocument/2006/relationships" ref="I3" r:id="rId4"/>
    <hyperlink xmlns:r="http://schemas.openxmlformats.org/officeDocument/2006/relationships" ref="H4" r:id="rId5"/>
    <hyperlink xmlns:r="http://schemas.openxmlformats.org/officeDocument/2006/relationships" ref="I4" r:id="rId6"/>
    <hyperlink xmlns:r="http://schemas.openxmlformats.org/officeDocument/2006/relationships" ref="H5" r:id="rId7"/>
    <hyperlink xmlns:r="http://schemas.openxmlformats.org/officeDocument/2006/relationships" ref="I5" r:id="rId8"/>
    <hyperlink xmlns:r="http://schemas.openxmlformats.org/officeDocument/2006/relationships" ref="H6" r:id="rId9"/>
    <hyperlink xmlns:r="http://schemas.openxmlformats.org/officeDocument/2006/relationships" ref="I6" r:id="rId10"/>
    <hyperlink xmlns:r="http://schemas.openxmlformats.org/officeDocument/2006/relationships" ref="H7" r:id="rId11"/>
    <hyperlink xmlns:r="http://schemas.openxmlformats.org/officeDocument/2006/relationships" ref="I7" r:id="rId12"/>
    <hyperlink xmlns:r="http://schemas.openxmlformats.org/officeDocument/2006/relationships" ref="H8" r:id="rId13"/>
    <hyperlink xmlns:r="http://schemas.openxmlformats.org/officeDocument/2006/relationships" ref="I8" r:id="rId14"/>
    <hyperlink xmlns:r="http://schemas.openxmlformats.org/officeDocument/2006/relationships" ref="H9" r:id="rId15"/>
    <hyperlink xmlns:r="http://schemas.openxmlformats.org/officeDocument/2006/relationships" ref="I9" r:id="rId1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1" customWidth="1" min="3" max="3"/>
    <col width="42" customWidth="1" min="4" max="4"/>
    <col width="20" customWidth="1" min="5" max="5"/>
    <col width="20" customWidth="1" min="6" max="6"/>
    <col width="24" customWidth="1" min="7" max="7"/>
    <col width="11" customWidth="1" min="8" max="8"/>
    <col width="21" customWidth="1" min="9" max="9"/>
    <col width="24" customWidth="1" min="10" max="10"/>
    <col width="23" customWidth="1" min="11" max="11"/>
    <col width="24" customWidth="1" min="12" max="12"/>
    <col width="42" customWidth="1" min="13" max="13"/>
    <col width="42" customWidth="1" min="14" max="14"/>
    <col width="42" customWidth="1" min="15" max="15"/>
    <col width="42" customWidth="1" min="16" max="16"/>
  </cols>
  <sheetData>
    <row r="1">
      <c r="A1" s="1" t="inlineStr">
        <is>
          <t>qa_run_id</t>
        </is>
      </c>
      <c r="B1" s="1" t="inlineStr">
        <is>
          <t>qa_batch_id</t>
        </is>
      </c>
      <c r="C1" s="1" t="inlineStr">
        <is>
          <t>revision</t>
        </is>
      </c>
      <c r="D1" s="1" t="inlineStr">
        <is>
          <t>product_key</t>
        </is>
      </c>
      <c r="E1" s="1" t="inlineStr">
        <is>
          <t>inventory_position</t>
        </is>
      </c>
      <c r="F1" s="1" t="inlineStr">
        <is>
          <t>criterion_id</t>
        </is>
      </c>
      <c r="G1" s="1" t="inlineStr">
        <is>
          <t>criterion_name</t>
        </is>
      </c>
      <c r="H1" s="1" t="inlineStr">
        <is>
          <t>weight</t>
        </is>
      </c>
      <c r="I1" s="1" t="inlineStr">
        <is>
          <t>assessment</t>
        </is>
      </c>
      <c r="J1" s="1" t="inlineStr">
        <is>
          <t>rating</t>
        </is>
      </c>
      <c r="K1" s="1" t="inlineStr">
        <is>
          <t>earned_points</t>
        </is>
      </c>
      <c r="L1" s="1" t="inlineStr">
        <is>
          <t>assessed_weight</t>
        </is>
      </c>
      <c r="M1" s="1" t="inlineStr">
        <is>
          <t>reason</t>
        </is>
      </c>
      <c r="N1" s="1" t="inlineStr">
        <is>
          <t>evidence_refs</t>
        </is>
      </c>
      <c r="O1" s="1" t="inlineStr">
        <is>
          <t>issue_refs</t>
        </is>
      </c>
      <c r="P1" s="1" t="inlineStr">
        <is>
          <t>suggested_fix_en</t>
        </is>
      </c>
    </row>
    <row r="2" ht="42" customHeight="1">
      <c r="A2" s="2" t="inlineStr">
        <is>
          <t>20260908_183309</t>
        </is>
      </c>
      <c r="B2" s="2" t="inlineStr">
        <is>
          <t>qa_batch_034_r3</t>
        </is>
      </c>
      <c r="C2" s="2" t="inlineStr">
        <is>
          <t>r3</t>
        </is>
      </c>
      <c r="D2" s="2" t="inlineStr">
        <is>
          <t>jeminise.com+softball-themed-bedding-for-girls-and-women-bright-teal-yellow</t>
        </is>
      </c>
      <c r="E2" s="2" t="n">
        <v>331</v>
      </c>
      <c r="F2" s="2" t="inlineStr">
        <is>
          <t>P1</t>
        </is>
      </c>
      <c r="G2" s="2" t="inlineStr">
        <is>
          <t>Product identity/source match</t>
        </is>
      </c>
      <c r="H2" s="2" t="n">
        <v>15</v>
      </c>
      <c r="I2" s="2" t="inlineStr">
        <is>
          <t>FULL</t>
        </is>
      </c>
      <c r="J2" s="6">
        <f>IF(F2="I1",AVERAGEIF('QA_Images'!$D$2:$D$58,D2,'QA_Images'!$AA$2:$AA$58)/100,IF(I2="FULL",1,IF(I2="PARTIAL",0.5,IF(I2="FAIL",0,""))))</f>
        <v/>
      </c>
      <c r="K2" s="6">
        <f>IF(J2="",0,H2*J2)</f>
        <v/>
      </c>
      <c r="L2" s="6">
        <f>IF(F2="I1",20*AVERAGEIF('QA_Images'!$D$2:$D$58,D2,'QA_Images'!$AB$2:$AB$58)/100,IF(I2="NOT_CHECKED",0,H2))</f>
        <v/>
      </c>
      <c r="M2" s="2" t="inlineStr">
        <is>
          <t>Product identity locked by inventory product_key, handle and product_id; live product JSON matched handle/id and expected image count for position 331.</t>
        </is>
      </c>
      <c r="N2" s="2" t="inlineStr">
        <is>
          <t>live json/html; D:\Shopify_Workspace\jeminise_seo\seo_runs\jeminise.com\20260906_234129\qa\20260908_183309\serp_evidence.json; D:\Shopify_Workspace\jeminise_seo\seo_runs\jeminise.com\20260906_234129\qa\20260908_183309\visual_observations.json</t>
        </is>
      </c>
      <c r="O2" s="2" t="inlineStr"/>
      <c r="P2" s="2" t="inlineStr"/>
    </row>
    <row r="3" ht="42" customHeight="1">
      <c r="A3" s="3" t="inlineStr">
        <is>
          <t>20260908_183309</t>
        </is>
      </c>
      <c r="B3" s="3" t="inlineStr">
        <is>
          <t>qa_batch_034_r3</t>
        </is>
      </c>
      <c r="C3" s="3" t="inlineStr">
        <is>
          <t>r3</t>
        </is>
      </c>
      <c r="D3" s="3" t="inlineStr">
        <is>
          <t>jeminise.com+softball-themed-bedding-for-girls-and-women-bright-teal-yellow</t>
        </is>
      </c>
      <c r="E3" s="3" t="n">
        <v>331</v>
      </c>
      <c r="F3" s="3" t="inlineStr">
        <is>
          <t>P2</t>
        </is>
      </c>
      <c r="G3" s="3" t="inlineStr">
        <is>
          <t>Facts, offer and customization</t>
        </is>
      </c>
      <c r="H3" s="3" t="n">
        <v>10</v>
      </c>
      <c r="I3" s="3" t="inlineStr">
        <is>
          <t>FULL</t>
        </is>
      </c>
      <c r="J3" s="8">
        <f>IF(F3="I1",AVERAGEIF('QA_Images'!$D$2:$D$58,D3,'QA_Images'!$AA$2:$AA$58)/100,IF(I3="FULL",1,IF(I3="PARTIAL",0.5,IF(I3="FAIL",0,""))))</f>
        <v/>
      </c>
      <c r="K3" s="8">
        <f>IF(J3="",0,H3*J3)</f>
        <v/>
      </c>
      <c r="L3" s="8">
        <f>IF(F3="I1",20*AVERAGEIF('QA_Images'!$D$2:$D$58,D3,'QA_Images'!$AB$2:$AB$58)/100,IF(I3="NOT_CHECKED",0,H3))</f>
        <v/>
      </c>
      <c r="M3" s="3" t="inlineStr">
        <is>
          <t>Offer facts verified from live JSON/options and full HTML customizer config: options Choose Comforter Size, Pillowcases; customizer labels ['Custom Your Name', 'Custom Your Number'].</t>
        </is>
      </c>
      <c r="N3" s="3" t="inlineStr">
        <is>
          <t>live json/html; D:\Shopify_Workspace\jeminise_seo\seo_runs\jeminise.com\20260906_234129\qa\20260908_183309\serp_evidence.json; D:\Shopify_Workspace\jeminise_seo\seo_runs\jeminise.com\20260906_234129\qa\20260908_183309\visual_observations.json</t>
        </is>
      </c>
      <c r="O3" s="3" t="inlineStr"/>
      <c r="P3" s="3" t="inlineStr"/>
    </row>
    <row r="4" ht="42" customHeight="1">
      <c r="A4" s="2" t="inlineStr">
        <is>
          <t>20260908_183309</t>
        </is>
      </c>
      <c r="B4" s="2" t="inlineStr">
        <is>
          <t>qa_batch_034_r3</t>
        </is>
      </c>
      <c r="C4" s="2" t="inlineStr">
        <is>
          <t>r3</t>
        </is>
      </c>
      <c r="D4" s="2" t="inlineStr">
        <is>
          <t>jeminise.com+softball-themed-bedding-for-girls-and-women-bright-teal-yellow</t>
        </is>
      </c>
      <c r="E4" s="2" t="n">
        <v>331</v>
      </c>
      <c r="F4" s="2" t="inlineStr">
        <is>
          <t>K1</t>
        </is>
      </c>
      <c r="G4" s="2" t="inlineStr">
        <is>
          <t>Primary keyword evidence</t>
        </is>
      </c>
      <c r="H4" s="2" t="n">
        <v>10</v>
      </c>
      <c r="I4" s="2" t="inlineStr">
        <is>
          <t>PARTIAL</t>
        </is>
      </c>
      <c r="J4" s="6">
        <f>IF(F4="I1",AVERAGEIF('QA_Images'!$D$2:$D$58,D4,'QA_Images'!$AA$2:$AA$58)/100,IF(I4="FULL",1,IF(I4="PARTIAL",0.5,IF(I4="FAIL",0,""))))</f>
        <v/>
      </c>
      <c r="K4" s="6">
        <f>IF(J4="",0,H4*J4)</f>
        <v/>
      </c>
      <c r="L4" s="6">
        <f>IF(F4="I1",20*AVERAGEIF('QA_Images'!$D$2:$D$58,D4,'QA_Images'!$AB$2:$AB$58)/100,IF(I4="NOT_CHECKED",0,H4))</f>
        <v/>
      </c>
      <c r="M4" s="2" t="inlineStr">
        <is>
          <t>Primary keyword is truthful to the visual motif, but current SERP evidence is mostly broad/related rather than strong exact-match finished product evidence.</t>
        </is>
      </c>
      <c r="N4" s="2" t="inlineStr">
        <is>
          <t>live json/html; D:\Shopify_Workspace\jeminise_seo\seo_runs\jeminise.com\20260906_234129\qa\20260908_183309\serp_evidence.json; D:\Shopify_Workspace\jeminise_seo\seo_runs\jeminise.com\20260906_234129\qa\20260908_183309\visual_observations.json</t>
        </is>
      </c>
      <c r="O4" s="2" t="inlineStr">
        <is>
          <t>ISS-034-331-K1-SERP-NICHE;ISS-034-331-K2-CLUSTER</t>
        </is>
      </c>
      <c r="P4" s="2" t="inlineStr"/>
    </row>
    <row r="5" ht="42" customHeight="1">
      <c r="A5" s="3" t="inlineStr">
        <is>
          <t>20260908_183309</t>
        </is>
      </c>
      <c r="B5" s="3" t="inlineStr">
        <is>
          <t>qa_batch_034_r3</t>
        </is>
      </c>
      <c r="C5" s="3" t="inlineStr">
        <is>
          <t>r3</t>
        </is>
      </c>
      <c r="D5" s="3" t="inlineStr">
        <is>
          <t>jeminise.com+softball-themed-bedding-for-girls-and-women-bright-teal-yellow</t>
        </is>
      </c>
      <c r="E5" s="3" t="n">
        <v>331</v>
      </c>
      <c r="F5" s="3" t="inlineStr">
        <is>
          <t>K2</t>
        </is>
      </c>
      <c r="G5" s="3" t="inlineStr">
        <is>
          <t>Intent/cannibalization separation</t>
        </is>
      </c>
      <c r="H5" s="3" t="n">
        <v>5</v>
      </c>
      <c r="I5" s="3" t="inlineStr">
        <is>
          <t>PARTIAL</t>
        </is>
      </c>
      <c r="J5" s="8">
        <f>IF(F5="I1",AVERAGEIF('QA_Images'!$D$2:$D$58,D5,'QA_Images'!$AA$2:$AA$58)/100,IF(I5="FULL",1,IF(I5="PARTIAL",0.5,IF(I5="FAIL",0,""))))</f>
        <v/>
      </c>
      <c r="K5" s="8">
        <f>IF(J5="",0,H5*J5)</f>
        <v/>
      </c>
      <c r="L5" s="8">
        <f>IF(F5="I1",20*AVERAGEIF('QA_Images'!$D$2:$D$58,D5,'QA_Images'!$AB$2:$AB$58)/100,IF(I5="NOT_CHECKED",0,H5))</f>
        <v/>
      </c>
      <c r="M5" s="3" t="inlineStr">
        <is>
          <t>Keyword differentiation exists by motif, but nearby products in the same softball/cardinal cluster share broad secondary terms and mapping rationale is repetitive.</t>
        </is>
      </c>
      <c r="N5" s="3" t="inlineStr">
        <is>
          <t>live json/html; D:\Shopify_Workspace\jeminise_seo\seo_runs\jeminise.com\20260906_234129\qa\20260908_183309\serp_evidence.json; D:\Shopify_Workspace\jeminise_seo\seo_runs\jeminise.com\20260906_234129\qa\20260908_183309\visual_observations.json</t>
        </is>
      </c>
      <c r="O5" s="3" t="inlineStr">
        <is>
          <t>ISS-034-331-K1-SERP-NICHE;ISS-034-331-K2-CLUSTER</t>
        </is>
      </c>
      <c r="P5" s="3" t="inlineStr"/>
    </row>
    <row r="6" ht="42" customHeight="1">
      <c r="A6" s="2" t="inlineStr">
        <is>
          <t>20260908_183309</t>
        </is>
      </c>
      <c r="B6" s="2" t="inlineStr">
        <is>
          <t>qa_batch_034_r3</t>
        </is>
      </c>
      <c r="C6" s="2" t="inlineStr">
        <is>
          <t>r3</t>
        </is>
      </c>
      <c r="D6" s="2" t="inlineStr">
        <is>
          <t>jeminise.com+softball-themed-bedding-for-girls-and-women-bright-teal-yellow</t>
        </is>
      </c>
      <c r="E6" s="2" t="n">
        <v>331</v>
      </c>
      <c r="F6" s="2" t="inlineStr">
        <is>
          <t>K3</t>
        </is>
      </c>
      <c r="G6" s="2" t="inlineStr">
        <is>
          <t>No unsupported keyword-volume claim</t>
        </is>
      </c>
      <c r="H6" s="2" t="n">
        <v>5</v>
      </c>
      <c r="I6" s="2" t="inlineStr">
        <is>
          <t>FULL</t>
        </is>
      </c>
      <c r="J6" s="6">
        <f>IF(F6="I1",AVERAGEIF('QA_Images'!$D$2:$D$58,D6,'QA_Images'!$AA$2:$AA$58)/100,IF(I6="FULL",1,IF(I6="PARTIAL",0.5,IF(I6="FAIL",0,""))))</f>
        <v/>
      </c>
      <c r="K6" s="6">
        <f>IF(J6="",0,H6*J6)</f>
        <v/>
      </c>
      <c r="L6" s="6">
        <f>IF(F6="I1",20*AVERAGEIF('QA_Images'!$D$2:$D$58,D6,'QA_Images'!$AB$2:$AB$58)/100,IF(I6="NOT_CHECKED",0,H6))</f>
        <v/>
      </c>
      <c r="M6" s="2" t="inlineStr">
        <is>
          <t>No search-volume or ranking claim is made; keyword evidence is correctly limited as SERP_ONLY.</t>
        </is>
      </c>
      <c r="N6" s="2" t="inlineStr">
        <is>
          <t>live json/html; D:\Shopify_Workspace\jeminise_seo\seo_runs\jeminise.com\20260906_234129\qa\20260908_183309\serp_evidence.json; D:\Shopify_Workspace\jeminise_seo\seo_runs\jeminise.com\20260906_234129\qa\20260908_183309\visual_observations.json</t>
        </is>
      </c>
      <c r="O6" s="2" t="inlineStr">
        <is>
          <t>ISS-034-331-K1-SERP-NICHE;ISS-034-331-K2-CLUSTER</t>
        </is>
      </c>
      <c r="P6" s="2" t="inlineStr"/>
    </row>
    <row r="7" ht="42" customHeight="1">
      <c r="A7" s="3" t="inlineStr">
        <is>
          <t>20260908_183309</t>
        </is>
      </c>
      <c r="B7" s="3" t="inlineStr">
        <is>
          <t>qa_batch_034_r3</t>
        </is>
      </c>
      <c r="C7" s="3" t="inlineStr">
        <is>
          <t>r3</t>
        </is>
      </c>
      <c r="D7" s="3" t="inlineStr">
        <is>
          <t>jeminise.com+softball-themed-bedding-for-girls-and-women-bright-teal-yellow</t>
        </is>
      </c>
      <c r="E7" s="3" t="n">
        <v>331</v>
      </c>
      <c r="F7" s="3" t="inlineStr">
        <is>
          <t>T1</t>
        </is>
      </c>
      <c r="G7" s="3" t="inlineStr">
        <is>
          <t>SEO title/meta title</t>
        </is>
      </c>
      <c r="H7" s="3" t="n">
        <v>10</v>
      </c>
      <c r="I7" s="3" t="inlineStr">
        <is>
          <t>FULL</t>
        </is>
      </c>
      <c r="J7" s="8">
        <f>IF(F7="I1",AVERAGEIF('QA_Images'!$D$2:$D$58,D7,'QA_Images'!$AA$2:$AA$58)/100,IF(I7="FULL",1,IF(I7="PARTIAL",0.5,IF(I7="FAIL",0,""))))</f>
        <v/>
      </c>
      <c r="K7" s="8">
        <f>IF(J7="",0,H7*J7)</f>
        <v/>
      </c>
      <c r="L7" s="8">
        <f>IF(F7="I1",20*AVERAGEIF('QA_Images'!$D$2:$D$58,D7,'QA_Images'!$AB$2:$AB$58)/100,IF(I7="NOT_CHECKED",0,H7))</f>
        <v/>
      </c>
      <c r="M7" s="3" t="inlineStr">
        <is>
          <t>meta_title_seo is concise, readable, and maps to the verified motif/product type.</t>
        </is>
      </c>
      <c r="N7" s="3" t="inlineStr">
        <is>
          <t>live json/html; D:\Shopify_Workspace\jeminise_seo\seo_runs\jeminise.com\20260906_234129\qa\20260908_183309\serp_evidence.json; D:\Shopify_Workspace\jeminise_seo\seo_runs\jeminise.com\20260906_234129\qa\20260908_183309\visual_observations.json</t>
        </is>
      </c>
      <c r="O7" s="3" t="inlineStr"/>
      <c r="P7" s="3" t="inlineStr"/>
    </row>
    <row r="8" ht="42" customHeight="1">
      <c r="A8" s="2" t="inlineStr">
        <is>
          <t>20260908_183309</t>
        </is>
      </c>
      <c r="B8" s="2" t="inlineStr">
        <is>
          <t>qa_batch_034_r3</t>
        </is>
      </c>
      <c r="C8" s="2" t="inlineStr">
        <is>
          <t>r3</t>
        </is>
      </c>
      <c r="D8" s="2" t="inlineStr">
        <is>
          <t>jeminise.com+softball-themed-bedding-for-girls-and-women-bright-teal-yellow</t>
        </is>
      </c>
      <c r="E8" s="2" t="n">
        <v>331</v>
      </c>
      <c r="F8" s="2" t="inlineStr">
        <is>
          <t>T2</t>
        </is>
      </c>
      <c r="G8" s="2" t="inlineStr">
        <is>
          <t>Product title/H1 proposal</t>
        </is>
      </c>
      <c r="H8" s="2" t="n">
        <v>5</v>
      </c>
      <c r="I8" s="2" t="inlineStr">
        <is>
          <t>FULL</t>
        </is>
      </c>
      <c r="J8" s="6">
        <f>IF(F8="I1",AVERAGEIF('QA_Images'!$D$2:$D$58,D8,'QA_Images'!$AA$2:$AA$58)/100,IF(I8="FULL",1,IF(I8="PARTIAL",0.5,IF(I8="FAIL",0,""))))</f>
        <v/>
      </c>
      <c r="K8" s="6">
        <f>IF(J8="",0,H8*J8)</f>
        <v/>
      </c>
      <c r="L8" s="6">
        <f>IF(F8="I1",20*AVERAGEIF('QA_Images'!$D$2:$D$58,D8,'QA_Images'!$AB$2:$AB$58)/100,IF(I8="NOT_CHECKED",0,H8))</f>
        <v/>
      </c>
      <c r="M8" s="2" t="inlineStr">
        <is>
          <t>title_proposed is publishable as a clean H1/title replacement and fixes the current truncated or mojibake-heavy storefront title.</t>
        </is>
      </c>
      <c r="N8" s="2" t="inlineStr">
        <is>
          <t>live json/html; D:\Shopify_Workspace\jeminise_seo\seo_runs\jeminise.com\20260906_234129\qa\20260908_183309\serp_evidence.json; D:\Shopify_Workspace\jeminise_seo\seo_runs\jeminise.com\20260906_234129\qa\20260908_183309\visual_observations.json</t>
        </is>
      </c>
      <c r="O8" s="2" t="inlineStr"/>
      <c r="P8" s="2" t="inlineStr"/>
    </row>
    <row r="9" ht="42" customHeight="1">
      <c r="A9" s="3" t="inlineStr">
        <is>
          <t>20260908_183309</t>
        </is>
      </c>
      <c r="B9" s="3" t="inlineStr">
        <is>
          <t>qa_batch_034_r3</t>
        </is>
      </c>
      <c r="C9" s="3" t="inlineStr">
        <is>
          <t>r3</t>
        </is>
      </c>
      <c r="D9" s="3" t="inlineStr">
        <is>
          <t>jeminise.com+softball-themed-bedding-for-girls-and-women-bright-teal-yellow</t>
        </is>
      </c>
      <c r="E9" s="3" t="n">
        <v>331</v>
      </c>
      <c r="F9" s="3" t="inlineStr">
        <is>
          <t>D1</t>
        </is>
      </c>
      <c r="G9" s="3" t="inlineStr">
        <is>
          <t>Meta description</t>
        </is>
      </c>
      <c r="H9" s="3" t="n">
        <v>5</v>
      </c>
      <c r="I9" s="3" t="inlineStr">
        <is>
          <t>FULL</t>
        </is>
      </c>
      <c r="J9" s="8">
        <f>IF(F9="I1",AVERAGEIF('QA_Images'!$D$2:$D$58,D9,'QA_Images'!$AA$2:$AA$58)/100,IF(I9="FULL",1,IF(I9="PARTIAL",0.5,IF(I9="FAIL",0,""))))</f>
        <v/>
      </c>
      <c r="K9" s="8">
        <f>IF(J9="",0,H9*J9)</f>
        <v/>
      </c>
      <c r="L9" s="8">
        <f>IF(F9="I1",20*AVERAGEIF('QA_Images'!$D$2:$D$58,D9,'QA_Images'!$AB$2:$AB$58)/100,IF(I9="NOT_CHECKED",0,H9))</f>
        <v/>
      </c>
      <c r="M9" s="3" t="inlineStr">
        <is>
          <t>meta_description_seo no longer has hard truncation or dangling ending; length is below 145 but complete and meaningful, so no automatic penalty for character count.</t>
        </is>
      </c>
      <c r="N9" s="3" t="inlineStr">
        <is>
          <t>live json/html; D:\Shopify_Workspace\jeminise_seo\seo_runs\jeminise.com\20260906_234129\qa\20260908_183309\serp_evidence.json; D:\Shopify_Workspace\jeminise_seo\seo_runs\jeminise.com\20260906_234129\qa\20260908_183309\visual_observations.json</t>
        </is>
      </c>
      <c r="O9" s="3" t="inlineStr"/>
      <c r="P9" s="3" t="inlineStr"/>
    </row>
    <row r="10" ht="42" customHeight="1">
      <c r="A10" s="2" t="inlineStr">
        <is>
          <t>20260908_183309</t>
        </is>
      </c>
      <c r="B10" s="2" t="inlineStr">
        <is>
          <t>qa_batch_034_r3</t>
        </is>
      </c>
      <c r="C10" s="2" t="inlineStr">
        <is>
          <t>r3</t>
        </is>
      </c>
      <c r="D10" s="2" t="inlineStr">
        <is>
          <t>jeminise.com+softball-themed-bedding-for-girls-and-women-bright-teal-yellow</t>
        </is>
      </c>
      <c r="E10" s="2" t="n">
        <v>331</v>
      </c>
      <c r="F10" s="2" t="inlineStr">
        <is>
          <t>D2</t>
        </is>
      </c>
      <c r="G10" s="2" t="inlineStr">
        <is>
          <t>Description HTML</t>
        </is>
      </c>
      <c r="H10" s="2" t="n">
        <v>10</v>
      </c>
      <c r="I10" s="2" t="inlineStr">
        <is>
          <t>PARTIAL</t>
        </is>
      </c>
      <c r="J10" s="6">
        <f>IF(F10="I1",AVERAGEIF('QA_Images'!$D$2:$D$58,D10,'QA_Images'!$AA$2:$AA$58)/100,IF(I10="FULL",1,IF(I10="PARTIAL",0.5,IF(I10="FAIL",0,""))))</f>
        <v/>
      </c>
      <c r="K10" s="6">
        <f>IF(J10="",0,H10*J10)</f>
        <v/>
      </c>
      <c r="L10" s="6">
        <f>IF(F10="I1",20*AVERAGEIF('QA_Images'!$D$2:$D$58,D10,'QA_Images'!$AB$2:$AB$58)/100,IF(I10="NOT_CHECKED",0,H10))</f>
        <v/>
      </c>
      <c r="M10" s="2" t="inlineStr">
        <is>
          <t>Description facts mostly match live/product evidence, but the body still contains editorial/process phrasing and generic gallery wording that should not ship as final storefront copy.</t>
        </is>
      </c>
      <c r="N10" s="2" t="inlineStr">
        <is>
          <t>live json/html; D:\Shopify_Workspace\jeminise_seo\seo_runs\jeminise.com\20260906_234129\qa\20260908_183309\serp_evidence.json; D:\Shopify_Workspace\jeminise_seo\seo_runs\jeminise.com\20260906_234129\qa\20260908_183309\visual_observations.json</t>
        </is>
      </c>
      <c r="O10" s="2" t="inlineStr">
        <is>
          <t>ISS-034-331-D2-CUSTOMER-COPY</t>
        </is>
      </c>
      <c r="P10" s="2" t="inlineStr">
        <is>
          <t>Rewrite as customer-facing English body copy for Vintage Yellow Softball Comforter Set; remove “The copy stays specific...” and avoid process-style gallery wording.</t>
        </is>
      </c>
    </row>
    <row r="11" ht="42" customHeight="1">
      <c r="A11" s="3" t="inlineStr">
        <is>
          <t>20260908_183309</t>
        </is>
      </c>
      <c r="B11" s="3" t="inlineStr">
        <is>
          <t>qa_batch_034_r3</t>
        </is>
      </c>
      <c r="C11" s="3" t="inlineStr">
        <is>
          <t>r3</t>
        </is>
      </c>
      <c r="D11" s="3" t="inlineStr">
        <is>
          <t>jeminise.com+softball-themed-bedding-for-girls-and-women-bright-teal-yellow</t>
        </is>
      </c>
      <c r="E11" s="3" t="n">
        <v>331</v>
      </c>
      <c r="F11" s="3" t="inlineStr">
        <is>
          <t>I1</t>
        </is>
      </c>
      <c r="G11" s="3" t="inlineStr">
        <is>
          <t>Image/alt QA aggregate</t>
        </is>
      </c>
      <c r="H11" s="3" t="n">
        <v>20</v>
      </c>
      <c r="I11" s="3" t="inlineStr">
        <is>
          <t>DERIVED_FROM_IMAGES</t>
        </is>
      </c>
      <c r="J11" s="8">
        <f>IF(F11="I1",AVERAGEIF('QA_Images'!$D$2:$D$58,D11,'QA_Images'!$AA$2:$AA$58)/100,IF(I11="FULL",1,IF(I11="PARTIAL",0.5,IF(I11="FAIL",0,""))))</f>
        <v/>
      </c>
      <c r="K11" s="8">
        <f>IF(J11="",0,H11*J11)</f>
        <v/>
      </c>
      <c r="L11" s="8">
        <f>IF(F11="I1",20*AVERAGEIF('QA_Images'!$D$2:$D$58,D11,'QA_Images'!$AB$2:$AB$58)/100,IF(I11="NOT_CHECKED",0,H11))</f>
        <v/>
      </c>
      <c r="M11" s="3" t="inlineStr">
        <is>
          <t>Derived from QA_Images average for this product; all images were opened directly in this run.</t>
        </is>
      </c>
      <c r="N11" s="3" t="inlineStr">
        <is>
          <t>live json/html; D:\Shopify_Workspace\jeminise_seo\seo_runs\jeminise.com\20260906_234129\qa\20260908_183309\serp_evidence.json; D:\Shopify_Workspace\jeminise_seo\seo_runs\jeminise.com\20260906_234129\qa\20260908_183309\visual_observations.json</t>
        </is>
      </c>
      <c r="O11" s="3" t="inlineStr"/>
      <c r="P11" s="3" t="inlineStr"/>
    </row>
    <row r="12" ht="42" customHeight="1">
      <c r="A12" s="2" t="inlineStr">
        <is>
          <t>20260908_183309</t>
        </is>
      </c>
      <c r="B12" s="2" t="inlineStr">
        <is>
          <t>qa_batch_034_r3</t>
        </is>
      </c>
      <c r="C12" s="2" t="inlineStr">
        <is>
          <t>r3</t>
        </is>
      </c>
      <c r="D12" s="2" t="inlineStr">
        <is>
          <t>jeminise.com+softball-themed-bedding-for-girls-and-women-bright-teal-yellow</t>
        </is>
      </c>
      <c r="E12" s="2" t="n">
        <v>331</v>
      </c>
      <c r="F12" s="2" t="inlineStr">
        <is>
          <t>E1</t>
        </is>
      </c>
      <c r="G12" s="2" t="inlineStr">
        <is>
          <t>Evidence chain and traceability</t>
        </is>
      </c>
      <c r="H12" s="2" t="n">
        <v>5</v>
      </c>
      <c r="I12" s="2" t="inlineStr">
        <is>
          <t>PARTIAL</t>
        </is>
      </c>
      <c r="J12" s="6">
        <f>IF(F12="I1",AVERAGEIF('QA_Images'!$D$2:$D$58,D12,'QA_Images'!$AA$2:$AA$58)/100,IF(I12="FULL",1,IF(I12="PARTIAL",0.5,IF(I12="FAIL",0,""))))</f>
        <v/>
      </c>
      <c r="K12" s="6">
        <f>IF(J12="",0,H12*J12)</f>
        <v/>
      </c>
      <c r="L12" s="6">
        <f>IF(F12="I1",20*AVERAGEIF('QA_Images'!$D$2:$D$58,D12,'QA_Images'!$AB$2:$AB$58)/100,IF(I12="NOT_CHECKED",0,H12))</f>
        <v/>
      </c>
      <c r="M12" s="2" t="inlineStr">
        <is>
          <t>Evidence chain exists, but workbook traceability still carries r2/contact-sheet wording while the actual source file is r3; this QA run compensates with new live/image/SERP evidence.</t>
        </is>
      </c>
      <c r="N12" s="2" t="inlineStr">
        <is>
          <t>live json/html; D:\Shopify_Workspace\jeminise_seo\seo_runs\jeminise.com\20260906_234129\qa\20260908_183309\serp_evidence.json; D:\Shopify_Workspace\jeminise_seo\seo_runs\jeminise.com\20260906_234129\qa\20260908_183309\visual_observations.json</t>
        </is>
      </c>
      <c r="O12" s="2" t="inlineStr">
        <is>
          <t>ISS-034-331-E1-REVISION-TRACE</t>
        </is>
      </c>
      <c r="P12" s="2" t="inlineStr"/>
    </row>
    <row r="13" ht="42" customHeight="1">
      <c r="A13" s="3" t="inlineStr">
        <is>
          <t>20260908_183309</t>
        </is>
      </c>
      <c r="B13" s="3" t="inlineStr">
        <is>
          <t>qa_batch_034_r3</t>
        </is>
      </c>
      <c r="C13" s="3" t="inlineStr">
        <is>
          <t>r3</t>
        </is>
      </c>
      <c r="D13" s="3" t="inlineStr">
        <is>
          <t>jeminise.com+sports-theme-softball-bedding-premium-teal-yellow-comforter-set-for</t>
        </is>
      </c>
      <c r="E13" s="3" t="n">
        <v>332</v>
      </c>
      <c r="F13" s="3" t="inlineStr">
        <is>
          <t>P1</t>
        </is>
      </c>
      <c r="G13" s="3" t="inlineStr">
        <is>
          <t>Product identity/source match</t>
        </is>
      </c>
      <c r="H13" s="3" t="n">
        <v>15</v>
      </c>
      <c r="I13" s="3" t="inlineStr">
        <is>
          <t>FULL</t>
        </is>
      </c>
      <c r="J13" s="8">
        <f>IF(F13="I1",AVERAGEIF('QA_Images'!$D$2:$D$58,D13,'QA_Images'!$AA$2:$AA$58)/100,IF(I13="FULL",1,IF(I13="PARTIAL",0.5,IF(I13="FAIL",0,""))))</f>
        <v/>
      </c>
      <c r="K13" s="8">
        <f>IF(J13="",0,H13*J13)</f>
        <v/>
      </c>
      <c r="L13" s="8">
        <f>IF(F13="I1",20*AVERAGEIF('QA_Images'!$D$2:$D$58,D13,'QA_Images'!$AB$2:$AB$58)/100,IF(I13="NOT_CHECKED",0,H13))</f>
        <v/>
      </c>
      <c r="M13" s="3" t="inlineStr">
        <is>
          <t>Product identity locked by inventory product_key, handle and product_id; live product JSON matched handle/id and expected image count for position 332.</t>
        </is>
      </c>
      <c r="N13" s="3" t="inlineStr">
        <is>
          <t>live json/html; D:\Shopify_Workspace\jeminise_seo\seo_runs\jeminise.com\20260906_234129\qa\20260908_183309\serp_evidence.json; D:\Shopify_Workspace\jeminise_seo\seo_runs\jeminise.com\20260906_234129\qa\20260908_183309\visual_observations.json</t>
        </is>
      </c>
      <c r="O13" s="3" t="inlineStr"/>
      <c r="P13" s="3" t="inlineStr"/>
    </row>
    <row r="14" ht="42" customHeight="1">
      <c r="A14" s="2" t="inlineStr">
        <is>
          <t>20260908_183309</t>
        </is>
      </c>
      <c r="B14" s="2" t="inlineStr">
        <is>
          <t>qa_batch_034_r3</t>
        </is>
      </c>
      <c r="C14" s="2" t="inlineStr">
        <is>
          <t>r3</t>
        </is>
      </c>
      <c r="D14" s="2" t="inlineStr">
        <is>
          <t>jeminise.com+sports-theme-softball-bedding-premium-teal-yellow-comforter-set-for</t>
        </is>
      </c>
      <c r="E14" s="2" t="n">
        <v>332</v>
      </c>
      <c r="F14" s="2" t="inlineStr">
        <is>
          <t>P2</t>
        </is>
      </c>
      <c r="G14" s="2" t="inlineStr">
        <is>
          <t>Facts, offer and customization</t>
        </is>
      </c>
      <c r="H14" s="2" t="n">
        <v>10</v>
      </c>
      <c r="I14" s="2" t="inlineStr">
        <is>
          <t>FULL</t>
        </is>
      </c>
      <c r="J14" s="6">
        <f>IF(F14="I1",AVERAGEIF('QA_Images'!$D$2:$D$58,D14,'QA_Images'!$AA$2:$AA$58)/100,IF(I14="FULL",1,IF(I14="PARTIAL",0.5,IF(I14="FAIL",0,""))))</f>
        <v/>
      </c>
      <c r="K14" s="6">
        <f>IF(J14="",0,H14*J14)</f>
        <v/>
      </c>
      <c r="L14" s="6">
        <f>IF(F14="I1",20*AVERAGEIF('QA_Images'!$D$2:$D$58,D14,'QA_Images'!$AB$2:$AB$58)/100,IF(I14="NOT_CHECKED",0,H14))</f>
        <v/>
      </c>
      <c r="M14" s="2" t="inlineStr">
        <is>
          <t>Offer facts verified from live JSON/options and full HTML customizer config: options Choose Comforter Size, Pillowcases; customizer labels ['Custom Your Name', 'Custom Your Number'].</t>
        </is>
      </c>
      <c r="N14" s="2" t="inlineStr">
        <is>
          <t>live json/html; D:\Shopify_Workspace\jeminise_seo\seo_runs\jeminise.com\20260906_234129\qa\20260908_183309\serp_evidence.json; D:\Shopify_Workspace\jeminise_seo\seo_runs\jeminise.com\20260906_234129\qa\20260908_183309\visual_observations.json</t>
        </is>
      </c>
      <c r="O14" s="2" t="inlineStr"/>
      <c r="P14" s="2" t="inlineStr"/>
    </row>
    <row r="15" ht="42" customHeight="1">
      <c r="A15" s="3" t="inlineStr">
        <is>
          <t>20260908_183309</t>
        </is>
      </c>
      <c r="B15" s="3" t="inlineStr">
        <is>
          <t>qa_batch_034_r3</t>
        </is>
      </c>
      <c r="C15" s="3" t="inlineStr">
        <is>
          <t>r3</t>
        </is>
      </c>
      <c r="D15" s="3" t="inlineStr">
        <is>
          <t>jeminise.com+sports-theme-softball-bedding-premium-teal-yellow-comforter-set-for</t>
        </is>
      </c>
      <c r="E15" s="3" t="n">
        <v>332</v>
      </c>
      <c r="F15" s="3" t="inlineStr">
        <is>
          <t>K1</t>
        </is>
      </c>
      <c r="G15" s="3" t="inlineStr">
        <is>
          <t>Primary keyword evidence</t>
        </is>
      </c>
      <c r="H15" s="3" t="n">
        <v>10</v>
      </c>
      <c r="I15" s="3" t="inlineStr">
        <is>
          <t>PARTIAL</t>
        </is>
      </c>
      <c r="J15" s="8">
        <f>IF(F15="I1",AVERAGEIF('QA_Images'!$D$2:$D$58,D15,'QA_Images'!$AA$2:$AA$58)/100,IF(I15="FULL",1,IF(I15="PARTIAL",0.5,IF(I15="FAIL",0,""))))</f>
        <v/>
      </c>
      <c r="K15" s="8">
        <f>IF(J15="",0,H15*J15)</f>
        <v/>
      </c>
      <c r="L15" s="8">
        <f>IF(F15="I1",20*AVERAGEIF('QA_Images'!$D$2:$D$58,D15,'QA_Images'!$AB$2:$AB$58)/100,IF(I15="NOT_CHECKED",0,H15))</f>
        <v/>
      </c>
      <c r="M15" s="3" t="inlineStr">
        <is>
          <t>Primary keyword combines a very specific motif with a broad product type; live SERP splits into adjacent intents and exact finished-product support is weak.</t>
        </is>
      </c>
      <c r="N15" s="3" t="inlineStr">
        <is>
          <t>live json/html; D:\Shopify_Workspace\jeminise_seo\seo_runs\jeminise.com\20260906_234129\qa\20260908_183309\serp_evidence.json; D:\Shopify_Workspace\jeminise_seo\seo_runs\jeminise.com\20260906_234129\qa\20260908_183309\visual_observations.json</t>
        </is>
      </c>
      <c r="O15" s="3" t="inlineStr">
        <is>
          <t>ISS-034-332-K1-SERP-WEAK</t>
        </is>
      </c>
      <c r="P15" s="3" t="inlineStr"/>
    </row>
    <row r="16" ht="42" customHeight="1">
      <c r="A16" s="2" t="inlineStr">
        <is>
          <t>20260908_183309</t>
        </is>
      </c>
      <c r="B16" s="2" t="inlineStr">
        <is>
          <t>qa_batch_034_r3</t>
        </is>
      </c>
      <c r="C16" s="2" t="inlineStr">
        <is>
          <t>r3</t>
        </is>
      </c>
      <c r="D16" s="2" t="inlineStr">
        <is>
          <t>jeminise.com+sports-theme-softball-bedding-premium-teal-yellow-comforter-set-for</t>
        </is>
      </c>
      <c r="E16" s="2" t="n">
        <v>332</v>
      </c>
      <c r="F16" s="2" t="inlineStr">
        <is>
          <t>K2</t>
        </is>
      </c>
      <c r="G16" s="2" t="inlineStr">
        <is>
          <t>Intent/cannibalization separation</t>
        </is>
      </c>
      <c r="H16" s="2" t="n">
        <v>5</v>
      </c>
      <c r="I16" s="2" t="inlineStr">
        <is>
          <t>PARTIAL</t>
        </is>
      </c>
      <c r="J16" s="6">
        <f>IF(F16="I1",AVERAGEIF('QA_Images'!$D$2:$D$58,D16,'QA_Images'!$AA$2:$AA$58)/100,IF(I16="FULL",1,IF(I16="PARTIAL",0.5,IF(I16="FAIL",0,""))))</f>
        <v/>
      </c>
      <c r="K16" s="6">
        <f>IF(J16="",0,H16*J16)</f>
        <v/>
      </c>
      <c r="L16" s="6">
        <f>IF(F16="I1",20*AVERAGEIF('QA_Images'!$D$2:$D$58,D16,'QA_Images'!$AB$2:$AB$58)/100,IF(I16="NOT_CHECKED",0,H16))</f>
        <v/>
      </c>
      <c r="M16" s="2" t="inlineStr">
        <is>
          <t>Keyword differentiation exists by motif, but nearby products in the same softball/cardinal cluster share broad secondary terms and mapping rationale is repetitive.</t>
        </is>
      </c>
      <c r="N16" s="2" t="inlineStr">
        <is>
          <t>live json/html; D:\Shopify_Workspace\jeminise_seo\seo_runs\jeminise.com\20260906_234129\qa\20260908_183309\serp_evidence.json; D:\Shopify_Workspace\jeminise_seo\seo_runs\jeminise.com\20260906_234129\qa\20260908_183309\visual_observations.json</t>
        </is>
      </c>
      <c r="O16" s="2" t="inlineStr">
        <is>
          <t>ISS-034-332-K1-SERP-WEAK</t>
        </is>
      </c>
      <c r="P16" s="2" t="inlineStr"/>
    </row>
    <row r="17" ht="42" customHeight="1">
      <c r="A17" s="3" t="inlineStr">
        <is>
          <t>20260908_183309</t>
        </is>
      </c>
      <c r="B17" s="3" t="inlineStr">
        <is>
          <t>qa_batch_034_r3</t>
        </is>
      </c>
      <c r="C17" s="3" t="inlineStr">
        <is>
          <t>r3</t>
        </is>
      </c>
      <c r="D17" s="3" t="inlineStr">
        <is>
          <t>jeminise.com+sports-theme-softball-bedding-premium-teal-yellow-comforter-set-for</t>
        </is>
      </c>
      <c r="E17" s="3" t="n">
        <v>332</v>
      </c>
      <c r="F17" s="3" t="inlineStr">
        <is>
          <t>K3</t>
        </is>
      </c>
      <c r="G17" s="3" t="inlineStr">
        <is>
          <t>No unsupported keyword-volume claim</t>
        </is>
      </c>
      <c r="H17" s="3" t="n">
        <v>5</v>
      </c>
      <c r="I17" s="3" t="inlineStr">
        <is>
          <t>FULL</t>
        </is>
      </c>
      <c r="J17" s="8">
        <f>IF(F17="I1",AVERAGEIF('QA_Images'!$D$2:$D$58,D17,'QA_Images'!$AA$2:$AA$58)/100,IF(I17="FULL",1,IF(I17="PARTIAL",0.5,IF(I17="FAIL",0,""))))</f>
        <v/>
      </c>
      <c r="K17" s="8">
        <f>IF(J17="",0,H17*J17)</f>
        <v/>
      </c>
      <c r="L17" s="8">
        <f>IF(F17="I1",20*AVERAGEIF('QA_Images'!$D$2:$D$58,D17,'QA_Images'!$AB$2:$AB$58)/100,IF(I17="NOT_CHECKED",0,H17))</f>
        <v/>
      </c>
      <c r="M17" s="3" t="inlineStr">
        <is>
          <t>No search-volume or ranking claim is made; keyword evidence is correctly limited as SERP_ONLY.</t>
        </is>
      </c>
      <c r="N17" s="3" t="inlineStr">
        <is>
          <t>live json/html; D:\Shopify_Workspace\jeminise_seo\seo_runs\jeminise.com\20260906_234129\qa\20260908_183309\serp_evidence.json; D:\Shopify_Workspace\jeminise_seo\seo_runs\jeminise.com\20260906_234129\qa\20260908_183309\visual_observations.json</t>
        </is>
      </c>
      <c r="O17" s="3" t="inlineStr">
        <is>
          <t>ISS-034-332-K1-SERP-WEAK</t>
        </is>
      </c>
      <c r="P17" s="3" t="inlineStr"/>
    </row>
    <row r="18" ht="42" customHeight="1">
      <c r="A18" s="2" t="inlineStr">
        <is>
          <t>20260908_183309</t>
        </is>
      </c>
      <c r="B18" s="2" t="inlineStr">
        <is>
          <t>qa_batch_034_r3</t>
        </is>
      </c>
      <c r="C18" s="2" t="inlineStr">
        <is>
          <t>r3</t>
        </is>
      </c>
      <c r="D18" s="2" t="inlineStr">
        <is>
          <t>jeminise.com+sports-theme-softball-bedding-premium-teal-yellow-comforter-set-for</t>
        </is>
      </c>
      <c r="E18" s="2" t="n">
        <v>332</v>
      </c>
      <c r="F18" s="2" t="inlineStr">
        <is>
          <t>T1</t>
        </is>
      </c>
      <c r="G18" s="2" t="inlineStr">
        <is>
          <t>SEO title/meta title</t>
        </is>
      </c>
      <c r="H18" s="2" t="n">
        <v>10</v>
      </c>
      <c r="I18" s="2" t="inlineStr">
        <is>
          <t>FULL</t>
        </is>
      </c>
      <c r="J18" s="6">
        <f>IF(F18="I1",AVERAGEIF('QA_Images'!$D$2:$D$58,D18,'QA_Images'!$AA$2:$AA$58)/100,IF(I18="FULL",1,IF(I18="PARTIAL",0.5,IF(I18="FAIL",0,""))))</f>
        <v/>
      </c>
      <c r="K18" s="6">
        <f>IF(J18="",0,H18*J18)</f>
        <v/>
      </c>
      <c r="L18" s="6">
        <f>IF(F18="I1",20*AVERAGEIF('QA_Images'!$D$2:$D$58,D18,'QA_Images'!$AB$2:$AB$58)/100,IF(I18="NOT_CHECKED",0,H18))</f>
        <v/>
      </c>
      <c r="M18" s="2" t="inlineStr">
        <is>
          <t>meta_title_seo is concise, readable, and maps to the verified motif/product type.</t>
        </is>
      </c>
      <c r="N18" s="2" t="inlineStr">
        <is>
          <t>live json/html; D:\Shopify_Workspace\jeminise_seo\seo_runs\jeminise.com\20260906_234129\qa\20260908_183309\serp_evidence.json; D:\Shopify_Workspace\jeminise_seo\seo_runs\jeminise.com\20260906_234129\qa\20260908_183309\visual_observations.json</t>
        </is>
      </c>
      <c r="O18" s="2" t="inlineStr"/>
      <c r="P18" s="2" t="inlineStr"/>
    </row>
    <row r="19" ht="42" customHeight="1">
      <c r="A19" s="3" t="inlineStr">
        <is>
          <t>20260908_183309</t>
        </is>
      </c>
      <c r="B19" s="3" t="inlineStr">
        <is>
          <t>qa_batch_034_r3</t>
        </is>
      </c>
      <c r="C19" s="3" t="inlineStr">
        <is>
          <t>r3</t>
        </is>
      </c>
      <c r="D19" s="3" t="inlineStr">
        <is>
          <t>jeminise.com+sports-theme-softball-bedding-premium-teal-yellow-comforter-set-for</t>
        </is>
      </c>
      <c r="E19" s="3" t="n">
        <v>332</v>
      </c>
      <c r="F19" s="3" t="inlineStr">
        <is>
          <t>T2</t>
        </is>
      </c>
      <c r="G19" s="3" t="inlineStr">
        <is>
          <t>Product title/H1 proposal</t>
        </is>
      </c>
      <c r="H19" s="3" t="n">
        <v>5</v>
      </c>
      <c r="I19" s="3" t="inlineStr">
        <is>
          <t>FULL</t>
        </is>
      </c>
      <c r="J19" s="8">
        <f>IF(F19="I1",AVERAGEIF('QA_Images'!$D$2:$D$58,D19,'QA_Images'!$AA$2:$AA$58)/100,IF(I19="FULL",1,IF(I19="PARTIAL",0.5,IF(I19="FAIL",0,""))))</f>
        <v/>
      </c>
      <c r="K19" s="8">
        <f>IF(J19="",0,H19*J19)</f>
        <v/>
      </c>
      <c r="L19" s="8">
        <f>IF(F19="I1",20*AVERAGEIF('QA_Images'!$D$2:$D$58,D19,'QA_Images'!$AB$2:$AB$58)/100,IF(I19="NOT_CHECKED",0,H19))</f>
        <v/>
      </c>
      <c r="M19" s="3" t="inlineStr">
        <is>
          <t>title_proposed is publishable as a clean H1/title replacement and fixes the current truncated or mojibake-heavy storefront title.</t>
        </is>
      </c>
      <c r="N19" s="3" t="inlineStr">
        <is>
          <t>live json/html; D:\Shopify_Workspace\jeminise_seo\seo_runs\jeminise.com\20260906_234129\qa\20260908_183309\serp_evidence.json; D:\Shopify_Workspace\jeminise_seo\seo_runs\jeminise.com\20260906_234129\qa\20260908_183309\visual_observations.json</t>
        </is>
      </c>
      <c r="O19" s="3" t="inlineStr"/>
      <c r="P19" s="3" t="inlineStr"/>
    </row>
    <row r="20" ht="42" customHeight="1">
      <c r="A20" s="2" t="inlineStr">
        <is>
          <t>20260908_183309</t>
        </is>
      </c>
      <c r="B20" s="2" t="inlineStr">
        <is>
          <t>qa_batch_034_r3</t>
        </is>
      </c>
      <c r="C20" s="2" t="inlineStr">
        <is>
          <t>r3</t>
        </is>
      </c>
      <c r="D20" s="2" t="inlineStr">
        <is>
          <t>jeminise.com+sports-theme-softball-bedding-premium-teal-yellow-comforter-set-for</t>
        </is>
      </c>
      <c r="E20" s="2" t="n">
        <v>332</v>
      </c>
      <c r="F20" s="2" t="inlineStr">
        <is>
          <t>D1</t>
        </is>
      </c>
      <c r="G20" s="2" t="inlineStr">
        <is>
          <t>Meta description</t>
        </is>
      </c>
      <c r="H20" s="2" t="n">
        <v>5</v>
      </c>
      <c r="I20" s="2" t="inlineStr">
        <is>
          <t>FULL</t>
        </is>
      </c>
      <c r="J20" s="6">
        <f>IF(F20="I1",AVERAGEIF('QA_Images'!$D$2:$D$58,D20,'QA_Images'!$AA$2:$AA$58)/100,IF(I20="FULL",1,IF(I20="PARTIAL",0.5,IF(I20="FAIL",0,""))))</f>
        <v/>
      </c>
      <c r="K20" s="6">
        <f>IF(J20="",0,H20*J20)</f>
        <v/>
      </c>
      <c r="L20" s="6">
        <f>IF(F20="I1",20*AVERAGEIF('QA_Images'!$D$2:$D$58,D20,'QA_Images'!$AB$2:$AB$58)/100,IF(I20="NOT_CHECKED",0,H20))</f>
        <v/>
      </c>
      <c r="M20" s="2" t="inlineStr">
        <is>
          <t>meta_description_seo no longer has hard truncation or dangling ending; length is below 145 but complete and meaningful, so no automatic penalty for character count.</t>
        </is>
      </c>
      <c r="N20" s="2" t="inlineStr">
        <is>
          <t>live json/html; D:\Shopify_Workspace\jeminise_seo\seo_runs\jeminise.com\20260906_234129\qa\20260908_183309\serp_evidence.json; D:\Shopify_Workspace\jeminise_seo\seo_runs\jeminise.com\20260906_234129\qa\20260908_183309\visual_observations.json</t>
        </is>
      </c>
      <c r="O20" s="2" t="inlineStr"/>
      <c r="P20" s="2" t="inlineStr"/>
    </row>
    <row r="21" ht="42" customHeight="1">
      <c r="A21" s="3" t="inlineStr">
        <is>
          <t>20260908_183309</t>
        </is>
      </c>
      <c r="B21" s="3" t="inlineStr">
        <is>
          <t>qa_batch_034_r3</t>
        </is>
      </c>
      <c r="C21" s="3" t="inlineStr">
        <is>
          <t>r3</t>
        </is>
      </c>
      <c r="D21" s="3" t="inlineStr">
        <is>
          <t>jeminise.com+sports-theme-softball-bedding-premium-teal-yellow-comforter-set-for</t>
        </is>
      </c>
      <c r="E21" s="3" t="n">
        <v>332</v>
      </c>
      <c r="F21" s="3" t="inlineStr">
        <is>
          <t>D2</t>
        </is>
      </c>
      <c r="G21" s="3" t="inlineStr">
        <is>
          <t>Description HTML</t>
        </is>
      </c>
      <c r="H21" s="3" t="n">
        <v>10</v>
      </c>
      <c r="I21" s="3" t="inlineStr">
        <is>
          <t>PARTIAL</t>
        </is>
      </c>
      <c r="J21" s="8">
        <f>IF(F21="I1",AVERAGEIF('QA_Images'!$D$2:$D$58,D21,'QA_Images'!$AA$2:$AA$58)/100,IF(I21="FULL",1,IF(I21="PARTIAL",0.5,IF(I21="FAIL",0,""))))</f>
        <v/>
      </c>
      <c r="K21" s="8">
        <f>IF(J21="",0,H21*J21)</f>
        <v/>
      </c>
      <c r="L21" s="8">
        <f>IF(F21="I1",20*AVERAGEIF('QA_Images'!$D$2:$D$58,D21,'QA_Images'!$AB$2:$AB$58)/100,IF(I21="NOT_CHECKED",0,H21))</f>
        <v/>
      </c>
      <c r="M21" s="3" t="inlineStr">
        <is>
          <t>Description facts mostly match live/product evidence, but the body still contains editorial/process phrasing and generic gallery wording that should not ship as final storefront copy.</t>
        </is>
      </c>
      <c r="N21" s="3" t="inlineStr">
        <is>
          <t>live json/html; D:\Shopify_Workspace\jeminise_seo\seo_runs\jeminise.com\20260906_234129\qa\20260908_183309\serp_evidence.json; D:\Shopify_Workspace\jeminise_seo\seo_runs\jeminise.com\20260906_234129\qa\20260908_183309\visual_observations.json</t>
        </is>
      </c>
      <c r="O21" s="3" t="inlineStr">
        <is>
          <t>ISS-034-332-D2-CUSTOMER-COPY</t>
        </is>
      </c>
      <c r="P21" s="3" t="inlineStr">
        <is>
          <t>Rewrite as customer-facing English body copy for Polka Dot Softball Comforter Set; remove “The copy stays specific...” and avoid process-style gallery wording.</t>
        </is>
      </c>
    </row>
    <row r="22" ht="42" customHeight="1">
      <c r="A22" s="2" t="inlineStr">
        <is>
          <t>20260908_183309</t>
        </is>
      </c>
      <c r="B22" s="2" t="inlineStr">
        <is>
          <t>qa_batch_034_r3</t>
        </is>
      </c>
      <c r="C22" s="2" t="inlineStr">
        <is>
          <t>r3</t>
        </is>
      </c>
      <c r="D22" s="2" t="inlineStr">
        <is>
          <t>jeminise.com+sports-theme-softball-bedding-premium-teal-yellow-comforter-set-for</t>
        </is>
      </c>
      <c r="E22" s="2" t="n">
        <v>332</v>
      </c>
      <c r="F22" s="2" t="inlineStr">
        <is>
          <t>I1</t>
        </is>
      </c>
      <c r="G22" s="2" t="inlineStr">
        <is>
          <t>Image/alt QA aggregate</t>
        </is>
      </c>
      <c r="H22" s="2" t="n">
        <v>20</v>
      </c>
      <c r="I22" s="2" t="inlineStr">
        <is>
          <t>DERIVED_FROM_IMAGES</t>
        </is>
      </c>
      <c r="J22" s="6">
        <f>IF(F22="I1",AVERAGEIF('QA_Images'!$D$2:$D$58,D22,'QA_Images'!$AA$2:$AA$58)/100,IF(I22="FULL",1,IF(I22="PARTIAL",0.5,IF(I22="FAIL",0,""))))</f>
        <v/>
      </c>
      <c r="K22" s="6">
        <f>IF(J22="",0,H22*J22)</f>
        <v/>
      </c>
      <c r="L22" s="6">
        <f>IF(F22="I1",20*AVERAGEIF('QA_Images'!$D$2:$D$58,D22,'QA_Images'!$AB$2:$AB$58)/100,IF(I22="NOT_CHECKED",0,H22))</f>
        <v/>
      </c>
      <c r="M22" s="2" t="inlineStr">
        <is>
          <t>Derived from QA_Images average for this product; all images were opened directly in this run.</t>
        </is>
      </c>
      <c r="N22" s="2" t="inlineStr">
        <is>
          <t>live json/html; D:\Shopify_Workspace\jeminise_seo\seo_runs\jeminise.com\20260906_234129\qa\20260908_183309\serp_evidence.json; D:\Shopify_Workspace\jeminise_seo\seo_runs\jeminise.com\20260906_234129\qa\20260908_183309\visual_observations.json</t>
        </is>
      </c>
      <c r="O22" s="2" t="inlineStr"/>
      <c r="P22" s="2" t="inlineStr"/>
    </row>
    <row r="23" ht="42" customHeight="1">
      <c r="A23" s="3" t="inlineStr">
        <is>
          <t>20260908_183309</t>
        </is>
      </c>
      <c r="B23" s="3" t="inlineStr">
        <is>
          <t>qa_batch_034_r3</t>
        </is>
      </c>
      <c r="C23" s="3" t="inlineStr">
        <is>
          <t>r3</t>
        </is>
      </c>
      <c r="D23" s="3" t="inlineStr">
        <is>
          <t>jeminise.com+sports-theme-softball-bedding-premium-teal-yellow-comforter-set-for</t>
        </is>
      </c>
      <c r="E23" s="3" t="n">
        <v>332</v>
      </c>
      <c r="F23" s="3" t="inlineStr">
        <is>
          <t>E1</t>
        </is>
      </c>
      <c r="G23" s="3" t="inlineStr">
        <is>
          <t>Evidence chain and traceability</t>
        </is>
      </c>
      <c r="H23" s="3" t="n">
        <v>5</v>
      </c>
      <c r="I23" s="3" t="inlineStr">
        <is>
          <t>PARTIAL</t>
        </is>
      </c>
      <c r="J23" s="8">
        <f>IF(F23="I1",AVERAGEIF('QA_Images'!$D$2:$D$58,D23,'QA_Images'!$AA$2:$AA$58)/100,IF(I23="FULL",1,IF(I23="PARTIAL",0.5,IF(I23="FAIL",0,""))))</f>
        <v/>
      </c>
      <c r="K23" s="8">
        <f>IF(J23="",0,H23*J23)</f>
        <v/>
      </c>
      <c r="L23" s="8">
        <f>IF(F23="I1",20*AVERAGEIF('QA_Images'!$D$2:$D$58,D23,'QA_Images'!$AB$2:$AB$58)/100,IF(I23="NOT_CHECKED",0,H23))</f>
        <v/>
      </c>
      <c r="M23" s="3" t="inlineStr">
        <is>
          <t>Evidence chain exists, but workbook traceability still carries r2/contact-sheet wording while the actual source file is r3; this QA run compensates with new live/image/SERP evidence.</t>
        </is>
      </c>
      <c r="N23" s="3" t="inlineStr">
        <is>
          <t>live json/html; D:\Shopify_Workspace\jeminise_seo\seo_runs\jeminise.com\20260906_234129\qa\20260908_183309\serp_evidence.json; D:\Shopify_Workspace\jeminise_seo\seo_runs\jeminise.com\20260906_234129\qa\20260908_183309\visual_observations.json</t>
        </is>
      </c>
      <c r="O23" s="3" t="inlineStr">
        <is>
          <t>ISS-034-332-E1-REVISION-TRACE</t>
        </is>
      </c>
      <c r="P23" s="3" t="inlineStr"/>
    </row>
    <row r="24" ht="42" customHeight="1">
      <c r="A24" s="2" t="inlineStr">
        <is>
          <t>20260908_183309</t>
        </is>
      </c>
      <c r="B24" s="2" t="inlineStr">
        <is>
          <t>qa_batch_034_r3</t>
        </is>
      </c>
      <c r="C24" s="2" t="inlineStr">
        <is>
          <t>r3</t>
        </is>
      </c>
      <c r="D24" s="2" t="inlineStr">
        <is>
          <t>jeminise.com+teal-yellow-softball-comforter-set-vibrant-sports-bedroom-decor</t>
        </is>
      </c>
      <c r="E24" s="2" t="n">
        <v>333</v>
      </c>
      <c r="F24" s="2" t="inlineStr">
        <is>
          <t>P1</t>
        </is>
      </c>
      <c r="G24" s="2" t="inlineStr">
        <is>
          <t>Product identity/source match</t>
        </is>
      </c>
      <c r="H24" s="2" t="n">
        <v>15</v>
      </c>
      <c r="I24" s="2" t="inlineStr">
        <is>
          <t>FULL</t>
        </is>
      </c>
      <c r="J24" s="6">
        <f>IF(F24="I1",AVERAGEIF('QA_Images'!$D$2:$D$58,D24,'QA_Images'!$AA$2:$AA$58)/100,IF(I24="FULL",1,IF(I24="PARTIAL",0.5,IF(I24="FAIL",0,""))))</f>
        <v/>
      </c>
      <c r="K24" s="6">
        <f>IF(J24="",0,H24*J24)</f>
        <v/>
      </c>
      <c r="L24" s="6">
        <f>IF(F24="I1",20*AVERAGEIF('QA_Images'!$D$2:$D$58,D24,'QA_Images'!$AB$2:$AB$58)/100,IF(I24="NOT_CHECKED",0,H24))</f>
        <v/>
      </c>
      <c r="M24" s="2" t="inlineStr">
        <is>
          <t>Product identity locked by inventory product_key, handle and product_id; live product JSON matched handle/id and expected image count for position 333.</t>
        </is>
      </c>
      <c r="N24" s="2" t="inlineStr">
        <is>
          <t>live json/html; D:\Shopify_Workspace\jeminise_seo\seo_runs\jeminise.com\20260906_234129\qa\20260908_183309\serp_evidence.json; D:\Shopify_Workspace\jeminise_seo\seo_runs\jeminise.com\20260906_234129\qa\20260908_183309\visual_observations.json</t>
        </is>
      </c>
      <c r="O24" s="2" t="inlineStr"/>
      <c r="P24" s="2" t="inlineStr"/>
    </row>
    <row r="25" ht="42" customHeight="1">
      <c r="A25" s="3" t="inlineStr">
        <is>
          <t>20260908_183309</t>
        </is>
      </c>
      <c r="B25" s="3" t="inlineStr">
        <is>
          <t>qa_batch_034_r3</t>
        </is>
      </c>
      <c r="C25" s="3" t="inlineStr">
        <is>
          <t>r3</t>
        </is>
      </c>
      <c r="D25" s="3" t="inlineStr">
        <is>
          <t>jeminise.com+teal-yellow-softball-comforter-set-vibrant-sports-bedroom-decor</t>
        </is>
      </c>
      <c r="E25" s="3" t="n">
        <v>333</v>
      </c>
      <c r="F25" s="3" t="inlineStr">
        <is>
          <t>P2</t>
        </is>
      </c>
      <c r="G25" s="3" t="inlineStr">
        <is>
          <t>Facts, offer and customization</t>
        </is>
      </c>
      <c r="H25" s="3" t="n">
        <v>10</v>
      </c>
      <c r="I25" s="3" t="inlineStr">
        <is>
          <t>FULL</t>
        </is>
      </c>
      <c r="J25" s="8">
        <f>IF(F25="I1",AVERAGEIF('QA_Images'!$D$2:$D$58,D25,'QA_Images'!$AA$2:$AA$58)/100,IF(I25="FULL",1,IF(I25="PARTIAL",0.5,IF(I25="FAIL",0,""))))</f>
        <v/>
      </c>
      <c r="K25" s="8">
        <f>IF(J25="",0,H25*J25)</f>
        <v/>
      </c>
      <c r="L25" s="8">
        <f>IF(F25="I1",20*AVERAGEIF('QA_Images'!$D$2:$D$58,D25,'QA_Images'!$AB$2:$AB$58)/100,IF(I25="NOT_CHECKED",0,H25))</f>
        <v/>
      </c>
      <c r="M25" s="3" t="inlineStr">
        <is>
          <t>Offer facts verified from live JSON/options and full HTML customizer config: options Choose Comforter Size, Pillowcases; customizer labels ['Custom Your Name', 'Custom Your Number'].</t>
        </is>
      </c>
      <c r="N25" s="3" t="inlineStr">
        <is>
          <t>live json/html; D:\Shopify_Workspace\jeminise_seo\seo_runs\jeminise.com\20260906_234129\qa\20260908_183309\serp_evidence.json; D:\Shopify_Workspace\jeminise_seo\seo_runs\jeminise.com\20260906_234129\qa\20260908_183309\visual_observations.json</t>
        </is>
      </c>
      <c r="O25" s="3" t="inlineStr"/>
      <c r="P25" s="3" t="inlineStr"/>
    </row>
    <row r="26" ht="42" customHeight="1">
      <c r="A26" s="2" t="inlineStr">
        <is>
          <t>20260908_183309</t>
        </is>
      </c>
      <c r="B26" s="2" t="inlineStr">
        <is>
          <t>qa_batch_034_r3</t>
        </is>
      </c>
      <c r="C26" s="2" t="inlineStr">
        <is>
          <t>r3</t>
        </is>
      </c>
      <c r="D26" s="2" t="inlineStr">
        <is>
          <t>jeminise.com+teal-yellow-softball-comforter-set-vibrant-sports-bedroom-decor</t>
        </is>
      </c>
      <c r="E26" s="2" t="n">
        <v>333</v>
      </c>
      <c r="F26" s="2" t="inlineStr">
        <is>
          <t>K1</t>
        </is>
      </c>
      <c r="G26" s="2" t="inlineStr">
        <is>
          <t>Primary keyword evidence</t>
        </is>
      </c>
      <c r="H26" s="2" t="n">
        <v>10</v>
      </c>
      <c r="I26" s="2" t="inlineStr">
        <is>
          <t>PARTIAL</t>
        </is>
      </c>
      <c r="J26" s="6">
        <f>IF(F26="I1",AVERAGEIF('QA_Images'!$D$2:$D$58,D26,'QA_Images'!$AA$2:$AA$58)/100,IF(I26="FULL",1,IF(I26="PARTIAL",0.5,IF(I26="FAIL",0,""))))</f>
        <v/>
      </c>
      <c r="K26" s="6">
        <f>IF(J26="",0,H26*J26)</f>
        <v/>
      </c>
      <c r="L26" s="6">
        <f>IF(F26="I1",20*AVERAGEIF('QA_Images'!$D$2:$D$58,D26,'QA_Images'!$AB$2:$AB$58)/100,IF(I26="NOT_CHECKED",0,H26))</f>
        <v/>
      </c>
      <c r="M26" s="2" t="inlineStr">
        <is>
          <t>Primary keyword is truthful to the visual motif, but current SERP evidence is mostly broad/related rather than strong exact-match finished product evidence.</t>
        </is>
      </c>
      <c r="N26" s="2" t="inlineStr">
        <is>
          <t>live json/html; D:\Shopify_Workspace\jeminise_seo\seo_runs\jeminise.com\20260906_234129\qa\20260908_183309\serp_evidence.json; D:\Shopify_Workspace\jeminise_seo\seo_runs\jeminise.com\20260906_234129\qa\20260908_183309\visual_observations.json</t>
        </is>
      </c>
      <c r="O26" s="2" t="inlineStr">
        <is>
          <t>ISS-034-333-K1-SERP-NICHE;ISS-034-333-K2-CLUSTER</t>
        </is>
      </c>
      <c r="P26" s="2" t="inlineStr"/>
    </row>
    <row r="27" ht="42" customHeight="1">
      <c r="A27" s="3" t="inlineStr">
        <is>
          <t>20260908_183309</t>
        </is>
      </c>
      <c r="B27" s="3" t="inlineStr">
        <is>
          <t>qa_batch_034_r3</t>
        </is>
      </c>
      <c r="C27" s="3" t="inlineStr">
        <is>
          <t>r3</t>
        </is>
      </c>
      <c r="D27" s="3" t="inlineStr">
        <is>
          <t>jeminise.com+teal-yellow-softball-comforter-set-vibrant-sports-bedroom-decor</t>
        </is>
      </c>
      <c r="E27" s="3" t="n">
        <v>333</v>
      </c>
      <c r="F27" s="3" t="inlineStr">
        <is>
          <t>K2</t>
        </is>
      </c>
      <c r="G27" s="3" t="inlineStr">
        <is>
          <t>Intent/cannibalization separation</t>
        </is>
      </c>
      <c r="H27" s="3" t="n">
        <v>5</v>
      </c>
      <c r="I27" s="3" t="inlineStr">
        <is>
          <t>PARTIAL</t>
        </is>
      </c>
      <c r="J27" s="8">
        <f>IF(F27="I1",AVERAGEIF('QA_Images'!$D$2:$D$58,D27,'QA_Images'!$AA$2:$AA$58)/100,IF(I27="FULL",1,IF(I27="PARTIAL",0.5,IF(I27="FAIL",0,""))))</f>
        <v/>
      </c>
      <c r="K27" s="8">
        <f>IF(J27="",0,H27*J27)</f>
        <v/>
      </c>
      <c r="L27" s="8">
        <f>IF(F27="I1",20*AVERAGEIF('QA_Images'!$D$2:$D$58,D27,'QA_Images'!$AB$2:$AB$58)/100,IF(I27="NOT_CHECKED",0,H27))</f>
        <v/>
      </c>
      <c r="M27" s="3" t="inlineStr">
        <is>
          <t>Keyword differentiation exists by motif, but nearby products in the same softball/cardinal cluster share broad secondary terms and mapping rationale is repetitive.</t>
        </is>
      </c>
      <c r="N27" s="3" t="inlineStr">
        <is>
          <t>live json/html; D:\Shopify_Workspace\jeminise_seo\seo_runs\jeminise.com\20260906_234129\qa\20260908_183309\serp_evidence.json; D:\Shopify_Workspace\jeminise_seo\seo_runs\jeminise.com\20260906_234129\qa\20260908_183309\visual_observations.json</t>
        </is>
      </c>
      <c r="O27" s="3" t="inlineStr">
        <is>
          <t>ISS-034-333-K1-SERP-NICHE;ISS-034-333-K2-CLUSTER</t>
        </is>
      </c>
      <c r="P27" s="3" t="inlineStr"/>
    </row>
    <row r="28" ht="42" customHeight="1">
      <c r="A28" s="2" t="inlineStr">
        <is>
          <t>20260908_183309</t>
        </is>
      </c>
      <c r="B28" s="2" t="inlineStr">
        <is>
          <t>qa_batch_034_r3</t>
        </is>
      </c>
      <c r="C28" s="2" t="inlineStr">
        <is>
          <t>r3</t>
        </is>
      </c>
      <c r="D28" s="2" t="inlineStr">
        <is>
          <t>jeminise.com+teal-yellow-softball-comforter-set-vibrant-sports-bedroom-decor</t>
        </is>
      </c>
      <c r="E28" s="2" t="n">
        <v>333</v>
      </c>
      <c r="F28" s="2" t="inlineStr">
        <is>
          <t>K3</t>
        </is>
      </c>
      <c r="G28" s="2" t="inlineStr">
        <is>
          <t>No unsupported keyword-volume claim</t>
        </is>
      </c>
      <c r="H28" s="2" t="n">
        <v>5</v>
      </c>
      <c r="I28" s="2" t="inlineStr">
        <is>
          <t>FULL</t>
        </is>
      </c>
      <c r="J28" s="6">
        <f>IF(F28="I1",AVERAGEIF('QA_Images'!$D$2:$D$58,D28,'QA_Images'!$AA$2:$AA$58)/100,IF(I28="FULL",1,IF(I28="PARTIAL",0.5,IF(I28="FAIL",0,""))))</f>
        <v/>
      </c>
      <c r="K28" s="6">
        <f>IF(J28="",0,H28*J28)</f>
        <v/>
      </c>
      <c r="L28" s="6">
        <f>IF(F28="I1",20*AVERAGEIF('QA_Images'!$D$2:$D$58,D28,'QA_Images'!$AB$2:$AB$58)/100,IF(I28="NOT_CHECKED",0,H28))</f>
        <v/>
      </c>
      <c r="M28" s="2" t="inlineStr">
        <is>
          <t>No search-volume or ranking claim is made; keyword evidence is correctly limited as SERP_ONLY.</t>
        </is>
      </c>
      <c r="N28" s="2" t="inlineStr">
        <is>
          <t>live json/html; D:\Shopify_Workspace\jeminise_seo\seo_runs\jeminise.com\20260906_234129\qa\20260908_183309\serp_evidence.json; D:\Shopify_Workspace\jeminise_seo\seo_runs\jeminise.com\20260906_234129\qa\20260908_183309\visual_observations.json</t>
        </is>
      </c>
      <c r="O28" s="2" t="inlineStr">
        <is>
          <t>ISS-034-333-K1-SERP-NICHE;ISS-034-333-K2-CLUSTER</t>
        </is>
      </c>
      <c r="P28" s="2" t="inlineStr"/>
    </row>
    <row r="29" ht="42" customHeight="1">
      <c r="A29" s="3" t="inlineStr">
        <is>
          <t>20260908_183309</t>
        </is>
      </c>
      <c r="B29" s="3" t="inlineStr">
        <is>
          <t>qa_batch_034_r3</t>
        </is>
      </c>
      <c r="C29" s="3" t="inlineStr">
        <is>
          <t>r3</t>
        </is>
      </c>
      <c r="D29" s="3" t="inlineStr">
        <is>
          <t>jeminise.com+teal-yellow-softball-comforter-set-vibrant-sports-bedroom-decor</t>
        </is>
      </c>
      <c r="E29" s="3" t="n">
        <v>333</v>
      </c>
      <c r="F29" s="3" t="inlineStr">
        <is>
          <t>T1</t>
        </is>
      </c>
      <c r="G29" s="3" t="inlineStr">
        <is>
          <t>SEO title/meta title</t>
        </is>
      </c>
      <c r="H29" s="3" t="n">
        <v>10</v>
      </c>
      <c r="I29" s="3" t="inlineStr">
        <is>
          <t>FULL</t>
        </is>
      </c>
      <c r="J29" s="8">
        <f>IF(F29="I1",AVERAGEIF('QA_Images'!$D$2:$D$58,D29,'QA_Images'!$AA$2:$AA$58)/100,IF(I29="FULL",1,IF(I29="PARTIAL",0.5,IF(I29="FAIL",0,""))))</f>
        <v/>
      </c>
      <c r="K29" s="8">
        <f>IF(J29="",0,H29*J29)</f>
        <v/>
      </c>
      <c r="L29" s="8">
        <f>IF(F29="I1",20*AVERAGEIF('QA_Images'!$D$2:$D$58,D29,'QA_Images'!$AB$2:$AB$58)/100,IF(I29="NOT_CHECKED",0,H29))</f>
        <v/>
      </c>
      <c r="M29" s="3" t="inlineStr">
        <is>
          <t>meta_title_seo is concise, readable, and maps to the verified motif/product type.</t>
        </is>
      </c>
      <c r="N29" s="3" t="inlineStr">
        <is>
          <t>live json/html; D:\Shopify_Workspace\jeminise_seo\seo_runs\jeminise.com\20260906_234129\qa\20260908_183309\serp_evidence.json; D:\Shopify_Workspace\jeminise_seo\seo_runs\jeminise.com\20260906_234129\qa\20260908_183309\visual_observations.json</t>
        </is>
      </c>
      <c r="O29" s="3" t="inlineStr"/>
      <c r="P29" s="3" t="inlineStr"/>
    </row>
    <row r="30" ht="42" customHeight="1">
      <c r="A30" s="2" t="inlineStr">
        <is>
          <t>20260908_183309</t>
        </is>
      </c>
      <c r="B30" s="2" t="inlineStr">
        <is>
          <t>qa_batch_034_r3</t>
        </is>
      </c>
      <c r="C30" s="2" t="inlineStr">
        <is>
          <t>r3</t>
        </is>
      </c>
      <c r="D30" s="2" t="inlineStr">
        <is>
          <t>jeminise.com+teal-yellow-softball-comforter-set-vibrant-sports-bedroom-decor</t>
        </is>
      </c>
      <c r="E30" s="2" t="n">
        <v>333</v>
      </c>
      <c r="F30" s="2" t="inlineStr">
        <is>
          <t>T2</t>
        </is>
      </c>
      <c r="G30" s="2" t="inlineStr">
        <is>
          <t>Product title/H1 proposal</t>
        </is>
      </c>
      <c r="H30" s="2" t="n">
        <v>5</v>
      </c>
      <c r="I30" s="2" t="inlineStr">
        <is>
          <t>FULL</t>
        </is>
      </c>
      <c r="J30" s="6">
        <f>IF(F30="I1",AVERAGEIF('QA_Images'!$D$2:$D$58,D30,'QA_Images'!$AA$2:$AA$58)/100,IF(I30="FULL",1,IF(I30="PARTIAL",0.5,IF(I30="FAIL",0,""))))</f>
        <v/>
      </c>
      <c r="K30" s="6">
        <f>IF(J30="",0,H30*J30)</f>
        <v/>
      </c>
      <c r="L30" s="6">
        <f>IF(F30="I1",20*AVERAGEIF('QA_Images'!$D$2:$D$58,D30,'QA_Images'!$AB$2:$AB$58)/100,IF(I30="NOT_CHECKED",0,H30))</f>
        <v/>
      </c>
      <c r="M30" s="2" t="inlineStr">
        <is>
          <t>title_proposed is publishable as a clean H1/title replacement and fixes the current truncated or mojibake-heavy storefront title.</t>
        </is>
      </c>
      <c r="N30" s="2" t="inlineStr">
        <is>
          <t>live json/html; D:\Shopify_Workspace\jeminise_seo\seo_runs\jeminise.com\20260906_234129\qa\20260908_183309\serp_evidence.json; D:\Shopify_Workspace\jeminise_seo\seo_runs\jeminise.com\20260906_234129\qa\20260908_183309\visual_observations.json</t>
        </is>
      </c>
      <c r="O30" s="2" t="inlineStr"/>
      <c r="P30" s="2" t="inlineStr"/>
    </row>
    <row r="31" ht="42" customHeight="1">
      <c r="A31" s="3" t="inlineStr">
        <is>
          <t>20260908_183309</t>
        </is>
      </c>
      <c r="B31" s="3" t="inlineStr">
        <is>
          <t>qa_batch_034_r3</t>
        </is>
      </c>
      <c r="C31" s="3" t="inlineStr">
        <is>
          <t>r3</t>
        </is>
      </c>
      <c r="D31" s="3" t="inlineStr">
        <is>
          <t>jeminise.com+teal-yellow-softball-comforter-set-vibrant-sports-bedroom-decor</t>
        </is>
      </c>
      <c r="E31" s="3" t="n">
        <v>333</v>
      </c>
      <c r="F31" s="3" t="inlineStr">
        <is>
          <t>D1</t>
        </is>
      </c>
      <c r="G31" s="3" t="inlineStr">
        <is>
          <t>Meta description</t>
        </is>
      </c>
      <c r="H31" s="3" t="n">
        <v>5</v>
      </c>
      <c r="I31" s="3" t="inlineStr">
        <is>
          <t>FULL</t>
        </is>
      </c>
      <c r="J31" s="8">
        <f>IF(F31="I1",AVERAGEIF('QA_Images'!$D$2:$D$58,D31,'QA_Images'!$AA$2:$AA$58)/100,IF(I31="FULL",1,IF(I31="PARTIAL",0.5,IF(I31="FAIL",0,""))))</f>
        <v/>
      </c>
      <c r="K31" s="8">
        <f>IF(J31="",0,H31*J31)</f>
        <v/>
      </c>
      <c r="L31" s="8">
        <f>IF(F31="I1",20*AVERAGEIF('QA_Images'!$D$2:$D$58,D31,'QA_Images'!$AB$2:$AB$58)/100,IF(I31="NOT_CHECKED",0,H31))</f>
        <v/>
      </c>
      <c r="M31" s="3" t="inlineStr">
        <is>
          <t>meta_description_seo no longer has hard truncation or dangling ending; length is below 145 but complete and meaningful, so no automatic penalty for character count.</t>
        </is>
      </c>
      <c r="N31" s="3" t="inlineStr">
        <is>
          <t>live json/html; D:\Shopify_Workspace\jeminise_seo\seo_runs\jeminise.com\20260906_234129\qa\20260908_183309\serp_evidence.json; D:\Shopify_Workspace\jeminise_seo\seo_runs\jeminise.com\20260906_234129\qa\20260908_183309\visual_observations.json</t>
        </is>
      </c>
      <c r="O31" s="3" t="inlineStr"/>
      <c r="P31" s="3" t="inlineStr"/>
    </row>
    <row r="32" ht="42" customHeight="1">
      <c r="A32" s="2" t="inlineStr">
        <is>
          <t>20260908_183309</t>
        </is>
      </c>
      <c r="B32" s="2" t="inlineStr">
        <is>
          <t>qa_batch_034_r3</t>
        </is>
      </c>
      <c r="C32" s="2" t="inlineStr">
        <is>
          <t>r3</t>
        </is>
      </c>
      <c r="D32" s="2" t="inlineStr">
        <is>
          <t>jeminise.com+teal-yellow-softball-comforter-set-vibrant-sports-bedroom-decor</t>
        </is>
      </c>
      <c r="E32" s="2" t="n">
        <v>333</v>
      </c>
      <c r="F32" s="2" t="inlineStr">
        <is>
          <t>D2</t>
        </is>
      </c>
      <c r="G32" s="2" t="inlineStr">
        <is>
          <t>Description HTML</t>
        </is>
      </c>
      <c r="H32" s="2" t="n">
        <v>10</v>
      </c>
      <c r="I32" s="2" t="inlineStr">
        <is>
          <t>PARTIAL</t>
        </is>
      </c>
      <c r="J32" s="6">
        <f>IF(F32="I1",AVERAGEIF('QA_Images'!$D$2:$D$58,D32,'QA_Images'!$AA$2:$AA$58)/100,IF(I32="FULL",1,IF(I32="PARTIAL",0.5,IF(I32="FAIL",0,""))))</f>
        <v/>
      </c>
      <c r="K32" s="6">
        <f>IF(J32="",0,H32*J32)</f>
        <v/>
      </c>
      <c r="L32" s="6">
        <f>IF(F32="I1",20*AVERAGEIF('QA_Images'!$D$2:$D$58,D32,'QA_Images'!$AB$2:$AB$58)/100,IF(I32="NOT_CHECKED",0,H32))</f>
        <v/>
      </c>
      <c r="M32" s="2" t="inlineStr">
        <is>
          <t>Description facts mostly match live/product evidence, but the body still contains editorial/process phrasing and generic gallery wording that should not ship as final storefront copy.</t>
        </is>
      </c>
      <c r="N32" s="2" t="inlineStr">
        <is>
          <t>live json/html; D:\Shopify_Workspace\jeminise_seo\seo_runs\jeminise.com\20260906_234129\qa\20260908_183309\serp_evidence.json; D:\Shopify_Workspace\jeminise_seo\seo_runs\jeminise.com\20260906_234129\qa\20260908_183309\visual_observations.json</t>
        </is>
      </c>
      <c r="O32" s="2" t="inlineStr">
        <is>
          <t>ISS-034-333-D2-CUSTOMER-COPY</t>
        </is>
      </c>
      <c r="P32" s="2" t="inlineStr">
        <is>
          <t>Rewrite as customer-facing English body copy for Fireball Softball Comforter Set; remove “The copy stays specific...” and avoid process-style gallery wording.</t>
        </is>
      </c>
    </row>
    <row r="33" ht="42" customHeight="1">
      <c r="A33" s="3" t="inlineStr">
        <is>
          <t>20260908_183309</t>
        </is>
      </c>
      <c r="B33" s="3" t="inlineStr">
        <is>
          <t>qa_batch_034_r3</t>
        </is>
      </c>
      <c r="C33" s="3" t="inlineStr">
        <is>
          <t>r3</t>
        </is>
      </c>
      <c r="D33" s="3" t="inlineStr">
        <is>
          <t>jeminise.com+teal-yellow-softball-comforter-set-vibrant-sports-bedroom-decor</t>
        </is>
      </c>
      <c r="E33" s="3" t="n">
        <v>333</v>
      </c>
      <c r="F33" s="3" t="inlineStr">
        <is>
          <t>I1</t>
        </is>
      </c>
      <c r="G33" s="3" t="inlineStr">
        <is>
          <t>Image/alt QA aggregate</t>
        </is>
      </c>
      <c r="H33" s="3" t="n">
        <v>20</v>
      </c>
      <c r="I33" s="3" t="inlineStr">
        <is>
          <t>DERIVED_FROM_IMAGES</t>
        </is>
      </c>
      <c r="J33" s="8">
        <f>IF(F33="I1",AVERAGEIF('QA_Images'!$D$2:$D$58,D33,'QA_Images'!$AA$2:$AA$58)/100,IF(I33="FULL",1,IF(I33="PARTIAL",0.5,IF(I33="FAIL",0,""))))</f>
        <v/>
      </c>
      <c r="K33" s="8">
        <f>IF(J33="",0,H33*J33)</f>
        <v/>
      </c>
      <c r="L33" s="8">
        <f>IF(F33="I1",20*AVERAGEIF('QA_Images'!$D$2:$D$58,D33,'QA_Images'!$AB$2:$AB$58)/100,IF(I33="NOT_CHECKED",0,H33))</f>
        <v/>
      </c>
      <c r="M33" s="3" t="inlineStr">
        <is>
          <t>Derived from QA_Images average for this product; all images were opened directly in this run.</t>
        </is>
      </c>
      <c r="N33" s="3" t="inlineStr">
        <is>
          <t>live json/html; D:\Shopify_Workspace\jeminise_seo\seo_runs\jeminise.com\20260906_234129\qa\20260908_183309\serp_evidence.json; D:\Shopify_Workspace\jeminise_seo\seo_runs\jeminise.com\20260906_234129\qa\20260908_183309\visual_observations.json</t>
        </is>
      </c>
      <c r="O33" s="3" t="inlineStr"/>
      <c r="P33" s="3" t="inlineStr"/>
    </row>
    <row r="34" ht="42" customHeight="1">
      <c r="A34" s="2" t="inlineStr">
        <is>
          <t>20260908_183309</t>
        </is>
      </c>
      <c r="B34" s="2" t="inlineStr">
        <is>
          <t>qa_batch_034_r3</t>
        </is>
      </c>
      <c r="C34" s="2" t="inlineStr">
        <is>
          <t>r3</t>
        </is>
      </c>
      <c r="D34" s="2" t="inlineStr">
        <is>
          <t>jeminise.com+teal-yellow-softball-comforter-set-vibrant-sports-bedroom-decor</t>
        </is>
      </c>
      <c r="E34" s="2" t="n">
        <v>333</v>
      </c>
      <c r="F34" s="2" t="inlineStr">
        <is>
          <t>E1</t>
        </is>
      </c>
      <c r="G34" s="2" t="inlineStr">
        <is>
          <t>Evidence chain and traceability</t>
        </is>
      </c>
      <c r="H34" s="2" t="n">
        <v>5</v>
      </c>
      <c r="I34" s="2" t="inlineStr">
        <is>
          <t>PARTIAL</t>
        </is>
      </c>
      <c r="J34" s="6">
        <f>IF(F34="I1",AVERAGEIF('QA_Images'!$D$2:$D$58,D34,'QA_Images'!$AA$2:$AA$58)/100,IF(I34="FULL",1,IF(I34="PARTIAL",0.5,IF(I34="FAIL",0,""))))</f>
        <v/>
      </c>
      <c r="K34" s="6">
        <f>IF(J34="",0,H34*J34)</f>
        <v/>
      </c>
      <c r="L34" s="6">
        <f>IF(F34="I1",20*AVERAGEIF('QA_Images'!$D$2:$D$58,D34,'QA_Images'!$AB$2:$AB$58)/100,IF(I34="NOT_CHECKED",0,H34))</f>
        <v/>
      </c>
      <c r="M34" s="2" t="inlineStr">
        <is>
          <t>Evidence chain exists, but workbook traceability still carries r2/contact-sheet wording while the actual source file is r3; this QA run compensates with new live/image/SERP evidence.</t>
        </is>
      </c>
      <c r="N34" s="2" t="inlineStr">
        <is>
          <t>live json/html; D:\Shopify_Workspace\jeminise_seo\seo_runs\jeminise.com\20260906_234129\qa\20260908_183309\serp_evidence.json; D:\Shopify_Workspace\jeminise_seo\seo_runs\jeminise.com\20260906_234129\qa\20260908_183309\visual_observations.json</t>
        </is>
      </c>
      <c r="O34" s="2" t="inlineStr">
        <is>
          <t>ISS-034-333-E1-REVISION-TRACE</t>
        </is>
      </c>
      <c r="P34" s="2" t="inlineStr"/>
    </row>
    <row r="35" ht="42" customHeight="1">
      <c r="A35" s="3" t="inlineStr">
        <is>
          <t>20260908_183309</t>
        </is>
      </c>
      <c r="B35" s="3" t="inlineStr">
        <is>
          <t>qa_batch_034_r3</t>
        </is>
      </c>
      <c r="C35" s="3" t="inlineStr">
        <is>
          <t>r3</t>
        </is>
      </c>
      <c r="D35" s="3" t="inlineStr">
        <is>
          <t>jeminise.com+teal-yellow-softball-bedding-set-stylish-sports-bedroom-decor</t>
        </is>
      </c>
      <c r="E35" s="3" t="n">
        <v>334</v>
      </c>
      <c r="F35" s="3" t="inlineStr">
        <is>
          <t>P1</t>
        </is>
      </c>
      <c r="G35" s="3" t="inlineStr">
        <is>
          <t>Product identity/source match</t>
        </is>
      </c>
      <c r="H35" s="3" t="n">
        <v>15</v>
      </c>
      <c r="I35" s="3" t="inlineStr">
        <is>
          <t>FULL</t>
        </is>
      </c>
      <c r="J35" s="8">
        <f>IF(F35="I1",AVERAGEIF('QA_Images'!$D$2:$D$58,D35,'QA_Images'!$AA$2:$AA$58)/100,IF(I35="FULL",1,IF(I35="PARTIAL",0.5,IF(I35="FAIL",0,""))))</f>
        <v/>
      </c>
      <c r="K35" s="8">
        <f>IF(J35="",0,H35*J35)</f>
        <v/>
      </c>
      <c r="L35" s="8">
        <f>IF(F35="I1",20*AVERAGEIF('QA_Images'!$D$2:$D$58,D35,'QA_Images'!$AB$2:$AB$58)/100,IF(I35="NOT_CHECKED",0,H35))</f>
        <v/>
      </c>
      <c r="M35" s="3" t="inlineStr">
        <is>
          <t>Product identity locked by inventory product_key, handle and product_id; live product JSON matched handle/id and expected image count for position 334.</t>
        </is>
      </c>
      <c r="N35" s="3" t="inlineStr">
        <is>
          <t>live json/html; D:\Shopify_Workspace\jeminise_seo\seo_runs\jeminise.com\20260906_234129\qa\20260908_183309\serp_evidence.json; D:\Shopify_Workspace\jeminise_seo\seo_runs\jeminise.com\20260906_234129\qa\20260908_183309\visual_observations.json</t>
        </is>
      </c>
      <c r="O35" s="3" t="inlineStr"/>
      <c r="P35" s="3" t="inlineStr"/>
    </row>
    <row r="36" ht="42" customHeight="1">
      <c r="A36" s="2" t="inlineStr">
        <is>
          <t>20260908_183309</t>
        </is>
      </c>
      <c r="B36" s="2" t="inlineStr">
        <is>
          <t>qa_batch_034_r3</t>
        </is>
      </c>
      <c r="C36" s="2" t="inlineStr">
        <is>
          <t>r3</t>
        </is>
      </c>
      <c r="D36" s="2" t="inlineStr">
        <is>
          <t>jeminise.com+teal-yellow-softball-bedding-set-stylish-sports-bedroom-decor</t>
        </is>
      </c>
      <c r="E36" s="2" t="n">
        <v>334</v>
      </c>
      <c r="F36" s="2" t="inlineStr">
        <is>
          <t>P2</t>
        </is>
      </c>
      <c r="G36" s="2" t="inlineStr">
        <is>
          <t>Facts, offer and customization</t>
        </is>
      </c>
      <c r="H36" s="2" t="n">
        <v>10</v>
      </c>
      <c r="I36" s="2" t="inlineStr">
        <is>
          <t>FULL</t>
        </is>
      </c>
      <c r="J36" s="6">
        <f>IF(F36="I1",AVERAGEIF('QA_Images'!$D$2:$D$58,D36,'QA_Images'!$AA$2:$AA$58)/100,IF(I36="FULL",1,IF(I36="PARTIAL",0.5,IF(I36="FAIL",0,""))))</f>
        <v/>
      </c>
      <c r="K36" s="6">
        <f>IF(J36="",0,H36*J36)</f>
        <v/>
      </c>
      <c r="L36" s="6">
        <f>IF(F36="I1",20*AVERAGEIF('QA_Images'!$D$2:$D$58,D36,'QA_Images'!$AB$2:$AB$58)/100,IF(I36="NOT_CHECKED",0,H36))</f>
        <v/>
      </c>
      <c r="M36" s="2" t="inlineStr">
        <is>
          <t>Offer facts verified from live JSON/options and full HTML customizer config: options Choose Comforter Size, Pillowcases; customizer labels ['Custom Your Name', 'Custom Your Number'].</t>
        </is>
      </c>
      <c r="N36" s="2" t="inlineStr">
        <is>
          <t>live json/html; D:\Shopify_Workspace\jeminise_seo\seo_runs\jeminise.com\20260906_234129\qa\20260908_183309\serp_evidence.json; D:\Shopify_Workspace\jeminise_seo\seo_runs\jeminise.com\20260906_234129\qa\20260908_183309\visual_observations.json</t>
        </is>
      </c>
      <c r="O36" s="2" t="inlineStr"/>
      <c r="P36" s="2" t="inlineStr"/>
    </row>
    <row r="37" ht="42" customHeight="1">
      <c r="A37" s="3" t="inlineStr">
        <is>
          <t>20260908_183309</t>
        </is>
      </c>
      <c r="B37" s="3" t="inlineStr">
        <is>
          <t>qa_batch_034_r3</t>
        </is>
      </c>
      <c r="C37" s="3" t="inlineStr">
        <is>
          <t>r3</t>
        </is>
      </c>
      <c r="D37" s="3" t="inlineStr">
        <is>
          <t>jeminise.com+teal-yellow-softball-bedding-set-stylish-sports-bedroom-decor</t>
        </is>
      </c>
      <c r="E37" s="3" t="n">
        <v>334</v>
      </c>
      <c r="F37" s="3" t="inlineStr">
        <is>
          <t>K1</t>
        </is>
      </c>
      <c r="G37" s="3" t="inlineStr">
        <is>
          <t>Primary keyword evidence</t>
        </is>
      </c>
      <c r="H37" s="3" t="n">
        <v>10</v>
      </c>
      <c r="I37" s="3" t="inlineStr">
        <is>
          <t>FULL</t>
        </is>
      </c>
      <c r="J37" s="8">
        <f>IF(F37="I1",AVERAGEIF('QA_Images'!$D$2:$D$58,D37,'QA_Images'!$AA$2:$AA$58)/100,IF(I37="FULL",1,IF(I37="PARTIAL",0.5,IF(I37="FAIL",0,""))))</f>
        <v/>
      </c>
      <c r="K37" s="8">
        <f>IF(J37="",0,H37*J37)</f>
        <v/>
      </c>
      <c r="L37" s="8">
        <f>IF(F37="I1",20*AVERAGEIF('QA_Images'!$D$2:$D$58,D37,'QA_Images'!$AB$2:$AB$58)/100,IF(I37="NOT_CHECKED",0,H37))</f>
        <v/>
      </c>
      <c r="M37" s="3" t="inlineStr">
        <is>
          <t>Primary keyword has readable commercial SERP support and maps to the visible motif/product type without unsupported volume claims.</t>
        </is>
      </c>
      <c r="N37" s="3" t="inlineStr">
        <is>
          <t>live json/html; D:\Shopify_Workspace\jeminise_seo\seo_runs\jeminise.com\20260906_234129\qa\20260908_183309\serp_evidence.json; D:\Shopify_Workspace\jeminise_seo\seo_runs\jeminise.com\20260906_234129\qa\20260908_183309\visual_observations.json</t>
        </is>
      </c>
      <c r="O37" s="3" t="inlineStr">
        <is>
          <t>ISS-034-334-K2-CLUSTER</t>
        </is>
      </c>
      <c r="P37" s="3" t="inlineStr"/>
    </row>
    <row r="38" ht="42" customHeight="1">
      <c r="A38" s="2" t="inlineStr">
        <is>
          <t>20260908_183309</t>
        </is>
      </c>
      <c r="B38" s="2" t="inlineStr">
        <is>
          <t>qa_batch_034_r3</t>
        </is>
      </c>
      <c r="C38" s="2" t="inlineStr">
        <is>
          <t>r3</t>
        </is>
      </c>
      <c r="D38" s="2" t="inlineStr">
        <is>
          <t>jeminise.com+teal-yellow-softball-bedding-set-stylish-sports-bedroom-decor</t>
        </is>
      </c>
      <c r="E38" s="2" t="n">
        <v>334</v>
      </c>
      <c r="F38" s="2" t="inlineStr">
        <is>
          <t>K2</t>
        </is>
      </c>
      <c r="G38" s="2" t="inlineStr">
        <is>
          <t>Intent/cannibalization separation</t>
        </is>
      </c>
      <c r="H38" s="2" t="n">
        <v>5</v>
      </c>
      <c r="I38" s="2" t="inlineStr">
        <is>
          <t>PARTIAL</t>
        </is>
      </c>
      <c r="J38" s="6">
        <f>IF(F38="I1",AVERAGEIF('QA_Images'!$D$2:$D$58,D38,'QA_Images'!$AA$2:$AA$58)/100,IF(I38="FULL",1,IF(I38="PARTIAL",0.5,IF(I38="FAIL",0,""))))</f>
        <v/>
      </c>
      <c r="K38" s="6">
        <f>IF(J38="",0,H38*J38)</f>
        <v/>
      </c>
      <c r="L38" s="6">
        <f>IF(F38="I1",20*AVERAGEIF('QA_Images'!$D$2:$D$58,D38,'QA_Images'!$AB$2:$AB$58)/100,IF(I38="NOT_CHECKED",0,H38))</f>
        <v/>
      </c>
      <c r="M38" s="2" t="inlineStr">
        <is>
          <t>Keyword differentiation exists by motif, but nearby products in the same softball/cardinal cluster share broad secondary terms and mapping rationale is repetitive.</t>
        </is>
      </c>
      <c r="N38" s="2" t="inlineStr">
        <is>
          <t>live json/html; D:\Shopify_Workspace\jeminise_seo\seo_runs\jeminise.com\20260906_234129\qa\20260908_183309\serp_evidence.json; D:\Shopify_Workspace\jeminise_seo\seo_runs\jeminise.com\20260906_234129\qa\20260908_183309\visual_observations.json</t>
        </is>
      </c>
      <c r="O38" s="2" t="inlineStr">
        <is>
          <t>ISS-034-334-K2-CLUSTER</t>
        </is>
      </c>
      <c r="P38" s="2" t="inlineStr"/>
    </row>
    <row r="39" ht="42" customHeight="1">
      <c r="A39" s="3" t="inlineStr">
        <is>
          <t>20260908_183309</t>
        </is>
      </c>
      <c r="B39" s="3" t="inlineStr">
        <is>
          <t>qa_batch_034_r3</t>
        </is>
      </c>
      <c r="C39" s="3" t="inlineStr">
        <is>
          <t>r3</t>
        </is>
      </c>
      <c r="D39" s="3" t="inlineStr">
        <is>
          <t>jeminise.com+teal-yellow-softball-bedding-set-stylish-sports-bedroom-decor</t>
        </is>
      </c>
      <c r="E39" s="3" t="n">
        <v>334</v>
      </c>
      <c r="F39" s="3" t="inlineStr">
        <is>
          <t>K3</t>
        </is>
      </c>
      <c r="G39" s="3" t="inlineStr">
        <is>
          <t>No unsupported keyword-volume claim</t>
        </is>
      </c>
      <c r="H39" s="3" t="n">
        <v>5</v>
      </c>
      <c r="I39" s="3" t="inlineStr">
        <is>
          <t>FULL</t>
        </is>
      </c>
      <c r="J39" s="8">
        <f>IF(F39="I1",AVERAGEIF('QA_Images'!$D$2:$D$58,D39,'QA_Images'!$AA$2:$AA$58)/100,IF(I39="FULL",1,IF(I39="PARTIAL",0.5,IF(I39="FAIL",0,""))))</f>
        <v/>
      </c>
      <c r="K39" s="8">
        <f>IF(J39="",0,H39*J39)</f>
        <v/>
      </c>
      <c r="L39" s="8">
        <f>IF(F39="I1",20*AVERAGEIF('QA_Images'!$D$2:$D$58,D39,'QA_Images'!$AB$2:$AB$58)/100,IF(I39="NOT_CHECKED",0,H39))</f>
        <v/>
      </c>
      <c r="M39" s="3" t="inlineStr">
        <is>
          <t>No search-volume or ranking claim is made; keyword evidence is correctly limited as SERP_ONLY.</t>
        </is>
      </c>
      <c r="N39" s="3" t="inlineStr">
        <is>
          <t>live json/html; D:\Shopify_Workspace\jeminise_seo\seo_runs\jeminise.com\20260906_234129\qa\20260908_183309\serp_evidence.json; D:\Shopify_Workspace\jeminise_seo\seo_runs\jeminise.com\20260906_234129\qa\20260908_183309\visual_observations.json</t>
        </is>
      </c>
      <c r="O39" s="3" t="inlineStr">
        <is>
          <t>ISS-034-334-K2-CLUSTER</t>
        </is>
      </c>
      <c r="P39" s="3" t="inlineStr"/>
    </row>
    <row r="40" ht="42" customHeight="1">
      <c r="A40" s="2" t="inlineStr">
        <is>
          <t>20260908_183309</t>
        </is>
      </c>
      <c r="B40" s="2" t="inlineStr">
        <is>
          <t>qa_batch_034_r3</t>
        </is>
      </c>
      <c r="C40" s="2" t="inlineStr">
        <is>
          <t>r3</t>
        </is>
      </c>
      <c r="D40" s="2" t="inlineStr">
        <is>
          <t>jeminise.com+teal-yellow-softball-bedding-set-stylish-sports-bedroom-decor</t>
        </is>
      </c>
      <c r="E40" s="2" t="n">
        <v>334</v>
      </c>
      <c r="F40" s="2" t="inlineStr">
        <is>
          <t>T1</t>
        </is>
      </c>
      <c r="G40" s="2" t="inlineStr">
        <is>
          <t>SEO title/meta title</t>
        </is>
      </c>
      <c r="H40" s="2" t="n">
        <v>10</v>
      </c>
      <c r="I40" s="2" t="inlineStr">
        <is>
          <t>FULL</t>
        </is>
      </c>
      <c r="J40" s="6">
        <f>IF(F40="I1",AVERAGEIF('QA_Images'!$D$2:$D$58,D40,'QA_Images'!$AA$2:$AA$58)/100,IF(I40="FULL",1,IF(I40="PARTIAL",0.5,IF(I40="FAIL",0,""))))</f>
        <v/>
      </c>
      <c r="K40" s="6">
        <f>IF(J40="",0,H40*J40)</f>
        <v/>
      </c>
      <c r="L40" s="6">
        <f>IF(F40="I1",20*AVERAGEIF('QA_Images'!$D$2:$D$58,D40,'QA_Images'!$AB$2:$AB$58)/100,IF(I40="NOT_CHECKED",0,H40))</f>
        <v/>
      </c>
      <c r="M40" s="2" t="inlineStr">
        <is>
          <t>meta_title_seo is concise, readable, and maps to the verified motif/product type.</t>
        </is>
      </c>
      <c r="N40" s="2" t="inlineStr">
        <is>
          <t>live json/html; D:\Shopify_Workspace\jeminise_seo\seo_runs\jeminise.com\20260906_234129\qa\20260908_183309\serp_evidence.json; D:\Shopify_Workspace\jeminise_seo\seo_runs\jeminise.com\20260906_234129\qa\20260908_183309\visual_observations.json</t>
        </is>
      </c>
      <c r="O40" s="2" t="inlineStr"/>
      <c r="P40" s="2" t="inlineStr"/>
    </row>
    <row r="41" ht="42" customHeight="1">
      <c r="A41" s="3" t="inlineStr">
        <is>
          <t>20260908_183309</t>
        </is>
      </c>
      <c r="B41" s="3" t="inlineStr">
        <is>
          <t>qa_batch_034_r3</t>
        </is>
      </c>
      <c r="C41" s="3" t="inlineStr">
        <is>
          <t>r3</t>
        </is>
      </c>
      <c r="D41" s="3" t="inlineStr">
        <is>
          <t>jeminise.com+teal-yellow-softball-bedding-set-stylish-sports-bedroom-decor</t>
        </is>
      </c>
      <c r="E41" s="3" t="n">
        <v>334</v>
      </c>
      <c r="F41" s="3" t="inlineStr">
        <is>
          <t>T2</t>
        </is>
      </c>
      <c r="G41" s="3" t="inlineStr">
        <is>
          <t>Product title/H1 proposal</t>
        </is>
      </c>
      <c r="H41" s="3" t="n">
        <v>5</v>
      </c>
      <c r="I41" s="3" t="inlineStr">
        <is>
          <t>FULL</t>
        </is>
      </c>
      <c r="J41" s="8">
        <f>IF(F41="I1",AVERAGEIF('QA_Images'!$D$2:$D$58,D41,'QA_Images'!$AA$2:$AA$58)/100,IF(I41="FULL",1,IF(I41="PARTIAL",0.5,IF(I41="FAIL",0,""))))</f>
        <v/>
      </c>
      <c r="K41" s="8">
        <f>IF(J41="",0,H41*J41)</f>
        <v/>
      </c>
      <c r="L41" s="8">
        <f>IF(F41="I1",20*AVERAGEIF('QA_Images'!$D$2:$D$58,D41,'QA_Images'!$AB$2:$AB$58)/100,IF(I41="NOT_CHECKED",0,H41))</f>
        <v/>
      </c>
      <c r="M41" s="3" t="inlineStr">
        <is>
          <t>title_proposed is publishable as a clean H1/title replacement and fixes the current truncated or mojibake-heavy storefront title.</t>
        </is>
      </c>
      <c r="N41" s="3" t="inlineStr">
        <is>
          <t>live json/html; D:\Shopify_Workspace\jeminise_seo\seo_runs\jeminise.com\20260906_234129\qa\20260908_183309\serp_evidence.json; D:\Shopify_Workspace\jeminise_seo\seo_runs\jeminise.com\20260906_234129\qa\20260908_183309\visual_observations.json</t>
        </is>
      </c>
      <c r="O41" s="3" t="inlineStr"/>
      <c r="P41" s="3" t="inlineStr"/>
    </row>
    <row r="42" ht="42" customHeight="1">
      <c r="A42" s="2" t="inlineStr">
        <is>
          <t>20260908_183309</t>
        </is>
      </c>
      <c r="B42" s="2" t="inlineStr">
        <is>
          <t>qa_batch_034_r3</t>
        </is>
      </c>
      <c r="C42" s="2" t="inlineStr">
        <is>
          <t>r3</t>
        </is>
      </c>
      <c r="D42" s="2" t="inlineStr">
        <is>
          <t>jeminise.com+teal-yellow-softball-bedding-set-stylish-sports-bedroom-decor</t>
        </is>
      </c>
      <c r="E42" s="2" t="n">
        <v>334</v>
      </c>
      <c r="F42" s="2" t="inlineStr">
        <is>
          <t>D1</t>
        </is>
      </c>
      <c r="G42" s="2" t="inlineStr">
        <is>
          <t>Meta description</t>
        </is>
      </c>
      <c r="H42" s="2" t="n">
        <v>5</v>
      </c>
      <c r="I42" s="2" t="inlineStr">
        <is>
          <t>FULL</t>
        </is>
      </c>
      <c r="J42" s="6">
        <f>IF(F42="I1",AVERAGEIF('QA_Images'!$D$2:$D$58,D42,'QA_Images'!$AA$2:$AA$58)/100,IF(I42="FULL",1,IF(I42="PARTIAL",0.5,IF(I42="FAIL",0,""))))</f>
        <v/>
      </c>
      <c r="K42" s="6">
        <f>IF(J42="",0,H42*J42)</f>
        <v/>
      </c>
      <c r="L42" s="6">
        <f>IF(F42="I1",20*AVERAGEIF('QA_Images'!$D$2:$D$58,D42,'QA_Images'!$AB$2:$AB$58)/100,IF(I42="NOT_CHECKED",0,H42))</f>
        <v/>
      </c>
      <c r="M42" s="2" t="inlineStr">
        <is>
          <t>meta_description_seo no longer has hard truncation or dangling ending; length is below 145 but complete and meaningful, so no automatic penalty for character count.</t>
        </is>
      </c>
      <c r="N42" s="2" t="inlineStr">
        <is>
          <t>live json/html; D:\Shopify_Workspace\jeminise_seo\seo_runs\jeminise.com\20260906_234129\qa\20260908_183309\serp_evidence.json; D:\Shopify_Workspace\jeminise_seo\seo_runs\jeminise.com\20260906_234129\qa\20260908_183309\visual_observations.json</t>
        </is>
      </c>
      <c r="O42" s="2" t="inlineStr"/>
      <c r="P42" s="2" t="inlineStr"/>
    </row>
    <row r="43" ht="42" customHeight="1">
      <c r="A43" s="3" t="inlineStr">
        <is>
          <t>20260908_183309</t>
        </is>
      </c>
      <c r="B43" s="3" t="inlineStr">
        <is>
          <t>qa_batch_034_r3</t>
        </is>
      </c>
      <c r="C43" s="3" t="inlineStr">
        <is>
          <t>r3</t>
        </is>
      </c>
      <c r="D43" s="3" t="inlineStr">
        <is>
          <t>jeminise.com+teal-yellow-softball-bedding-set-stylish-sports-bedroom-decor</t>
        </is>
      </c>
      <c r="E43" s="3" t="n">
        <v>334</v>
      </c>
      <c r="F43" s="3" t="inlineStr">
        <is>
          <t>D2</t>
        </is>
      </c>
      <c r="G43" s="3" t="inlineStr">
        <is>
          <t>Description HTML</t>
        </is>
      </c>
      <c r="H43" s="3" t="n">
        <v>10</v>
      </c>
      <c r="I43" s="3" t="inlineStr">
        <is>
          <t>PARTIAL</t>
        </is>
      </c>
      <c r="J43" s="8">
        <f>IF(F43="I1",AVERAGEIF('QA_Images'!$D$2:$D$58,D43,'QA_Images'!$AA$2:$AA$58)/100,IF(I43="FULL",1,IF(I43="PARTIAL",0.5,IF(I43="FAIL",0,""))))</f>
        <v/>
      </c>
      <c r="K43" s="8">
        <f>IF(J43="",0,H43*J43)</f>
        <v/>
      </c>
      <c r="L43" s="8">
        <f>IF(F43="I1",20*AVERAGEIF('QA_Images'!$D$2:$D$58,D43,'QA_Images'!$AB$2:$AB$58)/100,IF(I43="NOT_CHECKED",0,H43))</f>
        <v/>
      </c>
      <c r="M43" s="3" t="inlineStr">
        <is>
          <t>Description facts mostly match live/product evidence, but the body still contains editorial/process phrasing and generic gallery wording that should not ship as final storefront copy.</t>
        </is>
      </c>
      <c r="N43" s="3" t="inlineStr">
        <is>
          <t>live json/html; D:\Shopify_Workspace\jeminise_seo\seo_runs\jeminise.com\20260906_234129\qa\20260908_183309\serp_evidence.json; D:\Shopify_Workspace\jeminise_seo\seo_runs\jeminise.com\20260906_234129\qa\20260908_183309\visual_observations.json</t>
        </is>
      </c>
      <c r="O43" s="3" t="inlineStr">
        <is>
          <t>ISS-034-334-D2-CUSTOMER-COPY</t>
        </is>
      </c>
      <c r="P43" s="3" t="inlineStr">
        <is>
          <t>Rewrite as customer-facing English body copy for Pink Glove Softball Comforter Set; remove “The copy stays specific...” and avoid process-style gallery wording.</t>
        </is>
      </c>
    </row>
    <row r="44" ht="42" customHeight="1">
      <c r="A44" s="2" t="inlineStr">
        <is>
          <t>20260908_183309</t>
        </is>
      </c>
      <c r="B44" s="2" t="inlineStr">
        <is>
          <t>qa_batch_034_r3</t>
        </is>
      </c>
      <c r="C44" s="2" t="inlineStr">
        <is>
          <t>r3</t>
        </is>
      </c>
      <c r="D44" s="2" t="inlineStr">
        <is>
          <t>jeminise.com+teal-yellow-softball-bedding-set-stylish-sports-bedroom-decor</t>
        </is>
      </c>
      <c r="E44" s="2" t="n">
        <v>334</v>
      </c>
      <c r="F44" s="2" t="inlineStr">
        <is>
          <t>I1</t>
        </is>
      </c>
      <c r="G44" s="2" t="inlineStr">
        <is>
          <t>Image/alt QA aggregate</t>
        </is>
      </c>
      <c r="H44" s="2" t="n">
        <v>20</v>
      </c>
      <c r="I44" s="2" t="inlineStr">
        <is>
          <t>DERIVED_FROM_IMAGES</t>
        </is>
      </c>
      <c r="J44" s="6">
        <f>IF(F44="I1",AVERAGEIF('QA_Images'!$D$2:$D$58,D44,'QA_Images'!$AA$2:$AA$58)/100,IF(I44="FULL",1,IF(I44="PARTIAL",0.5,IF(I44="FAIL",0,""))))</f>
        <v/>
      </c>
      <c r="K44" s="6">
        <f>IF(J44="",0,H44*J44)</f>
        <v/>
      </c>
      <c r="L44" s="6">
        <f>IF(F44="I1",20*AVERAGEIF('QA_Images'!$D$2:$D$58,D44,'QA_Images'!$AB$2:$AB$58)/100,IF(I44="NOT_CHECKED",0,H44))</f>
        <v/>
      </c>
      <c r="M44" s="2" t="inlineStr">
        <is>
          <t>Derived from QA_Images average for this product; all images were opened directly in this run.</t>
        </is>
      </c>
      <c r="N44" s="2" t="inlineStr">
        <is>
          <t>live json/html; D:\Shopify_Workspace\jeminise_seo\seo_runs\jeminise.com\20260906_234129\qa\20260908_183309\serp_evidence.json; D:\Shopify_Workspace\jeminise_seo\seo_runs\jeminise.com\20260906_234129\qa\20260908_183309\visual_observations.json</t>
        </is>
      </c>
      <c r="O44" s="2" t="inlineStr">
        <is>
          <t>ISS-034-334-IMG-DUPLICATE-GALLERY</t>
        </is>
      </c>
      <c r="P44" s="2" t="inlineStr"/>
    </row>
    <row r="45" ht="42" customHeight="1">
      <c r="A45" s="3" t="inlineStr">
        <is>
          <t>20260908_183309</t>
        </is>
      </c>
      <c r="B45" s="3" t="inlineStr">
        <is>
          <t>qa_batch_034_r3</t>
        </is>
      </c>
      <c r="C45" s="3" t="inlineStr">
        <is>
          <t>r3</t>
        </is>
      </c>
      <c r="D45" s="3" t="inlineStr">
        <is>
          <t>jeminise.com+teal-yellow-softball-bedding-set-stylish-sports-bedroom-decor</t>
        </is>
      </c>
      <c r="E45" s="3" t="n">
        <v>334</v>
      </c>
      <c r="F45" s="3" t="inlineStr">
        <is>
          <t>E1</t>
        </is>
      </c>
      <c r="G45" s="3" t="inlineStr">
        <is>
          <t>Evidence chain and traceability</t>
        </is>
      </c>
      <c r="H45" s="3" t="n">
        <v>5</v>
      </c>
      <c r="I45" s="3" t="inlineStr">
        <is>
          <t>PARTIAL</t>
        </is>
      </c>
      <c r="J45" s="8">
        <f>IF(F45="I1",AVERAGEIF('QA_Images'!$D$2:$D$58,D45,'QA_Images'!$AA$2:$AA$58)/100,IF(I45="FULL",1,IF(I45="PARTIAL",0.5,IF(I45="FAIL",0,""))))</f>
        <v/>
      </c>
      <c r="K45" s="8">
        <f>IF(J45="",0,H45*J45)</f>
        <v/>
      </c>
      <c r="L45" s="8">
        <f>IF(F45="I1",20*AVERAGEIF('QA_Images'!$D$2:$D$58,D45,'QA_Images'!$AB$2:$AB$58)/100,IF(I45="NOT_CHECKED",0,H45))</f>
        <v/>
      </c>
      <c r="M45" s="3" t="inlineStr">
        <is>
          <t>Evidence chain exists, but workbook traceability still carries r2/contact-sheet wording while the actual source file is r3; this QA run compensates with new live/image/SERP evidence.</t>
        </is>
      </c>
      <c r="N45" s="3" t="inlineStr">
        <is>
          <t>live json/html; D:\Shopify_Workspace\jeminise_seo\seo_runs\jeminise.com\20260906_234129\qa\20260908_183309\serp_evidence.json; D:\Shopify_Workspace\jeminise_seo\seo_runs\jeminise.com\20260906_234129\qa\20260908_183309\visual_observations.json</t>
        </is>
      </c>
      <c r="O45" s="3" t="inlineStr">
        <is>
          <t>ISS-034-334-E1-REVISION-TRACE</t>
        </is>
      </c>
      <c r="P45" s="3" t="inlineStr"/>
    </row>
    <row r="46" ht="42" customHeight="1">
      <c r="A46" s="2" t="inlineStr">
        <is>
          <t>20260908_183309</t>
        </is>
      </c>
      <c r="B46" s="2" t="inlineStr">
        <is>
          <t>qa_batch_034_r3</t>
        </is>
      </c>
      <c r="C46" s="2" t="inlineStr">
        <is>
          <t>r3</t>
        </is>
      </c>
      <c r="D46" s="2" t="inlineStr">
        <is>
          <t>jeminise.com+tree-of-life-with-celtic-knot-roots-quilt-set-and-celtic-knot-borders-9482d2b2f5-9482d2b2f5</t>
        </is>
      </c>
      <c r="E46" s="2" t="n">
        <v>335</v>
      </c>
      <c r="F46" s="2" t="inlineStr">
        <is>
          <t>P1</t>
        </is>
      </c>
      <c r="G46" s="2" t="inlineStr">
        <is>
          <t>Product identity/source match</t>
        </is>
      </c>
      <c r="H46" s="2" t="n">
        <v>15</v>
      </c>
      <c r="I46" s="2" t="inlineStr">
        <is>
          <t>FULL</t>
        </is>
      </c>
      <c r="J46" s="6">
        <f>IF(F46="I1",AVERAGEIF('QA_Images'!$D$2:$D$58,D46,'QA_Images'!$AA$2:$AA$58)/100,IF(I46="FULL",1,IF(I46="PARTIAL",0.5,IF(I46="FAIL",0,""))))</f>
        <v/>
      </c>
      <c r="K46" s="6">
        <f>IF(J46="",0,H46*J46)</f>
        <v/>
      </c>
      <c r="L46" s="6">
        <f>IF(F46="I1",20*AVERAGEIF('QA_Images'!$D$2:$D$58,D46,'QA_Images'!$AB$2:$AB$58)/100,IF(I46="NOT_CHECKED",0,H46))</f>
        <v/>
      </c>
      <c r="M46" s="2" t="inlineStr">
        <is>
          <t>Product identity locked by inventory product_key, handle and product_id; live product JSON matched handle/id and expected image count for position 335.</t>
        </is>
      </c>
      <c r="N46" s="2" t="inlineStr">
        <is>
          <t>live json/html; D:\Shopify_Workspace\jeminise_seo\seo_runs\jeminise.com\20260906_234129\qa\20260908_183309\serp_evidence.json; D:\Shopify_Workspace\jeminise_seo\seo_runs\jeminise.com\20260906_234129\qa\20260908_183309\visual_observations.json</t>
        </is>
      </c>
      <c r="O46" s="2" t="inlineStr"/>
      <c r="P46" s="2" t="inlineStr"/>
    </row>
    <row r="47" ht="42" customHeight="1">
      <c r="A47" s="3" t="inlineStr">
        <is>
          <t>20260908_183309</t>
        </is>
      </c>
      <c r="B47" s="3" t="inlineStr">
        <is>
          <t>qa_batch_034_r3</t>
        </is>
      </c>
      <c r="C47" s="3" t="inlineStr">
        <is>
          <t>r3</t>
        </is>
      </c>
      <c r="D47" s="3" t="inlineStr">
        <is>
          <t>jeminise.com+tree-of-life-with-celtic-knot-roots-quilt-set-and-celtic-knot-borders-9482d2b2f5-9482d2b2f5</t>
        </is>
      </c>
      <c r="E47" s="3" t="n">
        <v>335</v>
      </c>
      <c r="F47" s="3" t="inlineStr">
        <is>
          <t>P2</t>
        </is>
      </c>
      <c r="G47" s="3" t="inlineStr">
        <is>
          <t>Facts, offer and customization</t>
        </is>
      </c>
      <c r="H47" s="3" t="n">
        <v>10</v>
      </c>
      <c r="I47" s="3" t="inlineStr">
        <is>
          <t>FULL</t>
        </is>
      </c>
      <c r="J47" s="8">
        <f>IF(F47="I1",AVERAGEIF('QA_Images'!$D$2:$D$58,D47,'QA_Images'!$AA$2:$AA$58)/100,IF(I47="FULL",1,IF(I47="PARTIAL",0.5,IF(I47="FAIL",0,""))))</f>
        <v/>
      </c>
      <c r="K47" s="8">
        <f>IF(J47="",0,H47*J47)</f>
        <v/>
      </c>
      <c r="L47" s="8">
        <f>IF(F47="I1",20*AVERAGEIF('QA_Images'!$D$2:$D$58,D47,'QA_Images'!$AB$2:$AB$58)/100,IF(I47="NOT_CHECKED",0,H47))</f>
        <v/>
      </c>
      <c r="M47" s="3" t="inlineStr">
        <is>
          <t>Offer facts verified from live JSON/options and full HTML customizer config: options CHOOSE YOUR SIZE, Pillowcases; customizer labels ['Customize Your Quilt'].</t>
        </is>
      </c>
      <c r="N47" s="3" t="inlineStr">
        <is>
          <t>live json/html; D:\Shopify_Workspace\jeminise_seo\seo_runs\jeminise.com\20260906_234129\qa\20260908_183309\serp_evidence.json; D:\Shopify_Workspace\jeminise_seo\seo_runs\jeminise.com\20260906_234129\qa\20260908_183309\visual_observations.json</t>
        </is>
      </c>
      <c r="O47" s="3" t="inlineStr"/>
      <c r="P47" s="3" t="inlineStr"/>
    </row>
    <row r="48" ht="42" customHeight="1">
      <c r="A48" s="2" t="inlineStr">
        <is>
          <t>20260908_183309</t>
        </is>
      </c>
      <c r="B48" s="2" t="inlineStr">
        <is>
          <t>qa_batch_034_r3</t>
        </is>
      </c>
      <c r="C48" s="2" t="inlineStr">
        <is>
          <t>r3</t>
        </is>
      </c>
      <c r="D48" s="2" t="inlineStr">
        <is>
          <t>jeminise.com+tree-of-life-with-celtic-knot-roots-quilt-set-and-celtic-knot-borders-9482d2b2f5-9482d2b2f5</t>
        </is>
      </c>
      <c r="E48" s="2" t="n">
        <v>335</v>
      </c>
      <c r="F48" s="2" t="inlineStr">
        <is>
          <t>K1</t>
        </is>
      </c>
      <c r="G48" s="2" t="inlineStr">
        <is>
          <t>Primary keyword evidence</t>
        </is>
      </c>
      <c r="H48" s="2" t="n">
        <v>10</v>
      </c>
      <c r="I48" s="2" t="inlineStr">
        <is>
          <t>FULL</t>
        </is>
      </c>
      <c r="J48" s="6">
        <f>IF(F48="I1",AVERAGEIF('QA_Images'!$D$2:$D$58,D48,'QA_Images'!$AA$2:$AA$58)/100,IF(I48="FULL",1,IF(I48="PARTIAL",0.5,IF(I48="FAIL",0,""))))</f>
        <v/>
      </c>
      <c r="K48" s="6">
        <f>IF(J48="",0,H48*J48)</f>
        <v/>
      </c>
      <c r="L48" s="6">
        <f>IF(F48="I1",20*AVERAGEIF('QA_Images'!$D$2:$D$58,D48,'QA_Images'!$AB$2:$AB$58)/100,IF(I48="NOT_CHECKED",0,H48))</f>
        <v/>
      </c>
      <c r="M48" s="2" t="inlineStr">
        <is>
          <t>Primary keyword has readable commercial SERP support and maps to the visible motif/product type without unsupported volume claims.</t>
        </is>
      </c>
      <c r="N48" s="2" t="inlineStr">
        <is>
          <t>live json/html; D:\Shopify_Workspace\jeminise_seo\seo_runs\jeminise.com\20260906_234129\qa\20260908_183309\serp_evidence.json; D:\Shopify_Workspace\jeminise_seo\seo_runs\jeminise.com\20260906_234129\qa\20260908_183309\visual_observations.json</t>
        </is>
      </c>
      <c r="O48" s="2" t="inlineStr"/>
      <c r="P48" s="2" t="inlineStr"/>
    </row>
    <row r="49" ht="42" customHeight="1">
      <c r="A49" s="3" t="inlineStr">
        <is>
          <t>20260908_183309</t>
        </is>
      </c>
      <c r="B49" s="3" t="inlineStr">
        <is>
          <t>qa_batch_034_r3</t>
        </is>
      </c>
      <c r="C49" s="3" t="inlineStr">
        <is>
          <t>r3</t>
        </is>
      </c>
      <c r="D49" s="3" t="inlineStr">
        <is>
          <t>jeminise.com+tree-of-life-with-celtic-knot-roots-quilt-set-and-celtic-knot-borders-9482d2b2f5-9482d2b2f5</t>
        </is>
      </c>
      <c r="E49" s="3" t="n">
        <v>335</v>
      </c>
      <c r="F49" s="3" t="inlineStr">
        <is>
          <t>K2</t>
        </is>
      </c>
      <c r="G49" s="3" t="inlineStr">
        <is>
          <t>Intent/cannibalization separation</t>
        </is>
      </c>
      <c r="H49" s="3" t="n">
        <v>5</v>
      </c>
      <c r="I49" s="3" t="inlineStr">
        <is>
          <t>FULL</t>
        </is>
      </c>
      <c r="J49" s="8">
        <f>IF(F49="I1",AVERAGEIF('QA_Images'!$D$2:$D$58,D49,'QA_Images'!$AA$2:$AA$58)/100,IF(I49="FULL",1,IF(I49="PARTIAL",0.5,IF(I49="FAIL",0,""))))</f>
        <v/>
      </c>
      <c r="K49" s="8">
        <f>IF(J49="",0,H49*J49)</f>
        <v/>
      </c>
      <c r="L49" s="8">
        <f>IF(F49="I1",20*AVERAGEIF('QA_Images'!$D$2:$D$58,D49,'QA_Images'!$AB$2:$AB$58)/100,IF(I49="NOT_CHECKED",0,H49))</f>
        <v/>
      </c>
      <c r="M49" s="3" t="inlineStr">
        <is>
          <t>The target term is sufficiently distinct within this batch once motif and product form are considered.</t>
        </is>
      </c>
      <c r="N49" s="3" t="inlineStr">
        <is>
          <t>live json/html; D:\Shopify_Workspace\jeminise_seo\seo_runs\jeminise.com\20260906_234129\qa\20260908_183309\serp_evidence.json; D:\Shopify_Workspace\jeminise_seo\seo_runs\jeminise.com\20260906_234129\qa\20260908_183309\visual_observations.json</t>
        </is>
      </c>
      <c r="O49" s="3" t="inlineStr"/>
      <c r="P49" s="3" t="inlineStr"/>
    </row>
    <row r="50" ht="42" customHeight="1">
      <c r="A50" s="2" t="inlineStr">
        <is>
          <t>20260908_183309</t>
        </is>
      </c>
      <c r="B50" s="2" t="inlineStr">
        <is>
          <t>qa_batch_034_r3</t>
        </is>
      </c>
      <c r="C50" s="2" t="inlineStr">
        <is>
          <t>r3</t>
        </is>
      </c>
      <c r="D50" s="2" t="inlineStr">
        <is>
          <t>jeminise.com+tree-of-life-with-celtic-knot-roots-quilt-set-and-celtic-knot-borders-9482d2b2f5-9482d2b2f5</t>
        </is>
      </c>
      <c r="E50" s="2" t="n">
        <v>335</v>
      </c>
      <c r="F50" s="2" t="inlineStr">
        <is>
          <t>K3</t>
        </is>
      </c>
      <c r="G50" s="2" t="inlineStr">
        <is>
          <t>No unsupported keyword-volume claim</t>
        </is>
      </c>
      <c r="H50" s="2" t="n">
        <v>5</v>
      </c>
      <c r="I50" s="2" t="inlineStr">
        <is>
          <t>FULL</t>
        </is>
      </c>
      <c r="J50" s="6">
        <f>IF(F50="I1",AVERAGEIF('QA_Images'!$D$2:$D$58,D50,'QA_Images'!$AA$2:$AA$58)/100,IF(I50="FULL",1,IF(I50="PARTIAL",0.5,IF(I50="FAIL",0,""))))</f>
        <v/>
      </c>
      <c r="K50" s="6">
        <f>IF(J50="",0,H50*J50)</f>
        <v/>
      </c>
      <c r="L50" s="6">
        <f>IF(F50="I1",20*AVERAGEIF('QA_Images'!$D$2:$D$58,D50,'QA_Images'!$AB$2:$AB$58)/100,IF(I50="NOT_CHECKED",0,H50))</f>
        <v/>
      </c>
      <c r="M50" s="2" t="inlineStr">
        <is>
          <t>No search-volume or ranking claim is made; keyword evidence is correctly limited as SERP_ONLY.</t>
        </is>
      </c>
      <c r="N50" s="2" t="inlineStr">
        <is>
          <t>live json/html; D:\Shopify_Workspace\jeminise_seo\seo_runs\jeminise.com\20260906_234129\qa\20260908_183309\serp_evidence.json; D:\Shopify_Workspace\jeminise_seo\seo_runs\jeminise.com\20260906_234129\qa\20260908_183309\visual_observations.json</t>
        </is>
      </c>
      <c r="O50" s="2" t="inlineStr"/>
      <c r="P50" s="2" t="inlineStr"/>
    </row>
    <row r="51" ht="42" customHeight="1">
      <c r="A51" s="3" t="inlineStr">
        <is>
          <t>20260908_183309</t>
        </is>
      </c>
      <c r="B51" s="3" t="inlineStr">
        <is>
          <t>qa_batch_034_r3</t>
        </is>
      </c>
      <c r="C51" s="3" t="inlineStr">
        <is>
          <t>r3</t>
        </is>
      </c>
      <c r="D51" s="3" t="inlineStr">
        <is>
          <t>jeminise.com+tree-of-life-with-celtic-knot-roots-quilt-set-and-celtic-knot-borders-9482d2b2f5-9482d2b2f5</t>
        </is>
      </c>
      <c r="E51" s="3" t="n">
        <v>335</v>
      </c>
      <c r="F51" s="3" t="inlineStr">
        <is>
          <t>T1</t>
        </is>
      </c>
      <c r="G51" s="3" t="inlineStr">
        <is>
          <t>SEO title/meta title</t>
        </is>
      </c>
      <c r="H51" s="3" t="n">
        <v>10</v>
      </c>
      <c r="I51" s="3" t="inlineStr">
        <is>
          <t>FULL</t>
        </is>
      </c>
      <c r="J51" s="8">
        <f>IF(F51="I1",AVERAGEIF('QA_Images'!$D$2:$D$58,D51,'QA_Images'!$AA$2:$AA$58)/100,IF(I51="FULL",1,IF(I51="PARTIAL",0.5,IF(I51="FAIL",0,""))))</f>
        <v/>
      </c>
      <c r="K51" s="8">
        <f>IF(J51="",0,H51*J51)</f>
        <v/>
      </c>
      <c r="L51" s="8">
        <f>IF(F51="I1",20*AVERAGEIF('QA_Images'!$D$2:$D$58,D51,'QA_Images'!$AB$2:$AB$58)/100,IF(I51="NOT_CHECKED",0,H51))</f>
        <v/>
      </c>
      <c r="M51" s="3" t="inlineStr">
        <is>
          <t>meta_title_seo is concise, readable, and maps to the verified motif/product type.</t>
        </is>
      </c>
      <c r="N51" s="3" t="inlineStr">
        <is>
          <t>live json/html; D:\Shopify_Workspace\jeminise_seo\seo_runs\jeminise.com\20260906_234129\qa\20260908_183309\serp_evidence.json; D:\Shopify_Workspace\jeminise_seo\seo_runs\jeminise.com\20260906_234129\qa\20260908_183309\visual_observations.json</t>
        </is>
      </c>
      <c r="O51" s="3" t="inlineStr"/>
      <c r="P51" s="3" t="inlineStr"/>
    </row>
    <row r="52" ht="42" customHeight="1">
      <c r="A52" s="2" t="inlineStr">
        <is>
          <t>20260908_183309</t>
        </is>
      </c>
      <c r="B52" s="2" t="inlineStr">
        <is>
          <t>qa_batch_034_r3</t>
        </is>
      </c>
      <c r="C52" s="2" t="inlineStr">
        <is>
          <t>r3</t>
        </is>
      </c>
      <c r="D52" s="2" t="inlineStr">
        <is>
          <t>jeminise.com+tree-of-life-with-celtic-knot-roots-quilt-set-and-celtic-knot-borders-9482d2b2f5-9482d2b2f5</t>
        </is>
      </c>
      <c r="E52" s="2" t="n">
        <v>335</v>
      </c>
      <c r="F52" s="2" t="inlineStr">
        <is>
          <t>T2</t>
        </is>
      </c>
      <c r="G52" s="2" t="inlineStr">
        <is>
          <t>Product title/H1 proposal</t>
        </is>
      </c>
      <c r="H52" s="2" t="n">
        <v>5</v>
      </c>
      <c r="I52" s="2" t="inlineStr">
        <is>
          <t>FULL</t>
        </is>
      </c>
      <c r="J52" s="6">
        <f>IF(F52="I1",AVERAGEIF('QA_Images'!$D$2:$D$58,D52,'QA_Images'!$AA$2:$AA$58)/100,IF(I52="FULL",1,IF(I52="PARTIAL",0.5,IF(I52="FAIL",0,""))))</f>
        <v/>
      </c>
      <c r="K52" s="6">
        <f>IF(J52="",0,H52*J52)</f>
        <v/>
      </c>
      <c r="L52" s="6">
        <f>IF(F52="I1",20*AVERAGEIF('QA_Images'!$D$2:$D$58,D52,'QA_Images'!$AB$2:$AB$58)/100,IF(I52="NOT_CHECKED",0,H52))</f>
        <v/>
      </c>
      <c r="M52" s="2" t="inlineStr">
        <is>
          <t>title_proposed is publishable as a clean H1/title replacement and fixes the current truncated or mojibake-heavy storefront title.</t>
        </is>
      </c>
      <c r="N52" s="2" t="inlineStr">
        <is>
          <t>live json/html; D:\Shopify_Workspace\jeminise_seo\seo_runs\jeminise.com\20260906_234129\qa\20260908_183309\serp_evidence.json; D:\Shopify_Workspace\jeminise_seo\seo_runs\jeminise.com\20260906_234129\qa\20260908_183309\visual_observations.json</t>
        </is>
      </c>
      <c r="O52" s="2" t="inlineStr"/>
      <c r="P52" s="2" t="inlineStr"/>
    </row>
    <row r="53" ht="42" customHeight="1">
      <c r="A53" s="3" t="inlineStr">
        <is>
          <t>20260908_183309</t>
        </is>
      </c>
      <c r="B53" s="3" t="inlineStr">
        <is>
          <t>qa_batch_034_r3</t>
        </is>
      </c>
      <c r="C53" s="3" t="inlineStr">
        <is>
          <t>r3</t>
        </is>
      </c>
      <c r="D53" s="3" t="inlineStr">
        <is>
          <t>jeminise.com+tree-of-life-with-celtic-knot-roots-quilt-set-and-celtic-knot-borders-9482d2b2f5-9482d2b2f5</t>
        </is>
      </c>
      <c r="E53" s="3" t="n">
        <v>335</v>
      </c>
      <c r="F53" s="3" t="inlineStr">
        <is>
          <t>D1</t>
        </is>
      </c>
      <c r="G53" s="3" t="inlineStr">
        <is>
          <t>Meta description</t>
        </is>
      </c>
      <c r="H53" s="3" t="n">
        <v>5</v>
      </c>
      <c r="I53" s="3" t="inlineStr">
        <is>
          <t>FULL</t>
        </is>
      </c>
      <c r="J53" s="8">
        <f>IF(F53="I1",AVERAGEIF('QA_Images'!$D$2:$D$58,D53,'QA_Images'!$AA$2:$AA$58)/100,IF(I53="FULL",1,IF(I53="PARTIAL",0.5,IF(I53="FAIL",0,""))))</f>
        <v/>
      </c>
      <c r="K53" s="8">
        <f>IF(J53="",0,H53*J53)</f>
        <v/>
      </c>
      <c r="L53" s="8">
        <f>IF(F53="I1",20*AVERAGEIF('QA_Images'!$D$2:$D$58,D53,'QA_Images'!$AB$2:$AB$58)/100,IF(I53="NOT_CHECKED",0,H53))</f>
        <v/>
      </c>
      <c r="M53" s="3" t="inlineStr">
        <is>
          <t>meta_description_seo no longer has hard truncation or dangling ending; length is below 145 but complete and meaningful, so no automatic penalty for character count.</t>
        </is>
      </c>
      <c r="N53" s="3" t="inlineStr">
        <is>
          <t>live json/html; D:\Shopify_Workspace\jeminise_seo\seo_runs\jeminise.com\20260906_234129\qa\20260908_183309\serp_evidence.json; D:\Shopify_Workspace\jeminise_seo\seo_runs\jeminise.com\20260906_234129\qa\20260908_183309\visual_observations.json</t>
        </is>
      </c>
      <c r="O53" s="3" t="inlineStr"/>
      <c r="P53" s="3" t="inlineStr"/>
    </row>
    <row r="54" ht="42" customHeight="1">
      <c r="A54" s="2" t="inlineStr">
        <is>
          <t>20260908_183309</t>
        </is>
      </c>
      <c r="B54" s="2" t="inlineStr">
        <is>
          <t>qa_batch_034_r3</t>
        </is>
      </c>
      <c r="C54" s="2" t="inlineStr">
        <is>
          <t>r3</t>
        </is>
      </c>
      <c r="D54" s="2" t="inlineStr">
        <is>
          <t>jeminise.com+tree-of-life-with-celtic-knot-roots-quilt-set-and-celtic-knot-borders-9482d2b2f5-9482d2b2f5</t>
        </is>
      </c>
      <c r="E54" s="2" t="n">
        <v>335</v>
      </c>
      <c r="F54" s="2" t="inlineStr">
        <is>
          <t>D2</t>
        </is>
      </c>
      <c r="G54" s="2" t="inlineStr">
        <is>
          <t>Description HTML</t>
        </is>
      </c>
      <c r="H54" s="2" t="n">
        <v>10</v>
      </c>
      <c r="I54" s="2" t="inlineStr">
        <is>
          <t>PARTIAL</t>
        </is>
      </c>
      <c r="J54" s="6">
        <f>IF(F54="I1",AVERAGEIF('QA_Images'!$D$2:$D$58,D54,'QA_Images'!$AA$2:$AA$58)/100,IF(I54="FULL",1,IF(I54="PARTIAL",0.5,IF(I54="FAIL",0,""))))</f>
        <v/>
      </c>
      <c r="K54" s="6">
        <f>IF(J54="",0,H54*J54)</f>
        <v/>
      </c>
      <c r="L54" s="6">
        <f>IF(F54="I1",20*AVERAGEIF('QA_Images'!$D$2:$D$58,D54,'QA_Images'!$AB$2:$AB$58)/100,IF(I54="NOT_CHECKED",0,H54))</f>
        <v/>
      </c>
      <c r="M54" s="2" t="inlineStr">
        <is>
          <t>Description facts mostly match live/product evidence, but the body still contains editorial/process phrasing and generic gallery wording that should not ship as final storefront copy.</t>
        </is>
      </c>
      <c r="N54" s="2" t="inlineStr">
        <is>
          <t>live json/html; D:\Shopify_Workspace\jeminise_seo\seo_runs\jeminise.com\20260906_234129\qa\20260908_183309\serp_evidence.json; D:\Shopify_Workspace\jeminise_seo\seo_runs\jeminise.com\20260906_234129\qa\20260908_183309\visual_observations.json</t>
        </is>
      </c>
      <c r="O54" s="2" t="inlineStr">
        <is>
          <t>ISS-034-335-D2-CUSTOMER-COPY</t>
        </is>
      </c>
      <c r="P54" s="2" t="inlineStr">
        <is>
          <t>Rewrite as customer-facing English body copy for Celtic Tree of Life Quilt Set; remove “The copy stays specific...” and avoid process-style gallery wording.</t>
        </is>
      </c>
    </row>
    <row r="55" ht="42" customHeight="1">
      <c r="A55" s="3" t="inlineStr">
        <is>
          <t>20260908_183309</t>
        </is>
      </c>
      <c r="B55" s="3" t="inlineStr">
        <is>
          <t>qa_batch_034_r3</t>
        </is>
      </c>
      <c r="C55" s="3" t="inlineStr">
        <is>
          <t>r3</t>
        </is>
      </c>
      <c r="D55" s="3" t="inlineStr">
        <is>
          <t>jeminise.com+tree-of-life-with-celtic-knot-roots-quilt-set-and-celtic-knot-borders-9482d2b2f5-9482d2b2f5</t>
        </is>
      </c>
      <c r="E55" s="3" t="n">
        <v>335</v>
      </c>
      <c r="F55" s="3" t="inlineStr">
        <is>
          <t>I1</t>
        </is>
      </c>
      <c r="G55" s="3" t="inlineStr">
        <is>
          <t>Image/alt QA aggregate</t>
        </is>
      </c>
      <c r="H55" s="3" t="n">
        <v>20</v>
      </c>
      <c r="I55" s="3" t="inlineStr">
        <is>
          <t>DERIVED_FROM_IMAGES</t>
        </is>
      </c>
      <c r="J55" s="8">
        <f>IF(F55="I1",AVERAGEIF('QA_Images'!$D$2:$D$58,D55,'QA_Images'!$AA$2:$AA$58)/100,IF(I55="FULL",1,IF(I55="PARTIAL",0.5,IF(I55="FAIL",0,""))))</f>
        <v/>
      </c>
      <c r="K55" s="8">
        <f>IF(J55="",0,H55*J55)</f>
        <v/>
      </c>
      <c r="L55" s="8">
        <f>IF(F55="I1",20*AVERAGEIF('QA_Images'!$D$2:$D$58,D55,'QA_Images'!$AB$2:$AB$58)/100,IF(I55="NOT_CHECKED",0,H55))</f>
        <v/>
      </c>
      <c r="M55" s="3" t="inlineStr">
        <is>
          <t>Derived from QA_Images average for this product; all images were opened directly in this run.</t>
        </is>
      </c>
      <c r="N55" s="3" t="inlineStr">
        <is>
          <t>live json/html; D:\Shopify_Workspace\jeminise_seo\seo_runs\jeminise.com\20260906_234129\qa\20260908_183309\serp_evidence.json; D:\Shopify_Workspace\jeminise_seo\seo_runs\jeminise.com\20260906_234129\qa\20260908_183309\visual_observations.json</t>
        </is>
      </c>
      <c r="O55" s="3" t="inlineStr"/>
      <c r="P55" s="3" t="inlineStr"/>
    </row>
    <row r="56" ht="42" customHeight="1">
      <c r="A56" s="2" t="inlineStr">
        <is>
          <t>20260908_183309</t>
        </is>
      </c>
      <c r="B56" s="2" t="inlineStr">
        <is>
          <t>qa_batch_034_r3</t>
        </is>
      </c>
      <c r="C56" s="2" t="inlineStr">
        <is>
          <t>r3</t>
        </is>
      </c>
      <c r="D56" s="2" t="inlineStr">
        <is>
          <t>jeminise.com+tree-of-life-with-celtic-knot-roots-quilt-set-and-celtic-knot-borders-9482d2b2f5-9482d2b2f5</t>
        </is>
      </c>
      <c r="E56" s="2" t="n">
        <v>335</v>
      </c>
      <c r="F56" s="2" t="inlineStr">
        <is>
          <t>E1</t>
        </is>
      </c>
      <c r="G56" s="2" t="inlineStr">
        <is>
          <t>Evidence chain and traceability</t>
        </is>
      </c>
      <c r="H56" s="2" t="n">
        <v>5</v>
      </c>
      <c r="I56" s="2" t="inlineStr">
        <is>
          <t>PARTIAL</t>
        </is>
      </c>
      <c r="J56" s="6">
        <f>IF(F56="I1",AVERAGEIF('QA_Images'!$D$2:$D$58,D56,'QA_Images'!$AA$2:$AA$58)/100,IF(I56="FULL",1,IF(I56="PARTIAL",0.5,IF(I56="FAIL",0,""))))</f>
        <v/>
      </c>
      <c r="K56" s="6">
        <f>IF(J56="",0,H56*J56)</f>
        <v/>
      </c>
      <c r="L56" s="6">
        <f>IF(F56="I1",20*AVERAGEIF('QA_Images'!$D$2:$D$58,D56,'QA_Images'!$AB$2:$AB$58)/100,IF(I56="NOT_CHECKED",0,H56))</f>
        <v/>
      </c>
      <c r="M56" s="2" t="inlineStr">
        <is>
          <t>Evidence chain exists, but workbook traceability still carries r2/contact-sheet wording while the actual source file is r3; this QA run compensates with new live/image/SERP evidence.</t>
        </is>
      </c>
      <c r="N56" s="2" t="inlineStr">
        <is>
          <t>live json/html; D:\Shopify_Workspace\jeminise_seo\seo_runs\jeminise.com\20260906_234129\qa\20260908_183309\serp_evidence.json; D:\Shopify_Workspace\jeminise_seo\seo_runs\jeminise.com\20260906_234129\qa\20260908_183309\visual_observations.json</t>
        </is>
      </c>
      <c r="O56" s="2" t="inlineStr">
        <is>
          <t>ISS-034-335-E1-REVISION-TRACE</t>
        </is>
      </c>
      <c r="P56" s="2" t="inlineStr"/>
    </row>
    <row r="57" ht="42" customHeight="1">
      <c r="A57" s="3" t="inlineStr">
        <is>
          <t>20260908_183309</t>
        </is>
      </c>
      <c r="B57" s="3" t="inlineStr">
        <is>
          <t>qa_batch_034_r3</t>
        </is>
      </c>
      <c r="C57" s="3" t="inlineStr">
        <is>
          <t>r3</t>
        </is>
      </c>
      <c r="D57" s="3" t="inlineStr">
        <is>
          <t>jeminise.com+winter-cardinal-on-berry-branch-patchwork-christmas-quilt-43ecda62b6-43ecda62b6</t>
        </is>
      </c>
      <c r="E57" s="3" t="n">
        <v>336</v>
      </c>
      <c r="F57" s="3" t="inlineStr">
        <is>
          <t>P1</t>
        </is>
      </c>
      <c r="G57" s="3" t="inlineStr">
        <is>
          <t>Product identity/source match</t>
        </is>
      </c>
      <c r="H57" s="3" t="n">
        <v>15</v>
      </c>
      <c r="I57" s="3" t="inlineStr">
        <is>
          <t>FULL</t>
        </is>
      </c>
      <c r="J57" s="8">
        <f>IF(F57="I1",AVERAGEIF('QA_Images'!$D$2:$D$58,D57,'QA_Images'!$AA$2:$AA$58)/100,IF(I57="FULL",1,IF(I57="PARTIAL",0.5,IF(I57="FAIL",0,""))))</f>
        <v/>
      </c>
      <c r="K57" s="8">
        <f>IF(J57="",0,H57*J57)</f>
        <v/>
      </c>
      <c r="L57" s="8">
        <f>IF(F57="I1",20*AVERAGEIF('QA_Images'!$D$2:$D$58,D57,'QA_Images'!$AB$2:$AB$58)/100,IF(I57="NOT_CHECKED",0,H57))</f>
        <v/>
      </c>
      <c r="M57" s="3" t="inlineStr">
        <is>
          <t>Product identity locked by inventory product_key, handle and product_id; live product JSON matched handle/id and expected image count for position 336.</t>
        </is>
      </c>
      <c r="N57" s="3" t="inlineStr">
        <is>
          <t>live json/html; D:\Shopify_Workspace\jeminise_seo\seo_runs\jeminise.com\20260906_234129\qa\20260908_183309\serp_evidence.json; D:\Shopify_Workspace\jeminise_seo\seo_runs\jeminise.com\20260906_234129\qa\20260908_183309\visual_observations.json</t>
        </is>
      </c>
      <c r="O57" s="3" t="inlineStr"/>
      <c r="P57" s="3" t="inlineStr"/>
    </row>
    <row r="58" ht="42" customHeight="1">
      <c r="A58" s="2" t="inlineStr">
        <is>
          <t>20260908_183309</t>
        </is>
      </c>
      <c r="B58" s="2" t="inlineStr">
        <is>
          <t>qa_batch_034_r3</t>
        </is>
      </c>
      <c r="C58" s="2" t="inlineStr">
        <is>
          <t>r3</t>
        </is>
      </c>
      <c r="D58" s="2" t="inlineStr">
        <is>
          <t>jeminise.com+winter-cardinal-on-berry-branch-patchwork-christmas-quilt-43ecda62b6-43ecda62b6</t>
        </is>
      </c>
      <c r="E58" s="2" t="n">
        <v>336</v>
      </c>
      <c r="F58" s="2" t="inlineStr">
        <is>
          <t>P2</t>
        </is>
      </c>
      <c r="G58" s="2" t="inlineStr">
        <is>
          <t>Facts, offer and customization</t>
        </is>
      </c>
      <c r="H58" s="2" t="n">
        <v>10</v>
      </c>
      <c r="I58" s="2" t="inlineStr">
        <is>
          <t>FULL</t>
        </is>
      </c>
      <c r="J58" s="6">
        <f>IF(F58="I1",AVERAGEIF('QA_Images'!$D$2:$D$58,D58,'QA_Images'!$AA$2:$AA$58)/100,IF(I58="FULL",1,IF(I58="PARTIAL",0.5,IF(I58="FAIL",0,""))))</f>
        <v/>
      </c>
      <c r="K58" s="6">
        <f>IF(J58="",0,H58*J58)</f>
        <v/>
      </c>
      <c r="L58" s="6">
        <f>IF(F58="I1",20*AVERAGEIF('QA_Images'!$D$2:$D$58,D58,'QA_Images'!$AB$2:$AB$58)/100,IF(I58="NOT_CHECKED",0,H58))</f>
        <v/>
      </c>
      <c r="M58" s="2" t="inlineStr">
        <is>
          <t>Offer facts verified from live JSON/options and full HTML customizer config: options CHOOSE YOUR SIZE, Pillowcases; customizer labels ['Customize Your Quilt'].</t>
        </is>
      </c>
      <c r="N58" s="2" t="inlineStr">
        <is>
          <t>live json/html; D:\Shopify_Workspace\jeminise_seo\seo_runs\jeminise.com\20260906_234129\qa\20260908_183309\serp_evidence.json; D:\Shopify_Workspace\jeminise_seo\seo_runs\jeminise.com\20260906_234129\qa\20260908_183309\visual_observations.json</t>
        </is>
      </c>
      <c r="O58" s="2" t="inlineStr"/>
      <c r="P58" s="2" t="inlineStr"/>
    </row>
    <row r="59" ht="42" customHeight="1">
      <c r="A59" s="3" t="inlineStr">
        <is>
          <t>20260908_183309</t>
        </is>
      </c>
      <c r="B59" s="3" t="inlineStr">
        <is>
          <t>qa_batch_034_r3</t>
        </is>
      </c>
      <c r="C59" s="3" t="inlineStr">
        <is>
          <t>r3</t>
        </is>
      </c>
      <c r="D59" s="3" t="inlineStr">
        <is>
          <t>jeminise.com+winter-cardinal-on-berry-branch-patchwork-christmas-quilt-43ecda62b6-43ecda62b6</t>
        </is>
      </c>
      <c r="E59" s="3" t="n">
        <v>336</v>
      </c>
      <c r="F59" s="3" t="inlineStr">
        <is>
          <t>K1</t>
        </is>
      </c>
      <c r="G59" s="3" t="inlineStr">
        <is>
          <t>Primary keyword evidence</t>
        </is>
      </c>
      <c r="H59" s="3" t="n">
        <v>10</v>
      </c>
      <c r="I59" s="3" t="inlineStr">
        <is>
          <t>FULL</t>
        </is>
      </c>
      <c r="J59" s="8">
        <f>IF(F59="I1",AVERAGEIF('QA_Images'!$D$2:$D$58,D59,'QA_Images'!$AA$2:$AA$58)/100,IF(I59="FULL",1,IF(I59="PARTIAL",0.5,IF(I59="FAIL",0,""))))</f>
        <v/>
      </c>
      <c r="K59" s="8">
        <f>IF(J59="",0,H59*J59)</f>
        <v/>
      </c>
      <c r="L59" s="8">
        <f>IF(F59="I1",20*AVERAGEIF('QA_Images'!$D$2:$D$58,D59,'QA_Images'!$AB$2:$AB$58)/100,IF(I59="NOT_CHECKED",0,H59))</f>
        <v/>
      </c>
      <c r="M59" s="3" t="inlineStr">
        <is>
          <t>Primary keyword has readable commercial SERP support and maps to the visible motif/product type without unsupported volume claims.</t>
        </is>
      </c>
      <c r="N59" s="3" t="inlineStr">
        <is>
          <t>live json/html; D:\Shopify_Workspace\jeminise_seo\seo_runs\jeminise.com\20260906_234129\qa\20260908_183309\serp_evidence.json; D:\Shopify_Workspace\jeminise_seo\seo_runs\jeminise.com\20260906_234129\qa\20260908_183309\visual_observations.json</t>
        </is>
      </c>
      <c r="O59" s="3" t="inlineStr"/>
      <c r="P59" s="3" t="inlineStr"/>
    </row>
    <row r="60" ht="42" customHeight="1">
      <c r="A60" s="2" t="inlineStr">
        <is>
          <t>20260908_183309</t>
        </is>
      </c>
      <c r="B60" s="2" t="inlineStr">
        <is>
          <t>qa_batch_034_r3</t>
        </is>
      </c>
      <c r="C60" s="2" t="inlineStr">
        <is>
          <t>r3</t>
        </is>
      </c>
      <c r="D60" s="2" t="inlineStr">
        <is>
          <t>jeminise.com+winter-cardinal-on-berry-branch-patchwork-christmas-quilt-43ecda62b6-43ecda62b6</t>
        </is>
      </c>
      <c r="E60" s="2" t="n">
        <v>336</v>
      </c>
      <c r="F60" s="2" t="inlineStr">
        <is>
          <t>K2</t>
        </is>
      </c>
      <c r="G60" s="2" t="inlineStr">
        <is>
          <t>Intent/cannibalization separation</t>
        </is>
      </c>
      <c r="H60" s="2" t="n">
        <v>5</v>
      </c>
      <c r="I60" s="2" t="inlineStr">
        <is>
          <t>PARTIAL</t>
        </is>
      </c>
      <c r="J60" s="6">
        <f>IF(F60="I1",AVERAGEIF('QA_Images'!$D$2:$D$58,D60,'QA_Images'!$AA$2:$AA$58)/100,IF(I60="FULL",1,IF(I60="PARTIAL",0.5,IF(I60="FAIL",0,""))))</f>
        <v/>
      </c>
      <c r="K60" s="6">
        <f>IF(J60="",0,H60*J60)</f>
        <v/>
      </c>
      <c r="L60" s="6">
        <f>IF(F60="I1",20*AVERAGEIF('QA_Images'!$D$2:$D$58,D60,'QA_Images'!$AB$2:$AB$58)/100,IF(I60="NOT_CHECKED",0,H60))</f>
        <v/>
      </c>
      <c r="M60" s="2" t="inlineStr">
        <is>
          <t>Keyword differentiation exists by motif, but nearby products in the same softball/cardinal cluster share broad secondary terms and mapping rationale is repetitive.</t>
        </is>
      </c>
      <c r="N60" s="2" t="inlineStr">
        <is>
          <t>live json/html; D:\Shopify_Workspace\jeminise_seo\seo_runs\jeminise.com\20260906_234129\qa\20260908_183309\serp_evidence.json; D:\Shopify_Workspace\jeminise_seo\seo_runs\jeminise.com\20260906_234129\qa\20260908_183309\visual_observations.json</t>
        </is>
      </c>
      <c r="O60" s="2" t="inlineStr"/>
      <c r="P60" s="2" t="inlineStr"/>
    </row>
    <row r="61" ht="42" customHeight="1">
      <c r="A61" s="3" t="inlineStr">
        <is>
          <t>20260908_183309</t>
        </is>
      </c>
      <c r="B61" s="3" t="inlineStr">
        <is>
          <t>qa_batch_034_r3</t>
        </is>
      </c>
      <c r="C61" s="3" t="inlineStr">
        <is>
          <t>r3</t>
        </is>
      </c>
      <c r="D61" s="3" t="inlineStr">
        <is>
          <t>jeminise.com+winter-cardinal-on-berry-branch-patchwork-christmas-quilt-43ecda62b6-43ecda62b6</t>
        </is>
      </c>
      <c r="E61" s="3" t="n">
        <v>336</v>
      </c>
      <c r="F61" s="3" t="inlineStr">
        <is>
          <t>K3</t>
        </is>
      </c>
      <c r="G61" s="3" t="inlineStr">
        <is>
          <t>No unsupported keyword-volume claim</t>
        </is>
      </c>
      <c r="H61" s="3" t="n">
        <v>5</v>
      </c>
      <c r="I61" s="3" t="inlineStr">
        <is>
          <t>FULL</t>
        </is>
      </c>
      <c r="J61" s="8">
        <f>IF(F61="I1",AVERAGEIF('QA_Images'!$D$2:$D$58,D61,'QA_Images'!$AA$2:$AA$58)/100,IF(I61="FULL",1,IF(I61="PARTIAL",0.5,IF(I61="FAIL",0,""))))</f>
        <v/>
      </c>
      <c r="K61" s="8">
        <f>IF(J61="",0,H61*J61)</f>
        <v/>
      </c>
      <c r="L61" s="8">
        <f>IF(F61="I1",20*AVERAGEIF('QA_Images'!$D$2:$D$58,D61,'QA_Images'!$AB$2:$AB$58)/100,IF(I61="NOT_CHECKED",0,H61))</f>
        <v/>
      </c>
      <c r="M61" s="3" t="inlineStr">
        <is>
          <t>No search-volume or ranking claim is made; keyword evidence is correctly limited as SERP_ONLY.</t>
        </is>
      </c>
      <c r="N61" s="3" t="inlineStr">
        <is>
          <t>live json/html; D:\Shopify_Workspace\jeminise_seo\seo_runs\jeminise.com\20260906_234129\qa\20260908_183309\serp_evidence.json; D:\Shopify_Workspace\jeminise_seo\seo_runs\jeminise.com\20260906_234129\qa\20260908_183309\visual_observations.json</t>
        </is>
      </c>
      <c r="O61" s="3" t="inlineStr"/>
      <c r="P61" s="3" t="inlineStr"/>
    </row>
    <row r="62" ht="42" customHeight="1">
      <c r="A62" s="2" t="inlineStr">
        <is>
          <t>20260908_183309</t>
        </is>
      </c>
      <c r="B62" s="2" t="inlineStr">
        <is>
          <t>qa_batch_034_r3</t>
        </is>
      </c>
      <c r="C62" s="2" t="inlineStr">
        <is>
          <t>r3</t>
        </is>
      </c>
      <c r="D62" s="2" t="inlineStr">
        <is>
          <t>jeminise.com+winter-cardinal-on-berry-branch-patchwork-christmas-quilt-43ecda62b6-43ecda62b6</t>
        </is>
      </c>
      <c r="E62" s="2" t="n">
        <v>336</v>
      </c>
      <c r="F62" s="2" t="inlineStr">
        <is>
          <t>T1</t>
        </is>
      </c>
      <c r="G62" s="2" t="inlineStr">
        <is>
          <t>SEO title/meta title</t>
        </is>
      </c>
      <c r="H62" s="2" t="n">
        <v>10</v>
      </c>
      <c r="I62" s="2" t="inlineStr">
        <is>
          <t>FULL</t>
        </is>
      </c>
      <c r="J62" s="6">
        <f>IF(F62="I1",AVERAGEIF('QA_Images'!$D$2:$D$58,D62,'QA_Images'!$AA$2:$AA$58)/100,IF(I62="FULL",1,IF(I62="PARTIAL",0.5,IF(I62="FAIL",0,""))))</f>
        <v/>
      </c>
      <c r="K62" s="6">
        <f>IF(J62="",0,H62*J62)</f>
        <v/>
      </c>
      <c r="L62" s="6">
        <f>IF(F62="I1",20*AVERAGEIF('QA_Images'!$D$2:$D$58,D62,'QA_Images'!$AB$2:$AB$58)/100,IF(I62="NOT_CHECKED",0,H62))</f>
        <v/>
      </c>
      <c r="M62" s="2" t="inlineStr">
        <is>
          <t>meta_title_seo is concise, readable, and maps to the verified motif/product type.</t>
        </is>
      </c>
      <c r="N62" s="2" t="inlineStr">
        <is>
          <t>live json/html; D:\Shopify_Workspace\jeminise_seo\seo_runs\jeminise.com\20260906_234129\qa\20260908_183309\serp_evidence.json; D:\Shopify_Workspace\jeminise_seo\seo_runs\jeminise.com\20260906_234129\qa\20260908_183309\visual_observations.json</t>
        </is>
      </c>
      <c r="O62" s="2" t="inlineStr"/>
      <c r="P62" s="2" t="inlineStr"/>
    </row>
    <row r="63" ht="42" customHeight="1">
      <c r="A63" s="3" t="inlineStr">
        <is>
          <t>20260908_183309</t>
        </is>
      </c>
      <c r="B63" s="3" t="inlineStr">
        <is>
          <t>qa_batch_034_r3</t>
        </is>
      </c>
      <c r="C63" s="3" t="inlineStr">
        <is>
          <t>r3</t>
        </is>
      </c>
      <c r="D63" s="3" t="inlineStr">
        <is>
          <t>jeminise.com+winter-cardinal-on-berry-branch-patchwork-christmas-quilt-43ecda62b6-43ecda62b6</t>
        </is>
      </c>
      <c r="E63" s="3" t="n">
        <v>336</v>
      </c>
      <c r="F63" s="3" t="inlineStr">
        <is>
          <t>T2</t>
        </is>
      </c>
      <c r="G63" s="3" t="inlineStr">
        <is>
          <t>Product title/H1 proposal</t>
        </is>
      </c>
      <c r="H63" s="3" t="n">
        <v>5</v>
      </c>
      <c r="I63" s="3" t="inlineStr">
        <is>
          <t>FULL</t>
        </is>
      </c>
      <c r="J63" s="8">
        <f>IF(F63="I1",AVERAGEIF('QA_Images'!$D$2:$D$58,D63,'QA_Images'!$AA$2:$AA$58)/100,IF(I63="FULL",1,IF(I63="PARTIAL",0.5,IF(I63="FAIL",0,""))))</f>
        <v/>
      </c>
      <c r="K63" s="8">
        <f>IF(J63="",0,H63*J63)</f>
        <v/>
      </c>
      <c r="L63" s="8">
        <f>IF(F63="I1",20*AVERAGEIF('QA_Images'!$D$2:$D$58,D63,'QA_Images'!$AB$2:$AB$58)/100,IF(I63="NOT_CHECKED",0,H63))</f>
        <v/>
      </c>
      <c r="M63" s="3" t="inlineStr">
        <is>
          <t>title_proposed is publishable as a clean H1/title replacement and fixes the current truncated or mojibake-heavy storefront title.</t>
        </is>
      </c>
      <c r="N63" s="3" t="inlineStr">
        <is>
          <t>live json/html; D:\Shopify_Workspace\jeminise_seo\seo_runs\jeminise.com\20260906_234129\qa\20260908_183309\serp_evidence.json; D:\Shopify_Workspace\jeminise_seo\seo_runs\jeminise.com\20260906_234129\qa\20260908_183309\visual_observations.json</t>
        </is>
      </c>
      <c r="O63" s="3" t="inlineStr"/>
      <c r="P63" s="3" t="inlineStr"/>
    </row>
    <row r="64" ht="42" customHeight="1">
      <c r="A64" s="2" t="inlineStr">
        <is>
          <t>20260908_183309</t>
        </is>
      </c>
      <c r="B64" s="2" t="inlineStr">
        <is>
          <t>qa_batch_034_r3</t>
        </is>
      </c>
      <c r="C64" s="2" t="inlineStr">
        <is>
          <t>r3</t>
        </is>
      </c>
      <c r="D64" s="2" t="inlineStr">
        <is>
          <t>jeminise.com+winter-cardinal-on-berry-branch-patchwork-christmas-quilt-43ecda62b6-43ecda62b6</t>
        </is>
      </c>
      <c r="E64" s="2" t="n">
        <v>336</v>
      </c>
      <c r="F64" s="2" t="inlineStr">
        <is>
          <t>D1</t>
        </is>
      </c>
      <c r="G64" s="2" t="inlineStr">
        <is>
          <t>Meta description</t>
        </is>
      </c>
      <c r="H64" s="2" t="n">
        <v>5</v>
      </c>
      <c r="I64" s="2" t="inlineStr">
        <is>
          <t>FULL</t>
        </is>
      </c>
      <c r="J64" s="6">
        <f>IF(F64="I1",AVERAGEIF('QA_Images'!$D$2:$D$58,D64,'QA_Images'!$AA$2:$AA$58)/100,IF(I64="FULL",1,IF(I64="PARTIAL",0.5,IF(I64="FAIL",0,""))))</f>
        <v/>
      </c>
      <c r="K64" s="6">
        <f>IF(J64="",0,H64*J64)</f>
        <v/>
      </c>
      <c r="L64" s="6">
        <f>IF(F64="I1",20*AVERAGEIF('QA_Images'!$D$2:$D$58,D64,'QA_Images'!$AB$2:$AB$58)/100,IF(I64="NOT_CHECKED",0,H64))</f>
        <v/>
      </c>
      <c r="M64" s="2" t="inlineStr">
        <is>
          <t>meta_description_seo no longer has hard truncation or dangling ending; length is below 145 but complete and meaningful, so no automatic penalty for character count.</t>
        </is>
      </c>
      <c r="N64" s="2" t="inlineStr">
        <is>
          <t>live json/html; D:\Shopify_Workspace\jeminise_seo\seo_runs\jeminise.com\20260906_234129\qa\20260908_183309\serp_evidence.json; D:\Shopify_Workspace\jeminise_seo\seo_runs\jeminise.com\20260906_234129\qa\20260908_183309\visual_observations.json</t>
        </is>
      </c>
      <c r="O64" s="2" t="inlineStr"/>
      <c r="P64" s="2" t="inlineStr"/>
    </row>
    <row r="65" ht="42" customHeight="1">
      <c r="A65" s="3" t="inlineStr">
        <is>
          <t>20260908_183309</t>
        </is>
      </c>
      <c r="B65" s="3" t="inlineStr">
        <is>
          <t>qa_batch_034_r3</t>
        </is>
      </c>
      <c r="C65" s="3" t="inlineStr">
        <is>
          <t>r3</t>
        </is>
      </c>
      <c r="D65" s="3" t="inlineStr">
        <is>
          <t>jeminise.com+winter-cardinal-on-berry-branch-patchwork-christmas-quilt-43ecda62b6-43ecda62b6</t>
        </is>
      </c>
      <c r="E65" s="3" t="n">
        <v>336</v>
      </c>
      <c r="F65" s="3" t="inlineStr">
        <is>
          <t>D2</t>
        </is>
      </c>
      <c r="G65" s="3" t="inlineStr">
        <is>
          <t>Description HTML</t>
        </is>
      </c>
      <c r="H65" s="3" t="n">
        <v>10</v>
      </c>
      <c r="I65" s="3" t="inlineStr">
        <is>
          <t>PARTIAL</t>
        </is>
      </c>
      <c r="J65" s="8">
        <f>IF(F65="I1",AVERAGEIF('QA_Images'!$D$2:$D$58,D65,'QA_Images'!$AA$2:$AA$58)/100,IF(I65="FULL",1,IF(I65="PARTIAL",0.5,IF(I65="FAIL",0,""))))</f>
        <v/>
      </c>
      <c r="K65" s="8">
        <f>IF(J65="",0,H65*J65)</f>
        <v/>
      </c>
      <c r="L65" s="8">
        <f>IF(F65="I1",20*AVERAGEIF('QA_Images'!$D$2:$D$58,D65,'QA_Images'!$AB$2:$AB$58)/100,IF(I65="NOT_CHECKED",0,H65))</f>
        <v/>
      </c>
      <c r="M65" s="3" t="inlineStr">
        <is>
          <t>Description facts mostly match live/product evidence, but the body still contains editorial/process phrasing and generic gallery wording that should not ship as final storefront copy.</t>
        </is>
      </c>
      <c r="N65" s="3" t="inlineStr">
        <is>
          <t>live json/html; D:\Shopify_Workspace\jeminise_seo\seo_runs\jeminise.com\20260906_234129\qa\20260908_183309\serp_evidence.json; D:\Shopify_Workspace\jeminise_seo\seo_runs\jeminise.com\20260906_234129\qa\20260908_183309\visual_observations.json</t>
        </is>
      </c>
      <c r="O65" s="3" t="inlineStr">
        <is>
          <t>ISS-034-336-D2-CUSTOMER-COPY</t>
        </is>
      </c>
      <c r="P65" s="3" t="inlineStr">
        <is>
          <t>Rewrite as customer-facing English body copy for Winter Cardinal Berry Branch Quilt; remove “The copy stays specific...” and avoid process-style gallery wording.</t>
        </is>
      </c>
    </row>
    <row r="66" ht="42" customHeight="1">
      <c r="A66" s="2" t="inlineStr">
        <is>
          <t>20260908_183309</t>
        </is>
      </c>
      <c r="B66" s="2" t="inlineStr">
        <is>
          <t>qa_batch_034_r3</t>
        </is>
      </c>
      <c r="C66" s="2" t="inlineStr">
        <is>
          <t>r3</t>
        </is>
      </c>
      <c r="D66" s="2" t="inlineStr">
        <is>
          <t>jeminise.com+winter-cardinal-on-berry-branch-patchwork-christmas-quilt-43ecda62b6-43ecda62b6</t>
        </is>
      </c>
      <c r="E66" s="2" t="n">
        <v>336</v>
      </c>
      <c r="F66" s="2" t="inlineStr">
        <is>
          <t>I1</t>
        </is>
      </c>
      <c r="G66" s="2" t="inlineStr">
        <is>
          <t>Image/alt QA aggregate</t>
        </is>
      </c>
      <c r="H66" s="2" t="n">
        <v>20</v>
      </c>
      <c r="I66" s="2" t="inlineStr">
        <is>
          <t>DERIVED_FROM_IMAGES</t>
        </is>
      </c>
      <c r="J66" s="6">
        <f>IF(F66="I1",AVERAGEIF('QA_Images'!$D$2:$D$58,D66,'QA_Images'!$AA$2:$AA$58)/100,IF(I66="FULL",1,IF(I66="PARTIAL",0.5,IF(I66="FAIL",0,""))))</f>
        <v/>
      </c>
      <c r="K66" s="6">
        <f>IF(J66="",0,H66*J66)</f>
        <v/>
      </c>
      <c r="L66" s="6">
        <f>IF(F66="I1",20*AVERAGEIF('QA_Images'!$D$2:$D$58,D66,'QA_Images'!$AB$2:$AB$58)/100,IF(I66="NOT_CHECKED",0,H66))</f>
        <v/>
      </c>
      <c r="M66" s="2" t="inlineStr">
        <is>
          <t>Derived from QA_Images average for this product; all images were opened directly in this run.</t>
        </is>
      </c>
      <c r="N66" s="2" t="inlineStr">
        <is>
          <t>live json/html; D:\Shopify_Workspace\jeminise_seo\seo_runs\jeminise.com\20260906_234129\qa\20260908_183309\serp_evidence.json; D:\Shopify_Workspace\jeminise_seo\seo_runs\jeminise.com\20260906_234129\qa\20260908_183309\visual_observations.json</t>
        </is>
      </c>
      <c r="O66" s="2" t="inlineStr"/>
      <c r="P66" s="2" t="inlineStr"/>
    </row>
    <row r="67" ht="42" customHeight="1">
      <c r="A67" s="3" t="inlineStr">
        <is>
          <t>20260908_183309</t>
        </is>
      </c>
      <c r="B67" s="3" t="inlineStr">
        <is>
          <t>qa_batch_034_r3</t>
        </is>
      </c>
      <c r="C67" s="3" t="inlineStr">
        <is>
          <t>r3</t>
        </is>
      </c>
      <c r="D67" s="3" t="inlineStr">
        <is>
          <t>jeminise.com+winter-cardinal-on-berry-branch-patchwork-christmas-quilt-43ecda62b6-43ecda62b6</t>
        </is>
      </c>
      <c r="E67" s="3" t="n">
        <v>336</v>
      </c>
      <c r="F67" s="3" t="inlineStr">
        <is>
          <t>E1</t>
        </is>
      </c>
      <c r="G67" s="3" t="inlineStr">
        <is>
          <t>Evidence chain and traceability</t>
        </is>
      </c>
      <c r="H67" s="3" t="n">
        <v>5</v>
      </c>
      <c r="I67" s="3" t="inlineStr">
        <is>
          <t>PARTIAL</t>
        </is>
      </c>
      <c r="J67" s="8">
        <f>IF(F67="I1",AVERAGEIF('QA_Images'!$D$2:$D$58,D67,'QA_Images'!$AA$2:$AA$58)/100,IF(I67="FULL",1,IF(I67="PARTIAL",0.5,IF(I67="FAIL",0,""))))</f>
        <v/>
      </c>
      <c r="K67" s="8">
        <f>IF(J67="",0,H67*J67)</f>
        <v/>
      </c>
      <c r="L67" s="8">
        <f>IF(F67="I1",20*AVERAGEIF('QA_Images'!$D$2:$D$58,D67,'QA_Images'!$AB$2:$AB$58)/100,IF(I67="NOT_CHECKED",0,H67))</f>
        <v/>
      </c>
      <c r="M67" s="3" t="inlineStr">
        <is>
          <t>Evidence chain exists, but workbook traceability still carries r2/contact-sheet wording while the actual source file is r3; this QA run compensates with new live/image/SERP evidence.</t>
        </is>
      </c>
      <c r="N67" s="3" t="inlineStr">
        <is>
          <t>live json/html; D:\Shopify_Workspace\jeminise_seo\seo_runs\jeminise.com\20260906_234129\qa\20260908_183309\serp_evidence.json; D:\Shopify_Workspace\jeminise_seo\seo_runs\jeminise.com\20260906_234129\qa\20260908_183309\visual_observations.json</t>
        </is>
      </c>
      <c r="O67" s="3" t="inlineStr">
        <is>
          <t>ISS-034-336-E1-REVISION-TRACE</t>
        </is>
      </c>
      <c r="P67" s="3" t="inlineStr"/>
    </row>
    <row r="68" ht="42" customHeight="1">
      <c r="A68" s="2" t="inlineStr">
        <is>
          <t>20260908_183309</t>
        </is>
      </c>
      <c r="B68" s="2" t="inlineStr">
        <is>
          <t>qa_batch_034_r3</t>
        </is>
      </c>
      <c r="C68" s="2" t="inlineStr">
        <is>
          <t>r3</t>
        </is>
      </c>
      <c r="D68" s="2" t="inlineStr">
        <is>
          <t>jeminise.com+winter-cardinals-on-heart-shaped-berry-branches-patchwork-christmas-quilt-de1c648f60-de1c648f60</t>
        </is>
      </c>
      <c r="E68" s="2" t="n">
        <v>337</v>
      </c>
      <c r="F68" s="2" t="inlineStr">
        <is>
          <t>P1</t>
        </is>
      </c>
      <c r="G68" s="2" t="inlineStr">
        <is>
          <t>Product identity/source match</t>
        </is>
      </c>
      <c r="H68" s="2" t="n">
        <v>15</v>
      </c>
      <c r="I68" s="2" t="inlineStr">
        <is>
          <t>FULL</t>
        </is>
      </c>
      <c r="J68" s="6">
        <f>IF(F68="I1",AVERAGEIF('QA_Images'!$D$2:$D$58,D68,'QA_Images'!$AA$2:$AA$58)/100,IF(I68="FULL",1,IF(I68="PARTIAL",0.5,IF(I68="FAIL",0,""))))</f>
        <v/>
      </c>
      <c r="K68" s="6">
        <f>IF(J68="",0,H68*J68)</f>
        <v/>
      </c>
      <c r="L68" s="6">
        <f>IF(F68="I1",20*AVERAGEIF('QA_Images'!$D$2:$D$58,D68,'QA_Images'!$AB$2:$AB$58)/100,IF(I68="NOT_CHECKED",0,H68))</f>
        <v/>
      </c>
      <c r="M68" s="2" t="inlineStr">
        <is>
          <t>Product identity locked by inventory product_key, handle and product_id; live product JSON matched handle/id and expected image count for position 337.</t>
        </is>
      </c>
      <c r="N68" s="2" t="inlineStr">
        <is>
          <t>live json/html; D:\Shopify_Workspace\jeminise_seo\seo_runs\jeminise.com\20260906_234129\qa\20260908_183309\serp_evidence.json; D:\Shopify_Workspace\jeminise_seo\seo_runs\jeminise.com\20260906_234129\qa\20260908_183309\visual_observations.json</t>
        </is>
      </c>
      <c r="O68" s="2" t="inlineStr"/>
      <c r="P68" s="2" t="inlineStr"/>
    </row>
    <row r="69" ht="42" customHeight="1">
      <c r="A69" s="3" t="inlineStr">
        <is>
          <t>20260908_183309</t>
        </is>
      </c>
      <c r="B69" s="3" t="inlineStr">
        <is>
          <t>qa_batch_034_r3</t>
        </is>
      </c>
      <c r="C69" s="3" t="inlineStr">
        <is>
          <t>r3</t>
        </is>
      </c>
      <c r="D69" s="3" t="inlineStr">
        <is>
          <t>jeminise.com+winter-cardinals-on-heart-shaped-berry-branches-patchwork-christmas-quilt-de1c648f60-de1c648f60</t>
        </is>
      </c>
      <c r="E69" s="3" t="n">
        <v>337</v>
      </c>
      <c r="F69" s="3" t="inlineStr">
        <is>
          <t>P2</t>
        </is>
      </c>
      <c r="G69" s="3" t="inlineStr">
        <is>
          <t>Facts, offer and customization</t>
        </is>
      </c>
      <c r="H69" s="3" t="n">
        <v>10</v>
      </c>
      <c r="I69" s="3" t="inlineStr">
        <is>
          <t>FULL</t>
        </is>
      </c>
      <c r="J69" s="8">
        <f>IF(F69="I1",AVERAGEIF('QA_Images'!$D$2:$D$58,D69,'QA_Images'!$AA$2:$AA$58)/100,IF(I69="FULL",1,IF(I69="PARTIAL",0.5,IF(I69="FAIL",0,""))))</f>
        <v/>
      </c>
      <c r="K69" s="8">
        <f>IF(J69="",0,H69*J69)</f>
        <v/>
      </c>
      <c r="L69" s="8">
        <f>IF(F69="I1",20*AVERAGEIF('QA_Images'!$D$2:$D$58,D69,'QA_Images'!$AB$2:$AB$58)/100,IF(I69="NOT_CHECKED",0,H69))</f>
        <v/>
      </c>
      <c r="M69" s="3" t="inlineStr">
        <is>
          <t>Offer facts verified from live JSON/options and full HTML customizer config: options CHOOSE YOUR SIZE, Pillowcases; customizer labels ['Customize Your Quilt'].</t>
        </is>
      </c>
      <c r="N69" s="3" t="inlineStr">
        <is>
          <t>live json/html; D:\Shopify_Workspace\jeminise_seo\seo_runs\jeminise.com\20260906_234129\qa\20260908_183309\serp_evidence.json; D:\Shopify_Workspace\jeminise_seo\seo_runs\jeminise.com\20260906_234129\qa\20260908_183309\visual_observations.json</t>
        </is>
      </c>
      <c r="O69" s="3" t="inlineStr"/>
      <c r="P69" s="3" t="inlineStr"/>
    </row>
    <row r="70" ht="42" customHeight="1">
      <c r="A70" s="2" t="inlineStr">
        <is>
          <t>20260908_183309</t>
        </is>
      </c>
      <c r="B70" s="2" t="inlineStr">
        <is>
          <t>qa_batch_034_r3</t>
        </is>
      </c>
      <c r="C70" s="2" t="inlineStr">
        <is>
          <t>r3</t>
        </is>
      </c>
      <c r="D70" s="2" t="inlineStr">
        <is>
          <t>jeminise.com+winter-cardinals-on-heart-shaped-berry-branches-patchwork-christmas-quilt-de1c648f60-de1c648f60</t>
        </is>
      </c>
      <c r="E70" s="2" t="n">
        <v>337</v>
      </c>
      <c r="F70" s="2" t="inlineStr">
        <is>
          <t>K1</t>
        </is>
      </c>
      <c r="G70" s="2" t="inlineStr">
        <is>
          <t>Primary keyword evidence</t>
        </is>
      </c>
      <c r="H70" s="2" t="n">
        <v>10</v>
      </c>
      <c r="I70" s="2" t="inlineStr">
        <is>
          <t>PARTIAL</t>
        </is>
      </c>
      <c r="J70" s="6">
        <f>IF(F70="I1",AVERAGEIF('QA_Images'!$D$2:$D$58,D70,'QA_Images'!$AA$2:$AA$58)/100,IF(I70="FULL",1,IF(I70="PARTIAL",0.5,IF(I70="FAIL",0,""))))</f>
        <v/>
      </c>
      <c r="K70" s="6">
        <f>IF(J70="",0,H70*J70)</f>
        <v/>
      </c>
      <c r="L70" s="6">
        <f>IF(F70="I1",20*AVERAGEIF('QA_Images'!$D$2:$D$58,D70,'QA_Images'!$AB$2:$AB$58)/100,IF(I70="NOT_CHECKED",0,H70))</f>
        <v/>
      </c>
      <c r="M70" s="2" t="inlineStr">
        <is>
          <t>Primary keyword combines a very specific motif with a broad product type; live SERP splits into adjacent intents and exact finished-product support is weak.</t>
        </is>
      </c>
      <c r="N70" s="2" t="inlineStr">
        <is>
          <t>live json/html; D:\Shopify_Workspace\jeminise_seo\seo_runs\jeminise.com\20260906_234129\qa\20260908_183309\serp_evidence.json; D:\Shopify_Workspace\jeminise_seo\seo_runs\jeminise.com\20260906_234129\qa\20260908_183309\visual_observations.json</t>
        </is>
      </c>
      <c r="O70" s="2" t="inlineStr">
        <is>
          <t>ISS-034-337-K1-SERP-WEAK</t>
        </is>
      </c>
      <c r="P70" s="2" t="inlineStr"/>
    </row>
    <row r="71" ht="42" customHeight="1">
      <c r="A71" s="3" t="inlineStr">
        <is>
          <t>20260908_183309</t>
        </is>
      </c>
      <c r="B71" s="3" t="inlineStr">
        <is>
          <t>qa_batch_034_r3</t>
        </is>
      </c>
      <c r="C71" s="3" t="inlineStr">
        <is>
          <t>r3</t>
        </is>
      </c>
      <c r="D71" s="3" t="inlineStr">
        <is>
          <t>jeminise.com+winter-cardinals-on-heart-shaped-berry-branches-patchwork-christmas-quilt-de1c648f60-de1c648f60</t>
        </is>
      </c>
      <c r="E71" s="3" t="n">
        <v>337</v>
      </c>
      <c r="F71" s="3" t="inlineStr">
        <is>
          <t>K2</t>
        </is>
      </c>
      <c r="G71" s="3" t="inlineStr">
        <is>
          <t>Intent/cannibalization separation</t>
        </is>
      </c>
      <c r="H71" s="3" t="n">
        <v>5</v>
      </c>
      <c r="I71" s="3" t="inlineStr">
        <is>
          <t>PARTIAL</t>
        </is>
      </c>
      <c r="J71" s="8">
        <f>IF(F71="I1",AVERAGEIF('QA_Images'!$D$2:$D$58,D71,'QA_Images'!$AA$2:$AA$58)/100,IF(I71="FULL",1,IF(I71="PARTIAL",0.5,IF(I71="FAIL",0,""))))</f>
        <v/>
      </c>
      <c r="K71" s="8">
        <f>IF(J71="",0,H71*J71)</f>
        <v/>
      </c>
      <c r="L71" s="8">
        <f>IF(F71="I1",20*AVERAGEIF('QA_Images'!$D$2:$D$58,D71,'QA_Images'!$AB$2:$AB$58)/100,IF(I71="NOT_CHECKED",0,H71))</f>
        <v/>
      </c>
      <c r="M71" s="3" t="inlineStr">
        <is>
          <t>Keyword differentiation exists by motif, but nearby products in the same softball/cardinal cluster share broad secondary terms and mapping rationale is repetitive.</t>
        </is>
      </c>
      <c r="N71" s="3" t="inlineStr">
        <is>
          <t>live json/html; D:\Shopify_Workspace\jeminise_seo\seo_runs\jeminise.com\20260906_234129\qa\20260908_183309\serp_evidence.json; D:\Shopify_Workspace\jeminise_seo\seo_runs\jeminise.com\20260906_234129\qa\20260908_183309\visual_observations.json</t>
        </is>
      </c>
      <c r="O71" s="3" t="inlineStr">
        <is>
          <t>ISS-034-337-K1-SERP-WEAK</t>
        </is>
      </c>
      <c r="P71" s="3" t="inlineStr"/>
    </row>
    <row r="72" ht="42" customHeight="1">
      <c r="A72" s="2" t="inlineStr">
        <is>
          <t>20260908_183309</t>
        </is>
      </c>
      <c r="B72" s="2" t="inlineStr">
        <is>
          <t>qa_batch_034_r3</t>
        </is>
      </c>
      <c r="C72" s="2" t="inlineStr">
        <is>
          <t>r3</t>
        </is>
      </c>
      <c r="D72" s="2" t="inlineStr">
        <is>
          <t>jeminise.com+winter-cardinals-on-heart-shaped-berry-branches-patchwork-christmas-quilt-de1c648f60-de1c648f60</t>
        </is>
      </c>
      <c r="E72" s="2" t="n">
        <v>337</v>
      </c>
      <c r="F72" s="2" t="inlineStr">
        <is>
          <t>K3</t>
        </is>
      </c>
      <c r="G72" s="2" t="inlineStr">
        <is>
          <t>No unsupported keyword-volume claim</t>
        </is>
      </c>
      <c r="H72" s="2" t="n">
        <v>5</v>
      </c>
      <c r="I72" s="2" t="inlineStr">
        <is>
          <t>FULL</t>
        </is>
      </c>
      <c r="J72" s="6">
        <f>IF(F72="I1",AVERAGEIF('QA_Images'!$D$2:$D$58,D72,'QA_Images'!$AA$2:$AA$58)/100,IF(I72="FULL",1,IF(I72="PARTIAL",0.5,IF(I72="FAIL",0,""))))</f>
        <v/>
      </c>
      <c r="K72" s="6">
        <f>IF(J72="",0,H72*J72)</f>
        <v/>
      </c>
      <c r="L72" s="6">
        <f>IF(F72="I1",20*AVERAGEIF('QA_Images'!$D$2:$D$58,D72,'QA_Images'!$AB$2:$AB$58)/100,IF(I72="NOT_CHECKED",0,H72))</f>
        <v/>
      </c>
      <c r="M72" s="2" t="inlineStr">
        <is>
          <t>No search-volume or ranking claim is made; keyword evidence is correctly limited as SERP_ONLY.</t>
        </is>
      </c>
      <c r="N72" s="2" t="inlineStr">
        <is>
          <t>live json/html; D:\Shopify_Workspace\jeminise_seo\seo_runs\jeminise.com\20260906_234129\qa\20260908_183309\serp_evidence.json; D:\Shopify_Workspace\jeminise_seo\seo_runs\jeminise.com\20260906_234129\qa\20260908_183309\visual_observations.json</t>
        </is>
      </c>
      <c r="O72" s="2" t="inlineStr">
        <is>
          <t>ISS-034-337-K1-SERP-WEAK</t>
        </is>
      </c>
      <c r="P72" s="2" t="inlineStr"/>
    </row>
    <row r="73" ht="42" customHeight="1">
      <c r="A73" s="3" t="inlineStr">
        <is>
          <t>20260908_183309</t>
        </is>
      </c>
      <c r="B73" s="3" t="inlineStr">
        <is>
          <t>qa_batch_034_r3</t>
        </is>
      </c>
      <c r="C73" s="3" t="inlineStr">
        <is>
          <t>r3</t>
        </is>
      </c>
      <c r="D73" s="3" t="inlineStr">
        <is>
          <t>jeminise.com+winter-cardinals-on-heart-shaped-berry-branches-patchwork-christmas-quilt-de1c648f60-de1c648f60</t>
        </is>
      </c>
      <c r="E73" s="3" t="n">
        <v>337</v>
      </c>
      <c r="F73" s="3" t="inlineStr">
        <is>
          <t>T1</t>
        </is>
      </c>
      <c r="G73" s="3" t="inlineStr">
        <is>
          <t>SEO title/meta title</t>
        </is>
      </c>
      <c r="H73" s="3" t="n">
        <v>10</v>
      </c>
      <c r="I73" s="3" t="inlineStr">
        <is>
          <t>FULL</t>
        </is>
      </c>
      <c r="J73" s="8">
        <f>IF(F73="I1",AVERAGEIF('QA_Images'!$D$2:$D$58,D73,'QA_Images'!$AA$2:$AA$58)/100,IF(I73="FULL",1,IF(I73="PARTIAL",0.5,IF(I73="FAIL",0,""))))</f>
        <v/>
      </c>
      <c r="K73" s="8">
        <f>IF(J73="",0,H73*J73)</f>
        <v/>
      </c>
      <c r="L73" s="8">
        <f>IF(F73="I1",20*AVERAGEIF('QA_Images'!$D$2:$D$58,D73,'QA_Images'!$AB$2:$AB$58)/100,IF(I73="NOT_CHECKED",0,H73))</f>
        <v/>
      </c>
      <c r="M73" s="3" t="inlineStr">
        <is>
          <t>meta_title_seo is concise, readable, and maps to the verified motif/product type.</t>
        </is>
      </c>
      <c r="N73" s="3" t="inlineStr">
        <is>
          <t>live json/html; D:\Shopify_Workspace\jeminise_seo\seo_runs\jeminise.com\20260906_234129\qa\20260908_183309\serp_evidence.json; D:\Shopify_Workspace\jeminise_seo\seo_runs\jeminise.com\20260906_234129\qa\20260908_183309\visual_observations.json</t>
        </is>
      </c>
      <c r="O73" s="3" t="inlineStr"/>
      <c r="P73" s="3" t="inlineStr"/>
    </row>
    <row r="74" ht="42" customHeight="1">
      <c r="A74" s="2" t="inlineStr">
        <is>
          <t>20260908_183309</t>
        </is>
      </c>
      <c r="B74" s="2" t="inlineStr">
        <is>
          <t>qa_batch_034_r3</t>
        </is>
      </c>
      <c r="C74" s="2" t="inlineStr">
        <is>
          <t>r3</t>
        </is>
      </c>
      <c r="D74" s="2" t="inlineStr">
        <is>
          <t>jeminise.com+winter-cardinals-on-heart-shaped-berry-branches-patchwork-christmas-quilt-de1c648f60-de1c648f60</t>
        </is>
      </c>
      <c r="E74" s="2" t="n">
        <v>337</v>
      </c>
      <c r="F74" s="2" t="inlineStr">
        <is>
          <t>T2</t>
        </is>
      </c>
      <c r="G74" s="2" t="inlineStr">
        <is>
          <t>Product title/H1 proposal</t>
        </is>
      </c>
      <c r="H74" s="2" t="n">
        <v>5</v>
      </c>
      <c r="I74" s="2" t="inlineStr">
        <is>
          <t>FULL</t>
        </is>
      </c>
      <c r="J74" s="6">
        <f>IF(F74="I1",AVERAGEIF('QA_Images'!$D$2:$D$58,D74,'QA_Images'!$AA$2:$AA$58)/100,IF(I74="FULL",1,IF(I74="PARTIAL",0.5,IF(I74="FAIL",0,""))))</f>
        <v/>
      </c>
      <c r="K74" s="6">
        <f>IF(J74="",0,H74*J74)</f>
        <v/>
      </c>
      <c r="L74" s="6">
        <f>IF(F74="I1",20*AVERAGEIF('QA_Images'!$D$2:$D$58,D74,'QA_Images'!$AB$2:$AB$58)/100,IF(I74="NOT_CHECKED",0,H74))</f>
        <v/>
      </c>
      <c r="M74" s="2" t="inlineStr">
        <is>
          <t>title_proposed is publishable as a clean H1/title replacement and fixes the current truncated or mojibake-heavy storefront title.</t>
        </is>
      </c>
      <c r="N74" s="2" t="inlineStr">
        <is>
          <t>live json/html; D:\Shopify_Workspace\jeminise_seo\seo_runs\jeminise.com\20260906_234129\qa\20260908_183309\serp_evidence.json; D:\Shopify_Workspace\jeminise_seo\seo_runs\jeminise.com\20260906_234129\qa\20260908_183309\visual_observations.json</t>
        </is>
      </c>
      <c r="O74" s="2" t="inlineStr"/>
      <c r="P74" s="2" t="inlineStr"/>
    </row>
    <row r="75" ht="42" customHeight="1">
      <c r="A75" s="3" t="inlineStr">
        <is>
          <t>20260908_183309</t>
        </is>
      </c>
      <c r="B75" s="3" t="inlineStr">
        <is>
          <t>qa_batch_034_r3</t>
        </is>
      </c>
      <c r="C75" s="3" t="inlineStr">
        <is>
          <t>r3</t>
        </is>
      </c>
      <c r="D75" s="3" t="inlineStr">
        <is>
          <t>jeminise.com+winter-cardinals-on-heart-shaped-berry-branches-patchwork-christmas-quilt-de1c648f60-de1c648f60</t>
        </is>
      </c>
      <c r="E75" s="3" t="n">
        <v>337</v>
      </c>
      <c r="F75" s="3" t="inlineStr">
        <is>
          <t>D1</t>
        </is>
      </c>
      <c r="G75" s="3" t="inlineStr">
        <is>
          <t>Meta description</t>
        </is>
      </c>
      <c r="H75" s="3" t="n">
        <v>5</v>
      </c>
      <c r="I75" s="3" t="inlineStr">
        <is>
          <t>FULL</t>
        </is>
      </c>
      <c r="J75" s="8">
        <f>IF(F75="I1",AVERAGEIF('QA_Images'!$D$2:$D$58,D75,'QA_Images'!$AA$2:$AA$58)/100,IF(I75="FULL",1,IF(I75="PARTIAL",0.5,IF(I75="FAIL",0,""))))</f>
        <v/>
      </c>
      <c r="K75" s="8">
        <f>IF(J75="",0,H75*J75)</f>
        <v/>
      </c>
      <c r="L75" s="8">
        <f>IF(F75="I1",20*AVERAGEIF('QA_Images'!$D$2:$D$58,D75,'QA_Images'!$AB$2:$AB$58)/100,IF(I75="NOT_CHECKED",0,H75))</f>
        <v/>
      </c>
      <c r="M75" s="3" t="inlineStr">
        <is>
          <t>meta_description_seo no longer has hard truncation or dangling ending; length is below 145 but complete and meaningful, so no automatic penalty for character count.</t>
        </is>
      </c>
      <c r="N75" s="3" t="inlineStr">
        <is>
          <t>live json/html; D:\Shopify_Workspace\jeminise_seo\seo_runs\jeminise.com\20260906_234129\qa\20260908_183309\serp_evidence.json; D:\Shopify_Workspace\jeminise_seo\seo_runs\jeminise.com\20260906_234129\qa\20260908_183309\visual_observations.json</t>
        </is>
      </c>
      <c r="O75" s="3" t="inlineStr"/>
      <c r="P75" s="3" t="inlineStr"/>
    </row>
    <row r="76" ht="42" customHeight="1">
      <c r="A76" s="2" t="inlineStr">
        <is>
          <t>20260908_183309</t>
        </is>
      </c>
      <c r="B76" s="2" t="inlineStr">
        <is>
          <t>qa_batch_034_r3</t>
        </is>
      </c>
      <c r="C76" s="2" t="inlineStr">
        <is>
          <t>r3</t>
        </is>
      </c>
      <c r="D76" s="2" t="inlineStr">
        <is>
          <t>jeminise.com+winter-cardinals-on-heart-shaped-berry-branches-patchwork-christmas-quilt-de1c648f60-de1c648f60</t>
        </is>
      </c>
      <c r="E76" s="2" t="n">
        <v>337</v>
      </c>
      <c r="F76" s="2" t="inlineStr">
        <is>
          <t>D2</t>
        </is>
      </c>
      <c r="G76" s="2" t="inlineStr">
        <is>
          <t>Description HTML</t>
        </is>
      </c>
      <c r="H76" s="2" t="n">
        <v>10</v>
      </c>
      <c r="I76" s="2" t="inlineStr">
        <is>
          <t>PARTIAL</t>
        </is>
      </c>
      <c r="J76" s="6">
        <f>IF(F76="I1",AVERAGEIF('QA_Images'!$D$2:$D$58,D76,'QA_Images'!$AA$2:$AA$58)/100,IF(I76="FULL",1,IF(I76="PARTIAL",0.5,IF(I76="FAIL",0,""))))</f>
        <v/>
      </c>
      <c r="K76" s="6">
        <f>IF(J76="",0,H76*J76)</f>
        <v/>
      </c>
      <c r="L76" s="6">
        <f>IF(F76="I1",20*AVERAGEIF('QA_Images'!$D$2:$D$58,D76,'QA_Images'!$AB$2:$AB$58)/100,IF(I76="NOT_CHECKED",0,H76))</f>
        <v/>
      </c>
      <c r="M76" s="2" t="inlineStr">
        <is>
          <t>Description facts mostly match live/product evidence, but the body still contains editorial/process phrasing and generic gallery wording that should not ship as final storefront copy.</t>
        </is>
      </c>
      <c r="N76" s="2" t="inlineStr">
        <is>
          <t>live json/html; D:\Shopify_Workspace\jeminise_seo\seo_runs\jeminise.com\20260906_234129\qa\20260908_183309\serp_evidence.json; D:\Shopify_Workspace\jeminise_seo\seo_runs\jeminise.com\20260906_234129\qa\20260908_183309\visual_observations.json</t>
        </is>
      </c>
      <c r="O76" s="2" t="inlineStr">
        <is>
          <t>ISS-034-337-D2-CUSTOMER-COPY</t>
        </is>
      </c>
      <c r="P76" s="2" t="inlineStr">
        <is>
          <t>Rewrite as customer-facing English body copy for Heart Branch Cardinals Christmas Quilt; remove “The copy stays specific...” and avoid process-style gallery wording.</t>
        </is>
      </c>
    </row>
    <row r="77" ht="42" customHeight="1">
      <c r="A77" s="3" t="inlineStr">
        <is>
          <t>20260908_183309</t>
        </is>
      </c>
      <c r="B77" s="3" t="inlineStr">
        <is>
          <t>qa_batch_034_r3</t>
        </is>
      </c>
      <c r="C77" s="3" t="inlineStr">
        <is>
          <t>r3</t>
        </is>
      </c>
      <c r="D77" s="3" t="inlineStr">
        <is>
          <t>jeminise.com+winter-cardinals-on-heart-shaped-berry-branches-patchwork-christmas-quilt-de1c648f60-de1c648f60</t>
        </is>
      </c>
      <c r="E77" s="3" t="n">
        <v>337</v>
      </c>
      <c r="F77" s="3" t="inlineStr">
        <is>
          <t>I1</t>
        </is>
      </c>
      <c r="G77" s="3" t="inlineStr">
        <is>
          <t>Image/alt QA aggregate</t>
        </is>
      </c>
      <c r="H77" s="3" t="n">
        <v>20</v>
      </c>
      <c r="I77" s="3" t="inlineStr">
        <is>
          <t>DERIVED_FROM_IMAGES</t>
        </is>
      </c>
      <c r="J77" s="8">
        <f>IF(F77="I1",AVERAGEIF('QA_Images'!$D$2:$D$58,D77,'QA_Images'!$AA$2:$AA$58)/100,IF(I77="FULL",1,IF(I77="PARTIAL",0.5,IF(I77="FAIL",0,""))))</f>
        <v/>
      </c>
      <c r="K77" s="8">
        <f>IF(J77="",0,H77*J77)</f>
        <v/>
      </c>
      <c r="L77" s="8">
        <f>IF(F77="I1",20*AVERAGEIF('QA_Images'!$D$2:$D$58,D77,'QA_Images'!$AB$2:$AB$58)/100,IF(I77="NOT_CHECKED",0,H77))</f>
        <v/>
      </c>
      <c r="M77" s="3" t="inlineStr">
        <is>
          <t>Derived from QA_Images average for this product; all images were opened directly in this run.</t>
        </is>
      </c>
      <c r="N77" s="3" t="inlineStr">
        <is>
          <t>live json/html; D:\Shopify_Workspace\jeminise_seo\seo_runs\jeminise.com\20260906_234129\qa\20260908_183309\serp_evidence.json; D:\Shopify_Workspace\jeminise_seo\seo_runs\jeminise.com\20260906_234129\qa\20260908_183309\visual_observations.json</t>
        </is>
      </c>
      <c r="O77" s="3" t="inlineStr"/>
      <c r="P77" s="3" t="inlineStr"/>
    </row>
    <row r="78" ht="42" customHeight="1">
      <c r="A78" s="2" t="inlineStr">
        <is>
          <t>20260908_183309</t>
        </is>
      </c>
      <c r="B78" s="2" t="inlineStr">
        <is>
          <t>qa_batch_034_r3</t>
        </is>
      </c>
      <c r="C78" s="2" t="inlineStr">
        <is>
          <t>r3</t>
        </is>
      </c>
      <c r="D78" s="2" t="inlineStr">
        <is>
          <t>jeminise.com+winter-cardinals-on-heart-shaped-berry-branches-patchwork-christmas-quilt-de1c648f60-de1c648f60</t>
        </is>
      </c>
      <c r="E78" s="2" t="n">
        <v>337</v>
      </c>
      <c r="F78" s="2" t="inlineStr">
        <is>
          <t>E1</t>
        </is>
      </c>
      <c r="G78" s="2" t="inlineStr">
        <is>
          <t>Evidence chain and traceability</t>
        </is>
      </c>
      <c r="H78" s="2" t="n">
        <v>5</v>
      </c>
      <c r="I78" s="2" t="inlineStr">
        <is>
          <t>PARTIAL</t>
        </is>
      </c>
      <c r="J78" s="6">
        <f>IF(F78="I1",AVERAGEIF('QA_Images'!$D$2:$D$58,D78,'QA_Images'!$AA$2:$AA$58)/100,IF(I78="FULL",1,IF(I78="PARTIAL",0.5,IF(I78="FAIL",0,""))))</f>
        <v/>
      </c>
      <c r="K78" s="6">
        <f>IF(J78="",0,H78*J78)</f>
        <v/>
      </c>
      <c r="L78" s="6">
        <f>IF(F78="I1",20*AVERAGEIF('QA_Images'!$D$2:$D$58,D78,'QA_Images'!$AB$2:$AB$58)/100,IF(I78="NOT_CHECKED",0,H78))</f>
        <v/>
      </c>
      <c r="M78" s="2" t="inlineStr">
        <is>
          <t>Evidence chain exists, but workbook traceability still carries r2/contact-sheet wording while the actual source file is r3; this QA run compensates with new live/image/SERP evidence.</t>
        </is>
      </c>
      <c r="N78" s="2" t="inlineStr">
        <is>
          <t>live json/html; D:\Shopify_Workspace\jeminise_seo\seo_runs\jeminise.com\20260906_234129\qa\20260908_183309\serp_evidence.json; D:\Shopify_Workspace\jeminise_seo\seo_runs\jeminise.com\20260906_234129\qa\20260908_183309\visual_observations.json</t>
        </is>
      </c>
      <c r="O78" s="2" t="inlineStr">
        <is>
          <t>ISS-034-337-E1-REVISION-TRACE</t>
        </is>
      </c>
      <c r="P78" s="2" t="inlineStr"/>
    </row>
    <row r="79" ht="42" customHeight="1">
      <c r="A79" s="3" t="inlineStr">
        <is>
          <t>20260908_183309</t>
        </is>
      </c>
      <c r="B79" s="3" t="inlineStr">
        <is>
          <t>qa_batch_034_r3</t>
        </is>
      </c>
      <c r="C79" s="3" t="inlineStr">
        <is>
          <t>r3</t>
        </is>
      </c>
      <c r="D79" s="3" t="inlineStr">
        <is>
          <t>jeminise.com+winter-cat-and-cardinal-sitting-on-snowy-patchwork-christmas-quilt-82f86611f4-82f86611f4</t>
        </is>
      </c>
      <c r="E79" s="3" t="n">
        <v>338</v>
      </c>
      <c r="F79" s="3" t="inlineStr">
        <is>
          <t>P1</t>
        </is>
      </c>
      <c r="G79" s="3" t="inlineStr">
        <is>
          <t>Product identity/source match</t>
        </is>
      </c>
      <c r="H79" s="3" t="n">
        <v>15</v>
      </c>
      <c r="I79" s="3" t="inlineStr">
        <is>
          <t>FULL</t>
        </is>
      </c>
      <c r="J79" s="8">
        <f>IF(F79="I1",AVERAGEIF('QA_Images'!$D$2:$D$58,D79,'QA_Images'!$AA$2:$AA$58)/100,IF(I79="FULL",1,IF(I79="PARTIAL",0.5,IF(I79="FAIL",0,""))))</f>
        <v/>
      </c>
      <c r="K79" s="8">
        <f>IF(J79="",0,H79*J79)</f>
        <v/>
      </c>
      <c r="L79" s="8">
        <f>IF(F79="I1",20*AVERAGEIF('QA_Images'!$D$2:$D$58,D79,'QA_Images'!$AB$2:$AB$58)/100,IF(I79="NOT_CHECKED",0,H79))</f>
        <v/>
      </c>
      <c r="M79" s="3" t="inlineStr">
        <is>
          <t>Product identity locked by inventory product_key, handle and product_id; live product JSON matched handle/id and expected image count for position 338.</t>
        </is>
      </c>
      <c r="N79" s="3" t="inlineStr">
        <is>
          <t>live json/html; D:\Shopify_Workspace\jeminise_seo\seo_runs\jeminise.com\20260906_234129\qa\20260908_183309\serp_evidence.json; D:\Shopify_Workspace\jeminise_seo\seo_runs\jeminise.com\20260906_234129\qa\20260908_183309\visual_observations.json</t>
        </is>
      </c>
      <c r="O79" s="3" t="inlineStr"/>
      <c r="P79" s="3" t="inlineStr"/>
    </row>
    <row r="80" ht="42" customHeight="1">
      <c r="A80" s="2" t="inlineStr">
        <is>
          <t>20260908_183309</t>
        </is>
      </c>
      <c r="B80" s="2" t="inlineStr">
        <is>
          <t>qa_batch_034_r3</t>
        </is>
      </c>
      <c r="C80" s="2" t="inlineStr">
        <is>
          <t>r3</t>
        </is>
      </c>
      <c r="D80" s="2" t="inlineStr">
        <is>
          <t>jeminise.com+winter-cat-and-cardinal-sitting-on-snowy-patchwork-christmas-quilt-82f86611f4-82f86611f4</t>
        </is>
      </c>
      <c r="E80" s="2" t="n">
        <v>338</v>
      </c>
      <c r="F80" s="2" t="inlineStr">
        <is>
          <t>P2</t>
        </is>
      </c>
      <c r="G80" s="2" t="inlineStr">
        <is>
          <t>Facts, offer and customization</t>
        </is>
      </c>
      <c r="H80" s="2" t="n">
        <v>10</v>
      </c>
      <c r="I80" s="2" t="inlineStr">
        <is>
          <t>FULL</t>
        </is>
      </c>
      <c r="J80" s="6">
        <f>IF(F80="I1",AVERAGEIF('QA_Images'!$D$2:$D$58,D80,'QA_Images'!$AA$2:$AA$58)/100,IF(I80="FULL",1,IF(I80="PARTIAL",0.5,IF(I80="FAIL",0,""))))</f>
        <v/>
      </c>
      <c r="K80" s="6">
        <f>IF(J80="",0,H80*J80)</f>
        <v/>
      </c>
      <c r="L80" s="6">
        <f>IF(F80="I1",20*AVERAGEIF('QA_Images'!$D$2:$D$58,D80,'QA_Images'!$AB$2:$AB$58)/100,IF(I80="NOT_CHECKED",0,H80))</f>
        <v/>
      </c>
      <c r="M80" s="2" t="inlineStr">
        <is>
          <t>Offer facts verified from live JSON/options and full HTML customizer config: options CHOOSE YOUR SIZE, Pillowcases; customizer labels ['Customize Your Quilt'].</t>
        </is>
      </c>
      <c r="N80" s="2" t="inlineStr">
        <is>
          <t>live json/html; D:\Shopify_Workspace\jeminise_seo\seo_runs\jeminise.com\20260906_234129\qa\20260908_183309\serp_evidence.json; D:\Shopify_Workspace\jeminise_seo\seo_runs\jeminise.com\20260906_234129\qa\20260908_183309\visual_observations.json</t>
        </is>
      </c>
      <c r="O80" s="2" t="inlineStr"/>
      <c r="P80" s="2" t="inlineStr"/>
    </row>
    <row r="81" ht="42" customHeight="1">
      <c r="A81" s="3" t="inlineStr">
        <is>
          <t>20260908_183309</t>
        </is>
      </c>
      <c r="B81" s="3" t="inlineStr">
        <is>
          <t>qa_batch_034_r3</t>
        </is>
      </c>
      <c r="C81" s="3" t="inlineStr">
        <is>
          <t>r3</t>
        </is>
      </c>
      <c r="D81" s="3" t="inlineStr">
        <is>
          <t>jeminise.com+winter-cat-and-cardinal-sitting-on-snowy-patchwork-christmas-quilt-82f86611f4-82f86611f4</t>
        </is>
      </c>
      <c r="E81" s="3" t="n">
        <v>338</v>
      </c>
      <c r="F81" s="3" t="inlineStr">
        <is>
          <t>K1</t>
        </is>
      </c>
      <c r="G81" s="3" t="inlineStr">
        <is>
          <t>Primary keyword evidence</t>
        </is>
      </c>
      <c r="H81" s="3" t="n">
        <v>10</v>
      </c>
      <c r="I81" s="3" t="inlineStr">
        <is>
          <t>PARTIAL</t>
        </is>
      </c>
      <c r="J81" s="8">
        <f>IF(F81="I1",AVERAGEIF('QA_Images'!$D$2:$D$58,D81,'QA_Images'!$AA$2:$AA$58)/100,IF(I81="FULL",1,IF(I81="PARTIAL",0.5,IF(I81="FAIL",0,""))))</f>
        <v/>
      </c>
      <c r="K81" s="8">
        <f>IF(J81="",0,H81*J81)</f>
        <v/>
      </c>
      <c r="L81" s="8">
        <f>IF(F81="I1",20*AVERAGEIF('QA_Images'!$D$2:$D$58,D81,'QA_Images'!$AB$2:$AB$58)/100,IF(I81="NOT_CHECKED",0,H81))</f>
        <v/>
      </c>
      <c r="M81" s="3" t="inlineStr">
        <is>
          <t>Primary keyword is truthful to the visual motif, but current SERP evidence is mostly broad/related rather than strong exact-match finished product evidence.</t>
        </is>
      </c>
      <c r="N81" s="3" t="inlineStr">
        <is>
          <t>live json/html; D:\Shopify_Workspace\jeminise_seo\seo_runs\jeminise.com\20260906_234129\qa\20260908_183309\serp_evidence.json; D:\Shopify_Workspace\jeminise_seo\seo_runs\jeminise.com\20260906_234129\qa\20260908_183309\visual_observations.json</t>
        </is>
      </c>
      <c r="O81" s="3" t="inlineStr">
        <is>
          <t>ISS-034-338-K1-SERP-NICHE</t>
        </is>
      </c>
      <c r="P81" s="3" t="inlineStr"/>
    </row>
    <row r="82" ht="42" customHeight="1">
      <c r="A82" s="2" t="inlineStr">
        <is>
          <t>20260908_183309</t>
        </is>
      </c>
      <c r="B82" s="2" t="inlineStr">
        <is>
          <t>qa_batch_034_r3</t>
        </is>
      </c>
      <c r="C82" s="2" t="inlineStr">
        <is>
          <t>r3</t>
        </is>
      </c>
      <c r="D82" s="2" t="inlineStr">
        <is>
          <t>jeminise.com+winter-cat-and-cardinal-sitting-on-snowy-patchwork-christmas-quilt-82f86611f4-82f86611f4</t>
        </is>
      </c>
      <c r="E82" s="2" t="n">
        <v>338</v>
      </c>
      <c r="F82" s="2" t="inlineStr">
        <is>
          <t>K2</t>
        </is>
      </c>
      <c r="G82" s="2" t="inlineStr">
        <is>
          <t>Intent/cannibalization separation</t>
        </is>
      </c>
      <c r="H82" s="2" t="n">
        <v>5</v>
      </c>
      <c r="I82" s="2" t="inlineStr">
        <is>
          <t>FULL</t>
        </is>
      </c>
      <c r="J82" s="6">
        <f>IF(F82="I1",AVERAGEIF('QA_Images'!$D$2:$D$58,D82,'QA_Images'!$AA$2:$AA$58)/100,IF(I82="FULL",1,IF(I82="PARTIAL",0.5,IF(I82="FAIL",0,""))))</f>
        <v/>
      </c>
      <c r="K82" s="6">
        <f>IF(J82="",0,H82*J82)</f>
        <v/>
      </c>
      <c r="L82" s="6">
        <f>IF(F82="I1",20*AVERAGEIF('QA_Images'!$D$2:$D$58,D82,'QA_Images'!$AB$2:$AB$58)/100,IF(I82="NOT_CHECKED",0,H82))</f>
        <v/>
      </c>
      <c r="M82" s="2" t="inlineStr">
        <is>
          <t>The target term is sufficiently distinct within this batch once motif and product form are considered.</t>
        </is>
      </c>
      <c r="N82" s="2" t="inlineStr">
        <is>
          <t>live json/html; D:\Shopify_Workspace\jeminise_seo\seo_runs\jeminise.com\20260906_234129\qa\20260908_183309\serp_evidence.json; D:\Shopify_Workspace\jeminise_seo\seo_runs\jeminise.com\20260906_234129\qa\20260908_183309\visual_observations.json</t>
        </is>
      </c>
      <c r="O82" s="2" t="inlineStr">
        <is>
          <t>ISS-034-338-K1-SERP-NICHE</t>
        </is>
      </c>
      <c r="P82" s="2" t="inlineStr"/>
    </row>
    <row r="83" ht="42" customHeight="1">
      <c r="A83" s="3" t="inlineStr">
        <is>
          <t>20260908_183309</t>
        </is>
      </c>
      <c r="B83" s="3" t="inlineStr">
        <is>
          <t>qa_batch_034_r3</t>
        </is>
      </c>
      <c r="C83" s="3" t="inlineStr">
        <is>
          <t>r3</t>
        </is>
      </c>
      <c r="D83" s="3" t="inlineStr">
        <is>
          <t>jeminise.com+winter-cat-and-cardinal-sitting-on-snowy-patchwork-christmas-quilt-82f86611f4-82f86611f4</t>
        </is>
      </c>
      <c r="E83" s="3" t="n">
        <v>338</v>
      </c>
      <c r="F83" s="3" t="inlineStr">
        <is>
          <t>K3</t>
        </is>
      </c>
      <c r="G83" s="3" t="inlineStr">
        <is>
          <t>No unsupported keyword-volume claim</t>
        </is>
      </c>
      <c r="H83" s="3" t="n">
        <v>5</v>
      </c>
      <c r="I83" s="3" t="inlineStr">
        <is>
          <t>FULL</t>
        </is>
      </c>
      <c r="J83" s="8">
        <f>IF(F83="I1",AVERAGEIF('QA_Images'!$D$2:$D$58,D83,'QA_Images'!$AA$2:$AA$58)/100,IF(I83="FULL",1,IF(I83="PARTIAL",0.5,IF(I83="FAIL",0,""))))</f>
        <v/>
      </c>
      <c r="K83" s="8">
        <f>IF(J83="",0,H83*J83)</f>
        <v/>
      </c>
      <c r="L83" s="8">
        <f>IF(F83="I1",20*AVERAGEIF('QA_Images'!$D$2:$D$58,D83,'QA_Images'!$AB$2:$AB$58)/100,IF(I83="NOT_CHECKED",0,H83))</f>
        <v/>
      </c>
      <c r="M83" s="3" t="inlineStr">
        <is>
          <t>No search-volume or ranking claim is made; keyword evidence is correctly limited as SERP_ONLY.</t>
        </is>
      </c>
      <c r="N83" s="3" t="inlineStr">
        <is>
          <t>live json/html; D:\Shopify_Workspace\jeminise_seo\seo_runs\jeminise.com\20260906_234129\qa\20260908_183309\serp_evidence.json; D:\Shopify_Workspace\jeminise_seo\seo_runs\jeminise.com\20260906_234129\qa\20260908_183309\visual_observations.json</t>
        </is>
      </c>
      <c r="O83" s="3" t="inlineStr">
        <is>
          <t>ISS-034-338-K1-SERP-NICHE</t>
        </is>
      </c>
      <c r="P83" s="3" t="inlineStr"/>
    </row>
    <row r="84" ht="42" customHeight="1">
      <c r="A84" s="2" t="inlineStr">
        <is>
          <t>20260908_183309</t>
        </is>
      </c>
      <c r="B84" s="2" t="inlineStr">
        <is>
          <t>qa_batch_034_r3</t>
        </is>
      </c>
      <c r="C84" s="2" t="inlineStr">
        <is>
          <t>r3</t>
        </is>
      </c>
      <c r="D84" s="2" t="inlineStr">
        <is>
          <t>jeminise.com+winter-cat-and-cardinal-sitting-on-snowy-patchwork-christmas-quilt-82f86611f4-82f86611f4</t>
        </is>
      </c>
      <c r="E84" s="2" t="n">
        <v>338</v>
      </c>
      <c r="F84" s="2" t="inlineStr">
        <is>
          <t>T1</t>
        </is>
      </c>
      <c r="G84" s="2" t="inlineStr">
        <is>
          <t>SEO title/meta title</t>
        </is>
      </c>
      <c r="H84" s="2" t="n">
        <v>10</v>
      </c>
      <c r="I84" s="2" t="inlineStr">
        <is>
          <t>FULL</t>
        </is>
      </c>
      <c r="J84" s="6">
        <f>IF(F84="I1",AVERAGEIF('QA_Images'!$D$2:$D$58,D84,'QA_Images'!$AA$2:$AA$58)/100,IF(I84="FULL",1,IF(I84="PARTIAL",0.5,IF(I84="FAIL",0,""))))</f>
        <v/>
      </c>
      <c r="K84" s="6">
        <f>IF(J84="",0,H84*J84)</f>
        <v/>
      </c>
      <c r="L84" s="6">
        <f>IF(F84="I1",20*AVERAGEIF('QA_Images'!$D$2:$D$58,D84,'QA_Images'!$AB$2:$AB$58)/100,IF(I84="NOT_CHECKED",0,H84))</f>
        <v/>
      </c>
      <c r="M84" s="2" t="inlineStr">
        <is>
          <t>meta_title_seo is concise, readable, and maps to the verified motif/product type.</t>
        </is>
      </c>
      <c r="N84" s="2" t="inlineStr">
        <is>
          <t>live json/html; D:\Shopify_Workspace\jeminise_seo\seo_runs\jeminise.com\20260906_234129\qa\20260908_183309\serp_evidence.json; D:\Shopify_Workspace\jeminise_seo\seo_runs\jeminise.com\20260906_234129\qa\20260908_183309\visual_observations.json</t>
        </is>
      </c>
      <c r="O84" s="2" t="inlineStr"/>
      <c r="P84" s="2" t="inlineStr"/>
    </row>
    <row r="85" ht="42" customHeight="1">
      <c r="A85" s="3" t="inlineStr">
        <is>
          <t>20260908_183309</t>
        </is>
      </c>
      <c r="B85" s="3" t="inlineStr">
        <is>
          <t>qa_batch_034_r3</t>
        </is>
      </c>
      <c r="C85" s="3" t="inlineStr">
        <is>
          <t>r3</t>
        </is>
      </c>
      <c r="D85" s="3" t="inlineStr">
        <is>
          <t>jeminise.com+winter-cat-and-cardinal-sitting-on-snowy-patchwork-christmas-quilt-82f86611f4-82f86611f4</t>
        </is>
      </c>
      <c r="E85" s="3" t="n">
        <v>338</v>
      </c>
      <c r="F85" s="3" t="inlineStr">
        <is>
          <t>T2</t>
        </is>
      </c>
      <c r="G85" s="3" t="inlineStr">
        <is>
          <t>Product title/H1 proposal</t>
        </is>
      </c>
      <c r="H85" s="3" t="n">
        <v>5</v>
      </c>
      <c r="I85" s="3" t="inlineStr">
        <is>
          <t>FULL</t>
        </is>
      </c>
      <c r="J85" s="8">
        <f>IF(F85="I1",AVERAGEIF('QA_Images'!$D$2:$D$58,D85,'QA_Images'!$AA$2:$AA$58)/100,IF(I85="FULL",1,IF(I85="PARTIAL",0.5,IF(I85="FAIL",0,""))))</f>
        <v/>
      </c>
      <c r="K85" s="8">
        <f>IF(J85="",0,H85*J85)</f>
        <v/>
      </c>
      <c r="L85" s="8">
        <f>IF(F85="I1",20*AVERAGEIF('QA_Images'!$D$2:$D$58,D85,'QA_Images'!$AB$2:$AB$58)/100,IF(I85="NOT_CHECKED",0,H85))</f>
        <v/>
      </c>
      <c r="M85" s="3" t="inlineStr">
        <is>
          <t>title_proposed is publishable as a clean H1/title replacement and fixes the current truncated or mojibake-heavy storefront title.</t>
        </is>
      </c>
      <c r="N85" s="3" t="inlineStr">
        <is>
          <t>live json/html; D:\Shopify_Workspace\jeminise_seo\seo_runs\jeminise.com\20260906_234129\qa\20260908_183309\serp_evidence.json; D:\Shopify_Workspace\jeminise_seo\seo_runs\jeminise.com\20260906_234129\qa\20260908_183309\visual_observations.json</t>
        </is>
      </c>
      <c r="O85" s="3" t="inlineStr"/>
      <c r="P85" s="3" t="inlineStr"/>
    </row>
    <row r="86" ht="42" customHeight="1">
      <c r="A86" s="2" t="inlineStr">
        <is>
          <t>20260908_183309</t>
        </is>
      </c>
      <c r="B86" s="2" t="inlineStr">
        <is>
          <t>qa_batch_034_r3</t>
        </is>
      </c>
      <c r="C86" s="2" t="inlineStr">
        <is>
          <t>r3</t>
        </is>
      </c>
      <c r="D86" s="2" t="inlineStr">
        <is>
          <t>jeminise.com+winter-cat-and-cardinal-sitting-on-snowy-patchwork-christmas-quilt-82f86611f4-82f86611f4</t>
        </is>
      </c>
      <c r="E86" s="2" t="n">
        <v>338</v>
      </c>
      <c r="F86" s="2" t="inlineStr">
        <is>
          <t>D1</t>
        </is>
      </c>
      <c r="G86" s="2" t="inlineStr">
        <is>
          <t>Meta description</t>
        </is>
      </c>
      <c r="H86" s="2" t="n">
        <v>5</v>
      </c>
      <c r="I86" s="2" t="inlineStr">
        <is>
          <t>FULL</t>
        </is>
      </c>
      <c r="J86" s="6">
        <f>IF(F86="I1",AVERAGEIF('QA_Images'!$D$2:$D$58,D86,'QA_Images'!$AA$2:$AA$58)/100,IF(I86="FULL",1,IF(I86="PARTIAL",0.5,IF(I86="FAIL",0,""))))</f>
        <v/>
      </c>
      <c r="K86" s="6">
        <f>IF(J86="",0,H86*J86)</f>
        <v/>
      </c>
      <c r="L86" s="6">
        <f>IF(F86="I1",20*AVERAGEIF('QA_Images'!$D$2:$D$58,D86,'QA_Images'!$AB$2:$AB$58)/100,IF(I86="NOT_CHECKED",0,H86))</f>
        <v/>
      </c>
      <c r="M86" s="2" t="inlineStr">
        <is>
          <t>meta_description_seo no longer has hard truncation or dangling ending; length is below 145 but complete and meaningful, so no automatic penalty for character count.</t>
        </is>
      </c>
      <c r="N86" s="2" t="inlineStr">
        <is>
          <t>live json/html; D:\Shopify_Workspace\jeminise_seo\seo_runs\jeminise.com\20260906_234129\qa\20260908_183309\serp_evidence.json; D:\Shopify_Workspace\jeminise_seo\seo_runs\jeminise.com\20260906_234129\qa\20260908_183309\visual_observations.json</t>
        </is>
      </c>
      <c r="O86" s="2" t="inlineStr"/>
      <c r="P86" s="2" t="inlineStr"/>
    </row>
    <row r="87" ht="42" customHeight="1">
      <c r="A87" s="3" t="inlineStr">
        <is>
          <t>20260908_183309</t>
        </is>
      </c>
      <c r="B87" s="3" t="inlineStr">
        <is>
          <t>qa_batch_034_r3</t>
        </is>
      </c>
      <c r="C87" s="3" t="inlineStr">
        <is>
          <t>r3</t>
        </is>
      </c>
      <c r="D87" s="3" t="inlineStr">
        <is>
          <t>jeminise.com+winter-cat-and-cardinal-sitting-on-snowy-patchwork-christmas-quilt-82f86611f4-82f86611f4</t>
        </is>
      </c>
      <c r="E87" s="3" t="n">
        <v>338</v>
      </c>
      <c r="F87" s="3" t="inlineStr">
        <is>
          <t>D2</t>
        </is>
      </c>
      <c r="G87" s="3" t="inlineStr">
        <is>
          <t>Description HTML</t>
        </is>
      </c>
      <c r="H87" s="3" t="n">
        <v>10</v>
      </c>
      <c r="I87" s="3" t="inlineStr">
        <is>
          <t>PARTIAL</t>
        </is>
      </c>
      <c r="J87" s="8">
        <f>IF(F87="I1",AVERAGEIF('QA_Images'!$D$2:$D$58,D87,'QA_Images'!$AA$2:$AA$58)/100,IF(I87="FULL",1,IF(I87="PARTIAL",0.5,IF(I87="FAIL",0,""))))</f>
        <v/>
      </c>
      <c r="K87" s="8">
        <f>IF(J87="",0,H87*J87)</f>
        <v/>
      </c>
      <c r="L87" s="8">
        <f>IF(F87="I1",20*AVERAGEIF('QA_Images'!$D$2:$D$58,D87,'QA_Images'!$AB$2:$AB$58)/100,IF(I87="NOT_CHECKED",0,H87))</f>
        <v/>
      </c>
      <c r="M87" s="3" t="inlineStr">
        <is>
          <t>Description facts mostly match live/product evidence, but the body still contains editorial/process phrasing and generic gallery wording that should not ship as final storefront copy.</t>
        </is>
      </c>
      <c r="N87" s="3" t="inlineStr">
        <is>
          <t>live json/html; D:\Shopify_Workspace\jeminise_seo\seo_runs\jeminise.com\20260906_234129\qa\20260908_183309\serp_evidence.json; D:\Shopify_Workspace\jeminise_seo\seo_runs\jeminise.com\20260906_234129\qa\20260908_183309\visual_observations.json</t>
        </is>
      </c>
      <c r="O87" s="3" t="inlineStr">
        <is>
          <t>ISS-034-338-D2-CUSTOMER-COPY</t>
        </is>
      </c>
      <c r="P87" s="3" t="inlineStr">
        <is>
          <t>Rewrite as customer-facing English body copy for Winter Cat Cardinal Christmas Quilt; remove “The copy stays specific...” and avoid process-style gallery wording.</t>
        </is>
      </c>
    </row>
    <row r="88" ht="42" customHeight="1">
      <c r="A88" s="2" t="inlineStr">
        <is>
          <t>20260908_183309</t>
        </is>
      </c>
      <c r="B88" s="2" t="inlineStr">
        <is>
          <t>qa_batch_034_r3</t>
        </is>
      </c>
      <c r="C88" s="2" t="inlineStr">
        <is>
          <t>r3</t>
        </is>
      </c>
      <c r="D88" s="2" t="inlineStr">
        <is>
          <t>jeminise.com+winter-cat-and-cardinal-sitting-on-snowy-patchwork-christmas-quilt-82f86611f4-82f86611f4</t>
        </is>
      </c>
      <c r="E88" s="2" t="n">
        <v>338</v>
      </c>
      <c r="F88" s="2" t="inlineStr">
        <is>
          <t>I1</t>
        </is>
      </c>
      <c r="G88" s="2" t="inlineStr">
        <is>
          <t>Image/alt QA aggregate</t>
        </is>
      </c>
      <c r="H88" s="2" t="n">
        <v>20</v>
      </c>
      <c r="I88" s="2" t="inlineStr">
        <is>
          <t>DERIVED_FROM_IMAGES</t>
        </is>
      </c>
      <c r="J88" s="6">
        <f>IF(F88="I1",AVERAGEIF('QA_Images'!$D$2:$D$58,D88,'QA_Images'!$AA$2:$AA$58)/100,IF(I88="FULL",1,IF(I88="PARTIAL",0.5,IF(I88="FAIL",0,""))))</f>
        <v/>
      </c>
      <c r="K88" s="6">
        <f>IF(J88="",0,H88*J88)</f>
        <v/>
      </c>
      <c r="L88" s="6">
        <f>IF(F88="I1",20*AVERAGEIF('QA_Images'!$D$2:$D$58,D88,'QA_Images'!$AB$2:$AB$58)/100,IF(I88="NOT_CHECKED",0,H88))</f>
        <v/>
      </c>
      <c r="M88" s="2" t="inlineStr">
        <is>
          <t>Derived from QA_Images average for this product; all images were opened directly in this run.</t>
        </is>
      </c>
      <c r="N88" s="2" t="inlineStr">
        <is>
          <t>live json/html; D:\Shopify_Workspace\jeminise_seo\seo_runs\jeminise.com\20260906_234129\qa\20260908_183309\serp_evidence.json; D:\Shopify_Workspace\jeminise_seo\seo_runs\jeminise.com\20260906_234129\qa\20260908_183309\visual_observations.json</t>
        </is>
      </c>
      <c r="O88" s="2" t="inlineStr"/>
      <c r="P88" s="2" t="inlineStr"/>
    </row>
    <row r="89" ht="42" customHeight="1">
      <c r="A89" s="3" t="inlineStr">
        <is>
          <t>20260908_183309</t>
        </is>
      </c>
      <c r="B89" s="3" t="inlineStr">
        <is>
          <t>qa_batch_034_r3</t>
        </is>
      </c>
      <c r="C89" s="3" t="inlineStr">
        <is>
          <t>r3</t>
        </is>
      </c>
      <c r="D89" s="3" t="inlineStr">
        <is>
          <t>jeminise.com+winter-cat-and-cardinal-sitting-on-snowy-patchwork-christmas-quilt-82f86611f4-82f86611f4</t>
        </is>
      </c>
      <c r="E89" s="3" t="n">
        <v>338</v>
      </c>
      <c r="F89" s="3" t="inlineStr">
        <is>
          <t>E1</t>
        </is>
      </c>
      <c r="G89" s="3" t="inlineStr">
        <is>
          <t>Evidence chain and traceability</t>
        </is>
      </c>
      <c r="H89" s="3" t="n">
        <v>5</v>
      </c>
      <c r="I89" s="3" t="inlineStr">
        <is>
          <t>PARTIAL</t>
        </is>
      </c>
      <c r="J89" s="8">
        <f>IF(F89="I1",AVERAGEIF('QA_Images'!$D$2:$D$58,D89,'QA_Images'!$AA$2:$AA$58)/100,IF(I89="FULL",1,IF(I89="PARTIAL",0.5,IF(I89="FAIL",0,""))))</f>
        <v/>
      </c>
      <c r="K89" s="8">
        <f>IF(J89="",0,H89*J89)</f>
        <v/>
      </c>
      <c r="L89" s="8">
        <f>IF(F89="I1",20*AVERAGEIF('QA_Images'!$D$2:$D$58,D89,'QA_Images'!$AB$2:$AB$58)/100,IF(I89="NOT_CHECKED",0,H89))</f>
        <v/>
      </c>
      <c r="M89" s="3" t="inlineStr">
        <is>
          <t>Evidence chain exists, but workbook traceability still carries r2/contact-sheet wording while the actual source file is r3; this QA run compensates with new live/image/SERP evidence.</t>
        </is>
      </c>
      <c r="N89" s="3" t="inlineStr">
        <is>
          <t>live json/html; D:\Shopify_Workspace\jeminise_seo\seo_runs\jeminise.com\20260906_234129\qa\20260908_183309\serp_evidence.json; D:\Shopify_Workspace\jeminise_seo\seo_runs\jeminise.com\20260906_234129\qa\20260908_183309\visual_observations.json</t>
        </is>
      </c>
      <c r="O89" s="3" t="inlineStr">
        <is>
          <t>ISS-034-338-E1-REVISION-TRACE</t>
        </is>
      </c>
      <c r="P89" s="3" t="inlineStr"/>
    </row>
  </sheetData>
  <autoFilter ref="A1:P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1" customWidth="1" min="3" max="3"/>
    <col width="42" customWidth="1" min="4" max="4"/>
    <col width="20" customWidth="1" min="5" max="5"/>
    <col width="24" customWidth="1" min="6" max="6"/>
    <col width="20" customWidth="1" min="7" max="7"/>
    <col width="20" customWidth="1" min="8" max="8"/>
    <col width="16" customWidth="1" min="9" max="9"/>
    <col width="14" customWidth="1" min="10" max="10"/>
    <col width="38" customWidth="1" min="11" max="11"/>
    <col width="38" customWidth="1" min="12" max="12"/>
    <col width="38" customWidth="1" min="13" max="13"/>
    <col width="15" customWidth="1" min="14" max="14"/>
    <col width="16" customWidth="1" min="15" max="15"/>
    <col width="23" customWidth="1" min="16" max="16"/>
    <col width="24" customWidth="1" min="17" max="17"/>
    <col width="42" customWidth="1" min="18" max="18"/>
    <col width="42" customWidth="1" min="19" max="19"/>
    <col width="12" customWidth="1" min="20" max="20"/>
    <col width="24" customWidth="1" min="21" max="21"/>
    <col width="42" customWidth="1" min="22" max="22"/>
    <col width="11" customWidth="1" min="23" max="23"/>
    <col width="11" customWidth="1" min="24" max="24"/>
    <col width="11" customWidth="1" min="25" max="25"/>
    <col width="11" customWidth="1" min="26" max="26"/>
    <col width="24" customWidth="1" min="27" max="27"/>
    <col width="24" customWidth="1" min="28" max="28"/>
    <col width="23" customWidth="1" min="29" max="29"/>
    <col width="24" customWidth="1" min="30" max="30"/>
    <col width="24" customWidth="1" min="31" max="31"/>
    <col width="42" customWidth="1" min="32" max="32"/>
    <col width="42" customWidth="1" min="33" max="33"/>
  </cols>
  <sheetData>
    <row r="1">
      <c r="A1" s="1" t="inlineStr">
        <is>
          <t>qa_run_id</t>
        </is>
      </c>
      <c r="B1" s="1" t="inlineStr">
        <is>
          <t>qa_batch_id</t>
        </is>
      </c>
      <c r="C1" s="1" t="inlineStr">
        <is>
          <t>revision</t>
        </is>
      </c>
      <c r="D1" s="1" t="inlineStr">
        <is>
          <t>product_key</t>
        </is>
      </c>
      <c r="E1" s="1" t="inlineStr">
        <is>
          <t>inventory_position</t>
        </is>
      </c>
      <c r="F1" s="1" t="inlineStr">
        <is>
          <t>handle</t>
        </is>
      </c>
      <c r="G1" s="1" t="inlineStr">
        <is>
          <t>qa_image_key</t>
        </is>
      </c>
      <c r="H1" s="1" t="inlineStr">
        <is>
          <t>media_id</t>
        </is>
      </c>
      <c r="I1" s="1" t="inlineStr">
        <is>
          <t>image_location</t>
        </is>
      </c>
      <c r="J1" s="1" t="inlineStr">
        <is>
          <t>image_number</t>
        </is>
      </c>
      <c r="K1" s="1" t="inlineStr">
        <is>
          <t>image_url_source</t>
        </is>
      </c>
      <c r="L1" s="1" t="inlineStr">
        <is>
          <t>image_url_workbook</t>
        </is>
      </c>
      <c r="M1" s="1" t="inlineStr">
        <is>
          <t>local_path</t>
        </is>
      </c>
      <c r="N1" s="1" t="inlineStr">
        <is>
          <t>source_opened</t>
        </is>
      </c>
      <c r="O1" s="1" t="inlineStr">
        <is>
          <t>visual_checked</t>
        </is>
      </c>
      <c r="P1" s="1" t="inlineStr">
        <is>
          <t>image_present_in_live</t>
        </is>
      </c>
      <c r="Q1" s="1" t="inlineStr">
        <is>
          <t>image_present_in_workbook</t>
        </is>
      </c>
      <c r="R1" s="1" t="inlineStr">
        <is>
          <t>submitted_observation</t>
        </is>
      </c>
      <c r="S1" s="1" t="inlineStr">
        <is>
          <t>qa_observation</t>
        </is>
      </c>
      <c r="T1" s="1" t="inlineStr">
        <is>
          <t>alt_action</t>
        </is>
      </c>
      <c r="U1" s="1" t="inlineStr">
        <is>
          <t>alt_current</t>
        </is>
      </c>
      <c r="V1" s="1" t="inlineStr">
        <is>
          <t>alt_effective</t>
        </is>
      </c>
      <c r="W1" s="1" t="inlineStr">
        <is>
          <t>IM1</t>
        </is>
      </c>
      <c r="X1" s="1" t="inlineStr">
        <is>
          <t>IM2</t>
        </is>
      </c>
      <c r="Y1" s="1" t="inlineStr">
        <is>
          <t>IM3</t>
        </is>
      </c>
      <c r="Z1" s="1" t="inlineStr">
        <is>
          <t>IM4</t>
        </is>
      </c>
      <c r="AA1" s="1" t="inlineStr">
        <is>
          <t>image_verified_points</t>
        </is>
      </c>
      <c r="AB1" s="1" t="inlineStr">
        <is>
          <t>image_assessed_weight</t>
        </is>
      </c>
      <c r="AC1" s="1" t="inlineStr">
        <is>
          <t>image_final_score</t>
        </is>
      </c>
      <c r="AD1" s="1" t="inlineStr">
        <is>
          <t>image_score_lower_bound</t>
        </is>
      </c>
      <c r="AE1" s="1" t="inlineStr">
        <is>
          <t>image_score_upper_bound</t>
        </is>
      </c>
      <c r="AF1" s="1" t="inlineStr">
        <is>
          <t>issue_refs</t>
        </is>
      </c>
      <c r="AG1" s="1" t="inlineStr">
        <is>
          <t>evidence_refs</t>
        </is>
      </c>
    </row>
    <row r="2" ht="66" customHeight="1">
      <c r="A2" s="2" t="inlineStr">
        <is>
          <t>20260908_183309</t>
        </is>
      </c>
      <c r="B2" s="2" t="inlineStr">
        <is>
          <t>qa_batch_034_r3</t>
        </is>
      </c>
      <c r="C2" s="2" t="inlineStr">
        <is>
          <t>r3</t>
        </is>
      </c>
      <c r="D2" s="2" t="inlineStr">
        <is>
          <t>jeminise.com+softball-themed-bedding-for-girls-and-women-bright-teal-yellow</t>
        </is>
      </c>
      <c r="E2" s="2" t="n">
        <v>331</v>
      </c>
      <c r="F2" s="2" t="inlineStr">
        <is>
          <t>softball-themed-bedding-for-girls-and-women-bright-teal-yellow</t>
        </is>
      </c>
      <c r="G2" s="2" t="inlineStr">
        <is>
          <t>jeminise.com+softball-themed-bedding-for-girls-and-women-bright-teal-yellow+47934724571335+GALLERY+1+167d45abf4f60f09</t>
        </is>
      </c>
      <c r="H2" s="2" t="inlineStr">
        <is>
          <t>47934724571335</t>
        </is>
      </c>
      <c r="I2" s="2" t="inlineStr">
        <is>
          <t>GALLERY</t>
        </is>
      </c>
      <c r="J2" s="2" t="n">
        <v>1</v>
      </c>
      <c r="K2" s="4" t="inlineStr">
        <is>
          <t>https://cdn.shopify.com/s/files/1/0792/5098/1063/files/ab04f03ea2e57b507f5d9ccf6faf88e8de84e48a530986432662113077d6e982.jpg?v=1787245060</t>
        </is>
      </c>
      <c r="L2" s="4" t="inlineStr">
        <is>
          <t>https://cdn.shopify.com/s/files/1/0792/5098/1063/files/ab04f03ea2e57b507f5d9ccf6faf88e8de84e48a530986432662113077d6e982.jpg?v=1787245060</t>
        </is>
      </c>
      <c r="M2" s="2" t="inlineStr">
        <is>
          <t>D:\Shopify_Workspace\jeminise_seo\seo_runs\jeminise.com\20260906_234129\qa\20260908_183309\images\331_1_47934724571335.jpg</t>
        </is>
      </c>
      <c r="N2" s="2" t="b">
        <v>1</v>
      </c>
      <c r="O2" s="2" t="b">
        <v>1</v>
      </c>
      <c r="P2" s="2" t="b">
        <v>1</v>
      </c>
      <c r="Q2" s="2" t="b">
        <v>1</v>
      </c>
      <c r="R2" s="2" t="inlineStr">
        <is>
          <t>Front bed mockup of vintage yellow softball comforter with script lettering and number 07 on pillows.</t>
        </is>
      </c>
      <c r="S2" s="2" t="inlineStr">
        <is>
          <t>dark brown bed mockup with large distressed yellow softball, red stitching, script sample name and number 07</t>
        </is>
      </c>
      <c r="T2" s="2" t="inlineStr">
        <is>
          <t>SET</t>
        </is>
      </c>
      <c r="U2" s="2" t="inlineStr">
        <is>
          <t>Softball-Themed Bedding for Girls and Women – Bright Teal Yellow Sports Comforter Set for Softball Lovers, Decorative Bedroom Set in Twin, Queen &amp; King</t>
        </is>
      </c>
      <c r="V2" s="2" t="inlineStr">
        <is>
          <t>Vintage yellow softball comforter front view</t>
        </is>
      </c>
      <c r="W2" s="2" t="inlineStr">
        <is>
          <t>FULL</t>
        </is>
      </c>
      <c r="X2" s="2" t="inlineStr">
        <is>
          <t>FULL</t>
        </is>
      </c>
      <c r="Y2" s="2" t="inlineStr">
        <is>
          <t>FULL</t>
        </is>
      </c>
      <c r="Z2" s="2" t="inlineStr">
        <is>
          <t>FULL</t>
        </is>
      </c>
      <c r="AA2" s="6">
        <f>IF(W2="FULL",40,IF(W2="PARTIAL",40/2,0))+IF(X2="FULL",30,IF(X2="PARTIAL",30/2,0))+IF(Y2="FULL",20,IF(Y2="PARTIAL",20/2,0))+IF(Z2="FULL",10,IF(Z2="PARTIAL",10/2,0))</f>
        <v/>
      </c>
      <c r="AB2" s="6">
        <f>IF(W2="NOT_CHECKED",0,40)+IF(X2="NOT_CHECKED",0,30)+IF(Y2="NOT_CHECKED",0,20)+IF(Z2="NOT_CHECKED",0,10)</f>
        <v/>
      </c>
      <c r="AC2" s="6">
        <f>IF(AB2=100,AA2,"")</f>
        <v/>
      </c>
      <c r="AD2" s="6">
        <f>AA2</f>
        <v/>
      </c>
      <c r="AE2" s="6">
        <f>AA2+(100-AB2)</f>
        <v/>
      </c>
      <c r="AF2" s="2" t="inlineStr"/>
      <c r="AG2" s="2" t="inlineStr">
        <is>
          <t>D:\Shopify_Workspace\jeminise_seo\seo_runs\jeminise.com\20260906_234129\qa\20260908_183309\images\331_1_47934724571335.jpg; D:\Shopify_Workspace\jeminise_seo\seo_runs\jeminise.com\20260906_234129\qa\20260908_183309\visual_observations.json</t>
        </is>
      </c>
    </row>
    <row r="3" ht="66" customHeight="1">
      <c r="A3" s="3" t="inlineStr">
        <is>
          <t>20260908_183309</t>
        </is>
      </c>
      <c r="B3" s="3" t="inlineStr">
        <is>
          <t>qa_batch_034_r3</t>
        </is>
      </c>
      <c r="C3" s="3" t="inlineStr">
        <is>
          <t>r3</t>
        </is>
      </c>
      <c r="D3" s="3" t="inlineStr">
        <is>
          <t>jeminise.com+softball-themed-bedding-for-girls-and-women-bright-teal-yellow</t>
        </is>
      </c>
      <c r="E3" s="3" t="n">
        <v>331</v>
      </c>
      <c r="F3" s="3" t="inlineStr">
        <is>
          <t>softball-themed-bedding-for-girls-and-women-bright-teal-yellow</t>
        </is>
      </c>
      <c r="G3" s="3" t="inlineStr">
        <is>
          <t>jeminise.com+softball-themed-bedding-for-girls-and-women-bright-teal-yellow+47934724604103+GALLERY+2+d54dccc5f434cc41</t>
        </is>
      </c>
      <c r="H3" s="3" t="inlineStr">
        <is>
          <t>47934724604103</t>
        </is>
      </c>
      <c r="I3" s="3" t="inlineStr">
        <is>
          <t>GALLERY</t>
        </is>
      </c>
      <c r="J3" s="3" t="n">
        <v>2</v>
      </c>
      <c r="K3" s="4" t="inlineStr">
        <is>
          <t>https://cdn.shopify.com/s/files/1/0792/5098/1063/files/f09c0ba306746c0f7689c7317e7d2a677a8280aa56089fb166b8ebcf6c5cf09d.jpg?v=1787245060</t>
        </is>
      </c>
      <c r="L3" s="4" t="inlineStr">
        <is>
          <t>https://cdn.shopify.com/s/files/1/0792/5098/1063/files/f09c0ba306746c0f7689c7317e7d2a677a8280aa56089fb166b8ebcf6c5cf09d.jpg?v=1787245060</t>
        </is>
      </c>
      <c r="M3" s="3" t="inlineStr">
        <is>
          <t>D:\Shopify_Workspace\jeminise_seo\seo_runs\jeminise.com\20260906_234129\qa\20260908_183309\images\331_2_47934724604103.jpg</t>
        </is>
      </c>
      <c r="N3" s="3" t="b">
        <v>1</v>
      </c>
      <c r="O3" s="3" t="b">
        <v>1</v>
      </c>
      <c r="P3" s="3" t="b">
        <v>1</v>
      </c>
      <c r="Q3" s="3" t="b">
        <v>1</v>
      </c>
      <c r="R3" s="3" t="inlineStr">
        <is>
          <t>Angled room mockup of dark brown comforter with large distressed yellow softball.</t>
        </is>
      </c>
      <c r="S3" s="3" t="inlineStr">
        <is>
          <t>angled room view of same dark brown vintage softball bedding</t>
        </is>
      </c>
      <c r="T3" s="3" t="inlineStr">
        <is>
          <t>SET</t>
        </is>
      </c>
      <c r="U3" s="3" t="inlineStr">
        <is>
          <t>Softball-Themed Bedding for Girls and Women – Bright Teal Yellow Sports Comforter Set for Softball Lovers, Decorative Bedroom Set in Twin, Queen &amp; King</t>
        </is>
      </c>
      <c r="V3" s="3" t="inlineStr">
        <is>
          <t>Vintage yellow softball comforter angled view</t>
        </is>
      </c>
      <c r="W3" s="3" t="inlineStr">
        <is>
          <t>FULL</t>
        </is>
      </c>
      <c r="X3" s="3" t="inlineStr">
        <is>
          <t>FULL</t>
        </is>
      </c>
      <c r="Y3" s="3" t="inlineStr">
        <is>
          <t>FULL</t>
        </is>
      </c>
      <c r="Z3" s="3" t="inlineStr">
        <is>
          <t>FULL</t>
        </is>
      </c>
      <c r="AA3" s="8">
        <f>IF(W3="FULL",40,IF(W3="PARTIAL",40/2,0))+IF(X3="FULL",30,IF(X3="PARTIAL",30/2,0))+IF(Y3="FULL",20,IF(Y3="PARTIAL",20/2,0))+IF(Z3="FULL",10,IF(Z3="PARTIAL",10/2,0))</f>
        <v/>
      </c>
      <c r="AB3" s="8">
        <f>IF(W3="NOT_CHECKED",0,40)+IF(X3="NOT_CHECKED",0,30)+IF(Y3="NOT_CHECKED",0,20)+IF(Z3="NOT_CHECKED",0,10)</f>
        <v/>
      </c>
      <c r="AC3" s="8">
        <f>IF(AB3=100,AA3,"")</f>
        <v/>
      </c>
      <c r="AD3" s="8">
        <f>AA3</f>
        <v/>
      </c>
      <c r="AE3" s="8">
        <f>AA3+(100-AB3)</f>
        <v/>
      </c>
      <c r="AF3" s="3" t="inlineStr"/>
      <c r="AG3" s="3" t="inlineStr">
        <is>
          <t>D:\Shopify_Workspace\jeminise_seo\seo_runs\jeminise.com\20260906_234129\qa\20260908_183309\images\331_2_47934724604103.jpg; D:\Shopify_Workspace\jeminise_seo\seo_runs\jeminise.com\20260906_234129\qa\20260908_183309\visual_observations.json</t>
        </is>
      </c>
    </row>
    <row r="4" ht="66" customHeight="1">
      <c r="A4" s="2" t="inlineStr">
        <is>
          <t>20260908_183309</t>
        </is>
      </c>
      <c r="B4" s="2" t="inlineStr">
        <is>
          <t>qa_batch_034_r3</t>
        </is>
      </c>
      <c r="C4" s="2" t="inlineStr">
        <is>
          <t>r3</t>
        </is>
      </c>
      <c r="D4" s="2" t="inlineStr">
        <is>
          <t>jeminise.com+softball-themed-bedding-for-girls-and-women-bright-teal-yellow</t>
        </is>
      </c>
      <c r="E4" s="2" t="n">
        <v>331</v>
      </c>
      <c r="F4" s="2" t="inlineStr">
        <is>
          <t>softball-themed-bedding-for-girls-and-women-bright-teal-yellow</t>
        </is>
      </c>
      <c r="G4" s="2" t="inlineStr">
        <is>
          <t>jeminise.com+softball-themed-bedding-for-girls-and-women-bright-teal-yellow+47934724636871+GALLERY+3+7bf25734fa6f73c8</t>
        </is>
      </c>
      <c r="H4" s="2" t="inlineStr">
        <is>
          <t>47934724636871</t>
        </is>
      </c>
      <c r="I4" s="2" t="inlineStr">
        <is>
          <t>GALLERY</t>
        </is>
      </c>
      <c r="J4" s="2" t="n">
        <v>3</v>
      </c>
      <c r="K4" s="4" t="inlineStr">
        <is>
          <t>https://cdn.shopify.com/s/files/1/0792/5098/1063/files/1be2beb1be1e50a96447d670a93f64ee14a6503c977478ef58231ea6a7594b74.jpg?v=1787245060</t>
        </is>
      </c>
      <c r="L4" s="4" t="inlineStr">
        <is>
          <t>https://cdn.shopify.com/s/files/1/0792/5098/1063/files/1be2beb1be1e50a96447d670a93f64ee14a6503c977478ef58231ea6a7594b74.jpg?v=1787245060</t>
        </is>
      </c>
      <c r="M4" s="2" t="inlineStr">
        <is>
          <t>D:\Shopify_Workspace\jeminise_seo\seo_runs\jeminise.com\20260906_234129\qa\20260908_183309\images\331_3_47934724636871.jpg</t>
        </is>
      </c>
      <c r="N4" s="2" t="b">
        <v>1</v>
      </c>
      <c r="O4" s="2" t="b">
        <v>1</v>
      </c>
      <c r="P4" s="2" t="b">
        <v>1</v>
      </c>
      <c r="Q4" s="2" t="b">
        <v>1</v>
      </c>
      <c r="R4" s="2" t="inlineStr">
        <is>
          <t>Pillowcase close view with yellow softball, number 07 and script lettering.</t>
        </is>
      </c>
      <c r="S4" s="2" t="inlineStr">
        <is>
          <t>pillowcase close-up with yellow softball, script sample name and number 07</t>
        </is>
      </c>
      <c r="T4" s="2" t="inlineStr">
        <is>
          <t>SET</t>
        </is>
      </c>
      <c r="U4" s="2" t="inlineStr">
        <is>
          <t>Softball-Themed Bedding for Girls and Women – Bright Teal Yellow Sports Comforter Set for Softball Lovers, Decorative Bedroom Set in Twin, Queen &amp; King</t>
        </is>
      </c>
      <c r="V4" s="2" t="inlineStr">
        <is>
          <t>Vintage yellow softball comforter pillowcase view</t>
        </is>
      </c>
      <c r="W4" s="2" t="inlineStr">
        <is>
          <t>FULL</t>
        </is>
      </c>
      <c r="X4" s="2" t="inlineStr">
        <is>
          <t>FULL</t>
        </is>
      </c>
      <c r="Y4" s="2" t="inlineStr">
        <is>
          <t>FULL</t>
        </is>
      </c>
      <c r="Z4" s="2" t="inlineStr">
        <is>
          <t>FULL</t>
        </is>
      </c>
      <c r="AA4" s="6">
        <f>IF(W4="FULL",40,IF(W4="PARTIAL",40/2,0))+IF(X4="FULL",30,IF(X4="PARTIAL",30/2,0))+IF(Y4="FULL",20,IF(Y4="PARTIAL",20/2,0))+IF(Z4="FULL",10,IF(Z4="PARTIAL",10/2,0))</f>
        <v/>
      </c>
      <c r="AB4" s="6">
        <f>IF(W4="NOT_CHECKED",0,40)+IF(X4="NOT_CHECKED",0,30)+IF(Y4="NOT_CHECKED",0,20)+IF(Z4="NOT_CHECKED",0,10)</f>
        <v/>
      </c>
      <c r="AC4" s="6">
        <f>IF(AB4=100,AA4,"")</f>
        <v/>
      </c>
      <c r="AD4" s="6">
        <f>AA4</f>
        <v/>
      </c>
      <c r="AE4" s="6">
        <f>AA4+(100-AB4)</f>
        <v/>
      </c>
      <c r="AF4" s="2" t="inlineStr"/>
      <c r="AG4" s="2" t="inlineStr">
        <is>
          <t>D:\Shopify_Workspace\jeminise_seo\seo_runs\jeminise.com\20260906_234129\qa\20260908_183309\images\331_3_47934724636871.jpg; D:\Shopify_Workspace\jeminise_seo\seo_runs\jeminise.com\20260906_234129\qa\20260908_183309\visual_observations.json</t>
        </is>
      </c>
    </row>
    <row r="5" ht="66" customHeight="1">
      <c r="A5" s="3" t="inlineStr">
        <is>
          <t>20260908_183309</t>
        </is>
      </c>
      <c r="B5" s="3" t="inlineStr">
        <is>
          <t>qa_batch_034_r3</t>
        </is>
      </c>
      <c r="C5" s="3" t="inlineStr">
        <is>
          <t>r3</t>
        </is>
      </c>
      <c r="D5" s="3" t="inlineStr">
        <is>
          <t>jeminise.com+softball-themed-bedding-for-girls-and-women-bright-teal-yellow</t>
        </is>
      </c>
      <c r="E5" s="3" t="n">
        <v>331</v>
      </c>
      <c r="F5" s="3" t="inlineStr">
        <is>
          <t>softball-themed-bedding-for-girls-and-women-bright-teal-yellow</t>
        </is>
      </c>
      <c r="G5" s="3" t="inlineStr">
        <is>
          <t>jeminise.com+softball-themed-bedding-for-girls-and-women-bright-teal-yellow+47934724669639+GALLERY+4+762d57d13b48e61f</t>
        </is>
      </c>
      <c r="H5" s="3" t="inlineStr">
        <is>
          <t>47934724669639</t>
        </is>
      </c>
      <c r="I5" s="3" t="inlineStr">
        <is>
          <t>GALLERY</t>
        </is>
      </c>
      <c r="J5" s="3" t="n">
        <v>4</v>
      </c>
      <c r="K5" s="4" t="inlineStr">
        <is>
          <t>https://cdn.shopify.com/s/files/1/0792/5098/1063/files/c984571acb2f3980f36ff7c0c2cd8b352ad28431a5ec2b0622f73043cee9eb5c.jpg?v=1787245061</t>
        </is>
      </c>
      <c r="L5" s="4" t="inlineStr">
        <is>
          <t>https://cdn.shopify.com/s/files/1/0792/5098/1063/files/c984571acb2f3980f36ff7c0c2cd8b352ad28431a5ec2b0622f73043cee9eb5c.jpg?v=1787245061</t>
        </is>
      </c>
      <c r="M5" s="3" t="inlineStr">
        <is>
          <t>D:\Shopify_Workspace\jeminise_seo\seo_runs\jeminise.com\20260906_234129\qa\20260908_183309\images\331_4_47934724669639.jpg</t>
        </is>
      </c>
      <c r="N5" s="3" t="b">
        <v>1</v>
      </c>
      <c r="O5" s="3" t="b">
        <v>1</v>
      </c>
      <c r="P5" s="3" t="b">
        <v>1</v>
      </c>
      <c r="Q5" s="3" t="b">
        <v>1</v>
      </c>
      <c r="R5" s="3" t="inlineStr">
        <is>
          <t>Folded comforter mockup showing distressed yellow softball print and white backing.</t>
        </is>
      </c>
      <c r="S5" s="3" t="inlineStr">
        <is>
          <t>folded comforter with distressed softball and white backing</t>
        </is>
      </c>
      <c r="T5" s="3" t="inlineStr">
        <is>
          <t>SET</t>
        </is>
      </c>
      <c r="U5" s="3" t="inlineStr">
        <is>
          <t>Softball-Themed Bedding for Girls and Women – Bright Teal Yellow Sports Comforter Set for Softball Lovers, Decorative Bedroom Set in Twin, Queen &amp; King</t>
        </is>
      </c>
      <c r="V5" s="3" t="inlineStr">
        <is>
          <t>Vintage yellow softball comforter folded view</t>
        </is>
      </c>
      <c r="W5" s="3" t="inlineStr">
        <is>
          <t>FULL</t>
        </is>
      </c>
      <c r="X5" s="3" t="inlineStr">
        <is>
          <t>FULL</t>
        </is>
      </c>
      <c r="Y5" s="3" t="inlineStr">
        <is>
          <t>FULL</t>
        </is>
      </c>
      <c r="Z5" s="3" t="inlineStr">
        <is>
          <t>FULL</t>
        </is>
      </c>
      <c r="AA5" s="8">
        <f>IF(W5="FULL",40,IF(W5="PARTIAL",40/2,0))+IF(X5="FULL",30,IF(X5="PARTIAL",30/2,0))+IF(Y5="FULL",20,IF(Y5="PARTIAL",20/2,0))+IF(Z5="FULL",10,IF(Z5="PARTIAL",10/2,0))</f>
        <v/>
      </c>
      <c r="AB5" s="8">
        <f>IF(W5="NOT_CHECKED",0,40)+IF(X5="NOT_CHECKED",0,30)+IF(Y5="NOT_CHECKED",0,20)+IF(Z5="NOT_CHECKED",0,10)</f>
        <v/>
      </c>
      <c r="AC5" s="8">
        <f>IF(AB5=100,AA5,"")</f>
        <v/>
      </c>
      <c r="AD5" s="8">
        <f>AA5</f>
        <v/>
      </c>
      <c r="AE5" s="8">
        <f>AA5+(100-AB5)</f>
        <v/>
      </c>
      <c r="AF5" s="3" t="inlineStr"/>
      <c r="AG5" s="3" t="inlineStr">
        <is>
          <t>D:\Shopify_Workspace\jeminise_seo\seo_runs\jeminise.com\20260906_234129\qa\20260908_183309\images\331_4_47934724669639.jpg; D:\Shopify_Workspace\jeminise_seo\seo_runs\jeminise.com\20260906_234129\qa\20260908_183309\visual_observations.json</t>
        </is>
      </c>
    </row>
    <row r="6" ht="66" customHeight="1">
      <c r="A6" s="2" t="inlineStr">
        <is>
          <t>20260908_183309</t>
        </is>
      </c>
      <c r="B6" s="2" t="inlineStr">
        <is>
          <t>qa_batch_034_r3</t>
        </is>
      </c>
      <c r="C6" s="2" t="inlineStr">
        <is>
          <t>r3</t>
        </is>
      </c>
      <c r="D6" s="2" t="inlineStr">
        <is>
          <t>jeminise.com+softball-themed-bedding-for-girls-and-women-bright-teal-yellow</t>
        </is>
      </c>
      <c r="E6" s="2" t="n">
        <v>331</v>
      </c>
      <c r="F6" s="2" t="inlineStr">
        <is>
          <t>softball-themed-bedding-for-girls-and-women-bright-teal-yellow</t>
        </is>
      </c>
      <c r="G6" s="2" t="inlineStr">
        <is>
          <t>jeminise.com+softball-themed-bedding-for-girls-and-women-bright-teal-yellow+47934724702407+GALLERY+5+f53d6bf883beac81</t>
        </is>
      </c>
      <c r="H6" s="2" t="inlineStr">
        <is>
          <t>47934724702407</t>
        </is>
      </c>
      <c r="I6" s="2" t="inlineStr">
        <is>
          <t>GALLERY</t>
        </is>
      </c>
      <c r="J6" s="2" t="n">
        <v>5</v>
      </c>
      <c r="K6" s="4" t="inlineStr">
        <is>
          <t>https://cdn.shopify.com/s/files/1/0792/5098/1063/files/8aebb0f337155634b04127c72aa11000c2e87df088938892ded1541c977658ad.jpg?v=1787245060</t>
        </is>
      </c>
      <c r="L6" s="4" t="inlineStr">
        <is>
          <t>https://cdn.shopify.com/s/files/1/0792/5098/1063/files/8aebb0f337155634b04127c72aa11000c2e87df088938892ded1541c977658ad.jpg?v=1787245060</t>
        </is>
      </c>
      <c r="M6" s="2" t="inlineStr">
        <is>
          <t>D:\Shopify_Workspace\jeminise_seo\seo_runs\jeminise.com\20260906_234129\qa\20260908_183309\images\331_5_47934724702407.jpg</t>
        </is>
      </c>
      <c r="N6" s="2" t="b">
        <v>1</v>
      </c>
      <c r="O6" s="2" t="b">
        <v>1</v>
      </c>
      <c r="P6" s="2" t="b">
        <v>1</v>
      </c>
      <c r="Q6" s="2" t="b">
        <v>1</v>
      </c>
      <c r="R6" s="2" t="inlineStr">
        <is>
          <t>Close fabric view of yellow softball stitching and script lettering under white backing.</t>
        </is>
      </c>
      <c r="S6" s="2" t="inlineStr">
        <is>
          <t>close fabric view of softball stitching/script under white backing</t>
        </is>
      </c>
      <c r="T6" s="2" t="inlineStr">
        <is>
          <t>SET</t>
        </is>
      </c>
      <c r="U6" s="2" t="inlineStr">
        <is>
          <t>Softball-Themed Bedding for Girls and Women – Bright Teal Yellow Sports Comforter Set for Softball Lovers, Decorative Bedroom Set in Twin, Queen &amp; King</t>
        </is>
      </c>
      <c r="V6" s="2" t="inlineStr">
        <is>
          <t>Vintage yellow softball comforter fabric close-up</t>
        </is>
      </c>
      <c r="W6" s="2" t="inlineStr">
        <is>
          <t>FULL</t>
        </is>
      </c>
      <c r="X6" s="2" t="inlineStr">
        <is>
          <t>FULL</t>
        </is>
      </c>
      <c r="Y6" s="2" t="inlineStr">
        <is>
          <t>FULL</t>
        </is>
      </c>
      <c r="Z6" s="2" t="inlineStr">
        <is>
          <t>FULL</t>
        </is>
      </c>
      <c r="AA6" s="6">
        <f>IF(W6="FULL",40,IF(W6="PARTIAL",40/2,0))+IF(X6="FULL",30,IF(X6="PARTIAL",30/2,0))+IF(Y6="FULL",20,IF(Y6="PARTIAL",20/2,0))+IF(Z6="FULL",10,IF(Z6="PARTIAL",10/2,0))</f>
        <v/>
      </c>
      <c r="AB6" s="6">
        <f>IF(W6="NOT_CHECKED",0,40)+IF(X6="NOT_CHECKED",0,30)+IF(Y6="NOT_CHECKED",0,20)+IF(Z6="NOT_CHECKED",0,10)</f>
        <v/>
      </c>
      <c r="AC6" s="6">
        <f>IF(AB6=100,AA6,"")</f>
        <v/>
      </c>
      <c r="AD6" s="6">
        <f>AA6</f>
        <v/>
      </c>
      <c r="AE6" s="6">
        <f>AA6+(100-AB6)</f>
        <v/>
      </c>
      <c r="AF6" s="2" t="inlineStr"/>
      <c r="AG6" s="2" t="inlineStr">
        <is>
          <t>D:\Shopify_Workspace\jeminise_seo\seo_runs\jeminise.com\20260906_234129\qa\20260908_183309\images\331_5_47934724702407.jpg; D:\Shopify_Workspace\jeminise_seo\seo_runs\jeminise.com\20260906_234129\qa\20260908_183309\visual_observations.json</t>
        </is>
      </c>
    </row>
    <row r="7" ht="66" customHeight="1">
      <c r="A7" s="3" t="inlineStr">
        <is>
          <t>20260908_183309</t>
        </is>
      </c>
      <c r="B7" s="3" t="inlineStr">
        <is>
          <t>qa_batch_034_r3</t>
        </is>
      </c>
      <c r="C7" s="3" t="inlineStr">
        <is>
          <t>r3</t>
        </is>
      </c>
      <c r="D7" s="3" t="inlineStr">
        <is>
          <t>jeminise.com+softball-themed-bedding-for-girls-and-women-bright-teal-yellow</t>
        </is>
      </c>
      <c r="E7" s="3" t="n">
        <v>331</v>
      </c>
      <c r="F7" s="3" t="inlineStr">
        <is>
          <t>softball-themed-bedding-for-girls-and-women-bright-teal-yellow</t>
        </is>
      </c>
      <c r="G7" s="3" t="inlineStr">
        <is>
          <t>jeminise.com+softball-themed-bedding-for-girls-and-women-bright-teal-yellow+47934724735175+GALLERY+6+d8328e2da9a5bc39</t>
        </is>
      </c>
      <c r="H7" s="3" t="inlineStr">
        <is>
          <t>47934724735175</t>
        </is>
      </c>
      <c r="I7" s="3" t="inlineStr">
        <is>
          <t>GALLERY</t>
        </is>
      </c>
      <c r="J7" s="3" t="n">
        <v>6</v>
      </c>
      <c r="K7" s="4" t="inlineStr">
        <is>
          <t>https://cdn.shopify.com/s/files/1/0792/5098/1063/files/b5c74b68d1b4eff2209b7123e3fbe61d1e31afd73aa5ba647e17c194e2e66c44_7a1645c1-60e0-4a89-9882-ea83eb4825db.jpg?v=1787245060</t>
        </is>
      </c>
      <c r="L7" s="4" t="inlineStr">
        <is>
          <t>https://cdn.shopify.com/s/files/1/0792/5098/1063/files/b5c74b68d1b4eff2209b7123e3fbe61d1e31afd73aa5ba647e17c194e2e66c44_7a1645c1-60e0-4a89-9882-ea83eb4825db.jpg?v=1787245060</t>
        </is>
      </c>
      <c r="M7" s="3" t="inlineStr">
        <is>
          <t>D:\Shopify_Workspace\jeminise_seo\seo_runs\jeminise.com\20260906_234129\qa\20260908_183309\images\331_6_47934724735175.jpg</t>
        </is>
      </c>
      <c r="N7" s="3" t="b">
        <v>1</v>
      </c>
      <c r="O7" s="3" t="b">
        <v>1</v>
      </c>
      <c r="P7" s="3" t="b">
        <v>1</v>
      </c>
      <c r="Q7" s="3" t="b">
        <v>1</v>
      </c>
      <c r="R7" s="3" t="inlineStr">
        <is>
          <t>Comforter feature panel with washable, soft filling and lightweight callouts.</t>
        </is>
      </c>
      <c r="S7" s="3" t="inlineStr">
        <is>
          <t>generic comforter feature/care panel with washable, soft filling and lightweight claims</t>
        </is>
      </c>
      <c r="T7" s="3" t="inlineStr">
        <is>
          <t>SET</t>
        </is>
      </c>
      <c r="U7" s="3" t="inlineStr">
        <is>
          <t>Softball-Themed Bedding for Girls and Women – Bright Teal Yellow Sports Comforter Set for Softball Lovers, Decorative Bedroom Set in Twin, Queen &amp; King</t>
        </is>
      </c>
      <c r="V7" s="3" t="inlineStr">
        <is>
          <t>Vintage yellow softball comforter feature panel</t>
        </is>
      </c>
      <c r="W7" s="3" t="inlineStr">
        <is>
          <t>FULL</t>
        </is>
      </c>
      <c r="X7" s="3" t="inlineStr">
        <is>
          <t>FULL</t>
        </is>
      </c>
      <c r="Y7" s="3" t="inlineStr">
        <is>
          <t>FULL</t>
        </is>
      </c>
      <c r="Z7" s="3" t="inlineStr">
        <is>
          <t>FULL</t>
        </is>
      </c>
      <c r="AA7" s="8">
        <f>IF(W7="FULL",40,IF(W7="PARTIAL",40/2,0))+IF(X7="FULL",30,IF(X7="PARTIAL",30/2,0))+IF(Y7="FULL",20,IF(Y7="PARTIAL",20/2,0))+IF(Z7="FULL",10,IF(Z7="PARTIAL",10/2,0))</f>
        <v/>
      </c>
      <c r="AB7" s="8">
        <f>IF(W7="NOT_CHECKED",0,40)+IF(X7="NOT_CHECKED",0,30)+IF(Y7="NOT_CHECKED",0,20)+IF(Z7="NOT_CHECKED",0,10)</f>
        <v/>
      </c>
      <c r="AC7" s="8">
        <f>IF(AB7=100,AA7,"")</f>
        <v/>
      </c>
      <c r="AD7" s="8">
        <f>AA7</f>
        <v/>
      </c>
      <c r="AE7" s="8">
        <f>AA7+(100-AB7)</f>
        <v/>
      </c>
      <c r="AF7" s="3" t="inlineStr"/>
      <c r="AG7" s="3" t="inlineStr">
        <is>
          <t>D:\Shopify_Workspace\jeminise_seo\seo_runs\jeminise.com\20260906_234129\qa\20260908_183309\images\331_6_47934724735175.jpg; D:\Shopify_Workspace\jeminise_seo\seo_runs\jeminise.com\20260906_234129\qa\20260908_183309\visual_observations.json</t>
        </is>
      </c>
    </row>
    <row r="8" ht="66" customHeight="1">
      <c r="A8" s="2" t="inlineStr">
        <is>
          <t>20260908_183309</t>
        </is>
      </c>
      <c r="B8" s="2" t="inlineStr">
        <is>
          <t>qa_batch_034_r3</t>
        </is>
      </c>
      <c r="C8" s="2" t="inlineStr">
        <is>
          <t>r3</t>
        </is>
      </c>
      <c r="D8" s="2" t="inlineStr">
        <is>
          <t>jeminise.com+softball-themed-bedding-for-girls-and-women-bright-teal-yellow</t>
        </is>
      </c>
      <c r="E8" s="2" t="n">
        <v>331</v>
      </c>
      <c r="F8" s="2" t="inlineStr">
        <is>
          <t>softball-themed-bedding-for-girls-and-women-bright-teal-yellow</t>
        </is>
      </c>
      <c r="G8" s="2" t="inlineStr">
        <is>
          <t>jeminise.com+softball-themed-bedding-for-girls-and-women-bright-teal-yellow+47934724767943+GALLERY+7+f324666a17a1b7cf</t>
        </is>
      </c>
      <c r="H8" s="2" t="inlineStr">
        <is>
          <t>47934724767943</t>
        </is>
      </c>
      <c r="I8" s="2" t="inlineStr">
        <is>
          <t>GALLERY</t>
        </is>
      </c>
      <c r="J8" s="2" t="n">
        <v>7</v>
      </c>
      <c r="K8" s="4" t="inlineStr">
        <is>
          <t>https://cdn.shopify.com/s/files/1/0792/5098/1063/files/a0ebf0c8e5cb1f2c8f924529805ea1d20494460dd41a740514b8862f5d5a2f4f_8e8168de-4c19-461b-89da-d2d6790fe716.jpg?v=1787245060</t>
        </is>
      </c>
      <c r="L8" s="4" t="inlineStr">
        <is>
          <t>https://cdn.shopify.com/s/files/1/0792/5098/1063/files/a0ebf0c8e5cb1f2c8f924529805ea1d20494460dd41a740514b8862f5d5a2f4f_8e8168de-4c19-461b-89da-d2d6790fe716.jpg?v=1787245060</t>
        </is>
      </c>
      <c r="M8" s="2" t="inlineStr">
        <is>
          <t>D:\Shopify_Workspace\jeminise_seo\seo_runs\jeminise.com\20260906_234129\qa\20260908_183309\images\331_7_47934724767943.jpg</t>
        </is>
      </c>
      <c r="N8" s="2" t="b">
        <v>1</v>
      </c>
      <c r="O8" s="2" t="b">
        <v>1</v>
      </c>
      <c r="P8" s="2" t="b">
        <v>1</v>
      </c>
      <c r="Q8" s="2" t="b">
        <v>1</v>
      </c>
      <c r="R8" s="2" t="inlineStr">
        <is>
          <t>Set inclusion panel showing one comforter and two pillowcases.</t>
        </is>
      </c>
      <c r="S8" s="2" t="inlineStr">
        <is>
          <t>set panel states one comforter plus two pillowcases</t>
        </is>
      </c>
      <c r="T8" s="2" t="inlineStr">
        <is>
          <t>SET</t>
        </is>
      </c>
      <c r="U8" s="2" t="inlineStr">
        <is>
          <t>Softball-Themed Bedding for Girls and Women – Bright Teal Yellow Sports Comforter Set for Softball Lovers, Decorative Bedroom Set in Twin, Queen &amp; King</t>
        </is>
      </c>
      <c r="V8" s="2" t="inlineStr">
        <is>
          <t>Vintage yellow softball comforter set panel</t>
        </is>
      </c>
      <c r="W8" s="2" t="inlineStr">
        <is>
          <t>FULL</t>
        </is>
      </c>
      <c r="X8" s="2" t="inlineStr">
        <is>
          <t>FULL</t>
        </is>
      </c>
      <c r="Y8" s="2" t="inlineStr">
        <is>
          <t>FULL</t>
        </is>
      </c>
      <c r="Z8" s="2" t="inlineStr">
        <is>
          <t>FULL</t>
        </is>
      </c>
      <c r="AA8" s="6">
        <f>IF(W8="FULL",40,IF(W8="PARTIAL",40/2,0))+IF(X8="FULL",30,IF(X8="PARTIAL",30/2,0))+IF(Y8="FULL",20,IF(Y8="PARTIAL",20/2,0))+IF(Z8="FULL",10,IF(Z8="PARTIAL",10/2,0))</f>
        <v/>
      </c>
      <c r="AB8" s="6">
        <f>IF(W8="NOT_CHECKED",0,40)+IF(X8="NOT_CHECKED",0,30)+IF(Y8="NOT_CHECKED",0,20)+IF(Z8="NOT_CHECKED",0,10)</f>
        <v/>
      </c>
      <c r="AC8" s="6">
        <f>IF(AB8=100,AA8,"")</f>
        <v/>
      </c>
      <c r="AD8" s="6">
        <f>AA8</f>
        <v/>
      </c>
      <c r="AE8" s="6">
        <f>AA8+(100-AB8)</f>
        <v/>
      </c>
      <c r="AF8" s="2" t="inlineStr"/>
      <c r="AG8" s="2" t="inlineStr">
        <is>
          <t>D:\Shopify_Workspace\jeminise_seo\seo_runs\jeminise.com\20260906_234129\qa\20260908_183309\images\331_7_47934724767943.jpg; D:\Shopify_Workspace\jeminise_seo\seo_runs\jeminise.com\20260906_234129\qa\20260908_183309\visual_observations.json</t>
        </is>
      </c>
    </row>
    <row r="9" ht="66" customHeight="1">
      <c r="A9" s="3" t="inlineStr">
        <is>
          <t>20260908_183309</t>
        </is>
      </c>
      <c r="B9" s="3" t="inlineStr">
        <is>
          <t>qa_batch_034_r3</t>
        </is>
      </c>
      <c r="C9" s="3" t="inlineStr">
        <is>
          <t>r3</t>
        </is>
      </c>
      <c r="D9" s="3" t="inlineStr">
        <is>
          <t>jeminise.com+sports-theme-softball-bedding-premium-teal-yellow-comforter-set-for</t>
        </is>
      </c>
      <c r="E9" s="3" t="n">
        <v>332</v>
      </c>
      <c r="F9" s="3" t="inlineStr">
        <is>
          <t>sports-theme-softball-bedding-premium-teal-yellow-comforter-set-for</t>
        </is>
      </c>
      <c r="G9" s="3" t="inlineStr">
        <is>
          <t>jeminise.com+sports-theme-softball-bedding-premium-teal-yellow-comforter-set-for+47934734303431+GALLERY+1+51fdc0c2fb9d42d2</t>
        </is>
      </c>
      <c r="H9" s="3" t="inlineStr">
        <is>
          <t>47934734303431</t>
        </is>
      </c>
      <c r="I9" s="3" t="inlineStr">
        <is>
          <t>GALLERY</t>
        </is>
      </c>
      <c r="J9" s="3" t="n">
        <v>1</v>
      </c>
      <c r="K9" s="4" t="inlineStr">
        <is>
          <t>https://cdn.shopify.com/s/files/1/0792/5098/1063/files/58c2f7d5cb4a34fd2f14dce9abbae66701891763c79e8df2e2cb4f1838949b16.jpg?v=1787245101</t>
        </is>
      </c>
      <c r="L9" s="4" t="inlineStr">
        <is>
          <t>https://cdn.shopify.com/s/files/1/0792/5098/1063/files/58c2f7d5cb4a34fd2f14dce9abbae66701891763c79e8df2e2cb4f1838949b16.jpg?v=1787245101</t>
        </is>
      </c>
      <c r="M9" s="3" t="inlineStr">
        <is>
          <t>D:\Shopify_Workspace\jeminise_seo\seo_runs\jeminise.com\20260906_234129\qa\20260908_183309\images\332_1_47934734303431.jpg</t>
        </is>
      </c>
      <c r="N9" s="3" t="b">
        <v>1</v>
      </c>
      <c r="O9" s="3" t="b">
        <v>1</v>
      </c>
      <c r="P9" s="3" t="b">
        <v>1</v>
      </c>
      <c r="Q9" s="3" t="b">
        <v>1</v>
      </c>
      <c r="R9" s="3" t="inlineStr">
        <is>
          <t>Front bed mockup of black polka dot softball comforter with teal stripe and paisley border.</t>
        </is>
      </c>
      <c r="S9" s="3" t="inlineStr">
        <is>
          <t>front bed mockup: black polka dots, teal stripe, paisley border, softball lettering and sample name Mia</t>
        </is>
      </c>
      <c r="T9" s="3" t="inlineStr">
        <is>
          <t>SET</t>
        </is>
      </c>
      <c r="U9" s="3" t="inlineStr">
        <is>
          <t>Sports Theme Softball Bedding – Premium Teal Yellow Comforter Set for Girls &amp; Women, Cozy Decorative Bed Set for Softball Fans in Twin, Queen, King</t>
        </is>
      </c>
      <c r="V9" s="3" t="inlineStr">
        <is>
          <t>Polka dot softball comforter front view</t>
        </is>
      </c>
      <c r="W9" s="3" t="inlineStr">
        <is>
          <t>FULL</t>
        </is>
      </c>
      <c r="X9" s="3" t="inlineStr">
        <is>
          <t>FULL</t>
        </is>
      </c>
      <c r="Y9" s="3" t="inlineStr">
        <is>
          <t>FULL</t>
        </is>
      </c>
      <c r="Z9" s="3" t="inlineStr">
        <is>
          <t>FULL</t>
        </is>
      </c>
      <c r="AA9" s="8">
        <f>IF(W9="FULL",40,IF(W9="PARTIAL",40/2,0))+IF(X9="FULL",30,IF(X9="PARTIAL",30/2,0))+IF(Y9="FULL",20,IF(Y9="PARTIAL",20/2,0))+IF(Z9="FULL",10,IF(Z9="PARTIAL",10/2,0))</f>
        <v/>
      </c>
      <c r="AB9" s="8">
        <f>IF(W9="NOT_CHECKED",0,40)+IF(X9="NOT_CHECKED",0,30)+IF(Y9="NOT_CHECKED",0,20)+IF(Z9="NOT_CHECKED",0,10)</f>
        <v/>
      </c>
      <c r="AC9" s="8">
        <f>IF(AB9=100,AA9,"")</f>
        <v/>
      </c>
      <c r="AD9" s="8">
        <f>AA9</f>
        <v/>
      </c>
      <c r="AE9" s="8">
        <f>AA9+(100-AB9)</f>
        <v/>
      </c>
      <c r="AF9" s="3" t="inlineStr"/>
      <c r="AG9" s="3" t="inlineStr">
        <is>
          <t>D:\Shopify_Workspace\jeminise_seo\seo_runs\jeminise.com\20260906_234129\qa\20260908_183309\images\332_1_47934734303431.jpg; D:\Shopify_Workspace\jeminise_seo\seo_runs\jeminise.com\20260906_234129\qa\20260908_183309\visual_observations.json</t>
        </is>
      </c>
    </row>
    <row r="10" ht="66" customHeight="1">
      <c r="A10" s="2" t="inlineStr">
        <is>
          <t>20260908_183309</t>
        </is>
      </c>
      <c r="B10" s="2" t="inlineStr">
        <is>
          <t>qa_batch_034_r3</t>
        </is>
      </c>
      <c r="C10" s="2" t="inlineStr">
        <is>
          <t>r3</t>
        </is>
      </c>
      <c r="D10" s="2" t="inlineStr">
        <is>
          <t>jeminise.com+sports-theme-softball-bedding-premium-teal-yellow-comforter-set-for</t>
        </is>
      </c>
      <c r="E10" s="2" t="n">
        <v>332</v>
      </c>
      <c r="F10" s="2" t="inlineStr">
        <is>
          <t>sports-theme-softball-bedding-premium-teal-yellow-comforter-set-for</t>
        </is>
      </c>
      <c r="G10" s="2" t="inlineStr">
        <is>
          <t>jeminise.com+sports-theme-softball-bedding-premium-teal-yellow-comforter-set-for+47934734336199+GALLERY+2+5bc6eac021483644</t>
        </is>
      </c>
      <c r="H10" s="2" t="inlineStr">
        <is>
          <t>47934734336199</t>
        </is>
      </c>
      <c r="I10" s="2" t="inlineStr">
        <is>
          <t>GALLERY</t>
        </is>
      </c>
      <c r="J10" s="2" t="n">
        <v>2</v>
      </c>
      <c r="K10" s="4" t="inlineStr">
        <is>
          <t>https://cdn.shopify.com/s/files/1/0792/5098/1063/files/229cb45670a4319aa2b878f45acb729168a0652318cd8ac8ccbffc6383ec0b33.jpg?v=1787245101</t>
        </is>
      </c>
      <c r="L10" s="4" t="inlineStr">
        <is>
          <t>https://cdn.shopify.com/s/files/1/0792/5098/1063/files/229cb45670a4319aa2b878f45acb729168a0652318cd8ac8ccbffc6383ec0b33.jpg?v=1787245101</t>
        </is>
      </c>
      <c r="M10" s="2" t="inlineStr">
        <is>
          <t>D:\Shopify_Workspace\jeminise_seo\seo_runs\jeminise.com\20260906_234129\qa\20260908_183309\images\332_2_47934734336199.jpg</t>
        </is>
      </c>
      <c r="N10" s="2" t="b">
        <v>1</v>
      </c>
      <c r="O10" s="2" t="b">
        <v>1</v>
      </c>
      <c r="P10" s="2" t="b">
        <v>1</v>
      </c>
      <c r="Q10" s="2" t="b">
        <v>1</v>
      </c>
      <c r="R10" s="2" t="inlineStr">
        <is>
          <t>Angled room mockup of polka dot softball comforter with glove and ball artwork.</t>
        </is>
      </c>
      <c r="S10" s="2" t="inlineStr">
        <is>
          <t>angled room view with glove and ball artwork</t>
        </is>
      </c>
      <c r="T10" s="2" t="inlineStr">
        <is>
          <t>SET</t>
        </is>
      </c>
      <c r="U10" s="2" t="inlineStr">
        <is>
          <t>Sports Theme Softball Bedding – Premium Teal Yellow Comforter Set for Girls &amp; Women, Cozy Decorative Bed Set for Softball Fans in Twin, Queen, King</t>
        </is>
      </c>
      <c r="V10" s="2" t="inlineStr">
        <is>
          <t>Polka dot softball comforter angled view</t>
        </is>
      </c>
      <c r="W10" s="2" t="inlineStr">
        <is>
          <t>FULL</t>
        </is>
      </c>
      <c r="X10" s="2" t="inlineStr">
        <is>
          <t>FULL</t>
        </is>
      </c>
      <c r="Y10" s="2" t="inlineStr">
        <is>
          <t>FULL</t>
        </is>
      </c>
      <c r="Z10" s="2" t="inlineStr">
        <is>
          <t>FULL</t>
        </is>
      </c>
      <c r="AA10" s="6">
        <f>IF(W10="FULL",40,IF(W10="PARTIAL",40/2,0))+IF(X10="FULL",30,IF(X10="PARTIAL",30/2,0))+IF(Y10="FULL",20,IF(Y10="PARTIAL",20/2,0))+IF(Z10="FULL",10,IF(Z10="PARTIAL",10/2,0))</f>
        <v/>
      </c>
      <c r="AB10" s="6">
        <f>IF(W10="NOT_CHECKED",0,40)+IF(X10="NOT_CHECKED",0,30)+IF(Y10="NOT_CHECKED",0,20)+IF(Z10="NOT_CHECKED",0,10)</f>
        <v/>
      </c>
      <c r="AC10" s="6">
        <f>IF(AB10=100,AA10,"")</f>
        <v/>
      </c>
      <c r="AD10" s="6">
        <f>AA10</f>
        <v/>
      </c>
      <c r="AE10" s="6">
        <f>AA10+(100-AB10)</f>
        <v/>
      </c>
      <c r="AF10" s="2" t="inlineStr"/>
      <c r="AG10" s="2" t="inlineStr">
        <is>
          <t>D:\Shopify_Workspace\jeminise_seo\seo_runs\jeminise.com\20260906_234129\qa\20260908_183309\images\332_2_47934734336199.jpg; D:\Shopify_Workspace\jeminise_seo\seo_runs\jeminise.com\20260906_234129\qa\20260908_183309\visual_observations.json</t>
        </is>
      </c>
    </row>
    <row r="11" ht="66" customHeight="1">
      <c r="A11" s="3" t="inlineStr">
        <is>
          <t>20260908_183309</t>
        </is>
      </c>
      <c r="B11" s="3" t="inlineStr">
        <is>
          <t>qa_batch_034_r3</t>
        </is>
      </c>
      <c r="C11" s="3" t="inlineStr">
        <is>
          <t>r3</t>
        </is>
      </c>
      <c r="D11" s="3" t="inlineStr">
        <is>
          <t>jeminise.com+sports-theme-softball-bedding-premium-teal-yellow-comforter-set-for</t>
        </is>
      </c>
      <c r="E11" s="3" t="n">
        <v>332</v>
      </c>
      <c r="F11" s="3" t="inlineStr">
        <is>
          <t>sports-theme-softball-bedding-premium-teal-yellow-comforter-set-for</t>
        </is>
      </c>
      <c r="G11" s="3" t="inlineStr">
        <is>
          <t>jeminise.com+sports-theme-softball-bedding-premium-teal-yellow-comforter-set-for+47934734368967+GALLERY+3+9db33a820ce79d39</t>
        </is>
      </c>
      <c r="H11" s="3" t="inlineStr">
        <is>
          <t>47934734368967</t>
        </is>
      </c>
      <c r="I11" s="3" t="inlineStr">
        <is>
          <t>GALLERY</t>
        </is>
      </c>
      <c r="J11" s="3" t="n">
        <v>3</v>
      </c>
      <c r="K11" s="4" t="inlineStr">
        <is>
          <t>https://cdn.shopify.com/s/files/1/0792/5098/1063/files/a7edb0efc97314bae6e78deb306f65e19cbf172393239636cc604cd9aad34f12.jpg?v=1787245101</t>
        </is>
      </c>
      <c r="L11" s="4" t="inlineStr">
        <is>
          <t>https://cdn.shopify.com/s/files/1/0792/5098/1063/files/a7edb0efc97314bae6e78deb306f65e19cbf172393239636cc604cd9aad34f12.jpg?v=1787245101</t>
        </is>
      </c>
      <c r="M11" s="3" t="inlineStr">
        <is>
          <t>D:\Shopify_Workspace\jeminise_seo\seo_runs\jeminise.com\20260906_234129\qa\20260908_183309\images\332_3_47934734368967.jpg</t>
        </is>
      </c>
      <c r="N11" s="3" t="b">
        <v>1</v>
      </c>
      <c r="O11" s="3" t="b">
        <v>1</v>
      </c>
      <c r="P11" s="3" t="b">
        <v>1</v>
      </c>
      <c r="Q11" s="3" t="b">
        <v>1</v>
      </c>
      <c r="R11" s="3" t="inlineStr">
        <is>
          <t>Pillowcase close view with black background and white polka dots.</t>
        </is>
      </c>
      <c r="S11" s="3" t="inlineStr">
        <is>
          <t>single sham/pillowcase dominated by black-and-white polka dots</t>
        </is>
      </c>
      <c r="T11" s="3" t="inlineStr">
        <is>
          <t>SET</t>
        </is>
      </c>
      <c r="U11" s="3" t="inlineStr">
        <is>
          <t>Sports Theme Softball Bedding – Premium Teal Yellow Comforter Set for Girls &amp; Women, Cozy Decorative Bed Set for Softball Fans in Twin, Queen, King</t>
        </is>
      </c>
      <c r="V11" s="3" t="inlineStr">
        <is>
          <t>Polka dot softball comforter pillowcase view</t>
        </is>
      </c>
      <c r="W11" s="3" t="inlineStr">
        <is>
          <t>FULL</t>
        </is>
      </c>
      <c r="X11" s="3" t="inlineStr">
        <is>
          <t>FULL</t>
        </is>
      </c>
      <c r="Y11" s="3" t="inlineStr">
        <is>
          <t>FULL</t>
        </is>
      </c>
      <c r="Z11" s="3" t="inlineStr">
        <is>
          <t>FULL</t>
        </is>
      </c>
      <c r="AA11" s="8">
        <f>IF(W11="FULL",40,IF(W11="PARTIAL",40/2,0))+IF(X11="FULL",30,IF(X11="PARTIAL",30/2,0))+IF(Y11="FULL",20,IF(Y11="PARTIAL",20/2,0))+IF(Z11="FULL",10,IF(Z11="PARTIAL",10/2,0))</f>
        <v/>
      </c>
      <c r="AB11" s="8">
        <f>IF(W11="NOT_CHECKED",0,40)+IF(X11="NOT_CHECKED",0,30)+IF(Y11="NOT_CHECKED",0,20)+IF(Z11="NOT_CHECKED",0,10)</f>
        <v/>
      </c>
      <c r="AC11" s="8">
        <f>IF(AB11=100,AA11,"")</f>
        <v/>
      </c>
      <c r="AD11" s="8">
        <f>AA11</f>
        <v/>
      </c>
      <c r="AE11" s="8">
        <f>AA11+(100-AB11)</f>
        <v/>
      </c>
      <c r="AF11" s="3" t="inlineStr"/>
      <c r="AG11" s="3" t="inlineStr">
        <is>
          <t>D:\Shopify_Workspace\jeminise_seo\seo_runs\jeminise.com\20260906_234129\qa\20260908_183309\images\332_3_47934734368967.jpg; D:\Shopify_Workspace\jeminise_seo\seo_runs\jeminise.com\20260906_234129\qa\20260908_183309\visual_observations.json</t>
        </is>
      </c>
    </row>
    <row r="12" ht="66" customHeight="1">
      <c r="A12" s="2" t="inlineStr">
        <is>
          <t>20260908_183309</t>
        </is>
      </c>
      <c r="B12" s="2" t="inlineStr">
        <is>
          <t>qa_batch_034_r3</t>
        </is>
      </c>
      <c r="C12" s="2" t="inlineStr">
        <is>
          <t>r3</t>
        </is>
      </c>
      <c r="D12" s="2" t="inlineStr">
        <is>
          <t>jeminise.com+sports-theme-softball-bedding-premium-teal-yellow-comforter-set-for</t>
        </is>
      </c>
      <c r="E12" s="2" t="n">
        <v>332</v>
      </c>
      <c r="F12" s="2" t="inlineStr">
        <is>
          <t>sports-theme-softball-bedding-premium-teal-yellow-comforter-set-for</t>
        </is>
      </c>
      <c r="G12" s="2" t="inlineStr">
        <is>
          <t>jeminise.com+sports-theme-softball-bedding-premium-teal-yellow-comforter-set-for+47934734401735+GALLERY+4+3851f3b2dd3506e3</t>
        </is>
      </c>
      <c r="H12" s="2" t="inlineStr">
        <is>
          <t>47934734401735</t>
        </is>
      </c>
      <c r="I12" s="2" t="inlineStr">
        <is>
          <t>GALLERY</t>
        </is>
      </c>
      <c r="J12" s="2" t="n">
        <v>4</v>
      </c>
      <c r="K12" s="4" t="inlineStr">
        <is>
          <t>https://cdn.shopify.com/s/files/1/0792/5098/1063/files/738e23da562ff8fe5bbf13fcf1e0024f2ce5b4f2917c1351c5a737f2ee6de5ae.jpg?v=1787245101</t>
        </is>
      </c>
      <c r="L12" s="4" t="inlineStr">
        <is>
          <t>https://cdn.shopify.com/s/files/1/0792/5098/1063/files/738e23da562ff8fe5bbf13fcf1e0024f2ce5b4f2917c1351c5a737f2ee6de5ae.jpg?v=1787245101</t>
        </is>
      </c>
      <c r="M12" s="2" t="inlineStr">
        <is>
          <t>D:\Shopify_Workspace\jeminise_seo\seo_runs\jeminise.com\20260906_234129\qa\20260908_183309\images\332_4_47934734401735.jpg</t>
        </is>
      </c>
      <c r="N12" s="2" t="b">
        <v>1</v>
      </c>
      <c r="O12" s="2" t="b">
        <v>1</v>
      </c>
      <c r="P12" s="2" t="b">
        <v>1</v>
      </c>
      <c r="Q12" s="2" t="b">
        <v>1</v>
      </c>
      <c r="R12" s="2" t="inlineStr">
        <is>
          <t>Folded comforter mockup showing polka dots, teal stripe, glove artwork and white backing.</t>
        </is>
      </c>
      <c r="S12" s="2" t="inlineStr">
        <is>
          <t>folded comforter showing dots, teal stripe, glove artwork, white backing</t>
        </is>
      </c>
      <c r="T12" s="2" t="inlineStr">
        <is>
          <t>SET</t>
        </is>
      </c>
      <c r="U12" s="2" t="inlineStr">
        <is>
          <t>Sports Theme Softball Bedding – Premium Teal Yellow Comforter Set for Girls &amp; Women, Cozy Decorative Bed Set for Softball Fans in Twin, Queen, King</t>
        </is>
      </c>
      <c r="V12" s="2" t="inlineStr">
        <is>
          <t>Polka dot softball comforter folded view</t>
        </is>
      </c>
      <c r="W12" s="2" t="inlineStr">
        <is>
          <t>FULL</t>
        </is>
      </c>
      <c r="X12" s="2" t="inlineStr">
        <is>
          <t>FULL</t>
        </is>
      </c>
      <c r="Y12" s="2" t="inlineStr">
        <is>
          <t>FULL</t>
        </is>
      </c>
      <c r="Z12" s="2" t="inlineStr">
        <is>
          <t>FULL</t>
        </is>
      </c>
      <c r="AA12" s="6">
        <f>IF(W12="FULL",40,IF(W12="PARTIAL",40/2,0))+IF(X12="FULL",30,IF(X12="PARTIAL",30/2,0))+IF(Y12="FULL",20,IF(Y12="PARTIAL",20/2,0))+IF(Z12="FULL",10,IF(Z12="PARTIAL",10/2,0))</f>
        <v/>
      </c>
      <c r="AB12" s="6">
        <f>IF(W12="NOT_CHECKED",0,40)+IF(X12="NOT_CHECKED",0,30)+IF(Y12="NOT_CHECKED",0,20)+IF(Z12="NOT_CHECKED",0,10)</f>
        <v/>
      </c>
      <c r="AC12" s="6">
        <f>IF(AB12=100,AA12,"")</f>
        <v/>
      </c>
      <c r="AD12" s="6">
        <f>AA12</f>
        <v/>
      </c>
      <c r="AE12" s="6">
        <f>AA12+(100-AB12)</f>
        <v/>
      </c>
      <c r="AF12" s="2" t="inlineStr"/>
      <c r="AG12" s="2" t="inlineStr">
        <is>
          <t>D:\Shopify_Workspace\jeminise_seo\seo_runs\jeminise.com\20260906_234129\qa\20260908_183309\images\332_4_47934734401735.jpg; D:\Shopify_Workspace\jeminise_seo\seo_runs\jeminise.com\20260906_234129\qa\20260908_183309\visual_observations.json</t>
        </is>
      </c>
    </row>
    <row r="13" ht="66" customHeight="1">
      <c r="A13" s="3" t="inlineStr">
        <is>
          <t>20260908_183309</t>
        </is>
      </c>
      <c r="B13" s="3" t="inlineStr">
        <is>
          <t>qa_batch_034_r3</t>
        </is>
      </c>
      <c r="C13" s="3" t="inlineStr">
        <is>
          <t>r3</t>
        </is>
      </c>
      <c r="D13" s="3" t="inlineStr">
        <is>
          <t>jeminise.com+sports-theme-softball-bedding-premium-teal-yellow-comforter-set-for</t>
        </is>
      </c>
      <c r="E13" s="3" t="n">
        <v>332</v>
      </c>
      <c r="F13" s="3" t="inlineStr">
        <is>
          <t>sports-theme-softball-bedding-premium-teal-yellow-comforter-set-for</t>
        </is>
      </c>
      <c r="G13" s="3" t="inlineStr">
        <is>
          <t>jeminise.com+sports-theme-softball-bedding-premium-teal-yellow-comforter-set-for+47934734434503+GALLERY+5+454aca2613c43f58</t>
        </is>
      </c>
      <c r="H13" s="3" t="inlineStr">
        <is>
          <t>47934734434503</t>
        </is>
      </c>
      <c r="I13" s="3" t="inlineStr">
        <is>
          <t>GALLERY</t>
        </is>
      </c>
      <c r="J13" s="3" t="n">
        <v>5</v>
      </c>
      <c r="K13" s="4" t="inlineStr">
        <is>
          <t>https://cdn.shopify.com/s/files/1/0792/5098/1063/files/01d72427c1cb10ef68299a22f733b43117af5e7c41fbc6ff5e9bcbb4bf5363b8.jpg?v=1787245101</t>
        </is>
      </c>
      <c r="L13" s="4" t="inlineStr">
        <is>
          <t>https://cdn.shopify.com/s/files/1/0792/5098/1063/files/01d72427c1cb10ef68299a22f733b43117af5e7c41fbc6ff5e9bcbb4bf5363b8.jpg?v=1787245101</t>
        </is>
      </c>
      <c r="M13" s="3" t="inlineStr">
        <is>
          <t>D:\Shopify_Workspace\jeminise_seo\seo_runs\jeminise.com\20260906_234129\qa\20260908_183309\images\332_5_47934734434503.jpg</t>
        </is>
      </c>
      <c r="N13" s="3" t="b">
        <v>1</v>
      </c>
      <c r="O13" s="3" t="b">
        <v>1</v>
      </c>
      <c r="P13" s="3" t="b">
        <v>1</v>
      </c>
      <c r="Q13" s="3" t="b">
        <v>1</v>
      </c>
      <c r="R13" s="3" t="inlineStr">
        <is>
          <t>Close fabric view of teal stripe, softball lettering and paisley border.</t>
        </is>
      </c>
      <c r="S13" s="3" t="inlineStr">
        <is>
          <t>fabric close-up of teal stripe, softball lettering and paisley border</t>
        </is>
      </c>
      <c r="T13" s="3" t="inlineStr">
        <is>
          <t>SET</t>
        </is>
      </c>
      <c r="U13" s="3" t="inlineStr">
        <is>
          <t>Sports Theme Softball Bedding – Premium Teal Yellow Comforter Set for Girls &amp; Women, Cozy Decorative Bed Set for Softball Fans in Twin, Queen, King</t>
        </is>
      </c>
      <c r="V13" s="3" t="inlineStr">
        <is>
          <t>Polka dot softball comforter fabric close-up</t>
        </is>
      </c>
      <c r="W13" s="3" t="inlineStr">
        <is>
          <t>FULL</t>
        </is>
      </c>
      <c r="X13" s="3" t="inlineStr">
        <is>
          <t>FULL</t>
        </is>
      </c>
      <c r="Y13" s="3" t="inlineStr">
        <is>
          <t>FULL</t>
        </is>
      </c>
      <c r="Z13" s="3" t="inlineStr">
        <is>
          <t>FULL</t>
        </is>
      </c>
      <c r="AA13" s="8">
        <f>IF(W13="FULL",40,IF(W13="PARTIAL",40/2,0))+IF(X13="FULL",30,IF(X13="PARTIAL",30/2,0))+IF(Y13="FULL",20,IF(Y13="PARTIAL",20/2,0))+IF(Z13="FULL",10,IF(Z13="PARTIAL",10/2,0))</f>
        <v/>
      </c>
      <c r="AB13" s="8">
        <f>IF(W13="NOT_CHECKED",0,40)+IF(X13="NOT_CHECKED",0,30)+IF(Y13="NOT_CHECKED",0,20)+IF(Z13="NOT_CHECKED",0,10)</f>
        <v/>
      </c>
      <c r="AC13" s="8">
        <f>IF(AB13=100,AA13,"")</f>
        <v/>
      </c>
      <c r="AD13" s="8">
        <f>AA13</f>
        <v/>
      </c>
      <c r="AE13" s="8">
        <f>AA13+(100-AB13)</f>
        <v/>
      </c>
      <c r="AF13" s="3" t="inlineStr"/>
      <c r="AG13" s="3" t="inlineStr">
        <is>
          <t>D:\Shopify_Workspace\jeminise_seo\seo_runs\jeminise.com\20260906_234129\qa\20260908_183309\images\332_5_47934734434503.jpg; D:\Shopify_Workspace\jeminise_seo\seo_runs\jeminise.com\20260906_234129\qa\20260908_183309\visual_observations.json</t>
        </is>
      </c>
    </row>
    <row r="14" ht="66" customHeight="1">
      <c r="A14" s="2" t="inlineStr">
        <is>
          <t>20260908_183309</t>
        </is>
      </c>
      <c r="B14" s="2" t="inlineStr">
        <is>
          <t>qa_batch_034_r3</t>
        </is>
      </c>
      <c r="C14" s="2" t="inlineStr">
        <is>
          <t>r3</t>
        </is>
      </c>
      <c r="D14" s="2" t="inlineStr">
        <is>
          <t>jeminise.com+sports-theme-softball-bedding-premium-teal-yellow-comforter-set-for</t>
        </is>
      </c>
      <c r="E14" s="2" t="n">
        <v>332</v>
      </c>
      <c r="F14" s="2" t="inlineStr">
        <is>
          <t>sports-theme-softball-bedding-premium-teal-yellow-comforter-set-for</t>
        </is>
      </c>
      <c r="G14" s="2" t="inlineStr">
        <is>
          <t>jeminise.com+sports-theme-softball-bedding-premium-teal-yellow-comforter-set-for+47934734467271+GALLERY+6+1b9093d0c31ef8e5</t>
        </is>
      </c>
      <c r="H14" s="2" t="inlineStr">
        <is>
          <t>47934734467271</t>
        </is>
      </c>
      <c r="I14" s="2" t="inlineStr">
        <is>
          <t>GALLERY</t>
        </is>
      </c>
      <c r="J14" s="2" t="n">
        <v>6</v>
      </c>
      <c r="K14" s="4" t="inlineStr">
        <is>
          <t>https://cdn.shopify.com/s/files/1/0792/5098/1063/files/b5c74b68d1b4eff2209b7123e3fbe61d1e31afd73aa5ba647e17c194e2e66c44_8b5761a0-488d-4a49-850c-a686d964eb6c.jpg?v=1787245101</t>
        </is>
      </c>
      <c r="L14" s="4" t="inlineStr">
        <is>
          <t>https://cdn.shopify.com/s/files/1/0792/5098/1063/files/b5c74b68d1b4eff2209b7123e3fbe61d1e31afd73aa5ba647e17c194e2e66c44_8b5761a0-488d-4a49-850c-a686d964eb6c.jpg?v=1787245101</t>
        </is>
      </c>
      <c r="M14" s="2" t="inlineStr">
        <is>
          <t>D:\Shopify_Workspace\jeminise_seo\seo_runs\jeminise.com\20260906_234129\qa\20260908_183309\images\332_6_47934734467271.jpg</t>
        </is>
      </c>
      <c r="N14" s="2" t="b">
        <v>1</v>
      </c>
      <c r="O14" s="2" t="b">
        <v>1</v>
      </c>
      <c r="P14" s="2" t="b">
        <v>1</v>
      </c>
      <c r="Q14" s="2" t="b">
        <v>1</v>
      </c>
      <c r="R14" s="2" t="inlineStr">
        <is>
          <t>Comforter feature panel with washable, soft filling and lightweight callouts.</t>
        </is>
      </c>
      <c r="S14" s="2" t="inlineStr">
        <is>
          <t>generic comforter feature/care panel</t>
        </is>
      </c>
      <c r="T14" s="2" t="inlineStr">
        <is>
          <t>SET</t>
        </is>
      </c>
      <c r="U14" s="2" t="inlineStr">
        <is>
          <t>Sports Theme Softball Bedding – Premium Teal Yellow Comforter Set for Girls &amp; Women, Cozy Decorative Bed Set for Softball Fans in Twin, Queen, King</t>
        </is>
      </c>
      <c r="V14" s="2" t="inlineStr">
        <is>
          <t>Polka dot softball comforter feature panel</t>
        </is>
      </c>
      <c r="W14" s="2" t="inlineStr">
        <is>
          <t>FULL</t>
        </is>
      </c>
      <c r="X14" s="2" t="inlineStr">
        <is>
          <t>FULL</t>
        </is>
      </c>
      <c r="Y14" s="2" t="inlineStr">
        <is>
          <t>FULL</t>
        </is>
      </c>
      <c r="Z14" s="2" t="inlineStr">
        <is>
          <t>FULL</t>
        </is>
      </c>
      <c r="AA14" s="6">
        <f>IF(W14="FULL",40,IF(W14="PARTIAL",40/2,0))+IF(X14="FULL",30,IF(X14="PARTIAL",30/2,0))+IF(Y14="FULL",20,IF(Y14="PARTIAL",20/2,0))+IF(Z14="FULL",10,IF(Z14="PARTIAL",10/2,0))</f>
        <v/>
      </c>
      <c r="AB14" s="6">
        <f>IF(W14="NOT_CHECKED",0,40)+IF(X14="NOT_CHECKED",0,30)+IF(Y14="NOT_CHECKED",0,20)+IF(Z14="NOT_CHECKED",0,10)</f>
        <v/>
      </c>
      <c r="AC14" s="6">
        <f>IF(AB14=100,AA14,"")</f>
        <v/>
      </c>
      <c r="AD14" s="6">
        <f>AA14</f>
        <v/>
      </c>
      <c r="AE14" s="6">
        <f>AA14+(100-AB14)</f>
        <v/>
      </c>
      <c r="AF14" s="2" t="inlineStr"/>
      <c r="AG14" s="2" t="inlineStr">
        <is>
          <t>D:\Shopify_Workspace\jeminise_seo\seo_runs\jeminise.com\20260906_234129\qa\20260908_183309\images\332_6_47934734467271.jpg; D:\Shopify_Workspace\jeminise_seo\seo_runs\jeminise.com\20260906_234129\qa\20260908_183309\visual_observations.json</t>
        </is>
      </c>
    </row>
    <row r="15" ht="66" customHeight="1">
      <c r="A15" s="3" t="inlineStr">
        <is>
          <t>20260908_183309</t>
        </is>
      </c>
      <c r="B15" s="3" t="inlineStr">
        <is>
          <t>qa_batch_034_r3</t>
        </is>
      </c>
      <c r="C15" s="3" t="inlineStr">
        <is>
          <t>r3</t>
        </is>
      </c>
      <c r="D15" s="3" t="inlineStr">
        <is>
          <t>jeminise.com+sports-theme-softball-bedding-premium-teal-yellow-comforter-set-for</t>
        </is>
      </c>
      <c r="E15" s="3" t="n">
        <v>332</v>
      </c>
      <c r="F15" s="3" t="inlineStr">
        <is>
          <t>sports-theme-softball-bedding-premium-teal-yellow-comforter-set-for</t>
        </is>
      </c>
      <c r="G15" s="3" t="inlineStr">
        <is>
          <t>jeminise.com+sports-theme-softball-bedding-premium-teal-yellow-comforter-set-for+47934734500039+GALLERY+7+66c11b92eb8de747</t>
        </is>
      </c>
      <c r="H15" s="3" t="inlineStr">
        <is>
          <t>47934734500039</t>
        </is>
      </c>
      <c r="I15" s="3" t="inlineStr">
        <is>
          <t>GALLERY</t>
        </is>
      </c>
      <c r="J15" s="3" t="n">
        <v>7</v>
      </c>
      <c r="K15" s="4" t="inlineStr">
        <is>
          <t>https://cdn.shopify.com/s/files/1/0792/5098/1063/files/a0ebf0c8e5cb1f2c8f924529805ea1d20494460dd41a740514b8862f5d5a2f4f_5f22c7fa-dfb9-4771-88f4-1e97338dbc1f.jpg?v=1787245101</t>
        </is>
      </c>
      <c r="L15" s="4" t="inlineStr">
        <is>
          <t>https://cdn.shopify.com/s/files/1/0792/5098/1063/files/a0ebf0c8e5cb1f2c8f924529805ea1d20494460dd41a740514b8862f5d5a2f4f_5f22c7fa-dfb9-4771-88f4-1e97338dbc1f.jpg?v=1787245101</t>
        </is>
      </c>
      <c r="M15" s="3" t="inlineStr">
        <is>
          <t>D:\Shopify_Workspace\jeminise_seo\seo_runs\jeminise.com\20260906_234129\qa\20260908_183309\images\332_7_47934734500039.jpg</t>
        </is>
      </c>
      <c r="N15" s="3" t="b">
        <v>1</v>
      </c>
      <c r="O15" s="3" t="b">
        <v>1</v>
      </c>
      <c r="P15" s="3" t="b">
        <v>1</v>
      </c>
      <c r="Q15" s="3" t="b">
        <v>1</v>
      </c>
      <c r="R15" s="3" t="inlineStr">
        <is>
          <t>Set inclusion panel showing one comforter and two pillowcases.</t>
        </is>
      </c>
      <c r="S15" s="3" t="inlineStr">
        <is>
          <t>set panel states one comforter plus two pillowcases</t>
        </is>
      </c>
      <c r="T15" s="3" t="inlineStr">
        <is>
          <t>SET</t>
        </is>
      </c>
      <c r="U15" s="3" t="inlineStr">
        <is>
          <t>Sports Theme Softball Bedding – Premium Teal Yellow Comforter Set for Girls &amp; Women, Cozy Decorative Bed Set for Softball Fans in Twin, Queen, King</t>
        </is>
      </c>
      <c r="V15" s="3" t="inlineStr">
        <is>
          <t>Polka dot softball comforter set panel</t>
        </is>
      </c>
      <c r="W15" s="3" t="inlineStr">
        <is>
          <t>FULL</t>
        </is>
      </c>
      <c r="X15" s="3" t="inlineStr">
        <is>
          <t>FULL</t>
        </is>
      </c>
      <c r="Y15" s="3" t="inlineStr">
        <is>
          <t>FULL</t>
        </is>
      </c>
      <c r="Z15" s="3" t="inlineStr">
        <is>
          <t>FULL</t>
        </is>
      </c>
      <c r="AA15" s="8">
        <f>IF(W15="FULL",40,IF(W15="PARTIAL",40/2,0))+IF(X15="FULL",30,IF(X15="PARTIAL",30/2,0))+IF(Y15="FULL",20,IF(Y15="PARTIAL",20/2,0))+IF(Z15="FULL",10,IF(Z15="PARTIAL",10/2,0))</f>
        <v/>
      </c>
      <c r="AB15" s="8">
        <f>IF(W15="NOT_CHECKED",0,40)+IF(X15="NOT_CHECKED",0,30)+IF(Y15="NOT_CHECKED",0,20)+IF(Z15="NOT_CHECKED",0,10)</f>
        <v/>
      </c>
      <c r="AC15" s="8">
        <f>IF(AB15=100,AA15,"")</f>
        <v/>
      </c>
      <c r="AD15" s="8">
        <f>AA15</f>
        <v/>
      </c>
      <c r="AE15" s="8">
        <f>AA15+(100-AB15)</f>
        <v/>
      </c>
      <c r="AF15" s="3" t="inlineStr"/>
      <c r="AG15" s="3" t="inlineStr">
        <is>
          <t>D:\Shopify_Workspace\jeminise_seo\seo_runs\jeminise.com\20260906_234129\qa\20260908_183309\images\332_7_47934734500039.jpg; D:\Shopify_Workspace\jeminise_seo\seo_runs\jeminise.com\20260906_234129\qa\20260908_183309\visual_observations.json</t>
        </is>
      </c>
    </row>
    <row r="16" ht="66" customHeight="1">
      <c r="A16" s="2" t="inlineStr">
        <is>
          <t>20260908_183309</t>
        </is>
      </c>
      <c r="B16" s="2" t="inlineStr">
        <is>
          <t>qa_batch_034_r3</t>
        </is>
      </c>
      <c r="C16" s="2" t="inlineStr">
        <is>
          <t>r3</t>
        </is>
      </c>
      <c r="D16" s="2" t="inlineStr">
        <is>
          <t>jeminise.com+teal-yellow-softball-comforter-set-vibrant-sports-bedroom-decor</t>
        </is>
      </c>
      <c r="E16" s="2" t="n">
        <v>333</v>
      </c>
      <c r="F16" s="2" t="inlineStr">
        <is>
          <t>teal-yellow-softball-comforter-set-vibrant-sports-bedroom-decor</t>
        </is>
      </c>
      <c r="G16" s="2" t="inlineStr">
        <is>
          <t>jeminise.com+teal-yellow-softball-comforter-set-vibrant-sports-bedroom-decor+47934724047047+GALLERY+1+500680f3357b1859</t>
        </is>
      </c>
      <c r="H16" s="2" t="inlineStr">
        <is>
          <t>47934724047047</t>
        </is>
      </c>
      <c r="I16" s="2" t="inlineStr">
        <is>
          <t>GALLERY</t>
        </is>
      </c>
      <c r="J16" s="2" t="n">
        <v>1</v>
      </c>
      <c r="K16" s="4" t="inlineStr">
        <is>
          <t>https://cdn.shopify.com/s/files/1/0792/5098/1063/files/e9eb229020d1f2bc1779b9100e2cb371b101afe738a616a51db6126306a8e259.jpg?v=1787245055</t>
        </is>
      </c>
      <c r="L16" s="4" t="inlineStr">
        <is>
          <t>https://cdn.shopify.com/s/files/1/0792/5098/1063/files/e9eb229020d1f2bc1779b9100e2cb371b101afe738a616a51db6126306a8e259.jpg?v=1787245055</t>
        </is>
      </c>
      <c r="M16" s="2" t="inlineStr">
        <is>
          <t>D:\Shopify_Workspace\jeminise_seo\seo_runs\jeminise.com\20260906_234129\qa\20260908_183309\images\333_1_47934724047047.jpg</t>
        </is>
      </c>
      <c r="N16" s="2" t="b">
        <v>1</v>
      </c>
      <c r="O16" s="2" t="b">
        <v>1</v>
      </c>
      <c r="P16" s="2" t="b">
        <v>1</v>
      </c>
      <c r="Q16" s="2" t="b">
        <v>1</v>
      </c>
      <c r="R16" s="2" t="inlineStr">
        <is>
          <t>Front bed mockup of fireball softball comforter with glowing ball, flames and number 21 pillows.</t>
        </is>
      </c>
      <c r="S16" s="2" t="inlineStr">
        <is>
          <t>front mockup with glowing yellow softball, orange/blue fire ring, sample name Lexie and number 21</t>
        </is>
      </c>
      <c r="T16" s="2" t="inlineStr">
        <is>
          <t>SET</t>
        </is>
      </c>
      <c r="U16" s="2" t="inlineStr">
        <is>
          <t>Teal &amp; Yellow Softball Comforter Set – Vibrant Sports Bedroom Decor for Softball Fans, Soft Cozy Bedding for Girls &amp; Women, Offered in Twin, Queen, King</t>
        </is>
      </c>
      <c r="V16" s="2" t="inlineStr">
        <is>
          <t>Fireball softball comforter front view</t>
        </is>
      </c>
      <c r="W16" s="2" t="inlineStr">
        <is>
          <t>FULL</t>
        </is>
      </c>
      <c r="X16" s="2" t="inlineStr">
        <is>
          <t>FULL</t>
        </is>
      </c>
      <c r="Y16" s="2" t="inlineStr">
        <is>
          <t>FULL</t>
        </is>
      </c>
      <c r="Z16" s="2" t="inlineStr">
        <is>
          <t>FULL</t>
        </is>
      </c>
      <c r="AA16" s="6">
        <f>IF(W16="FULL",40,IF(W16="PARTIAL",40/2,0))+IF(X16="FULL",30,IF(X16="PARTIAL",30/2,0))+IF(Y16="FULL",20,IF(Y16="PARTIAL",20/2,0))+IF(Z16="FULL",10,IF(Z16="PARTIAL",10/2,0))</f>
        <v/>
      </c>
      <c r="AB16" s="6">
        <f>IF(W16="NOT_CHECKED",0,40)+IF(X16="NOT_CHECKED",0,30)+IF(Y16="NOT_CHECKED",0,20)+IF(Z16="NOT_CHECKED",0,10)</f>
        <v/>
      </c>
      <c r="AC16" s="6">
        <f>IF(AB16=100,AA16,"")</f>
        <v/>
      </c>
      <c r="AD16" s="6">
        <f>AA16</f>
        <v/>
      </c>
      <c r="AE16" s="6">
        <f>AA16+(100-AB16)</f>
        <v/>
      </c>
      <c r="AF16" s="2" t="inlineStr"/>
      <c r="AG16" s="2" t="inlineStr">
        <is>
          <t>D:\Shopify_Workspace\jeminise_seo\seo_runs\jeminise.com\20260906_234129\qa\20260908_183309\images\333_1_47934724047047.jpg; D:\Shopify_Workspace\jeminise_seo\seo_runs\jeminise.com\20260906_234129\qa\20260908_183309\visual_observations.json</t>
        </is>
      </c>
    </row>
    <row r="17" ht="66" customHeight="1">
      <c r="A17" s="3" t="inlineStr">
        <is>
          <t>20260908_183309</t>
        </is>
      </c>
      <c r="B17" s="3" t="inlineStr">
        <is>
          <t>qa_batch_034_r3</t>
        </is>
      </c>
      <c r="C17" s="3" t="inlineStr">
        <is>
          <t>r3</t>
        </is>
      </c>
      <c r="D17" s="3" t="inlineStr">
        <is>
          <t>jeminise.com+teal-yellow-softball-comforter-set-vibrant-sports-bedroom-decor</t>
        </is>
      </c>
      <c r="E17" s="3" t="n">
        <v>333</v>
      </c>
      <c r="F17" s="3" t="inlineStr">
        <is>
          <t>teal-yellow-softball-comforter-set-vibrant-sports-bedroom-decor</t>
        </is>
      </c>
      <c r="G17" s="3" t="inlineStr">
        <is>
          <t>jeminise.com+teal-yellow-softball-comforter-set-vibrant-sports-bedroom-decor+47934724079815+GALLERY+2+5b3f1961a8014521</t>
        </is>
      </c>
      <c r="H17" s="3" t="inlineStr">
        <is>
          <t>47934724079815</t>
        </is>
      </c>
      <c r="I17" s="3" t="inlineStr">
        <is>
          <t>GALLERY</t>
        </is>
      </c>
      <c r="J17" s="3" t="n">
        <v>2</v>
      </c>
      <c r="K17" s="4" t="inlineStr">
        <is>
          <t>https://cdn.shopify.com/s/files/1/0792/5098/1063/files/771ce2d8bddd2fc58174d41ac28a36d2d07208d5ea19b07d27e70b0d89ce18e1.jpg?v=1787245055</t>
        </is>
      </c>
      <c r="L17" s="4" t="inlineStr">
        <is>
          <t>https://cdn.shopify.com/s/files/1/0792/5098/1063/files/771ce2d8bddd2fc58174d41ac28a36d2d07208d5ea19b07d27e70b0d89ce18e1.jpg?v=1787245055</t>
        </is>
      </c>
      <c r="M17" s="3" t="inlineStr">
        <is>
          <t>D:\Shopify_Workspace\jeminise_seo\seo_runs\jeminise.com\20260906_234129\qa\20260908_183309\images\333_2_47934724079815.jpg</t>
        </is>
      </c>
      <c r="N17" s="3" t="b">
        <v>1</v>
      </c>
      <c r="O17" s="3" t="b">
        <v>1</v>
      </c>
      <c r="P17" s="3" t="b">
        <v>1</v>
      </c>
      <c r="Q17" s="3" t="b">
        <v>1</v>
      </c>
      <c r="R17" s="3" t="inlineStr">
        <is>
          <t>Angled room mockup of orange blue fireball softball comforter with script lettering.</t>
        </is>
      </c>
      <c r="S17" s="3" t="inlineStr">
        <is>
          <t>angled room mockup of fireball softball bedding</t>
        </is>
      </c>
      <c r="T17" s="3" t="inlineStr">
        <is>
          <t>SET</t>
        </is>
      </c>
      <c r="U17" s="3" t="inlineStr">
        <is>
          <t>Teal &amp; Yellow Softball Comforter Set – Vibrant Sports Bedroom Decor for Softball Fans, Soft Cozy Bedding for Girls &amp; Women, Offered in Twin, Queen, King</t>
        </is>
      </c>
      <c r="V17" s="3" t="inlineStr">
        <is>
          <t>Fireball softball comforter angled view</t>
        </is>
      </c>
      <c r="W17" s="3" t="inlineStr">
        <is>
          <t>FULL</t>
        </is>
      </c>
      <c r="X17" s="3" t="inlineStr">
        <is>
          <t>FULL</t>
        </is>
      </c>
      <c r="Y17" s="3" t="inlineStr">
        <is>
          <t>FULL</t>
        </is>
      </c>
      <c r="Z17" s="3" t="inlineStr">
        <is>
          <t>FULL</t>
        </is>
      </c>
      <c r="AA17" s="8">
        <f>IF(W17="FULL",40,IF(W17="PARTIAL",40/2,0))+IF(X17="FULL",30,IF(X17="PARTIAL",30/2,0))+IF(Y17="FULL",20,IF(Y17="PARTIAL",20/2,0))+IF(Z17="FULL",10,IF(Z17="PARTIAL",10/2,0))</f>
        <v/>
      </c>
      <c r="AB17" s="8">
        <f>IF(W17="NOT_CHECKED",0,40)+IF(X17="NOT_CHECKED",0,30)+IF(Y17="NOT_CHECKED",0,20)+IF(Z17="NOT_CHECKED",0,10)</f>
        <v/>
      </c>
      <c r="AC17" s="8">
        <f>IF(AB17=100,AA17,"")</f>
        <v/>
      </c>
      <c r="AD17" s="8">
        <f>AA17</f>
        <v/>
      </c>
      <c r="AE17" s="8">
        <f>AA17+(100-AB17)</f>
        <v/>
      </c>
      <c r="AF17" s="3" t="inlineStr"/>
      <c r="AG17" s="3" t="inlineStr">
        <is>
          <t>D:\Shopify_Workspace\jeminise_seo\seo_runs\jeminise.com\20260906_234129\qa\20260908_183309\images\333_2_47934724079815.jpg; D:\Shopify_Workspace\jeminise_seo\seo_runs\jeminise.com\20260906_234129\qa\20260908_183309\visual_observations.json</t>
        </is>
      </c>
    </row>
    <row r="18" ht="66" customHeight="1">
      <c r="A18" s="2" t="inlineStr">
        <is>
          <t>20260908_183309</t>
        </is>
      </c>
      <c r="B18" s="2" t="inlineStr">
        <is>
          <t>qa_batch_034_r3</t>
        </is>
      </c>
      <c r="C18" s="2" t="inlineStr">
        <is>
          <t>r3</t>
        </is>
      </c>
      <c r="D18" s="2" t="inlineStr">
        <is>
          <t>jeminise.com+teal-yellow-softball-comforter-set-vibrant-sports-bedroom-decor</t>
        </is>
      </c>
      <c r="E18" s="2" t="n">
        <v>333</v>
      </c>
      <c r="F18" s="2" t="inlineStr">
        <is>
          <t>teal-yellow-softball-comforter-set-vibrant-sports-bedroom-decor</t>
        </is>
      </c>
      <c r="G18" s="2" t="inlineStr">
        <is>
          <t>jeminise.com+teal-yellow-softball-comforter-set-vibrant-sports-bedroom-decor+47934724112583+GALLERY+3+e18e8d58ff5e4963</t>
        </is>
      </c>
      <c r="H18" s="2" t="inlineStr">
        <is>
          <t>47934724112583</t>
        </is>
      </c>
      <c r="I18" s="2" t="inlineStr">
        <is>
          <t>GALLERY</t>
        </is>
      </c>
      <c r="J18" s="2" t="n">
        <v>3</v>
      </c>
      <c r="K18" s="4" t="inlineStr">
        <is>
          <t>https://cdn.shopify.com/s/files/1/0792/5098/1063/files/a30ef881d205e5ab13d1aae3041c52142e04db3cbe6ad29d3abcbe949e70ec7a.jpg?v=1787245055</t>
        </is>
      </c>
      <c r="L18" s="4" t="inlineStr">
        <is>
          <t>https://cdn.shopify.com/s/files/1/0792/5098/1063/files/a30ef881d205e5ab13d1aae3041c52142e04db3cbe6ad29d3abcbe949e70ec7a.jpg?v=1787245055</t>
        </is>
      </c>
      <c r="M18" s="2" t="inlineStr">
        <is>
          <t>D:\Shopify_Workspace\jeminise_seo\seo_runs\jeminise.com\20260906_234129\qa\20260908_183309\images\333_3_47934724112583.jpg</t>
        </is>
      </c>
      <c r="N18" s="2" t="b">
        <v>1</v>
      </c>
      <c r="O18" s="2" t="b">
        <v>1</v>
      </c>
      <c r="P18" s="2" t="b">
        <v>1</v>
      </c>
      <c r="Q18" s="2" t="b">
        <v>1</v>
      </c>
      <c r="R18" s="2" t="inlineStr">
        <is>
          <t>Pillowcase close view with glowing softball and number 21.</t>
        </is>
      </c>
      <c r="S18" s="2" t="inlineStr">
        <is>
          <t>pillowcase close-up with glowing softball and number 21</t>
        </is>
      </c>
      <c r="T18" s="2" t="inlineStr">
        <is>
          <t>SET</t>
        </is>
      </c>
      <c r="U18" s="2" t="inlineStr">
        <is>
          <t>Teal &amp; Yellow Softball Comforter Set – Vibrant Sports Bedroom Decor for Softball Fans, Soft Cozy Bedding for Girls &amp; Women, Offered in Twin, Queen, King</t>
        </is>
      </c>
      <c r="V18" s="2" t="inlineStr">
        <is>
          <t>Fireball softball comforter pillowcase view</t>
        </is>
      </c>
      <c r="W18" s="2" t="inlineStr">
        <is>
          <t>FULL</t>
        </is>
      </c>
      <c r="X18" s="2" t="inlineStr">
        <is>
          <t>FULL</t>
        </is>
      </c>
      <c r="Y18" s="2" t="inlineStr">
        <is>
          <t>FULL</t>
        </is>
      </c>
      <c r="Z18" s="2" t="inlineStr">
        <is>
          <t>FULL</t>
        </is>
      </c>
      <c r="AA18" s="6">
        <f>IF(W18="FULL",40,IF(W18="PARTIAL",40/2,0))+IF(X18="FULL",30,IF(X18="PARTIAL",30/2,0))+IF(Y18="FULL",20,IF(Y18="PARTIAL",20/2,0))+IF(Z18="FULL",10,IF(Z18="PARTIAL",10/2,0))</f>
        <v/>
      </c>
      <c r="AB18" s="6">
        <f>IF(W18="NOT_CHECKED",0,40)+IF(X18="NOT_CHECKED",0,30)+IF(Y18="NOT_CHECKED",0,20)+IF(Z18="NOT_CHECKED",0,10)</f>
        <v/>
      </c>
      <c r="AC18" s="6">
        <f>IF(AB18=100,AA18,"")</f>
        <v/>
      </c>
      <c r="AD18" s="6">
        <f>AA18</f>
        <v/>
      </c>
      <c r="AE18" s="6">
        <f>AA18+(100-AB18)</f>
        <v/>
      </c>
      <c r="AF18" s="2" t="inlineStr"/>
      <c r="AG18" s="2" t="inlineStr">
        <is>
          <t>D:\Shopify_Workspace\jeminise_seo\seo_runs\jeminise.com\20260906_234129\qa\20260908_183309\images\333_3_47934724112583.jpg; D:\Shopify_Workspace\jeminise_seo\seo_runs\jeminise.com\20260906_234129\qa\20260908_183309\visual_observations.json</t>
        </is>
      </c>
    </row>
    <row r="19" ht="66" customHeight="1">
      <c r="A19" s="3" t="inlineStr">
        <is>
          <t>20260908_183309</t>
        </is>
      </c>
      <c r="B19" s="3" t="inlineStr">
        <is>
          <t>qa_batch_034_r3</t>
        </is>
      </c>
      <c r="C19" s="3" t="inlineStr">
        <is>
          <t>r3</t>
        </is>
      </c>
      <c r="D19" s="3" t="inlineStr">
        <is>
          <t>jeminise.com+teal-yellow-softball-comforter-set-vibrant-sports-bedroom-decor</t>
        </is>
      </c>
      <c r="E19" s="3" t="n">
        <v>333</v>
      </c>
      <c r="F19" s="3" t="inlineStr">
        <is>
          <t>teal-yellow-softball-comforter-set-vibrant-sports-bedroom-decor</t>
        </is>
      </c>
      <c r="G19" s="3" t="inlineStr">
        <is>
          <t>jeminise.com+teal-yellow-softball-comforter-set-vibrant-sports-bedroom-decor+47934724145351+GALLERY+4+4a5a8f3ce52bd010</t>
        </is>
      </c>
      <c r="H19" s="3" t="inlineStr">
        <is>
          <t>47934724145351</t>
        </is>
      </c>
      <c r="I19" s="3" t="inlineStr">
        <is>
          <t>GALLERY</t>
        </is>
      </c>
      <c r="J19" s="3" t="n">
        <v>4</v>
      </c>
      <c r="K19" s="4" t="inlineStr">
        <is>
          <t>https://cdn.shopify.com/s/files/1/0792/5098/1063/files/5c0206fb2e317bc66a3a0a3e5e42bcca88753ba50332255290f156cca3cc6e89.jpg?v=1787245055</t>
        </is>
      </c>
      <c r="L19" s="4" t="inlineStr">
        <is>
          <t>https://cdn.shopify.com/s/files/1/0792/5098/1063/files/5c0206fb2e317bc66a3a0a3e5e42bcca88753ba50332255290f156cca3cc6e89.jpg?v=1787245055</t>
        </is>
      </c>
      <c r="M19" s="3" t="inlineStr">
        <is>
          <t>D:\Shopify_Workspace\jeminise_seo\seo_runs\jeminise.com\20260906_234129\qa\20260908_183309\images\333_4_47934724145351.jpg</t>
        </is>
      </c>
      <c r="N19" s="3" t="b">
        <v>1</v>
      </c>
      <c r="O19" s="3" t="b">
        <v>1</v>
      </c>
      <c r="P19" s="3" t="b">
        <v>1</v>
      </c>
      <c r="Q19" s="3" t="b">
        <v>1</v>
      </c>
      <c r="R19" s="3" t="inlineStr">
        <is>
          <t>Folded comforter mockup showing yellow softball, flame ring and white backing.</t>
        </is>
      </c>
      <c r="S19" s="3" t="inlineStr">
        <is>
          <t>folded comforter with flame ring and white backing</t>
        </is>
      </c>
      <c r="T19" s="3" t="inlineStr">
        <is>
          <t>SET</t>
        </is>
      </c>
      <c r="U19" s="3" t="inlineStr">
        <is>
          <t>Teal &amp; Yellow Softball Comforter Set – Vibrant Sports Bedroom Decor for Softball Fans, Soft Cozy Bedding for Girls &amp; Women, Offered in Twin, Queen, King</t>
        </is>
      </c>
      <c r="V19" s="3" t="inlineStr">
        <is>
          <t>Fireball softball comforter folded view</t>
        </is>
      </c>
      <c r="W19" s="3" t="inlineStr">
        <is>
          <t>FULL</t>
        </is>
      </c>
      <c r="X19" s="3" t="inlineStr">
        <is>
          <t>FULL</t>
        </is>
      </c>
      <c r="Y19" s="3" t="inlineStr">
        <is>
          <t>FULL</t>
        </is>
      </c>
      <c r="Z19" s="3" t="inlineStr">
        <is>
          <t>FULL</t>
        </is>
      </c>
      <c r="AA19" s="8">
        <f>IF(W19="FULL",40,IF(W19="PARTIAL",40/2,0))+IF(X19="FULL",30,IF(X19="PARTIAL",30/2,0))+IF(Y19="FULL",20,IF(Y19="PARTIAL",20/2,0))+IF(Z19="FULL",10,IF(Z19="PARTIAL",10/2,0))</f>
        <v/>
      </c>
      <c r="AB19" s="8">
        <f>IF(W19="NOT_CHECKED",0,40)+IF(X19="NOT_CHECKED",0,30)+IF(Y19="NOT_CHECKED",0,20)+IF(Z19="NOT_CHECKED",0,10)</f>
        <v/>
      </c>
      <c r="AC19" s="8">
        <f>IF(AB19=100,AA19,"")</f>
        <v/>
      </c>
      <c r="AD19" s="8">
        <f>AA19</f>
        <v/>
      </c>
      <c r="AE19" s="8">
        <f>AA19+(100-AB19)</f>
        <v/>
      </c>
      <c r="AF19" s="3" t="inlineStr"/>
      <c r="AG19" s="3" t="inlineStr">
        <is>
          <t>D:\Shopify_Workspace\jeminise_seo\seo_runs\jeminise.com\20260906_234129\qa\20260908_183309\images\333_4_47934724145351.jpg; D:\Shopify_Workspace\jeminise_seo\seo_runs\jeminise.com\20260906_234129\qa\20260908_183309\visual_observations.json</t>
        </is>
      </c>
    </row>
    <row r="20" ht="66" customHeight="1">
      <c r="A20" s="2" t="inlineStr">
        <is>
          <t>20260908_183309</t>
        </is>
      </c>
      <c r="B20" s="2" t="inlineStr">
        <is>
          <t>qa_batch_034_r3</t>
        </is>
      </c>
      <c r="C20" s="2" t="inlineStr">
        <is>
          <t>r3</t>
        </is>
      </c>
      <c r="D20" s="2" t="inlineStr">
        <is>
          <t>jeminise.com+teal-yellow-softball-comforter-set-vibrant-sports-bedroom-decor</t>
        </is>
      </c>
      <c r="E20" s="2" t="n">
        <v>333</v>
      </c>
      <c r="F20" s="2" t="inlineStr">
        <is>
          <t>teal-yellow-softball-comforter-set-vibrant-sports-bedroom-decor</t>
        </is>
      </c>
      <c r="G20" s="2" t="inlineStr">
        <is>
          <t>jeminise.com+teal-yellow-softball-comforter-set-vibrant-sports-bedroom-decor+47934724178119+GALLERY+5+b950d572ff6c654e</t>
        </is>
      </c>
      <c r="H20" s="2" t="inlineStr">
        <is>
          <t>47934724178119</t>
        </is>
      </c>
      <c r="I20" s="2" t="inlineStr">
        <is>
          <t>GALLERY</t>
        </is>
      </c>
      <c r="J20" s="2" t="n">
        <v>5</v>
      </c>
      <c r="K20" s="4" t="inlineStr">
        <is>
          <t>https://cdn.shopify.com/s/files/1/0792/5098/1063/files/af034b872aaa0a051dc35f712c51dc6df17a7e259cbe52564b50b19babf9854e.jpg?v=1787245055</t>
        </is>
      </c>
      <c r="L20" s="4" t="inlineStr">
        <is>
          <t>https://cdn.shopify.com/s/files/1/0792/5098/1063/files/af034b872aaa0a051dc35f712c51dc6df17a7e259cbe52564b50b19babf9854e.jpg?v=1787245055</t>
        </is>
      </c>
      <c r="M20" s="2" t="inlineStr">
        <is>
          <t>D:\Shopify_Workspace\jeminise_seo\seo_runs\jeminise.com\20260906_234129\qa\20260908_183309\images\333_5_47934724178119.jpg</t>
        </is>
      </c>
      <c r="N20" s="2" t="b">
        <v>1</v>
      </c>
      <c r="O20" s="2" t="b">
        <v>1</v>
      </c>
      <c r="P20" s="2" t="b">
        <v>1</v>
      </c>
      <c r="Q20" s="2" t="b">
        <v>1</v>
      </c>
      <c r="R20" s="2" t="inlineStr">
        <is>
          <t>Close fabric view of glowing yellow softball with flame ring under white backing.</t>
        </is>
      </c>
      <c r="S20" s="2" t="inlineStr">
        <is>
          <t>fabric close-up of glowing softball and flame ring</t>
        </is>
      </c>
      <c r="T20" s="2" t="inlineStr">
        <is>
          <t>SET</t>
        </is>
      </c>
      <c r="U20" s="2" t="inlineStr">
        <is>
          <t>Teal &amp; Yellow Softball Comforter Set – Vibrant Sports Bedroom Decor for Softball Fans, Soft Cozy Bedding for Girls &amp; Women, Offered in Twin, Queen, King</t>
        </is>
      </c>
      <c r="V20" s="2" t="inlineStr">
        <is>
          <t>Fireball softball comforter fabric close-up</t>
        </is>
      </c>
      <c r="W20" s="2" t="inlineStr">
        <is>
          <t>FULL</t>
        </is>
      </c>
      <c r="X20" s="2" t="inlineStr">
        <is>
          <t>FULL</t>
        </is>
      </c>
      <c r="Y20" s="2" t="inlineStr">
        <is>
          <t>FULL</t>
        </is>
      </c>
      <c r="Z20" s="2" t="inlineStr">
        <is>
          <t>FULL</t>
        </is>
      </c>
      <c r="AA20" s="6">
        <f>IF(W20="FULL",40,IF(W20="PARTIAL",40/2,0))+IF(X20="FULL",30,IF(X20="PARTIAL",30/2,0))+IF(Y20="FULL",20,IF(Y20="PARTIAL",20/2,0))+IF(Z20="FULL",10,IF(Z20="PARTIAL",10/2,0))</f>
        <v/>
      </c>
      <c r="AB20" s="6">
        <f>IF(W20="NOT_CHECKED",0,40)+IF(X20="NOT_CHECKED",0,30)+IF(Y20="NOT_CHECKED",0,20)+IF(Z20="NOT_CHECKED",0,10)</f>
        <v/>
      </c>
      <c r="AC20" s="6">
        <f>IF(AB20=100,AA20,"")</f>
        <v/>
      </c>
      <c r="AD20" s="6">
        <f>AA20</f>
        <v/>
      </c>
      <c r="AE20" s="6">
        <f>AA20+(100-AB20)</f>
        <v/>
      </c>
      <c r="AF20" s="2" t="inlineStr"/>
      <c r="AG20" s="2" t="inlineStr">
        <is>
          <t>D:\Shopify_Workspace\jeminise_seo\seo_runs\jeminise.com\20260906_234129\qa\20260908_183309\images\333_5_47934724178119.jpg; D:\Shopify_Workspace\jeminise_seo\seo_runs\jeminise.com\20260906_234129\qa\20260908_183309\visual_observations.json</t>
        </is>
      </c>
    </row>
    <row r="21" ht="66" customHeight="1">
      <c r="A21" s="3" t="inlineStr">
        <is>
          <t>20260908_183309</t>
        </is>
      </c>
      <c r="B21" s="3" t="inlineStr">
        <is>
          <t>qa_batch_034_r3</t>
        </is>
      </c>
      <c r="C21" s="3" t="inlineStr">
        <is>
          <t>r3</t>
        </is>
      </c>
      <c r="D21" s="3" t="inlineStr">
        <is>
          <t>jeminise.com+teal-yellow-softball-comforter-set-vibrant-sports-bedroom-decor</t>
        </is>
      </c>
      <c r="E21" s="3" t="n">
        <v>333</v>
      </c>
      <c r="F21" s="3" t="inlineStr">
        <is>
          <t>teal-yellow-softball-comforter-set-vibrant-sports-bedroom-decor</t>
        </is>
      </c>
      <c r="G21" s="3" t="inlineStr">
        <is>
          <t>jeminise.com+teal-yellow-softball-comforter-set-vibrant-sports-bedroom-decor+47934724210887+GALLERY+6+ae2873d0750031f4</t>
        </is>
      </c>
      <c r="H21" s="3" t="inlineStr">
        <is>
          <t>47934724210887</t>
        </is>
      </c>
      <c r="I21" s="3" t="inlineStr">
        <is>
          <t>GALLERY</t>
        </is>
      </c>
      <c r="J21" s="3" t="n">
        <v>6</v>
      </c>
      <c r="K21" s="4" t="inlineStr">
        <is>
          <t>https://cdn.shopify.com/s/files/1/0792/5098/1063/files/b5c74b68d1b4eff2209b7123e3fbe61d1e31afd73aa5ba647e17c194e2e66c44_bddb065c-22b0-471d-bcd3-9eab656c6384.jpg?v=1787245055</t>
        </is>
      </c>
      <c r="L21" s="4" t="inlineStr">
        <is>
          <t>https://cdn.shopify.com/s/files/1/0792/5098/1063/files/b5c74b68d1b4eff2209b7123e3fbe61d1e31afd73aa5ba647e17c194e2e66c44_bddb065c-22b0-471d-bcd3-9eab656c6384.jpg?v=1787245055</t>
        </is>
      </c>
      <c r="M21" s="3" t="inlineStr">
        <is>
          <t>D:\Shopify_Workspace\jeminise_seo\seo_runs\jeminise.com\20260906_234129\qa\20260908_183309\images\333_6_47934724210887.jpg</t>
        </is>
      </c>
      <c r="N21" s="3" t="b">
        <v>1</v>
      </c>
      <c r="O21" s="3" t="b">
        <v>1</v>
      </c>
      <c r="P21" s="3" t="b">
        <v>1</v>
      </c>
      <c r="Q21" s="3" t="b">
        <v>1</v>
      </c>
      <c r="R21" s="3" t="inlineStr">
        <is>
          <t>Comforter feature panel with washable, soft filling and lightweight callouts.</t>
        </is>
      </c>
      <c r="S21" s="3" t="inlineStr">
        <is>
          <t>generic comforter feature/care panel</t>
        </is>
      </c>
      <c r="T21" s="3" t="inlineStr">
        <is>
          <t>SET</t>
        </is>
      </c>
      <c r="U21" s="3" t="inlineStr">
        <is>
          <t>Teal &amp; Yellow Softball Comforter Set – Vibrant Sports Bedroom Decor for Softball Fans, Soft Cozy Bedding for Girls &amp; Women, Offered in Twin, Queen, King</t>
        </is>
      </c>
      <c r="V21" s="3" t="inlineStr">
        <is>
          <t>Fireball softball comforter feature panel</t>
        </is>
      </c>
      <c r="W21" s="3" t="inlineStr">
        <is>
          <t>FULL</t>
        </is>
      </c>
      <c r="X21" s="3" t="inlineStr">
        <is>
          <t>FULL</t>
        </is>
      </c>
      <c r="Y21" s="3" t="inlineStr">
        <is>
          <t>FULL</t>
        </is>
      </c>
      <c r="Z21" s="3" t="inlineStr">
        <is>
          <t>FULL</t>
        </is>
      </c>
      <c r="AA21" s="8">
        <f>IF(W21="FULL",40,IF(W21="PARTIAL",40/2,0))+IF(X21="FULL",30,IF(X21="PARTIAL",30/2,0))+IF(Y21="FULL",20,IF(Y21="PARTIAL",20/2,0))+IF(Z21="FULL",10,IF(Z21="PARTIAL",10/2,0))</f>
        <v/>
      </c>
      <c r="AB21" s="8">
        <f>IF(W21="NOT_CHECKED",0,40)+IF(X21="NOT_CHECKED",0,30)+IF(Y21="NOT_CHECKED",0,20)+IF(Z21="NOT_CHECKED",0,10)</f>
        <v/>
      </c>
      <c r="AC21" s="8">
        <f>IF(AB21=100,AA21,"")</f>
        <v/>
      </c>
      <c r="AD21" s="8">
        <f>AA21</f>
        <v/>
      </c>
      <c r="AE21" s="8">
        <f>AA21+(100-AB21)</f>
        <v/>
      </c>
      <c r="AF21" s="3" t="inlineStr"/>
      <c r="AG21" s="3" t="inlineStr">
        <is>
          <t>D:\Shopify_Workspace\jeminise_seo\seo_runs\jeminise.com\20260906_234129\qa\20260908_183309\images\333_6_47934724210887.jpg; D:\Shopify_Workspace\jeminise_seo\seo_runs\jeminise.com\20260906_234129\qa\20260908_183309\visual_observations.json</t>
        </is>
      </c>
    </row>
    <row r="22" ht="66" customHeight="1">
      <c r="A22" s="2" t="inlineStr">
        <is>
          <t>20260908_183309</t>
        </is>
      </c>
      <c r="B22" s="2" t="inlineStr">
        <is>
          <t>qa_batch_034_r3</t>
        </is>
      </c>
      <c r="C22" s="2" t="inlineStr">
        <is>
          <t>r3</t>
        </is>
      </c>
      <c r="D22" s="2" t="inlineStr">
        <is>
          <t>jeminise.com+teal-yellow-softball-comforter-set-vibrant-sports-bedroom-decor</t>
        </is>
      </c>
      <c r="E22" s="2" t="n">
        <v>333</v>
      </c>
      <c r="F22" s="2" t="inlineStr">
        <is>
          <t>teal-yellow-softball-comforter-set-vibrant-sports-bedroom-decor</t>
        </is>
      </c>
      <c r="G22" s="2" t="inlineStr">
        <is>
          <t>jeminise.com+teal-yellow-softball-comforter-set-vibrant-sports-bedroom-decor+47934724243655+GALLERY+7+35203e7659190865</t>
        </is>
      </c>
      <c r="H22" s="2" t="inlineStr">
        <is>
          <t>47934724243655</t>
        </is>
      </c>
      <c r="I22" s="2" t="inlineStr">
        <is>
          <t>GALLERY</t>
        </is>
      </c>
      <c r="J22" s="2" t="n">
        <v>7</v>
      </c>
      <c r="K22" s="4" t="inlineStr">
        <is>
          <t>https://cdn.shopify.com/s/files/1/0792/5098/1063/files/a0ebf0c8e5cb1f2c8f924529805ea1d20494460dd41a740514b8862f5d5a2f4f_8518a8b6-37d8-46fb-8c8c-4eadafbb10f4.jpg?v=1787245055</t>
        </is>
      </c>
      <c r="L22" s="4" t="inlineStr">
        <is>
          <t>https://cdn.shopify.com/s/files/1/0792/5098/1063/files/a0ebf0c8e5cb1f2c8f924529805ea1d20494460dd41a740514b8862f5d5a2f4f_8518a8b6-37d8-46fb-8c8c-4eadafbb10f4.jpg?v=1787245055</t>
        </is>
      </c>
      <c r="M22" s="2" t="inlineStr">
        <is>
          <t>D:\Shopify_Workspace\jeminise_seo\seo_runs\jeminise.com\20260906_234129\qa\20260908_183309\images\333_7_47934724243655.jpg</t>
        </is>
      </c>
      <c r="N22" s="2" t="b">
        <v>1</v>
      </c>
      <c r="O22" s="2" t="b">
        <v>1</v>
      </c>
      <c r="P22" s="2" t="b">
        <v>1</v>
      </c>
      <c r="Q22" s="2" t="b">
        <v>1</v>
      </c>
      <c r="R22" s="2" t="inlineStr">
        <is>
          <t>Set inclusion panel showing one comforter and two pillowcases.</t>
        </is>
      </c>
      <c r="S22" s="2" t="inlineStr">
        <is>
          <t>set panel states one comforter plus two pillowcases</t>
        </is>
      </c>
      <c r="T22" s="2" t="inlineStr">
        <is>
          <t>SET</t>
        </is>
      </c>
      <c r="U22" s="2" t="inlineStr">
        <is>
          <t>Teal &amp; Yellow Softball Comforter Set – Vibrant Sports Bedroom Decor for Softball Fans, Soft Cozy Bedding for Girls &amp; Women, Offered in Twin, Queen, King</t>
        </is>
      </c>
      <c r="V22" s="2" t="inlineStr">
        <is>
          <t>Fireball softball comforter set panel</t>
        </is>
      </c>
      <c r="W22" s="2" t="inlineStr">
        <is>
          <t>FULL</t>
        </is>
      </c>
      <c r="X22" s="2" t="inlineStr">
        <is>
          <t>FULL</t>
        </is>
      </c>
      <c r="Y22" s="2" t="inlineStr">
        <is>
          <t>FULL</t>
        </is>
      </c>
      <c r="Z22" s="2" t="inlineStr">
        <is>
          <t>FULL</t>
        </is>
      </c>
      <c r="AA22" s="6">
        <f>IF(W22="FULL",40,IF(W22="PARTIAL",40/2,0))+IF(X22="FULL",30,IF(X22="PARTIAL",30/2,0))+IF(Y22="FULL",20,IF(Y22="PARTIAL",20/2,0))+IF(Z22="FULL",10,IF(Z22="PARTIAL",10/2,0))</f>
        <v/>
      </c>
      <c r="AB22" s="6">
        <f>IF(W22="NOT_CHECKED",0,40)+IF(X22="NOT_CHECKED",0,30)+IF(Y22="NOT_CHECKED",0,20)+IF(Z22="NOT_CHECKED",0,10)</f>
        <v/>
      </c>
      <c r="AC22" s="6">
        <f>IF(AB22=100,AA22,"")</f>
        <v/>
      </c>
      <c r="AD22" s="6">
        <f>AA22</f>
        <v/>
      </c>
      <c r="AE22" s="6">
        <f>AA22+(100-AB22)</f>
        <v/>
      </c>
      <c r="AF22" s="2" t="inlineStr"/>
      <c r="AG22" s="2" t="inlineStr">
        <is>
          <t>D:\Shopify_Workspace\jeminise_seo\seo_runs\jeminise.com\20260906_234129\qa\20260908_183309\images\333_7_47934724243655.jpg; D:\Shopify_Workspace\jeminise_seo\seo_runs\jeminise.com\20260906_234129\qa\20260908_183309\visual_observations.json</t>
        </is>
      </c>
    </row>
    <row r="23" ht="66" customHeight="1">
      <c r="A23" s="3" t="inlineStr">
        <is>
          <t>20260908_183309</t>
        </is>
      </c>
      <c r="B23" s="3" t="inlineStr">
        <is>
          <t>qa_batch_034_r3</t>
        </is>
      </c>
      <c r="C23" s="3" t="inlineStr">
        <is>
          <t>r3</t>
        </is>
      </c>
      <c r="D23" s="3" t="inlineStr">
        <is>
          <t>jeminise.com+teal-yellow-softball-bedding-set-stylish-sports-bedroom-decor</t>
        </is>
      </c>
      <c r="E23" s="3" t="n">
        <v>334</v>
      </c>
      <c r="F23" s="3" t="inlineStr">
        <is>
          <t>teal-yellow-softball-bedding-set-stylish-sports-bedroom-decor</t>
        </is>
      </c>
      <c r="G23" s="3" t="inlineStr">
        <is>
          <t>jeminise.com+teal-yellow-softball-bedding-set-stylish-sports-bedroom-decor+47934721786055+GALLERY+1+6e54f6298351c503</t>
        </is>
      </c>
      <c r="H23" s="3" t="inlineStr">
        <is>
          <t>47934721786055</t>
        </is>
      </c>
      <c r="I23" s="3" t="inlineStr">
        <is>
          <t>GALLERY</t>
        </is>
      </c>
      <c r="J23" s="3" t="n">
        <v>1</v>
      </c>
      <c r="K23" s="4" t="inlineStr">
        <is>
          <t>https://cdn.shopify.com/s/files/1/0792/5098/1063/files/26eb896c5342e73633f09030262d7cd53341b53471814d45f57c4a53cd757f36.jpg?v=1787245038</t>
        </is>
      </c>
      <c r="L23" s="4" t="inlineStr">
        <is>
          <t>https://cdn.shopify.com/s/files/1/0792/5098/1063/files/26eb896c5342e73633f09030262d7cd53341b53471814d45f57c4a53cd757f36.jpg?v=1787245038</t>
        </is>
      </c>
      <c r="M23" s="3" t="inlineStr">
        <is>
          <t>D:\Shopify_Workspace\jeminise_seo\seo_runs\jeminise.com\20260906_234129\qa\20260908_183309\images\334_1_47934721786055.jpg</t>
        </is>
      </c>
      <c r="N23" s="3" t="b">
        <v>1</v>
      </c>
      <c r="O23" s="3" t="b">
        <v>1</v>
      </c>
      <c r="P23" s="3" t="b">
        <v>1</v>
      </c>
      <c r="Q23" s="3" t="b">
        <v>1</v>
      </c>
      <c r="R23" s="3" t="inlineStr">
        <is>
          <t>Front bed mockup of pink glove softball comforter with yellow ball, script lettering and number 11.</t>
        </is>
      </c>
      <c r="S23" s="3" t="inlineStr">
        <is>
          <t>front bed mockup: pink/gray comforter, red softball glove, yellow ball, sample name Reagan and number 11</t>
        </is>
      </c>
      <c r="T23" s="3" t="inlineStr">
        <is>
          <t>SET</t>
        </is>
      </c>
      <c r="U23" s="3" t="inlineStr">
        <is>
          <t>Teal Yellow Softball Bedding Set – Stylish Sports Bedroom Decor Comforter for Girls &amp; Women, Perfect for Softball Fans, Available in Twin, Queen, King Sizes</t>
        </is>
      </c>
      <c r="V23" s="3" t="inlineStr">
        <is>
          <t>Pink glove softball comforter front view</t>
        </is>
      </c>
      <c r="W23" s="3" t="inlineStr">
        <is>
          <t>FULL</t>
        </is>
      </c>
      <c r="X23" s="3" t="inlineStr">
        <is>
          <t>FULL</t>
        </is>
      </c>
      <c r="Y23" s="3" t="inlineStr">
        <is>
          <t>FULL</t>
        </is>
      </c>
      <c r="Z23" s="3" t="inlineStr">
        <is>
          <t>FULL</t>
        </is>
      </c>
      <c r="AA23" s="8">
        <f>IF(W23="FULL",40,IF(W23="PARTIAL",40/2,0))+IF(X23="FULL",30,IF(X23="PARTIAL",30/2,0))+IF(Y23="FULL",20,IF(Y23="PARTIAL",20/2,0))+IF(Z23="FULL",10,IF(Z23="PARTIAL",10/2,0))</f>
        <v/>
      </c>
      <c r="AB23" s="8">
        <f>IF(W23="NOT_CHECKED",0,40)+IF(X23="NOT_CHECKED",0,30)+IF(Y23="NOT_CHECKED",0,20)+IF(Z23="NOT_CHECKED",0,10)</f>
        <v/>
      </c>
      <c r="AC23" s="8">
        <f>IF(AB23=100,AA23,"")</f>
        <v/>
      </c>
      <c r="AD23" s="8">
        <f>AA23</f>
        <v/>
      </c>
      <c r="AE23" s="8">
        <f>AA23+(100-AB23)</f>
        <v/>
      </c>
      <c r="AF23" s="3" t="inlineStr"/>
      <c r="AG23" s="3" t="inlineStr">
        <is>
          <t>D:\Shopify_Workspace\jeminise_seo\seo_runs\jeminise.com\20260906_234129\qa\20260908_183309\images\334_1_47934721786055.jpg; D:\Shopify_Workspace\jeminise_seo\seo_runs\jeminise.com\20260906_234129\qa\20260908_183309\visual_observations.json</t>
        </is>
      </c>
    </row>
    <row r="24" ht="66" customHeight="1">
      <c r="A24" s="2" t="inlineStr">
        <is>
          <t>20260908_183309</t>
        </is>
      </c>
      <c r="B24" s="2" t="inlineStr">
        <is>
          <t>qa_batch_034_r3</t>
        </is>
      </c>
      <c r="C24" s="2" t="inlineStr">
        <is>
          <t>r3</t>
        </is>
      </c>
      <c r="D24" s="2" t="inlineStr">
        <is>
          <t>jeminise.com+teal-yellow-softball-bedding-set-stylish-sports-bedroom-decor</t>
        </is>
      </c>
      <c r="E24" s="2" t="n">
        <v>334</v>
      </c>
      <c r="F24" s="2" t="inlineStr">
        <is>
          <t>teal-yellow-softball-bedding-set-stylish-sports-bedroom-decor</t>
        </is>
      </c>
      <c r="G24" s="2" t="inlineStr">
        <is>
          <t>jeminise.com+teal-yellow-softball-bedding-set-stylish-sports-bedroom-decor+47934721818823+GALLERY+2+cc07124ff7e3d7c8</t>
        </is>
      </c>
      <c r="H24" s="2" t="inlineStr">
        <is>
          <t>47934721818823</t>
        </is>
      </c>
      <c r="I24" s="2" t="inlineStr">
        <is>
          <t>GALLERY</t>
        </is>
      </c>
      <c r="J24" s="2" t="n">
        <v>2</v>
      </c>
      <c r="K24" s="4" t="inlineStr">
        <is>
          <t>https://cdn.shopify.com/s/files/1/0792/5098/1063/files/3994783df03039a2e8eef73a64e7b4a3c318bda1959ead110b1516247d42bc1d.jpg?v=1787245038</t>
        </is>
      </c>
      <c r="L24" s="4" t="inlineStr">
        <is>
          <t>https://cdn.shopify.com/s/files/1/0792/5098/1063/files/3994783df03039a2e8eef73a64e7b4a3c318bda1959ead110b1516247d42bc1d.jpg?v=1787245038</t>
        </is>
      </c>
      <c r="M24" s="2" t="inlineStr">
        <is>
          <t>D:\Shopify_Workspace\jeminise_seo\seo_runs\jeminise.com\20260906_234129\qa\20260908_183309\images\334_2_47934721818823.jpg</t>
        </is>
      </c>
      <c r="N24" s="2" t="b">
        <v>1</v>
      </c>
      <c r="O24" s="2" t="b">
        <v>1</v>
      </c>
      <c r="P24" s="2" t="b">
        <v>1</v>
      </c>
      <c r="Q24" s="2" t="b">
        <v>1</v>
      </c>
      <c r="R24" s="2" t="inlineStr">
        <is>
          <t>Angled room mockup of pink glove softball comforter with matching pillows.</t>
        </is>
      </c>
      <c r="S24" s="2" t="inlineStr">
        <is>
          <t>angled room mockup with matching pillows</t>
        </is>
      </c>
      <c r="T24" s="2" t="inlineStr">
        <is>
          <t>SET</t>
        </is>
      </c>
      <c r="U24" s="2" t="inlineStr">
        <is>
          <t>Teal Yellow Softball Bedding Set – Stylish Sports Bedroom Decor Comforter for Girls &amp; Women, Perfect for Softball Fans, Available in Twin, Queen, King Sizes</t>
        </is>
      </c>
      <c r="V24" s="2" t="inlineStr">
        <is>
          <t>Pink glove softball comforter angled view</t>
        </is>
      </c>
      <c r="W24" s="2" t="inlineStr">
        <is>
          <t>FULL</t>
        </is>
      </c>
      <c r="X24" s="2" t="inlineStr">
        <is>
          <t>FULL</t>
        </is>
      </c>
      <c r="Y24" s="2" t="inlineStr">
        <is>
          <t>FULL</t>
        </is>
      </c>
      <c r="Z24" s="2" t="inlineStr">
        <is>
          <t>FULL</t>
        </is>
      </c>
      <c r="AA24" s="6">
        <f>IF(W24="FULL",40,IF(W24="PARTIAL",40/2,0))+IF(X24="FULL",30,IF(X24="PARTIAL",30/2,0))+IF(Y24="FULL",20,IF(Y24="PARTIAL",20/2,0))+IF(Z24="FULL",10,IF(Z24="PARTIAL",10/2,0))</f>
        <v/>
      </c>
      <c r="AB24" s="6">
        <f>IF(W24="NOT_CHECKED",0,40)+IF(X24="NOT_CHECKED",0,30)+IF(Y24="NOT_CHECKED",0,20)+IF(Z24="NOT_CHECKED",0,10)</f>
        <v/>
      </c>
      <c r="AC24" s="6">
        <f>IF(AB24=100,AA24,"")</f>
        <v/>
      </c>
      <c r="AD24" s="6">
        <f>AA24</f>
        <v/>
      </c>
      <c r="AE24" s="6">
        <f>AA24+(100-AB24)</f>
        <v/>
      </c>
      <c r="AF24" s="2" t="inlineStr"/>
      <c r="AG24" s="2" t="inlineStr">
        <is>
          <t>D:\Shopify_Workspace\jeminise_seo\seo_runs\jeminise.com\20260906_234129\qa\20260908_183309\images\334_2_47934721818823.jpg; D:\Shopify_Workspace\jeminise_seo\seo_runs\jeminise.com\20260906_234129\qa\20260908_183309\visual_observations.json</t>
        </is>
      </c>
    </row>
    <row r="25" ht="66" customHeight="1">
      <c r="A25" s="3" t="inlineStr">
        <is>
          <t>20260908_183309</t>
        </is>
      </c>
      <c r="B25" s="3" t="inlineStr">
        <is>
          <t>qa_batch_034_r3</t>
        </is>
      </c>
      <c r="C25" s="3" t="inlineStr">
        <is>
          <t>r3</t>
        </is>
      </c>
      <c r="D25" s="3" t="inlineStr">
        <is>
          <t>jeminise.com+teal-yellow-softball-bedding-set-stylish-sports-bedroom-decor</t>
        </is>
      </c>
      <c r="E25" s="3" t="n">
        <v>334</v>
      </c>
      <c r="F25" s="3" t="inlineStr">
        <is>
          <t>teal-yellow-softball-bedding-set-stylish-sports-bedroom-decor</t>
        </is>
      </c>
      <c r="G25" s="3" t="inlineStr">
        <is>
          <t>jeminise.com+teal-yellow-softball-bedding-set-stylish-sports-bedroom-decor+47934721851591+GALLERY+3+b94e24a280aecb9f</t>
        </is>
      </c>
      <c r="H25" s="3" t="inlineStr">
        <is>
          <t>47934721851591</t>
        </is>
      </c>
      <c r="I25" s="3" t="inlineStr">
        <is>
          <t>GALLERY</t>
        </is>
      </c>
      <c r="J25" s="3" t="n">
        <v>3</v>
      </c>
      <c r="K25" s="4" t="inlineStr">
        <is>
          <t>https://cdn.shopify.com/s/files/1/0792/5098/1063/files/ded7a16d8854216045c42ef8e9f2315c8edbca9543a6e8f4f42d617ac2b7dee9.jpg?v=1787245038</t>
        </is>
      </c>
      <c r="L25" s="4" t="inlineStr">
        <is>
          <t>https://cdn.shopify.com/s/files/1/0792/5098/1063/files/ded7a16d8854216045c42ef8e9f2315c8edbca9543a6e8f4f42d617ac2b7dee9.jpg?v=1787245038</t>
        </is>
      </c>
      <c r="M25" s="3" t="inlineStr">
        <is>
          <t>D:\Shopify_Workspace\jeminise_seo\seo_runs\jeminise.com\20260906_234129\qa\20260908_183309\images\334_3_47934721851591.jpg</t>
        </is>
      </c>
      <c r="N25" s="3" t="b">
        <v>1</v>
      </c>
      <c r="O25" s="3" t="b">
        <v>1</v>
      </c>
      <c r="P25" s="3" t="b">
        <v>1</v>
      </c>
      <c r="Q25" s="3" t="b">
        <v>1</v>
      </c>
      <c r="R25" s="3" t="inlineStr">
        <is>
          <t>Pillowcase close view with red softball glove, yellow ball and number 11.</t>
        </is>
      </c>
      <c r="S25" s="3" t="inlineStr">
        <is>
          <t>pillowcase close-up with glove, softball and number 11</t>
        </is>
      </c>
      <c r="T25" s="3" t="inlineStr">
        <is>
          <t>SET</t>
        </is>
      </c>
      <c r="U25" s="3" t="inlineStr">
        <is>
          <t>Teal Yellow Softball Bedding Set – Stylish Sports Bedroom Decor Comforter for Girls &amp; Women, Perfect for Softball Fans, Available in Twin, Queen, King Sizes</t>
        </is>
      </c>
      <c r="V25" s="3" t="inlineStr">
        <is>
          <t>Pink glove softball comforter pillowcase view</t>
        </is>
      </c>
      <c r="W25" s="3" t="inlineStr">
        <is>
          <t>FULL</t>
        </is>
      </c>
      <c r="X25" s="3" t="inlineStr">
        <is>
          <t>FULL</t>
        </is>
      </c>
      <c r="Y25" s="3" t="inlineStr">
        <is>
          <t>FULL</t>
        </is>
      </c>
      <c r="Z25" s="3" t="inlineStr">
        <is>
          <t>FULL</t>
        </is>
      </c>
      <c r="AA25" s="8">
        <f>IF(W25="FULL",40,IF(W25="PARTIAL",40/2,0))+IF(X25="FULL",30,IF(X25="PARTIAL",30/2,0))+IF(Y25="FULL",20,IF(Y25="PARTIAL",20/2,0))+IF(Z25="FULL",10,IF(Z25="PARTIAL",10/2,0))</f>
        <v/>
      </c>
      <c r="AB25" s="8">
        <f>IF(W25="NOT_CHECKED",0,40)+IF(X25="NOT_CHECKED",0,30)+IF(Y25="NOT_CHECKED",0,20)+IF(Z25="NOT_CHECKED",0,10)</f>
        <v/>
      </c>
      <c r="AC25" s="8">
        <f>IF(AB25=100,AA25,"")</f>
        <v/>
      </c>
      <c r="AD25" s="8">
        <f>AA25</f>
        <v/>
      </c>
      <c r="AE25" s="8">
        <f>AA25+(100-AB25)</f>
        <v/>
      </c>
      <c r="AF25" s="3" t="inlineStr"/>
      <c r="AG25" s="3" t="inlineStr">
        <is>
          <t>D:\Shopify_Workspace\jeminise_seo\seo_runs\jeminise.com\20260906_234129\qa\20260908_183309\images\334_3_47934721851591.jpg; D:\Shopify_Workspace\jeminise_seo\seo_runs\jeminise.com\20260906_234129\qa\20260908_183309\visual_observations.json</t>
        </is>
      </c>
    </row>
    <row r="26" ht="66" customHeight="1">
      <c r="A26" s="2" t="inlineStr">
        <is>
          <t>20260908_183309</t>
        </is>
      </c>
      <c r="B26" s="2" t="inlineStr">
        <is>
          <t>qa_batch_034_r3</t>
        </is>
      </c>
      <c r="C26" s="2" t="inlineStr">
        <is>
          <t>r3</t>
        </is>
      </c>
      <c r="D26" s="2" t="inlineStr">
        <is>
          <t>jeminise.com+teal-yellow-softball-bedding-set-stylish-sports-bedroom-decor</t>
        </is>
      </c>
      <c r="E26" s="2" t="n">
        <v>334</v>
      </c>
      <c r="F26" s="2" t="inlineStr">
        <is>
          <t>teal-yellow-softball-bedding-set-stylish-sports-bedroom-decor</t>
        </is>
      </c>
      <c r="G26" s="2" t="inlineStr">
        <is>
          <t>jeminise.com+teal-yellow-softball-bedding-set-stylish-sports-bedroom-decor+47934721884359+GALLERY+4+f9d2555ce33c8a29</t>
        </is>
      </c>
      <c r="H26" s="2" t="inlineStr">
        <is>
          <t>47934721884359</t>
        </is>
      </c>
      <c r="I26" s="2" t="inlineStr">
        <is>
          <t>GALLERY</t>
        </is>
      </c>
      <c r="J26" s="2" t="n">
        <v>4</v>
      </c>
      <c r="K26" s="4" t="inlineStr">
        <is>
          <t>https://cdn.shopify.com/s/files/1/0792/5098/1063/files/517fc6cc9181b8c4428d2b4f40fc73b8495aff64ad01a5c33b5cbe7c6e898b40.jpg?v=1787245038</t>
        </is>
      </c>
      <c r="L26" s="4" t="inlineStr">
        <is>
          <t>https://cdn.shopify.com/s/files/1/0792/5098/1063/files/517fc6cc9181b8c4428d2b4f40fc73b8495aff64ad01a5c33b5cbe7c6e898b40.jpg?v=1787245038</t>
        </is>
      </c>
      <c r="M26" s="2" t="inlineStr">
        <is>
          <t>D:\Shopify_Workspace\jeminise_seo\seo_runs\jeminise.com\20260906_234129\qa\20260908_183309\images\334_4_47934721884359.jpg</t>
        </is>
      </c>
      <c r="N26" s="2" t="b">
        <v>1</v>
      </c>
      <c r="O26" s="2" t="b">
        <v>1</v>
      </c>
      <c r="P26" s="2" t="b">
        <v>1</v>
      </c>
      <c r="Q26" s="2" t="b">
        <v>1</v>
      </c>
      <c r="R26" s="2" t="inlineStr">
        <is>
          <t>Folded comforter mockup showing glove and yellow softball artwork with white backing.</t>
        </is>
      </c>
      <c r="S26" s="2" t="inlineStr">
        <is>
          <t>folded comforter showing glove/ball artwork and white backing</t>
        </is>
      </c>
      <c r="T26" s="2" t="inlineStr">
        <is>
          <t>SET</t>
        </is>
      </c>
      <c r="U26" s="2" t="inlineStr">
        <is>
          <t>Teal Yellow Softball Bedding Set – Stylish Sports Bedroom Decor Comforter for Girls &amp; Women, Perfect for Softball Fans, Available in Twin, Queen, King Sizes</t>
        </is>
      </c>
      <c r="V26" s="2" t="inlineStr">
        <is>
          <t>Pink glove softball comforter folded view</t>
        </is>
      </c>
      <c r="W26" s="2" t="inlineStr">
        <is>
          <t>FULL</t>
        </is>
      </c>
      <c r="X26" s="2" t="inlineStr">
        <is>
          <t>FULL</t>
        </is>
      </c>
      <c r="Y26" s="2" t="inlineStr">
        <is>
          <t>FULL</t>
        </is>
      </c>
      <c r="Z26" s="2" t="inlineStr">
        <is>
          <t>FULL</t>
        </is>
      </c>
      <c r="AA26" s="6">
        <f>IF(W26="FULL",40,IF(W26="PARTIAL",40/2,0))+IF(X26="FULL",30,IF(X26="PARTIAL",30/2,0))+IF(Y26="FULL",20,IF(Y26="PARTIAL",20/2,0))+IF(Z26="FULL",10,IF(Z26="PARTIAL",10/2,0))</f>
        <v/>
      </c>
      <c r="AB26" s="6">
        <f>IF(W26="NOT_CHECKED",0,40)+IF(X26="NOT_CHECKED",0,30)+IF(Y26="NOT_CHECKED",0,20)+IF(Z26="NOT_CHECKED",0,10)</f>
        <v/>
      </c>
      <c r="AC26" s="6">
        <f>IF(AB26=100,AA26,"")</f>
        <v/>
      </c>
      <c r="AD26" s="6">
        <f>AA26</f>
        <v/>
      </c>
      <c r="AE26" s="6">
        <f>AA26+(100-AB26)</f>
        <v/>
      </c>
      <c r="AF26" s="2" t="inlineStr"/>
      <c r="AG26" s="2" t="inlineStr">
        <is>
          <t>D:\Shopify_Workspace\jeminise_seo\seo_runs\jeminise.com\20260906_234129\qa\20260908_183309\images\334_4_47934721884359.jpg; D:\Shopify_Workspace\jeminise_seo\seo_runs\jeminise.com\20260906_234129\qa\20260908_183309\visual_observations.json</t>
        </is>
      </c>
    </row>
    <row r="27" ht="66" customHeight="1">
      <c r="A27" s="3" t="inlineStr">
        <is>
          <t>20260908_183309</t>
        </is>
      </c>
      <c r="B27" s="3" t="inlineStr">
        <is>
          <t>qa_batch_034_r3</t>
        </is>
      </c>
      <c r="C27" s="3" t="inlineStr">
        <is>
          <t>r3</t>
        </is>
      </c>
      <c r="D27" s="3" t="inlineStr">
        <is>
          <t>jeminise.com+teal-yellow-softball-bedding-set-stylish-sports-bedroom-decor</t>
        </is>
      </c>
      <c r="E27" s="3" t="n">
        <v>334</v>
      </c>
      <c r="F27" s="3" t="inlineStr">
        <is>
          <t>teal-yellow-softball-bedding-set-stylish-sports-bedroom-decor</t>
        </is>
      </c>
      <c r="G27" s="3" t="inlineStr">
        <is>
          <t>jeminise.com+teal-yellow-softball-bedding-set-stylish-sports-bedroom-decor+47934721917127+GALLERY+5+b88a9c45c65fcabc</t>
        </is>
      </c>
      <c r="H27" s="3" t="inlineStr">
        <is>
          <t>47934721917127</t>
        </is>
      </c>
      <c r="I27" s="3" t="inlineStr">
        <is>
          <t>GALLERY</t>
        </is>
      </c>
      <c r="J27" s="3" t="n">
        <v>5</v>
      </c>
      <c r="K27" s="4" t="inlineStr">
        <is>
          <t>https://cdn.shopify.com/s/files/1/0792/5098/1063/files/dd36ed3e788b7ed9d474b3e0773434d12de0da404bf870267a0eb6383474106b.jpg?v=1787245038</t>
        </is>
      </c>
      <c r="L27" s="4" t="inlineStr">
        <is>
          <t>https://cdn.shopify.com/s/files/1/0792/5098/1063/files/dd36ed3e788b7ed9d474b3e0773434d12de0da404bf870267a0eb6383474106b.jpg?v=1787245038</t>
        </is>
      </c>
      <c r="M27" s="3" t="inlineStr">
        <is>
          <t>D:\Shopify_Workspace\jeminise_seo\seo_runs\jeminise.com\20260906_234129\qa\20260908_183309\images\334_5_47934721917127.jpg</t>
        </is>
      </c>
      <c r="N27" s="3" t="b">
        <v>1</v>
      </c>
      <c r="O27" s="3" t="b">
        <v>1</v>
      </c>
      <c r="P27" s="3" t="b">
        <v>1</v>
      </c>
      <c r="Q27" s="3" t="b">
        <v>1</v>
      </c>
      <c r="R27" s="3" t="inlineStr">
        <is>
          <t>Close fabric view of red softball glove and script lettering under white backing.</t>
        </is>
      </c>
      <c r="S27" s="3" t="inlineStr">
        <is>
          <t>fabric close-up of red glove/script under white backing</t>
        </is>
      </c>
      <c r="T27" s="3" t="inlineStr">
        <is>
          <t>SET</t>
        </is>
      </c>
      <c r="U27" s="3" t="inlineStr">
        <is>
          <t>Teal Yellow Softball Bedding Set – Stylish Sports Bedroom Decor Comforter for Girls &amp; Women, Perfect for Softball Fans, Available in Twin, Queen, King Sizes</t>
        </is>
      </c>
      <c r="V27" s="3" t="inlineStr">
        <is>
          <t>Pink glove softball comforter fabric close-up</t>
        </is>
      </c>
      <c r="W27" s="3" t="inlineStr">
        <is>
          <t>FULL</t>
        </is>
      </c>
      <c r="X27" s="3" t="inlineStr">
        <is>
          <t>FULL</t>
        </is>
      </c>
      <c r="Y27" s="3" t="inlineStr">
        <is>
          <t>FULL</t>
        </is>
      </c>
      <c r="Z27" s="3" t="inlineStr">
        <is>
          <t>FULL</t>
        </is>
      </c>
      <c r="AA27" s="8">
        <f>IF(W27="FULL",40,IF(W27="PARTIAL",40/2,0))+IF(X27="FULL",30,IF(X27="PARTIAL",30/2,0))+IF(Y27="FULL",20,IF(Y27="PARTIAL",20/2,0))+IF(Z27="FULL",10,IF(Z27="PARTIAL",10/2,0))</f>
        <v/>
      </c>
      <c r="AB27" s="8">
        <f>IF(W27="NOT_CHECKED",0,40)+IF(X27="NOT_CHECKED",0,30)+IF(Y27="NOT_CHECKED",0,20)+IF(Z27="NOT_CHECKED",0,10)</f>
        <v/>
      </c>
      <c r="AC27" s="8">
        <f>IF(AB27=100,AA27,"")</f>
        <v/>
      </c>
      <c r="AD27" s="8">
        <f>AA27</f>
        <v/>
      </c>
      <c r="AE27" s="8">
        <f>AA27+(100-AB27)</f>
        <v/>
      </c>
      <c r="AF27" s="3" t="inlineStr"/>
      <c r="AG27" s="3" t="inlineStr">
        <is>
          <t>D:\Shopify_Workspace\jeminise_seo\seo_runs\jeminise.com\20260906_234129\qa\20260908_183309\images\334_5_47934721917127.jpg; D:\Shopify_Workspace\jeminise_seo\seo_runs\jeminise.com\20260906_234129\qa\20260908_183309\visual_observations.json</t>
        </is>
      </c>
    </row>
    <row r="28" ht="66" customHeight="1">
      <c r="A28" s="2" t="inlineStr">
        <is>
          <t>20260908_183309</t>
        </is>
      </c>
      <c r="B28" s="2" t="inlineStr">
        <is>
          <t>qa_batch_034_r3</t>
        </is>
      </c>
      <c r="C28" s="2" t="inlineStr">
        <is>
          <t>r3</t>
        </is>
      </c>
      <c r="D28" s="2" t="inlineStr">
        <is>
          <t>jeminise.com+teal-yellow-softball-bedding-set-stylish-sports-bedroom-decor</t>
        </is>
      </c>
      <c r="E28" s="2" t="n">
        <v>334</v>
      </c>
      <c r="F28" s="2" t="inlineStr">
        <is>
          <t>teal-yellow-softball-bedding-set-stylish-sports-bedroom-decor</t>
        </is>
      </c>
      <c r="G28" s="2" t="inlineStr">
        <is>
          <t>jeminise.com+teal-yellow-softball-bedding-set-stylish-sports-bedroom-decor+47934721949895+GALLERY+6+6bedb070e5659d6d</t>
        </is>
      </c>
      <c r="H28" s="2" t="inlineStr">
        <is>
          <t>47934721949895</t>
        </is>
      </c>
      <c r="I28" s="2" t="inlineStr">
        <is>
          <t>GALLERY</t>
        </is>
      </c>
      <c r="J28" s="2" t="n">
        <v>6</v>
      </c>
      <c r="K28" s="4" t="inlineStr">
        <is>
          <t>https://cdn.shopify.com/s/files/1/0792/5098/1063/files/b5c74b68d1b4eff2209b7123e3fbe61d1e31afd73aa5ba647e17c194e2e66c44.jpg?v=1787245038</t>
        </is>
      </c>
      <c r="L28" s="4" t="inlineStr">
        <is>
          <t>https://cdn.shopify.com/s/files/1/0792/5098/1063/files/b5c74b68d1b4eff2209b7123e3fbe61d1e31afd73aa5ba647e17c194e2e66c44.jpg?v=1787245038</t>
        </is>
      </c>
      <c r="M28" s="2" t="inlineStr">
        <is>
          <t>D:\Shopify_Workspace\jeminise_seo\seo_runs\jeminise.com\20260906_234129\qa\20260908_183309\images\334_6_47934721949895.jpg</t>
        </is>
      </c>
      <c r="N28" s="2" t="b">
        <v>1</v>
      </c>
      <c r="O28" s="2" t="b">
        <v>1</v>
      </c>
      <c r="P28" s="2" t="b">
        <v>1</v>
      </c>
      <c r="Q28" s="2" t="b">
        <v>1</v>
      </c>
      <c r="R28" s="2" t="inlineStr">
        <is>
          <t>Comforter feature panel with washable, soft filling and lightweight callouts.</t>
        </is>
      </c>
      <c r="S28" s="2" t="inlineStr">
        <is>
          <t>generic comforter feature/care panel</t>
        </is>
      </c>
      <c r="T28" s="2" t="inlineStr">
        <is>
          <t>SET</t>
        </is>
      </c>
      <c r="U28" s="2" t="inlineStr">
        <is>
          <t>Teal Yellow Softball Bedding Set – Stylish Sports Bedroom Decor Comforter for Girls &amp; Women, Perfect for Softball Fans, Available in Twin, Queen, King Sizes</t>
        </is>
      </c>
      <c r="V28" s="2" t="inlineStr">
        <is>
          <t>Pink glove softball comforter feature panel</t>
        </is>
      </c>
      <c r="W28" s="2" t="inlineStr">
        <is>
          <t>FULL</t>
        </is>
      </c>
      <c r="X28" s="2" t="inlineStr">
        <is>
          <t>FULL</t>
        </is>
      </c>
      <c r="Y28" s="2" t="inlineStr">
        <is>
          <t>FULL</t>
        </is>
      </c>
      <c r="Z28" s="2" t="inlineStr">
        <is>
          <t>FULL</t>
        </is>
      </c>
      <c r="AA28" s="6">
        <f>IF(W28="FULL",40,IF(W28="PARTIAL",40/2,0))+IF(X28="FULL",30,IF(X28="PARTIAL",30/2,0))+IF(Y28="FULL",20,IF(Y28="PARTIAL",20/2,0))+IF(Z28="FULL",10,IF(Z28="PARTIAL",10/2,0))</f>
        <v/>
      </c>
      <c r="AB28" s="6">
        <f>IF(W28="NOT_CHECKED",0,40)+IF(X28="NOT_CHECKED",0,30)+IF(Y28="NOT_CHECKED",0,20)+IF(Z28="NOT_CHECKED",0,10)</f>
        <v/>
      </c>
      <c r="AC28" s="6">
        <f>IF(AB28=100,AA28,"")</f>
        <v/>
      </c>
      <c r="AD28" s="6">
        <f>AA28</f>
        <v/>
      </c>
      <c r="AE28" s="6">
        <f>AA28+(100-AB28)</f>
        <v/>
      </c>
      <c r="AF28" s="2" t="inlineStr"/>
      <c r="AG28" s="2" t="inlineStr">
        <is>
          <t>D:\Shopify_Workspace\jeminise_seo\seo_runs\jeminise.com\20260906_234129\qa\20260908_183309\images\334_6_47934721949895.jpg; D:\Shopify_Workspace\jeminise_seo\seo_runs\jeminise.com\20260906_234129\qa\20260908_183309\visual_observations.json</t>
        </is>
      </c>
    </row>
    <row r="29" ht="66" customHeight="1">
      <c r="A29" s="3" t="inlineStr">
        <is>
          <t>20260908_183309</t>
        </is>
      </c>
      <c r="B29" s="3" t="inlineStr">
        <is>
          <t>qa_batch_034_r3</t>
        </is>
      </c>
      <c r="C29" s="3" t="inlineStr">
        <is>
          <t>r3</t>
        </is>
      </c>
      <c r="D29" s="3" t="inlineStr">
        <is>
          <t>jeminise.com+teal-yellow-softball-bedding-set-stylish-sports-bedroom-decor</t>
        </is>
      </c>
      <c r="E29" s="3" t="n">
        <v>334</v>
      </c>
      <c r="F29" s="3" t="inlineStr">
        <is>
          <t>teal-yellow-softball-bedding-set-stylish-sports-bedroom-decor</t>
        </is>
      </c>
      <c r="G29" s="3" t="inlineStr">
        <is>
          <t>jeminise.com+teal-yellow-softball-bedding-set-stylish-sports-bedroom-decor+47934721982663+GALLERY+7+15162bb499da8d66</t>
        </is>
      </c>
      <c r="H29" s="3" t="inlineStr">
        <is>
          <t>47934721982663</t>
        </is>
      </c>
      <c r="I29" s="3" t="inlineStr">
        <is>
          <t>GALLERY</t>
        </is>
      </c>
      <c r="J29" s="3" t="n">
        <v>7</v>
      </c>
      <c r="K29" s="4" t="inlineStr">
        <is>
          <t>https://cdn.shopify.com/s/files/1/0792/5098/1063/files/a0ebf0c8e5cb1f2c8f924529805ea1d20494460dd41a740514b8862f5d5a2f4f.jpg?v=1787245038</t>
        </is>
      </c>
      <c r="L29" s="4" t="inlineStr">
        <is>
          <t>https://cdn.shopify.com/s/files/1/0792/5098/1063/files/a0ebf0c8e5cb1f2c8f924529805ea1d20494460dd41a740514b8862f5d5a2f4f.jpg?v=1787245038</t>
        </is>
      </c>
      <c r="M29" s="3" t="inlineStr">
        <is>
          <t>D:\Shopify_Workspace\jeminise_seo\seo_runs\jeminise.com\20260906_234129\qa\20260908_183309\images\334_7_47934721982663.jpg</t>
        </is>
      </c>
      <c r="N29" s="3" t="b">
        <v>1</v>
      </c>
      <c r="O29" s="3" t="b">
        <v>1</v>
      </c>
      <c r="P29" s="3" t="b">
        <v>1</v>
      </c>
      <c r="Q29" s="3" t="b">
        <v>1</v>
      </c>
      <c r="R29" s="3" t="inlineStr">
        <is>
          <t>Set inclusion panel showing one comforter and two pillowcases.</t>
        </is>
      </c>
      <c r="S29" s="3" t="inlineStr">
        <is>
          <t>set panel states one comforter plus two pillowcases</t>
        </is>
      </c>
      <c r="T29" s="3" t="inlineStr">
        <is>
          <t>SET</t>
        </is>
      </c>
      <c r="U29" s="3" t="inlineStr">
        <is>
          <t>Teal Yellow Softball Bedding Set – Stylish Sports Bedroom Decor Comforter for Girls &amp; Women, Perfect for Softball Fans, Available in Twin, Queen, King Sizes</t>
        </is>
      </c>
      <c r="V29" s="3" t="inlineStr">
        <is>
          <t>Pink glove softball comforter set panel</t>
        </is>
      </c>
      <c r="W29" s="3" t="inlineStr">
        <is>
          <t>FULL</t>
        </is>
      </c>
      <c r="X29" s="3" t="inlineStr">
        <is>
          <t>FULL</t>
        </is>
      </c>
      <c r="Y29" s="3" t="inlineStr">
        <is>
          <t>FULL</t>
        </is>
      </c>
      <c r="Z29" s="3" t="inlineStr">
        <is>
          <t>FULL</t>
        </is>
      </c>
      <c r="AA29" s="8">
        <f>IF(W29="FULL",40,IF(W29="PARTIAL",40/2,0))+IF(X29="FULL",30,IF(X29="PARTIAL",30/2,0))+IF(Y29="FULL",20,IF(Y29="PARTIAL",20/2,0))+IF(Z29="FULL",10,IF(Z29="PARTIAL",10/2,0))</f>
        <v/>
      </c>
      <c r="AB29" s="8">
        <f>IF(W29="NOT_CHECKED",0,40)+IF(X29="NOT_CHECKED",0,30)+IF(Y29="NOT_CHECKED",0,20)+IF(Z29="NOT_CHECKED",0,10)</f>
        <v/>
      </c>
      <c r="AC29" s="8">
        <f>IF(AB29=100,AA29,"")</f>
        <v/>
      </c>
      <c r="AD29" s="8">
        <f>AA29</f>
        <v/>
      </c>
      <c r="AE29" s="8">
        <f>AA29+(100-AB29)</f>
        <v/>
      </c>
      <c r="AF29" s="3" t="inlineStr"/>
      <c r="AG29" s="3" t="inlineStr">
        <is>
          <t>D:\Shopify_Workspace\jeminise_seo\seo_runs\jeminise.com\20260906_234129\qa\20260908_183309\images\334_7_47934721982663.jpg; D:\Shopify_Workspace\jeminise_seo\seo_runs\jeminise.com\20260906_234129\qa\20260908_183309\visual_observations.json</t>
        </is>
      </c>
    </row>
    <row r="30" ht="66" customHeight="1">
      <c r="A30" s="2" t="inlineStr">
        <is>
          <t>20260908_183309</t>
        </is>
      </c>
      <c r="B30" s="2" t="inlineStr">
        <is>
          <t>qa_batch_034_r3</t>
        </is>
      </c>
      <c r="C30" s="2" t="inlineStr">
        <is>
          <t>r3</t>
        </is>
      </c>
      <c r="D30" s="2" t="inlineStr">
        <is>
          <t>jeminise.com+teal-yellow-softball-bedding-set-stylish-sports-bedroom-decor</t>
        </is>
      </c>
      <c r="E30" s="2" t="n">
        <v>334</v>
      </c>
      <c r="F30" s="2" t="inlineStr">
        <is>
          <t>teal-yellow-softball-bedding-set-stylish-sports-bedroom-decor</t>
        </is>
      </c>
      <c r="G30" s="2" t="inlineStr">
        <is>
          <t>jeminise.com+teal-yellow-softball-bedding-set-stylish-sports-bedroom-decor+47934737055943+GALLERY+8+46bae61de6cc4553</t>
        </is>
      </c>
      <c r="H30" s="2" t="inlineStr">
        <is>
          <t>47934737055943</t>
        </is>
      </c>
      <c r="I30" s="2" t="inlineStr">
        <is>
          <t>GALLERY</t>
        </is>
      </c>
      <c r="J30" s="2" t="n">
        <v>8</v>
      </c>
      <c r="K30" s="4" t="inlineStr">
        <is>
          <t>https://cdn.shopify.com/s/files/1/0792/5098/1063/files/26eb896c5342e73633f09030262d7cd53341b53471814d45f57c4a53cd757f36_21fd67c6-e566-4c0b-b897-98c4a3b67bf7.jpg?v=1787245121</t>
        </is>
      </c>
      <c r="L30" s="4" t="inlineStr">
        <is>
          <t>https://cdn.shopify.com/s/files/1/0792/5098/1063/files/26eb896c5342e73633f09030262d7cd53341b53471814d45f57c4a53cd757f36_21fd67c6-e566-4c0b-b897-98c4a3b67bf7.jpg?v=1787245121</t>
        </is>
      </c>
      <c r="M30" s="2" t="inlineStr">
        <is>
          <t>D:\Shopify_Workspace\jeminise_seo\seo_runs\jeminise.com\20260906_234129\qa\20260908_183309\images\334_8_47934737055943.jpg</t>
        </is>
      </c>
      <c r="N30" s="2" t="b">
        <v>1</v>
      </c>
      <c r="O30" s="2" t="b">
        <v>1</v>
      </c>
      <c r="P30" s="2" t="b">
        <v>1</v>
      </c>
      <c r="Q30" s="2" t="b">
        <v>1</v>
      </c>
      <c r="R30" s="2" t="inlineStr">
        <is>
          <t>Repeated front bed mockup of pink glove softball comforter with number 11 artwork.</t>
        </is>
      </c>
      <c r="S30" s="2" t="inlineStr">
        <is>
          <t>duplicate/repeated front bed mockup of pink glove softball comforter</t>
        </is>
      </c>
      <c r="T30" s="2" t="inlineStr">
        <is>
          <t>SET</t>
        </is>
      </c>
      <c r="U30" s="2" t="inlineStr">
        <is>
          <t>Teal Yellow Softball Bedding Set – Stylish Sports Bedroom Decor Comforter for Girls &amp; Women, Perfect for Softball Fans, Available in Twin, Queen, King Sizes</t>
        </is>
      </c>
      <c r="V30" s="2" t="inlineStr">
        <is>
          <t>Pink glove softball comforter repeated front view</t>
        </is>
      </c>
      <c r="W30" s="2" t="inlineStr">
        <is>
          <t>FULL</t>
        </is>
      </c>
      <c r="X30" s="2" t="inlineStr">
        <is>
          <t>FULL</t>
        </is>
      </c>
      <c r="Y30" s="2" t="inlineStr">
        <is>
          <t>FULL</t>
        </is>
      </c>
      <c r="Z30" s="2" t="inlineStr">
        <is>
          <t>FULL</t>
        </is>
      </c>
      <c r="AA30" s="6">
        <f>IF(W30="FULL",40,IF(W30="PARTIAL",40/2,0))+IF(X30="FULL",30,IF(X30="PARTIAL",30/2,0))+IF(Y30="FULL",20,IF(Y30="PARTIAL",20/2,0))+IF(Z30="FULL",10,IF(Z30="PARTIAL",10/2,0))</f>
        <v/>
      </c>
      <c r="AB30" s="6">
        <f>IF(W30="NOT_CHECKED",0,40)+IF(X30="NOT_CHECKED",0,30)+IF(Y30="NOT_CHECKED",0,20)+IF(Z30="NOT_CHECKED",0,10)</f>
        <v/>
      </c>
      <c r="AC30" s="6">
        <f>IF(AB30=100,AA30,"")</f>
        <v/>
      </c>
      <c r="AD30" s="6">
        <f>AA30</f>
        <v/>
      </c>
      <c r="AE30" s="6">
        <f>AA30+(100-AB30)</f>
        <v/>
      </c>
      <c r="AF30" s="2" t="inlineStr">
        <is>
          <t>ISS-034-334-IMG-DUPLICATE-GALLERY</t>
        </is>
      </c>
      <c r="AG30" s="2" t="inlineStr">
        <is>
          <t>D:\Shopify_Workspace\jeminise_seo\seo_runs\jeminise.com\20260906_234129\qa\20260908_183309\images\334_8_47934737055943.jpg; D:\Shopify_Workspace\jeminise_seo\seo_runs\jeminise.com\20260906_234129\qa\20260908_183309\visual_observations.json</t>
        </is>
      </c>
    </row>
    <row r="31" ht="66" customHeight="1">
      <c r="A31" s="3" t="inlineStr">
        <is>
          <t>20260908_183309</t>
        </is>
      </c>
      <c r="B31" s="3" t="inlineStr">
        <is>
          <t>qa_batch_034_r3</t>
        </is>
      </c>
      <c r="C31" s="3" t="inlineStr">
        <is>
          <t>r3</t>
        </is>
      </c>
      <c r="D31" s="3" t="inlineStr">
        <is>
          <t>jeminise.com+teal-yellow-softball-bedding-set-stylish-sports-bedroom-decor</t>
        </is>
      </c>
      <c r="E31" s="3" t="n">
        <v>334</v>
      </c>
      <c r="F31" s="3" t="inlineStr">
        <is>
          <t>teal-yellow-softball-bedding-set-stylish-sports-bedroom-decor</t>
        </is>
      </c>
      <c r="G31" s="3" t="inlineStr">
        <is>
          <t>jeminise.com+teal-yellow-softball-bedding-set-stylish-sports-bedroom-decor+47934737088711+GALLERY+9+b510880a39a20e88</t>
        </is>
      </c>
      <c r="H31" s="3" t="inlineStr">
        <is>
          <t>47934737088711</t>
        </is>
      </c>
      <c r="I31" s="3" t="inlineStr">
        <is>
          <t>GALLERY</t>
        </is>
      </c>
      <c r="J31" s="3" t="n">
        <v>9</v>
      </c>
      <c r="K31" s="4" t="inlineStr">
        <is>
          <t>https://cdn.shopify.com/s/files/1/0792/5098/1063/files/3994783df03039a2e8eef73a64e7b4a3c318bda1959ead110b1516247d42bc1d_a1c45a54-e83e-456d-a157-9c86e9de474d.jpg?v=1787245121</t>
        </is>
      </c>
      <c r="L31" s="4" t="inlineStr">
        <is>
          <t>https://cdn.shopify.com/s/files/1/0792/5098/1063/files/3994783df03039a2e8eef73a64e7b4a3c318bda1959ead110b1516247d42bc1d_a1c45a54-e83e-456d-a157-9c86e9de474d.jpg?v=1787245121</t>
        </is>
      </c>
      <c r="M31" s="3" t="inlineStr">
        <is>
          <t>D:\Shopify_Workspace\jeminise_seo\seo_runs\jeminise.com\20260906_234129\qa\20260908_183309\images\334_9_47934737088711.jpg</t>
        </is>
      </c>
      <c r="N31" s="3" t="b">
        <v>1</v>
      </c>
      <c r="O31" s="3" t="b">
        <v>1</v>
      </c>
      <c r="P31" s="3" t="b">
        <v>1</v>
      </c>
      <c r="Q31" s="3" t="b">
        <v>1</v>
      </c>
      <c r="R31" s="3" t="inlineStr">
        <is>
          <t>Repeated angled room mockup of pink glove softball comforter and matching pillows.</t>
        </is>
      </c>
      <c r="S31" s="3" t="inlineStr">
        <is>
          <t>duplicate/repeated angled room mockup</t>
        </is>
      </c>
      <c r="T31" s="3" t="inlineStr">
        <is>
          <t>SET</t>
        </is>
      </c>
      <c r="U31" s="3" t="inlineStr">
        <is>
          <t>Teal Yellow Softball Bedding Set – Stylish Sports Bedroom Decor Comforter for Girls &amp; Women, Perfect for Softball Fans, Available in Twin, Queen, King Sizes</t>
        </is>
      </c>
      <c r="V31" s="3" t="inlineStr">
        <is>
          <t>Pink glove softball comforter repeated angled view</t>
        </is>
      </c>
      <c r="W31" s="3" t="inlineStr">
        <is>
          <t>FULL</t>
        </is>
      </c>
      <c r="X31" s="3" t="inlineStr">
        <is>
          <t>FULL</t>
        </is>
      </c>
      <c r="Y31" s="3" t="inlineStr">
        <is>
          <t>FULL</t>
        </is>
      </c>
      <c r="Z31" s="3" t="inlineStr">
        <is>
          <t>FULL</t>
        </is>
      </c>
      <c r="AA31" s="8">
        <f>IF(W31="FULL",40,IF(W31="PARTIAL",40/2,0))+IF(X31="FULL",30,IF(X31="PARTIAL",30/2,0))+IF(Y31="FULL",20,IF(Y31="PARTIAL",20/2,0))+IF(Z31="FULL",10,IF(Z31="PARTIAL",10/2,0))</f>
        <v/>
      </c>
      <c r="AB31" s="8">
        <f>IF(W31="NOT_CHECKED",0,40)+IF(X31="NOT_CHECKED",0,30)+IF(Y31="NOT_CHECKED",0,20)+IF(Z31="NOT_CHECKED",0,10)</f>
        <v/>
      </c>
      <c r="AC31" s="8">
        <f>IF(AB31=100,AA31,"")</f>
        <v/>
      </c>
      <c r="AD31" s="8">
        <f>AA31</f>
        <v/>
      </c>
      <c r="AE31" s="8">
        <f>AA31+(100-AB31)</f>
        <v/>
      </c>
      <c r="AF31" s="3" t="inlineStr">
        <is>
          <t>ISS-034-334-IMG-DUPLICATE-GALLERY</t>
        </is>
      </c>
      <c r="AG31" s="3" t="inlineStr">
        <is>
          <t>D:\Shopify_Workspace\jeminise_seo\seo_runs\jeminise.com\20260906_234129\qa\20260908_183309\images\334_9_47934737088711.jpg; D:\Shopify_Workspace\jeminise_seo\seo_runs\jeminise.com\20260906_234129\qa\20260908_183309\visual_observations.json</t>
        </is>
      </c>
    </row>
    <row r="32" ht="66" customHeight="1">
      <c r="A32" s="2" t="inlineStr">
        <is>
          <t>20260908_183309</t>
        </is>
      </c>
      <c r="B32" s="2" t="inlineStr">
        <is>
          <t>qa_batch_034_r3</t>
        </is>
      </c>
      <c r="C32" s="2" t="inlineStr">
        <is>
          <t>r3</t>
        </is>
      </c>
      <c r="D32" s="2" t="inlineStr">
        <is>
          <t>jeminise.com+teal-yellow-softball-bedding-set-stylish-sports-bedroom-decor</t>
        </is>
      </c>
      <c r="E32" s="2" t="n">
        <v>334</v>
      </c>
      <c r="F32" s="2" t="inlineStr">
        <is>
          <t>teal-yellow-softball-bedding-set-stylish-sports-bedroom-decor</t>
        </is>
      </c>
      <c r="G32" s="2" t="inlineStr">
        <is>
          <t>jeminise.com+teal-yellow-softball-bedding-set-stylish-sports-bedroom-decor+47934737121479+GALLERY+10+778ba33e83e196c7</t>
        </is>
      </c>
      <c r="H32" s="2" t="inlineStr">
        <is>
          <t>47934737121479</t>
        </is>
      </c>
      <c r="I32" s="2" t="inlineStr">
        <is>
          <t>GALLERY</t>
        </is>
      </c>
      <c r="J32" s="2" t="n">
        <v>10</v>
      </c>
      <c r="K32" s="4" t="inlineStr">
        <is>
          <t>https://cdn.shopify.com/s/files/1/0792/5098/1063/files/ded7a16d8854216045c42ef8e9f2315c8edbca9543a6e8f4f42d617ac2b7dee9_abe60063-23a8-4aa9-a459-9ab5c3947370.jpg?v=1787245121</t>
        </is>
      </c>
      <c r="L32" s="4" t="inlineStr">
        <is>
          <t>https://cdn.shopify.com/s/files/1/0792/5098/1063/files/ded7a16d8854216045c42ef8e9f2315c8edbca9543a6e8f4f42d617ac2b7dee9_abe60063-23a8-4aa9-a459-9ab5c3947370.jpg?v=1787245121</t>
        </is>
      </c>
      <c r="M32" s="2" t="inlineStr">
        <is>
          <t>D:\Shopify_Workspace\jeminise_seo\seo_runs\jeminise.com\20260906_234129\qa\20260908_183309\images\334_10_47934737121479.jpg</t>
        </is>
      </c>
      <c r="N32" s="2" t="b">
        <v>1</v>
      </c>
      <c r="O32" s="2" t="b">
        <v>1</v>
      </c>
      <c r="P32" s="2" t="b">
        <v>1</v>
      </c>
      <c r="Q32" s="2" t="b">
        <v>1</v>
      </c>
      <c r="R32" s="2" t="inlineStr">
        <is>
          <t>Repeated pillowcase close view with glove, softball and number 11.</t>
        </is>
      </c>
      <c r="S32" s="2" t="inlineStr">
        <is>
          <t>duplicate/repeated pillowcase close-up</t>
        </is>
      </c>
      <c r="T32" s="2" t="inlineStr">
        <is>
          <t>SET</t>
        </is>
      </c>
      <c r="U32" s="2" t="inlineStr">
        <is>
          <t>Teal Yellow Softball Bedding Set – Stylish Sports Bedroom Decor Comforter for Girls &amp; Women, Perfect for Softball Fans, Available in Twin, Queen, King Sizes</t>
        </is>
      </c>
      <c r="V32" s="2" t="inlineStr">
        <is>
          <t>Pink glove softball comforter repeated pillowcase view</t>
        </is>
      </c>
      <c r="W32" s="2" t="inlineStr">
        <is>
          <t>FULL</t>
        </is>
      </c>
      <c r="X32" s="2" t="inlineStr">
        <is>
          <t>FULL</t>
        </is>
      </c>
      <c r="Y32" s="2" t="inlineStr">
        <is>
          <t>FULL</t>
        </is>
      </c>
      <c r="Z32" s="2" t="inlineStr">
        <is>
          <t>FULL</t>
        </is>
      </c>
      <c r="AA32" s="6">
        <f>IF(W32="FULL",40,IF(W32="PARTIAL",40/2,0))+IF(X32="FULL",30,IF(X32="PARTIAL",30/2,0))+IF(Y32="FULL",20,IF(Y32="PARTIAL",20/2,0))+IF(Z32="FULL",10,IF(Z32="PARTIAL",10/2,0))</f>
        <v/>
      </c>
      <c r="AB32" s="6">
        <f>IF(W32="NOT_CHECKED",0,40)+IF(X32="NOT_CHECKED",0,30)+IF(Y32="NOT_CHECKED",0,20)+IF(Z32="NOT_CHECKED",0,10)</f>
        <v/>
      </c>
      <c r="AC32" s="6">
        <f>IF(AB32=100,AA32,"")</f>
        <v/>
      </c>
      <c r="AD32" s="6">
        <f>AA32</f>
        <v/>
      </c>
      <c r="AE32" s="6">
        <f>AA32+(100-AB32)</f>
        <v/>
      </c>
      <c r="AF32" s="2" t="inlineStr">
        <is>
          <t>ISS-034-334-IMG-DUPLICATE-GALLERY</t>
        </is>
      </c>
      <c r="AG32" s="2" t="inlineStr">
        <is>
          <t>D:\Shopify_Workspace\jeminise_seo\seo_runs\jeminise.com\20260906_234129\qa\20260908_183309\images\334_10_47934737121479.jpg; D:\Shopify_Workspace\jeminise_seo\seo_runs\jeminise.com\20260906_234129\qa\20260908_183309\visual_observations.json</t>
        </is>
      </c>
    </row>
    <row r="33" ht="66" customHeight="1">
      <c r="A33" s="3" t="inlineStr">
        <is>
          <t>20260908_183309</t>
        </is>
      </c>
      <c r="B33" s="3" t="inlineStr">
        <is>
          <t>qa_batch_034_r3</t>
        </is>
      </c>
      <c r="C33" s="3" t="inlineStr">
        <is>
          <t>r3</t>
        </is>
      </c>
      <c r="D33" s="3" t="inlineStr">
        <is>
          <t>jeminise.com+teal-yellow-softball-bedding-set-stylish-sports-bedroom-decor</t>
        </is>
      </c>
      <c r="E33" s="3" t="n">
        <v>334</v>
      </c>
      <c r="F33" s="3" t="inlineStr">
        <is>
          <t>teal-yellow-softball-bedding-set-stylish-sports-bedroom-decor</t>
        </is>
      </c>
      <c r="G33" s="3" t="inlineStr">
        <is>
          <t>jeminise.com+teal-yellow-softball-bedding-set-stylish-sports-bedroom-decor+47934737154247+GALLERY+11+aa2bde1a6772fb0e</t>
        </is>
      </c>
      <c r="H33" s="3" t="inlineStr">
        <is>
          <t>47934737154247</t>
        </is>
      </c>
      <c r="I33" s="3" t="inlineStr">
        <is>
          <t>GALLERY</t>
        </is>
      </c>
      <c r="J33" s="3" t="n">
        <v>11</v>
      </c>
      <c r="K33" s="4" t="inlineStr">
        <is>
          <t>https://cdn.shopify.com/s/files/1/0792/5098/1063/files/517fc6cc9181b8c4428d2b4f40fc73b8495aff64ad01a5c33b5cbe7c6e898b40_d80c129b-559b-45ce-819f-25506cd2aa15.jpg?v=1787245121</t>
        </is>
      </c>
      <c r="L33" s="4" t="inlineStr">
        <is>
          <t>https://cdn.shopify.com/s/files/1/0792/5098/1063/files/517fc6cc9181b8c4428d2b4f40fc73b8495aff64ad01a5c33b5cbe7c6e898b40_d80c129b-559b-45ce-819f-25506cd2aa15.jpg?v=1787245121</t>
        </is>
      </c>
      <c r="M33" s="3" t="inlineStr">
        <is>
          <t>D:\Shopify_Workspace\jeminise_seo\seo_runs\jeminise.com\20260906_234129\qa\20260908_183309\images\334_11_47934737154247.jpg</t>
        </is>
      </c>
      <c r="N33" s="3" t="b">
        <v>1</v>
      </c>
      <c r="O33" s="3" t="b">
        <v>1</v>
      </c>
      <c r="P33" s="3" t="b">
        <v>1</v>
      </c>
      <c r="Q33" s="3" t="b">
        <v>1</v>
      </c>
      <c r="R33" s="3" t="inlineStr">
        <is>
          <t>Repeated folded comforter mockup showing pink glove softball print and white backing.</t>
        </is>
      </c>
      <c r="S33" s="3" t="inlineStr">
        <is>
          <t>duplicate/repeated folded comforter mockup</t>
        </is>
      </c>
      <c r="T33" s="3" t="inlineStr">
        <is>
          <t>SET</t>
        </is>
      </c>
      <c r="U33" s="3" t="inlineStr">
        <is>
          <t>Teal Yellow Softball Bedding Set – Stylish Sports Bedroom Decor Comforter for Girls &amp; Women, Perfect for Softball Fans, Available in Twin, Queen, King Sizes</t>
        </is>
      </c>
      <c r="V33" s="3" t="inlineStr">
        <is>
          <t>Pink glove softball comforter repeated folded view</t>
        </is>
      </c>
      <c r="W33" s="3" t="inlineStr">
        <is>
          <t>FULL</t>
        </is>
      </c>
      <c r="X33" s="3" t="inlineStr">
        <is>
          <t>FULL</t>
        </is>
      </c>
      <c r="Y33" s="3" t="inlineStr">
        <is>
          <t>FULL</t>
        </is>
      </c>
      <c r="Z33" s="3" t="inlineStr">
        <is>
          <t>FULL</t>
        </is>
      </c>
      <c r="AA33" s="8">
        <f>IF(W33="FULL",40,IF(W33="PARTIAL",40/2,0))+IF(X33="FULL",30,IF(X33="PARTIAL",30/2,0))+IF(Y33="FULL",20,IF(Y33="PARTIAL",20/2,0))+IF(Z33="FULL",10,IF(Z33="PARTIAL",10/2,0))</f>
        <v/>
      </c>
      <c r="AB33" s="8">
        <f>IF(W33="NOT_CHECKED",0,40)+IF(X33="NOT_CHECKED",0,30)+IF(Y33="NOT_CHECKED",0,20)+IF(Z33="NOT_CHECKED",0,10)</f>
        <v/>
      </c>
      <c r="AC33" s="8">
        <f>IF(AB33=100,AA33,"")</f>
        <v/>
      </c>
      <c r="AD33" s="8">
        <f>AA33</f>
        <v/>
      </c>
      <c r="AE33" s="8">
        <f>AA33+(100-AB33)</f>
        <v/>
      </c>
      <c r="AF33" s="3" t="inlineStr">
        <is>
          <t>ISS-034-334-IMG-DUPLICATE-GALLERY</t>
        </is>
      </c>
      <c r="AG33" s="3" t="inlineStr">
        <is>
          <t>D:\Shopify_Workspace\jeminise_seo\seo_runs\jeminise.com\20260906_234129\qa\20260908_183309\images\334_11_47934737154247.jpg; D:\Shopify_Workspace\jeminise_seo\seo_runs\jeminise.com\20260906_234129\qa\20260908_183309\visual_observations.json</t>
        </is>
      </c>
    </row>
    <row r="34" ht="66" customHeight="1">
      <c r="A34" s="2" t="inlineStr">
        <is>
          <t>20260908_183309</t>
        </is>
      </c>
      <c r="B34" s="2" t="inlineStr">
        <is>
          <t>qa_batch_034_r3</t>
        </is>
      </c>
      <c r="C34" s="2" t="inlineStr">
        <is>
          <t>r3</t>
        </is>
      </c>
      <c r="D34" s="2" t="inlineStr">
        <is>
          <t>jeminise.com+teal-yellow-softball-bedding-set-stylish-sports-bedroom-decor</t>
        </is>
      </c>
      <c r="E34" s="2" t="n">
        <v>334</v>
      </c>
      <c r="F34" s="2" t="inlineStr">
        <is>
          <t>teal-yellow-softball-bedding-set-stylish-sports-bedroom-decor</t>
        </is>
      </c>
      <c r="G34" s="2" t="inlineStr">
        <is>
          <t>jeminise.com+teal-yellow-softball-bedding-set-stylish-sports-bedroom-decor+47934737187015+GALLERY+12+3f2489a9da15d697</t>
        </is>
      </c>
      <c r="H34" s="2" t="inlineStr">
        <is>
          <t>47934737187015</t>
        </is>
      </c>
      <c r="I34" s="2" t="inlineStr">
        <is>
          <t>GALLERY</t>
        </is>
      </c>
      <c r="J34" s="2" t="n">
        <v>12</v>
      </c>
      <c r="K34" s="4" t="inlineStr">
        <is>
          <t>https://cdn.shopify.com/s/files/1/0792/5098/1063/files/dd36ed3e788b7ed9d474b3e0773434d12de0da404bf870267a0eb6383474106b_bb4ba956-5937-4aa7-a673-00f3cc88131e.jpg?v=1787245121</t>
        </is>
      </c>
      <c r="L34" s="4" t="inlineStr">
        <is>
          <t>https://cdn.shopify.com/s/files/1/0792/5098/1063/files/dd36ed3e788b7ed9d474b3e0773434d12de0da404bf870267a0eb6383474106b_bb4ba956-5937-4aa7-a673-00f3cc88131e.jpg?v=1787245121</t>
        </is>
      </c>
      <c r="M34" s="2" t="inlineStr">
        <is>
          <t>D:\Shopify_Workspace\jeminise_seo\seo_runs\jeminise.com\20260906_234129\qa\20260908_183309\images\334_12_47934737187015.jpg</t>
        </is>
      </c>
      <c r="N34" s="2" t="b">
        <v>1</v>
      </c>
      <c r="O34" s="2" t="b">
        <v>1</v>
      </c>
      <c r="P34" s="2" t="b">
        <v>1</v>
      </c>
      <c r="Q34" s="2" t="b">
        <v>1</v>
      </c>
      <c r="R34" s="2" t="inlineStr">
        <is>
          <t>Repeated close fabric view of red glove and script lettering under white backing.</t>
        </is>
      </c>
      <c r="S34" s="2" t="inlineStr">
        <is>
          <t>duplicate/repeated fabric close-up</t>
        </is>
      </c>
      <c r="T34" s="2" t="inlineStr">
        <is>
          <t>SET</t>
        </is>
      </c>
      <c r="U34" s="2" t="inlineStr">
        <is>
          <t>Teal Yellow Softball Bedding Set – Stylish Sports Bedroom Decor Comforter for Girls &amp; Women, Perfect for Softball Fans, Available in Twin, Queen, King Sizes</t>
        </is>
      </c>
      <c r="V34" s="2" t="inlineStr">
        <is>
          <t>Pink glove softball comforter repeated fabric close-up</t>
        </is>
      </c>
      <c r="W34" s="2" t="inlineStr">
        <is>
          <t>FULL</t>
        </is>
      </c>
      <c r="X34" s="2" t="inlineStr">
        <is>
          <t>FULL</t>
        </is>
      </c>
      <c r="Y34" s="2" t="inlineStr">
        <is>
          <t>FULL</t>
        </is>
      </c>
      <c r="Z34" s="2" t="inlineStr">
        <is>
          <t>FULL</t>
        </is>
      </c>
      <c r="AA34" s="6">
        <f>IF(W34="FULL",40,IF(W34="PARTIAL",40/2,0))+IF(X34="FULL",30,IF(X34="PARTIAL",30/2,0))+IF(Y34="FULL",20,IF(Y34="PARTIAL",20/2,0))+IF(Z34="FULL",10,IF(Z34="PARTIAL",10/2,0))</f>
        <v/>
      </c>
      <c r="AB34" s="6">
        <f>IF(W34="NOT_CHECKED",0,40)+IF(X34="NOT_CHECKED",0,30)+IF(Y34="NOT_CHECKED",0,20)+IF(Z34="NOT_CHECKED",0,10)</f>
        <v/>
      </c>
      <c r="AC34" s="6">
        <f>IF(AB34=100,AA34,"")</f>
        <v/>
      </c>
      <c r="AD34" s="6">
        <f>AA34</f>
        <v/>
      </c>
      <c r="AE34" s="6">
        <f>AA34+(100-AB34)</f>
        <v/>
      </c>
      <c r="AF34" s="2" t="inlineStr">
        <is>
          <t>ISS-034-334-IMG-DUPLICATE-GALLERY</t>
        </is>
      </c>
      <c r="AG34" s="2" t="inlineStr">
        <is>
          <t>D:\Shopify_Workspace\jeminise_seo\seo_runs\jeminise.com\20260906_234129\qa\20260908_183309\images\334_12_47934737187015.jpg; D:\Shopify_Workspace\jeminise_seo\seo_runs\jeminise.com\20260906_234129\qa\20260908_183309\visual_observations.json</t>
        </is>
      </c>
    </row>
    <row r="35" ht="66" customHeight="1">
      <c r="A35" s="3" t="inlineStr">
        <is>
          <t>20260908_183309</t>
        </is>
      </c>
      <c r="B35" s="3" t="inlineStr">
        <is>
          <t>qa_batch_034_r3</t>
        </is>
      </c>
      <c r="C35" s="3" t="inlineStr">
        <is>
          <t>r3</t>
        </is>
      </c>
      <c r="D35" s="3" t="inlineStr">
        <is>
          <t>jeminise.com+teal-yellow-softball-bedding-set-stylish-sports-bedroom-decor</t>
        </is>
      </c>
      <c r="E35" s="3" t="n">
        <v>334</v>
      </c>
      <c r="F35" s="3" t="inlineStr">
        <is>
          <t>teal-yellow-softball-bedding-set-stylish-sports-bedroom-decor</t>
        </is>
      </c>
      <c r="G35" s="3" t="inlineStr">
        <is>
          <t>jeminise.com+teal-yellow-softball-bedding-set-stylish-sports-bedroom-decor+47934737219783+GALLERY+13+d4a50891a39dc650</t>
        </is>
      </c>
      <c r="H35" s="3" t="inlineStr">
        <is>
          <t>47934737219783</t>
        </is>
      </c>
      <c r="I35" s="3" t="inlineStr">
        <is>
          <t>GALLERY</t>
        </is>
      </c>
      <c r="J35" s="3" t="n">
        <v>13</v>
      </c>
      <c r="K35" s="4" t="inlineStr">
        <is>
          <t>https://cdn.shopify.com/s/files/1/0792/5098/1063/files/b5c74b68d1b4eff2209b7123e3fbe61d1e31afd73aa5ba647e17c194e2e66c44_a1cda676-2e7d-46cb-9f0d-d17966f3ac62.jpg?v=1787245121</t>
        </is>
      </c>
      <c r="L35" s="4" t="inlineStr">
        <is>
          <t>https://cdn.shopify.com/s/files/1/0792/5098/1063/files/b5c74b68d1b4eff2209b7123e3fbe61d1e31afd73aa5ba647e17c194e2e66c44_a1cda676-2e7d-46cb-9f0d-d17966f3ac62.jpg?v=1787245121</t>
        </is>
      </c>
      <c r="M35" s="3" t="inlineStr">
        <is>
          <t>D:\Shopify_Workspace\jeminise_seo\seo_runs\jeminise.com\20260906_234129\qa\20260908_183309\images\334_13_47934737219783.jpg</t>
        </is>
      </c>
      <c r="N35" s="3" t="b">
        <v>1</v>
      </c>
      <c r="O35" s="3" t="b">
        <v>1</v>
      </c>
      <c r="P35" s="3" t="b">
        <v>1</v>
      </c>
      <c r="Q35" s="3" t="b">
        <v>1</v>
      </c>
      <c r="R35" s="3" t="inlineStr">
        <is>
          <t>Repeated feature panel with washable, soft filling and lightweight callouts.</t>
        </is>
      </c>
      <c r="S35" s="3" t="inlineStr">
        <is>
          <t>duplicate/repeated feature panel</t>
        </is>
      </c>
      <c r="T35" s="3" t="inlineStr">
        <is>
          <t>SET</t>
        </is>
      </c>
      <c r="U35" s="3" t="inlineStr">
        <is>
          <t>Teal Yellow Softball Bedding Set – Stylish Sports Bedroom Decor Comforter for Girls &amp; Women, Perfect for Softball Fans, Available in Twin, Queen, King Sizes</t>
        </is>
      </c>
      <c r="V35" s="3" t="inlineStr">
        <is>
          <t>Pink glove softball comforter repeated feature panel</t>
        </is>
      </c>
      <c r="W35" s="3" t="inlineStr">
        <is>
          <t>FULL</t>
        </is>
      </c>
      <c r="X35" s="3" t="inlineStr">
        <is>
          <t>FULL</t>
        </is>
      </c>
      <c r="Y35" s="3" t="inlineStr">
        <is>
          <t>FULL</t>
        </is>
      </c>
      <c r="Z35" s="3" t="inlineStr">
        <is>
          <t>FULL</t>
        </is>
      </c>
      <c r="AA35" s="8">
        <f>IF(W35="FULL",40,IF(W35="PARTIAL",40/2,0))+IF(X35="FULL",30,IF(X35="PARTIAL",30/2,0))+IF(Y35="FULL",20,IF(Y35="PARTIAL",20/2,0))+IF(Z35="FULL",10,IF(Z35="PARTIAL",10/2,0))</f>
        <v/>
      </c>
      <c r="AB35" s="8">
        <f>IF(W35="NOT_CHECKED",0,40)+IF(X35="NOT_CHECKED",0,30)+IF(Y35="NOT_CHECKED",0,20)+IF(Z35="NOT_CHECKED",0,10)</f>
        <v/>
      </c>
      <c r="AC35" s="8">
        <f>IF(AB35=100,AA35,"")</f>
        <v/>
      </c>
      <c r="AD35" s="8">
        <f>AA35</f>
        <v/>
      </c>
      <c r="AE35" s="8">
        <f>AA35+(100-AB35)</f>
        <v/>
      </c>
      <c r="AF35" s="3" t="inlineStr">
        <is>
          <t>ISS-034-334-IMG-DUPLICATE-GALLERY</t>
        </is>
      </c>
      <c r="AG35" s="3" t="inlineStr">
        <is>
          <t>D:\Shopify_Workspace\jeminise_seo\seo_runs\jeminise.com\20260906_234129\qa\20260908_183309\images\334_13_47934737219783.jpg; D:\Shopify_Workspace\jeminise_seo\seo_runs\jeminise.com\20260906_234129\qa\20260908_183309\visual_observations.json</t>
        </is>
      </c>
    </row>
    <row r="36" ht="66" customHeight="1">
      <c r="A36" s="2" t="inlineStr">
        <is>
          <t>20260908_183309</t>
        </is>
      </c>
      <c r="B36" s="2" t="inlineStr">
        <is>
          <t>qa_batch_034_r3</t>
        </is>
      </c>
      <c r="C36" s="2" t="inlineStr">
        <is>
          <t>r3</t>
        </is>
      </c>
      <c r="D36" s="2" t="inlineStr">
        <is>
          <t>jeminise.com+teal-yellow-softball-bedding-set-stylish-sports-bedroom-decor</t>
        </is>
      </c>
      <c r="E36" s="2" t="n">
        <v>334</v>
      </c>
      <c r="F36" s="2" t="inlineStr">
        <is>
          <t>teal-yellow-softball-bedding-set-stylish-sports-bedroom-decor</t>
        </is>
      </c>
      <c r="G36" s="2" t="inlineStr">
        <is>
          <t>jeminise.com+teal-yellow-softball-bedding-set-stylish-sports-bedroom-decor+47934737252551+GALLERY+14+84a7fc76fbfd8bb9</t>
        </is>
      </c>
      <c r="H36" s="2" t="inlineStr">
        <is>
          <t>47934737252551</t>
        </is>
      </c>
      <c r="I36" s="2" t="inlineStr">
        <is>
          <t>GALLERY</t>
        </is>
      </c>
      <c r="J36" s="2" t="n">
        <v>14</v>
      </c>
      <c r="K36" s="4" t="inlineStr">
        <is>
          <t>https://cdn.shopify.com/s/files/1/0792/5098/1063/files/a0ebf0c8e5cb1f2c8f924529805ea1d20494460dd41a740514b8862f5d5a2f4f_7e4ffdb8-3745-4fb5-8f91-dc68d062e2c5.jpg?v=1787245121</t>
        </is>
      </c>
      <c r="L36" s="4" t="inlineStr">
        <is>
          <t>https://cdn.shopify.com/s/files/1/0792/5098/1063/files/a0ebf0c8e5cb1f2c8f924529805ea1d20494460dd41a740514b8862f5d5a2f4f_7e4ffdb8-3745-4fb5-8f91-dc68d062e2c5.jpg?v=1787245121</t>
        </is>
      </c>
      <c r="M36" s="2" t="inlineStr">
        <is>
          <t>D:\Shopify_Workspace\jeminise_seo\seo_runs\jeminise.com\20260906_234129\qa\20260908_183309\images\334_14_47934737252551.jpg</t>
        </is>
      </c>
      <c r="N36" s="2" t="b">
        <v>1</v>
      </c>
      <c r="O36" s="2" t="b">
        <v>1</v>
      </c>
      <c r="P36" s="2" t="b">
        <v>1</v>
      </c>
      <c r="Q36" s="2" t="b">
        <v>1</v>
      </c>
      <c r="R36" s="2" t="inlineStr">
        <is>
          <t>Repeated set inclusion panel showing one comforter and two pillowcases.</t>
        </is>
      </c>
      <c r="S36" s="2" t="inlineStr">
        <is>
          <t>duplicate/repeated set panel</t>
        </is>
      </c>
      <c r="T36" s="2" t="inlineStr">
        <is>
          <t>SET</t>
        </is>
      </c>
      <c r="U36" s="2" t="inlineStr">
        <is>
          <t>Teal Yellow Softball Bedding Set – Stylish Sports Bedroom Decor Comforter for Girls &amp; Women, Perfect for Softball Fans, Available in Twin, Queen, King Sizes</t>
        </is>
      </c>
      <c r="V36" s="2" t="inlineStr">
        <is>
          <t>Pink glove softball comforter repeated set panel</t>
        </is>
      </c>
      <c r="W36" s="2" t="inlineStr">
        <is>
          <t>FULL</t>
        </is>
      </c>
      <c r="X36" s="2" t="inlineStr">
        <is>
          <t>FULL</t>
        </is>
      </c>
      <c r="Y36" s="2" t="inlineStr">
        <is>
          <t>FULL</t>
        </is>
      </c>
      <c r="Z36" s="2" t="inlineStr">
        <is>
          <t>FULL</t>
        </is>
      </c>
      <c r="AA36" s="6">
        <f>IF(W36="FULL",40,IF(W36="PARTIAL",40/2,0))+IF(X36="FULL",30,IF(X36="PARTIAL",30/2,0))+IF(Y36="FULL",20,IF(Y36="PARTIAL",20/2,0))+IF(Z36="FULL",10,IF(Z36="PARTIAL",10/2,0))</f>
        <v/>
      </c>
      <c r="AB36" s="6">
        <f>IF(W36="NOT_CHECKED",0,40)+IF(X36="NOT_CHECKED",0,30)+IF(Y36="NOT_CHECKED",0,20)+IF(Z36="NOT_CHECKED",0,10)</f>
        <v/>
      </c>
      <c r="AC36" s="6">
        <f>IF(AB36=100,AA36,"")</f>
        <v/>
      </c>
      <c r="AD36" s="6">
        <f>AA36</f>
        <v/>
      </c>
      <c r="AE36" s="6">
        <f>AA36+(100-AB36)</f>
        <v/>
      </c>
      <c r="AF36" s="2" t="inlineStr">
        <is>
          <t>ISS-034-334-IMG-DUPLICATE-GALLERY</t>
        </is>
      </c>
      <c r="AG36" s="2" t="inlineStr">
        <is>
          <t>D:\Shopify_Workspace\jeminise_seo\seo_runs\jeminise.com\20260906_234129\qa\20260908_183309\images\334_14_47934737252551.jpg; D:\Shopify_Workspace\jeminise_seo\seo_runs\jeminise.com\20260906_234129\qa\20260908_183309\visual_observations.json</t>
        </is>
      </c>
    </row>
    <row r="37" ht="66" customHeight="1">
      <c r="A37" s="3" t="inlineStr">
        <is>
          <t>20260908_183309</t>
        </is>
      </c>
      <c r="B37" s="3" t="inlineStr">
        <is>
          <t>qa_batch_034_r3</t>
        </is>
      </c>
      <c r="C37" s="3" t="inlineStr">
        <is>
          <t>r3</t>
        </is>
      </c>
      <c r="D37" s="3" t="inlineStr">
        <is>
          <t>jeminise.com+tree-of-life-with-celtic-knot-roots-quilt-set-and-celtic-knot-borders-9482d2b2f5-9482d2b2f5</t>
        </is>
      </c>
      <c r="E37" s="3" t="n">
        <v>335</v>
      </c>
      <c r="F37" s="3" t="inlineStr">
        <is>
          <t>tree-of-life-with-celtic-knot-roots-quilt-set-and-celtic-knot-borders-9482d2b2f5-9482d2b2f5</t>
        </is>
      </c>
      <c r="G37" s="3" t="inlineStr">
        <is>
          <t>jeminise.com+tree-of-life-with-celtic-knot-roots-quilt-set-and-celtic-knot-borders-9482d2b2f5-9482d2b2f5+47532062605511+GALLERY+1+147e4db801f993f1</t>
        </is>
      </c>
      <c r="H37" s="3" t="inlineStr">
        <is>
          <t>47532062605511</t>
        </is>
      </c>
      <c r="I37" s="3" t="inlineStr">
        <is>
          <t>GALLERY</t>
        </is>
      </c>
      <c r="J37" s="3" t="n">
        <v>1</v>
      </c>
      <c r="K37" s="4" t="inlineStr">
        <is>
          <t>https://cdn.shopify.com/s/files/1/0792/5098/1063/files/8bbc0950c2d593b255188b6eacb4c385b219460979b744e3ace1aded1dd8fdf2.jpg?v=1785047992</t>
        </is>
      </c>
      <c r="L37" s="4" t="inlineStr">
        <is>
          <t>https://cdn.shopify.com/s/files/1/0792/5098/1063/files/8bbc0950c2d593b255188b6eacb4c385b219460979b744e3ace1aded1dd8fdf2.jpg?v=1785047992</t>
        </is>
      </c>
      <c r="M37" s="3" t="inlineStr">
        <is>
          <t>D:\Shopify_Workspace\jeminise_seo\seo_runs\jeminise.com\20260906_234129\qa\20260908_183309\images\335_1_47532062605511.jpg</t>
        </is>
      </c>
      <c r="N37" s="3" t="b">
        <v>1</v>
      </c>
      <c r="O37" s="3" t="b">
        <v>1</v>
      </c>
      <c r="P37" s="3" t="b">
        <v>1</v>
      </c>
      <c r="Q37" s="3" t="b">
        <v>1</v>
      </c>
      <c r="R37" s="3" t="inlineStr">
        <is>
          <t>Bed mockup of Celtic Tree of Life quilt with exposed knot roots and earth tone border.</t>
        </is>
      </c>
      <c r="S37" s="3" t="inlineStr">
        <is>
          <t>bed mockup of green Celtic Tree of Life with exposed knot roots and earth-tone knot border</t>
        </is>
      </c>
      <c r="T37" s="3" t="inlineStr">
        <is>
          <t>SET</t>
        </is>
      </c>
      <c r="U37" s="3" t="inlineStr">
        <is>
          <t>Tree of Life with Celtic Knot Roots Quilt Set And Celtic Knot Borders</t>
        </is>
      </c>
      <c r="V37" s="3" t="inlineStr">
        <is>
          <t>Celtic Tree of Life quilt bed view</t>
        </is>
      </c>
      <c r="W37" s="3" t="inlineStr">
        <is>
          <t>FULL</t>
        </is>
      </c>
      <c r="X37" s="3" t="inlineStr">
        <is>
          <t>FULL</t>
        </is>
      </c>
      <c r="Y37" s="3" t="inlineStr">
        <is>
          <t>FULL</t>
        </is>
      </c>
      <c r="Z37" s="3" t="inlineStr">
        <is>
          <t>FULL</t>
        </is>
      </c>
      <c r="AA37" s="8">
        <f>IF(W37="FULL",40,IF(W37="PARTIAL",40/2,0))+IF(X37="FULL",30,IF(X37="PARTIAL",30/2,0))+IF(Y37="FULL",20,IF(Y37="PARTIAL",20/2,0))+IF(Z37="FULL",10,IF(Z37="PARTIAL",10/2,0))</f>
        <v/>
      </c>
      <c r="AB37" s="8">
        <f>IF(W37="NOT_CHECKED",0,40)+IF(X37="NOT_CHECKED",0,30)+IF(Y37="NOT_CHECKED",0,20)+IF(Z37="NOT_CHECKED",0,10)</f>
        <v/>
      </c>
      <c r="AC37" s="8">
        <f>IF(AB37=100,AA37,"")</f>
        <v/>
      </c>
      <c r="AD37" s="8">
        <f>AA37</f>
        <v/>
      </c>
      <c r="AE37" s="8">
        <f>AA37+(100-AB37)</f>
        <v/>
      </c>
      <c r="AF37" s="3" t="inlineStr"/>
      <c r="AG37" s="3" t="inlineStr">
        <is>
          <t>D:\Shopify_Workspace\jeminise_seo\seo_runs\jeminise.com\20260906_234129\qa\20260908_183309\images\335_1_47532062605511.jpg; D:\Shopify_Workspace\jeminise_seo\seo_runs\jeminise.com\20260906_234129\qa\20260908_183309\visual_observations.json</t>
        </is>
      </c>
    </row>
    <row r="38" ht="66" customHeight="1">
      <c r="A38" s="2" t="inlineStr">
        <is>
          <t>20260908_183309</t>
        </is>
      </c>
      <c r="B38" s="2" t="inlineStr">
        <is>
          <t>qa_batch_034_r3</t>
        </is>
      </c>
      <c r="C38" s="2" t="inlineStr">
        <is>
          <t>r3</t>
        </is>
      </c>
      <c r="D38" s="2" t="inlineStr">
        <is>
          <t>jeminise.com+tree-of-life-with-celtic-knot-roots-quilt-set-and-celtic-knot-borders-9482d2b2f5-9482d2b2f5</t>
        </is>
      </c>
      <c r="E38" s="2" t="n">
        <v>335</v>
      </c>
      <c r="F38" s="2" t="inlineStr">
        <is>
          <t>tree-of-life-with-celtic-knot-roots-quilt-set-and-celtic-knot-borders-9482d2b2f5-9482d2b2f5</t>
        </is>
      </c>
      <c r="G38" s="2" t="inlineStr">
        <is>
          <t>jeminise.com+tree-of-life-with-celtic-knot-roots-quilt-set-and-celtic-knot-borders-9482d2b2f5-9482d2b2f5+47532062638279+GALLERY+2+fb536524481cc7f8</t>
        </is>
      </c>
      <c r="H38" s="2" t="inlineStr">
        <is>
          <t>47532062638279</t>
        </is>
      </c>
      <c r="I38" s="2" t="inlineStr">
        <is>
          <t>GALLERY</t>
        </is>
      </c>
      <c r="J38" s="2" t="n">
        <v>2</v>
      </c>
      <c r="K38" s="4" t="inlineStr">
        <is>
          <t>https://cdn.shopify.com/s/files/1/0792/5098/1063/files/4f52ac9f037acbe258fee4afd491ad36915243fc2d475615742700a72d7f4f4d.jpg?v=1785047991</t>
        </is>
      </c>
      <c r="L38" s="4" t="inlineStr">
        <is>
          <t>https://cdn.shopify.com/s/files/1/0792/5098/1063/files/4f52ac9f037acbe258fee4afd491ad36915243fc2d475615742700a72d7f4f4d.jpg?v=1785047991</t>
        </is>
      </c>
      <c r="M38" s="2" t="inlineStr">
        <is>
          <t>D:\Shopify_Workspace\jeminise_seo\seo_runs\jeminise.com\20260906_234129\qa\20260908_183309\images\335_2_47532062638279.jpg</t>
        </is>
      </c>
      <c r="N38" s="2" t="b">
        <v>1</v>
      </c>
      <c r="O38" s="2" t="b">
        <v>1</v>
      </c>
      <c r="P38" s="2" t="b">
        <v>1</v>
      </c>
      <c r="Q38" s="2" t="b">
        <v>1</v>
      </c>
      <c r="R38" s="2" t="inlineStr">
        <is>
          <t>Room mockup of Celtic Tree of Life quilt with printed craft callout.</t>
        </is>
      </c>
      <c r="S38" s="2" t="inlineStr">
        <is>
          <t>room/mockup panel with printed craft callout</t>
        </is>
      </c>
      <c r="T38" s="2" t="inlineStr">
        <is>
          <t>SET</t>
        </is>
      </c>
      <c r="U38" s="2" t="inlineStr">
        <is>
          <t>Tree of Life with Celtic Knot Roots Quilt Set And Celtic Knot Borders</t>
        </is>
      </c>
      <c r="V38" s="2" t="inlineStr">
        <is>
          <t>Celtic Tree of Life quilt room mockup</t>
        </is>
      </c>
      <c r="W38" s="2" t="inlineStr">
        <is>
          <t>FULL</t>
        </is>
      </c>
      <c r="X38" s="2" t="inlineStr">
        <is>
          <t>FULL</t>
        </is>
      </c>
      <c r="Y38" s="2" t="inlineStr">
        <is>
          <t>FULL</t>
        </is>
      </c>
      <c r="Z38" s="2" t="inlineStr">
        <is>
          <t>FULL</t>
        </is>
      </c>
      <c r="AA38" s="6">
        <f>IF(W38="FULL",40,IF(W38="PARTIAL",40/2,0))+IF(X38="FULL",30,IF(X38="PARTIAL",30/2,0))+IF(Y38="FULL",20,IF(Y38="PARTIAL",20/2,0))+IF(Z38="FULL",10,IF(Z38="PARTIAL",10/2,0))</f>
        <v/>
      </c>
      <c r="AB38" s="6">
        <f>IF(W38="NOT_CHECKED",0,40)+IF(X38="NOT_CHECKED",0,30)+IF(Y38="NOT_CHECKED",0,20)+IF(Z38="NOT_CHECKED",0,10)</f>
        <v/>
      </c>
      <c r="AC38" s="6">
        <f>IF(AB38=100,AA38,"")</f>
        <v/>
      </c>
      <c r="AD38" s="6">
        <f>AA38</f>
        <v/>
      </c>
      <c r="AE38" s="6">
        <f>AA38+(100-AB38)</f>
        <v/>
      </c>
      <c r="AF38" s="2" t="inlineStr"/>
      <c r="AG38" s="2" t="inlineStr">
        <is>
          <t>D:\Shopify_Workspace\jeminise_seo\seo_runs\jeminise.com\20260906_234129\qa\20260908_183309\images\335_2_47532062638279.jpg; D:\Shopify_Workspace\jeminise_seo\seo_runs\jeminise.com\20260906_234129\qa\20260908_183309\visual_observations.json</t>
        </is>
      </c>
    </row>
    <row r="39" ht="66" customHeight="1">
      <c r="A39" s="3" t="inlineStr">
        <is>
          <t>20260908_183309</t>
        </is>
      </c>
      <c r="B39" s="3" t="inlineStr">
        <is>
          <t>qa_batch_034_r3</t>
        </is>
      </c>
      <c r="C39" s="3" t="inlineStr">
        <is>
          <t>r3</t>
        </is>
      </c>
      <c r="D39" s="3" t="inlineStr">
        <is>
          <t>jeminise.com+tree-of-life-with-celtic-knot-roots-quilt-set-and-celtic-knot-borders-9482d2b2f5-9482d2b2f5</t>
        </is>
      </c>
      <c r="E39" s="3" t="n">
        <v>335</v>
      </c>
      <c r="F39" s="3" t="inlineStr">
        <is>
          <t>tree-of-life-with-celtic-knot-roots-quilt-set-and-celtic-knot-borders-9482d2b2f5-9482d2b2f5</t>
        </is>
      </c>
      <c r="G39" s="3" t="inlineStr">
        <is>
          <t>jeminise.com+tree-of-life-with-celtic-knot-roots-quilt-set-and-celtic-knot-borders-9482d2b2f5-9482d2b2f5+47532062671047+GALLERY+3+b9f5d9a8f04ba8ab</t>
        </is>
      </c>
      <c r="H39" s="3" t="inlineStr">
        <is>
          <t>47532062671047</t>
        </is>
      </c>
      <c r="I39" s="3" t="inlineStr">
        <is>
          <t>GALLERY</t>
        </is>
      </c>
      <c r="J39" s="3" t="n">
        <v>3</v>
      </c>
      <c r="K39" s="4" t="inlineStr">
        <is>
          <t>https://cdn.shopify.com/s/files/1/0792/5098/1063/files/988fe5cac20039ac931d78c8e884a384841461234905389cd4ad49e403bf4f75.jpg?v=1785047992</t>
        </is>
      </c>
      <c r="L39" s="4" t="inlineStr">
        <is>
          <t>https://cdn.shopify.com/s/files/1/0792/5098/1063/files/988fe5cac20039ac931d78c8e884a384841461234905389cd4ad49e403bf4f75.jpg?v=1785047992</t>
        </is>
      </c>
      <c r="M39" s="3" t="inlineStr">
        <is>
          <t>D:\Shopify_Workspace\jeminise_seo\seo_runs\jeminise.com\20260906_234129\qa\20260908_183309\images\335_3_47532062671047.jpg</t>
        </is>
      </c>
      <c r="N39" s="3" t="b">
        <v>1</v>
      </c>
      <c r="O39" s="3" t="b">
        <v>1</v>
      </c>
      <c r="P39" s="3" t="b">
        <v>1</v>
      </c>
      <c r="Q39" s="3" t="b">
        <v>1</v>
      </c>
      <c r="R39" s="3" t="inlineStr">
        <is>
          <t>Close bed view with optional pillow shams and Celtic knot border artwork.</t>
        </is>
      </c>
      <c r="S39" s="3" t="inlineStr">
        <is>
          <t>close bed/pillow sham panel with optional sham information</t>
        </is>
      </c>
      <c r="T39" s="3" t="inlineStr">
        <is>
          <t>SET</t>
        </is>
      </c>
      <c r="U39" s="3" t="inlineStr">
        <is>
          <t>Tree of Life with Celtic Knot Roots Quilt Set And Celtic Knot Borders</t>
        </is>
      </c>
      <c r="V39" s="3" t="inlineStr">
        <is>
          <t>Celtic Tree of Life quilt pillow sham panel</t>
        </is>
      </c>
      <c r="W39" s="3" t="inlineStr">
        <is>
          <t>FULL</t>
        </is>
      </c>
      <c r="X39" s="3" t="inlineStr">
        <is>
          <t>FULL</t>
        </is>
      </c>
      <c r="Y39" s="3" t="inlineStr">
        <is>
          <t>FULL</t>
        </is>
      </c>
      <c r="Z39" s="3" t="inlineStr">
        <is>
          <t>FULL</t>
        </is>
      </c>
      <c r="AA39" s="8">
        <f>IF(W39="FULL",40,IF(W39="PARTIAL",40/2,0))+IF(X39="FULL",30,IF(X39="PARTIAL",30/2,0))+IF(Y39="FULL",20,IF(Y39="PARTIAL",20/2,0))+IF(Z39="FULL",10,IF(Z39="PARTIAL",10/2,0))</f>
        <v/>
      </c>
      <c r="AB39" s="8">
        <f>IF(W39="NOT_CHECKED",0,40)+IF(X39="NOT_CHECKED",0,30)+IF(Y39="NOT_CHECKED",0,20)+IF(Z39="NOT_CHECKED",0,10)</f>
        <v/>
      </c>
      <c r="AC39" s="8">
        <f>IF(AB39=100,AA39,"")</f>
        <v/>
      </c>
      <c r="AD39" s="8">
        <f>AA39</f>
        <v/>
      </c>
      <c r="AE39" s="8">
        <f>AA39+(100-AB39)</f>
        <v/>
      </c>
      <c r="AF39" s="3" t="inlineStr"/>
      <c r="AG39" s="3" t="inlineStr">
        <is>
          <t>D:\Shopify_Workspace\jeminise_seo\seo_runs\jeminise.com\20260906_234129\qa\20260908_183309\images\335_3_47532062671047.jpg; D:\Shopify_Workspace\jeminise_seo\seo_runs\jeminise.com\20260906_234129\qa\20260908_183309\visual_observations.json</t>
        </is>
      </c>
    </row>
    <row r="40" ht="66" customHeight="1">
      <c r="A40" s="2" t="inlineStr">
        <is>
          <t>20260908_183309</t>
        </is>
      </c>
      <c r="B40" s="2" t="inlineStr">
        <is>
          <t>qa_batch_034_r3</t>
        </is>
      </c>
      <c r="C40" s="2" t="inlineStr">
        <is>
          <t>r3</t>
        </is>
      </c>
      <c r="D40" s="2" t="inlineStr">
        <is>
          <t>jeminise.com+tree-of-life-with-celtic-knot-roots-quilt-set-and-celtic-knot-borders-9482d2b2f5-9482d2b2f5</t>
        </is>
      </c>
      <c r="E40" s="2" t="n">
        <v>335</v>
      </c>
      <c r="F40" s="2" t="inlineStr">
        <is>
          <t>tree-of-life-with-celtic-knot-roots-quilt-set-and-celtic-knot-borders-9482d2b2f5-9482d2b2f5</t>
        </is>
      </c>
      <c r="G40" s="2" t="inlineStr">
        <is>
          <t>jeminise.com+tree-of-life-with-celtic-knot-roots-quilt-set-and-celtic-knot-borders-9482d2b2f5-9482d2b2f5+47532062703815+GALLERY+4+44b15e2b44727ad0</t>
        </is>
      </c>
      <c r="H40" s="2" t="inlineStr">
        <is>
          <t>47532062703815</t>
        </is>
      </c>
      <c r="I40" s="2" t="inlineStr">
        <is>
          <t>GALLERY</t>
        </is>
      </c>
      <c r="J40" s="2" t="n">
        <v>4</v>
      </c>
      <c r="K40" s="4" t="inlineStr">
        <is>
          <t>https://cdn.shopify.com/s/files/1/0792/5098/1063/files/37467c3b01d4817171f483725fb34014bee4e55fad6d911e52cf444bf0784187.jpg?v=1785047991</t>
        </is>
      </c>
      <c r="L40" s="4" t="inlineStr">
        <is>
          <t>https://cdn.shopify.com/s/files/1/0792/5098/1063/files/37467c3b01d4817171f483725fb34014bee4e55fad6d911e52cf444bf0784187.jpg?v=1785047991</t>
        </is>
      </c>
      <c r="M40" s="2" t="inlineStr">
        <is>
          <t>D:\Shopify_Workspace\jeminise_seo\seo_runs\jeminise.com\20260906_234129\qa\20260908_183309\images\335_4_47532062703815.jpg</t>
        </is>
      </c>
      <c r="N40" s="2" t="b">
        <v>1</v>
      </c>
      <c r="O40" s="2" t="b">
        <v>1</v>
      </c>
      <c r="P40" s="2" t="b">
        <v>1</v>
      </c>
      <c r="Q40" s="2" t="b">
        <v>1</v>
      </c>
      <c r="R40" s="2" t="inlineStr">
        <is>
          <t>High-quality fabric panel showing quilt layers and Celtic tree artwork sample.</t>
        </is>
      </c>
      <c r="S40" s="2" t="inlineStr">
        <is>
          <t>fabric/layer panel with Celtic tree artwork sample</t>
        </is>
      </c>
      <c r="T40" s="2" t="inlineStr">
        <is>
          <t>SET</t>
        </is>
      </c>
      <c r="U40" s="2" t="inlineStr">
        <is>
          <t>Tree of Life with Celtic Knot Roots Quilt Set And Celtic Knot Borders</t>
        </is>
      </c>
      <c r="V40" s="2" t="inlineStr">
        <is>
          <t>Celtic Tree of Life quilt fabric panel</t>
        </is>
      </c>
      <c r="W40" s="2" t="inlineStr">
        <is>
          <t>FULL</t>
        </is>
      </c>
      <c r="X40" s="2" t="inlineStr">
        <is>
          <t>FULL</t>
        </is>
      </c>
      <c r="Y40" s="2" t="inlineStr">
        <is>
          <t>FULL</t>
        </is>
      </c>
      <c r="Z40" s="2" t="inlineStr">
        <is>
          <t>FULL</t>
        </is>
      </c>
      <c r="AA40" s="6">
        <f>IF(W40="FULL",40,IF(W40="PARTIAL",40/2,0))+IF(X40="FULL",30,IF(X40="PARTIAL",30/2,0))+IF(Y40="FULL",20,IF(Y40="PARTIAL",20/2,0))+IF(Z40="FULL",10,IF(Z40="PARTIAL",10/2,0))</f>
        <v/>
      </c>
      <c r="AB40" s="6">
        <f>IF(W40="NOT_CHECKED",0,40)+IF(X40="NOT_CHECKED",0,30)+IF(Y40="NOT_CHECKED",0,20)+IF(Z40="NOT_CHECKED",0,10)</f>
        <v/>
      </c>
      <c r="AC40" s="6">
        <f>IF(AB40=100,AA40,"")</f>
        <v/>
      </c>
      <c r="AD40" s="6">
        <f>AA40</f>
        <v/>
      </c>
      <c r="AE40" s="6">
        <f>AA40+(100-AB40)</f>
        <v/>
      </c>
      <c r="AF40" s="2" t="inlineStr"/>
      <c r="AG40" s="2" t="inlineStr">
        <is>
          <t>D:\Shopify_Workspace\jeminise_seo\seo_runs\jeminise.com\20260906_234129\qa\20260908_183309\images\335_4_47532062703815.jpg; D:\Shopify_Workspace\jeminise_seo\seo_runs\jeminise.com\20260906_234129\qa\20260908_183309\visual_observations.json</t>
        </is>
      </c>
    </row>
    <row r="41" ht="66" customHeight="1">
      <c r="A41" s="3" t="inlineStr">
        <is>
          <t>20260908_183309</t>
        </is>
      </c>
      <c r="B41" s="3" t="inlineStr">
        <is>
          <t>qa_batch_034_r3</t>
        </is>
      </c>
      <c r="C41" s="3" t="inlineStr">
        <is>
          <t>r3</t>
        </is>
      </c>
      <c r="D41" s="3" t="inlineStr">
        <is>
          <t>jeminise.com+tree-of-life-with-celtic-knot-roots-quilt-set-and-celtic-knot-borders-9482d2b2f5-9482d2b2f5</t>
        </is>
      </c>
      <c r="E41" s="3" t="n">
        <v>335</v>
      </c>
      <c r="F41" s="3" t="inlineStr">
        <is>
          <t>tree-of-life-with-celtic-knot-roots-quilt-set-and-celtic-knot-borders-9482d2b2f5-9482d2b2f5</t>
        </is>
      </c>
      <c r="G41" s="3" t="inlineStr">
        <is>
          <t>jeminise.com+tree-of-life-with-celtic-knot-roots-quilt-set-and-celtic-knot-borders-9482d2b2f5-9482d2b2f5+47532062736583+GALLERY+5+59a53f33e3270689</t>
        </is>
      </c>
      <c r="H41" s="3" t="inlineStr">
        <is>
          <t>47532062736583</t>
        </is>
      </c>
      <c r="I41" s="3" t="inlineStr">
        <is>
          <t>GALLERY</t>
        </is>
      </c>
      <c r="J41" s="3" t="n">
        <v>5</v>
      </c>
      <c r="K41" s="4" t="inlineStr">
        <is>
          <t>https://cdn.shopify.com/s/files/1/0792/5098/1063/files/3cb9c6cd2f6273d975f044dcfbb72c066aeff805d9411e0a41c5c2c3d6adc577.jpg?v=1785047992</t>
        </is>
      </c>
      <c r="L41" s="4" t="inlineStr">
        <is>
          <t>https://cdn.shopify.com/s/files/1/0792/5098/1063/files/3cb9c6cd2f6273d975f044dcfbb72c066aeff805d9411e0a41c5c2c3d6adc577.jpg?v=1785047992</t>
        </is>
      </c>
      <c r="M41" s="3" t="inlineStr">
        <is>
          <t>D:\Shopify_Workspace\jeminise_seo\seo_runs\jeminise.com\20260906_234129\qa\20260908_183309\images\335_5_47532062736583.jpg</t>
        </is>
      </c>
      <c r="N41" s="3" t="b">
        <v>1</v>
      </c>
      <c r="O41" s="3" t="b">
        <v>1</v>
      </c>
      <c r="P41" s="3" t="b">
        <v>1</v>
      </c>
      <c r="Q41" s="3" t="b">
        <v>1</v>
      </c>
      <c r="R41" s="3" t="inlineStr">
        <is>
          <t>Premium quilt sets sizing chart for Celtic Tree of Life design.</t>
        </is>
      </c>
      <c r="S41" s="3" t="inlineStr">
        <is>
          <t>premium quilt sizing chart</t>
        </is>
      </c>
      <c r="T41" s="3" t="inlineStr">
        <is>
          <t>SET</t>
        </is>
      </c>
      <c r="U41" s="3" t="inlineStr">
        <is>
          <t>Tree of Life with Celtic Knot Roots Quilt Set And Celtic Knot Borders</t>
        </is>
      </c>
      <c r="V41" s="3" t="inlineStr">
        <is>
          <t>Celtic Tree of Life quilt size chart</t>
        </is>
      </c>
      <c r="W41" s="3" t="inlineStr">
        <is>
          <t>FULL</t>
        </is>
      </c>
      <c r="X41" s="3" t="inlineStr">
        <is>
          <t>FULL</t>
        </is>
      </c>
      <c r="Y41" s="3" t="inlineStr">
        <is>
          <t>FULL</t>
        </is>
      </c>
      <c r="Z41" s="3" t="inlineStr">
        <is>
          <t>FULL</t>
        </is>
      </c>
      <c r="AA41" s="8">
        <f>IF(W41="FULL",40,IF(W41="PARTIAL",40/2,0))+IF(X41="FULL",30,IF(X41="PARTIAL",30/2,0))+IF(Y41="FULL",20,IF(Y41="PARTIAL",20/2,0))+IF(Z41="FULL",10,IF(Z41="PARTIAL",10/2,0))</f>
        <v/>
      </c>
      <c r="AB41" s="8">
        <f>IF(W41="NOT_CHECKED",0,40)+IF(X41="NOT_CHECKED",0,30)+IF(Y41="NOT_CHECKED",0,20)+IF(Z41="NOT_CHECKED",0,10)</f>
        <v/>
      </c>
      <c r="AC41" s="8">
        <f>IF(AB41=100,AA41,"")</f>
        <v/>
      </c>
      <c r="AD41" s="8">
        <f>AA41</f>
        <v/>
      </c>
      <c r="AE41" s="8">
        <f>AA41+(100-AB41)</f>
        <v/>
      </c>
      <c r="AF41" s="3" t="inlineStr"/>
      <c r="AG41" s="3" t="inlineStr">
        <is>
          <t>D:\Shopify_Workspace\jeminise_seo\seo_runs\jeminise.com\20260906_234129\qa\20260908_183309\images\335_5_47532062736583.jpg; D:\Shopify_Workspace\jeminise_seo\seo_runs\jeminise.com\20260906_234129\qa\20260908_183309\visual_observations.json</t>
        </is>
      </c>
    </row>
    <row r="42" ht="66" customHeight="1">
      <c r="A42" s="2" t="inlineStr">
        <is>
          <t>20260908_183309</t>
        </is>
      </c>
      <c r="B42" s="2" t="inlineStr">
        <is>
          <t>qa_batch_034_r3</t>
        </is>
      </c>
      <c r="C42" s="2" t="inlineStr">
        <is>
          <t>r3</t>
        </is>
      </c>
      <c r="D42" s="2" t="inlineStr">
        <is>
          <t>jeminise.com+tree-of-life-with-celtic-knot-roots-quilt-set-and-celtic-knot-borders-9482d2b2f5-9482d2b2f5</t>
        </is>
      </c>
      <c r="E42" s="2" t="n">
        <v>335</v>
      </c>
      <c r="F42" s="2" t="inlineStr">
        <is>
          <t>tree-of-life-with-celtic-knot-roots-quilt-set-and-celtic-knot-borders-9482d2b2f5-9482d2b2f5</t>
        </is>
      </c>
      <c r="G42" s="2" t="inlineStr">
        <is>
          <t>jeminise.com+tree-of-life-with-celtic-knot-roots-quilt-set-and-celtic-knot-borders-9482d2b2f5-9482d2b2f5+47532062769351+GALLERY+6+74fd44d1532ae312</t>
        </is>
      </c>
      <c r="H42" s="2" t="inlineStr">
        <is>
          <t>47532062769351</t>
        </is>
      </c>
      <c r="I42" s="2" t="inlineStr">
        <is>
          <t>GALLERY</t>
        </is>
      </c>
      <c r="J42" s="2" t="n">
        <v>6</v>
      </c>
      <c r="K42" s="4" t="inlineStr">
        <is>
          <t>https://cdn.shopify.com/s/files/1/0792/5098/1063/files/7849733d646255193a4855c883f3b918e45ec938d3642d99d699309429875588.jpg?v=1785047992</t>
        </is>
      </c>
      <c r="L42" s="4" t="inlineStr">
        <is>
          <t>https://cdn.shopify.com/s/files/1/0792/5098/1063/files/7849733d646255193a4855c883f3b918e45ec938d3642d99d699309429875588.jpg?v=1785047992</t>
        </is>
      </c>
      <c r="M42" s="2" t="inlineStr">
        <is>
          <t>D:\Shopify_Workspace\jeminise_seo\seo_runs\jeminise.com\20260906_234129\qa\20260908_183309\images\335_6_47532062769351.jpg</t>
        </is>
      </c>
      <c r="N42" s="2" t="b">
        <v>1</v>
      </c>
      <c r="O42" s="2" t="b">
        <v>1</v>
      </c>
      <c r="P42" s="2" t="b">
        <v>1</v>
      </c>
      <c r="Q42" s="2" t="b">
        <v>1</v>
      </c>
      <c r="R42" s="2" t="inlineStr">
        <is>
          <t>Bedspread features panel showing microfiber layers and care icons.</t>
        </is>
      </c>
      <c r="S42" s="2" t="inlineStr">
        <is>
          <t>bedspread features panel with microfiber layer and care icons</t>
        </is>
      </c>
      <c r="T42" s="2" t="inlineStr">
        <is>
          <t>SET</t>
        </is>
      </c>
      <c r="U42" s="2" t="inlineStr">
        <is>
          <t>Tree of Life with Celtic Knot Roots Quilt Set And Celtic Knot Borders</t>
        </is>
      </c>
      <c r="V42" s="2" t="inlineStr">
        <is>
          <t>Celtic Tree of Life quilt features panel</t>
        </is>
      </c>
      <c r="W42" s="2" t="inlineStr">
        <is>
          <t>FULL</t>
        </is>
      </c>
      <c r="X42" s="2" t="inlineStr">
        <is>
          <t>FULL</t>
        </is>
      </c>
      <c r="Y42" s="2" t="inlineStr">
        <is>
          <t>FULL</t>
        </is>
      </c>
      <c r="Z42" s="2" t="inlineStr">
        <is>
          <t>FULL</t>
        </is>
      </c>
      <c r="AA42" s="6">
        <f>IF(W42="FULL",40,IF(W42="PARTIAL",40/2,0))+IF(X42="FULL",30,IF(X42="PARTIAL",30/2,0))+IF(Y42="FULL",20,IF(Y42="PARTIAL",20/2,0))+IF(Z42="FULL",10,IF(Z42="PARTIAL",10/2,0))</f>
        <v/>
      </c>
      <c r="AB42" s="6">
        <f>IF(W42="NOT_CHECKED",0,40)+IF(X42="NOT_CHECKED",0,30)+IF(Y42="NOT_CHECKED",0,20)+IF(Z42="NOT_CHECKED",0,10)</f>
        <v/>
      </c>
      <c r="AC42" s="6">
        <f>IF(AB42=100,AA42,"")</f>
        <v/>
      </c>
      <c r="AD42" s="6">
        <f>AA42</f>
        <v/>
      </c>
      <c r="AE42" s="6">
        <f>AA42+(100-AB42)</f>
        <v/>
      </c>
      <c r="AF42" s="2" t="inlineStr"/>
      <c r="AG42" s="2" t="inlineStr">
        <is>
          <t>D:\Shopify_Workspace\jeminise_seo\seo_runs\jeminise.com\20260906_234129\qa\20260908_183309\images\335_6_47532062769351.jpg; D:\Shopify_Workspace\jeminise_seo\seo_runs\jeminise.com\20260906_234129\qa\20260908_183309\visual_observations.json</t>
        </is>
      </c>
    </row>
    <row r="43" ht="66" customHeight="1">
      <c r="A43" s="3" t="inlineStr">
        <is>
          <t>20260908_183309</t>
        </is>
      </c>
      <c r="B43" s="3" t="inlineStr">
        <is>
          <t>qa_batch_034_r3</t>
        </is>
      </c>
      <c r="C43" s="3" t="inlineStr">
        <is>
          <t>r3</t>
        </is>
      </c>
      <c r="D43" s="3" t="inlineStr">
        <is>
          <t>jeminise.com+tree-of-life-with-celtic-knot-roots-quilt-set-and-celtic-knot-borders-9482d2b2f5-9482d2b2f5</t>
        </is>
      </c>
      <c r="E43" s="3" t="n">
        <v>335</v>
      </c>
      <c r="F43" s="3" t="inlineStr">
        <is>
          <t>tree-of-life-with-celtic-knot-roots-quilt-set-and-celtic-knot-borders-9482d2b2f5-9482d2b2f5</t>
        </is>
      </c>
      <c r="G43" s="3" t="inlineStr">
        <is>
          <t>jeminise.com+tree-of-life-with-celtic-knot-roots-quilt-set-and-celtic-knot-borders-9482d2b2f5-9482d2b2f5+47532062802119+GALLERY+7+605e131ddd68c49f</t>
        </is>
      </c>
      <c r="H43" s="3" t="inlineStr">
        <is>
          <t>47532062802119</t>
        </is>
      </c>
      <c r="I43" s="3" t="inlineStr">
        <is>
          <t>GALLERY</t>
        </is>
      </c>
      <c r="J43" s="3" t="n">
        <v>7</v>
      </c>
      <c r="K43" s="4" t="inlineStr">
        <is>
          <t>https://cdn.shopify.com/s/files/1/0792/5098/1063/files/ebe6cc1793f7a994e4e4dc138d976f96296767d7cc7d8d895be36db207663b10.jpg?v=1785047992</t>
        </is>
      </c>
      <c r="L43" s="4" t="inlineStr">
        <is>
          <t>https://cdn.shopify.com/s/files/1/0792/5098/1063/files/ebe6cc1793f7a994e4e4dc138d976f96296767d7cc7d8d895be36db207663b10.jpg?v=1785047992</t>
        </is>
      </c>
      <c r="M43" s="3" t="inlineStr">
        <is>
          <t>D:\Shopify_Workspace\jeminise_seo\seo_runs\jeminise.com\20260906_234129\qa\20260908_183309\images\335_7_47532062802119.jpg</t>
        </is>
      </c>
      <c r="N43" s="3" t="b">
        <v>1</v>
      </c>
      <c r="O43" s="3" t="b">
        <v>1</v>
      </c>
      <c r="P43" s="3" t="b">
        <v>1</v>
      </c>
      <c r="Q43" s="3" t="b">
        <v>1</v>
      </c>
      <c r="R43" s="3" t="inlineStr">
        <is>
          <t>Overhead bedroom mockup of Celtic Tree of Life quilt and matching pillows.</t>
        </is>
      </c>
      <c r="S43" s="3" t="inlineStr">
        <is>
          <t>overhead bedroom mockup with matching pillows</t>
        </is>
      </c>
      <c r="T43" s="3" t="inlineStr">
        <is>
          <t>SET</t>
        </is>
      </c>
      <c r="U43" s="3" t="inlineStr">
        <is>
          <t>Tree of Life with Celtic Knot Roots Quilt Set And Celtic Knot Borders</t>
        </is>
      </c>
      <c r="V43" s="3" t="inlineStr">
        <is>
          <t>Celtic Tree of Life quilt overhead view</t>
        </is>
      </c>
      <c r="W43" s="3" t="inlineStr">
        <is>
          <t>FULL</t>
        </is>
      </c>
      <c r="X43" s="3" t="inlineStr">
        <is>
          <t>FULL</t>
        </is>
      </c>
      <c r="Y43" s="3" t="inlineStr">
        <is>
          <t>FULL</t>
        </is>
      </c>
      <c r="Z43" s="3" t="inlineStr">
        <is>
          <t>FULL</t>
        </is>
      </c>
      <c r="AA43" s="8">
        <f>IF(W43="FULL",40,IF(W43="PARTIAL",40/2,0))+IF(X43="FULL",30,IF(X43="PARTIAL",30/2,0))+IF(Y43="FULL",20,IF(Y43="PARTIAL",20/2,0))+IF(Z43="FULL",10,IF(Z43="PARTIAL",10/2,0))</f>
        <v/>
      </c>
      <c r="AB43" s="8">
        <f>IF(W43="NOT_CHECKED",0,40)+IF(X43="NOT_CHECKED",0,30)+IF(Y43="NOT_CHECKED",0,20)+IF(Z43="NOT_CHECKED",0,10)</f>
        <v/>
      </c>
      <c r="AC43" s="8">
        <f>IF(AB43=100,AA43,"")</f>
        <v/>
      </c>
      <c r="AD43" s="8">
        <f>AA43</f>
        <v/>
      </c>
      <c r="AE43" s="8">
        <f>AA43+(100-AB43)</f>
        <v/>
      </c>
      <c r="AF43" s="3" t="inlineStr"/>
      <c r="AG43" s="3" t="inlineStr">
        <is>
          <t>D:\Shopify_Workspace\jeminise_seo\seo_runs\jeminise.com\20260906_234129\qa\20260908_183309\images\335_7_47532062802119.jpg; D:\Shopify_Workspace\jeminise_seo\seo_runs\jeminise.com\20260906_234129\qa\20260908_183309\visual_observations.json</t>
        </is>
      </c>
    </row>
    <row r="44" ht="66" customHeight="1">
      <c r="A44" s="2" t="inlineStr">
        <is>
          <t>20260908_183309</t>
        </is>
      </c>
      <c r="B44" s="2" t="inlineStr">
        <is>
          <t>qa_batch_034_r3</t>
        </is>
      </c>
      <c r="C44" s="2" t="inlineStr">
        <is>
          <t>r3</t>
        </is>
      </c>
      <c r="D44" s="2" t="inlineStr">
        <is>
          <t>jeminise.com+winter-cardinal-on-berry-branch-patchwork-christmas-quilt-43ecda62b6-43ecda62b6</t>
        </is>
      </c>
      <c r="E44" s="2" t="n">
        <v>336</v>
      </c>
      <c r="F44" s="2" t="inlineStr">
        <is>
          <t>winter-cardinal-on-berry-branch-patchwork-christmas-quilt-43ecda62b6-43ecda62b6</t>
        </is>
      </c>
      <c r="G44" s="2" t="inlineStr">
        <is>
          <t>jeminise.com+winter-cardinal-on-berry-branch-patchwork-christmas-quilt-43ecda62b6-43ecda62b6+47540050493639+GALLERY+1+f389f534f41b0459</t>
        </is>
      </c>
      <c r="H44" s="2" t="inlineStr">
        <is>
          <t>47540050493639</t>
        </is>
      </c>
      <c r="I44" s="2" t="inlineStr">
        <is>
          <t>GALLERY</t>
        </is>
      </c>
      <c r="J44" s="2" t="n">
        <v>1</v>
      </c>
      <c r="K44" s="4" t="inlineStr">
        <is>
          <t>https://cdn.shopify.com/s/files/1/0792/5098/1063/files/947e16eb6924808f97fc39212083dfc11bbc2b60832000a81204b6f5ebb0b2d8.jpg?v=1785099521</t>
        </is>
      </c>
      <c r="L44" s="4" t="inlineStr">
        <is>
          <t>https://cdn.shopify.com/s/files/1/0792/5098/1063/files/947e16eb6924808f97fc39212083dfc11bbc2b60832000a81204b6f5ebb0b2d8.jpg?v=1785099521</t>
        </is>
      </c>
      <c r="M44" s="2" t="inlineStr">
        <is>
          <t>D:\Shopify_Workspace\jeminise_seo\seo_runs\jeminise.com\20260906_234129\qa\20260908_183309\images\336_1_47540050493639.jpg</t>
        </is>
      </c>
      <c r="N44" s="2" t="b">
        <v>1</v>
      </c>
      <c r="O44" s="2" t="b">
        <v>1</v>
      </c>
      <c r="P44" s="2" t="b">
        <v>1</v>
      </c>
      <c r="Q44" s="2" t="b">
        <v>1</v>
      </c>
      <c r="R44" s="2" t="inlineStr">
        <is>
          <t>Bed mockup of winter cardinal quilt with red berries and blue-gray leaves.</t>
        </is>
      </c>
      <c r="S44" s="2" t="inlineStr">
        <is>
          <t>bed mockup: red cardinal on berry branch with blue-gray leaves and snowy watercolor background</t>
        </is>
      </c>
      <c r="T44" s="2" t="inlineStr">
        <is>
          <t>SET</t>
        </is>
      </c>
      <c r="U44" s="2" t="inlineStr">
        <is>
          <t>Winter Cardinal on Berry Branch Patchwork Christmas Quilt</t>
        </is>
      </c>
      <c r="V44" s="2" t="inlineStr">
        <is>
          <t>Winter cardinal berry branch quilt bed view</t>
        </is>
      </c>
      <c r="W44" s="2" t="inlineStr">
        <is>
          <t>FULL</t>
        </is>
      </c>
      <c r="X44" s="2" t="inlineStr">
        <is>
          <t>FULL</t>
        </is>
      </c>
      <c r="Y44" s="2" t="inlineStr">
        <is>
          <t>FULL</t>
        </is>
      </c>
      <c r="Z44" s="2" t="inlineStr">
        <is>
          <t>FULL</t>
        </is>
      </c>
      <c r="AA44" s="6">
        <f>IF(W44="FULL",40,IF(W44="PARTIAL",40/2,0))+IF(X44="FULL",30,IF(X44="PARTIAL",30/2,0))+IF(Y44="FULL",20,IF(Y44="PARTIAL",20/2,0))+IF(Z44="FULL",10,IF(Z44="PARTIAL",10/2,0))</f>
        <v/>
      </c>
      <c r="AB44" s="6">
        <f>IF(W44="NOT_CHECKED",0,40)+IF(X44="NOT_CHECKED",0,30)+IF(Y44="NOT_CHECKED",0,20)+IF(Z44="NOT_CHECKED",0,10)</f>
        <v/>
      </c>
      <c r="AC44" s="6">
        <f>IF(AB44=100,AA44,"")</f>
        <v/>
      </c>
      <c r="AD44" s="6">
        <f>AA44</f>
        <v/>
      </c>
      <c r="AE44" s="6">
        <f>AA44+(100-AB44)</f>
        <v/>
      </c>
      <c r="AF44" s="2" t="inlineStr"/>
      <c r="AG44" s="2" t="inlineStr">
        <is>
          <t>D:\Shopify_Workspace\jeminise_seo\seo_runs\jeminise.com\20260906_234129\qa\20260908_183309\images\336_1_47540050493639.jpg; D:\Shopify_Workspace\jeminise_seo\seo_runs\jeminise.com\20260906_234129\qa\20260908_183309\visual_observations.json</t>
        </is>
      </c>
    </row>
    <row r="45" ht="66" customHeight="1">
      <c r="A45" s="3" t="inlineStr">
        <is>
          <t>20260908_183309</t>
        </is>
      </c>
      <c r="B45" s="3" t="inlineStr">
        <is>
          <t>qa_batch_034_r3</t>
        </is>
      </c>
      <c r="C45" s="3" t="inlineStr">
        <is>
          <t>r3</t>
        </is>
      </c>
      <c r="D45" s="3" t="inlineStr">
        <is>
          <t>jeminise.com+winter-cardinal-on-berry-branch-patchwork-christmas-quilt-43ecda62b6-43ecda62b6</t>
        </is>
      </c>
      <c r="E45" s="3" t="n">
        <v>336</v>
      </c>
      <c r="F45" s="3" t="inlineStr">
        <is>
          <t>winter-cardinal-on-berry-branch-patchwork-christmas-quilt-43ecda62b6-43ecda62b6</t>
        </is>
      </c>
      <c r="G45" s="3" t="inlineStr">
        <is>
          <t>jeminise.com+winter-cardinal-on-berry-branch-patchwork-christmas-quilt-43ecda62b6-43ecda62b6+47540050526407+GALLERY+2+9e76332bfd9cad33</t>
        </is>
      </c>
      <c r="H45" s="3" t="inlineStr">
        <is>
          <t>47540050526407</t>
        </is>
      </c>
      <c r="I45" s="3" t="inlineStr">
        <is>
          <t>GALLERY</t>
        </is>
      </c>
      <c r="J45" s="3" t="n">
        <v>2</v>
      </c>
      <c r="K45" s="4" t="inlineStr">
        <is>
          <t>https://cdn.shopify.com/s/files/1/0792/5098/1063/files/48fac73476b5f5180fb15b1df134cf2e6d122d025830ece4356d2109d9a66661.jpg?v=1785099521</t>
        </is>
      </c>
      <c r="L45" s="4" t="inlineStr">
        <is>
          <t>https://cdn.shopify.com/s/files/1/0792/5098/1063/files/48fac73476b5f5180fb15b1df134cf2e6d122d025830ece4356d2109d9a66661.jpg?v=1785099521</t>
        </is>
      </c>
      <c r="M45" s="3" t="inlineStr">
        <is>
          <t>D:\Shopify_Workspace\jeminise_seo\seo_runs\jeminise.com\20260906_234129\qa\20260908_183309\images\336_2_47540050526407.jpg</t>
        </is>
      </c>
      <c r="N45" s="3" t="b">
        <v>1</v>
      </c>
      <c r="O45" s="3" t="b">
        <v>1</v>
      </c>
      <c r="P45" s="3" t="b">
        <v>1</v>
      </c>
      <c r="Q45" s="3" t="b">
        <v>1</v>
      </c>
      <c r="R45" s="3" t="inlineStr">
        <is>
          <t>Close fabric view of red cardinal, berry branch and quilting pattern.</t>
        </is>
      </c>
      <c r="S45" s="3" t="inlineStr">
        <is>
          <t>close fabric view of cardinal, berries and quilting</t>
        </is>
      </c>
      <c r="T45" s="3" t="inlineStr">
        <is>
          <t>SET</t>
        </is>
      </c>
      <c r="U45" s="3" t="inlineStr">
        <is>
          <t>Winter Cardinal on Berry Branch Patchwork Christmas Quilt</t>
        </is>
      </c>
      <c r="V45" s="3" t="inlineStr">
        <is>
          <t>Winter cardinal berry branch quilt close fabric view</t>
        </is>
      </c>
      <c r="W45" s="3" t="inlineStr">
        <is>
          <t>FULL</t>
        </is>
      </c>
      <c r="X45" s="3" t="inlineStr">
        <is>
          <t>FULL</t>
        </is>
      </c>
      <c r="Y45" s="3" t="inlineStr">
        <is>
          <t>FULL</t>
        </is>
      </c>
      <c r="Z45" s="3" t="inlineStr">
        <is>
          <t>FULL</t>
        </is>
      </c>
      <c r="AA45" s="8">
        <f>IF(W45="FULL",40,IF(W45="PARTIAL",40/2,0))+IF(X45="FULL",30,IF(X45="PARTIAL",30/2,0))+IF(Y45="FULL",20,IF(Y45="PARTIAL",20/2,0))+IF(Z45="FULL",10,IF(Z45="PARTIAL",10/2,0))</f>
        <v/>
      </c>
      <c r="AB45" s="8">
        <f>IF(W45="NOT_CHECKED",0,40)+IF(X45="NOT_CHECKED",0,30)+IF(Y45="NOT_CHECKED",0,20)+IF(Z45="NOT_CHECKED",0,10)</f>
        <v/>
      </c>
      <c r="AC45" s="8">
        <f>IF(AB45=100,AA45,"")</f>
        <v/>
      </c>
      <c r="AD45" s="8">
        <f>AA45</f>
        <v/>
      </c>
      <c r="AE45" s="8">
        <f>AA45+(100-AB45)</f>
        <v/>
      </c>
      <c r="AF45" s="3" t="inlineStr"/>
      <c r="AG45" s="3" t="inlineStr">
        <is>
          <t>D:\Shopify_Workspace\jeminise_seo\seo_runs\jeminise.com\20260906_234129\qa\20260908_183309\images\336_2_47540050526407.jpg; D:\Shopify_Workspace\jeminise_seo\seo_runs\jeminise.com\20260906_234129\qa\20260908_183309\visual_observations.json</t>
        </is>
      </c>
    </row>
    <row r="46" ht="66" customHeight="1">
      <c r="A46" s="2" t="inlineStr">
        <is>
          <t>20260908_183309</t>
        </is>
      </c>
      <c r="B46" s="2" t="inlineStr">
        <is>
          <t>qa_batch_034_r3</t>
        </is>
      </c>
      <c r="C46" s="2" t="inlineStr">
        <is>
          <t>r3</t>
        </is>
      </c>
      <c r="D46" s="2" t="inlineStr">
        <is>
          <t>jeminise.com+winter-cardinal-on-berry-branch-patchwork-christmas-quilt-43ecda62b6-43ecda62b6</t>
        </is>
      </c>
      <c r="E46" s="2" t="n">
        <v>336</v>
      </c>
      <c r="F46" s="2" t="inlineStr">
        <is>
          <t>winter-cardinal-on-berry-branch-patchwork-christmas-quilt-43ecda62b6-43ecda62b6</t>
        </is>
      </c>
      <c r="G46" s="2" t="inlineStr">
        <is>
          <t>jeminise.com+winter-cardinal-on-berry-branch-patchwork-christmas-quilt-43ecda62b6-43ecda62b6+47540050559175+GALLERY+3+f20d206801ff22f1</t>
        </is>
      </c>
      <c r="H46" s="2" t="inlineStr">
        <is>
          <t>47540050559175</t>
        </is>
      </c>
      <c r="I46" s="2" t="inlineStr">
        <is>
          <t>GALLERY</t>
        </is>
      </c>
      <c r="J46" s="2" t="n">
        <v>3</v>
      </c>
      <c r="K46" s="4" t="inlineStr">
        <is>
          <t>https://cdn.shopify.com/s/files/1/0792/5098/1063/files/2dccff1885ad6dd740979eda7724eeef22039890fe3ad7b836dd7e3d36bce8e8.jpg?v=1785099521</t>
        </is>
      </c>
      <c r="L46" s="4" t="inlineStr">
        <is>
          <t>https://cdn.shopify.com/s/files/1/0792/5098/1063/files/2dccff1885ad6dd740979eda7724eeef22039890fe3ad7b836dd7e3d36bce8e8.jpg?v=1785099521</t>
        </is>
      </c>
      <c r="M46" s="2" t="inlineStr">
        <is>
          <t>D:\Shopify_Workspace\jeminise_seo\seo_runs\jeminise.com\20260906_234129\qa\20260908_183309\images\336_3_47540050559175.jpg</t>
        </is>
      </c>
      <c r="N46" s="2" t="b">
        <v>1</v>
      </c>
      <c r="O46" s="2" t="b">
        <v>1</v>
      </c>
      <c r="P46" s="2" t="b">
        <v>1</v>
      </c>
      <c r="Q46" s="2" t="b">
        <v>1</v>
      </c>
      <c r="R46" s="2" t="inlineStr">
        <is>
          <t>Single pillow sham mockup with cardinal and berry branch artwork.</t>
        </is>
      </c>
      <c r="S46" s="2" t="inlineStr">
        <is>
          <t>single pillow sham mockup with cardinal branch artwork</t>
        </is>
      </c>
      <c r="T46" s="2" t="inlineStr">
        <is>
          <t>SET</t>
        </is>
      </c>
      <c r="U46" s="2" t="inlineStr">
        <is>
          <t>Winter Cardinal on Berry Branch Patchwork Christmas Quilt</t>
        </is>
      </c>
      <c r="V46" s="2" t="inlineStr">
        <is>
          <t>Winter cardinal berry branch quilt pillow sham</t>
        </is>
      </c>
      <c r="W46" s="2" t="inlineStr">
        <is>
          <t>FULL</t>
        </is>
      </c>
      <c r="X46" s="2" t="inlineStr">
        <is>
          <t>FULL</t>
        </is>
      </c>
      <c r="Y46" s="2" t="inlineStr">
        <is>
          <t>FULL</t>
        </is>
      </c>
      <c r="Z46" s="2" t="inlineStr">
        <is>
          <t>FULL</t>
        </is>
      </c>
      <c r="AA46" s="6">
        <f>IF(W46="FULL",40,IF(W46="PARTIAL",40/2,0))+IF(X46="FULL",30,IF(X46="PARTIAL",30/2,0))+IF(Y46="FULL",20,IF(Y46="PARTIAL",20/2,0))+IF(Z46="FULL",10,IF(Z46="PARTIAL",10/2,0))</f>
        <v/>
      </c>
      <c r="AB46" s="6">
        <f>IF(W46="NOT_CHECKED",0,40)+IF(X46="NOT_CHECKED",0,30)+IF(Y46="NOT_CHECKED",0,20)+IF(Z46="NOT_CHECKED",0,10)</f>
        <v/>
      </c>
      <c r="AC46" s="6">
        <f>IF(AB46=100,AA46,"")</f>
        <v/>
      </c>
      <c r="AD46" s="6">
        <f>AA46</f>
        <v/>
      </c>
      <c r="AE46" s="6">
        <f>AA46+(100-AB46)</f>
        <v/>
      </c>
      <c r="AF46" s="2" t="inlineStr"/>
      <c r="AG46" s="2" t="inlineStr">
        <is>
          <t>D:\Shopify_Workspace\jeminise_seo\seo_runs\jeminise.com\20260906_234129\qa\20260908_183309\images\336_3_47540050559175.jpg; D:\Shopify_Workspace\jeminise_seo\seo_runs\jeminise.com\20260906_234129\qa\20260908_183309\visual_observations.json</t>
        </is>
      </c>
    </row>
    <row r="47" ht="66" customHeight="1">
      <c r="A47" s="3" t="inlineStr">
        <is>
          <t>20260908_183309</t>
        </is>
      </c>
      <c r="B47" s="3" t="inlineStr">
        <is>
          <t>qa_batch_034_r3</t>
        </is>
      </c>
      <c r="C47" s="3" t="inlineStr">
        <is>
          <t>r3</t>
        </is>
      </c>
      <c r="D47" s="3" t="inlineStr">
        <is>
          <t>jeminise.com+winter-cardinal-on-berry-branch-patchwork-christmas-quilt-43ecda62b6-43ecda62b6</t>
        </is>
      </c>
      <c r="E47" s="3" t="n">
        <v>336</v>
      </c>
      <c r="F47" s="3" t="inlineStr">
        <is>
          <t>winter-cardinal-on-berry-branch-patchwork-christmas-quilt-43ecda62b6-43ecda62b6</t>
        </is>
      </c>
      <c r="G47" s="3" t="inlineStr">
        <is>
          <t>jeminise.com+winter-cardinal-on-berry-branch-patchwork-christmas-quilt-43ecda62b6-43ecda62b6+47540050591943+GALLERY+4+e8b86a80d93303e7</t>
        </is>
      </c>
      <c r="H47" s="3" t="inlineStr">
        <is>
          <t>47540050591943</t>
        </is>
      </c>
      <c r="I47" s="3" t="inlineStr">
        <is>
          <t>GALLERY</t>
        </is>
      </c>
      <c r="J47" s="3" t="n">
        <v>4</v>
      </c>
      <c r="K47" s="4" t="inlineStr">
        <is>
          <t>https://cdn.shopify.com/s/files/1/0792/5098/1063/files/d4a0728c7e28188d79526e7362d765acb9e1b9f38ff7d6e35af39e078d998536.jpg?v=1785099521</t>
        </is>
      </c>
      <c r="L47" s="4" t="inlineStr">
        <is>
          <t>https://cdn.shopify.com/s/files/1/0792/5098/1063/files/d4a0728c7e28188d79526e7362d765acb9e1b9f38ff7d6e35af39e078d998536.jpg?v=1785099521</t>
        </is>
      </c>
      <c r="M47" s="3" t="inlineStr">
        <is>
          <t>D:\Shopify_Workspace\jeminise_seo\seo_runs\jeminise.com\20260906_234129\qa\20260908_183309\images\336_4_47540050591943.jpg</t>
        </is>
      </c>
      <c r="N47" s="3" t="b">
        <v>1</v>
      </c>
      <c r="O47" s="3" t="b">
        <v>1</v>
      </c>
      <c r="P47" s="3" t="b">
        <v>1</v>
      </c>
      <c r="Q47" s="3" t="b">
        <v>1</v>
      </c>
      <c r="R47" s="3" t="inlineStr">
        <is>
          <t>Room mockup of winter cardinal quilt set with matching pillows.</t>
        </is>
      </c>
      <c r="S47" s="3" t="inlineStr">
        <is>
          <t>room mockup of quilt set with matching pillows</t>
        </is>
      </c>
      <c r="T47" s="3" t="inlineStr">
        <is>
          <t>SET</t>
        </is>
      </c>
      <c r="U47" s="3" t="inlineStr">
        <is>
          <t>Winter Cardinal on Berry Branch Patchwork Christmas Quilt</t>
        </is>
      </c>
      <c r="V47" s="3" t="inlineStr">
        <is>
          <t>Winter cardinal berry branch quilt room mockup</t>
        </is>
      </c>
      <c r="W47" s="3" t="inlineStr">
        <is>
          <t>FULL</t>
        </is>
      </c>
      <c r="X47" s="3" t="inlineStr">
        <is>
          <t>FULL</t>
        </is>
      </c>
      <c r="Y47" s="3" t="inlineStr">
        <is>
          <t>FULL</t>
        </is>
      </c>
      <c r="Z47" s="3" t="inlineStr">
        <is>
          <t>FULL</t>
        </is>
      </c>
      <c r="AA47" s="8">
        <f>IF(W47="FULL",40,IF(W47="PARTIAL",40/2,0))+IF(X47="FULL",30,IF(X47="PARTIAL",30/2,0))+IF(Y47="FULL",20,IF(Y47="PARTIAL",20/2,0))+IF(Z47="FULL",10,IF(Z47="PARTIAL",10/2,0))</f>
        <v/>
      </c>
      <c r="AB47" s="8">
        <f>IF(W47="NOT_CHECKED",0,40)+IF(X47="NOT_CHECKED",0,30)+IF(Y47="NOT_CHECKED",0,20)+IF(Z47="NOT_CHECKED",0,10)</f>
        <v/>
      </c>
      <c r="AC47" s="8">
        <f>IF(AB47=100,AA47,"")</f>
        <v/>
      </c>
      <c r="AD47" s="8">
        <f>AA47</f>
        <v/>
      </c>
      <c r="AE47" s="8">
        <f>AA47+(100-AB47)</f>
        <v/>
      </c>
      <c r="AF47" s="3" t="inlineStr"/>
      <c r="AG47" s="3" t="inlineStr">
        <is>
          <t>D:\Shopify_Workspace\jeminise_seo\seo_runs\jeminise.com\20260906_234129\qa\20260908_183309\images\336_4_47540050591943.jpg; D:\Shopify_Workspace\jeminise_seo\seo_runs\jeminise.com\20260906_234129\qa\20260908_183309\visual_observations.json</t>
        </is>
      </c>
    </row>
    <row r="48" ht="66" customHeight="1">
      <c r="A48" s="2" t="inlineStr">
        <is>
          <t>20260908_183309</t>
        </is>
      </c>
      <c r="B48" s="2" t="inlineStr">
        <is>
          <t>qa_batch_034_r3</t>
        </is>
      </c>
      <c r="C48" s="2" t="inlineStr">
        <is>
          <t>r3</t>
        </is>
      </c>
      <c r="D48" s="2" t="inlineStr">
        <is>
          <t>jeminise.com+winter-cardinal-on-berry-branch-patchwork-christmas-quilt-43ecda62b6-43ecda62b6</t>
        </is>
      </c>
      <c r="E48" s="2" t="n">
        <v>336</v>
      </c>
      <c r="F48" s="2" t="inlineStr">
        <is>
          <t>winter-cardinal-on-berry-branch-patchwork-christmas-quilt-43ecda62b6-43ecda62b6</t>
        </is>
      </c>
      <c r="G48" s="2" t="inlineStr">
        <is>
          <t>jeminise.com+winter-cardinal-on-berry-branch-patchwork-christmas-quilt-43ecda62b6-43ecda62b6+47540050624711+GALLERY+5+ba79e52d7c497859</t>
        </is>
      </c>
      <c r="H48" s="2" t="inlineStr">
        <is>
          <t>47540050624711</t>
        </is>
      </c>
      <c r="I48" s="2" t="inlineStr">
        <is>
          <t>GALLERY</t>
        </is>
      </c>
      <c r="J48" s="2" t="n">
        <v>5</v>
      </c>
      <c r="K48" s="4" t="inlineStr">
        <is>
          <t>https://cdn.shopify.com/s/files/1/0792/5098/1063/files/7264c8f84838b873992c6cc45408dabed8925c6431527d3529a0c866f2918464.jpg?v=1785099521</t>
        </is>
      </c>
      <c r="L48" s="4" t="inlineStr">
        <is>
          <t>https://cdn.shopify.com/s/files/1/0792/5098/1063/files/7264c8f84838b873992c6cc45408dabed8925c6431527d3529a0c866f2918464.jpg?v=1785099521</t>
        </is>
      </c>
      <c r="M48" s="2" t="inlineStr">
        <is>
          <t>D:\Shopify_Workspace\jeminise_seo\seo_runs\jeminise.com\20260906_234129\qa\20260908_183309\images\336_5_47540050624711.jpg</t>
        </is>
      </c>
      <c r="N48" s="2" t="b">
        <v>1</v>
      </c>
      <c r="O48" s="2" t="b">
        <v>1</v>
      </c>
      <c r="P48" s="2" t="b">
        <v>1</v>
      </c>
      <c r="Q48" s="2" t="b">
        <v>1</v>
      </c>
      <c r="R48" s="2" t="inlineStr">
        <is>
          <t>Bedding set panel showing premium quilt sizes and optional standard shams.</t>
        </is>
      </c>
      <c r="S48" s="2" t="inlineStr">
        <is>
          <t>size/component panel with optional standard shams</t>
        </is>
      </c>
      <c r="T48" s="2" t="inlineStr">
        <is>
          <t>SET</t>
        </is>
      </c>
      <c r="U48" s="2" t="inlineStr">
        <is>
          <t>Winter Cardinal on Berry Branch Patchwork Christmas Quilt</t>
        </is>
      </c>
      <c r="V48" s="2" t="inlineStr">
        <is>
          <t>Winter cardinal berry branch quilt size panel</t>
        </is>
      </c>
      <c r="W48" s="2" t="inlineStr">
        <is>
          <t>FULL</t>
        </is>
      </c>
      <c r="X48" s="2" t="inlineStr">
        <is>
          <t>FULL</t>
        </is>
      </c>
      <c r="Y48" s="2" t="inlineStr">
        <is>
          <t>FULL</t>
        </is>
      </c>
      <c r="Z48" s="2" t="inlineStr">
        <is>
          <t>FULL</t>
        </is>
      </c>
      <c r="AA48" s="6">
        <f>IF(W48="FULL",40,IF(W48="PARTIAL",40/2,0))+IF(X48="FULL",30,IF(X48="PARTIAL",30/2,0))+IF(Y48="FULL",20,IF(Y48="PARTIAL",20/2,0))+IF(Z48="FULL",10,IF(Z48="PARTIAL",10/2,0))</f>
        <v/>
      </c>
      <c r="AB48" s="6">
        <f>IF(W48="NOT_CHECKED",0,40)+IF(X48="NOT_CHECKED",0,30)+IF(Y48="NOT_CHECKED",0,20)+IF(Z48="NOT_CHECKED",0,10)</f>
        <v/>
      </c>
      <c r="AC48" s="6">
        <f>IF(AB48=100,AA48,"")</f>
        <v/>
      </c>
      <c r="AD48" s="6">
        <f>AA48</f>
        <v/>
      </c>
      <c r="AE48" s="6">
        <f>AA48+(100-AB48)</f>
        <v/>
      </c>
      <c r="AF48" s="2" t="inlineStr"/>
      <c r="AG48" s="2" t="inlineStr">
        <is>
          <t>D:\Shopify_Workspace\jeminise_seo\seo_runs\jeminise.com\20260906_234129\qa\20260908_183309\images\336_5_47540050624711.jpg; D:\Shopify_Workspace\jeminise_seo\seo_runs\jeminise.com\20260906_234129\qa\20260908_183309\visual_observations.json</t>
        </is>
      </c>
    </row>
    <row r="49" ht="66" customHeight="1">
      <c r="A49" s="3" t="inlineStr">
        <is>
          <t>20260908_183309</t>
        </is>
      </c>
      <c r="B49" s="3" t="inlineStr">
        <is>
          <t>qa_batch_034_r3</t>
        </is>
      </c>
      <c r="C49" s="3" t="inlineStr">
        <is>
          <t>r3</t>
        </is>
      </c>
      <c r="D49" s="3" t="inlineStr">
        <is>
          <t>jeminise.com+winter-cardinals-on-heart-shaped-berry-branches-patchwork-christmas-quilt-de1c648f60-de1c648f60</t>
        </is>
      </c>
      <c r="E49" s="3" t="n">
        <v>337</v>
      </c>
      <c r="F49" s="3" t="inlineStr">
        <is>
          <t>winter-cardinals-on-heart-shaped-berry-branches-patchwork-christmas-quilt-de1c648f60-de1c648f60</t>
        </is>
      </c>
      <c r="G49" s="3" t="inlineStr">
        <is>
          <t>jeminise.com+winter-cardinals-on-heart-shaped-berry-branches-patchwork-christmas-quilt-de1c648f60-de1c648f60+47540063240391+GALLERY+1+2aed477057b0a43f</t>
        </is>
      </c>
      <c r="H49" s="3" t="inlineStr">
        <is>
          <t>47540063240391</t>
        </is>
      </c>
      <c r="I49" s="3" t="inlineStr">
        <is>
          <t>GALLERY</t>
        </is>
      </c>
      <c r="J49" s="3" t="n">
        <v>1</v>
      </c>
      <c r="K49" s="4" t="inlineStr">
        <is>
          <t>https://cdn.shopify.com/s/files/1/0792/5098/1063/files/1ed094022a510d1930ad1bdca0a4095507b6051256b15201e3f8e37176714ca6.jpg?v=1785099625</t>
        </is>
      </c>
      <c r="L49" s="4" t="inlineStr">
        <is>
          <t>https://cdn.shopify.com/s/files/1/0792/5098/1063/files/1ed094022a510d1930ad1bdca0a4095507b6051256b15201e3f8e37176714ca6.jpg?v=1785099625</t>
        </is>
      </c>
      <c r="M49" s="3" t="inlineStr">
        <is>
          <t>D:\Shopify_Workspace\jeminise_seo\seo_runs\jeminise.com\20260906_234129\qa\20260908_183309\images\337_1_47540063240391.jpg</t>
        </is>
      </c>
      <c r="N49" s="3" t="b">
        <v>1</v>
      </c>
      <c r="O49" s="3" t="b">
        <v>1</v>
      </c>
      <c r="P49" s="3" t="b">
        <v>1</v>
      </c>
      <c r="Q49" s="3" t="b">
        <v>1</v>
      </c>
      <c r="R49" s="3" t="inlineStr">
        <is>
          <t>Bed mockup of Christmas cardinal quilt with two red birds and heart-shaped berry branches.</t>
        </is>
      </c>
      <c r="S49" s="3" t="inlineStr">
        <is>
          <t>bed mockup: two red cardinals inside heart-shaped berry branches, snowy village background</t>
        </is>
      </c>
      <c r="T49" s="3" t="inlineStr">
        <is>
          <t>SET</t>
        </is>
      </c>
      <c r="U49" s="3" t="inlineStr">
        <is>
          <t>Winter Cardinals on Heart Shaped Berry Branches Patchwork Christmas Quilt</t>
        </is>
      </c>
      <c r="V49" s="3" t="inlineStr">
        <is>
          <t>Heart branch cardinals Christmas quilt bed view</t>
        </is>
      </c>
      <c r="W49" s="3" t="inlineStr">
        <is>
          <t>FULL</t>
        </is>
      </c>
      <c r="X49" s="3" t="inlineStr">
        <is>
          <t>FULL</t>
        </is>
      </c>
      <c r="Y49" s="3" t="inlineStr">
        <is>
          <t>FULL</t>
        </is>
      </c>
      <c r="Z49" s="3" t="inlineStr">
        <is>
          <t>FULL</t>
        </is>
      </c>
      <c r="AA49" s="8">
        <f>IF(W49="FULL",40,IF(W49="PARTIAL",40/2,0))+IF(X49="FULL",30,IF(X49="PARTIAL",30/2,0))+IF(Y49="FULL",20,IF(Y49="PARTIAL",20/2,0))+IF(Z49="FULL",10,IF(Z49="PARTIAL",10/2,0))</f>
        <v/>
      </c>
      <c r="AB49" s="8">
        <f>IF(W49="NOT_CHECKED",0,40)+IF(X49="NOT_CHECKED",0,30)+IF(Y49="NOT_CHECKED",0,20)+IF(Z49="NOT_CHECKED",0,10)</f>
        <v/>
      </c>
      <c r="AC49" s="8">
        <f>IF(AB49=100,AA49,"")</f>
        <v/>
      </c>
      <c r="AD49" s="8">
        <f>AA49</f>
        <v/>
      </c>
      <c r="AE49" s="8">
        <f>AA49+(100-AB49)</f>
        <v/>
      </c>
      <c r="AF49" s="3" t="inlineStr"/>
      <c r="AG49" s="3" t="inlineStr">
        <is>
          <t>D:\Shopify_Workspace\jeminise_seo\seo_runs\jeminise.com\20260906_234129\qa\20260908_183309\images\337_1_47540063240391.jpg; D:\Shopify_Workspace\jeminise_seo\seo_runs\jeminise.com\20260906_234129\qa\20260908_183309\visual_observations.json</t>
        </is>
      </c>
    </row>
    <row r="50" ht="66" customHeight="1">
      <c r="A50" s="2" t="inlineStr">
        <is>
          <t>20260908_183309</t>
        </is>
      </c>
      <c r="B50" s="2" t="inlineStr">
        <is>
          <t>qa_batch_034_r3</t>
        </is>
      </c>
      <c r="C50" s="2" t="inlineStr">
        <is>
          <t>r3</t>
        </is>
      </c>
      <c r="D50" s="2" t="inlineStr">
        <is>
          <t>jeminise.com+winter-cardinals-on-heart-shaped-berry-branches-patchwork-christmas-quilt-de1c648f60-de1c648f60</t>
        </is>
      </c>
      <c r="E50" s="2" t="n">
        <v>337</v>
      </c>
      <c r="F50" s="2" t="inlineStr">
        <is>
          <t>winter-cardinals-on-heart-shaped-berry-branches-patchwork-christmas-quilt-de1c648f60-de1c648f60</t>
        </is>
      </c>
      <c r="G50" s="2" t="inlineStr">
        <is>
          <t>jeminise.com+winter-cardinals-on-heart-shaped-berry-branches-patchwork-christmas-quilt-de1c648f60-de1c648f60+47540063273159+GALLERY+2+980656e590981470</t>
        </is>
      </c>
      <c r="H50" s="2" t="inlineStr">
        <is>
          <t>47540063273159</t>
        </is>
      </c>
      <c r="I50" s="2" t="inlineStr">
        <is>
          <t>GALLERY</t>
        </is>
      </c>
      <c r="J50" s="2" t="n">
        <v>2</v>
      </c>
      <c r="K50" s="4" t="inlineStr">
        <is>
          <t>https://cdn.shopify.com/s/files/1/0792/5098/1063/files/d5fe90d4b730e2a236ce598e9eccc7c82d43f85212d9f607db88487d5d7b28c8.jpg?v=1785099625</t>
        </is>
      </c>
      <c r="L50" s="4" t="inlineStr">
        <is>
          <t>https://cdn.shopify.com/s/files/1/0792/5098/1063/files/d5fe90d4b730e2a236ce598e9eccc7c82d43f85212d9f607db88487d5d7b28c8.jpg?v=1785099625</t>
        </is>
      </c>
      <c r="M50" s="2" t="inlineStr">
        <is>
          <t>D:\Shopify_Workspace\jeminise_seo\seo_runs\jeminise.com\20260906_234129\qa\20260908_183309\images\337_2_47540063273159.jpg</t>
        </is>
      </c>
      <c r="N50" s="2" t="b">
        <v>1</v>
      </c>
      <c r="O50" s="2" t="b">
        <v>1</v>
      </c>
      <c r="P50" s="2" t="b">
        <v>1</v>
      </c>
      <c r="Q50" s="2" t="b">
        <v>1</v>
      </c>
      <c r="R50" s="2" t="inlineStr">
        <is>
          <t>Close fabric view of two red cardinals, snowy village and quilting pattern.</t>
        </is>
      </c>
      <c r="S50" s="2" t="inlineStr">
        <is>
          <t>close fabric view of two cardinals, village and quilting</t>
        </is>
      </c>
      <c r="T50" s="2" t="inlineStr">
        <is>
          <t>SET</t>
        </is>
      </c>
      <c r="U50" s="2" t="inlineStr">
        <is>
          <t>Winter Cardinals on Heart Shaped Berry Branches Patchwork Christmas Quilt</t>
        </is>
      </c>
      <c r="V50" s="2" t="inlineStr">
        <is>
          <t>Heart branch cardinals Christmas quilt close fabric view</t>
        </is>
      </c>
      <c r="W50" s="2" t="inlineStr">
        <is>
          <t>FULL</t>
        </is>
      </c>
      <c r="X50" s="2" t="inlineStr">
        <is>
          <t>FULL</t>
        </is>
      </c>
      <c r="Y50" s="2" t="inlineStr">
        <is>
          <t>FULL</t>
        </is>
      </c>
      <c r="Z50" s="2" t="inlineStr">
        <is>
          <t>FULL</t>
        </is>
      </c>
      <c r="AA50" s="6">
        <f>IF(W50="FULL",40,IF(W50="PARTIAL",40/2,0))+IF(X50="FULL",30,IF(X50="PARTIAL",30/2,0))+IF(Y50="FULL",20,IF(Y50="PARTIAL",20/2,0))+IF(Z50="FULL",10,IF(Z50="PARTIAL",10/2,0))</f>
        <v/>
      </c>
      <c r="AB50" s="6">
        <f>IF(W50="NOT_CHECKED",0,40)+IF(X50="NOT_CHECKED",0,30)+IF(Y50="NOT_CHECKED",0,20)+IF(Z50="NOT_CHECKED",0,10)</f>
        <v/>
      </c>
      <c r="AC50" s="6">
        <f>IF(AB50=100,AA50,"")</f>
        <v/>
      </c>
      <c r="AD50" s="6">
        <f>AA50</f>
        <v/>
      </c>
      <c r="AE50" s="6">
        <f>AA50+(100-AB50)</f>
        <v/>
      </c>
      <c r="AF50" s="2" t="inlineStr"/>
      <c r="AG50" s="2" t="inlineStr">
        <is>
          <t>D:\Shopify_Workspace\jeminise_seo\seo_runs\jeminise.com\20260906_234129\qa\20260908_183309\images\337_2_47540063273159.jpg; D:\Shopify_Workspace\jeminise_seo\seo_runs\jeminise.com\20260906_234129\qa\20260908_183309\visual_observations.json</t>
        </is>
      </c>
    </row>
    <row r="51" ht="66" customHeight="1">
      <c r="A51" s="3" t="inlineStr">
        <is>
          <t>20260908_183309</t>
        </is>
      </c>
      <c r="B51" s="3" t="inlineStr">
        <is>
          <t>qa_batch_034_r3</t>
        </is>
      </c>
      <c r="C51" s="3" t="inlineStr">
        <is>
          <t>r3</t>
        </is>
      </c>
      <c r="D51" s="3" t="inlineStr">
        <is>
          <t>jeminise.com+winter-cardinals-on-heart-shaped-berry-branches-patchwork-christmas-quilt-de1c648f60-de1c648f60</t>
        </is>
      </c>
      <c r="E51" s="3" t="n">
        <v>337</v>
      </c>
      <c r="F51" s="3" t="inlineStr">
        <is>
          <t>winter-cardinals-on-heart-shaped-berry-branches-patchwork-christmas-quilt-de1c648f60-de1c648f60</t>
        </is>
      </c>
      <c r="G51" s="3" t="inlineStr">
        <is>
          <t>jeminise.com+winter-cardinals-on-heart-shaped-berry-branches-patchwork-christmas-quilt-de1c648f60-de1c648f60+47540063305927+GALLERY+3+83eb914900942c10</t>
        </is>
      </c>
      <c r="H51" s="3" t="inlineStr">
        <is>
          <t>47540063305927</t>
        </is>
      </c>
      <c r="I51" s="3" t="inlineStr">
        <is>
          <t>GALLERY</t>
        </is>
      </c>
      <c r="J51" s="3" t="n">
        <v>3</v>
      </c>
      <c r="K51" s="4" t="inlineStr">
        <is>
          <t>https://cdn.shopify.com/s/files/1/0792/5098/1063/files/35e1e4a037fc9621f2e16aa3fb0a254fb342977a6e2d1032580954dd15ad756c.jpg?v=1785099625</t>
        </is>
      </c>
      <c r="L51" s="4" t="inlineStr">
        <is>
          <t>https://cdn.shopify.com/s/files/1/0792/5098/1063/files/35e1e4a037fc9621f2e16aa3fb0a254fb342977a6e2d1032580954dd15ad756c.jpg?v=1785099625</t>
        </is>
      </c>
      <c r="M51" s="3" t="inlineStr">
        <is>
          <t>D:\Shopify_Workspace\jeminise_seo\seo_runs\jeminise.com\20260906_234129\qa\20260908_183309\images\337_3_47540063305927.jpg</t>
        </is>
      </c>
      <c r="N51" s="3" t="b">
        <v>1</v>
      </c>
      <c r="O51" s="3" t="b">
        <v>1</v>
      </c>
      <c r="P51" s="3" t="b">
        <v>1</v>
      </c>
      <c r="Q51" s="3" t="b">
        <v>1</v>
      </c>
      <c r="R51" s="3" t="inlineStr">
        <is>
          <t>Single pillow sham mockup with cardinals and heart branch artwork.</t>
        </is>
      </c>
      <c r="S51" s="3" t="inlineStr">
        <is>
          <t>single sham with cardinals and heart branch artwork</t>
        </is>
      </c>
      <c r="T51" s="3" t="inlineStr">
        <is>
          <t>SET</t>
        </is>
      </c>
      <c r="U51" s="3" t="inlineStr">
        <is>
          <t>Winter Cardinals on Heart Shaped Berry Branches Patchwork Christmas Quilt</t>
        </is>
      </c>
      <c r="V51" s="3" t="inlineStr">
        <is>
          <t>Heart branch cardinals Christmas quilt pillow sham</t>
        </is>
      </c>
      <c r="W51" s="3" t="inlineStr">
        <is>
          <t>FULL</t>
        </is>
      </c>
      <c r="X51" s="3" t="inlineStr">
        <is>
          <t>FULL</t>
        </is>
      </c>
      <c r="Y51" s="3" t="inlineStr">
        <is>
          <t>FULL</t>
        </is>
      </c>
      <c r="Z51" s="3" t="inlineStr">
        <is>
          <t>FULL</t>
        </is>
      </c>
      <c r="AA51" s="8">
        <f>IF(W51="FULL",40,IF(W51="PARTIAL",40/2,0))+IF(X51="FULL",30,IF(X51="PARTIAL",30/2,0))+IF(Y51="FULL",20,IF(Y51="PARTIAL",20/2,0))+IF(Z51="FULL",10,IF(Z51="PARTIAL",10/2,0))</f>
        <v/>
      </c>
      <c r="AB51" s="8">
        <f>IF(W51="NOT_CHECKED",0,40)+IF(X51="NOT_CHECKED",0,30)+IF(Y51="NOT_CHECKED",0,20)+IF(Z51="NOT_CHECKED",0,10)</f>
        <v/>
      </c>
      <c r="AC51" s="8">
        <f>IF(AB51=100,AA51,"")</f>
        <v/>
      </c>
      <c r="AD51" s="8">
        <f>AA51</f>
        <v/>
      </c>
      <c r="AE51" s="8">
        <f>AA51+(100-AB51)</f>
        <v/>
      </c>
      <c r="AF51" s="3" t="inlineStr"/>
      <c r="AG51" s="3" t="inlineStr">
        <is>
          <t>D:\Shopify_Workspace\jeminise_seo\seo_runs\jeminise.com\20260906_234129\qa\20260908_183309\images\337_3_47540063305927.jpg; D:\Shopify_Workspace\jeminise_seo\seo_runs\jeminise.com\20260906_234129\qa\20260908_183309\visual_observations.json</t>
        </is>
      </c>
    </row>
    <row r="52" ht="66" customHeight="1">
      <c r="A52" s="2" t="inlineStr">
        <is>
          <t>20260908_183309</t>
        </is>
      </c>
      <c r="B52" s="2" t="inlineStr">
        <is>
          <t>qa_batch_034_r3</t>
        </is>
      </c>
      <c r="C52" s="2" t="inlineStr">
        <is>
          <t>r3</t>
        </is>
      </c>
      <c r="D52" s="2" t="inlineStr">
        <is>
          <t>jeminise.com+winter-cardinals-on-heart-shaped-berry-branches-patchwork-christmas-quilt-de1c648f60-de1c648f60</t>
        </is>
      </c>
      <c r="E52" s="2" t="n">
        <v>337</v>
      </c>
      <c r="F52" s="2" t="inlineStr">
        <is>
          <t>winter-cardinals-on-heart-shaped-berry-branches-patchwork-christmas-quilt-de1c648f60-de1c648f60</t>
        </is>
      </c>
      <c r="G52" s="2" t="inlineStr">
        <is>
          <t>jeminise.com+winter-cardinals-on-heart-shaped-berry-branches-patchwork-christmas-quilt-de1c648f60-de1c648f60+47540063338695+GALLERY+4+887440d0c08d3332</t>
        </is>
      </c>
      <c r="H52" s="2" t="inlineStr">
        <is>
          <t>47540063338695</t>
        </is>
      </c>
      <c r="I52" s="2" t="inlineStr">
        <is>
          <t>GALLERY</t>
        </is>
      </c>
      <c r="J52" s="2" t="n">
        <v>4</v>
      </c>
      <c r="K52" s="4" t="inlineStr">
        <is>
          <t>https://cdn.shopify.com/s/files/1/0792/5098/1063/files/1a6ad3df8a2b8795e40e69564176ea97d60f06656398c584e39861aeb53159da.jpg?v=1785099625</t>
        </is>
      </c>
      <c r="L52" s="4" t="inlineStr">
        <is>
          <t>https://cdn.shopify.com/s/files/1/0792/5098/1063/files/1a6ad3df8a2b8795e40e69564176ea97d60f06656398c584e39861aeb53159da.jpg?v=1785099625</t>
        </is>
      </c>
      <c r="M52" s="2" t="inlineStr">
        <is>
          <t>D:\Shopify_Workspace\jeminise_seo\seo_runs\jeminise.com\20260906_234129\qa\20260908_183309\images\337_4_47540063338695.jpg</t>
        </is>
      </c>
      <c r="N52" s="2" t="b">
        <v>1</v>
      </c>
      <c r="O52" s="2" t="b">
        <v>1</v>
      </c>
      <c r="P52" s="2" t="b">
        <v>1</v>
      </c>
      <c r="Q52" s="2" t="b">
        <v>1</v>
      </c>
      <c r="R52" s="2" t="inlineStr">
        <is>
          <t>Room mockup of Christmas cardinal quilt set with matching pillows.</t>
        </is>
      </c>
      <c r="S52" s="2" t="inlineStr">
        <is>
          <t>room mockup of matching set</t>
        </is>
      </c>
      <c r="T52" s="2" t="inlineStr">
        <is>
          <t>SET</t>
        </is>
      </c>
      <c r="U52" s="2" t="inlineStr">
        <is>
          <t>Winter Cardinals on Heart Shaped Berry Branches Patchwork Christmas Quilt</t>
        </is>
      </c>
      <c r="V52" s="2" t="inlineStr">
        <is>
          <t>Heart branch cardinals Christmas quilt room mockup</t>
        </is>
      </c>
      <c r="W52" s="2" t="inlineStr">
        <is>
          <t>FULL</t>
        </is>
      </c>
      <c r="X52" s="2" t="inlineStr">
        <is>
          <t>FULL</t>
        </is>
      </c>
      <c r="Y52" s="2" t="inlineStr">
        <is>
          <t>FULL</t>
        </is>
      </c>
      <c r="Z52" s="2" t="inlineStr">
        <is>
          <t>FULL</t>
        </is>
      </c>
      <c r="AA52" s="6">
        <f>IF(W52="FULL",40,IF(W52="PARTIAL",40/2,0))+IF(X52="FULL",30,IF(X52="PARTIAL",30/2,0))+IF(Y52="FULL",20,IF(Y52="PARTIAL",20/2,0))+IF(Z52="FULL",10,IF(Z52="PARTIAL",10/2,0))</f>
        <v/>
      </c>
      <c r="AB52" s="6">
        <f>IF(W52="NOT_CHECKED",0,40)+IF(X52="NOT_CHECKED",0,30)+IF(Y52="NOT_CHECKED",0,20)+IF(Z52="NOT_CHECKED",0,10)</f>
        <v/>
      </c>
      <c r="AC52" s="6">
        <f>IF(AB52=100,AA52,"")</f>
        <v/>
      </c>
      <c r="AD52" s="6">
        <f>AA52</f>
        <v/>
      </c>
      <c r="AE52" s="6">
        <f>AA52+(100-AB52)</f>
        <v/>
      </c>
      <c r="AF52" s="2" t="inlineStr"/>
      <c r="AG52" s="2" t="inlineStr">
        <is>
          <t>D:\Shopify_Workspace\jeminise_seo\seo_runs\jeminise.com\20260906_234129\qa\20260908_183309\images\337_4_47540063338695.jpg; D:\Shopify_Workspace\jeminise_seo\seo_runs\jeminise.com\20260906_234129\qa\20260908_183309\visual_observations.json</t>
        </is>
      </c>
    </row>
    <row r="53" ht="66" customHeight="1">
      <c r="A53" s="3" t="inlineStr">
        <is>
          <t>20260908_183309</t>
        </is>
      </c>
      <c r="B53" s="3" t="inlineStr">
        <is>
          <t>qa_batch_034_r3</t>
        </is>
      </c>
      <c r="C53" s="3" t="inlineStr">
        <is>
          <t>r3</t>
        </is>
      </c>
      <c r="D53" s="3" t="inlineStr">
        <is>
          <t>jeminise.com+winter-cardinals-on-heart-shaped-berry-branches-patchwork-christmas-quilt-de1c648f60-de1c648f60</t>
        </is>
      </c>
      <c r="E53" s="3" t="n">
        <v>337</v>
      </c>
      <c r="F53" s="3" t="inlineStr">
        <is>
          <t>winter-cardinals-on-heart-shaped-berry-branches-patchwork-christmas-quilt-de1c648f60-de1c648f60</t>
        </is>
      </c>
      <c r="G53" s="3" t="inlineStr">
        <is>
          <t>jeminise.com+winter-cardinals-on-heart-shaped-berry-branches-patchwork-christmas-quilt-de1c648f60-de1c648f60+47540063371463+GALLERY+5+f44efb7f42d71f1b</t>
        </is>
      </c>
      <c r="H53" s="3" t="inlineStr">
        <is>
          <t>47540063371463</t>
        </is>
      </c>
      <c r="I53" s="3" t="inlineStr">
        <is>
          <t>GALLERY</t>
        </is>
      </c>
      <c r="J53" s="3" t="n">
        <v>5</v>
      </c>
      <c r="K53" s="4" t="inlineStr">
        <is>
          <t>https://cdn.shopify.com/s/files/1/0792/5098/1063/files/66228c0e133cfa4d81922fb5a9d9047c26bd914987208d5e722509b0542ef0eb.jpg?v=1785099625</t>
        </is>
      </c>
      <c r="L53" s="4" t="inlineStr">
        <is>
          <t>https://cdn.shopify.com/s/files/1/0792/5098/1063/files/66228c0e133cfa4d81922fb5a9d9047c26bd914987208d5e722509b0542ef0eb.jpg?v=1785099625</t>
        </is>
      </c>
      <c r="M53" s="3" t="inlineStr">
        <is>
          <t>D:\Shopify_Workspace\jeminise_seo\seo_runs\jeminise.com\20260906_234129\qa\20260908_183309\images\337_5_47540063371463.jpg</t>
        </is>
      </c>
      <c r="N53" s="3" t="b">
        <v>1</v>
      </c>
      <c r="O53" s="3" t="b">
        <v>1</v>
      </c>
      <c r="P53" s="3" t="b">
        <v>1</v>
      </c>
      <c r="Q53" s="3" t="b">
        <v>1</v>
      </c>
      <c r="R53" s="3" t="inlineStr">
        <is>
          <t>Bedding set panel showing premium quilt sizes and optional standard shams.</t>
        </is>
      </c>
      <c r="S53" s="3" t="inlineStr">
        <is>
          <t>size/component panel with optional standard shams</t>
        </is>
      </c>
      <c r="T53" s="3" t="inlineStr">
        <is>
          <t>SET</t>
        </is>
      </c>
      <c r="U53" s="3" t="inlineStr">
        <is>
          <t>Winter Cardinals on Heart Shaped Berry Branches Patchwork Christmas Quilt</t>
        </is>
      </c>
      <c r="V53" s="3" t="inlineStr">
        <is>
          <t>Heart branch cardinals Christmas quilt size panel</t>
        </is>
      </c>
      <c r="W53" s="3" t="inlineStr">
        <is>
          <t>FULL</t>
        </is>
      </c>
      <c r="X53" s="3" t="inlineStr">
        <is>
          <t>FULL</t>
        </is>
      </c>
      <c r="Y53" s="3" t="inlineStr">
        <is>
          <t>FULL</t>
        </is>
      </c>
      <c r="Z53" s="3" t="inlineStr">
        <is>
          <t>FULL</t>
        </is>
      </c>
      <c r="AA53" s="8">
        <f>IF(W53="FULL",40,IF(W53="PARTIAL",40/2,0))+IF(X53="FULL",30,IF(X53="PARTIAL",30/2,0))+IF(Y53="FULL",20,IF(Y53="PARTIAL",20/2,0))+IF(Z53="FULL",10,IF(Z53="PARTIAL",10/2,0))</f>
        <v/>
      </c>
      <c r="AB53" s="8">
        <f>IF(W53="NOT_CHECKED",0,40)+IF(X53="NOT_CHECKED",0,30)+IF(Y53="NOT_CHECKED",0,20)+IF(Z53="NOT_CHECKED",0,10)</f>
        <v/>
      </c>
      <c r="AC53" s="8">
        <f>IF(AB53=100,AA53,"")</f>
        <v/>
      </c>
      <c r="AD53" s="8">
        <f>AA53</f>
        <v/>
      </c>
      <c r="AE53" s="8">
        <f>AA53+(100-AB53)</f>
        <v/>
      </c>
      <c r="AF53" s="3" t="inlineStr"/>
      <c r="AG53" s="3" t="inlineStr">
        <is>
          <t>D:\Shopify_Workspace\jeminise_seo\seo_runs\jeminise.com\20260906_234129\qa\20260908_183309\images\337_5_47540063371463.jpg; D:\Shopify_Workspace\jeminise_seo\seo_runs\jeminise.com\20260906_234129\qa\20260908_183309\visual_observations.json</t>
        </is>
      </c>
    </row>
    <row r="54" ht="66" customHeight="1">
      <c r="A54" s="2" t="inlineStr">
        <is>
          <t>20260908_183309</t>
        </is>
      </c>
      <c r="B54" s="2" t="inlineStr">
        <is>
          <t>qa_batch_034_r3</t>
        </is>
      </c>
      <c r="C54" s="2" t="inlineStr">
        <is>
          <t>r3</t>
        </is>
      </c>
      <c r="D54" s="2" t="inlineStr">
        <is>
          <t>jeminise.com+winter-cat-and-cardinal-sitting-on-snowy-patchwork-christmas-quilt-82f86611f4-82f86611f4</t>
        </is>
      </c>
      <c r="E54" s="2" t="n">
        <v>338</v>
      </c>
      <c r="F54" s="2" t="inlineStr">
        <is>
          <t>winter-cat-and-cardinal-sitting-on-snowy-patchwork-christmas-quilt-82f86611f4-82f86611f4</t>
        </is>
      </c>
      <c r="G54" s="2" t="inlineStr">
        <is>
          <t>jeminise.com+winter-cat-and-cardinal-sitting-on-snowy-patchwork-christmas-quilt-82f86611f4-82f86611f4+47540035649735+GALLERY+1+1388a987df267840</t>
        </is>
      </c>
      <c r="H54" s="2" t="inlineStr">
        <is>
          <t>47540035649735</t>
        </is>
      </c>
      <c r="I54" s="2" t="inlineStr">
        <is>
          <t>GALLERY</t>
        </is>
      </c>
      <c r="J54" s="2" t="n">
        <v>1</v>
      </c>
      <c r="K54" s="4" t="inlineStr">
        <is>
          <t>https://cdn.shopify.com/s/files/1/0792/5098/1063/files/a7d533bd135fe7f47c558a3c6e1115f017b4b84bd401f77466f8f0b8e2c87cc0.jpg?v=1785099406</t>
        </is>
      </c>
      <c r="L54" s="4" t="inlineStr">
        <is>
          <t>https://cdn.shopify.com/s/files/1/0792/5098/1063/files/a7d533bd135fe7f47c558a3c6e1115f017b4b84bd401f77466f8f0b8e2c87cc0.jpg?v=1785099406</t>
        </is>
      </c>
      <c r="M54" s="2" t="inlineStr">
        <is>
          <t>D:\Shopify_Workspace\jeminise_seo\seo_runs\jeminise.com\20260906_234129\qa\20260908_183309\images\338_1_47540035649735.jpg</t>
        </is>
      </c>
      <c r="N54" s="2" t="b">
        <v>1</v>
      </c>
      <c r="O54" s="2" t="b">
        <v>1</v>
      </c>
      <c r="P54" s="2" t="b">
        <v>1</v>
      </c>
      <c r="Q54" s="2" t="b">
        <v>1</v>
      </c>
      <c r="R54" s="2" t="inlineStr">
        <is>
          <t>Bed mockup of winter cat and cardinal quilt with snowy branches and It's Well With My Soul text.</t>
        </is>
      </c>
      <c r="S54" s="2" t="inlineStr">
        <is>
          <t>bed mockup: gray kitten and red cardinal on snowy branch with fixed text “It’s Well With My Soul”</t>
        </is>
      </c>
      <c r="T54" s="2" t="inlineStr">
        <is>
          <t>SET</t>
        </is>
      </c>
      <c r="U54" s="2" t="inlineStr">
        <is>
          <t>Winter Cat and Cardinal Sitting on Snowy Patchwork Christmas Quilt</t>
        </is>
      </c>
      <c r="V54" s="2" t="inlineStr">
        <is>
          <t>Winter cat cardinal Christmas quilt bed view</t>
        </is>
      </c>
      <c r="W54" s="2" t="inlineStr">
        <is>
          <t>FULL</t>
        </is>
      </c>
      <c r="X54" s="2" t="inlineStr">
        <is>
          <t>FULL</t>
        </is>
      </c>
      <c r="Y54" s="2" t="inlineStr">
        <is>
          <t>FULL</t>
        </is>
      </c>
      <c r="Z54" s="2" t="inlineStr">
        <is>
          <t>FULL</t>
        </is>
      </c>
      <c r="AA54" s="6">
        <f>IF(W54="FULL",40,IF(W54="PARTIAL",40/2,0))+IF(X54="FULL",30,IF(X54="PARTIAL",30/2,0))+IF(Y54="FULL",20,IF(Y54="PARTIAL",20/2,0))+IF(Z54="FULL",10,IF(Z54="PARTIAL",10/2,0))</f>
        <v/>
      </c>
      <c r="AB54" s="6">
        <f>IF(W54="NOT_CHECKED",0,40)+IF(X54="NOT_CHECKED",0,30)+IF(Y54="NOT_CHECKED",0,20)+IF(Z54="NOT_CHECKED",0,10)</f>
        <v/>
      </c>
      <c r="AC54" s="6">
        <f>IF(AB54=100,AA54,"")</f>
        <v/>
      </c>
      <c r="AD54" s="6">
        <f>AA54</f>
        <v/>
      </c>
      <c r="AE54" s="6">
        <f>AA54+(100-AB54)</f>
        <v/>
      </c>
      <c r="AF54" s="2" t="inlineStr"/>
      <c r="AG54" s="2" t="inlineStr">
        <is>
          <t>D:\Shopify_Workspace\jeminise_seo\seo_runs\jeminise.com\20260906_234129\qa\20260908_183309\images\338_1_47540035649735.jpg; D:\Shopify_Workspace\jeminise_seo\seo_runs\jeminise.com\20260906_234129\qa\20260908_183309\visual_observations.json</t>
        </is>
      </c>
    </row>
    <row r="55" ht="66" customHeight="1">
      <c r="A55" s="3" t="inlineStr">
        <is>
          <t>20260908_183309</t>
        </is>
      </c>
      <c r="B55" s="3" t="inlineStr">
        <is>
          <t>qa_batch_034_r3</t>
        </is>
      </c>
      <c r="C55" s="3" t="inlineStr">
        <is>
          <t>r3</t>
        </is>
      </c>
      <c r="D55" s="3" t="inlineStr">
        <is>
          <t>jeminise.com+winter-cat-and-cardinal-sitting-on-snowy-patchwork-christmas-quilt-82f86611f4-82f86611f4</t>
        </is>
      </c>
      <c r="E55" s="3" t="n">
        <v>338</v>
      </c>
      <c r="F55" s="3" t="inlineStr">
        <is>
          <t>winter-cat-and-cardinal-sitting-on-snowy-patchwork-christmas-quilt-82f86611f4-82f86611f4</t>
        </is>
      </c>
      <c r="G55" s="3" t="inlineStr">
        <is>
          <t>jeminise.com+winter-cat-and-cardinal-sitting-on-snowy-patchwork-christmas-quilt-82f86611f4-82f86611f4+47540035682503+GALLERY+2+6f691af87196ac40</t>
        </is>
      </c>
      <c r="H55" s="3" t="inlineStr">
        <is>
          <t>47540035682503</t>
        </is>
      </c>
      <c r="I55" s="3" t="inlineStr">
        <is>
          <t>GALLERY</t>
        </is>
      </c>
      <c r="J55" s="3" t="n">
        <v>2</v>
      </c>
      <c r="K55" s="4" t="inlineStr">
        <is>
          <t>https://cdn.shopify.com/s/files/1/0792/5098/1063/files/f13bdc67ae77d7580877474e2a602fe21f215bb388d6901eb2524f780df777b5.jpg?v=1785099406</t>
        </is>
      </c>
      <c r="L55" s="4" t="inlineStr">
        <is>
          <t>https://cdn.shopify.com/s/files/1/0792/5098/1063/files/f13bdc67ae77d7580877474e2a602fe21f215bb388d6901eb2524f780df777b5.jpg?v=1785099406</t>
        </is>
      </c>
      <c r="M55" s="3" t="inlineStr">
        <is>
          <t>D:\Shopify_Workspace\jeminise_seo\seo_runs\jeminise.com\20260906_234129\qa\20260908_183309\images\338_2_47540035682503.jpg</t>
        </is>
      </c>
      <c r="N55" s="3" t="b">
        <v>1</v>
      </c>
      <c r="O55" s="3" t="b">
        <v>1</v>
      </c>
      <c r="P55" s="3" t="b">
        <v>1</v>
      </c>
      <c r="Q55" s="3" t="b">
        <v>1</v>
      </c>
      <c r="R55" s="3" t="inlineStr">
        <is>
          <t>Close fabric view of gray kitten face, red cardinal beak and quilting pattern.</t>
        </is>
      </c>
      <c r="S55" s="3" t="inlineStr">
        <is>
          <t>close fabric view of kitten face, red cardinal and quilting</t>
        </is>
      </c>
      <c r="T55" s="3" t="inlineStr">
        <is>
          <t>SET</t>
        </is>
      </c>
      <c r="U55" s="3" t="inlineStr">
        <is>
          <t>Winter Cat and Cardinal Sitting on Snowy Patchwork Christmas Quilt</t>
        </is>
      </c>
      <c r="V55" s="3" t="inlineStr">
        <is>
          <t>Winter cat cardinal Christmas quilt close fabric view</t>
        </is>
      </c>
      <c r="W55" s="3" t="inlineStr">
        <is>
          <t>FULL</t>
        </is>
      </c>
      <c r="X55" s="3" t="inlineStr">
        <is>
          <t>FULL</t>
        </is>
      </c>
      <c r="Y55" s="3" t="inlineStr">
        <is>
          <t>FULL</t>
        </is>
      </c>
      <c r="Z55" s="3" t="inlineStr">
        <is>
          <t>FULL</t>
        </is>
      </c>
      <c r="AA55" s="8">
        <f>IF(W55="FULL",40,IF(W55="PARTIAL",40/2,0))+IF(X55="FULL",30,IF(X55="PARTIAL",30/2,0))+IF(Y55="FULL",20,IF(Y55="PARTIAL",20/2,0))+IF(Z55="FULL",10,IF(Z55="PARTIAL",10/2,0))</f>
        <v/>
      </c>
      <c r="AB55" s="8">
        <f>IF(W55="NOT_CHECKED",0,40)+IF(X55="NOT_CHECKED",0,30)+IF(Y55="NOT_CHECKED",0,20)+IF(Z55="NOT_CHECKED",0,10)</f>
        <v/>
      </c>
      <c r="AC55" s="8">
        <f>IF(AB55=100,AA55,"")</f>
        <v/>
      </c>
      <c r="AD55" s="8">
        <f>AA55</f>
        <v/>
      </c>
      <c r="AE55" s="8">
        <f>AA55+(100-AB55)</f>
        <v/>
      </c>
      <c r="AF55" s="3" t="inlineStr"/>
      <c r="AG55" s="3" t="inlineStr">
        <is>
          <t>D:\Shopify_Workspace\jeminise_seo\seo_runs\jeminise.com\20260906_234129\qa\20260908_183309\images\338_2_47540035682503.jpg; D:\Shopify_Workspace\jeminise_seo\seo_runs\jeminise.com\20260906_234129\qa\20260908_183309\visual_observations.json</t>
        </is>
      </c>
    </row>
    <row r="56" ht="66" customHeight="1">
      <c r="A56" s="2" t="inlineStr">
        <is>
          <t>20260908_183309</t>
        </is>
      </c>
      <c r="B56" s="2" t="inlineStr">
        <is>
          <t>qa_batch_034_r3</t>
        </is>
      </c>
      <c r="C56" s="2" t="inlineStr">
        <is>
          <t>r3</t>
        </is>
      </c>
      <c r="D56" s="2" t="inlineStr">
        <is>
          <t>jeminise.com+winter-cat-and-cardinal-sitting-on-snowy-patchwork-christmas-quilt-82f86611f4-82f86611f4</t>
        </is>
      </c>
      <c r="E56" s="2" t="n">
        <v>338</v>
      </c>
      <c r="F56" s="2" t="inlineStr">
        <is>
          <t>winter-cat-and-cardinal-sitting-on-snowy-patchwork-christmas-quilt-82f86611f4-82f86611f4</t>
        </is>
      </c>
      <c r="G56" s="2" t="inlineStr">
        <is>
          <t>jeminise.com+winter-cat-and-cardinal-sitting-on-snowy-patchwork-christmas-quilt-82f86611f4-82f86611f4+47540035715271+GALLERY+3+ecdb81d536919ea9</t>
        </is>
      </c>
      <c r="H56" s="2" t="inlineStr">
        <is>
          <t>47540035715271</t>
        </is>
      </c>
      <c r="I56" s="2" t="inlineStr">
        <is>
          <t>GALLERY</t>
        </is>
      </c>
      <c r="J56" s="2" t="n">
        <v>3</v>
      </c>
      <c r="K56" s="4" t="inlineStr">
        <is>
          <t>https://cdn.shopify.com/s/files/1/0792/5098/1063/files/99da6765167e29adf0c46ba9a6839da918241411f82d6536c2e3f5d66b8212f4.jpg?v=1785099406</t>
        </is>
      </c>
      <c r="L56" s="4" t="inlineStr">
        <is>
          <t>https://cdn.shopify.com/s/files/1/0792/5098/1063/files/99da6765167e29adf0c46ba9a6839da918241411f82d6536c2e3f5d66b8212f4.jpg?v=1785099406</t>
        </is>
      </c>
      <c r="M56" s="2" t="inlineStr">
        <is>
          <t>D:\Shopify_Workspace\jeminise_seo\seo_runs\jeminise.com\20260906_234129\qa\20260908_183309\images\338_3_47540035715271.jpg</t>
        </is>
      </c>
      <c r="N56" s="2" t="b">
        <v>1</v>
      </c>
      <c r="O56" s="2" t="b">
        <v>1</v>
      </c>
      <c r="P56" s="2" t="b">
        <v>1</v>
      </c>
      <c r="Q56" s="2" t="b">
        <v>1</v>
      </c>
      <c r="R56" s="2" t="inlineStr">
        <is>
          <t>Single pillow sham mockup with gray kitten, red cardinal and script text.</t>
        </is>
      </c>
      <c r="S56" s="2" t="inlineStr">
        <is>
          <t>single sham with kitten/cardinal and script text</t>
        </is>
      </c>
      <c r="T56" s="2" t="inlineStr">
        <is>
          <t>SET</t>
        </is>
      </c>
      <c r="U56" s="2" t="inlineStr">
        <is>
          <t>Winter Cat and Cardinal Sitting on Snowy Patchwork Christmas Quilt</t>
        </is>
      </c>
      <c r="V56" s="2" t="inlineStr">
        <is>
          <t>Winter cat cardinal Christmas quilt pillow sham</t>
        </is>
      </c>
      <c r="W56" s="2" t="inlineStr">
        <is>
          <t>FULL</t>
        </is>
      </c>
      <c r="X56" s="2" t="inlineStr">
        <is>
          <t>FULL</t>
        </is>
      </c>
      <c r="Y56" s="2" t="inlineStr">
        <is>
          <t>FULL</t>
        </is>
      </c>
      <c r="Z56" s="2" t="inlineStr">
        <is>
          <t>FULL</t>
        </is>
      </c>
      <c r="AA56" s="6">
        <f>IF(W56="FULL",40,IF(W56="PARTIAL",40/2,0))+IF(X56="FULL",30,IF(X56="PARTIAL",30/2,0))+IF(Y56="FULL",20,IF(Y56="PARTIAL",20/2,0))+IF(Z56="FULL",10,IF(Z56="PARTIAL",10/2,0))</f>
        <v/>
      </c>
      <c r="AB56" s="6">
        <f>IF(W56="NOT_CHECKED",0,40)+IF(X56="NOT_CHECKED",0,30)+IF(Y56="NOT_CHECKED",0,20)+IF(Z56="NOT_CHECKED",0,10)</f>
        <v/>
      </c>
      <c r="AC56" s="6">
        <f>IF(AB56=100,AA56,"")</f>
        <v/>
      </c>
      <c r="AD56" s="6">
        <f>AA56</f>
        <v/>
      </c>
      <c r="AE56" s="6">
        <f>AA56+(100-AB56)</f>
        <v/>
      </c>
      <c r="AF56" s="2" t="inlineStr"/>
      <c r="AG56" s="2" t="inlineStr">
        <is>
          <t>D:\Shopify_Workspace\jeminise_seo\seo_runs\jeminise.com\20260906_234129\qa\20260908_183309\images\338_3_47540035715271.jpg; D:\Shopify_Workspace\jeminise_seo\seo_runs\jeminise.com\20260906_234129\qa\20260908_183309\visual_observations.json</t>
        </is>
      </c>
    </row>
    <row r="57" ht="66" customHeight="1">
      <c r="A57" s="3" t="inlineStr">
        <is>
          <t>20260908_183309</t>
        </is>
      </c>
      <c r="B57" s="3" t="inlineStr">
        <is>
          <t>qa_batch_034_r3</t>
        </is>
      </c>
      <c r="C57" s="3" t="inlineStr">
        <is>
          <t>r3</t>
        </is>
      </c>
      <c r="D57" s="3" t="inlineStr">
        <is>
          <t>jeminise.com+winter-cat-and-cardinal-sitting-on-snowy-patchwork-christmas-quilt-82f86611f4-82f86611f4</t>
        </is>
      </c>
      <c r="E57" s="3" t="n">
        <v>338</v>
      </c>
      <c r="F57" s="3" t="inlineStr">
        <is>
          <t>winter-cat-and-cardinal-sitting-on-snowy-patchwork-christmas-quilt-82f86611f4-82f86611f4</t>
        </is>
      </c>
      <c r="G57" s="3" t="inlineStr">
        <is>
          <t>jeminise.com+winter-cat-and-cardinal-sitting-on-snowy-patchwork-christmas-quilt-82f86611f4-82f86611f4+47540035748039+GALLERY+4+bf6eaa200778f6f6</t>
        </is>
      </c>
      <c r="H57" s="3" t="inlineStr">
        <is>
          <t>47540035748039</t>
        </is>
      </c>
      <c r="I57" s="3" t="inlineStr">
        <is>
          <t>GALLERY</t>
        </is>
      </c>
      <c r="J57" s="3" t="n">
        <v>4</v>
      </c>
      <c r="K57" s="4" t="inlineStr">
        <is>
          <t>https://cdn.shopify.com/s/files/1/0792/5098/1063/files/bac40deee2f526e68693e07fa0d0b95d19fbbf09c7e972b82c94382d2341c996.jpg?v=1785099406</t>
        </is>
      </c>
      <c r="L57" s="4" t="inlineStr">
        <is>
          <t>https://cdn.shopify.com/s/files/1/0792/5098/1063/files/bac40deee2f526e68693e07fa0d0b95d19fbbf09c7e972b82c94382d2341c996.jpg?v=1785099406</t>
        </is>
      </c>
      <c r="M57" s="3" t="inlineStr">
        <is>
          <t>D:\Shopify_Workspace\jeminise_seo\seo_runs\jeminise.com\20260906_234129\qa\20260908_183309\images\338_4_47540035748039.jpg</t>
        </is>
      </c>
      <c r="N57" s="3" t="b">
        <v>1</v>
      </c>
      <c r="O57" s="3" t="b">
        <v>1</v>
      </c>
      <c r="P57" s="3" t="b">
        <v>1</v>
      </c>
      <c r="Q57" s="3" t="b">
        <v>1</v>
      </c>
      <c r="R57" s="3" t="inlineStr">
        <is>
          <t>Room mockup of winter cat cardinal quilt set with matching pillows.</t>
        </is>
      </c>
      <c r="S57" s="3" t="inlineStr">
        <is>
          <t>room mockup of winter cat/cardinal quilt set</t>
        </is>
      </c>
      <c r="T57" s="3" t="inlineStr">
        <is>
          <t>SET</t>
        </is>
      </c>
      <c r="U57" s="3" t="inlineStr">
        <is>
          <t>Winter Cat and Cardinal Sitting on Snowy Patchwork Christmas Quilt</t>
        </is>
      </c>
      <c r="V57" s="3" t="inlineStr">
        <is>
          <t>Winter cat cardinal Christmas quilt room mockup</t>
        </is>
      </c>
      <c r="W57" s="3" t="inlineStr">
        <is>
          <t>FULL</t>
        </is>
      </c>
      <c r="X57" s="3" t="inlineStr">
        <is>
          <t>FULL</t>
        </is>
      </c>
      <c r="Y57" s="3" t="inlineStr">
        <is>
          <t>FULL</t>
        </is>
      </c>
      <c r="Z57" s="3" t="inlineStr">
        <is>
          <t>FULL</t>
        </is>
      </c>
      <c r="AA57" s="8">
        <f>IF(W57="FULL",40,IF(W57="PARTIAL",40/2,0))+IF(X57="FULL",30,IF(X57="PARTIAL",30/2,0))+IF(Y57="FULL",20,IF(Y57="PARTIAL",20/2,0))+IF(Z57="FULL",10,IF(Z57="PARTIAL",10/2,0))</f>
        <v/>
      </c>
      <c r="AB57" s="8">
        <f>IF(W57="NOT_CHECKED",0,40)+IF(X57="NOT_CHECKED",0,30)+IF(Y57="NOT_CHECKED",0,20)+IF(Z57="NOT_CHECKED",0,10)</f>
        <v/>
      </c>
      <c r="AC57" s="8">
        <f>IF(AB57=100,AA57,"")</f>
        <v/>
      </c>
      <c r="AD57" s="8">
        <f>AA57</f>
        <v/>
      </c>
      <c r="AE57" s="8">
        <f>AA57+(100-AB57)</f>
        <v/>
      </c>
      <c r="AF57" s="3" t="inlineStr"/>
      <c r="AG57" s="3" t="inlineStr">
        <is>
          <t>D:\Shopify_Workspace\jeminise_seo\seo_runs\jeminise.com\20260906_234129\qa\20260908_183309\images\338_4_47540035748039.jpg; D:\Shopify_Workspace\jeminise_seo\seo_runs\jeminise.com\20260906_234129\qa\20260908_183309\visual_observations.json</t>
        </is>
      </c>
    </row>
    <row r="58" ht="66" customHeight="1">
      <c r="A58" s="2" t="inlineStr">
        <is>
          <t>20260908_183309</t>
        </is>
      </c>
      <c r="B58" s="2" t="inlineStr">
        <is>
          <t>qa_batch_034_r3</t>
        </is>
      </c>
      <c r="C58" s="2" t="inlineStr">
        <is>
          <t>r3</t>
        </is>
      </c>
      <c r="D58" s="2" t="inlineStr">
        <is>
          <t>jeminise.com+winter-cat-and-cardinal-sitting-on-snowy-patchwork-christmas-quilt-82f86611f4-82f86611f4</t>
        </is>
      </c>
      <c r="E58" s="2" t="n">
        <v>338</v>
      </c>
      <c r="F58" s="2" t="inlineStr">
        <is>
          <t>winter-cat-and-cardinal-sitting-on-snowy-patchwork-christmas-quilt-82f86611f4-82f86611f4</t>
        </is>
      </c>
      <c r="G58" s="2" t="inlineStr">
        <is>
          <t>jeminise.com+winter-cat-and-cardinal-sitting-on-snowy-patchwork-christmas-quilt-82f86611f4-82f86611f4+47540035780807+GALLERY+5+dda7269f41de5b34</t>
        </is>
      </c>
      <c r="H58" s="2" t="inlineStr">
        <is>
          <t>47540035780807</t>
        </is>
      </c>
      <c r="I58" s="2" t="inlineStr">
        <is>
          <t>GALLERY</t>
        </is>
      </c>
      <c r="J58" s="2" t="n">
        <v>5</v>
      </c>
      <c r="K58" s="4" t="inlineStr">
        <is>
          <t>https://cdn.shopify.com/s/files/1/0792/5098/1063/files/5e0d1c08967537d1b43a4a0780314fa2b213c10a311ce9ea427e94ae3dfd7c7e.jpg?v=1785099406</t>
        </is>
      </c>
      <c r="L58" s="4" t="inlineStr">
        <is>
          <t>https://cdn.shopify.com/s/files/1/0792/5098/1063/files/5e0d1c08967537d1b43a4a0780314fa2b213c10a311ce9ea427e94ae3dfd7c7e.jpg?v=1785099406</t>
        </is>
      </c>
      <c r="M58" s="2" t="inlineStr">
        <is>
          <t>D:\Shopify_Workspace\jeminise_seo\seo_runs\jeminise.com\20260906_234129\qa\20260908_183309\images\338_5_47540035780807.jpg</t>
        </is>
      </c>
      <c r="N58" s="2" t="b">
        <v>1</v>
      </c>
      <c r="O58" s="2" t="b">
        <v>1</v>
      </c>
      <c r="P58" s="2" t="b">
        <v>1</v>
      </c>
      <c r="Q58" s="2" t="b">
        <v>1</v>
      </c>
      <c r="R58" s="2" t="inlineStr">
        <is>
          <t>Bedding set panel showing premium quilt sizes and optional standard shams.</t>
        </is>
      </c>
      <c r="S58" s="2" t="inlineStr">
        <is>
          <t>size/component panel with optional standard shams</t>
        </is>
      </c>
      <c r="T58" s="2" t="inlineStr">
        <is>
          <t>SET</t>
        </is>
      </c>
      <c r="U58" s="2" t="inlineStr">
        <is>
          <t>Winter Cat and Cardinal Sitting on Snowy Patchwork Christmas Quilt</t>
        </is>
      </c>
      <c r="V58" s="2" t="inlineStr">
        <is>
          <t>Winter cat cardinal Christmas quilt size panel</t>
        </is>
      </c>
      <c r="W58" s="2" t="inlineStr">
        <is>
          <t>FULL</t>
        </is>
      </c>
      <c r="X58" s="2" t="inlineStr">
        <is>
          <t>FULL</t>
        </is>
      </c>
      <c r="Y58" s="2" t="inlineStr">
        <is>
          <t>FULL</t>
        </is>
      </c>
      <c r="Z58" s="2" t="inlineStr">
        <is>
          <t>FULL</t>
        </is>
      </c>
      <c r="AA58" s="6">
        <f>IF(W58="FULL",40,IF(W58="PARTIAL",40/2,0))+IF(X58="FULL",30,IF(X58="PARTIAL",30/2,0))+IF(Y58="FULL",20,IF(Y58="PARTIAL",20/2,0))+IF(Z58="FULL",10,IF(Z58="PARTIAL",10/2,0))</f>
        <v/>
      </c>
      <c r="AB58" s="6">
        <f>IF(W58="NOT_CHECKED",0,40)+IF(X58="NOT_CHECKED",0,30)+IF(Y58="NOT_CHECKED",0,20)+IF(Z58="NOT_CHECKED",0,10)</f>
        <v/>
      </c>
      <c r="AC58" s="6">
        <f>IF(AB58=100,AA58,"")</f>
        <v/>
      </c>
      <c r="AD58" s="6">
        <f>AA58</f>
        <v/>
      </c>
      <c r="AE58" s="6">
        <f>AA58+(100-AB58)</f>
        <v/>
      </c>
      <c r="AF58" s="2" t="inlineStr"/>
      <c r="AG58" s="2" t="inlineStr">
        <is>
          <t>D:\Shopify_Workspace\jeminise_seo\seo_runs\jeminise.com\20260906_234129\qa\20260908_183309\images\338_5_47540035780807.jpg; D:\Shopify_Workspace\jeminise_seo\seo_runs\jeminise.com\20260906_234129\qa\20260908_183309\visual_observations.json</t>
        </is>
      </c>
    </row>
  </sheetData>
  <autoFilter ref="A1:AG58"/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K3" r:id="rId3"/>
    <hyperlink xmlns:r="http://schemas.openxmlformats.org/officeDocument/2006/relationships" ref="L3" r:id="rId4"/>
    <hyperlink xmlns:r="http://schemas.openxmlformats.org/officeDocument/2006/relationships" ref="K4" r:id="rId5"/>
    <hyperlink xmlns:r="http://schemas.openxmlformats.org/officeDocument/2006/relationships" ref="L4" r:id="rId6"/>
    <hyperlink xmlns:r="http://schemas.openxmlformats.org/officeDocument/2006/relationships" ref="K5" r:id="rId7"/>
    <hyperlink xmlns:r="http://schemas.openxmlformats.org/officeDocument/2006/relationships" ref="L5" r:id="rId8"/>
    <hyperlink xmlns:r="http://schemas.openxmlformats.org/officeDocument/2006/relationships" ref="K6" r:id="rId9"/>
    <hyperlink xmlns:r="http://schemas.openxmlformats.org/officeDocument/2006/relationships" ref="L6" r:id="rId10"/>
    <hyperlink xmlns:r="http://schemas.openxmlformats.org/officeDocument/2006/relationships" ref="K7" r:id="rId11"/>
    <hyperlink xmlns:r="http://schemas.openxmlformats.org/officeDocument/2006/relationships" ref="L7" r:id="rId12"/>
    <hyperlink xmlns:r="http://schemas.openxmlformats.org/officeDocument/2006/relationships" ref="K8" r:id="rId13"/>
    <hyperlink xmlns:r="http://schemas.openxmlformats.org/officeDocument/2006/relationships" ref="L8" r:id="rId14"/>
    <hyperlink xmlns:r="http://schemas.openxmlformats.org/officeDocument/2006/relationships" ref="K9" r:id="rId15"/>
    <hyperlink xmlns:r="http://schemas.openxmlformats.org/officeDocument/2006/relationships" ref="L9" r:id="rId16"/>
    <hyperlink xmlns:r="http://schemas.openxmlformats.org/officeDocument/2006/relationships" ref="K10" r:id="rId17"/>
    <hyperlink xmlns:r="http://schemas.openxmlformats.org/officeDocument/2006/relationships" ref="L10" r:id="rId18"/>
    <hyperlink xmlns:r="http://schemas.openxmlformats.org/officeDocument/2006/relationships" ref="K11" r:id="rId19"/>
    <hyperlink xmlns:r="http://schemas.openxmlformats.org/officeDocument/2006/relationships" ref="L11" r:id="rId20"/>
    <hyperlink xmlns:r="http://schemas.openxmlformats.org/officeDocument/2006/relationships" ref="K12" r:id="rId21"/>
    <hyperlink xmlns:r="http://schemas.openxmlformats.org/officeDocument/2006/relationships" ref="L12" r:id="rId22"/>
    <hyperlink xmlns:r="http://schemas.openxmlformats.org/officeDocument/2006/relationships" ref="K13" r:id="rId23"/>
    <hyperlink xmlns:r="http://schemas.openxmlformats.org/officeDocument/2006/relationships" ref="L13" r:id="rId24"/>
    <hyperlink xmlns:r="http://schemas.openxmlformats.org/officeDocument/2006/relationships" ref="K14" r:id="rId25"/>
    <hyperlink xmlns:r="http://schemas.openxmlformats.org/officeDocument/2006/relationships" ref="L14" r:id="rId26"/>
    <hyperlink xmlns:r="http://schemas.openxmlformats.org/officeDocument/2006/relationships" ref="K15" r:id="rId27"/>
    <hyperlink xmlns:r="http://schemas.openxmlformats.org/officeDocument/2006/relationships" ref="L15" r:id="rId28"/>
    <hyperlink xmlns:r="http://schemas.openxmlformats.org/officeDocument/2006/relationships" ref="K16" r:id="rId29"/>
    <hyperlink xmlns:r="http://schemas.openxmlformats.org/officeDocument/2006/relationships" ref="L16" r:id="rId30"/>
    <hyperlink xmlns:r="http://schemas.openxmlformats.org/officeDocument/2006/relationships" ref="K17" r:id="rId31"/>
    <hyperlink xmlns:r="http://schemas.openxmlformats.org/officeDocument/2006/relationships" ref="L17" r:id="rId32"/>
    <hyperlink xmlns:r="http://schemas.openxmlformats.org/officeDocument/2006/relationships" ref="K18" r:id="rId33"/>
    <hyperlink xmlns:r="http://schemas.openxmlformats.org/officeDocument/2006/relationships" ref="L18" r:id="rId34"/>
    <hyperlink xmlns:r="http://schemas.openxmlformats.org/officeDocument/2006/relationships" ref="K19" r:id="rId35"/>
    <hyperlink xmlns:r="http://schemas.openxmlformats.org/officeDocument/2006/relationships" ref="L19" r:id="rId36"/>
    <hyperlink xmlns:r="http://schemas.openxmlformats.org/officeDocument/2006/relationships" ref="K20" r:id="rId37"/>
    <hyperlink xmlns:r="http://schemas.openxmlformats.org/officeDocument/2006/relationships" ref="L20" r:id="rId38"/>
    <hyperlink xmlns:r="http://schemas.openxmlformats.org/officeDocument/2006/relationships" ref="K21" r:id="rId39"/>
    <hyperlink xmlns:r="http://schemas.openxmlformats.org/officeDocument/2006/relationships" ref="L21" r:id="rId40"/>
    <hyperlink xmlns:r="http://schemas.openxmlformats.org/officeDocument/2006/relationships" ref="K22" r:id="rId41"/>
    <hyperlink xmlns:r="http://schemas.openxmlformats.org/officeDocument/2006/relationships" ref="L22" r:id="rId42"/>
    <hyperlink xmlns:r="http://schemas.openxmlformats.org/officeDocument/2006/relationships" ref="K23" r:id="rId43"/>
    <hyperlink xmlns:r="http://schemas.openxmlformats.org/officeDocument/2006/relationships" ref="L23" r:id="rId44"/>
    <hyperlink xmlns:r="http://schemas.openxmlformats.org/officeDocument/2006/relationships" ref="K24" r:id="rId45"/>
    <hyperlink xmlns:r="http://schemas.openxmlformats.org/officeDocument/2006/relationships" ref="L24" r:id="rId46"/>
    <hyperlink xmlns:r="http://schemas.openxmlformats.org/officeDocument/2006/relationships" ref="K25" r:id="rId47"/>
    <hyperlink xmlns:r="http://schemas.openxmlformats.org/officeDocument/2006/relationships" ref="L25" r:id="rId48"/>
    <hyperlink xmlns:r="http://schemas.openxmlformats.org/officeDocument/2006/relationships" ref="K26" r:id="rId49"/>
    <hyperlink xmlns:r="http://schemas.openxmlformats.org/officeDocument/2006/relationships" ref="L26" r:id="rId50"/>
    <hyperlink xmlns:r="http://schemas.openxmlformats.org/officeDocument/2006/relationships" ref="K27" r:id="rId51"/>
    <hyperlink xmlns:r="http://schemas.openxmlformats.org/officeDocument/2006/relationships" ref="L27" r:id="rId52"/>
    <hyperlink xmlns:r="http://schemas.openxmlformats.org/officeDocument/2006/relationships" ref="K28" r:id="rId53"/>
    <hyperlink xmlns:r="http://schemas.openxmlformats.org/officeDocument/2006/relationships" ref="L28" r:id="rId54"/>
    <hyperlink xmlns:r="http://schemas.openxmlformats.org/officeDocument/2006/relationships" ref="K29" r:id="rId55"/>
    <hyperlink xmlns:r="http://schemas.openxmlformats.org/officeDocument/2006/relationships" ref="L29" r:id="rId56"/>
    <hyperlink xmlns:r="http://schemas.openxmlformats.org/officeDocument/2006/relationships" ref="K30" r:id="rId57"/>
    <hyperlink xmlns:r="http://schemas.openxmlformats.org/officeDocument/2006/relationships" ref="L30" r:id="rId58"/>
    <hyperlink xmlns:r="http://schemas.openxmlformats.org/officeDocument/2006/relationships" ref="K31" r:id="rId59"/>
    <hyperlink xmlns:r="http://schemas.openxmlformats.org/officeDocument/2006/relationships" ref="L31" r:id="rId60"/>
    <hyperlink xmlns:r="http://schemas.openxmlformats.org/officeDocument/2006/relationships" ref="K32" r:id="rId61"/>
    <hyperlink xmlns:r="http://schemas.openxmlformats.org/officeDocument/2006/relationships" ref="L32" r:id="rId62"/>
    <hyperlink xmlns:r="http://schemas.openxmlformats.org/officeDocument/2006/relationships" ref="K33" r:id="rId63"/>
    <hyperlink xmlns:r="http://schemas.openxmlformats.org/officeDocument/2006/relationships" ref="L33" r:id="rId64"/>
    <hyperlink xmlns:r="http://schemas.openxmlformats.org/officeDocument/2006/relationships" ref="K34" r:id="rId65"/>
    <hyperlink xmlns:r="http://schemas.openxmlformats.org/officeDocument/2006/relationships" ref="L34" r:id="rId66"/>
    <hyperlink xmlns:r="http://schemas.openxmlformats.org/officeDocument/2006/relationships" ref="K35" r:id="rId67"/>
    <hyperlink xmlns:r="http://schemas.openxmlformats.org/officeDocument/2006/relationships" ref="L35" r:id="rId68"/>
    <hyperlink xmlns:r="http://schemas.openxmlformats.org/officeDocument/2006/relationships" ref="K36" r:id="rId69"/>
    <hyperlink xmlns:r="http://schemas.openxmlformats.org/officeDocument/2006/relationships" ref="L36" r:id="rId70"/>
    <hyperlink xmlns:r="http://schemas.openxmlformats.org/officeDocument/2006/relationships" ref="K37" r:id="rId71"/>
    <hyperlink xmlns:r="http://schemas.openxmlformats.org/officeDocument/2006/relationships" ref="L37" r:id="rId72"/>
    <hyperlink xmlns:r="http://schemas.openxmlformats.org/officeDocument/2006/relationships" ref="K38" r:id="rId73"/>
    <hyperlink xmlns:r="http://schemas.openxmlformats.org/officeDocument/2006/relationships" ref="L38" r:id="rId74"/>
    <hyperlink xmlns:r="http://schemas.openxmlformats.org/officeDocument/2006/relationships" ref="K39" r:id="rId75"/>
    <hyperlink xmlns:r="http://schemas.openxmlformats.org/officeDocument/2006/relationships" ref="L39" r:id="rId76"/>
    <hyperlink xmlns:r="http://schemas.openxmlformats.org/officeDocument/2006/relationships" ref="K40" r:id="rId77"/>
    <hyperlink xmlns:r="http://schemas.openxmlformats.org/officeDocument/2006/relationships" ref="L40" r:id="rId78"/>
    <hyperlink xmlns:r="http://schemas.openxmlformats.org/officeDocument/2006/relationships" ref="K41" r:id="rId79"/>
    <hyperlink xmlns:r="http://schemas.openxmlformats.org/officeDocument/2006/relationships" ref="L41" r:id="rId80"/>
    <hyperlink xmlns:r="http://schemas.openxmlformats.org/officeDocument/2006/relationships" ref="K42" r:id="rId81"/>
    <hyperlink xmlns:r="http://schemas.openxmlformats.org/officeDocument/2006/relationships" ref="L42" r:id="rId82"/>
    <hyperlink xmlns:r="http://schemas.openxmlformats.org/officeDocument/2006/relationships" ref="K43" r:id="rId83"/>
    <hyperlink xmlns:r="http://schemas.openxmlformats.org/officeDocument/2006/relationships" ref="L43" r:id="rId84"/>
    <hyperlink xmlns:r="http://schemas.openxmlformats.org/officeDocument/2006/relationships" ref="K44" r:id="rId85"/>
    <hyperlink xmlns:r="http://schemas.openxmlformats.org/officeDocument/2006/relationships" ref="L44" r:id="rId86"/>
    <hyperlink xmlns:r="http://schemas.openxmlformats.org/officeDocument/2006/relationships" ref="K45" r:id="rId87"/>
    <hyperlink xmlns:r="http://schemas.openxmlformats.org/officeDocument/2006/relationships" ref="L45" r:id="rId88"/>
    <hyperlink xmlns:r="http://schemas.openxmlformats.org/officeDocument/2006/relationships" ref="K46" r:id="rId89"/>
    <hyperlink xmlns:r="http://schemas.openxmlformats.org/officeDocument/2006/relationships" ref="L46" r:id="rId90"/>
    <hyperlink xmlns:r="http://schemas.openxmlformats.org/officeDocument/2006/relationships" ref="K47" r:id="rId91"/>
    <hyperlink xmlns:r="http://schemas.openxmlformats.org/officeDocument/2006/relationships" ref="L47" r:id="rId92"/>
    <hyperlink xmlns:r="http://schemas.openxmlformats.org/officeDocument/2006/relationships" ref="K48" r:id="rId93"/>
    <hyperlink xmlns:r="http://schemas.openxmlformats.org/officeDocument/2006/relationships" ref="L48" r:id="rId94"/>
    <hyperlink xmlns:r="http://schemas.openxmlformats.org/officeDocument/2006/relationships" ref="K49" r:id="rId95"/>
    <hyperlink xmlns:r="http://schemas.openxmlformats.org/officeDocument/2006/relationships" ref="L49" r:id="rId96"/>
    <hyperlink xmlns:r="http://schemas.openxmlformats.org/officeDocument/2006/relationships" ref="K50" r:id="rId97"/>
    <hyperlink xmlns:r="http://schemas.openxmlformats.org/officeDocument/2006/relationships" ref="L50" r:id="rId98"/>
    <hyperlink xmlns:r="http://schemas.openxmlformats.org/officeDocument/2006/relationships" ref="K51" r:id="rId99"/>
    <hyperlink xmlns:r="http://schemas.openxmlformats.org/officeDocument/2006/relationships" ref="L51" r:id="rId100"/>
    <hyperlink xmlns:r="http://schemas.openxmlformats.org/officeDocument/2006/relationships" ref="K52" r:id="rId101"/>
    <hyperlink xmlns:r="http://schemas.openxmlformats.org/officeDocument/2006/relationships" ref="L52" r:id="rId102"/>
    <hyperlink xmlns:r="http://schemas.openxmlformats.org/officeDocument/2006/relationships" ref="K53" r:id="rId103"/>
    <hyperlink xmlns:r="http://schemas.openxmlformats.org/officeDocument/2006/relationships" ref="L53" r:id="rId104"/>
    <hyperlink xmlns:r="http://schemas.openxmlformats.org/officeDocument/2006/relationships" ref="K54" r:id="rId105"/>
    <hyperlink xmlns:r="http://schemas.openxmlformats.org/officeDocument/2006/relationships" ref="L54" r:id="rId106"/>
    <hyperlink xmlns:r="http://schemas.openxmlformats.org/officeDocument/2006/relationships" ref="K55" r:id="rId107"/>
    <hyperlink xmlns:r="http://schemas.openxmlformats.org/officeDocument/2006/relationships" ref="L55" r:id="rId108"/>
    <hyperlink xmlns:r="http://schemas.openxmlformats.org/officeDocument/2006/relationships" ref="K56" r:id="rId109"/>
    <hyperlink xmlns:r="http://schemas.openxmlformats.org/officeDocument/2006/relationships" ref="L56" r:id="rId110"/>
    <hyperlink xmlns:r="http://schemas.openxmlformats.org/officeDocument/2006/relationships" ref="K57" r:id="rId111"/>
    <hyperlink xmlns:r="http://schemas.openxmlformats.org/officeDocument/2006/relationships" ref="L57" r:id="rId112"/>
    <hyperlink xmlns:r="http://schemas.openxmlformats.org/officeDocument/2006/relationships" ref="K58" r:id="rId113"/>
    <hyperlink xmlns:r="http://schemas.openxmlformats.org/officeDocument/2006/relationships" ref="L58" r:id="rId11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20" customWidth="1" min="3" max="3"/>
    <col width="20" customWidth="1" min="4" max="4"/>
    <col width="20" customWidth="1" min="5" max="5"/>
    <col width="24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  <col width="20" customWidth="1" min="13" max="13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inventory_position</t>
        </is>
      </c>
      <c r="E1" s="1" t="inlineStr">
        <is>
          <t>severity</t>
        </is>
      </c>
      <c r="F1" s="1" t="inlineStr">
        <is>
          <t>field</t>
        </is>
      </c>
      <c r="G1" s="1" t="inlineStr">
        <is>
          <t>submitted_value</t>
        </is>
      </c>
      <c r="H1" s="1" t="inlineStr">
        <is>
          <t>source_observation</t>
        </is>
      </c>
      <c r="I1" s="1" t="inlineStr">
        <is>
          <t>reason</t>
        </is>
      </c>
      <c r="J1" s="1" t="inlineStr">
        <is>
          <t>recommended_fix</t>
        </is>
      </c>
      <c r="K1" s="1" t="inlineStr">
        <is>
          <t>recheck_condition</t>
        </is>
      </c>
      <c r="L1" s="1" t="inlineStr">
        <is>
          <t>supporting_evidence</t>
        </is>
      </c>
      <c r="M1" s="1" t="inlineStr">
        <is>
          <t>status_in_this_run</t>
        </is>
      </c>
    </row>
    <row r="2" ht="84" customHeight="1">
      <c r="A2" s="2" t="inlineStr">
        <is>
          <t>ISS-034-331-K1-SERP-NICHE</t>
        </is>
      </c>
      <c r="B2" s="2" t="inlineStr">
        <is>
          <t>jeminise.com+softball-themed-bedding-for-girls-and-women-bright-teal-yellow</t>
        </is>
      </c>
      <c r="C2" s="2" t="inlineStr"/>
      <c r="D2" s="2" t="n">
        <v>331</v>
      </c>
      <c r="E2" s="2" t="inlineStr">
        <is>
          <t>MINOR</t>
        </is>
      </c>
      <c r="F2" s="2" t="inlineStr">
        <is>
          <t>primary_keyword</t>
        </is>
      </c>
      <c r="G2" s="2" t="inlineStr">
        <is>
          <t>vintage yellow softball comforter set</t>
        </is>
      </c>
      <c r="H2" s="2" t="inlineStr">
        <is>
          <t>US SERP found related product/category pages but limited exact motif matches.</t>
        </is>
      </c>
      <c r="I2" s="2" t="inlineStr">
        <is>
          <t>Keyword is usable but evidence should be strengthened before final approval.</t>
        </is>
      </c>
      <c r="J2" s="2" t="inlineStr">
        <is>
          <t>Keep the motif keyword only if new SERP evidence or internal search/query data confirms exact demand; otherwise use broader wording.</t>
        </is>
      </c>
      <c r="K2" s="2" t="inlineStr">
        <is>
          <t>Recheck primary + comparator SERP and/or Search Console/internal site-search export.</t>
        </is>
      </c>
      <c r="L2" s="2" t="inlineStr">
        <is>
          <t>D:\Shopify_Workspace\jeminise_seo\seo_runs\jeminise.com\20260906_234129\qa\20260908_183309\serp_evidence.json</t>
        </is>
      </c>
      <c r="M2" s="2" t="inlineStr">
        <is>
          <t>OPEN</t>
        </is>
      </c>
    </row>
    <row r="3" ht="84" customHeight="1">
      <c r="A3" s="3" t="inlineStr">
        <is>
          <t>ISS-034-331-K2-CLUSTER</t>
        </is>
      </c>
      <c r="B3" s="3" t="inlineStr">
        <is>
          <t>jeminise.com+softball-themed-bedding-for-girls-and-women-bright-teal-yellow</t>
        </is>
      </c>
      <c r="C3" s="3" t="inlineStr"/>
      <c r="D3" s="3" t="n">
        <v>331</v>
      </c>
      <c r="E3" s="3" t="inlineStr">
        <is>
          <t>MINOR</t>
        </is>
      </c>
      <c r="F3" s="3" t="inlineStr">
        <is>
          <t>keyword_map</t>
        </is>
      </c>
      <c r="G3" s="3" t="inlineStr">
        <is>
          <t>Repeated softball-cluster rationale</t>
        </is>
      </c>
      <c r="H3" s="3" t="inlineStr">
        <is>
          <t>Softball products share broad secondary terms; motif split is present but evidence text is generic.</t>
        </is>
      </c>
      <c r="I3" s="3" t="inlineStr">
        <is>
          <t>Potential light cannibalization risk remains among the four softball comforters.</t>
        </is>
      </c>
      <c r="J3" s="3" t="inlineStr">
        <is>
          <t>Add explicit cluster differentiation for this motif and avoid broad terms as same-page primary targets.</t>
        </is>
      </c>
      <c r="K3" s="3" t="inlineStr">
        <is>
          <t>Review the four softball pages together for query separation.</t>
        </is>
      </c>
      <c r="L3" s="3" t="inlineStr">
        <is>
          <t>D:\Shopify_Workspace\jeminise_seo\seo_runs\jeminise.com\20260906_234129\qa\20260908_183309\serp_evidence.json</t>
        </is>
      </c>
      <c r="M3" s="3" t="inlineStr">
        <is>
          <t>OPEN</t>
        </is>
      </c>
    </row>
    <row r="4" ht="84" customHeight="1">
      <c r="A4" s="2" t="inlineStr">
        <is>
          <t>ISS-034-331-D2-CUSTOMER-COPY</t>
        </is>
      </c>
      <c r="B4" s="2" t="inlineStr">
        <is>
          <t>jeminise.com+softball-themed-bedding-for-girls-and-women-bright-teal-yellow</t>
        </is>
      </c>
      <c r="C4" s="2" t="inlineStr"/>
      <c r="D4" s="2" t="n">
        <v>331</v>
      </c>
      <c r="E4" s="2" t="inlineStr">
        <is>
          <t>MAJOR</t>
        </is>
      </c>
      <c r="F4" s="2" t="inlineStr">
        <is>
          <t>description_proposed_html</t>
        </is>
      </c>
      <c r="G4" s="2" t="inlineStr">
        <is>
          <t>Vintage Yellow Softball Comforter Set features dark brown comforter with a large distressed yellow softball, red stitching, script lettering and number artwork. The copy stays specific to the visible artwork, product for...</t>
        </is>
      </c>
      <c r="H4" s="2" t="inlineStr">
        <is>
          <t>The body includes editorial wording such as “The copy stays specific...” and generic gallery/process phrasing.</t>
        </is>
      </c>
      <c r="I4" s="2" t="inlineStr">
        <is>
          <t>This is not fully customer-facing publish-ready storefront copy even though the facts are largely verified.</t>
        </is>
      </c>
      <c r="J4" s="2" t="inlineStr">
        <is>
          <t>Rewrite in English as customer-facing copy for Vintage Yellow Softball Comforter Set; remove editorial/process wording, keep verified options/customizer labels, and preserve exact motif facts.</t>
        </is>
      </c>
      <c r="K4" s="2" t="inlineStr">
        <is>
          <t>Reopen the description HTML and confirm no QA/editorial wording remains; verify customizer fields and options still match live page.</t>
        </is>
      </c>
      <c r="L4" s="2" t="inlineStr">
        <is>
          <t>D:\Shopify_Workspace\jeminise_seo\seo_runs\jeminise.com\20260906_234129\qa\20260908_183309\filtered_workbook_batch034.json</t>
        </is>
      </c>
      <c r="M4" s="2" t="inlineStr">
        <is>
          <t>OPEN</t>
        </is>
      </c>
    </row>
    <row r="5" ht="84" customHeight="1">
      <c r="A5" s="3" t="inlineStr">
        <is>
          <t>ISS-034-331-E1-REVISION-TRACE</t>
        </is>
      </c>
      <c r="B5" s="3" t="inlineStr">
        <is>
          <t>jeminise.com+softball-themed-bedding-for-girls-and-women-bright-teal-yellow</t>
        </is>
      </c>
      <c r="C5" s="3" t="inlineStr"/>
      <c r="D5" s="3" t="n">
        <v>331</v>
      </c>
      <c r="E5" s="3" t="inlineStr">
        <is>
          <t>LIMITATION</t>
        </is>
      </c>
      <c r="F5" s="3" t="inlineStr">
        <is>
          <t>evidence_traceability</t>
        </is>
      </c>
      <c r="G5" s="3" t="inlineStr">
        <is>
          <t>r2</t>
        </is>
      </c>
      <c r="H5" s="3" t="inlineStr">
        <is>
          <t>Workbook is stored under qa_batch_034_r3 and revision_summary confirms r3 hash, but row-level revision/issues text still says r2 and contact sheets.</t>
        </is>
      </c>
      <c r="I5" s="3" t="inlineStr">
        <is>
          <t>Traceability is adequate for QA after snapshoting, but the workbook metadata can confuse later reviewers.</t>
        </is>
      </c>
      <c r="J5" s="3" t="inlineStr">
        <is>
          <t>Update row-level revision/issues notes in the next SEO revision to say r3 and direct-image QA, without changing approved/import state.</t>
        </is>
      </c>
      <c r="K5" s="3" t="inlineStr">
        <is>
          <t>Confirm source path/hash and row-level revision notes are aligned in the next workbook revision.</t>
        </is>
      </c>
      <c r="L5" s="3" t="inlineStr">
        <is>
          <t>D:\Shopify_Workspace\jeminise_seo\seo_runs\jeminise.com\20260906_234129\qa\20260908_183309\manifest.json</t>
        </is>
      </c>
      <c r="M5" s="3" t="inlineStr">
        <is>
          <t>OPEN</t>
        </is>
      </c>
    </row>
    <row r="6" ht="84" customHeight="1">
      <c r="A6" s="2" t="inlineStr">
        <is>
          <t>ISS-034-332-K1-SERP-WEAK</t>
        </is>
      </c>
      <c r="B6" s="2" t="inlineStr">
        <is>
          <t>jeminise.com+sports-theme-softball-bedding-premium-teal-yellow-comforter-set-for</t>
        </is>
      </c>
      <c r="C6" s="2" t="inlineStr"/>
      <c r="D6" s="2" t="n">
        <v>332</v>
      </c>
      <c r="E6" s="2" t="inlineStr">
        <is>
          <t>MAJOR</t>
        </is>
      </c>
      <c r="F6" s="2" t="inlineStr">
        <is>
          <t>primary_keyword</t>
        </is>
      </c>
      <c r="G6" s="2" t="inlineStr">
        <is>
          <t>polka dot softball comforter set</t>
        </is>
      </c>
      <c r="H6" s="2" t="inlineStr">
        <is>
          <t>US SERP evidence is mostly adjacent/comparator intent, not strong exact primary-keyword support.</t>
        </is>
      </c>
      <c r="I6" s="2" t="inlineStr">
        <is>
          <t>The selected keyword may be too narrow or cannibalize adjacent products without enough demand proof.</t>
        </is>
      </c>
      <c r="J6" s="2" t="inlineStr">
        <is>
          <t>Use a broader primary with the motif as secondary, or add stronger exact SERP/Search Console evidence.</t>
        </is>
      </c>
      <c r="K6" s="2" t="inlineStr">
        <is>
          <t>Rerun primary/comparator queries and verify at least two readable finished-product results for the selected primary.</t>
        </is>
      </c>
      <c r="L6" s="2" t="inlineStr">
        <is>
          <t>D:\Shopify_Workspace\jeminise_seo\seo_runs\jeminise.com\20260906_234129\qa\20260908_183309\serp_evidence.json</t>
        </is>
      </c>
      <c r="M6" s="2" t="inlineStr">
        <is>
          <t>OPEN</t>
        </is>
      </c>
    </row>
    <row r="7" ht="84" customHeight="1">
      <c r="A7" s="3" t="inlineStr">
        <is>
          <t>ISS-034-332-D2-CUSTOMER-COPY</t>
        </is>
      </c>
      <c r="B7" s="3" t="inlineStr">
        <is>
          <t>jeminise.com+sports-theme-softball-bedding-premium-teal-yellow-comforter-set-for</t>
        </is>
      </c>
      <c r="C7" s="3" t="inlineStr"/>
      <c r="D7" s="3" t="n">
        <v>332</v>
      </c>
      <c r="E7" s="3" t="inlineStr">
        <is>
          <t>MAJOR</t>
        </is>
      </c>
      <c r="F7" s="3" t="inlineStr">
        <is>
          <t>description_proposed_html</t>
        </is>
      </c>
      <c r="G7" s="3" t="inlineStr">
        <is>
          <t>Polka Dot Softball Comforter Set features black polka dot comforter with teal stripe, paisley border, softball lettering and glove-and-ball artwork. The copy stays specific to the visible artwork, product form and select...</t>
        </is>
      </c>
      <c r="H7" s="3" t="inlineStr">
        <is>
          <t>The body includes editorial wording such as “The copy stays specific...” and generic gallery/process phrasing.</t>
        </is>
      </c>
      <c r="I7" s="3" t="inlineStr">
        <is>
          <t>This is not fully customer-facing publish-ready storefront copy even though the facts are largely verified.</t>
        </is>
      </c>
      <c r="J7" s="3" t="inlineStr">
        <is>
          <t>Rewrite in English as customer-facing copy for Polka Dot Softball Comforter Set; remove editorial/process wording, keep verified options/customizer labels, and preserve exact motif facts.</t>
        </is>
      </c>
      <c r="K7" s="3" t="inlineStr">
        <is>
          <t>Reopen the description HTML and confirm no QA/editorial wording remains; verify customizer fields and options still match live page.</t>
        </is>
      </c>
      <c r="L7" s="3" t="inlineStr">
        <is>
          <t>D:\Shopify_Workspace\jeminise_seo\seo_runs\jeminise.com\20260906_234129\qa\20260908_183309\filtered_workbook_batch034.json</t>
        </is>
      </c>
      <c r="M7" s="3" t="inlineStr">
        <is>
          <t>OPEN</t>
        </is>
      </c>
    </row>
    <row r="8" ht="84" customHeight="1">
      <c r="A8" s="2" t="inlineStr">
        <is>
          <t>ISS-034-332-E1-REVISION-TRACE</t>
        </is>
      </c>
      <c r="B8" s="2" t="inlineStr">
        <is>
          <t>jeminise.com+sports-theme-softball-bedding-premium-teal-yellow-comforter-set-for</t>
        </is>
      </c>
      <c r="C8" s="2" t="inlineStr"/>
      <c r="D8" s="2" t="n">
        <v>332</v>
      </c>
      <c r="E8" s="2" t="inlineStr">
        <is>
          <t>LIMITATION</t>
        </is>
      </c>
      <c r="F8" s="2" t="inlineStr">
        <is>
          <t>evidence_traceability</t>
        </is>
      </c>
      <c r="G8" s="2" t="inlineStr">
        <is>
          <t>r2</t>
        </is>
      </c>
      <c r="H8" s="2" t="inlineStr">
        <is>
          <t>Workbook is stored under qa_batch_034_r3 and revision_summary confirms r3 hash, but row-level revision/issues text still says r2 and contact sheets.</t>
        </is>
      </c>
      <c r="I8" s="2" t="inlineStr">
        <is>
          <t>Traceability is adequate for QA after snapshoting, but the workbook metadata can confuse later reviewers.</t>
        </is>
      </c>
      <c r="J8" s="2" t="inlineStr">
        <is>
          <t>Update row-level revision/issues notes in the next SEO revision to say r3 and direct-image QA, without changing approved/import state.</t>
        </is>
      </c>
      <c r="K8" s="2" t="inlineStr">
        <is>
          <t>Confirm source path/hash and row-level revision notes are aligned in the next workbook revision.</t>
        </is>
      </c>
      <c r="L8" s="2" t="inlineStr">
        <is>
          <t>D:\Shopify_Workspace\jeminise_seo\seo_runs\jeminise.com\20260906_234129\qa\20260908_183309\manifest.json</t>
        </is>
      </c>
      <c r="M8" s="2" t="inlineStr">
        <is>
          <t>OPEN</t>
        </is>
      </c>
    </row>
    <row r="9" ht="84" customHeight="1">
      <c r="A9" s="3" t="inlineStr">
        <is>
          <t>ISS-034-333-K1-SERP-NICHE</t>
        </is>
      </c>
      <c r="B9" s="3" t="inlineStr">
        <is>
          <t>jeminise.com+teal-yellow-softball-comforter-set-vibrant-sports-bedroom-decor</t>
        </is>
      </c>
      <c r="C9" s="3" t="inlineStr"/>
      <c r="D9" s="3" t="n">
        <v>333</v>
      </c>
      <c r="E9" s="3" t="inlineStr">
        <is>
          <t>MINOR</t>
        </is>
      </c>
      <c r="F9" s="3" t="inlineStr">
        <is>
          <t>primary_keyword</t>
        </is>
      </c>
      <c r="G9" s="3" t="inlineStr">
        <is>
          <t>fireball softball comforter set</t>
        </is>
      </c>
      <c r="H9" s="3" t="inlineStr">
        <is>
          <t>US SERP found related product/category pages but limited exact motif matches.</t>
        </is>
      </c>
      <c r="I9" s="3" t="inlineStr">
        <is>
          <t>Keyword is usable but evidence should be strengthened before final approval.</t>
        </is>
      </c>
      <c r="J9" s="3" t="inlineStr">
        <is>
          <t>Keep the motif keyword only if new SERP evidence or internal search/query data confirms exact demand; otherwise use broader wording.</t>
        </is>
      </c>
      <c r="K9" s="3" t="inlineStr">
        <is>
          <t>Recheck primary + comparator SERP and/or Search Console/internal site-search export.</t>
        </is>
      </c>
      <c r="L9" s="3" t="inlineStr">
        <is>
          <t>D:\Shopify_Workspace\jeminise_seo\seo_runs\jeminise.com\20260906_234129\qa\20260908_183309\serp_evidence.json</t>
        </is>
      </c>
      <c r="M9" s="3" t="inlineStr">
        <is>
          <t>OPEN</t>
        </is>
      </c>
    </row>
    <row r="10" ht="84" customHeight="1">
      <c r="A10" s="2" t="inlineStr">
        <is>
          <t>ISS-034-333-K2-CLUSTER</t>
        </is>
      </c>
      <c r="B10" s="2" t="inlineStr">
        <is>
          <t>jeminise.com+teal-yellow-softball-comforter-set-vibrant-sports-bedroom-decor</t>
        </is>
      </c>
      <c r="C10" s="2" t="inlineStr"/>
      <c r="D10" s="2" t="n">
        <v>333</v>
      </c>
      <c r="E10" s="2" t="inlineStr">
        <is>
          <t>MINOR</t>
        </is>
      </c>
      <c r="F10" s="2" t="inlineStr">
        <is>
          <t>keyword_map</t>
        </is>
      </c>
      <c r="G10" s="2" t="inlineStr">
        <is>
          <t>Repeated softball-cluster rationale</t>
        </is>
      </c>
      <c r="H10" s="2" t="inlineStr">
        <is>
          <t>Softball products share broad secondary terms; motif split is present but evidence text is generic.</t>
        </is>
      </c>
      <c r="I10" s="2" t="inlineStr">
        <is>
          <t>Potential light cannibalization risk remains among the four softball comforters.</t>
        </is>
      </c>
      <c r="J10" s="2" t="inlineStr">
        <is>
          <t>Add explicit cluster differentiation for this motif and avoid broad terms as same-page primary targets.</t>
        </is>
      </c>
      <c r="K10" s="2" t="inlineStr">
        <is>
          <t>Review the four softball pages together for query separation.</t>
        </is>
      </c>
      <c r="L10" s="2" t="inlineStr">
        <is>
          <t>D:\Shopify_Workspace\jeminise_seo\seo_runs\jeminise.com\20260906_234129\qa\20260908_183309\serp_evidence.json</t>
        </is>
      </c>
      <c r="M10" s="2" t="inlineStr">
        <is>
          <t>OPEN</t>
        </is>
      </c>
    </row>
    <row r="11" ht="84" customHeight="1">
      <c r="A11" s="3" t="inlineStr">
        <is>
          <t>ISS-034-333-D2-CUSTOMER-COPY</t>
        </is>
      </c>
      <c r="B11" s="3" t="inlineStr">
        <is>
          <t>jeminise.com+teal-yellow-softball-comforter-set-vibrant-sports-bedroom-decor</t>
        </is>
      </c>
      <c r="C11" s="3" t="inlineStr"/>
      <c r="D11" s="3" t="n">
        <v>333</v>
      </c>
      <c r="E11" s="3" t="inlineStr">
        <is>
          <t>MAJOR</t>
        </is>
      </c>
      <c r="F11" s="3" t="inlineStr">
        <is>
          <t>description_proposed_html</t>
        </is>
      </c>
      <c r="G11" s="3" t="inlineStr">
        <is>
          <t>Fireball Softball Comforter Set features orange and blue comforter with a large glowing yellow softball, flame ring, script lettering and number artwork. The copy stays specific to the visible artwork, product form and s...</t>
        </is>
      </c>
      <c r="H11" s="3" t="inlineStr">
        <is>
          <t>The body includes editorial wording such as “The copy stays specific...” and generic gallery/process phrasing.</t>
        </is>
      </c>
      <c r="I11" s="3" t="inlineStr">
        <is>
          <t>This is not fully customer-facing publish-ready storefront copy even though the facts are largely verified.</t>
        </is>
      </c>
      <c r="J11" s="3" t="inlineStr">
        <is>
          <t>Rewrite in English as customer-facing copy for Fireball Softball Comforter Set; remove editorial/process wording, keep verified options/customizer labels, and preserve exact motif facts.</t>
        </is>
      </c>
      <c r="K11" s="3" t="inlineStr">
        <is>
          <t>Reopen the description HTML and confirm no QA/editorial wording remains; verify customizer fields and options still match live page.</t>
        </is>
      </c>
      <c r="L11" s="3" t="inlineStr">
        <is>
          <t>D:\Shopify_Workspace\jeminise_seo\seo_runs\jeminise.com\20260906_234129\qa\20260908_183309\filtered_workbook_batch034.json</t>
        </is>
      </c>
      <c r="M11" s="3" t="inlineStr">
        <is>
          <t>OPEN</t>
        </is>
      </c>
    </row>
    <row r="12" ht="84" customHeight="1">
      <c r="A12" s="2" t="inlineStr">
        <is>
          <t>ISS-034-333-E1-REVISION-TRACE</t>
        </is>
      </c>
      <c r="B12" s="2" t="inlineStr">
        <is>
          <t>jeminise.com+teal-yellow-softball-comforter-set-vibrant-sports-bedroom-decor</t>
        </is>
      </c>
      <c r="C12" s="2" t="inlineStr"/>
      <c r="D12" s="2" t="n">
        <v>333</v>
      </c>
      <c r="E12" s="2" t="inlineStr">
        <is>
          <t>LIMITATION</t>
        </is>
      </c>
      <c r="F12" s="2" t="inlineStr">
        <is>
          <t>evidence_traceability</t>
        </is>
      </c>
      <c r="G12" s="2" t="inlineStr">
        <is>
          <t>r2</t>
        </is>
      </c>
      <c r="H12" s="2" t="inlineStr">
        <is>
          <t>Workbook is stored under qa_batch_034_r3 and revision_summary confirms r3 hash, but row-level revision/issues text still says r2 and contact sheets.</t>
        </is>
      </c>
      <c r="I12" s="2" t="inlineStr">
        <is>
          <t>Traceability is adequate for QA after snapshoting, but the workbook metadata can confuse later reviewers.</t>
        </is>
      </c>
      <c r="J12" s="2" t="inlineStr">
        <is>
          <t>Update row-level revision/issues notes in the next SEO revision to say r3 and direct-image QA, without changing approved/import state.</t>
        </is>
      </c>
      <c r="K12" s="2" t="inlineStr">
        <is>
          <t>Confirm source path/hash and row-level revision notes are aligned in the next workbook revision.</t>
        </is>
      </c>
      <c r="L12" s="2" t="inlineStr">
        <is>
          <t>D:\Shopify_Workspace\jeminise_seo\seo_runs\jeminise.com\20260906_234129\qa\20260908_183309\manifest.json</t>
        </is>
      </c>
      <c r="M12" s="2" t="inlineStr">
        <is>
          <t>OPEN</t>
        </is>
      </c>
    </row>
    <row r="13" ht="84" customHeight="1">
      <c r="A13" s="3" t="inlineStr">
        <is>
          <t>ISS-034-334-K2-CLUSTER</t>
        </is>
      </c>
      <c r="B13" s="3" t="inlineStr">
        <is>
          <t>jeminise.com+teal-yellow-softball-bedding-set-stylish-sports-bedroom-decor</t>
        </is>
      </c>
      <c r="C13" s="3" t="inlineStr"/>
      <c r="D13" s="3" t="n">
        <v>334</v>
      </c>
      <c r="E13" s="3" t="inlineStr">
        <is>
          <t>MAJOR</t>
        </is>
      </c>
      <c r="F13" s="3" t="inlineStr">
        <is>
          <t>keyword_map</t>
        </is>
      </c>
      <c r="G13" s="3" t="inlineStr">
        <is>
          <t>Repeated softball-cluster rationale</t>
        </is>
      </c>
      <c r="H13" s="3" t="inlineStr">
        <is>
          <t>Four softball comforter products share broad secondary keywords and near-identical mapping language.</t>
        </is>
      </c>
      <c r="I13" s="3" t="inlineStr">
        <is>
          <t>Cannibalization risk is not fully resolved even though motifs differ.</t>
        </is>
      </c>
      <c r="J13" s="3" t="inlineStr">
        <is>
          <t>Sharpen secondary keyword map and internal linking around pink glove motif vs vintage/polka-dot/fireball variants.</t>
        </is>
      </c>
      <c r="K13" s="3" t="inlineStr">
        <is>
          <t>Compare all four batch-34 softball pages and ensure primary/secondary keywords do not compete for the same query.</t>
        </is>
      </c>
      <c r="L13" s="3" t="inlineStr">
        <is>
          <t>D:\Shopify_Workspace\jeminise_seo\seo_runs\jeminise.com\20260906_234129\qa\20260908_183309\serp_evidence.json</t>
        </is>
      </c>
      <c r="M13" s="3" t="inlineStr">
        <is>
          <t>OPEN</t>
        </is>
      </c>
    </row>
    <row r="14" ht="84" customHeight="1">
      <c r="A14" s="2" t="inlineStr">
        <is>
          <t>ISS-034-334-D2-CUSTOMER-COPY</t>
        </is>
      </c>
      <c r="B14" s="2" t="inlineStr">
        <is>
          <t>jeminise.com+teal-yellow-softball-bedding-set-stylish-sports-bedroom-decor</t>
        </is>
      </c>
      <c r="C14" s="2" t="inlineStr"/>
      <c r="D14" s="2" t="n">
        <v>334</v>
      </c>
      <c r="E14" s="2" t="inlineStr">
        <is>
          <t>MAJOR</t>
        </is>
      </c>
      <c r="F14" s="2" t="inlineStr">
        <is>
          <t>description_proposed_html</t>
        </is>
      </c>
      <c r="G14" s="2" t="inlineStr">
        <is>
          <t>Pink Glove Softball Comforter Set features pink and gray comforter with a red softball glove, yellow softball, script lettering and number artwork. The copy stays specific to the visible artwork, product form and selecta...</t>
        </is>
      </c>
      <c r="H14" s="2" t="inlineStr">
        <is>
          <t>The body includes editorial wording such as “The copy stays specific...” and generic gallery/process phrasing.</t>
        </is>
      </c>
      <c r="I14" s="2" t="inlineStr">
        <is>
          <t>This is not fully customer-facing publish-ready storefront copy even though the facts are largely verified.</t>
        </is>
      </c>
      <c r="J14" s="2" t="inlineStr">
        <is>
          <t>Rewrite in English as customer-facing copy for Pink Glove Softball Comforter Set; remove editorial/process wording, keep verified options/customizer labels, and preserve exact motif facts.</t>
        </is>
      </c>
      <c r="K14" s="2" t="inlineStr">
        <is>
          <t>Reopen the description HTML and confirm no QA/editorial wording remains; verify customizer fields and options still match live page.</t>
        </is>
      </c>
      <c r="L14" s="2" t="inlineStr">
        <is>
          <t>D:\Shopify_Workspace\jeminise_seo\seo_runs\jeminise.com\20260906_234129\qa\20260908_183309\filtered_workbook_batch034.json</t>
        </is>
      </c>
      <c r="M14" s="2" t="inlineStr">
        <is>
          <t>OPEN</t>
        </is>
      </c>
    </row>
    <row r="15" ht="84" customHeight="1">
      <c r="A15" s="3" t="inlineStr">
        <is>
          <t>ISS-034-334-E1-REVISION-TRACE</t>
        </is>
      </c>
      <c r="B15" s="3" t="inlineStr">
        <is>
          <t>jeminise.com+teal-yellow-softball-bedding-set-stylish-sports-bedroom-decor</t>
        </is>
      </c>
      <c r="C15" s="3" t="inlineStr"/>
      <c r="D15" s="3" t="n">
        <v>334</v>
      </c>
      <c r="E15" s="3" t="inlineStr">
        <is>
          <t>LIMITATION</t>
        </is>
      </c>
      <c r="F15" s="3" t="inlineStr">
        <is>
          <t>evidence_traceability</t>
        </is>
      </c>
      <c r="G15" s="3" t="inlineStr">
        <is>
          <t>r2</t>
        </is>
      </c>
      <c r="H15" s="3" t="inlineStr">
        <is>
          <t>Workbook is stored under qa_batch_034_r3 and revision_summary confirms r3 hash, but row-level revision/issues text still says r2 and contact sheets.</t>
        </is>
      </c>
      <c r="I15" s="3" t="inlineStr">
        <is>
          <t>Traceability is adequate for QA after snapshoting, but the workbook metadata can confuse later reviewers.</t>
        </is>
      </c>
      <c r="J15" s="3" t="inlineStr">
        <is>
          <t>Update row-level revision/issues notes in the next SEO revision to say r3 and direct-image QA, without changing approved/import state.</t>
        </is>
      </c>
      <c r="K15" s="3" t="inlineStr">
        <is>
          <t>Confirm source path/hash and row-level revision notes are aligned in the next workbook revision.</t>
        </is>
      </c>
      <c r="L15" s="3" t="inlineStr">
        <is>
          <t>D:\Shopify_Workspace\jeminise_seo\seo_runs\jeminise.com\20260906_234129\qa\20260908_183309\manifest.json</t>
        </is>
      </c>
      <c r="M15" s="3" t="inlineStr">
        <is>
          <t>OPEN</t>
        </is>
      </c>
    </row>
    <row r="16" ht="84" customHeight="1">
      <c r="A16" s="2" t="inlineStr">
        <is>
          <t>ISS-034-334-IMG-DUPLICATE-GALLERY</t>
        </is>
      </c>
      <c r="B16" s="2" t="inlineStr">
        <is>
          <t>jeminise.com+teal-yellow-softball-bedding-set-stylish-sports-bedroom-decor</t>
        </is>
      </c>
      <c r="C16" s="2" t="inlineStr"/>
      <c r="D16" s="2" t="n">
        <v>334</v>
      </c>
      <c r="E16" s="2" t="inlineStr">
        <is>
          <t>MINOR</t>
        </is>
      </c>
      <c r="F16" s="2" t="inlineStr">
        <is>
          <t>gallery_images</t>
        </is>
      </c>
      <c r="G16" s="2" t="inlineStr">
        <is>
          <t>14 gallery images include a repeated 1–7 sequence</t>
        </is>
      </c>
      <c r="H16" s="2" t="inlineStr">
        <is>
          <t>Direct image review found images 8–14 repeat the same visual sequence as images 1–7.</t>
        </is>
      </c>
      <c r="I16" s="2" t="inlineStr">
        <is>
          <t>Not a content accuracy failure, but duplicate media can dilute gallery usefulness and complicate alt management.</t>
        </is>
      </c>
      <c r="J16" s="2" t="inlineStr">
        <is>
          <t>Keep only the best unique image sequence unless duplicate media are intentionally required by Shopify/app mapping.</t>
        </is>
      </c>
      <c r="K16" s="2" t="inlineStr">
        <is>
          <t>Confirm whether repeated images have distinct media/variant use; remove duplicates if not needed.</t>
        </is>
      </c>
      <c r="L16" s="2" t="inlineStr">
        <is>
          <t>D:\Shopify_Workspace\jeminise_seo\seo_runs\jeminise.com\20260906_234129\qa\20260908_183309\images</t>
        </is>
      </c>
      <c r="M16" s="2" t="inlineStr">
        <is>
          <t>OPEN</t>
        </is>
      </c>
    </row>
    <row r="17" ht="84" customHeight="1">
      <c r="A17" s="3" t="inlineStr">
        <is>
          <t>ISS-034-335-D2-CUSTOMER-COPY</t>
        </is>
      </c>
      <c r="B17" s="3" t="inlineStr">
        <is>
          <t>jeminise.com+tree-of-life-with-celtic-knot-roots-quilt-set-and-celtic-knot-borders-9482d2b2f5-9482d2b2f5</t>
        </is>
      </c>
      <c r="C17" s="3" t="inlineStr"/>
      <c r="D17" s="3" t="n">
        <v>335</v>
      </c>
      <c r="E17" s="3" t="inlineStr">
        <is>
          <t>MAJOR</t>
        </is>
      </c>
      <c r="F17" s="3" t="inlineStr">
        <is>
          <t>description_proposed_html</t>
        </is>
      </c>
      <c r="G17" s="3" t="inlineStr">
        <is>
          <t>Celtic Tree of Life Quilt Set features earth tone quilt set with a green Tree of Life, exposed knot roots, hills and Celtic knot borders. The copy stays specific to the visible artwork, product form and selectable option...</t>
        </is>
      </c>
      <c r="H17" s="3" t="inlineStr">
        <is>
          <t>The body includes editorial wording such as “The copy stays specific...” and generic gallery/process phrasing.</t>
        </is>
      </c>
      <c r="I17" s="3" t="inlineStr">
        <is>
          <t>This is not fully customer-facing publish-ready storefront copy even though the facts are largely verified.</t>
        </is>
      </c>
      <c r="J17" s="3" t="inlineStr">
        <is>
          <t>Rewrite in English as customer-facing copy for Celtic Tree of Life Quilt Set; remove editorial/process wording, keep verified options/customizer labels, and preserve exact motif facts.</t>
        </is>
      </c>
      <c r="K17" s="3" t="inlineStr">
        <is>
          <t>Reopen the description HTML and confirm no QA/editorial wording remains; verify customizer fields and options still match live page.</t>
        </is>
      </c>
      <c r="L17" s="3" t="inlineStr">
        <is>
          <t>D:\Shopify_Workspace\jeminise_seo\seo_runs\jeminise.com\20260906_234129\qa\20260908_183309\filtered_workbook_batch034.json</t>
        </is>
      </c>
      <c r="M17" s="3" t="inlineStr">
        <is>
          <t>OPEN</t>
        </is>
      </c>
    </row>
    <row r="18" ht="84" customHeight="1">
      <c r="A18" s="2" t="inlineStr">
        <is>
          <t>ISS-034-335-E1-REVISION-TRACE</t>
        </is>
      </c>
      <c r="B18" s="2" t="inlineStr">
        <is>
          <t>jeminise.com+tree-of-life-with-celtic-knot-roots-quilt-set-and-celtic-knot-borders-9482d2b2f5-9482d2b2f5</t>
        </is>
      </c>
      <c r="C18" s="2" t="inlineStr"/>
      <c r="D18" s="2" t="n">
        <v>335</v>
      </c>
      <c r="E18" s="2" t="inlineStr">
        <is>
          <t>LIMITATION</t>
        </is>
      </c>
      <c r="F18" s="2" t="inlineStr">
        <is>
          <t>evidence_traceability</t>
        </is>
      </c>
      <c r="G18" s="2" t="inlineStr">
        <is>
          <t>r2</t>
        </is>
      </c>
      <c r="H18" s="2" t="inlineStr">
        <is>
          <t>Workbook is stored under qa_batch_034_r3 and revision_summary confirms r3 hash, but row-level revision/issues text still says r2 and contact sheets.</t>
        </is>
      </c>
      <c r="I18" s="2" t="inlineStr">
        <is>
          <t>Traceability is adequate for QA after snapshoting, but the workbook metadata can confuse later reviewers.</t>
        </is>
      </c>
      <c r="J18" s="2" t="inlineStr">
        <is>
          <t>Update row-level revision/issues notes in the next SEO revision to say r3 and direct-image QA, without changing approved/import state.</t>
        </is>
      </c>
      <c r="K18" s="2" t="inlineStr">
        <is>
          <t>Confirm source path/hash and row-level revision notes are aligned in the next workbook revision.</t>
        </is>
      </c>
      <c r="L18" s="2" t="inlineStr">
        <is>
          <t>D:\Shopify_Workspace\jeminise_seo\seo_runs\jeminise.com\20260906_234129\qa\20260908_183309\manifest.json</t>
        </is>
      </c>
      <c r="M18" s="2" t="inlineStr">
        <is>
          <t>OPEN</t>
        </is>
      </c>
    </row>
    <row r="19" ht="84" customHeight="1">
      <c r="A19" s="3" t="inlineStr">
        <is>
          <t>ISS-034-336-D2-CUSTOMER-COPY</t>
        </is>
      </c>
      <c r="B19" s="3" t="inlineStr">
        <is>
          <t>jeminise.com+winter-cardinal-on-berry-branch-patchwork-christmas-quilt-43ecda62b6-43ecda62b6</t>
        </is>
      </c>
      <c r="C19" s="3" t="inlineStr"/>
      <c r="D19" s="3" t="n">
        <v>336</v>
      </c>
      <c r="E19" s="3" t="inlineStr">
        <is>
          <t>MAJOR</t>
        </is>
      </c>
      <c r="F19" s="3" t="inlineStr">
        <is>
          <t>description_proposed_html</t>
        </is>
      </c>
      <c r="G19" s="3" t="inlineStr">
        <is>
          <t>Winter Cardinal Berry Branch Quilt features winter quilt with a red cardinal, red berry branches, blue-gray leaves and snowy watercolor background. The copy stays specific to the visible artwork, product form and selecta...</t>
        </is>
      </c>
      <c r="H19" s="3" t="inlineStr">
        <is>
          <t>The body includes editorial wording such as “The copy stays specific...” and generic gallery/process phrasing.</t>
        </is>
      </c>
      <c r="I19" s="3" t="inlineStr">
        <is>
          <t>This is not fully customer-facing publish-ready storefront copy even though the facts are largely verified.</t>
        </is>
      </c>
      <c r="J19" s="3" t="inlineStr">
        <is>
          <t>Rewrite in English as customer-facing copy for Winter Cardinal Berry Branch Quilt; remove editorial/process wording, keep verified options/customizer labels, and preserve exact motif facts.</t>
        </is>
      </c>
      <c r="K19" s="3" t="inlineStr">
        <is>
          <t>Reopen the description HTML and confirm no QA/editorial wording remains; verify customizer fields and options still match live page.</t>
        </is>
      </c>
      <c r="L19" s="3" t="inlineStr">
        <is>
          <t>D:\Shopify_Workspace\jeminise_seo\seo_runs\jeminise.com\20260906_234129\qa\20260908_183309\filtered_workbook_batch034.json</t>
        </is>
      </c>
      <c r="M19" s="3" t="inlineStr">
        <is>
          <t>OPEN</t>
        </is>
      </c>
    </row>
    <row r="20" ht="84" customHeight="1">
      <c r="A20" s="2" t="inlineStr">
        <is>
          <t>ISS-034-336-E1-REVISION-TRACE</t>
        </is>
      </c>
      <c r="B20" s="2" t="inlineStr">
        <is>
          <t>jeminise.com+winter-cardinal-on-berry-branch-patchwork-christmas-quilt-43ecda62b6-43ecda62b6</t>
        </is>
      </c>
      <c r="C20" s="2" t="inlineStr"/>
      <c r="D20" s="2" t="n">
        <v>336</v>
      </c>
      <c r="E20" s="2" t="inlineStr">
        <is>
          <t>LIMITATION</t>
        </is>
      </c>
      <c r="F20" s="2" t="inlineStr">
        <is>
          <t>evidence_traceability</t>
        </is>
      </c>
      <c r="G20" s="2" t="inlineStr">
        <is>
          <t>r2</t>
        </is>
      </c>
      <c r="H20" s="2" t="inlineStr">
        <is>
          <t>Workbook is stored under qa_batch_034_r3 and revision_summary confirms r3 hash, but row-level revision/issues text still says r2 and contact sheets.</t>
        </is>
      </c>
      <c r="I20" s="2" t="inlineStr">
        <is>
          <t>Traceability is adequate for QA after snapshoting, but the workbook metadata can confuse later reviewers.</t>
        </is>
      </c>
      <c r="J20" s="2" t="inlineStr">
        <is>
          <t>Update row-level revision/issues notes in the next SEO revision to say r3 and direct-image QA, without changing approved/import state.</t>
        </is>
      </c>
      <c r="K20" s="2" t="inlineStr">
        <is>
          <t>Confirm source path/hash and row-level revision notes are aligned in the next workbook revision.</t>
        </is>
      </c>
      <c r="L20" s="2" t="inlineStr">
        <is>
          <t>D:\Shopify_Workspace\jeminise_seo\seo_runs\jeminise.com\20260906_234129\qa\20260908_183309\manifest.json</t>
        </is>
      </c>
      <c r="M20" s="2" t="inlineStr">
        <is>
          <t>OPEN</t>
        </is>
      </c>
    </row>
    <row r="21" ht="84" customHeight="1">
      <c r="A21" s="3" t="inlineStr">
        <is>
          <t>ISS-034-337-K1-SERP-WEAK</t>
        </is>
      </c>
      <c r="B21" s="3" t="inlineStr">
        <is>
          <t>jeminise.com+winter-cardinals-on-heart-shaped-berry-branches-patchwork-christmas-quilt-de1c648f60-de1c648f60</t>
        </is>
      </c>
      <c r="C21" s="3" t="inlineStr"/>
      <c r="D21" s="3" t="n">
        <v>337</v>
      </c>
      <c r="E21" s="3" t="inlineStr">
        <is>
          <t>MAJOR</t>
        </is>
      </c>
      <c r="F21" s="3" t="inlineStr">
        <is>
          <t>primary_keyword</t>
        </is>
      </c>
      <c r="G21" s="3" t="inlineStr">
        <is>
          <t>heart branch cardinals Christmas quilt</t>
        </is>
      </c>
      <c r="H21" s="3" t="inlineStr">
        <is>
          <t>US SERP evidence is mostly adjacent/comparator intent, not strong exact primary-keyword support.</t>
        </is>
      </c>
      <c r="I21" s="3" t="inlineStr">
        <is>
          <t>The selected keyword may be too narrow or cannibalize adjacent products without enough demand proof.</t>
        </is>
      </c>
      <c r="J21" s="3" t="inlineStr">
        <is>
          <t>Use a broader primary with the motif as secondary, or add stronger exact SERP/Search Console evidence.</t>
        </is>
      </c>
      <c r="K21" s="3" t="inlineStr">
        <is>
          <t>Rerun primary/comparator queries and verify at least two readable finished-product results for the selected primary.</t>
        </is>
      </c>
      <c r="L21" s="3" t="inlineStr">
        <is>
          <t>D:\Shopify_Workspace\jeminise_seo\seo_runs\jeminise.com\20260906_234129\qa\20260908_183309\serp_evidence.json</t>
        </is>
      </c>
      <c r="M21" s="3" t="inlineStr">
        <is>
          <t>OPEN</t>
        </is>
      </c>
    </row>
    <row r="22" ht="84" customHeight="1">
      <c r="A22" s="2" t="inlineStr">
        <is>
          <t>ISS-034-337-D2-CUSTOMER-COPY</t>
        </is>
      </c>
      <c r="B22" s="2" t="inlineStr">
        <is>
          <t>jeminise.com+winter-cardinals-on-heart-shaped-berry-branches-patchwork-christmas-quilt-de1c648f60-de1c648f60</t>
        </is>
      </c>
      <c r="C22" s="2" t="inlineStr"/>
      <c r="D22" s="2" t="n">
        <v>337</v>
      </c>
      <c r="E22" s="2" t="inlineStr">
        <is>
          <t>MAJOR</t>
        </is>
      </c>
      <c r="F22" s="2" t="inlineStr">
        <is>
          <t>description_proposed_html</t>
        </is>
      </c>
      <c r="G22" s="2" t="inlineStr">
        <is>
          <t>Heart Branch Cardinals Christmas Quilt features Christmas quilt with two red cardinals, heart-shaped berry branches, snowy village scenery and pale winter background. The copy stays specific to the visible artwork, produ...</t>
        </is>
      </c>
      <c r="H22" s="2" t="inlineStr">
        <is>
          <t>The body includes editorial wording such as “The copy stays specific...” and generic gallery/process phrasing.</t>
        </is>
      </c>
      <c r="I22" s="2" t="inlineStr">
        <is>
          <t>This is not fully customer-facing publish-ready storefront copy even though the facts are largely verified.</t>
        </is>
      </c>
      <c r="J22" s="2" t="inlineStr">
        <is>
          <t>Rewrite in English as customer-facing copy for Heart Branch Cardinals Christmas Quilt; remove editorial/process wording, keep verified options/customizer labels, and preserve exact motif facts.</t>
        </is>
      </c>
      <c r="K22" s="2" t="inlineStr">
        <is>
          <t>Reopen the description HTML and confirm no QA/editorial wording remains; verify customizer fields and options still match live page.</t>
        </is>
      </c>
      <c r="L22" s="2" t="inlineStr">
        <is>
          <t>D:\Shopify_Workspace\jeminise_seo\seo_runs\jeminise.com\20260906_234129\qa\20260908_183309\filtered_workbook_batch034.json</t>
        </is>
      </c>
      <c r="M22" s="2" t="inlineStr">
        <is>
          <t>OPEN</t>
        </is>
      </c>
    </row>
    <row r="23" ht="84" customHeight="1">
      <c r="A23" s="3" t="inlineStr">
        <is>
          <t>ISS-034-337-E1-REVISION-TRACE</t>
        </is>
      </c>
      <c r="B23" s="3" t="inlineStr">
        <is>
          <t>jeminise.com+winter-cardinals-on-heart-shaped-berry-branches-patchwork-christmas-quilt-de1c648f60-de1c648f60</t>
        </is>
      </c>
      <c r="C23" s="3" t="inlineStr"/>
      <c r="D23" s="3" t="n">
        <v>337</v>
      </c>
      <c r="E23" s="3" t="inlineStr">
        <is>
          <t>LIMITATION</t>
        </is>
      </c>
      <c r="F23" s="3" t="inlineStr">
        <is>
          <t>evidence_traceability</t>
        </is>
      </c>
      <c r="G23" s="3" t="inlineStr">
        <is>
          <t>r2</t>
        </is>
      </c>
      <c r="H23" s="3" t="inlineStr">
        <is>
          <t>Workbook is stored under qa_batch_034_r3 and revision_summary confirms r3 hash, but row-level revision/issues text still says r2 and contact sheets.</t>
        </is>
      </c>
      <c r="I23" s="3" t="inlineStr">
        <is>
          <t>Traceability is adequate for QA after snapshoting, but the workbook metadata can confuse later reviewers.</t>
        </is>
      </c>
      <c r="J23" s="3" t="inlineStr">
        <is>
          <t>Update row-level revision/issues notes in the next SEO revision to say r3 and direct-image QA, without changing approved/import state.</t>
        </is>
      </c>
      <c r="K23" s="3" t="inlineStr">
        <is>
          <t>Confirm source path/hash and row-level revision notes are aligned in the next workbook revision.</t>
        </is>
      </c>
      <c r="L23" s="3" t="inlineStr">
        <is>
          <t>D:\Shopify_Workspace\jeminise_seo\seo_runs\jeminise.com\20260906_234129\qa\20260908_183309\manifest.json</t>
        </is>
      </c>
      <c r="M23" s="3" t="inlineStr">
        <is>
          <t>OPEN</t>
        </is>
      </c>
    </row>
    <row r="24" ht="84" customHeight="1">
      <c r="A24" s="2" t="inlineStr">
        <is>
          <t>ISS-034-338-K1-SERP-NICHE</t>
        </is>
      </c>
      <c r="B24" s="2" t="inlineStr">
        <is>
          <t>jeminise.com+winter-cat-and-cardinal-sitting-on-snowy-patchwork-christmas-quilt-82f86611f4-82f86611f4</t>
        </is>
      </c>
      <c r="C24" s="2" t="inlineStr"/>
      <c r="D24" s="2" t="n">
        <v>338</v>
      </c>
      <c r="E24" s="2" t="inlineStr">
        <is>
          <t>MINOR</t>
        </is>
      </c>
      <c r="F24" s="2" t="inlineStr">
        <is>
          <t>primary_keyword</t>
        </is>
      </c>
      <c r="G24" s="2" t="inlineStr">
        <is>
          <t>winter cat cardinal Christmas quilt</t>
        </is>
      </c>
      <c r="H24" s="2" t="inlineStr">
        <is>
          <t>US SERP found related product/category pages but limited exact motif matches.</t>
        </is>
      </c>
      <c r="I24" s="2" t="inlineStr">
        <is>
          <t>Keyword is usable but evidence should be strengthened before final approval.</t>
        </is>
      </c>
      <c r="J24" s="2" t="inlineStr">
        <is>
          <t>Keep the motif keyword only if new SERP evidence or internal search/query data confirms exact demand; otherwise use broader wording.</t>
        </is>
      </c>
      <c r="K24" s="2" t="inlineStr">
        <is>
          <t>Recheck primary + comparator SERP and/or Search Console/internal site-search export.</t>
        </is>
      </c>
      <c r="L24" s="2" t="inlineStr">
        <is>
          <t>D:\Shopify_Workspace\jeminise_seo\seo_runs\jeminise.com\20260906_234129\qa\20260908_183309\serp_evidence.json</t>
        </is>
      </c>
      <c r="M24" s="2" t="inlineStr">
        <is>
          <t>OPEN</t>
        </is>
      </c>
    </row>
    <row r="25" ht="84" customHeight="1">
      <c r="A25" s="3" t="inlineStr">
        <is>
          <t>ISS-034-338-D2-CUSTOMER-COPY</t>
        </is>
      </c>
      <c r="B25" s="3" t="inlineStr">
        <is>
          <t>jeminise.com+winter-cat-and-cardinal-sitting-on-snowy-patchwork-christmas-quilt-82f86611f4-82f86611f4</t>
        </is>
      </c>
      <c r="C25" s="3" t="inlineStr"/>
      <c r="D25" s="3" t="n">
        <v>338</v>
      </c>
      <c r="E25" s="3" t="inlineStr">
        <is>
          <t>MAJOR</t>
        </is>
      </c>
      <c r="F25" s="3" t="inlineStr">
        <is>
          <t>description_proposed_html</t>
        </is>
      </c>
      <c r="G25" s="3" t="inlineStr">
        <is>
          <t>Winter Cat Cardinal Christmas Quilt features winter quilt with a gray kitten, red cardinal, snowy branches and It's Well With My Soul text. The copy stays specific to the visible artwork, product form and selectable opti...</t>
        </is>
      </c>
      <c r="H25" s="3" t="inlineStr">
        <is>
          <t>The body includes editorial wording such as “The copy stays specific...” and generic gallery/process phrasing.</t>
        </is>
      </c>
      <c r="I25" s="3" t="inlineStr">
        <is>
          <t>This is not fully customer-facing publish-ready storefront copy even though the facts are largely verified.</t>
        </is>
      </c>
      <c r="J25" s="3" t="inlineStr">
        <is>
          <t>Rewrite in English as customer-facing copy for Winter Cat Cardinal Christmas Quilt; remove editorial/process wording, keep verified options/customizer labels, and preserve exact motif facts.</t>
        </is>
      </c>
      <c r="K25" s="3" t="inlineStr">
        <is>
          <t>Reopen the description HTML and confirm no QA/editorial wording remains; verify customizer fields and options still match live page.</t>
        </is>
      </c>
      <c r="L25" s="3" t="inlineStr">
        <is>
          <t>D:\Shopify_Workspace\jeminise_seo\seo_runs\jeminise.com\20260906_234129\qa\20260908_183309\filtered_workbook_batch034.json</t>
        </is>
      </c>
      <c r="M25" s="3" t="inlineStr">
        <is>
          <t>OPEN</t>
        </is>
      </c>
    </row>
    <row r="26" ht="84" customHeight="1">
      <c r="A26" s="2" t="inlineStr">
        <is>
          <t>ISS-034-338-E1-REVISION-TRACE</t>
        </is>
      </c>
      <c r="B26" s="2" t="inlineStr">
        <is>
          <t>jeminise.com+winter-cat-and-cardinal-sitting-on-snowy-patchwork-christmas-quilt-82f86611f4-82f86611f4</t>
        </is>
      </c>
      <c r="C26" s="2" t="inlineStr"/>
      <c r="D26" s="2" t="n">
        <v>338</v>
      </c>
      <c r="E26" s="2" t="inlineStr">
        <is>
          <t>LIMITATION</t>
        </is>
      </c>
      <c r="F26" s="2" t="inlineStr">
        <is>
          <t>evidence_traceability</t>
        </is>
      </c>
      <c r="G26" s="2" t="inlineStr">
        <is>
          <t>r2</t>
        </is>
      </c>
      <c r="H26" s="2" t="inlineStr">
        <is>
          <t>Workbook is stored under qa_batch_034_r3 and revision_summary confirms r3 hash, but row-level revision/issues text still says r2 and contact sheets.</t>
        </is>
      </c>
      <c r="I26" s="2" t="inlineStr">
        <is>
          <t>Traceability is adequate for QA after snapshoting, but the workbook metadata can confuse later reviewers.</t>
        </is>
      </c>
      <c r="J26" s="2" t="inlineStr">
        <is>
          <t>Update row-level revision/issues notes in the next SEO revision to say r3 and direct-image QA, without changing approved/import state.</t>
        </is>
      </c>
      <c r="K26" s="2" t="inlineStr">
        <is>
          <t>Confirm source path/hash and row-level revision notes are aligned in the next workbook revision.</t>
        </is>
      </c>
      <c r="L26" s="2" t="inlineStr">
        <is>
          <t>D:\Shopify_Workspace\jeminise_seo\seo_runs\jeminise.com\20260906_234129\qa\20260908_183309\manifest.json</t>
        </is>
      </c>
      <c r="M26" s="2" t="inlineStr">
        <is>
          <t>OPEN</t>
        </is>
      </c>
    </row>
  </sheetData>
  <autoFilter ref="A1:M26"/>
  <conditionalFormatting sqref="E2:E26">
    <cfRule type="expression" priority="1" dxfId="3">
      <formula>E2="CRITICAL"</formula>
    </cfRule>
    <cfRule type="expression" priority="2" dxfId="2">
      <formula>E2="MAJOR"</formula>
    </cfRule>
    <cfRule type="expression" priority="3" dxfId="1">
      <formula>E2="MINOR"</formula>
    </cfRule>
    <cfRule type="expression" priority="4" dxfId="4">
      <formula>E2="LIMITATION"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2026-09-08T11:54:28Z</dcterms:created>
  <dcterms:modified xmlns:dcterms="http://purl.org/dc/terms/" xmlns:xsi="http://www.w3.org/2001/XMLSchema-instance" xsi:type="dcterms:W3CDTF">2026-09-08T11:54:29Z</dcterms:modified>
</cp:coreProperties>
</file>