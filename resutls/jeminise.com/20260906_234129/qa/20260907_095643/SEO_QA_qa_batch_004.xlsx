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'QA_Summary'!$A$1:$C$14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'QA_Images'!$A$1:$Z$63</definedName>
    <definedName name="_xlnm.Print_Titles" localSheetId="3">'QA_Images'!$1:$1</definedName>
    <definedName name="_xlnm._FilterDatabase" localSheetId="4" hidden="1">'QA_Issues'!$A$1:$K$35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hristmas-cardinals-near-snowy-birdhouse-patchwork-floral-quilt-b90d55a935-b90d55a935" TargetMode="External" Id="rId1"/><Relationship Type="http://schemas.openxmlformats.org/officeDocument/2006/relationships/hyperlink" Target="https://jeminise.com/products/christmas-cardinals-on-snowy-branches-patchwork-winter-quilt-8fa1a9e2ed-8fa1a9e2ed" TargetMode="External" Id="rId2"/><Relationship Type="http://schemas.openxmlformats.org/officeDocument/2006/relationships/hyperlink" Target="https://jeminise.com/products/cow-with-landscape-patchwork-quilt-animal-farmhouse-printed-quilt-set" TargetMode="External" Id="rId3"/><Relationship Type="http://schemas.openxmlformats.org/officeDocument/2006/relationships/hyperlink" Target="https://jeminise.com/products/crocodile-patchwork-printed-quilts-animal-patchwork-bedding" TargetMode="External" Id="rId4"/><Relationship Type="http://schemas.openxmlformats.org/officeDocument/2006/relationships/hyperlink" Target="https://jeminise.com/products/custom-retro-football-art-bedding-set-c66211cf75-c66211cf75" TargetMode="External" Id="rId5"/><Relationship Type="http://schemas.openxmlformats.org/officeDocument/2006/relationships/hyperlink" Target="https://jeminise.com/products/custom-american-football-close-up-on-grunge-vintage-comforter-26540e3264-26540e3264" TargetMode="External" Id="rId6"/><Relationship Type="http://schemas.openxmlformats.org/officeDocument/2006/relationships/hyperlink" Target="https://jeminise.com/products/custom-american-football-on-cosmic-background-vintage-comforter-62a3849621-62a3849621" TargetMode="External" Id="rId7"/><Relationship Type="http://schemas.openxmlformats.org/officeDocument/2006/relationships/hyperlink" Target="https://jeminise.com/products/custom-american-football-on-usa-flag-background-comforter-703a7c0d82-703a7c0d82" TargetMode="External" Id="rId8"/><Relationship Type="http://schemas.openxmlformats.org/officeDocument/2006/relationships/hyperlink" Target="https://jeminise.com/products/custom-american-football-with-paint-splash-background-vintage-comforter-da0e1d5bf1-da0e1d5bf1" TargetMode="External" Id="rId9"/><Relationship Type="http://schemas.openxmlformats.org/officeDocument/2006/relationships/hyperlink" Target="https://jeminise.com/products/custom-american-football-with-patriotic-flag-comforter-4a3a1ed3c9-4a3a1ed3c9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cefa39b8e586dae0db27829a045f8d696721e4c0e044144b214323829fbee46b.jpg?v=1785099259" TargetMode="External" Id="rId1"/><Relationship Type="http://schemas.openxmlformats.org/officeDocument/2006/relationships/hyperlink" Target="https://cdn.shopify.com/s/files/1/0792/5098/1063/files/cefa39b8e586dae0db27829a045f8d696721e4c0e044144b214323829fbee46b.jpg?v=1785099259" TargetMode="External" Id="rId2"/><Relationship Type="http://schemas.openxmlformats.org/officeDocument/2006/relationships/hyperlink" Target="https://cdn.shopify.com/s/files/1/0792/5098/1063/files/817cf504495341989c34e5153f75779357b3dd16c9af88d5e8f16bf5cdd1d8a4.jpg?v=1785099259" TargetMode="External" Id="rId3"/><Relationship Type="http://schemas.openxmlformats.org/officeDocument/2006/relationships/hyperlink" Target="https://cdn.shopify.com/s/files/1/0792/5098/1063/files/817cf504495341989c34e5153f75779357b3dd16c9af88d5e8f16bf5cdd1d8a4.jpg?v=1785099259" TargetMode="External" Id="rId4"/><Relationship Type="http://schemas.openxmlformats.org/officeDocument/2006/relationships/hyperlink" Target="https://cdn.shopify.com/s/files/1/0792/5098/1063/files/192d8a6eed2602b9a36fbbd7936b0d70ef3680e4dd38270f22af78ba5c23bb4a.jpg?v=1785099259" TargetMode="External" Id="rId5"/><Relationship Type="http://schemas.openxmlformats.org/officeDocument/2006/relationships/hyperlink" Target="https://cdn.shopify.com/s/files/1/0792/5098/1063/files/192d8a6eed2602b9a36fbbd7936b0d70ef3680e4dd38270f22af78ba5c23bb4a.jpg?v=1785099259" TargetMode="External" Id="rId6"/><Relationship Type="http://schemas.openxmlformats.org/officeDocument/2006/relationships/hyperlink" Target="https://cdn.shopify.com/s/files/1/0792/5098/1063/files/a5f492aee10aae43511cc5e9a46710cc38afe374b23731941e7748005cf44564.jpg?v=1785099259" TargetMode="External" Id="rId7"/><Relationship Type="http://schemas.openxmlformats.org/officeDocument/2006/relationships/hyperlink" Target="https://cdn.shopify.com/s/files/1/0792/5098/1063/files/a5f492aee10aae43511cc5e9a46710cc38afe374b23731941e7748005cf44564.jpg?v=1785099259" TargetMode="External" Id="rId8"/><Relationship Type="http://schemas.openxmlformats.org/officeDocument/2006/relationships/hyperlink" Target="https://cdn.shopify.com/s/files/1/0792/5098/1063/files/578ac27946027e8e5ec1b6c4efdccc50d46e3d6182eed1ca0e62799fb3b416fd.jpg?v=1785099259" TargetMode="External" Id="rId9"/><Relationship Type="http://schemas.openxmlformats.org/officeDocument/2006/relationships/hyperlink" Target="https://cdn.shopify.com/s/files/1/0792/5098/1063/files/578ac27946027e8e5ec1b6c4efdccc50d46e3d6182eed1ca0e62799fb3b416fd.jpg?v=1785099259" TargetMode="External" Id="rId10"/><Relationship Type="http://schemas.openxmlformats.org/officeDocument/2006/relationships/hyperlink" Target="https://cdn.shopify.com/s/files/1/0792/5098/1063/files/17b3827a8c3b4dbbd608b08c3534148427ac4397354f3f0fe053ed23086269e8.jpg?v=1785099259" TargetMode="External" Id="rId11"/><Relationship Type="http://schemas.openxmlformats.org/officeDocument/2006/relationships/hyperlink" Target="https://cdn.shopify.com/s/files/1/0792/5098/1063/files/17b3827a8c3b4dbbd608b08c3534148427ac4397354f3f0fe053ed23086269e8.jpg?v=1785099259" TargetMode="External" Id="rId12"/><Relationship Type="http://schemas.openxmlformats.org/officeDocument/2006/relationships/hyperlink" Target="https://cdn.shopify.com/s/files/1/0792/5098/1063/files/24dc7edea95f70726f65b933a6f8c4826cdc3c896050c2c5109926d64325dd21.jpg?v=1785099258" TargetMode="External" Id="rId13"/><Relationship Type="http://schemas.openxmlformats.org/officeDocument/2006/relationships/hyperlink" Target="https://cdn.shopify.com/s/files/1/0792/5098/1063/files/24dc7edea95f70726f65b933a6f8c4826cdc3c896050c2c5109926d64325dd21.jpg?v=1785099258" TargetMode="External" Id="rId14"/><Relationship Type="http://schemas.openxmlformats.org/officeDocument/2006/relationships/hyperlink" Target="https://cdn.shopify.com/s/files/1/0792/5098/1063/files/dac06806abe736aaddf0257ef47ee3581ffb682f1ee70078a493eb9381b34f9f.jpg?v=1785098963" TargetMode="External" Id="rId15"/><Relationship Type="http://schemas.openxmlformats.org/officeDocument/2006/relationships/hyperlink" Target="https://cdn.shopify.com/s/files/1/0792/5098/1063/files/dac06806abe736aaddf0257ef47ee3581ffb682f1ee70078a493eb9381b34f9f.jpg?v=1785098963" TargetMode="External" Id="rId16"/><Relationship Type="http://schemas.openxmlformats.org/officeDocument/2006/relationships/hyperlink" Target="https://cdn.shopify.com/s/files/1/0792/5098/1063/files/ab7e4f9484e52e83891e552e58d6a27e151a62e654a01667625d8c86bd6a3295.jpg?v=1785098963" TargetMode="External" Id="rId17"/><Relationship Type="http://schemas.openxmlformats.org/officeDocument/2006/relationships/hyperlink" Target="https://cdn.shopify.com/s/files/1/0792/5098/1063/files/ab7e4f9484e52e83891e552e58d6a27e151a62e654a01667625d8c86bd6a3295.jpg?v=1785098963" TargetMode="External" Id="rId18"/><Relationship Type="http://schemas.openxmlformats.org/officeDocument/2006/relationships/hyperlink" Target="https://cdn.shopify.com/s/files/1/0792/5098/1063/files/af11f2e375dabf355f9318fb1eea3b312db7cd0ed95fb4b96e7b537d184a9d42.jpg?v=1785098963" TargetMode="External" Id="rId19"/><Relationship Type="http://schemas.openxmlformats.org/officeDocument/2006/relationships/hyperlink" Target="https://cdn.shopify.com/s/files/1/0792/5098/1063/files/af11f2e375dabf355f9318fb1eea3b312db7cd0ed95fb4b96e7b537d184a9d42.jpg?v=1785098963" TargetMode="External" Id="rId20"/><Relationship Type="http://schemas.openxmlformats.org/officeDocument/2006/relationships/hyperlink" Target="https://cdn.shopify.com/s/files/1/0792/5098/1063/files/f940efaf872da7294b0ec99795596430c32c922db66b35243684820e65417fb3.jpg?v=1785098963" TargetMode="External" Id="rId21"/><Relationship Type="http://schemas.openxmlformats.org/officeDocument/2006/relationships/hyperlink" Target="https://cdn.shopify.com/s/files/1/0792/5098/1063/files/f940efaf872da7294b0ec99795596430c32c922db66b35243684820e65417fb3.jpg?v=1785098963" TargetMode="External" Id="rId22"/><Relationship Type="http://schemas.openxmlformats.org/officeDocument/2006/relationships/hyperlink" Target="https://cdn.shopify.com/s/files/1/0792/5098/1063/files/e0cc67382e14f285ae5b93b57a9e0bfb1a6da6368549d710aed5a534af0f3e89.jpg?v=1785098963" TargetMode="External" Id="rId23"/><Relationship Type="http://schemas.openxmlformats.org/officeDocument/2006/relationships/hyperlink" Target="https://cdn.shopify.com/s/files/1/0792/5098/1063/files/e0cc67382e14f285ae5b93b57a9e0bfb1a6da6368549d710aed5a534af0f3e89.jpg?v=1785098963" TargetMode="External" Id="rId24"/><Relationship Type="http://schemas.openxmlformats.org/officeDocument/2006/relationships/hyperlink" Target="https://cdn.shopify.com/s/files/1/0792/5098/1063/files/c125a162b81ac7a0917f20a9f0ef6de99ea1d1287c4b81750b47673eae384743.jpg?v=1787233735" TargetMode="External" Id="rId25"/><Relationship Type="http://schemas.openxmlformats.org/officeDocument/2006/relationships/hyperlink" Target="https://cdn.shopify.com/s/files/1/0792/5098/1063/files/c125a162b81ac7a0917f20a9f0ef6de99ea1d1287c4b81750b47673eae384743.jpg?v=1787233735" TargetMode="External" Id="rId26"/><Relationship Type="http://schemas.openxmlformats.org/officeDocument/2006/relationships/hyperlink" Target="https://cdn.shopify.com/s/files/1/0792/5098/1063/files/7a88284bac324abbd9e85d02486e08e699c97d58643e1069e6adbbc0aaa005b3.jpg?v=1787233735" TargetMode="External" Id="rId27"/><Relationship Type="http://schemas.openxmlformats.org/officeDocument/2006/relationships/hyperlink" Target="https://cdn.shopify.com/s/files/1/0792/5098/1063/files/7a88284bac324abbd9e85d02486e08e699c97d58643e1069e6adbbc0aaa005b3.jpg?v=1787233735" TargetMode="External" Id="rId28"/><Relationship Type="http://schemas.openxmlformats.org/officeDocument/2006/relationships/hyperlink" Target="https://cdn.shopify.com/s/files/1/0792/5098/1063/files/f32a0ab9ff68ed03ce7eeb22aba59688cf62bd847260ddb6328da301eba420f1.jpg?v=1787233735" TargetMode="External" Id="rId29"/><Relationship Type="http://schemas.openxmlformats.org/officeDocument/2006/relationships/hyperlink" Target="https://cdn.shopify.com/s/files/1/0792/5098/1063/files/f32a0ab9ff68ed03ce7eeb22aba59688cf62bd847260ddb6328da301eba420f1.jpg?v=1787233735" TargetMode="External" Id="rId30"/><Relationship Type="http://schemas.openxmlformats.org/officeDocument/2006/relationships/hyperlink" Target="https://cdn.shopify.com/s/files/1/0792/5098/1063/files/1bbca18f85bad17a4319e22b1226d6662eb2bab7b67726b2423904e5d0e36838.jpg?v=1787233735" TargetMode="External" Id="rId31"/><Relationship Type="http://schemas.openxmlformats.org/officeDocument/2006/relationships/hyperlink" Target="https://cdn.shopify.com/s/files/1/0792/5098/1063/files/1bbca18f85bad17a4319e22b1226d6662eb2bab7b67726b2423904e5d0e36838.jpg?v=1787233735" TargetMode="External" Id="rId32"/><Relationship Type="http://schemas.openxmlformats.org/officeDocument/2006/relationships/hyperlink" Target="https://cdn.shopify.com/s/files/1/0792/5098/1063/files/32dcd15df2916d5b1b8d8d68f2f607c4714e8c2431775c9aca2dfd45240abd6f.jpg?v=1787233735" TargetMode="External" Id="rId33"/><Relationship Type="http://schemas.openxmlformats.org/officeDocument/2006/relationships/hyperlink" Target="https://cdn.shopify.com/s/files/1/0792/5098/1063/files/32dcd15df2916d5b1b8d8d68f2f607c4714e8c2431775c9aca2dfd45240abd6f.jpg?v=1787233735" TargetMode="External" Id="rId34"/><Relationship Type="http://schemas.openxmlformats.org/officeDocument/2006/relationships/hyperlink" Target="https://cdn.shopify.com/s/files/1/0792/5098/1063/files/dc70b03e88939e50ced310aa559c8361dac40ba03af7d4e5a16ecc0308756e3b.jpg?v=1787233735" TargetMode="External" Id="rId35"/><Relationship Type="http://schemas.openxmlformats.org/officeDocument/2006/relationships/hyperlink" Target="https://cdn.shopify.com/s/files/1/0792/5098/1063/files/dc70b03e88939e50ced310aa559c8361dac40ba03af7d4e5a16ecc0308756e3b.jpg?v=1787233735" TargetMode="External" Id="rId36"/><Relationship Type="http://schemas.openxmlformats.org/officeDocument/2006/relationships/hyperlink" Target="https://cdn.shopify.com/s/files/1/0792/5098/1063/files/c37475656bf98ea019e9e9887fa4be4c65af24e59e440b0e459561c573680aa0.jpg?v=1787233735" TargetMode="External" Id="rId37"/><Relationship Type="http://schemas.openxmlformats.org/officeDocument/2006/relationships/hyperlink" Target="https://cdn.shopify.com/s/files/1/0792/5098/1063/files/c37475656bf98ea019e9e9887fa4be4c65af24e59e440b0e459561c573680aa0.jpg?v=1787233735" TargetMode="External" Id="rId38"/><Relationship Type="http://schemas.openxmlformats.org/officeDocument/2006/relationships/hyperlink" Target="https://cdn.shopify.com/s/files/1/0792/5098/1063/files/3c7bf8f759fde9a601188dc9ea3bfb0f79f2706824b7f370fe34e30020f2a202.jpg?v=1787233713" TargetMode="External" Id="rId39"/><Relationship Type="http://schemas.openxmlformats.org/officeDocument/2006/relationships/hyperlink" Target="https://cdn.shopify.com/s/files/1/0792/5098/1063/files/3c7bf8f759fde9a601188dc9ea3bfb0f79f2706824b7f370fe34e30020f2a202.jpg?v=1787233713" TargetMode="External" Id="rId40"/><Relationship Type="http://schemas.openxmlformats.org/officeDocument/2006/relationships/hyperlink" Target="https://cdn.shopify.com/s/files/1/0792/5098/1063/files/45d1fdc812fc32fda9640edc194f4f3eb069b49c9bad423b59abfe172e4a5c89.jpg?v=1787233712" TargetMode="External" Id="rId41"/><Relationship Type="http://schemas.openxmlformats.org/officeDocument/2006/relationships/hyperlink" Target="https://cdn.shopify.com/s/files/1/0792/5098/1063/files/45d1fdc812fc32fda9640edc194f4f3eb069b49c9bad423b59abfe172e4a5c89.jpg?v=1787233712" TargetMode="External" Id="rId42"/><Relationship Type="http://schemas.openxmlformats.org/officeDocument/2006/relationships/hyperlink" Target="https://cdn.shopify.com/s/files/1/0792/5098/1063/files/3a2053c767418069e7798a6396238963761e34d481d46bd9d676cc7a722ce425.jpg?v=1787233713" TargetMode="External" Id="rId43"/><Relationship Type="http://schemas.openxmlformats.org/officeDocument/2006/relationships/hyperlink" Target="https://cdn.shopify.com/s/files/1/0792/5098/1063/files/3a2053c767418069e7798a6396238963761e34d481d46bd9d676cc7a722ce425.jpg?v=1787233713" TargetMode="External" Id="rId44"/><Relationship Type="http://schemas.openxmlformats.org/officeDocument/2006/relationships/hyperlink" Target="https://cdn.shopify.com/s/files/1/0792/5098/1063/files/ca1530c052c368c7b33901d9e2fd47aa2d3c8729c2b6a8e94b515887302df3a0.jpg?v=1787233712" TargetMode="External" Id="rId45"/><Relationship Type="http://schemas.openxmlformats.org/officeDocument/2006/relationships/hyperlink" Target="https://cdn.shopify.com/s/files/1/0792/5098/1063/files/ca1530c052c368c7b33901d9e2fd47aa2d3c8729c2b6a8e94b515887302df3a0.jpg?v=1787233712" TargetMode="External" Id="rId46"/><Relationship Type="http://schemas.openxmlformats.org/officeDocument/2006/relationships/hyperlink" Target="https://cdn.shopify.com/s/files/1/0792/5098/1063/files/1fa8058540449ec4eb68c35fe7ec37e0856cc71fc7a5029d3951ed6945165bfc.jpg?v=1787233713" TargetMode="External" Id="rId47"/><Relationship Type="http://schemas.openxmlformats.org/officeDocument/2006/relationships/hyperlink" Target="https://cdn.shopify.com/s/files/1/0792/5098/1063/files/1fa8058540449ec4eb68c35fe7ec37e0856cc71fc7a5029d3951ed6945165bfc.jpg?v=1787233713" TargetMode="External" Id="rId48"/><Relationship Type="http://schemas.openxmlformats.org/officeDocument/2006/relationships/hyperlink" Target="https://cdn.shopify.com/s/files/1/0792/5098/1063/files/71e21ed6c41ef40003dcc207eada8ae5687d7cdc52c7c96941fafe821b96cf71.jpg?v=1787233712" TargetMode="External" Id="rId49"/><Relationship Type="http://schemas.openxmlformats.org/officeDocument/2006/relationships/hyperlink" Target="https://cdn.shopify.com/s/files/1/0792/5098/1063/files/71e21ed6c41ef40003dcc207eada8ae5687d7cdc52c7c96941fafe821b96cf71.jpg?v=1787233712" TargetMode="External" Id="rId50"/><Relationship Type="http://schemas.openxmlformats.org/officeDocument/2006/relationships/hyperlink" Target="https://cdn.shopify.com/s/files/1/0792/5098/1063/files/2e61c65733910ced1b3279c5c08d3d803cc79f9b416df50e273ff128a85b4f69.jpg?v=1787233712" TargetMode="External" Id="rId51"/><Relationship Type="http://schemas.openxmlformats.org/officeDocument/2006/relationships/hyperlink" Target="https://cdn.shopify.com/s/files/1/0792/5098/1063/files/2e61c65733910ced1b3279c5c08d3d803cc79f9b416df50e273ff128a85b4f69.jpg?v=1787233712" TargetMode="External" Id="rId52"/><Relationship Type="http://schemas.openxmlformats.org/officeDocument/2006/relationships/hyperlink" Target="https://cdn.shopify.com/s/files/1/0792/5098/1063/files/cd93064cff49abd094a4b54d4c8521f964011ef3177c132c9e7664b7ae385495.jpg?v=1785101924" TargetMode="External" Id="rId53"/><Relationship Type="http://schemas.openxmlformats.org/officeDocument/2006/relationships/hyperlink" Target="https://cdn.shopify.com/s/files/1/0792/5098/1063/files/cd93064cff49abd094a4b54d4c8521f964011ef3177c132c9e7664b7ae385495.jpg?v=1785101924" TargetMode="External" Id="rId54"/><Relationship Type="http://schemas.openxmlformats.org/officeDocument/2006/relationships/hyperlink" Target="https://cdn.shopify.com/s/files/1/0792/5098/1063/files/384ec0bb85a1c394b826a8ce0cc726e412f6f9248512418013abccd1c39244e3.jpg?v=1785101924" TargetMode="External" Id="rId55"/><Relationship Type="http://schemas.openxmlformats.org/officeDocument/2006/relationships/hyperlink" Target="https://cdn.shopify.com/s/files/1/0792/5098/1063/files/384ec0bb85a1c394b826a8ce0cc726e412f6f9248512418013abccd1c39244e3.jpg?v=1785101924" TargetMode="External" Id="rId56"/><Relationship Type="http://schemas.openxmlformats.org/officeDocument/2006/relationships/hyperlink" Target="https://cdn.shopify.com/s/files/1/0792/5098/1063/files/16f7293cbefa5743a35b2e6316a5a114e5c052d08151e367dafd26aa5e2e542b_1645c7b1-7dd0-4432-8f0e-842386b9a1b7.jpg?v=1785101924" TargetMode="External" Id="rId57"/><Relationship Type="http://schemas.openxmlformats.org/officeDocument/2006/relationships/hyperlink" Target="https://cdn.shopify.com/s/files/1/0792/5098/1063/files/16f7293cbefa5743a35b2e6316a5a114e5c052d08151e367dafd26aa5e2e542b_1645c7b1-7dd0-4432-8f0e-842386b9a1b7.jpg?v=1785101924" TargetMode="External" Id="rId58"/><Relationship Type="http://schemas.openxmlformats.org/officeDocument/2006/relationships/hyperlink" Target="https://cdn.shopify.com/s/files/1/0792/5098/1063/files/3e41b1b3613ae8424f256e83517163fa8317c8d737d739882986d6ecc0324617.jpg?v=1785101924" TargetMode="External" Id="rId59"/><Relationship Type="http://schemas.openxmlformats.org/officeDocument/2006/relationships/hyperlink" Target="https://cdn.shopify.com/s/files/1/0792/5098/1063/files/3e41b1b3613ae8424f256e83517163fa8317c8d737d739882986d6ecc0324617.jpg?v=1785101924" TargetMode="External" Id="rId60"/><Relationship Type="http://schemas.openxmlformats.org/officeDocument/2006/relationships/hyperlink" Target="https://cdn.shopify.com/s/files/1/0792/5098/1063/files/7c006bddc94d4763c71c8376307e195c1bbce73b8c802ec73ac5a8cef1291262_a3fb9a4f-ebe5-48cb-aa4f-5ac39a8a9cdc.jpg?v=1785101924" TargetMode="External" Id="rId61"/><Relationship Type="http://schemas.openxmlformats.org/officeDocument/2006/relationships/hyperlink" Target="https://cdn.shopify.com/s/files/1/0792/5098/1063/files/7c006bddc94d4763c71c8376307e195c1bbce73b8c802ec73ac5a8cef1291262_a3fb9a4f-ebe5-48cb-aa4f-5ac39a8a9cdc.jpg?v=1785101924" TargetMode="External" Id="rId62"/><Relationship Type="http://schemas.openxmlformats.org/officeDocument/2006/relationships/hyperlink" Target="https://cdn.shopify.com/s/files/1/0792/5098/1063/files/e5cad84edb4d7bf77c48fd7c8e52eb3b73f04eba8bf177671fd8a059c59422e8_0a0a59ee-c0ee-4995-bf6a-e815a670b8e3.jpg?v=1785101924" TargetMode="External" Id="rId63"/><Relationship Type="http://schemas.openxmlformats.org/officeDocument/2006/relationships/hyperlink" Target="https://cdn.shopify.com/s/files/1/0792/5098/1063/files/e5cad84edb4d7bf77c48fd7c8e52eb3b73f04eba8bf177671fd8a059c59422e8_0a0a59ee-c0ee-4995-bf6a-e815a670b8e3.jpg?v=1785101924" TargetMode="External" Id="rId64"/><Relationship Type="http://schemas.openxmlformats.org/officeDocument/2006/relationships/hyperlink" Target="https://cdn.shopify.com/s/files/1/0792/5098/1063/files/11f76d2e307e1c50766e2c6b95e8a9272e0546226ca0a5996ceecb7ad1d1e36b.jpg?v=1785100474" TargetMode="External" Id="rId65"/><Relationship Type="http://schemas.openxmlformats.org/officeDocument/2006/relationships/hyperlink" Target="https://cdn.shopify.com/s/files/1/0792/5098/1063/files/11f76d2e307e1c50766e2c6b95e8a9272e0546226ca0a5996ceecb7ad1d1e36b.jpg?v=1785100474" TargetMode="External" Id="rId66"/><Relationship Type="http://schemas.openxmlformats.org/officeDocument/2006/relationships/hyperlink" Target="https://cdn.shopify.com/s/files/1/0792/5098/1063/files/a086ef784a942cd52629fe736719d7e523332dd679d2ff85ee39f4db573b7877.jpg?v=1785100474" TargetMode="External" Id="rId67"/><Relationship Type="http://schemas.openxmlformats.org/officeDocument/2006/relationships/hyperlink" Target="https://cdn.shopify.com/s/files/1/0792/5098/1063/files/a086ef784a942cd52629fe736719d7e523332dd679d2ff85ee39f4db573b7877.jpg?v=1785100474" TargetMode="External" Id="rId68"/><Relationship Type="http://schemas.openxmlformats.org/officeDocument/2006/relationships/hyperlink" Target="https://cdn.shopify.com/s/files/1/0792/5098/1063/files/16f7293cbefa5743a35b2e6316a5a114e5c052d08151e367dafd26aa5e2e542b_f61d59c9-1e61-473b-93e0-490c63ed9242.jpg?v=1785100474" TargetMode="External" Id="rId69"/><Relationship Type="http://schemas.openxmlformats.org/officeDocument/2006/relationships/hyperlink" Target="https://cdn.shopify.com/s/files/1/0792/5098/1063/files/16f7293cbefa5743a35b2e6316a5a114e5c052d08151e367dafd26aa5e2e542b_f61d59c9-1e61-473b-93e0-490c63ed9242.jpg?v=1785100474" TargetMode="External" Id="rId70"/><Relationship Type="http://schemas.openxmlformats.org/officeDocument/2006/relationships/hyperlink" Target="https://cdn.shopify.com/s/files/1/0792/5098/1063/files/1bb27dd96fe081443e8b20966cb77e2c7e536a5f697d54f3941ab027a2445269.jpg?v=1785100474" TargetMode="External" Id="rId71"/><Relationship Type="http://schemas.openxmlformats.org/officeDocument/2006/relationships/hyperlink" Target="https://cdn.shopify.com/s/files/1/0792/5098/1063/files/1bb27dd96fe081443e8b20966cb77e2c7e536a5f697d54f3941ab027a2445269.jpg?v=1785100474" TargetMode="External" Id="rId72"/><Relationship Type="http://schemas.openxmlformats.org/officeDocument/2006/relationships/hyperlink" Target="https://cdn.shopify.com/s/files/1/0792/5098/1063/files/7c006bddc94d4763c71c8376307e195c1bbce73b8c802ec73ac5a8cef1291262_f556ba8b-082d-45f0-9344-319cc291850f.jpg?v=1785100474" TargetMode="External" Id="rId73"/><Relationship Type="http://schemas.openxmlformats.org/officeDocument/2006/relationships/hyperlink" Target="https://cdn.shopify.com/s/files/1/0792/5098/1063/files/7c006bddc94d4763c71c8376307e195c1bbce73b8c802ec73ac5a8cef1291262_f556ba8b-082d-45f0-9344-319cc291850f.jpg?v=1785100474" TargetMode="External" Id="rId74"/><Relationship Type="http://schemas.openxmlformats.org/officeDocument/2006/relationships/hyperlink" Target="https://cdn.shopify.com/s/files/1/0792/5098/1063/files/e5cad84edb4d7bf77c48fd7c8e52eb3b73f04eba8bf177671fd8a059c59422e8_e68e02cc-c567-4e1f-93b4-3efe2b03219d.jpg?v=1785100474" TargetMode="External" Id="rId75"/><Relationship Type="http://schemas.openxmlformats.org/officeDocument/2006/relationships/hyperlink" Target="https://cdn.shopify.com/s/files/1/0792/5098/1063/files/e5cad84edb4d7bf77c48fd7c8e52eb3b73f04eba8bf177671fd8a059c59422e8_e68e02cc-c567-4e1f-93b4-3efe2b03219d.jpg?v=1785100474" TargetMode="External" Id="rId76"/><Relationship Type="http://schemas.openxmlformats.org/officeDocument/2006/relationships/hyperlink" Target="https://cdn.shopify.com/s/files/1/0792/5098/1063/files/b38409cca05f668cdad57ab52d40b4b00fb8c161ab5af391eaf7a4ce3b8892f2.jpg?v=1785100295" TargetMode="External" Id="rId77"/><Relationship Type="http://schemas.openxmlformats.org/officeDocument/2006/relationships/hyperlink" Target="https://cdn.shopify.com/s/files/1/0792/5098/1063/files/b38409cca05f668cdad57ab52d40b4b00fb8c161ab5af391eaf7a4ce3b8892f2.jpg?v=1785100295" TargetMode="External" Id="rId78"/><Relationship Type="http://schemas.openxmlformats.org/officeDocument/2006/relationships/hyperlink" Target="https://cdn.shopify.com/s/files/1/0792/5098/1063/files/541f7a11cb182f93e5c63ff4db954de7b224c4f859e24518f310d671cca10275.jpg?v=1785100295" TargetMode="External" Id="rId79"/><Relationship Type="http://schemas.openxmlformats.org/officeDocument/2006/relationships/hyperlink" Target="https://cdn.shopify.com/s/files/1/0792/5098/1063/files/541f7a11cb182f93e5c63ff4db954de7b224c4f859e24518f310d671cca10275.jpg?v=1785100295" TargetMode="External" Id="rId80"/><Relationship Type="http://schemas.openxmlformats.org/officeDocument/2006/relationships/hyperlink" Target="https://cdn.shopify.com/s/files/1/0792/5098/1063/files/9aa9c35ad239e2defe80d680bfc9c3ac770143ee38bd0c93c9b9e1b1dc297f8c_36262fc6-efaa-4cca-aed1-b9455ede2ae8.jpg?v=1785100295" TargetMode="External" Id="rId81"/><Relationship Type="http://schemas.openxmlformats.org/officeDocument/2006/relationships/hyperlink" Target="https://cdn.shopify.com/s/files/1/0792/5098/1063/files/9aa9c35ad239e2defe80d680bfc9c3ac770143ee38bd0c93c9b9e1b1dc297f8c_36262fc6-efaa-4cca-aed1-b9455ede2ae8.jpg?v=1785100295" TargetMode="External" Id="rId82"/><Relationship Type="http://schemas.openxmlformats.org/officeDocument/2006/relationships/hyperlink" Target="https://cdn.shopify.com/s/files/1/0792/5098/1063/files/7a84d6352dbc1e78ebe1fc0d5c248b6dada28fcf2bc3ae2d6caf4e1511373e35.jpg?v=1785100295" TargetMode="External" Id="rId83"/><Relationship Type="http://schemas.openxmlformats.org/officeDocument/2006/relationships/hyperlink" Target="https://cdn.shopify.com/s/files/1/0792/5098/1063/files/7a84d6352dbc1e78ebe1fc0d5c248b6dada28fcf2bc3ae2d6caf4e1511373e35.jpg?v=1785100295" TargetMode="External" Id="rId84"/><Relationship Type="http://schemas.openxmlformats.org/officeDocument/2006/relationships/hyperlink" Target="https://cdn.shopify.com/s/files/1/0792/5098/1063/files/1bbfbfcf6d26cde4c41dc9cd48a48d8537c348d2d8ae8239cde2198dbac1d7d5_2f6333ff-2210-49b8-95cd-4a58a2c3229b.jpg?v=1785100295" TargetMode="External" Id="rId85"/><Relationship Type="http://schemas.openxmlformats.org/officeDocument/2006/relationships/hyperlink" Target="https://cdn.shopify.com/s/files/1/0792/5098/1063/files/1bbfbfcf6d26cde4c41dc9cd48a48d8537c348d2d8ae8239cde2198dbac1d7d5_2f6333ff-2210-49b8-95cd-4a58a2c3229b.jpg?v=1785100295" TargetMode="External" Id="rId86"/><Relationship Type="http://schemas.openxmlformats.org/officeDocument/2006/relationships/hyperlink" Target="https://cdn.shopify.com/s/files/1/0792/5098/1063/files/b875bfc16d8349abe649f457b947dd0efc388f0aa8df8cf243abee1bb432b085_894668af-b5c7-4cad-b078-ede9e4dae69a.jpg?v=1785100295" TargetMode="External" Id="rId87"/><Relationship Type="http://schemas.openxmlformats.org/officeDocument/2006/relationships/hyperlink" Target="https://cdn.shopify.com/s/files/1/0792/5098/1063/files/b875bfc16d8349abe649f457b947dd0efc388f0aa8df8cf243abee1bb432b085_894668af-b5c7-4cad-b078-ede9e4dae69a.jpg?v=1785100295" TargetMode="External" Id="rId88"/><Relationship Type="http://schemas.openxmlformats.org/officeDocument/2006/relationships/hyperlink" Target="https://cdn.shopify.com/s/files/1/0792/5098/1063/files/e5722218140b0bda49ea2f5691bd969b1bc3066cad7c3a0bb0771d1509e66d50.jpg?v=1785101771" TargetMode="External" Id="rId89"/><Relationship Type="http://schemas.openxmlformats.org/officeDocument/2006/relationships/hyperlink" Target="https://cdn.shopify.com/s/files/1/0792/5098/1063/files/e5722218140b0bda49ea2f5691bd969b1bc3066cad7c3a0bb0771d1509e66d50.jpg?v=1785101771" TargetMode="External" Id="rId90"/><Relationship Type="http://schemas.openxmlformats.org/officeDocument/2006/relationships/hyperlink" Target="https://cdn.shopify.com/s/files/1/0792/5098/1063/files/5583b1802d78e566880d8695a5c0bcdf0bb685b148b271042c5b29db02caaf18.jpg?v=1785101770" TargetMode="External" Id="rId91"/><Relationship Type="http://schemas.openxmlformats.org/officeDocument/2006/relationships/hyperlink" Target="https://cdn.shopify.com/s/files/1/0792/5098/1063/files/5583b1802d78e566880d8695a5c0bcdf0bb685b148b271042c5b29db02caaf18.jpg?v=1785101770" TargetMode="External" Id="rId92"/><Relationship Type="http://schemas.openxmlformats.org/officeDocument/2006/relationships/hyperlink" Target="https://cdn.shopify.com/s/files/1/0792/5098/1063/files/16f7293cbefa5743a35b2e6316a5a114e5c052d08151e367dafd26aa5e2e542b_50c40cd4-4737-483e-b146-d01efedc6b1f.jpg?v=1785101770" TargetMode="External" Id="rId93"/><Relationship Type="http://schemas.openxmlformats.org/officeDocument/2006/relationships/hyperlink" Target="https://cdn.shopify.com/s/files/1/0792/5098/1063/files/16f7293cbefa5743a35b2e6316a5a114e5c052d08151e367dafd26aa5e2e542b_50c40cd4-4737-483e-b146-d01efedc6b1f.jpg?v=1785101770" TargetMode="External" Id="rId94"/><Relationship Type="http://schemas.openxmlformats.org/officeDocument/2006/relationships/hyperlink" Target="https://cdn.shopify.com/s/files/1/0792/5098/1063/files/c05fa3057772437a9c016de35e8829c295fa0f9aa5ab3e4cef2ef36b835bcecb.jpg?v=1785101770" TargetMode="External" Id="rId95"/><Relationship Type="http://schemas.openxmlformats.org/officeDocument/2006/relationships/hyperlink" Target="https://cdn.shopify.com/s/files/1/0792/5098/1063/files/c05fa3057772437a9c016de35e8829c295fa0f9aa5ab3e4cef2ef36b835bcecb.jpg?v=1785101770" TargetMode="External" Id="rId96"/><Relationship Type="http://schemas.openxmlformats.org/officeDocument/2006/relationships/hyperlink" Target="https://cdn.shopify.com/s/files/1/0792/5098/1063/files/7c006bddc94d4763c71c8376307e195c1bbce73b8c802ec73ac5a8cef1291262_e42da11c-22a6-4e3d-bb70-996edab6cf62.jpg?v=1785101771" TargetMode="External" Id="rId97"/><Relationship Type="http://schemas.openxmlformats.org/officeDocument/2006/relationships/hyperlink" Target="https://cdn.shopify.com/s/files/1/0792/5098/1063/files/7c006bddc94d4763c71c8376307e195c1bbce73b8c802ec73ac5a8cef1291262_e42da11c-22a6-4e3d-bb70-996edab6cf62.jpg?v=1785101771" TargetMode="External" Id="rId98"/><Relationship Type="http://schemas.openxmlformats.org/officeDocument/2006/relationships/hyperlink" Target="https://cdn.shopify.com/s/files/1/0792/5098/1063/files/e5cad84edb4d7bf77c48fd7c8e52eb3b73f04eba8bf177671fd8a059c59422e8_83f80854-ef3b-498b-9687-6e0c3210b351.jpg?v=1785101770" TargetMode="External" Id="rId99"/><Relationship Type="http://schemas.openxmlformats.org/officeDocument/2006/relationships/hyperlink" Target="https://cdn.shopify.com/s/files/1/0792/5098/1063/files/e5cad84edb4d7bf77c48fd7c8e52eb3b73f04eba8bf177671fd8a059c59422e8_83f80854-ef3b-498b-9687-6e0c3210b351.jpg?v=1785101770" TargetMode="External" Id="rId100"/><Relationship Type="http://schemas.openxmlformats.org/officeDocument/2006/relationships/hyperlink" Target="https://cdn.shopify.com/s/files/1/0792/5098/1063/files/f9e8536c20f2dc19107c6fd69a43535c4bb88bac4323fd1ee6ac49a2601099d3.jpg?v=1785102312" TargetMode="External" Id="rId101"/><Relationship Type="http://schemas.openxmlformats.org/officeDocument/2006/relationships/hyperlink" Target="https://cdn.shopify.com/s/files/1/0792/5098/1063/files/f9e8536c20f2dc19107c6fd69a43535c4bb88bac4323fd1ee6ac49a2601099d3.jpg?v=1785102312" TargetMode="External" Id="rId102"/><Relationship Type="http://schemas.openxmlformats.org/officeDocument/2006/relationships/hyperlink" Target="https://cdn.shopify.com/s/files/1/0792/5098/1063/files/928eb50ae3f1bc7e4d40765cc2350f1fd1aba1a4ed6c886ee957ba75876d92ff.jpg?v=1785102312" TargetMode="External" Id="rId103"/><Relationship Type="http://schemas.openxmlformats.org/officeDocument/2006/relationships/hyperlink" Target="https://cdn.shopify.com/s/files/1/0792/5098/1063/files/928eb50ae3f1bc7e4d40765cc2350f1fd1aba1a4ed6c886ee957ba75876d92ff.jpg?v=1785102312" TargetMode="External" Id="rId104"/><Relationship Type="http://schemas.openxmlformats.org/officeDocument/2006/relationships/hyperlink" Target="https://cdn.shopify.com/s/files/1/0792/5098/1063/files/16f7293cbefa5743a35b2e6316a5a114e5c052d08151e367dafd26aa5e2e542b_1acfa0ab-cba8-45fa-a4cf-f1fd84ab628b.jpg?v=1785102312" TargetMode="External" Id="rId105"/><Relationship Type="http://schemas.openxmlformats.org/officeDocument/2006/relationships/hyperlink" Target="https://cdn.shopify.com/s/files/1/0792/5098/1063/files/16f7293cbefa5743a35b2e6316a5a114e5c052d08151e367dafd26aa5e2e542b_1acfa0ab-cba8-45fa-a4cf-f1fd84ab628b.jpg?v=1785102312" TargetMode="External" Id="rId106"/><Relationship Type="http://schemas.openxmlformats.org/officeDocument/2006/relationships/hyperlink" Target="https://cdn.shopify.com/s/files/1/0792/5098/1063/files/fcef7f349baccd1d4b9d05508c169228825a3e4845ac14a8f93db8f652db7186.jpg?v=1785102312" TargetMode="External" Id="rId107"/><Relationship Type="http://schemas.openxmlformats.org/officeDocument/2006/relationships/hyperlink" Target="https://cdn.shopify.com/s/files/1/0792/5098/1063/files/fcef7f349baccd1d4b9d05508c169228825a3e4845ac14a8f93db8f652db7186.jpg?v=1785102312" TargetMode="External" Id="rId108"/><Relationship Type="http://schemas.openxmlformats.org/officeDocument/2006/relationships/hyperlink" Target="https://cdn.shopify.com/s/files/1/0792/5098/1063/files/7c006bddc94d4763c71c8376307e195c1bbce73b8c802ec73ac5a8cef1291262_e57e2d4f-2a74-4a7f-9a82-b7c808f9b0cc.jpg?v=1785102312" TargetMode="External" Id="rId109"/><Relationship Type="http://schemas.openxmlformats.org/officeDocument/2006/relationships/hyperlink" Target="https://cdn.shopify.com/s/files/1/0792/5098/1063/files/7c006bddc94d4763c71c8376307e195c1bbce73b8c802ec73ac5a8cef1291262_e57e2d4f-2a74-4a7f-9a82-b7c808f9b0cc.jpg?v=1785102312" TargetMode="External" Id="rId110"/><Relationship Type="http://schemas.openxmlformats.org/officeDocument/2006/relationships/hyperlink" Target="https://cdn.shopify.com/s/files/1/0792/5098/1063/files/e5cad84edb4d7bf77c48fd7c8e52eb3b73f04eba8bf177671fd8a059c59422e8_e4232455-7802-4105-bf12-f40717779408.jpg?v=1785102312" TargetMode="External" Id="rId111"/><Relationship Type="http://schemas.openxmlformats.org/officeDocument/2006/relationships/hyperlink" Target="https://cdn.shopify.com/s/files/1/0792/5098/1063/files/e5cad84edb4d7bf77c48fd7c8e52eb3b73f04eba8bf177671fd8a059c59422e8_e4232455-7802-4105-bf12-f40717779408.jpg?v=1785102312" TargetMode="External" Id="rId112"/><Relationship Type="http://schemas.openxmlformats.org/officeDocument/2006/relationships/hyperlink" Target="https://cdn.shopify.com/s/files/1/0792/5098/1063/files/a6aedfb7f9b81449b401a91a0409992efbba09d035e85d8e5cc7da9802dc0589.jpg?v=1785101840" TargetMode="External" Id="rId113"/><Relationship Type="http://schemas.openxmlformats.org/officeDocument/2006/relationships/hyperlink" Target="https://cdn.shopify.com/s/files/1/0792/5098/1063/files/a6aedfb7f9b81449b401a91a0409992efbba09d035e85d8e5cc7da9802dc0589.jpg?v=1785101840" TargetMode="External" Id="rId114"/><Relationship Type="http://schemas.openxmlformats.org/officeDocument/2006/relationships/hyperlink" Target="https://cdn.shopify.com/s/files/1/0792/5098/1063/files/c68aa5c462e7e6a06d4fab3fb3a9399d56e5454756be9390c9f0a2573c8bb7ae.jpg?v=1785101840" TargetMode="External" Id="rId115"/><Relationship Type="http://schemas.openxmlformats.org/officeDocument/2006/relationships/hyperlink" Target="https://cdn.shopify.com/s/files/1/0792/5098/1063/files/c68aa5c462e7e6a06d4fab3fb3a9399d56e5454756be9390c9f0a2573c8bb7ae.jpg?v=1785101840" TargetMode="External" Id="rId116"/><Relationship Type="http://schemas.openxmlformats.org/officeDocument/2006/relationships/hyperlink" Target="https://cdn.shopify.com/s/files/1/0792/5098/1063/files/16f7293cbefa5743a35b2e6316a5a114e5c052d08151e367dafd26aa5e2e542b_4cbeb11e-e4ef-4f2d-8aa3-de326b38c11b.jpg?v=1785101840" TargetMode="External" Id="rId117"/><Relationship Type="http://schemas.openxmlformats.org/officeDocument/2006/relationships/hyperlink" Target="https://cdn.shopify.com/s/files/1/0792/5098/1063/files/16f7293cbefa5743a35b2e6316a5a114e5c052d08151e367dafd26aa5e2e542b_4cbeb11e-e4ef-4f2d-8aa3-de326b38c11b.jpg?v=1785101840" TargetMode="External" Id="rId118"/><Relationship Type="http://schemas.openxmlformats.org/officeDocument/2006/relationships/hyperlink" Target="https://cdn.shopify.com/s/files/1/0792/5098/1063/files/56be7714426e11e337618ffdd9b78d22e6d77bcea91f35de4b20937187994964.jpg?v=1785101840" TargetMode="External" Id="rId119"/><Relationship Type="http://schemas.openxmlformats.org/officeDocument/2006/relationships/hyperlink" Target="https://cdn.shopify.com/s/files/1/0792/5098/1063/files/56be7714426e11e337618ffdd9b78d22e6d77bcea91f35de4b20937187994964.jpg?v=1785101840" TargetMode="External" Id="rId120"/><Relationship Type="http://schemas.openxmlformats.org/officeDocument/2006/relationships/hyperlink" Target="https://cdn.shopify.com/s/files/1/0792/5098/1063/files/7c006bddc94d4763c71c8376307e195c1bbce73b8c802ec73ac5a8cef1291262_66044d52-aa86-47c2-84d2-beed979c5ac0.jpg?v=1785101840" TargetMode="External" Id="rId121"/><Relationship Type="http://schemas.openxmlformats.org/officeDocument/2006/relationships/hyperlink" Target="https://cdn.shopify.com/s/files/1/0792/5098/1063/files/7c006bddc94d4763c71c8376307e195c1bbce73b8c802ec73ac5a8cef1291262_66044d52-aa86-47c2-84d2-beed979c5ac0.jpg?v=1785101840" TargetMode="External" Id="rId122"/><Relationship Type="http://schemas.openxmlformats.org/officeDocument/2006/relationships/hyperlink" Target="https://cdn.shopify.com/s/files/1/0792/5098/1063/files/e5cad84edb4d7bf77c48fd7c8e52eb3b73f04eba8bf177671fd8a059c59422e8_e9a8f6c7-84a8-4f8e-a21c-61b347436f7e.jpg?v=1785101840" TargetMode="External" Id="rId123"/><Relationship Type="http://schemas.openxmlformats.org/officeDocument/2006/relationships/hyperlink" Target="https://cdn.shopify.com/s/files/1/0792/5098/1063/files/e5cad84edb4d7bf77c48fd7c8e52eb3b73f04eba8bf177671fd8a059c59422e8_e9a8f6c7-84a8-4f8e-a21c-61b347436f7e.jpg?v=1785101840" TargetMode="External" Id="rId12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prompt_qa.md@sha256:C2C1DEFDB72362291F7DA656FA7FEA9283A02782FC8CA66D2E4637F2511500DD</t>
        </is>
      </c>
      <c r="C2" s="2" t="inlineStr">
        <is>
          <t>Rubric QA áp dụng.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D:\Shopify_Workspace\jeminise_seo\resutls\jeminise.com\20260906_234129\batches\SEO_Product_Optimization_through_batch_034.xlsx</t>
        </is>
      </c>
      <c r="C3" s="3" t="inlineStr">
        <is>
          <t>Workbook giai đoạn 1 đóng băng; không chỉnh sửa.</t>
        </is>
      </c>
    </row>
    <row r="4" ht="42" customHeight="1">
      <c r="A4" s="2" t="inlineStr">
        <is>
          <t>source_sha256_at_handoff</t>
        </is>
      </c>
      <c r="B4" s="2" t="inlineStr">
        <is>
          <t>609EF38D46896F234EA7AAEEC74F393267003D20D6DE8C5BA9BD21BFB19675EE</t>
        </is>
      </c>
      <c r="C4" s="2" t="inlineStr">
        <is>
          <t>Hash tính lại khi hoàn tất.</t>
        </is>
      </c>
    </row>
    <row r="5" ht="42" customHeight="1">
      <c r="A5" s="3" t="inlineStr">
        <is>
          <t>qa_run_id</t>
        </is>
      </c>
      <c r="B5" s="3" t="inlineStr">
        <is>
          <t>20260907_095643</t>
        </is>
      </c>
      <c r="C5" s="3" t="inlineStr">
        <is>
          <t>Run QA độc lập.</t>
        </is>
      </c>
    </row>
    <row r="6" ht="42" customHeight="1">
      <c r="A6" s="2" t="inlineStr">
        <is>
          <t>batch_id</t>
        </is>
      </c>
      <c r="B6" s="2" t="inlineStr">
        <is>
          <t>qa_batch_004</t>
        </is>
      </c>
      <c r="C6" s="2" t="inlineStr">
        <is>
          <t>Inventory positions 31-40.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Đúng 10 product key.</t>
        </is>
      </c>
    </row>
    <row r="8" ht="42" customHeight="1">
      <c r="A8" s="2" t="inlineStr">
        <is>
          <t>images_checked</t>
        </is>
      </c>
      <c r="B8" s="2" t="n">
        <v>62</v>
      </c>
      <c r="C8" s="2" t="inlineStr">
        <is>
          <t>62/62 ảnh mở trực tiếp ở độ phân giải gốc.</t>
        </is>
      </c>
    </row>
    <row r="9" ht="42" customHeight="1">
      <c r="A9" s="3" t="inlineStr">
        <is>
          <t>batch_final_score</t>
        </is>
      </c>
      <c r="B9" s="3">
        <f>AVERAGE('QA_Products'!$K$2:$K$11)</f>
        <v/>
      </c>
      <c r="C9" s="3" t="inlineStr">
        <is>
          <t>Trung bình 10 final_score; không bù lỗi chặn.</t>
        </is>
      </c>
    </row>
    <row r="10" ht="42" customHeight="1">
      <c r="A10" s="2" t="inlineStr">
        <is>
          <t>batch_result</t>
        </is>
      </c>
      <c r="B10" s="2">
        <f>IF(COUNTIF('QA_Products'!$L$2:$L$11,"QA_PASS")=ROWS('QA_Products'!$L$2:$L$11),"PASSED","NOT_PASSED")</f>
        <v/>
      </c>
      <c r="C10" s="2" t="inlineStr">
        <is>
          <t>Lô chỉ đạt khi mọi sản phẩm QA_PASS.</t>
        </is>
      </c>
    </row>
    <row r="11" ht="42" customHeight="1">
      <c r="A11" s="3" t="inlineStr">
        <is>
          <t>status_counts</t>
        </is>
      </c>
      <c r="B11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1" s="3" t="inlineStr">
        <is>
          <t>Số sản phẩm theo kết luận.</t>
        </is>
      </c>
    </row>
    <row r="12" ht="42" customHeight="1">
      <c r="A12" s="2" t="inlineStr">
        <is>
          <t>issue_counts</t>
        </is>
      </c>
      <c r="B12" s="2" t="inlineStr">
        <is>
          <t>{"MAJOR": 21, "CRITICAL": 8, "MINOR": 4, "LIMITATION": 1}</t>
        </is>
      </c>
      <c r="C12" s="2" t="inlineStr">
        <is>
          <t>Số phát hiện theo severity.</t>
        </is>
      </c>
    </row>
    <row r="13" ht="42" customHeight="1">
      <c r="A13" s="3" t="inlineStr">
        <is>
          <t>admin_limitation</t>
        </is>
      </c>
      <c r="B13" s="3" t="inlineStr">
        <is>
          <t>No Shopify admin export; interactive browser unavailable</t>
        </is>
      </c>
      <c r="C13" s="3" t="inlineStr">
        <is>
          <t>Không suy ra admin fields hoặc xác nhận dynamic personalization app.</t>
        </is>
      </c>
    </row>
    <row r="14" ht="42" customHeight="1">
      <c r="A14" s="2" t="inlineStr">
        <is>
          <t>xlsx_status</t>
        </is>
      </c>
      <c r="B14" s="2" t="inlineStr">
        <is>
          <t>COMPLETE</t>
        </is>
      </c>
      <c r="C14" s="2" t="inlineStr">
        <is>
          <t>XLSX tạo bằng openpyxl theo yêu cầu người dùng, kiểm tra cấu trúc/công thức và render.</t>
        </is>
      </c>
    </row>
  </sheetData>
  <autoFilter ref="A1:C14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31</v>
      </c>
      <c r="B2" s="2" t="inlineStr">
        <is>
          <t>jeminise.com+christmas-cardinals-near-snowy-birdhouse-patchwork-floral-quilt-b90d55a935-b90d55a935</t>
        </is>
      </c>
      <c r="C2" s="4" t="inlineStr">
        <is>
          <t>https://jeminise.com/products/christmas-cardinals-near-snowy-birdhouse-patchwork-floral-quilt-b90d55a935-b90d55a935</t>
        </is>
      </c>
      <c r="D2" s="2" t="inlineStr">
        <is>
          <t>christmas-cardinals-near-snowy-birdhouse-patchwork-floral-quilt-b90d55a935-b90d55a935</t>
        </is>
      </c>
      <c r="E2" s="2" t="inlineStr">
        <is>
          <t>8834720170183</t>
        </is>
      </c>
      <c r="F2" s="2" t="inlineStr">
        <is>
          <t>r1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7</v>
      </c>
      <c r="O2" s="2" t="n">
        <v>7</v>
      </c>
      <c r="P2" s="2" t="b">
        <v>1</v>
      </c>
      <c r="Q2" s="6" t="n">
        <v>1</v>
      </c>
      <c r="R2" s="2">
        <f>COUNTIFS('QA_Issues'!$B$2:$B$35,B2,'QA_Issues'!$D$2:$D$35,"CRITICAL")</f>
        <v/>
      </c>
      <c r="S2" s="2">
        <f>COUNTIFS('QA_Issues'!$B$2:$B$35,B2,'QA_Issues'!$D$2:$D$35,"MAJOR")</f>
        <v/>
      </c>
      <c r="T2" s="2">
        <f>COUNTIFS('QA_Issues'!$B$2:$B$35,B2,'QA_Issues'!$D$2:$D$35,"MINOR")</f>
        <v/>
      </c>
      <c r="U2" s="2">
        <f>COUNTIFS('QA_Issues'!$B$2:$B$35,B2,'QA_Issues'!$D$2:$D$35,"LIMITATION")</f>
        <v/>
      </c>
      <c r="V2" s="2" t="inlineStr">
        <is>
          <t>["ISS-031-IMG-06", "ISS-031-DESC", "ISS-031-SERP", "ISS-031-KREASON", "ISS-031-ALTGEN"]</t>
        </is>
      </c>
      <c r="W2" s="2" t="inlineStr">
        <is>
          <t>["evidence_batch_004_031", "https://jeminise.com/products/christmas-cardinals-near-snowy-birdhouse-patchwork-floral-quilt-b90d55a935-b90d55a935", "serp_qa_031"]</t>
        </is>
      </c>
    </row>
    <row r="3" ht="42" customHeight="1">
      <c r="A3" s="3" t="n">
        <v>32</v>
      </c>
      <c r="B3" s="3" t="inlineStr">
        <is>
          <t>jeminise.com+christmas-cardinals-on-snowy-branches-patchwork-winter-quilt-8fa1a9e2ed-8fa1a9e2ed</t>
        </is>
      </c>
      <c r="C3" s="4" t="inlineStr">
        <is>
          <t>https://jeminise.com/products/christmas-cardinals-on-snowy-branches-patchwork-winter-quilt-8fa1a9e2ed-8fa1a9e2ed</t>
        </is>
      </c>
      <c r="D3" s="3" t="inlineStr">
        <is>
          <t>christmas-cardinals-on-snowy-branches-patchwork-winter-quilt-8fa1a9e2ed-8fa1a9e2ed</t>
        </is>
      </c>
      <c r="E3" s="3" t="inlineStr">
        <is>
          <t>8834709323975</t>
        </is>
      </c>
      <c r="F3" s="3" t="inlineStr">
        <is>
          <t>r1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5</v>
      </c>
      <c r="O3" s="3" t="n">
        <v>5</v>
      </c>
      <c r="P3" s="3" t="b">
        <v>1</v>
      </c>
      <c r="Q3" s="8" t="n">
        <v>1</v>
      </c>
      <c r="R3" s="3">
        <f>COUNTIFS('QA_Issues'!$B$2:$B$35,B3,'QA_Issues'!$D$2:$D$35,"CRITICAL")</f>
        <v/>
      </c>
      <c r="S3" s="3">
        <f>COUNTIFS('QA_Issues'!$B$2:$B$35,B3,'QA_Issues'!$D$2:$D$35,"MAJOR")</f>
        <v/>
      </c>
      <c r="T3" s="3">
        <f>COUNTIFS('QA_Issues'!$B$2:$B$35,B3,'QA_Issues'!$D$2:$D$35,"MINOR")</f>
        <v/>
      </c>
      <c r="U3" s="3">
        <f>COUNTIFS('QA_Issues'!$B$2:$B$35,B3,'QA_Issues'!$D$2:$D$35,"LIMITATION")</f>
        <v/>
      </c>
      <c r="V3" s="3" t="inlineStr">
        <is>
          <t>["ISS-032-IMG-02", "ISS-032-IMG-04", "ISS-032-DESC", "ISS-032-KREASON", "ISS-032-ALTGEN"]</t>
        </is>
      </c>
      <c r="W3" s="3" t="inlineStr">
        <is>
          <t>["evidence_batch_004_032", "https://jeminise.com/products/christmas-cardinals-on-snowy-branches-patchwork-winter-quilt-8fa1a9e2ed-8fa1a9e2ed", "serp_qa_032"]</t>
        </is>
      </c>
    </row>
    <row r="4" ht="42" customHeight="1">
      <c r="A4" s="2" t="n">
        <v>33</v>
      </c>
      <c r="B4" s="2" t="inlineStr">
        <is>
          <t>jeminise.com+cow-with-landscape-patchwork-quilt-animal-farmhouse-printed-quilt-set</t>
        </is>
      </c>
      <c r="C4" s="4" t="inlineStr">
        <is>
          <t>https://jeminise.com/products/cow-with-landscape-patchwork-quilt-animal-farmhouse-printed-quilt-set</t>
        </is>
      </c>
      <c r="D4" s="2" t="inlineStr">
        <is>
          <t>cow-with-landscape-patchwork-quilt-animal-farmhouse-printed-quilt-set</t>
        </is>
      </c>
      <c r="E4" s="2" t="inlineStr">
        <is>
          <t>8867095806151</t>
        </is>
      </c>
      <c r="F4" s="2" t="inlineStr">
        <is>
          <t>r1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7</v>
      </c>
      <c r="O4" s="2" t="n">
        <v>7</v>
      </c>
      <c r="P4" s="2" t="b">
        <v>1</v>
      </c>
      <c r="Q4" s="6" t="n">
        <v>1</v>
      </c>
      <c r="R4" s="2">
        <f>COUNTIFS('QA_Issues'!$B$2:$B$35,B4,'QA_Issues'!$D$2:$D$35,"CRITICAL")</f>
        <v/>
      </c>
      <c r="S4" s="2">
        <f>COUNTIFS('QA_Issues'!$B$2:$B$35,B4,'QA_Issues'!$D$2:$D$35,"MAJOR")</f>
        <v/>
      </c>
      <c r="T4" s="2">
        <f>COUNTIFS('QA_Issues'!$B$2:$B$35,B4,'QA_Issues'!$D$2:$D$35,"MINOR")</f>
        <v/>
      </c>
      <c r="U4" s="2">
        <f>COUNTIFS('QA_Issues'!$B$2:$B$35,B4,'QA_Issues'!$D$2:$D$35,"LIMITATION")</f>
        <v/>
      </c>
      <c r="V4" s="2" t="inlineStr">
        <is>
          <t>["ISS-033-IMG-06", "ISS-033-DESC", "ISS-033-PERS", "ISS-033-DRAGONFLY", "ISS-033-ALTGEN"]</t>
        </is>
      </c>
      <c r="W4" s="2" t="inlineStr">
        <is>
          <t>["evidence_batch_004_033", "https://jeminise.com/products/cow-with-landscape-patchwork-quilt-animal-farmhouse-printed-quilt-set", "serp_qa_033"]</t>
        </is>
      </c>
    </row>
    <row r="5" ht="42" customHeight="1">
      <c r="A5" s="3" t="n">
        <v>34</v>
      </c>
      <c r="B5" s="3" t="inlineStr">
        <is>
          <t>jeminise.com+crocodile-patchwork-printed-quilts-animal-patchwork-bedding</t>
        </is>
      </c>
      <c r="C5" s="4" t="inlineStr">
        <is>
          <t>https://jeminise.com/products/crocodile-patchwork-printed-quilts-animal-patchwork-bedding</t>
        </is>
      </c>
      <c r="D5" s="3" t="inlineStr">
        <is>
          <t>crocodile-patchwork-printed-quilts-animal-patchwork-bedding</t>
        </is>
      </c>
      <c r="E5" s="3" t="inlineStr">
        <is>
          <t>8867095445703</t>
        </is>
      </c>
      <c r="F5" s="3" t="inlineStr">
        <is>
          <t>r1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7</v>
      </c>
      <c r="O5" s="3" t="n">
        <v>7</v>
      </c>
      <c r="P5" s="3" t="b">
        <v>1</v>
      </c>
      <c r="Q5" s="8" t="n">
        <v>1</v>
      </c>
      <c r="R5" s="3">
        <f>COUNTIFS('QA_Issues'!$B$2:$B$35,B5,'QA_Issues'!$D$2:$D$35,"CRITICAL")</f>
        <v/>
      </c>
      <c r="S5" s="3">
        <f>COUNTIFS('QA_Issues'!$B$2:$B$35,B5,'QA_Issues'!$D$2:$D$35,"MAJOR")</f>
        <v/>
      </c>
      <c r="T5" s="3">
        <f>COUNTIFS('QA_Issues'!$B$2:$B$35,B5,'QA_Issues'!$D$2:$D$35,"MINOR")</f>
        <v/>
      </c>
      <c r="U5" s="3">
        <f>COUNTIFS('QA_Issues'!$B$2:$B$35,B5,'QA_Issues'!$D$2:$D$35,"LIMITATION")</f>
        <v/>
      </c>
      <c r="V5" s="3" t="inlineStr">
        <is>
          <t>["ISS-034-IMG-06", "ISS-034-DESC", "ISS-034-PERS", "ISS-034-DRAGONFLY", "ISS-034-ALLIGATOR", "ISS-034-ALTGEN"]</t>
        </is>
      </c>
      <c r="W5" s="3" t="inlineStr">
        <is>
          <t>["evidence_batch_004_034", "https://jeminise.com/products/crocodile-patchwork-printed-quilts-animal-patchwork-bedding", "serp_qa_034"]</t>
        </is>
      </c>
    </row>
    <row r="6" ht="42" customHeight="1">
      <c r="A6" s="2" t="n">
        <v>35</v>
      </c>
      <c r="B6" s="2" t="inlineStr">
        <is>
          <t>jeminise.com+custom-retro-football-art-bedding-set-c66211cf75-c66211cf75</t>
        </is>
      </c>
      <c r="C6" s="4" t="inlineStr">
        <is>
          <t>https://jeminise.com/products/custom-retro-football-art-bedding-set-c66211cf75-c66211cf75</t>
        </is>
      </c>
      <c r="D6" s="2" t="inlineStr">
        <is>
          <t>custom-retro-football-art-bedding-set-c66211cf75-c66211cf75</t>
        </is>
      </c>
      <c r="E6" s="2" t="inlineStr">
        <is>
          <t>8834768699591</t>
        </is>
      </c>
      <c r="F6" s="2" t="inlineStr">
        <is>
          <t>r1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6</v>
      </c>
      <c r="O6" s="2" t="n">
        <v>6</v>
      </c>
      <c r="P6" s="2" t="b">
        <v>1</v>
      </c>
      <c r="Q6" s="6" t="n">
        <v>1</v>
      </c>
      <c r="R6" s="2">
        <f>COUNTIFS('QA_Issues'!$B$2:$B$35,B6,'QA_Issues'!$D$2:$D$35,"CRITICAL")</f>
        <v/>
      </c>
      <c r="S6" s="2">
        <f>COUNTIFS('QA_Issues'!$B$2:$B$35,B6,'QA_Issues'!$D$2:$D$35,"MAJOR")</f>
        <v/>
      </c>
      <c r="T6" s="2">
        <f>COUNTIFS('QA_Issues'!$B$2:$B$35,B6,'QA_Issues'!$D$2:$D$35,"MINOR")</f>
        <v/>
      </c>
      <c r="U6" s="2">
        <f>COUNTIFS('QA_Issues'!$B$2:$B$35,B6,'QA_Issues'!$D$2:$D$35,"LIMITATION")</f>
        <v/>
      </c>
      <c r="V6" s="2" t="inlineStr">
        <is>
          <t>["ISS-035-DESC", "ISS-035-PERS"]</t>
        </is>
      </c>
      <c r="W6" s="2" t="inlineStr">
        <is>
          <t>["evidence_batch_004_035", "https://jeminise.com/products/custom-retro-football-art-bedding-set-c66211cf75-c66211cf75", "serp_qa_035"]</t>
        </is>
      </c>
    </row>
    <row r="7" ht="42" customHeight="1">
      <c r="A7" s="3" t="n">
        <v>36</v>
      </c>
      <c r="B7" s="3" t="inlineStr">
        <is>
          <t>jeminise.com+custom-american-football-close-up-on-grunge-vintage-comforter-26540e3264-26540e3264</t>
        </is>
      </c>
      <c r="C7" s="4" t="inlineStr">
        <is>
          <t>https://jeminise.com/products/custom-american-football-close-up-on-grunge-vintage-comforter-26540e3264-26540e3264</t>
        </is>
      </c>
      <c r="D7" s="3" t="inlineStr">
        <is>
          <t>custom-american-football-close-up-on-grunge-vintage-comforter-26540e3264-26540e3264</t>
        </is>
      </c>
      <c r="E7" s="3" t="inlineStr">
        <is>
          <t>8834754445511</t>
        </is>
      </c>
      <c r="F7" s="3" t="inlineStr">
        <is>
          <t>r1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6</v>
      </c>
      <c r="O7" s="3" t="n">
        <v>6</v>
      </c>
      <c r="P7" s="3" t="b">
        <v>1</v>
      </c>
      <c r="Q7" s="8" t="n">
        <v>1</v>
      </c>
      <c r="R7" s="3">
        <f>COUNTIFS('QA_Issues'!$B$2:$B$35,B7,'QA_Issues'!$D$2:$D$35,"CRITICAL")</f>
        <v/>
      </c>
      <c r="S7" s="3">
        <f>COUNTIFS('QA_Issues'!$B$2:$B$35,B7,'QA_Issues'!$D$2:$D$35,"MAJOR")</f>
        <v/>
      </c>
      <c r="T7" s="3">
        <f>COUNTIFS('QA_Issues'!$B$2:$B$35,B7,'QA_Issues'!$D$2:$D$35,"MINOR")</f>
        <v/>
      </c>
      <c r="U7" s="3">
        <f>COUNTIFS('QA_Issues'!$B$2:$B$35,B7,'QA_Issues'!$D$2:$D$35,"LIMITATION")</f>
        <v/>
      </c>
      <c r="V7" s="3" t="inlineStr">
        <is>
          <t>["ISS-036-DESC", "ISS-036-PERS"]</t>
        </is>
      </c>
      <c r="W7" s="3" t="inlineStr">
        <is>
          <t>["evidence_batch_004_036", "https://jeminise.com/products/custom-american-football-close-up-on-grunge-vintage-comforter-26540e3264-26540e3264", "serp_qa_036"]</t>
        </is>
      </c>
    </row>
    <row r="8" ht="42" customHeight="1">
      <c r="A8" s="2" t="n">
        <v>37</v>
      </c>
      <c r="B8" s="2" t="inlineStr">
        <is>
          <t>jeminise.com+custom-american-football-on-cosmic-background-vintage-comforter-62a3849621-62a3849621</t>
        </is>
      </c>
      <c r="C8" s="4" t="inlineStr">
        <is>
          <t>https://jeminise.com/products/custom-american-football-on-cosmic-background-vintage-comforter-62a3849621-62a3849621</t>
        </is>
      </c>
      <c r="D8" s="2" t="inlineStr">
        <is>
          <t>custom-american-football-on-cosmic-background-vintage-comforter-62a3849621-62a3849621</t>
        </is>
      </c>
      <c r="E8" s="2" t="inlineStr">
        <is>
          <t>8834752676039</t>
        </is>
      </c>
      <c r="F8" s="2" t="inlineStr">
        <is>
          <t>r1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6</v>
      </c>
      <c r="O8" s="2" t="n">
        <v>6</v>
      </c>
      <c r="P8" s="2" t="b">
        <v>1</v>
      </c>
      <c r="Q8" s="6" t="n">
        <v>1</v>
      </c>
      <c r="R8" s="2">
        <f>COUNTIFS('QA_Issues'!$B$2:$B$35,B8,'QA_Issues'!$D$2:$D$35,"CRITICAL")</f>
        <v/>
      </c>
      <c r="S8" s="2">
        <f>COUNTIFS('QA_Issues'!$B$2:$B$35,B8,'QA_Issues'!$D$2:$D$35,"MAJOR")</f>
        <v/>
      </c>
      <c r="T8" s="2">
        <f>COUNTIFS('QA_Issues'!$B$2:$B$35,B8,'QA_Issues'!$D$2:$D$35,"MINOR")</f>
        <v/>
      </c>
      <c r="U8" s="2">
        <f>COUNTIFS('QA_Issues'!$B$2:$B$35,B8,'QA_Issues'!$D$2:$D$35,"LIMITATION")</f>
        <v/>
      </c>
      <c r="V8" s="2" t="inlineStr">
        <is>
          <t>["ISS-037-DESC", "ISS-037-PERS"]</t>
        </is>
      </c>
      <c r="W8" s="2" t="inlineStr">
        <is>
          <t>["evidence_batch_004_037", "https://jeminise.com/products/custom-american-football-on-cosmic-background-vintage-comforter-62a3849621-62a3849621", "serp_qa_037"]</t>
        </is>
      </c>
    </row>
    <row r="9" ht="42" customHeight="1">
      <c r="A9" s="3" t="n">
        <v>38</v>
      </c>
      <c r="B9" s="3" t="inlineStr">
        <is>
          <t>jeminise.com+custom-american-football-on-usa-flag-background-comforter-703a7c0d82-703a7c0d82</t>
        </is>
      </c>
      <c r="C9" s="4" t="inlineStr">
        <is>
          <t>https://jeminise.com/products/custom-american-football-on-usa-flag-background-comforter-703a7c0d82-703a7c0d82</t>
        </is>
      </c>
      <c r="D9" s="3" t="inlineStr">
        <is>
          <t>custom-american-football-on-usa-flag-background-comforter-703a7c0d82-703a7c0d82</t>
        </is>
      </c>
      <c r="E9" s="3" t="inlineStr">
        <is>
          <t>8834767421639</t>
        </is>
      </c>
      <c r="F9" s="3" t="inlineStr">
        <is>
          <t>r1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6</v>
      </c>
      <c r="O9" s="3" t="n">
        <v>6</v>
      </c>
      <c r="P9" s="3" t="b">
        <v>1</v>
      </c>
      <c r="Q9" s="8" t="n">
        <v>1</v>
      </c>
      <c r="R9" s="3">
        <f>COUNTIFS('QA_Issues'!$B$2:$B$35,B9,'QA_Issues'!$D$2:$D$35,"CRITICAL")</f>
        <v/>
      </c>
      <c r="S9" s="3">
        <f>COUNTIFS('QA_Issues'!$B$2:$B$35,B9,'QA_Issues'!$D$2:$D$35,"MAJOR")</f>
        <v/>
      </c>
      <c r="T9" s="3">
        <f>COUNTIFS('QA_Issues'!$B$2:$B$35,B9,'QA_Issues'!$D$2:$D$35,"MINOR")</f>
        <v/>
      </c>
      <c r="U9" s="3">
        <f>COUNTIFS('QA_Issues'!$B$2:$B$35,B9,'QA_Issues'!$D$2:$D$35,"LIMITATION")</f>
        <v/>
      </c>
      <c r="V9" s="3" t="inlineStr">
        <is>
          <t>["ISS-038-DESC", "ISS-038-PERS"]</t>
        </is>
      </c>
      <c r="W9" s="3" t="inlineStr">
        <is>
          <t>["evidence_batch_004_038", "https://jeminise.com/products/custom-american-football-on-usa-flag-background-comforter-703a7c0d82-703a7c0d82", "serp_qa_038"]</t>
        </is>
      </c>
    </row>
    <row r="10" ht="42" customHeight="1">
      <c r="A10" s="2" t="n">
        <v>39</v>
      </c>
      <c r="B10" s="2" t="inlineStr">
        <is>
          <t>jeminise.com+custom-american-football-with-paint-splash-background-vintage-comforter-da0e1d5bf1-da0e1d5bf1</t>
        </is>
      </c>
      <c r="C10" s="4" t="inlineStr">
        <is>
          <t>https://jeminise.com/products/custom-american-football-with-paint-splash-background-vintage-comforter-da0e1d5bf1-da0e1d5bf1</t>
        </is>
      </c>
      <c r="D10" s="2" t="inlineStr">
        <is>
          <t>custom-american-football-with-paint-splash-background-vintage-comforter-da0e1d5bf1-da0e1d5bf1</t>
        </is>
      </c>
      <c r="E10" s="2" t="inlineStr">
        <is>
          <t>8834773319879</t>
        </is>
      </c>
      <c r="F10" s="2" t="inlineStr">
        <is>
          <t>r1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6</v>
      </c>
      <c r="O10" s="2" t="n">
        <v>6</v>
      </c>
      <c r="P10" s="2" t="b">
        <v>1</v>
      </c>
      <c r="Q10" s="6" t="n">
        <v>1</v>
      </c>
      <c r="R10" s="2">
        <f>COUNTIFS('QA_Issues'!$B$2:$B$35,B10,'QA_Issues'!$D$2:$D$35,"CRITICAL")</f>
        <v/>
      </c>
      <c r="S10" s="2">
        <f>COUNTIFS('QA_Issues'!$B$2:$B$35,B10,'QA_Issues'!$D$2:$D$35,"MAJOR")</f>
        <v/>
      </c>
      <c r="T10" s="2">
        <f>COUNTIFS('QA_Issues'!$B$2:$B$35,B10,'QA_Issues'!$D$2:$D$35,"MINOR")</f>
        <v/>
      </c>
      <c r="U10" s="2">
        <f>COUNTIFS('QA_Issues'!$B$2:$B$35,B10,'QA_Issues'!$D$2:$D$35,"LIMITATION")</f>
        <v/>
      </c>
      <c r="V10" s="2" t="inlineStr">
        <is>
          <t>["ISS-039-DESC", "ISS-039-PERS"]</t>
        </is>
      </c>
      <c r="W10" s="2" t="inlineStr">
        <is>
          <t>["evidence_batch_004_039", "https://jeminise.com/products/custom-american-football-with-paint-splash-background-vintage-comforter-da0e1d5bf1-da0e1d5bf1", "serp_qa_039"]</t>
        </is>
      </c>
    </row>
    <row r="11" ht="42" customHeight="1">
      <c r="A11" s="3" t="n">
        <v>40</v>
      </c>
      <c r="B11" s="3" t="inlineStr">
        <is>
          <t>jeminise.com+custom-american-football-with-patriotic-flag-comforter-4a3a1ed3c9-4a3a1ed3c9</t>
        </is>
      </c>
      <c r="C11" s="4" t="inlineStr">
        <is>
          <t>https://jeminise.com/products/custom-american-football-with-patriotic-flag-comforter-4a3a1ed3c9-4a3a1ed3c9</t>
        </is>
      </c>
      <c r="D11" s="3" t="inlineStr">
        <is>
          <t>custom-american-football-with-patriotic-flag-comforter-4a3a1ed3c9-4a3a1ed3c9</t>
        </is>
      </c>
      <c r="E11" s="3" t="inlineStr">
        <is>
          <t>8834768011463</t>
        </is>
      </c>
      <c r="F11" s="3" t="inlineStr">
        <is>
          <t>r1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6</v>
      </c>
      <c r="O11" s="3" t="n">
        <v>6</v>
      </c>
      <c r="P11" s="3" t="b">
        <v>1</v>
      </c>
      <c r="Q11" s="8" t="n">
        <v>1</v>
      </c>
      <c r="R11" s="3">
        <f>COUNTIFS('QA_Issues'!$B$2:$B$35,B11,'QA_Issues'!$D$2:$D$35,"CRITICAL")</f>
        <v/>
      </c>
      <c r="S11" s="3">
        <f>COUNTIFS('QA_Issues'!$B$2:$B$35,B11,'QA_Issues'!$D$2:$D$35,"MAJOR")</f>
        <v/>
      </c>
      <c r="T11" s="3">
        <f>COUNTIFS('QA_Issues'!$B$2:$B$35,B11,'QA_Issues'!$D$2:$D$35,"MINOR")</f>
        <v/>
      </c>
      <c r="U11" s="3">
        <f>COUNTIFS('QA_Issues'!$B$2:$B$35,B11,'QA_Issues'!$D$2:$D$35,"LIMITATION")</f>
        <v/>
      </c>
      <c r="V11" s="3" t="inlineStr">
        <is>
          <t>["ISS-040-DESC", "ISS-040-PERS"]</t>
        </is>
      </c>
      <c r="W11" s="3" t="inlineStr">
        <is>
          <t>["evidence_batch_004_040", "https://jeminise.com/products/custom-american-football-with-patriotic-flag-comforter-4a3a1ed3c9-4a3a1ed3c9", "serp_qa_040"]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jeminise.com+christmas-cardinals-near-snowy-birdhouse-patchwork-floral-quilt-b90d55a935-b90d55a935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IF(B2="I1",AVERAGEIF('QA_Images'!$A$2:$A$63,A2,'QA_Images'!$T$2:$T$63)/100,IF(D2="FULL",1,IF(D2="PARTIAL",0.5,IF(D2="FAIL",0,""))))</f>
        <v/>
      </c>
      <c r="F2" s="5">
        <f>IF(E2="",0,C2*E2)</f>
        <v/>
      </c>
      <c r="G2" s="5">
        <f>IF(B2="I1",20*AVERAGEIF('QA_Images'!$A$2:$A$63,A2,'QA_Images'!$U$2:$U$63)/100,IF(D2="NOT_CHECKED",0,C2))</f>
        <v/>
      </c>
      <c r="H2" s="2" t="inlineStr">
        <is>
          <t>Đối chiếu loại sản phẩm, thiết kế và màu với product JSON, H1 live và toàn bộ gallery.</t>
        </is>
      </c>
      <c r="I2" s="2" t="inlineStr">
        <is>
          <t>["evidence_batch_004_031", "https://jeminise.com/products/christmas-cardinals-near-snowy-birdhouse-patchwork-floral-quilt-b90d55a935-b90d55a935", "serp_qa_031"]</t>
        </is>
      </c>
      <c r="J2" s="2" t="inlineStr">
        <is>
          <t>["ISS-031-IMG-06", "ISS-031-DESC", "ISS-031-SERP", "ISS-031-KREASON", "ISS-031-ALTGEN"]</t>
        </is>
      </c>
    </row>
    <row r="3" ht="42" customHeight="1">
      <c r="A3" s="3" t="inlineStr">
        <is>
          <t>jeminise.com+christmas-cardinals-near-snowy-birdhouse-patchwork-floral-quilt-b90d55a935-b90d55a935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IF(B3="I1",AVERAGEIF('QA_Images'!$A$2:$A$63,A3,'QA_Images'!$T$2:$T$63)/100,IF(D3="FULL",1,IF(D3="PARTIAL",0.5,IF(D3="FAIL",0,""))))</f>
        <v/>
      </c>
      <c r="F3" s="7">
        <f>IF(E3="",0,C3*E3)</f>
        <v/>
      </c>
      <c r="G3" s="7">
        <f>IF(B3="I1",20*AVERAGEIF('QA_Images'!$A$2:$A$63,A3,'QA_Images'!$U$2:$U$63)/100,IF(D3="NOT_CHECKED",0,C3))</f>
        <v/>
      </c>
      <c r="H3" s="3" t="inlineStr">
        <is>
          <t>Đối chiếu specifications, variants, components và personalization với product.js live, body HTML và ảnh.</t>
        </is>
      </c>
      <c r="I3" s="3" t="inlineStr">
        <is>
          <t>["evidence_batch_004_031", "https://jeminise.com/products/christmas-cardinals-near-snowy-birdhouse-patchwork-floral-quilt-b90d55a935-b90d55a935", "serp_qa_031"]</t>
        </is>
      </c>
      <c r="J3" s="3" t="inlineStr">
        <is>
          <t>["ISS-031-IMG-06", "ISS-031-DESC", "ISS-031-SERP", "ISS-031-KREASON", "ISS-031-ALTGEN"]</t>
        </is>
      </c>
    </row>
    <row r="4" ht="42" customHeight="1">
      <c r="A4" s="2" t="inlineStr">
        <is>
          <t>jeminise.com+christmas-cardinals-near-snowy-birdhouse-patchwork-floral-quilt-b90d55a935-b90d55a935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5">
        <f>IF(B4="I1",AVERAGEIF('QA_Images'!$A$2:$A$63,A4,'QA_Images'!$T$2:$T$63)/100,IF(D4="FULL",1,IF(D4="PARTIAL",0.5,IF(D4="FAIL",0,""))))</f>
        <v/>
      </c>
      <c r="F4" s="5">
        <f>IF(E4="",0,C4*E4)</f>
        <v/>
      </c>
      <c r="G4" s="5">
        <f>IF(B4="I1",20*AVERAGEIF('QA_Images'!$A$2:$A$63,A4,'QA_Images'!$U$2:$U$63)/100,IF(D4="NOT_CHECKED",0,C4))</f>
        <v/>
      </c>
      <c r="H4" s="2" t="inlineStr">
        <is>
          <t>Đối chiếu long-tail với thiết kế riêng và nguy cơ trùng intent trong cụm sản phẩm.</t>
        </is>
      </c>
      <c r="I4" s="2" t="inlineStr">
        <is>
          <t>["evidence_batch_004_031", "https://jeminise.com/products/christmas-cardinals-near-snowy-birdhouse-patchwork-floral-quilt-b90d55a935-b90d55a935", "serp_qa_031"]</t>
        </is>
      </c>
      <c r="J4" s="2" t="inlineStr">
        <is>
          <t>["ISS-031-IMG-06", "ISS-031-DESC", "ISS-031-SERP", "ISS-031-KREASON", "ISS-031-ALTGEN"]</t>
        </is>
      </c>
    </row>
    <row r="5" ht="42" customHeight="1">
      <c r="A5" s="3" t="inlineStr">
        <is>
          <t>jeminise.com+christmas-cardinals-near-snowy-birdhouse-patchwork-floral-quilt-b90d55a935-b90d55a935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IF(B5="I1",AVERAGEIF('QA_Images'!$A$2:$A$63,A5,'QA_Images'!$T$2:$T$63)/100,IF(D5="FULL",1,IF(D5="PARTIAL",0.5,IF(D5="FAIL",0,""))))</f>
        <v/>
      </c>
      <c r="F5" s="7">
        <f>IF(E5="",0,C5*E5)</f>
        <v/>
      </c>
      <c r="G5" s="7">
        <f>IF(B5="I1",20*AVERAGEIF('QA_Images'!$A$2:$A$63,A5,'QA_Images'!$U$2:$U$63)/100,IF(D5="NOT_CHECKED",0,C5))</f>
        <v/>
      </c>
      <c r="H5" s="3" t="inlineStr">
        <is>
          <t>Đã đọc primary và comparator SERP theo US intent; không dùng claim volume.</t>
        </is>
      </c>
      <c r="I5" s="3" t="inlineStr">
        <is>
          <t>["evidence_batch_004_031", "https://jeminise.com/products/christmas-cardinals-near-snowy-birdhouse-patchwork-floral-quilt-b90d55a935-b90d55a935", "serp_qa_031"]</t>
        </is>
      </c>
      <c r="J5" s="3" t="inlineStr">
        <is>
          <t>["ISS-031-IMG-06", "ISS-031-DESC", "ISS-031-SERP", "ISS-031-KREASON", "ISS-031-ALTGEN"]</t>
        </is>
      </c>
    </row>
    <row r="6" ht="42" customHeight="1">
      <c r="A6" s="2" t="inlineStr">
        <is>
          <t>jeminise.com+christmas-cardinals-near-snowy-birdhouse-patchwork-floral-quilt-b90d55a935-b90d55a935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IF(B6="I1",AVERAGEIF('QA_Images'!$A$2:$A$63,A6,'QA_Images'!$T$2:$T$63)/100,IF(D6="FULL",1,IF(D6="PARTIAL",0.5,IF(D6="FAIL",0,""))))</f>
        <v/>
      </c>
      <c r="F6" s="5">
        <f>IF(E6="",0,C6*E6)</f>
        <v/>
      </c>
      <c r="G6" s="5">
        <f>IF(B6="I1",20*AVERAGEIF('QA_Images'!$A$2:$A$63,A6,'QA_Images'!$U$2:$U$63)/100,IF(D6="NOT_CHECKED",0,C6))</f>
        <v/>
      </c>
      <c r="H6" s="2" t="inlineStr">
        <is>
          <t>Không suy diễn volume; phân biệt SERP_ONLY và HYPOTHESIS_ONLY.</t>
        </is>
      </c>
      <c r="I6" s="2" t="inlineStr">
        <is>
          <t>["evidence_batch_004_031", "https://jeminise.com/products/christmas-cardinals-near-snowy-birdhouse-patchwork-floral-quilt-b90d55a935-b90d55a935", "serp_qa_031"]</t>
        </is>
      </c>
      <c r="J6" s="2" t="inlineStr">
        <is>
          <t>["ISS-031-IMG-06", "ISS-031-DESC", "ISS-031-SERP", "ISS-031-KREASON", "ISS-031-ALTGEN"]</t>
        </is>
      </c>
    </row>
    <row r="7" ht="42" customHeight="1">
      <c r="A7" s="3" t="inlineStr">
        <is>
          <t>jeminise.com+christmas-cardinals-near-snowy-birdhouse-patchwork-floral-quilt-b90d55a935-b90d55a935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IF(B7="I1",AVERAGEIF('QA_Images'!$A$2:$A$63,A7,'QA_Images'!$T$2:$T$63)/100,IF(D7="FULL",1,IF(D7="PARTIAL",0.5,IF(D7="FAIL",0,""))))</f>
        <v/>
      </c>
      <c r="F7" s="7">
        <f>IF(E7="",0,C7*E7)</f>
        <v/>
      </c>
      <c r="G7" s="7">
        <f>IF(B7="I1",20*AVERAGEIF('QA_Images'!$A$2:$A$63,A7,'QA_Images'!$U$2:$U$63)/100,IF(D7="NOT_CHECKED",0,C7))</f>
        <v/>
      </c>
      <c r="H7" s="3" t="inlineStr">
        <is>
          <t>Đánh giá SEO title English về độ đúng, tự nhiên, keyword và điểm phân biệt.</t>
        </is>
      </c>
      <c r="I7" s="3" t="inlineStr">
        <is>
          <t>["evidence_batch_004_031", "https://jeminise.com/products/christmas-cardinals-near-snowy-birdhouse-patchwork-floral-quilt-b90d55a935-b90d55a935", "serp_qa_031"]</t>
        </is>
      </c>
      <c r="J7" s="3" t="inlineStr">
        <is>
          <t>["ISS-031-IMG-06", "ISS-031-DESC", "ISS-031-SERP", "ISS-031-KREASON", "ISS-031-ALTGEN"]</t>
        </is>
      </c>
    </row>
    <row r="8" ht="42" customHeight="1">
      <c r="A8" s="2" t="inlineStr">
        <is>
          <t>jeminise.com+christmas-cardinals-near-snowy-birdhouse-patchwork-floral-quilt-b90d55a935-b90d55a935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IF(B8="I1",AVERAGEIF('QA_Images'!$A$2:$A$63,A8,'QA_Images'!$T$2:$T$63)/100,IF(D8="FULL",1,IF(D8="PARTIAL",0.5,IF(D8="FAIL",0,""))))</f>
        <v/>
      </c>
      <c r="F8" s="5">
        <f>IF(E8="",0,C8*E8)</f>
        <v/>
      </c>
      <c r="G8" s="5">
        <f>IF(B8="I1",20*AVERAGEIF('QA_Images'!$A$2:$A$63,A8,'QA_Images'!$U$2:$U$63)/100,IF(D8="NOT_CHECKED",0,C8))</f>
        <v/>
      </c>
      <c r="H8" s="2" t="inlineStr">
        <is>
          <t>Đánh giá H1 đề xuất độc lập với SEO title và đối chiếu lỗi ký tự nguồn.</t>
        </is>
      </c>
      <c r="I8" s="2" t="inlineStr">
        <is>
          <t>["evidence_batch_004_031", "https://jeminise.com/products/christmas-cardinals-near-snowy-birdhouse-patchwork-floral-quilt-b90d55a935-b90d55a935", "serp_qa_031"]</t>
        </is>
      </c>
      <c r="J8" s="2" t="inlineStr">
        <is>
          <t>["ISS-031-IMG-06", "ISS-031-DESC", "ISS-031-SERP", "ISS-031-KREASON", "ISS-031-ALTGEN"]</t>
        </is>
      </c>
    </row>
    <row r="9" ht="42" customHeight="1">
      <c r="A9" s="3" t="inlineStr">
        <is>
          <t>jeminise.com+christmas-cardinals-near-snowy-birdhouse-patchwork-floral-quilt-b90d55a935-b90d55a935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IF(B9="I1",AVERAGEIF('QA_Images'!$A$2:$A$63,A9,'QA_Images'!$T$2:$T$63)/100,IF(D9="FULL",1,IF(D9="PARTIAL",0.5,IF(D9="FAIL",0,""))))</f>
        <v/>
      </c>
      <c r="F9" s="7">
        <f>IF(E9="",0,C9*E9)</f>
        <v/>
      </c>
      <c r="G9" s="7">
        <f>IF(B9="I1",20*AVERAGEIF('QA_Images'!$A$2:$A$63,A9,'QA_Images'!$U$2:$U$63)/100,IF(D9="NOT_CHECKED",0,C9))</f>
        <v/>
      </c>
      <c r="H9" s="3" t="inlineStr">
        <is>
          <t>Đánh giá meta description về tính cụ thể và căn cứ claim.</t>
        </is>
      </c>
      <c r="I9" s="3" t="inlineStr">
        <is>
          <t>["evidence_batch_004_031", "https://jeminise.com/products/christmas-cardinals-near-snowy-birdhouse-patchwork-floral-quilt-b90d55a935-b90d55a935", "serp_qa_031"]</t>
        </is>
      </c>
      <c r="J9" s="3" t="inlineStr">
        <is>
          <t>["ISS-031-IMG-06", "ISS-031-DESC", "ISS-031-SERP", "ISS-031-KREASON", "ISS-031-ALTGEN"]</t>
        </is>
      </c>
    </row>
    <row r="10" ht="42" customHeight="1">
      <c r="A10" s="2" t="inlineStr">
        <is>
          <t>jeminise.com+christmas-cardinals-near-snowy-birdhouse-patchwork-floral-quilt-b90d55a935-b90d55a935</t>
        </is>
      </c>
      <c r="B10" s="2" t="inlineStr">
        <is>
          <t>D2</t>
        </is>
      </c>
      <c r="C10" s="2" t="n">
        <v>10</v>
      </c>
      <c r="D10" s="2" t="inlineStr">
        <is>
          <t>FAIL</t>
        </is>
      </c>
      <c r="E10" s="5">
        <f>IF(B10="I1",AVERAGEIF('QA_Images'!$A$2:$A$63,A10,'QA_Images'!$T$2:$T$63)/100,IF(D10="FULL",1,IF(D10="PARTIAL",0.5,IF(D10="FAIL",0,""))))</f>
        <v/>
      </c>
      <c r="F10" s="5">
        <f>IF(E10="",0,C10*E10)</f>
        <v/>
      </c>
      <c r="G10" s="5">
        <f>IF(B10="I1",20*AVERAGEIF('QA_Images'!$A$2:$A$63,A10,'QA_Images'!$U$2:$U$63)/100,IF(D10="NOT_CHECKED",0,C10))</f>
        <v/>
      </c>
      <c r="H10" s="2" t="inlineStr">
        <is>
          <t>Description SET có HTML đầy đủ nhưng chứa câu nội bộ 'This draft should be reviewed...' và dữ liệu nguồn thô/mâu thuẫn; chưa phải nội dung publish-ready.</t>
        </is>
      </c>
      <c r="I10" s="2" t="inlineStr">
        <is>
          <t>["evidence_batch_004_031", "https://jeminise.com/products/christmas-cardinals-near-snowy-birdhouse-patchwork-floral-quilt-b90d55a935-b90d55a935", "serp_qa_031"]</t>
        </is>
      </c>
      <c r="J10" s="2" t="inlineStr">
        <is>
          <t>["ISS-031-IMG-06", "ISS-031-DESC", "ISS-031-SERP", "ISS-031-KREASON", "ISS-031-ALTGEN"]</t>
        </is>
      </c>
    </row>
    <row r="11" ht="42" customHeight="1">
      <c r="A11" s="3" t="inlineStr">
        <is>
          <t>jeminise.com+christmas-cardinals-near-snowy-birdhouse-patchwork-floral-quilt-b90d55a935-b90d55a935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IF(B11="I1",AVERAGEIF('QA_Images'!$A$2:$A$63,A11,'QA_Images'!$T$2:$T$63)/100,IF(D11="FULL",1,IF(D11="PARTIAL",0.5,IF(D11="FAIL",0,""))))</f>
        <v/>
      </c>
      <c r="F11" s="7">
        <f>IF(E11="",0,C11*E11)</f>
        <v/>
      </c>
      <c r="G11" s="7">
        <f>IF(B11="I1",20*AVERAGEIF('QA_Images'!$A$2:$A$63,A11,'QA_Images'!$U$2:$U$63)/100,IF(D11="NOT_CHECKED",0,C11))</f>
        <v/>
      </c>
      <c r="H11" s="3" t="inlineStr">
        <is>
          <t>Tính từ trung bình 7 ảnh: 92.8571/100.</t>
        </is>
      </c>
      <c r="I11" s="3" t="inlineStr">
        <is>
          <t>["evidence_batch_004_031", "https://jeminise.com/products/christmas-cardinals-near-snowy-birdhouse-patchwork-floral-quilt-b90d55a935-b90d55a935", "serp_qa_031"]</t>
        </is>
      </c>
      <c r="J11" s="3" t="inlineStr">
        <is>
          <t>["ISS-031-IMG-06", "ISS-031-DESC", "ISS-031-SERP", "ISS-031-KREASON", "ISS-031-ALTGEN"]</t>
        </is>
      </c>
    </row>
    <row r="12" ht="42" customHeight="1">
      <c r="A12" s="2" t="inlineStr">
        <is>
          <t>jeminise.com+christmas-cardinals-near-snowy-birdhouse-patchwork-floral-quilt-b90d55a935-b90d55a935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5">
        <f>IF(B12="I1",AVERAGEIF('QA_Images'!$A$2:$A$63,A12,'QA_Images'!$T$2:$T$63)/100,IF(D12="FULL",1,IF(D12="PARTIAL",0.5,IF(D12="FAIL",0,""))))</f>
        <v/>
      </c>
      <c r="F12" s="5">
        <f>IF(E12="",0,C12*E12)</f>
        <v/>
      </c>
      <c r="G12" s="5">
        <f>IF(B12="I1",20*AVERAGEIF('QA_Images'!$A$2:$A$63,A12,'QA_Images'!$U$2:$U$63)/100,IF(D12="NOT_CHECKED",0,C12))</f>
        <v/>
      </c>
      <c r="H12" s="2" t="inlineStr">
        <is>
          <t>Kiểm tra chuỗi evidence và giới hạn do thiếu admin export/browser tương tác.</t>
        </is>
      </c>
      <c r="I12" s="2" t="inlineStr">
        <is>
          <t>["evidence_batch_004_031", "https://jeminise.com/products/christmas-cardinals-near-snowy-birdhouse-patchwork-floral-quilt-b90d55a935-b90d55a935", "serp_qa_031"]</t>
        </is>
      </c>
      <c r="J12" s="2" t="inlineStr">
        <is>
          <t>["ISS-031-IMG-06", "ISS-031-DESC", "ISS-031-SERP", "ISS-031-KREASON", "ISS-031-ALTGEN"]</t>
        </is>
      </c>
    </row>
    <row r="13" ht="42" customHeight="1">
      <c r="A13" s="3" t="inlineStr">
        <is>
          <t>jeminise.com+christmas-cardinals-on-snowy-branches-patchwork-winter-quilt-8fa1a9e2ed-8fa1a9e2ed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IF(B13="I1",AVERAGEIF('QA_Images'!$A$2:$A$63,A13,'QA_Images'!$T$2:$T$63)/100,IF(D13="FULL",1,IF(D13="PARTIAL",0.5,IF(D13="FAIL",0,""))))</f>
        <v/>
      </c>
      <c r="F13" s="7">
        <f>IF(E13="",0,C13*E13)</f>
        <v/>
      </c>
      <c r="G13" s="7">
        <f>IF(B13="I1",20*AVERAGEIF('QA_Images'!$A$2:$A$63,A13,'QA_Images'!$U$2:$U$63)/100,IF(D13="NOT_CHECKED",0,C13))</f>
        <v/>
      </c>
      <c r="H13" s="3" t="inlineStr">
        <is>
          <t>Đối chiếu loại sản phẩm, thiết kế và màu với product JSON, H1 live và toàn bộ gallery.</t>
        </is>
      </c>
      <c r="I13" s="3" t="inlineStr">
        <is>
          <t>["evidence_batch_004_032", "https://jeminise.com/products/christmas-cardinals-on-snowy-branches-patchwork-winter-quilt-8fa1a9e2ed-8fa1a9e2ed", "serp_qa_032"]</t>
        </is>
      </c>
      <c r="J13" s="3" t="inlineStr">
        <is>
          <t>["ISS-032-IMG-02", "ISS-032-IMG-04", "ISS-032-DESC", "ISS-032-KREASON", "ISS-032-ALTGEN"]</t>
        </is>
      </c>
    </row>
    <row r="14" ht="42" customHeight="1">
      <c r="A14" s="2" t="inlineStr">
        <is>
          <t>jeminise.com+christmas-cardinals-on-snowy-branches-patchwork-winter-quilt-8fa1a9e2ed-8fa1a9e2ed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IF(B14="I1",AVERAGEIF('QA_Images'!$A$2:$A$63,A14,'QA_Images'!$T$2:$T$63)/100,IF(D14="FULL",1,IF(D14="PARTIAL",0.5,IF(D14="FAIL",0,""))))</f>
        <v/>
      </c>
      <c r="F14" s="5">
        <f>IF(E14="",0,C14*E14)</f>
        <v/>
      </c>
      <c r="G14" s="5">
        <f>IF(B14="I1",20*AVERAGEIF('QA_Images'!$A$2:$A$63,A14,'QA_Images'!$U$2:$U$63)/100,IF(D14="NOT_CHECKED",0,C14))</f>
        <v/>
      </c>
      <c r="H14" s="2" t="inlineStr">
        <is>
          <t>Đối chiếu specifications, variants, components và personalization với product.js live, body HTML và ảnh.</t>
        </is>
      </c>
      <c r="I14" s="2" t="inlineStr">
        <is>
          <t>["evidence_batch_004_032", "https://jeminise.com/products/christmas-cardinals-on-snowy-branches-patchwork-winter-quilt-8fa1a9e2ed-8fa1a9e2ed", "serp_qa_032"]</t>
        </is>
      </c>
      <c r="J14" s="2" t="inlineStr">
        <is>
          <t>["ISS-032-IMG-02", "ISS-032-IMG-04", "ISS-032-DESC", "ISS-032-KREASON", "ISS-032-ALTGEN"]</t>
        </is>
      </c>
    </row>
    <row r="15" ht="42" customHeight="1">
      <c r="A15" s="3" t="inlineStr">
        <is>
          <t>jeminise.com+christmas-cardinals-on-snowy-branches-patchwork-winter-quilt-8fa1a9e2ed-8fa1a9e2ed</t>
        </is>
      </c>
      <c r="B15" s="3" t="inlineStr">
        <is>
          <t>K1</t>
        </is>
      </c>
      <c r="C15" s="3" t="n">
        <v>10</v>
      </c>
      <c r="D15" s="3" t="inlineStr">
        <is>
          <t>FULL</t>
        </is>
      </c>
      <c r="E15" s="7">
        <f>IF(B15="I1",AVERAGEIF('QA_Images'!$A$2:$A$63,A15,'QA_Images'!$T$2:$T$63)/100,IF(D15="FULL",1,IF(D15="PARTIAL",0.5,IF(D15="FAIL",0,""))))</f>
        <v/>
      </c>
      <c r="F15" s="7">
        <f>IF(E15="",0,C15*E15)</f>
        <v/>
      </c>
      <c r="G15" s="7">
        <f>IF(B15="I1",20*AVERAGEIF('QA_Images'!$A$2:$A$63,A15,'QA_Images'!$U$2:$U$63)/100,IF(D15="NOT_CHECKED",0,C15))</f>
        <v/>
      </c>
      <c r="H15" s="3" t="inlineStr">
        <is>
          <t>Đối chiếu long-tail với thiết kế riêng và nguy cơ trùng intent trong cụm sản phẩm.</t>
        </is>
      </c>
      <c r="I15" s="3" t="inlineStr">
        <is>
          <t>["evidence_batch_004_032", "https://jeminise.com/products/christmas-cardinals-on-snowy-branches-patchwork-winter-quilt-8fa1a9e2ed-8fa1a9e2ed", "serp_qa_032"]</t>
        </is>
      </c>
      <c r="J15" s="3" t="inlineStr">
        <is>
          <t>["ISS-032-IMG-02", "ISS-032-IMG-04", "ISS-032-DESC", "ISS-032-KREASON", "ISS-032-ALTGEN"]</t>
        </is>
      </c>
    </row>
    <row r="16" ht="42" customHeight="1">
      <c r="A16" s="2" t="inlineStr">
        <is>
          <t>jeminise.com+christmas-cardinals-on-snowy-branches-patchwork-winter-quilt-8fa1a9e2ed-8fa1a9e2ed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IF(B16="I1",AVERAGEIF('QA_Images'!$A$2:$A$63,A16,'QA_Images'!$T$2:$T$63)/100,IF(D16="FULL",1,IF(D16="PARTIAL",0.5,IF(D16="FAIL",0,""))))</f>
        <v/>
      </c>
      <c r="F16" s="5">
        <f>IF(E16="",0,C16*E16)</f>
        <v/>
      </c>
      <c r="G16" s="5">
        <f>IF(B16="I1",20*AVERAGEIF('QA_Images'!$A$2:$A$63,A16,'QA_Images'!$U$2:$U$63)/100,IF(D16="NOT_CHECKED",0,C16))</f>
        <v/>
      </c>
      <c r="H16" s="2" t="inlineStr">
        <is>
          <t>Đã đọc primary và comparator SERP theo US intent; không dùng claim volume.</t>
        </is>
      </c>
      <c r="I16" s="2" t="inlineStr">
        <is>
          <t>["evidence_batch_004_032", "https://jeminise.com/products/christmas-cardinals-on-snowy-branches-patchwork-winter-quilt-8fa1a9e2ed-8fa1a9e2ed", "serp_qa_032"]</t>
        </is>
      </c>
      <c r="J16" s="2" t="inlineStr">
        <is>
          <t>["ISS-032-IMG-02", "ISS-032-IMG-04", "ISS-032-DESC", "ISS-032-KREASON", "ISS-032-ALTGEN"]</t>
        </is>
      </c>
    </row>
    <row r="17" ht="42" customHeight="1">
      <c r="A17" s="3" t="inlineStr">
        <is>
          <t>jeminise.com+christmas-cardinals-on-snowy-branches-patchwork-winter-quilt-8fa1a9e2ed-8fa1a9e2ed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IF(B17="I1",AVERAGEIF('QA_Images'!$A$2:$A$63,A17,'QA_Images'!$T$2:$T$63)/100,IF(D17="FULL",1,IF(D17="PARTIAL",0.5,IF(D17="FAIL",0,""))))</f>
        <v/>
      </c>
      <c r="F17" s="7">
        <f>IF(E17="",0,C17*E17)</f>
        <v/>
      </c>
      <c r="G17" s="7">
        <f>IF(B17="I1",20*AVERAGEIF('QA_Images'!$A$2:$A$63,A17,'QA_Images'!$U$2:$U$63)/100,IF(D17="NOT_CHECKED",0,C17))</f>
        <v/>
      </c>
      <c r="H17" s="3" t="inlineStr">
        <is>
          <t>Không suy diễn volume; phân biệt SERP_ONLY và HYPOTHESIS_ONLY.</t>
        </is>
      </c>
      <c r="I17" s="3" t="inlineStr">
        <is>
          <t>["evidence_batch_004_032", "https://jeminise.com/products/christmas-cardinals-on-snowy-branches-patchwork-winter-quilt-8fa1a9e2ed-8fa1a9e2ed", "serp_qa_032"]</t>
        </is>
      </c>
      <c r="J17" s="3" t="inlineStr">
        <is>
          <t>["ISS-032-IMG-02", "ISS-032-IMG-04", "ISS-032-DESC", "ISS-032-KREASON", "ISS-032-ALTGEN"]</t>
        </is>
      </c>
    </row>
    <row r="18" ht="42" customHeight="1">
      <c r="A18" s="2" t="inlineStr">
        <is>
          <t>jeminise.com+christmas-cardinals-on-snowy-branches-patchwork-winter-quilt-8fa1a9e2ed-8fa1a9e2ed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IF(B18="I1",AVERAGEIF('QA_Images'!$A$2:$A$63,A18,'QA_Images'!$T$2:$T$63)/100,IF(D18="FULL",1,IF(D18="PARTIAL",0.5,IF(D18="FAIL",0,""))))</f>
        <v/>
      </c>
      <c r="F18" s="5">
        <f>IF(E18="",0,C18*E18)</f>
        <v/>
      </c>
      <c r="G18" s="5">
        <f>IF(B18="I1",20*AVERAGEIF('QA_Images'!$A$2:$A$63,A18,'QA_Images'!$U$2:$U$63)/100,IF(D18="NOT_CHECKED",0,C18))</f>
        <v/>
      </c>
      <c r="H18" s="2" t="inlineStr">
        <is>
          <t>Đánh giá SEO title English về độ đúng, tự nhiên, keyword và điểm phân biệt.</t>
        </is>
      </c>
      <c r="I18" s="2" t="inlineStr">
        <is>
          <t>["evidence_batch_004_032", "https://jeminise.com/products/christmas-cardinals-on-snowy-branches-patchwork-winter-quilt-8fa1a9e2ed-8fa1a9e2ed", "serp_qa_032"]</t>
        </is>
      </c>
      <c r="J18" s="2" t="inlineStr">
        <is>
          <t>["ISS-032-IMG-02", "ISS-032-IMG-04", "ISS-032-DESC", "ISS-032-KREASON", "ISS-032-ALTGEN"]</t>
        </is>
      </c>
    </row>
    <row r="19" ht="42" customHeight="1">
      <c r="A19" s="3" t="inlineStr">
        <is>
          <t>jeminise.com+christmas-cardinals-on-snowy-branches-patchwork-winter-quilt-8fa1a9e2ed-8fa1a9e2ed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IF(B19="I1",AVERAGEIF('QA_Images'!$A$2:$A$63,A19,'QA_Images'!$T$2:$T$63)/100,IF(D19="FULL",1,IF(D19="PARTIAL",0.5,IF(D19="FAIL",0,""))))</f>
        <v/>
      </c>
      <c r="F19" s="7">
        <f>IF(E19="",0,C19*E19)</f>
        <v/>
      </c>
      <c r="G19" s="7">
        <f>IF(B19="I1",20*AVERAGEIF('QA_Images'!$A$2:$A$63,A19,'QA_Images'!$U$2:$U$63)/100,IF(D19="NOT_CHECKED",0,C19))</f>
        <v/>
      </c>
      <c r="H19" s="3" t="inlineStr">
        <is>
          <t>Đánh giá H1 đề xuất độc lập với SEO title và đối chiếu lỗi ký tự nguồn.</t>
        </is>
      </c>
      <c r="I19" s="3" t="inlineStr">
        <is>
          <t>["evidence_batch_004_032", "https://jeminise.com/products/christmas-cardinals-on-snowy-branches-patchwork-winter-quilt-8fa1a9e2ed-8fa1a9e2ed", "serp_qa_032"]</t>
        </is>
      </c>
      <c r="J19" s="3" t="inlineStr">
        <is>
          <t>["ISS-032-IMG-02", "ISS-032-IMG-04", "ISS-032-DESC", "ISS-032-KREASON", "ISS-032-ALTGEN"]</t>
        </is>
      </c>
    </row>
    <row r="20" ht="42" customHeight="1">
      <c r="A20" s="2" t="inlineStr">
        <is>
          <t>jeminise.com+christmas-cardinals-on-snowy-branches-patchwork-winter-quilt-8fa1a9e2ed-8fa1a9e2ed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IF(B20="I1",AVERAGEIF('QA_Images'!$A$2:$A$63,A20,'QA_Images'!$T$2:$T$63)/100,IF(D20="FULL",1,IF(D20="PARTIAL",0.5,IF(D20="FAIL",0,""))))</f>
        <v/>
      </c>
      <c r="F20" s="5">
        <f>IF(E20="",0,C20*E20)</f>
        <v/>
      </c>
      <c r="G20" s="5">
        <f>IF(B20="I1",20*AVERAGEIF('QA_Images'!$A$2:$A$63,A20,'QA_Images'!$U$2:$U$63)/100,IF(D20="NOT_CHECKED",0,C20))</f>
        <v/>
      </c>
      <c r="H20" s="2" t="inlineStr">
        <is>
          <t>Đánh giá meta description về tính cụ thể và căn cứ claim.</t>
        </is>
      </c>
      <c r="I20" s="2" t="inlineStr">
        <is>
          <t>["evidence_batch_004_032", "https://jeminise.com/products/christmas-cardinals-on-snowy-branches-patchwork-winter-quilt-8fa1a9e2ed-8fa1a9e2ed", "serp_qa_032"]</t>
        </is>
      </c>
      <c r="J20" s="2" t="inlineStr">
        <is>
          <t>["ISS-032-IMG-02", "ISS-032-IMG-04", "ISS-032-DESC", "ISS-032-KREASON", "ISS-032-ALTGEN"]</t>
        </is>
      </c>
    </row>
    <row r="21" ht="42" customHeight="1">
      <c r="A21" s="3" t="inlineStr">
        <is>
          <t>jeminise.com+christmas-cardinals-on-snowy-branches-patchwork-winter-quilt-8fa1a9e2ed-8fa1a9e2ed</t>
        </is>
      </c>
      <c r="B21" s="3" t="inlineStr">
        <is>
          <t>D2</t>
        </is>
      </c>
      <c r="C21" s="3" t="n">
        <v>10</v>
      </c>
      <c r="D21" s="3" t="inlineStr">
        <is>
          <t>FAIL</t>
        </is>
      </c>
      <c r="E21" s="7">
        <f>IF(B21="I1",AVERAGEIF('QA_Images'!$A$2:$A$63,A21,'QA_Images'!$T$2:$T$63)/100,IF(D21="FULL",1,IF(D21="PARTIAL",0.5,IF(D21="FAIL",0,""))))</f>
        <v/>
      </c>
      <c r="F21" s="7">
        <f>IF(E21="",0,C21*E21)</f>
        <v/>
      </c>
      <c r="G21" s="7">
        <f>IF(B21="I1",20*AVERAGEIF('QA_Images'!$A$2:$A$63,A21,'QA_Images'!$U$2:$U$63)/100,IF(D21="NOT_CHECKED",0,C21))</f>
        <v/>
      </c>
      <c r="H21" s="3" t="inlineStr">
        <is>
          <t>Description SET có HTML đầy đủ nhưng chứa câu nội bộ 'This draft should be reviewed...' và dữ liệu nguồn thô/mâu thuẫn; chưa phải nội dung publish-ready.</t>
        </is>
      </c>
      <c r="I21" s="3" t="inlineStr">
        <is>
          <t>["evidence_batch_004_032", "https://jeminise.com/products/christmas-cardinals-on-snowy-branches-patchwork-winter-quilt-8fa1a9e2ed-8fa1a9e2ed", "serp_qa_032"]</t>
        </is>
      </c>
      <c r="J21" s="3" t="inlineStr">
        <is>
          <t>["ISS-032-IMG-02", "ISS-032-IMG-04", "ISS-032-DESC", "ISS-032-KREASON", "ISS-032-ALTGEN"]</t>
        </is>
      </c>
    </row>
    <row r="22" ht="42" customHeight="1">
      <c r="A22" s="2" t="inlineStr">
        <is>
          <t>jeminise.com+christmas-cardinals-on-snowy-branches-patchwork-winter-quilt-8fa1a9e2ed-8fa1a9e2ed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IF(B22="I1",AVERAGEIF('QA_Images'!$A$2:$A$63,A22,'QA_Images'!$T$2:$T$63)/100,IF(D22="FULL",1,IF(D22="PARTIAL",0.5,IF(D22="FAIL",0,""))))</f>
        <v/>
      </c>
      <c r="F22" s="5">
        <f>IF(E22="",0,C22*E22)</f>
        <v/>
      </c>
      <c r="G22" s="5">
        <f>IF(B22="I1",20*AVERAGEIF('QA_Images'!$A$2:$A$63,A22,'QA_Images'!$U$2:$U$63)/100,IF(D22="NOT_CHECKED",0,C22))</f>
        <v/>
      </c>
      <c r="H22" s="2" t="inlineStr">
        <is>
          <t>Tính từ trung bình 5 ảnh: 80.0000/100.</t>
        </is>
      </c>
      <c r="I22" s="2" t="inlineStr">
        <is>
          <t>["evidence_batch_004_032", "https://jeminise.com/products/christmas-cardinals-on-snowy-branches-patchwork-winter-quilt-8fa1a9e2ed-8fa1a9e2ed", "serp_qa_032"]</t>
        </is>
      </c>
      <c r="J22" s="2" t="inlineStr">
        <is>
          <t>["ISS-032-IMG-02", "ISS-032-IMG-04", "ISS-032-DESC", "ISS-032-KREASON", "ISS-032-ALTGEN"]</t>
        </is>
      </c>
    </row>
    <row r="23" ht="42" customHeight="1">
      <c r="A23" s="3" t="inlineStr">
        <is>
          <t>jeminise.com+christmas-cardinals-on-snowy-branches-patchwork-winter-quilt-8fa1a9e2ed-8fa1a9e2ed</t>
        </is>
      </c>
      <c r="B23" s="3" t="inlineStr">
        <is>
          <t>E1</t>
        </is>
      </c>
      <c r="C23" s="3" t="n">
        <v>5</v>
      </c>
      <c r="D23" s="3" t="inlineStr">
        <is>
          <t>PARTIAL</t>
        </is>
      </c>
      <c r="E23" s="7">
        <f>IF(B23="I1",AVERAGEIF('QA_Images'!$A$2:$A$63,A23,'QA_Images'!$T$2:$T$63)/100,IF(D23="FULL",1,IF(D23="PARTIAL",0.5,IF(D23="FAIL",0,""))))</f>
        <v/>
      </c>
      <c r="F23" s="7">
        <f>IF(E23="",0,C23*E23)</f>
        <v/>
      </c>
      <c r="G23" s="7">
        <f>IF(B23="I1",20*AVERAGEIF('QA_Images'!$A$2:$A$63,A23,'QA_Images'!$U$2:$U$63)/100,IF(D23="NOT_CHECKED",0,C23))</f>
        <v/>
      </c>
      <c r="H23" s="3" t="inlineStr">
        <is>
          <t>Kiểm tra chuỗi evidence và giới hạn do thiếu admin export/browser tương tác.</t>
        </is>
      </c>
      <c r="I23" s="3" t="inlineStr">
        <is>
          <t>["evidence_batch_004_032", "https://jeminise.com/products/christmas-cardinals-on-snowy-branches-patchwork-winter-quilt-8fa1a9e2ed-8fa1a9e2ed", "serp_qa_032"]</t>
        </is>
      </c>
      <c r="J23" s="3" t="inlineStr">
        <is>
          <t>["ISS-032-IMG-02", "ISS-032-IMG-04", "ISS-032-DESC", "ISS-032-KREASON", "ISS-032-ALTGEN"]</t>
        </is>
      </c>
    </row>
    <row r="24" ht="42" customHeight="1">
      <c r="A24" s="2" t="inlineStr">
        <is>
          <t>jeminise.com+cow-with-landscape-patchwork-quilt-animal-farmhouse-printed-quilt-set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IF(B24="I1",AVERAGEIF('QA_Images'!$A$2:$A$63,A24,'QA_Images'!$T$2:$T$63)/100,IF(D24="FULL",1,IF(D24="PARTIAL",0.5,IF(D24="FAIL",0,""))))</f>
        <v/>
      </c>
      <c r="F24" s="5">
        <f>IF(E24="",0,C24*E24)</f>
        <v/>
      </c>
      <c r="G24" s="5">
        <f>IF(B24="I1",20*AVERAGEIF('QA_Images'!$A$2:$A$63,A24,'QA_Images'!$U$2:$U$63)/100,IF(D24="NOT_CHECKED",0,C24))</f>
        <v/>
      </c>
      <c r="H24" s="2" t="inlineStr">
        <is>
          <t>Đối chiếu loại sản phẩm, thiết kế và màu với product JSON, H1 live và toàn bộ gallery.</t>
        </is>
      </c>
      <c r="I24" s="2" t="inlineStr">
        <is>
          <t>["evidence_batch_004_033", "https://jeminise.com/products/cow-with-landscape-patchwork-quilt-animal-farmhouse-printed-quilt-set", "serp_qa_033"]</t>
        </is>
      </c>
      <c r="J24" s="2" t="inlineStr">
        <is>
          <t>["ISS-033-IMG-06", "ISS-033-DESC", "ISS-033-PERS", "ISS-033-DRAGONFLY", "ISS-033-ALTGEN"]</t>
        </is>
      </c>
    </row>
    <row r="25" ht="42" customHeight="1">
      <c r="A25" s="3" t="inlineStr">
        <is>
          <t>jeminise.com+cow-with-landscape-patchwork-quilt-animal-farmhouse-printed-quilt-set</t>
        </is>
      </c>
      <c r="B25" s="3" t="inlineStr">
        <is>
          <t>P2</t>
        </is>
      </c>
      <c r="C25" s="3" t="n">
        <v>10</v>
      </c>
      <c r="D25" s="3" t="inlineStr">
        <is>
          <t>FAIL</t>
        </is>
      </c>
      <c r="E25" s="7">
        <f>IF(B25="I1",AVERAGEIF('QA_Images'!$A$2:$A$63,A25,'QA_Images'!$T$2:$T$63)/100,IF(D25="FULL",1,IF(D25="PARTIAL",0.5,IF(D25="FAIL",0,""))))</f>
        <v/>
      </c>
      <c r="F25" s="7">
        <f>IF(E25="",0,C25*E25)</f>
        <v/>
      </c>
      <c r="G25" s="7">
        <f>IF(B25="I1",20*AVERAGEIF('QA_Images'!$A$2:$A$63,A25,'QA_Images'!$U$2:$U$63)/100,IF(D25="NOT_CHECKED",0,C25))</f>
        <v/>
      </c>
      <c r="H25" s="3" t="inlineStr">
        <is>
          <t>Đối chiếu specifications, variants, components và personalization với product.js live, body HTML và ảnh.</t>
        </is>
      </c>
      <c r="I25" s="3" t="inlineStr">
        <is>
          <t>["evidence_batch_004_033", "https://jeminise.com/products/cow-with-landscape-patchwork-quilt-animal-farmhouse-printed-quilt-set", "serp_qa_033"]</t>
        </is>
      </c>
      <c r="J25" s="3" t="inlineStr">
        <is>
          <t>["ISS-033-IMG-06", "ISS-033-DESC", "ISS-033-PERS", "ISS-033-DRAGONFLY", "ISS-033-ALTGEN"]</t>
        </is>
      </c>
    </row>
    <row r="26" ht="42" customHeight="1">
      <c r="A26" s="2" t="inlineStr">
        <is>
          <t>jeminise.com+cow-with-landscape-patchwork-quilt-animal-farmhouse-printed-quilt-set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5">
        <f>IF(B26="I1",AVERAGEIF('QA_Images'!$A$2:$A$63,A26,'QA_Images'!$T$2:$T$63)/100,IF(D26="FULL",1,IF(D26="PARTIAL",0.5,IF(D26="FAIL",0,""))))</f>
        <v/>
      </c>
      <c r="F26" s="5">
        <f>IF(E26="",0,C26*E26)</f>
        <v/>
      </c>
      <c r="G26" s="5">
        <f>IF(B26="I1",20*AVERAGEIF('QA_Images'!$A$2:$A$63,A26,'QA_Images'!$U$2:$U$63)/100,IF(D26="NOT_CHECKED",0,C26))</f>
        <v/>
      </c>
      <c r="H26" s="2" t="inlineStr">
        <is>
          <t>Đối chiếu long-tail với thiết kế riêng và nguy cơ trùng intent trong cụm sản phẩm.</t>
        </is>
      </c>
      <c r="I26" s="2" t="inlineStr">
        <is>
          <t>["evidence_batch_004_033", "https://jeminise.com/products/cow-with-landscape-patchwork-quilt-animal-farmhouse-printed-quilt-set", "serp_qa_033"]</t>
        </is>
      </c>
      <c r="J26" s="2" t="inlineStr">
        <is>
          <t>["ISS-033-IMG-06", "ISS-033-DESC", "ISS-033-PERS", "ISS-033-DRAGONFLY", "ISS-033-ALTGEN"]</t>
        </is>
      </c>
    </row>
    <row r="27" ht="42" customHeight="1">
      <c r="A27" s="3" t="inlineStr">
        <is>
          <t>jeminise.com+cow-with-landscape-patchwork-quilt-animal-farmhouse-printed-quilt-set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IF(B27="I1",AVERAGEIF('QA_Images'!$A$2:$A$63,A27,'QA_Images'!$T$2:$T$63)/100,IF(D27="FULL",1,IF(D27="PARTIAL",0.5,IF(D27="FAIL",0,""))))</f>
        <v/>
      </c>
      <c r="F27" s="7">
        <f>IF(E27="",0,C27*E27)</f>
        <v/>
      </c>
      <c r="G27" s="7">
        <f>IF(B27="I1",20*AVERAGEIF('QA_Images'!$A$2:$A$63,A27,'QA_Images'!$U$2:$U$63)/100,IF(D27="NOT_CHECKED",0,C27))</f>
        <v/>
      </c>
      <c r="H27" s="3" t="inlineStr">
        <is>
          <t>Đã đọc primary và comparator SERP theo US intent; không dùng claim volume.</t>
        </is>
      </c>
      <c r="I27" s="3" t="inlineStr">
        <is>
          <t>["evidence_batch_004_033", "https://jeminise.com/products/cow-with-landscape-patchwork-quilt-animal-farmhouse-printed-quilt-set", "serp_qa_033"]</t>
        </is>
      </c>
      <c r="J27" s="3" t="inlineStr">
        <is>
          <t>["ISS-033-IMG-06", "ISS-033-DESC", "ISS-033-PERS", "ISS-033-DRAGONFLY", "ISS-033-ALTGEN"]</t>
        </is>
      </c>
    </row>
    <row r="28" ht="42" customHeight="1">
      <c r="A28" s="2" t="inlineStr">
        <is>
          <t>jeminise.com+cow-with-landscape-patchwork-quilt-animal-farmhouse-printed-quilt-set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5">
        <f>IF(B28="I1",AVERAGEIF('QA_Images'!$A$2:$A$63,A28,'QA_Images'!$T$2:$T$63)/100,IF(D28="FULL",1,IF(D28="PARTIAL",0.5,IF(D28="FAIL",0,""))))</f>
        <v/>
      </c>
      <c r="F28" s="5">
        <f>IF(E28="",0,C28*E28)</f>
        <v/>
      </c>
      <c r="G28" s="5">
        <f>IF(B28="I1",20*AVERAGEIF('QA_Images'!$A$2:$A$63,A28,'QA_Images'!$U$2:$U$63)/100,IF(D28="NOT_CHECKED",0,C28))</f>
        <v/>
      </c>
      <c r="H28" s="2" t="inlineStr">
        <is>
          <t>Không suy diễn volume; phân biệt SERP_ONLY và HYPOTHESIS_ONLY.</t>
        </is>
      </c>
      <c r="I28" s="2" t="inlineStr">
        <is>
          <t>["evidence_batch_004_033", "https://jeminise.com/products/cow-with-landscape-patchwork-quilt-animal-farmhouse-printed-quilt-set", "serp_qa_033"]</t>
        </is>
      </c>
      <c r="J28" s="2" t="inlineStr">
        <is>
          <t>["ISS-033-IMG-06", "ISS-033-DESC", "ISS-033-PERS", "ISS-033-DRAGONFLY", "ISS-033-ALTGEN"]</t>
        </is>
      </c>
    </row>
    <row r="29" ht="42" customHeight="1">
      <c r="A29" s="3" t="inlineStr">
        <is>
          <t>jeminise.com+cow-with-landscape-patchwork-quilt-animal-farmhouse-printed-quilt-set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IF(B29="I1",AVERAGEIF('QA_Images'!$A$2:$A$63,A29,'QA_Images'!$T$2:$T$63)/100,IF(D29="FULL",1,IF(D29="PARTIAL",0.5,IF(D29="FAIL",0,""))))</f>
        <v/>
      </c>
      <c r="F29" s="7">
        <f>IF(E29="",0,C29*E29)</f>
        <v/>
      </c>
      <c r="G29" s="7">
        <f>IF(B29="I1",20*AVERAGEIF('QA_Images'!$A$2:$A$63,A29,'QA_Images'!$U$2:$U$63)/100,IF(D29="NOT_CHECKED",0,C29))</f>
        <v/>
      </c>
      <c r="H29" s="3" t="inlineStr">
        <is>
          <t>Đánh giá SEO title English về độ đúng, tự nhiên, keyword và điểm phân biệt.</t>
        </is>
      </c>
      <c r="I29" s="3" t="inlineStr">
        <is>
          <t>["evidence_batch_004_033", "https://jeminise.com/products/cow-with-landscape-patchwork-quilt-animal-farmhouse-printed-quilt-set", "serp_qa_033"]</t>
        </is>
      </c>
      <c r="J29" s="3" t="inlineStr">
        <is>
          <t>["ISS-033-IMG-06", "ISS-033-DESC", "ISS-033-PERS", "ISS-033-DRAGONFLY", "ISS-033-ALTGEN"]</t>
        </is>
      </c>
    </row>
    <row r="30" ht="42" customHeight="1">
      <c r="A30" s="2" t="inlineStr">
        <is>
          <t>jeminise.com+cow-with-landscape-patchwork-quilt-animal-farmhouse-printed-quilt-set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IF(B30="I1",AVERAGEIF('QA_Images'!$A$2:$A$63,A30,'QA_Images'!$T$2:$T$63)/100,IF(D30="FULL",1,IF(D30="PARTIAL",0.5,IF(D30="FAIL",0,""))))</f>
        <v/>
      </c>
      <c r="F30" s="5">
        <f>IF(E30="",0,C30*E30)</f>
        <v/>
      </c>
      <c r="G30" s="5">
        <f>IF(B30="I1",20*AVERAGEIF('QA_Images'!$A$2:$A$63,A30,'QA_Images'!$U$2:$U$63)/100,IF(D30="NOT_CHECKED",0,C30))</f>
        <v/>
      </c>
      <c r="H30" s="2" t="inlineStr">
        <is>
          <t>Đánh giá H1 đề xuất độc lập với SEO title và đối chiếu lỗi ký tự nguồn.</t>
        </is>
      </c>
      <c r="I30" s="2" t="inlineStr">
        <is>
          <t>["evidence_batch_004_033", "https://jeminise.com/products/cow-with-landscape-patchwork-quilt-animal-farmhouse-printed-quilt-set", "serp_qa_033"]</t>
        </is>
      </c>
      <c r="J30" s="2" t="inlineStr">
        <is>
          <t>["ISS-033-IMG-06", "ISS-033-DESC", "ISS-033-PERS", "ISS-033-DRAGONFLY", "ISS-033-ALTGEN"]</t>
        </is>
      </c>
    </row>
    <row r="31" ht="42" customHeight="1">
      <c r="A31" s="3" t="inlineStr">
        <is>
          <t>jeminise.com+cow-with-landscape-patchwork-quilt-animal-farmhouse-printed-quilt-set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IF(B31="I1",AVERAGEIF('QA_Images'!$A$2:$A$63,A31,'QA_Images'!$T$2:$T$63)/100,IF(D31="FULL",1,IF(D31="PARTIAL",0.5,IF(D31="FAIL",0,""))))</f>
        <v/>
      </c>
      <c r="F31" s="7">
        <f>IF(E31="",0,C31*E31)</f>
        <v/>
      </c>
      <c r="G31" s="7">
        <f>IF(B31="I1",20*AVERAGEIF('QA_Images'!$A$2:$A$63,A31,'QA_Images'!$U$2:$U$63)/100,IF(D31="NOT_CHECKED",0,C31))</f>
        <v/>
      </c>
      <c r="H31" s="3" t="inlineStr">
        <is>
          <t>Đánh giá meta description về tính cụ thể và căn cứ claim.</t>
        </is>
      </c>
      <c r="I31" s="3" t="inlineStr">
        <is>
          <t>["evidence_batch_004_033", "https://jeminise.com/products/cow-with-landscape-patchwork-quilt-animal-farmhouse-printed-quilt-set", "serp_qa_033"]</t>
        </is>
      </c>
      <c r="J31" s="3" t="inlineStr">
        <is>
          <t>["ISS-033-IMG-06", "ISS-033-DESC", "ISS-033-PERS", "ISS-033-DRAGONFLY", "ISS-033-ALTGEN"]</t>
        </is>
      </c>
    </row>
    <row r="32" ht="42" customHeight="1">
      <c r="A32" s="2" t="inlineStr">
        <is>
          <t>jeminise.com+cow-with-landscape-patchwork-quilt-animal-farmhouse-printed-quilt-set</t>
        </is>
      </c>
      <c r="B32" s="2" t="inlineStr">
        <is>
          <t>D2</t>
        </is>
      </c>
      <c r="C32" s="2" t="n">
        <v>10</v>
      </c>
      <c r="D32" s="2" t="inlineStr">
        <is>
          <t>FAIL</t>
        </is>
      </c>
      <c r="E32" s="5">
        <f>IF(B32="I1",AVERAGEIF('QA_Images'!$A$2:$A$63,A32,'QA_Images'!$T$2:$T$63)/100,IF(D32="FULL",1,IF(D32="PARTIAL",0.5,IF(D32="FAIL",0,""))))</f>
        <v/>
      </c>
      <c r="F32" s="5">
        <f>IF(E32="",0,C32*E32)</f>
        <v/>
      </c>
      <c r="G32" s="5">
        <f>IF(B32="I1",20*AVERAGEIF('QA_Images'!$A$2:$A$63,A32,'QA_Images'!$U$2:$U$63)/100,IF(D32="NOT_CHECKED",0,C32))</f>
        <v/>
      </c>
      <c r="H32" s="2" t="inlineStr">
        <is>
          <t>Description SET có HTML đầy đủ nhưng chứa câu nội bộ 'This draft should be reviewed...' và dữ liệu nguồn thô/mâu thuẫn; chưa phải nội dung publish-ready.</t>
        </is>
      </c>
      <c r="I32" s="2" t="inlineStr">
        <is>
          <t>["evidence_batch_004_033", "https://jeminise.com/products/cow-with-landscape-patchwork-quilt-animal-farmhouse-printed-quilt-set", "serp_qa_033"]</t>
        </is>
      </c>
      <c r="J32" s="2" t="inlineStr">
        <is>
          <t>["ISS-033-IMG-06", "ISS-033-DESC", "ISS-033-PERS", "ISS-033-DRAGONFLY", "ISS-033-ALTGEN"]</t>
        </is>
      </c>
    </row>
    <row r="33" ht="42" customHeight="1">
      <c r="A33" s="3" t="inlineStr">
        <is>
          <t>jeminise.com+cow-with-landscape-patchwork-quilt-animal-farmhouse-printed-quilt-set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IF(B33="I1",AVERAGEIF('QA_Images'!$A$2:$A$63,A33,'QA_Images'!$T$2:$T$63)/100,IF(D33="FULL",1,IF(D33="PARTIAL",0.5,IF(D33="FAIL",0,""))))</f>
        <v/>
      </c>
      <c r="F33" s="7">
        <f>IF(E33="",0,C33*E33)</f>
        <v/>
      </c>
      <c r="G33" s="7">
        <f>IF(B33="I1",20*AVERAGEIF('QA_Images'!$A$2:$A$63,A33,'QA_Images'!$U$2:$U$63)/100,IF(D33="NOT_CHECKED",0,C33))</f>
        <v/>
      </c>
      <c r="H33" s="3" t="inlineStr">
        <is>
          <t>Tính từ trung bình 7 ảnh: 92.8571/100.</t>
        </is>
      </c>
      <c r="I33" s="3" t="inlineStr">
        <is>
          <t>["evidence_batch_004_033", "https://jeminise.com/products/cow-with-landscape-patchwork-quilt-animal-farmhouse-printed-quilt-set", "serp_qa_033"]</t>
        </is>
      </c>
      <c r="J33" s="3" t="inlineStr">
        <is>
          <t>["ISS-033-IMG-06", "ISS-033-DESC", "ISS-033-PERS", "ISS-033-DRAGONFLY", "ISS-033-ALTGEN"]</t>
        </is>
      </c>
    </row>
    <row r="34" ht="42" customHeight="1">
      <c r="A34" s="2" t="inlineStr">
        <is>
          <t>jeminise.com+cow-with-landscape-patchwork-quilt-animal-farmhouse-printed-quilt-set</t>
        </is>
      </c>
      <c r="B34" s="2" t="inlineStr">
        <is>
          <t>E1</t>
        </is>
      </c>
      <c r="C34" s="2" t="n">
        <v>5</v>
      </c>
      <c r="D34" s="2" t="inlineStr">
        <is>
          <t>FAIL</t>
        </is>
      </c>
      <c r="E34" s="5">
        <f>IF(B34="I1",AVERAGEIF('QA_Images'!$A$2:$A$63,A34,'QA_Images'!$T$2:$T$63)/100,IF(D34="FULL",1,IF(D34="PARTIAL",0.5,IF(D34="FAIL",0,""))))</f>
        <v/>
      </c>
      <c r="F34" s="5">
        <f>IF(E34="",0,C34*E34)</f>
        <v/>
      </c>
      <c r="G34" s="5">
        <f>IF(B34="I1",20*AVERAGEIF('QA_Images'!$A$2:$A$63,A34,'QA_Images'!$U$2:$U$63)/100,IF(D34="NOT_CHECKED",0,C34))</f>
        <v/>
      </c>
      <c r="H34" s="2" t="inlineStr">
        <is>
          <t>Kiểm tra chuỗi evidence và giới hạn do thiếu admin export/browser tương tác.</t>
        </is>
      </c>
      <c r="I34" s="2" t="inlineStr">
        <is>
          <t>["evidence_batch_004_033", "https://jeminise.com/products/cow-with-landscape-patchwork-quilt-animal-farmhouse-printed-quilt-set", "serp_qa_033"]</t>
        </is>
      </c>
      <c r="J34" s="2" t="inlineStr">
        <is>
          <t>["ISS-033-IMG-06", "ISS-033-DESC", "ISS-033-PERS", "ISS-033-DRAGONFLY", "ISS-033-ALTGEN"]</t>
        </is>
      </c>
    </row>
    <row r="35" ht="42" customHeight="1">
      <c r="A35" s="3" t="inlineStr">
        <is>
          <t>jeminise.com+crocodile-patchwork-printed-quilts-animal-patchwork-bedding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IF(B35="I1",AVERAGEIF('QA_Images'!$A$2:$A$63,A35,'QA_Images'!$T$2:$T$63)/100,IF(D35="FULL",1,IF(D35="PARTIAL",0.5,IF(D35="FAIL",0,""))))</f>
        <v/>
      </c>
      <c r="F35" s="7">
        <f>IF(E35="",0,C35*E35)</f>
        <v/>
      </c>
      <c r="G35" s="7">
        <f>IF(B35="I1",20*AVERAGEIF('QA_Images'!$A$2:$A$63,A35,'QA_Images'!$U$2:$U$63)/100,IF(D35="NOT_CHECKED",0,C35))</f>
        <v/>
      </c>
      <c r="H35" s="3" t="inlineStr">
        <is>
          <t>Đối chiếu loại sản phẩm, thiết kế và màu với product JSON, H1 live và toàn bộ gallery.</t>
        </is>
      </c>
      <c r="I35" s="3" t="inlineStr">
        <is>
          <t>["evidence_batch_004_034", "https://jeminise.com/products/crocodile-patchwork-printed-quilts-animal-patchwork-bedding", "serp_qa_034"]</t>
        </is>
      </c>
      <c r="J35" s="3" t="inlineStr">
        <is>
          <t>["ISS-034-IMG-06", "ISS-034-DESC", "ISS-034-PERS", "ISS-034-DRAGONFLY", "ISS-034-ALLIGATOR", "ISS-034-ALTGEN"]</t>
        </is>
      </c>
    </row>
    <row r="36" ht="42" customHeight="1">
      <c r="A36" s="2" t="inlineStr">
        <is>
          <t>jeminise.com+crocodile-patchwork-printed-quilts-animal-patchwork-bedding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5">
        <f>IF(B36="I1",AVERAGEIF('QA_Images'!$A$2:$A$63,A36,'QA_Images'!$T$2:$T$63)/100,IF(D36="FULL",1,IF(D36="PARTIAL",0.5,IF(D36="FAIL",0,""))))</f>
        <v/>
      </c>
      <c r="F36" s="5">
        <f>IF(E36="",0,C36*E36)</f>
        <v/>
      </c>
      <c r="G36" s="5">
        <f>IF(B36="I1",20*AVERAGEIF('QA_Images'!$A$2:$A$63,A36,'QA_Images'!$U$2:$U$63)/100,IF(D36="NOT_CHECKED",0,C36))</f>
        <v/>
      </c>
      <c r="H36" s="2" t="inlineStr">
        <is>
          <t>Đối chiếu specifications, variants, components và personalization với product.js live, body HTML và ảnh.</t>
        </is>
      </c>
      <c r="I36" s="2" t="inlineStr">
        <is>
          <t>["evidence_batch_004_034", "https://jeminise.com/products/crocodile-patchwork-printed-quilts-animal-patchwork-bedding", "serp_qa_034"]</t>
        </is>
      </c>
      <c r="J36" s="2" t="inlineStr">
        <is>
          <t>["ISS-034-IMG-06", "ISS-034-DESC", "ISS-034-PERS", "ISS-034-DRAGONFLY", "ISS-034-ALLIGATOR", "ISS-034-ALTGEN"]</t>
        </is>
      </c>
    </row>
    <row r="37" ht="42" customHeight="1">
      <c r="A37" s="3" t="inlineStr">
        <is>
          <t>jeminise.com+crocodile-patchwork-printed-quilts-animal-patchwork-bedding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IF(B37="I1",AVERAGEIF('QA_Images'!$A$2:$A$63,A37,'QA_Images'!$T$2:$T$63)/100,IF(D37="FULL",1,IF(D37="PARTIAL",0.5,IF(D37="FAIL",0,""))))</f>
        <v/>
      </c>
      <c r="F37" s="7">
        <f>IF(E37="",0,C37*E37)</f>
        <v/>
      </c>
      <c r="G37" s="7">
        <f>IF(B37="I1",20*AVERAGEIF('QA_Images'!$A$2:$A$63,A37,'QA_Images'!$U$2:$U$63)/100,IF(D37="NOT_CHECKED",0,C37))</f>
        <v/>
      </c>
      <c r="H37" s="3" t="inlineStr">
        <is>
          <t>Đối chiếu long-tail với thiết kế riêng và nguy cơ trùng intent trong cụm sản phẩm.</t>
        </is>
      </c>
      <c r="I37" s="3" t="inlineStr">
        <is>
          <t>["evidence_batch_004_034", "https://jeminise.com/products/crocodile-patchwork-printed-quilts-animal-patchwork-bedding", "serp_qa_034"]</t>
        </is>
      </c>
      <c r="J37" s="3" t="inlineStr">
        <is>
          <t>["ISS-034-IMG-06", "ISS-034-DESC", "ISS-034-PERS", "ISS-034-DRAGONFLY", "ISS-034-ALLIGATOR", "ISS-034-ALTGEN"]</t>
        </is>
      </c>
    </row>
    <row r="38" ht="42" customHeight="1">
      <c r="A38" s="2" t="inlineStr">
        <is>
          <t>jeminise.com+crocodile-patchwork-printed-quilts-animal-patchwork-bedding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IF(B38="I1",AVERAGEIF('QA_Images'!$A$2:$A$63,A38,'QA_Images'!$T$2:$T$63)/100,IF(D38="FULL",1,IF(D38="PARTIAL",0.5,IF(D38="FAIL",0,""))))</f>
        <v/>
      </c>
      <c r="F38" s="5">
        <f>IF(E38="",0,C38*E38)</f>
        <v/>
      </c>
      <c r="G38" s="5">
        <f>IF(B38="I1",20*AVERAGEIF('QA_Images'!$A$2:$A$63,A38,'QA_Images'!$U$2:$U$63)/100,IF(D38="NOT_CHECKED",0,C38))</f>
        <v/>
      </c>
      <c r="H38" s="2" t="inlineStr">
        <is>
          <t>Đã đọc primary và comparator SERP theo US intent; không dùng claim volume.</t>
        </is>
      </c>
      <c r="I38" s="2" t="inlineStr">
        <is>
          <t>["evidence_batch_004_034", "https://jeminise.com/products/crocodile-patchwork-printed-quilts-animal-patchwork-bedding", "serp_qa_034"]</t>
        </is>
      </c>
      <c r="J38" s="2" t="inlineStr">
        <is>
          <t>["ISS-034-IMG-06", "ISS-034-DESC", "ISS-034-PERS", "ISS-034-DRAGONFLY", "ISS-034-ALLIGATOR", "ISS-034-ALTGEN"]</t>
        </is>
      </c>
    </row>
    <row r="39" ht="42" customHeight="1">
      <c r="A39" s="3" t="inlineStr">
        <is>
          <t>jeminise.com+crocodile-patchwork-printed-quilts-animal-patchwork-bedding</t>
        </is>
      </c>
      <c r="B39" s="3" t="inlineStr">
        <is>
          <t>K3</t>
        </is>
      </c>
      <c r="C39" s="3" t="n">
        <v>5</v>
      </c>
      <c r="D39" s="3" t="inlineStr">
        <is>
          <t>FULL</t>
        </is>
      </c>
      <c r="E39" s="7">
        <f>IF(B39="I1",AVERAGEIF('QA_Images'!$A$2:$A$63,A39,'QA_Images'!$T$2:$T$63)/100,IF(D39="FULL",1,IF(D39="PARTIAL",0.5,IF(D39="FAIL",0,""))))</f>
        <v/>
      </c>
      <c r="F39" s="7">
        <f>IF(E39="",0,C39*E39)</f>
        <v/>
      </c>
      <c r="G39" s="7">
        <f>IF(B39="I1",20*AVERAGEIF('QA_Images'!$A$2:$A$63,A39,'QA_Images'!$U$2:$U$63)/100,IF(D39="NOT_CHECKED",0,C39))</f>
        <v/>
      </c>
      <c r="H39" s="3" t="inlineStr">
        <is>
          <t>Không suy diễn volume; phân biệt SERP_ONLY và HYPOTHESIS_ONLY.</t>
        </is>
      </c>
      <c r="I39" s="3" t="inlineStr">
        <is>
          <t>["evidence_batch_004_034", "https://jeminise.com/products/crocodile-patchwork-printed-quilts-animal-patchwork-bedding", "serp_qa_034"]</t>
        </is>
      </c>
      <c r="J39" s="3" t="inlineStr">
        <is>
          <t>["ISS-034-IMG-06", "ISS-034-DESC", "ISS-034-PERS", "ISS-034-DRAGONFLY", "ISS-034-ALLIGATOR", "ISS-034-ALTGEN"]</t>
        </is>
      </c>
    </row>
    <row r="40" ht="42" customHeight="1">
      <c r="A40" s="2" t="inlineStr">
        <is>
          <t>jeminise.com+crocodile-patchwork-printed-quilts-animal-patchwork-bedding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IF(B40="I1",AVERAGEIF('QA_Images'!$A$2:$A$63,A40,'QA_Images'!$T$2:$T$63)/100,IF(D40="FULL",1,IF(D40="PARTIAL",0.5,IF(D40="FAIL",0,""))))</f>
        <v/>
      </c>
      <c r="F40" s="5">
        <f>IF(E40="",0,C40*E40)</f>
        <v/>
      </c>
      <c r="G40" s="5">
        <f>IF(B40="I1",20*AVERAGEIF('QA_Images'!$A$2:$A$63,A40,'QA_Images'!$U$2:$U$63)/100,IF(D40="NOT_CHECKED",0,C40))</f>
        <v/>
      </c>
      <c r="H40" s="2" t="inlineStr">
        <is>
          <t>Đánh giá SEO title English về độ đúng, tự nhiên, keyword và điểm phân biệt.</t>
        </is>
      </c>
      <c r="I40" s="2" t="inlineStr">
        <is>
          <t>["evidence_batch_004_034", "https://jeminise.com/products/crocodile-patchwork-printed-quilts-animal-patchwork-bedding", "serp_qa_034"]</t>
        </is>
      </c>
      <c r="J40" s="2" t="inlineStr">
        <is>
          <t>["ISS-034-IMG-06", "ISS-034-DESC", "ISS-034-PERS", "ISS-034-DRAGONFLY", "ISS-034-ALLIGATOR", "ISS-034-ALTGEN"]</t>
        </is>
      </c>
    </row>
    <row r="41" ht="42" customHeight="1">
      <c r="A41" s="3" t="inlineStr">
        <is>
          <t>jeminise.com+crocodile-patchwork-printed-quilts-animal-patchwork-bedding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IF(B41="I1",AVERAGEIF('QA_Images'!$A$2:$A$63,A41,'QA_Images'!$T$2:$T$63)/100,IF(D41="FULL",1,IF(D41="PARTIAL",0.5,IF(D41="FAIL",0,""))))</f>
        <v/>
      </c>
      <c r="F41" s="7">
        <f>IF(E41="",0,C41*E41)</f>
        <v/>
      </c>
      <c r="G41" s="7">
        <f>IF(B41="I1",20*AVERAGEIF('QA_Images'!$A$2:$A$63,A41,'QA_Images'!$U$2:$U$63)/100,IF(D41="NOT_CHECKED",0,C41))</f>
        <v/>
      </c>
      <c r="H41" s="3" t="inlineStr">
        <is>
          <t>Đánh giá H1 đề xuất độc lập với SEO title và đối chiếu lỗi ký tự nguồn.</t>
        </is>
      </c>
      <c r="I41" s="3" t="inlineStr">
        <is>
          <t>["evidence_batch_004_034", "https://jeminise.com/products/crocodile-patchwork-printed-quilts-animal-patchwork-bedding", "serp_qa_034"]</t>
        </is>
      </c>
      <c r="J41" s="3" t="inlineStr">
        <is>
          <t>["ISS-034-IMG-06", "ISS-034-DESC", "ISS-034-PERS", "ISS-034-DRAGONFLY", "ISS-034-ALLIGATOR", "ISS-034-ALTGEN"]</t>
        </is>
      </c>
    </row>
    <row r="42" ht="42" customHeight="1">
      <c r="A42" s="2" t="inlineStr">
        <is>
          <t>jeminise.com+crocodile-patchwork-printed-quilts-animal-patchwork-bedding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IF(B42="I1",AVERAGEIF('QA_Images'!$A$2:$A$63,A42,'QA_Images'!$T$2:$T$63)/100,IF(D42="FULL",1,IF(D42="PARTIAL",0.5,IF(D42="FAIL",0,""))))</f>
        <v/>
      </c>
      <c r="F42" s="5">
        <f>IF(E42="",0,C42*E42)</f>
        <v/>
      </c>
      <c r="G42" s="5">
        <f>IF(B42="I1",20*AVERAGEIF('QA_Images'!$A$2:$A$63,A42,'QA_Images'!$U$2:$U$63)/100,IF(D42="NOT_CHECKED",0,C42))</f>
        <v/>
      </c>
      <c r="H42" s="2" t="inlineStr">
        <is>
          <t>Đánh giá meta description về tính cụ thể và căn cứ claim.</t>
        </is>
      </c>
      <c r="I42" s="2" t="inlineStr">
        <is>
          <t>["evidence_batch_004_034", "https://jeminise.com/products/crocodile-patchwork-printed-quilts-animal-patchwork-bedding", "serp_qa_034"]</t>
        </is>
      </c>
      <c r="J42" s="2" t="inlineStr">
        <is>
          <t>["ISS-034-IMG-06", "ISS-034-DESC", "ISS-034-PERS", "ISS-034-DRAGONFLY", "ISS-034-ALLIGATOR", "ISS-034-ALTGEN"]</t>
        </is>
      </c>
    </row>
    <row r="43" ht="42" customHeight="1">
      <c r="A43" s="3" t="inlineStr">
        <is>
          <t>jeminise.com+crocodile-patchwork-printed-quilts-animal-patchwork-bedding</t>
        </is>
      </c>
      <c r="B43" s="3" t="inlineStr">
        <is>
          <t>D2</t>
        </is>
      </c>
      <c r="C43" s="3" t="n">
        <v>10</v>
      </c>
      <c r="D43" s="3" t="inlineStr">
        <is>
          <t>FAIL</t>
        </is>
      </c>
      <c r="E43" s="7">
        <f>IF(B43="I1",AVERAGEIF('QA_Images'!$A$2:$A$63,A43,'QA_Images'!$T$2:$T$63)/100,IF(D43="FULL",1,IF(D43="PARTIAL",0.5,IF(D43="FAIL",0,""))))</f>
        <v/>
      </c>
      <c r="F43" s="7">
        <f>IF(E43="",0,C43*E43)</f>
        <v/>
      </c>
      <c r="G43" s="7">
        <f>IF(B43="I1",20*AVERAGEIF('QA_Images'!$A$2:$A$63,A43,'QA_Images'!$U$2:$U$63)/100,IF(D43="NOT_CHECKED",0,C43))</f>
        <v/>
      </c>
      <c r="H43" s="3" t="inlineStr">
        <is>
          <t>Description SET có HTML đầy đủ nhưng chứa câu nội bộ 'This draft should be reviewed...' và dữ liệu nguồn thô/mâu thuẫn; chưa phải nội dung publish-ready.</t>
        </is>
      </c>
      <c r="I43" s="3" t="inlineStr">
        <is>
          <t>["evidence_batch_004_034", "https://jeminise.com/products/crocodile-patchwork-printed-quilts-animal-patchwork-bedding", "serp_qa_034"]</t>
        </is>
      </c>
      <c r="J43" s="3" t="inlineStr">
        <is>
          <t>["ISS-034-IMG-06", "ISS-034-DESC", "ISS-034-PERS", "ISS-034-DRAGONFLY", "ISS-034-ALLIGATOR", "ISS-034-ALTGEN"]</t>
        </is>
      </c>
    </row>
    <row r="44" ht="42" customHeight="1">
      <c r="A44" s="2" t="inlineStr">
        <is>
          <t>jeminise.com+crocodile-patchwork-printed-quilts-animal-patchwork-bedding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IF(B44="I1",AVERAGEIF('QA_Images'!$A$2:$A$63,A44,'QA_Images'!$T$2:$T$63)/100,IF(D44="FULL",1,IF(D44="PARTIAL",0.5,IF(D44="FAIL",0,""))))</f>
        <v/>
      </c>
      <c r="F44" s="5">
        <f>IF(E44="",0,C44*E44)</f>
        <v/>
      </c>
      <c r="G44" s="5">
        <f>IF(B44="I1",20*AVERAGEIF('QA_Images'!$A$2:$A$63,A44,'QA_Images'!$U$2:$U$63)/100,IF(D44="NOT_CHECKED",0,C44))</f>
        <v/>
      </c>
      <c r="H44" s="2" t="inlineStr">
        <is>
          <t>Tính từ trung bình 7 ảnh: 92.8571/100.</t>
        </is>
      </c>
      <c r="I44" s="2" t="inlineStr">
        <is>
          <t>["evidence_batch_004_034", "https://jeminise.com/products/crocodile-patchwork-printed-quilts-animal-patchwork-bedding", "serp_qa_034"]</t>
        </is>
      </c>
      <c r="J44" s="2" t="inlineStr">
        <is>
          <t>["ISS-034-IMG-06", "ISS-034-DESC", "ISS-034-PERS", "ISS-034-DRAGONFLY", "ISS-034-ALLIGATOR", "ISS-034-ALTGEN"]</t>
        </is>
      </c>
    </row>
    <row r="45" ht="42" customHeight="1">
      <c r="A45" s="3" t="inlineStr">
        <is>
          <t>jeminise.com+crocodile-patchwork-printed-quilts-animal-patchwork-bedding</t>
        </is>
      </c>
      <c r="B45" s="3" t="inlineStr">
        <is>
          <t>E1</t>
        </is>
      </c>
      <c r="C45" s="3" t="n">
        <v>5</v>
      </c>
      <c r="D45" s="3" t="inlineStr">
        <is>
          <t>FAIL</t>
        </is>
      </c>
      <c r="E45" s="7">
        <f>IF(B45="I1",AVERAGEIF('QA_Images'!$A$2:$A$63,A45,'QA_Images'!$T$2:$T$63)/100,IF(D45="FULL",1,IF(D45="PARTIAL",0.5,IF(D45="FAIL",0,""))))</f>
        <v/>
      </c>
      <c r="F45" s="7">
        <f>IF(E45="",0,C45*E45)</f>
        <v/>
      </c>
      <c r="G45" s="7">
        <f>IF(B45="I1",20*AVERAGEIF('QA_Images'!$A$2:$A$63,A45,'QA_Images'!$U$2:$U$63)/100,IF(D45="NOT_CHECKED",0,C45))</f>
        <v/>
      </c>
      <c r="H45" s="3" t="inlineStr">
        <is>
          <t>Kiểm tra chuỗi evidence và giới hạn do thiếu admin export/browser tương tác.</t>
        </is>
      </c>
      <c r="I45" s="3" t="inlineStr">
        <is>
          <t>["evidence_batch_004_034", "https://jeminise.com/products/crocodile-patchwork-printed-quilts-animal-patchwork-bedding", "serp_qa_034"]</t>
        </is>
      </c>
      <c r="J45" s="3" t="inlineStr">
        <is>
          <t>["ISS-034-IMG-06", "ISS-034-DESC", "ISS-034-PERS", "ISS-034-DRAGONFLY", "ISS-034-ALLIGATOR", "ISS-034-ALTGEN"]</t>
        </is>
      </c>
    </row>
    <row r="46" ht="42" customHeight="1">
      <c r="A46" s="2" t="inlineStr">
        <is>
          <t>jeminise.com+custom-retro-football-art-bedding-set-c66211cf75-c66211cf75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IF(B46="I1",AVERAGEIF('QA_Images'!$A$2:$A$63,A46,'QA_Images'!$T$2:$T$63)/100,IF(D46="FULL",1,IF(D46="PARTIAL",0.5,IF(D46="FAIL",0,""))))</f>
        <v/>
      </c>
      <c r="F46" s="5">
        <f>IF(E46="",0,C46*E46)</f>
        <v/>
      </c>
      <c r="G46" s="5">
        <f>IF(B46="I1",20*AVERAGEIF('QA_Images'!$A$2:$A$63,A46,'QA_Images'!$U$2:$U$63)/100,IF(D46="NOT_CHECKED",0,C46))</f>
        <v/>
      </c>
      <c r="H46" s="2" t="inlineStr">
        <is>
          <t>Đối chiếu loại sản phẩm, thiết kế và màu với product JSON, H1 live và toàn bộ gallery.</t>
        </is>
      </c>
      <c r="I46" s="2" t="inlineStr">
        <is>
          <t>["evidence_batch_004_035", "https://jeminise.com/products/custom-retro-football-art-bedding-set-c66211cf75-c66211cf75", "serp_qa_035"]</t>
        </is>
      </c>
      <c r="J46" s="2" t="inlineStr">
        <is>
          <t>["ISS-035-DESC", "ISS-035-PERS"]</t>
        </is>
      </c>
    </row>
    <row r="47" ht="42" customHeight="1">
      <c r="A47" s="3" t="inlineStr">
        <is>
          <t>jeminise.com+custom-retro-football-art-bedding-set-c66211cf75-c66211cf75</t>
        </is>
      </c>
      <c r="B47" s="3" t="inlineStr">
        <is>
          <t>P2</t>
        </is>
      </c>
      <c r="C47" s="3" t="n">
        <v>10</v>
      </c>
      <c r="D47" s="3" t="inlineStr">
        <is>
          <t>FAIL</t>
        </is>
      </c>
      <c r="E47" s="7">
        <f>IF(B47="I1",AVERAGEIF('QA_Images'!$A$2:$A$63,A47,'QA_Images'!$T$2:$T$63)/100,IF(D47="FULL",1,IF(D47="PARTIAL",0.5,IF(D47="FAIL",0,""))))</f>
        <v/>
      </c>
      <c r="F47" s="7">
        <f>IF(E47="",0,C47*E47)</f>
        <v/>
      </c>
      <c r="G47" s="7">
        <f>IF(B47="I1",20*AVERAGEIF('QA_Images'!$A$2:$A$63,A47,'QA_Images'!$U$2:$U$63)/100,IF(D47="NOT_CHECKED",0,C47))</f>
        <v/>
      </c>
      <c r="H47" s="3" t="inlineStr">
        <is>
          <t>Đối chiếu specifications, variants, components và personalization với product.js live, body HTML và ảnh.</t>
        </is>
      </c>
      <c r="I47" s="3" t="inlineStr">
        <is>
          <t>["evidence_batch_004_035", "https://jeminise.com/products/custom-retro-football-art-bedding-set-c66211cf75-c66211cf75", "serp_qa_035"]</t>
        </is>
      </c>
      <c r="J47" s="3" t="inlineStr">
        <is>
          <t>["ISS-035-DESC", "ISS-035-PERS"]</t>
        </is>
      </c>
    </row>
    <row r="48" ht="42" customHeight="1">
      <c r="A48" s="2" t="inlineStr">
        <is>
          <t>jeminise.com+custom-retro-football-art-bedding-set-c66211cf75-c66211cf75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IF(B48="I1",AVERAGEIF('QA_Images'!$A$2:$A$63,A48,'QA_Images'!$T$2:$T$63)/100,IF(D48="FULL",1,IF(D48="PARTIAL",0.5,IF(D48="FAIL",0,""))))</f>
        <v/>
      </c>
      <c r="F48" s="5">
        <f>IF(E48="",0,C48*E48)</f>
        <v/>
      </c>
      <c r="G48" s="5">
        <f>IF(B48="I1",20*AVERAGEIF('QA_Images'!$A$2:$A$63,A48,'QA_Images'!$U$2:$U$63)/100,IF(D48="NOT_CHECKED",0,C48))</f>
        <v/>
      </c>
      <c r="H48" s="2" t="inlineStr">
        <is>
          <t>Đối chiếu long-tail với thiết kế riêng và nguy cơ trùng intent trong cụm sản phẩm.</t>
        </is>
      </c>
      <c r="I48" s="2" t="inlineStr">
        <is>
          <t>["evidence_batch_004_035", "https://jeminise.com/products/custom-retro-football-art-bedding-set-c66211cf75-c66211cf75", "serp_qa_035"]</t>
        </is>
      </c>
      <c r="J48" s="2" t="inlineStr">
        <is>
          <t>["ISS-035-DESC", "ISS-035-PERS"]</t>
        </is>
      </c>
    </row>
    <row r="49" ht="42" customHeight="1">
      <c r="A49" s="3" t="inlineStr">
        <is>
          <t>jeminise.com+custom-retro-football-art-bedding-set-c66211cf75-c66211cf75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IF(B49="I1",AVERAGEIF('QA_Images'!$A$2:$A$63,A49,'QA_Images'!$T$2:$T$63)/100,IF(D49="FULL",1,IF(D49="PARTIAL",0.5,IF(D49="FAIL",0,""))))</f>
        <v/>
      </c>
      <c r="F49" s="7">
        <f>IF(E49="",0,C49*E49)</f>
        <v/>
      </c>
      <c r="G49" s="7">
        <f>IF(B49="I1",20*AVERAGEIF('QA_Images'!$A$2:$A$63,A49,'QA_Images'!$U$2:$U$63)/100,IF(D49="NOT_CHECKED",0,C49))</f>
        <v/>
      </c>
      <c r="H49" s="3" t="inlineStr">
        <is>
          <t>Đã đọc primary và comparator SERP theo US intent; không dùng claim volume.</t>
        </is>
      </c>
      <c r="I49" s="3" t="inlineStr">
        <is>
          <t>["evidence_batch_004_035", "https://jeminise.com/products/custom-retro-football-art-bedding-set-c66211cf75-c66211cf75", "serp_qa_035"]</t>
        </is>
      </c>
      <c r="J49" s="3" t="inlineStr">
        <is>
          <t>["ISS-035-DESC", "ISS-035-PERS"]</t>
        </is>
      </c>
    </row>
    <row r="50" ht="42" customHeight="1">
      <c r="A50" s="2" t="inlineStr">
        <is>
          <t>jeminise.com+custom-retro-football-art-bedding-set-c66211cf75-c66211cf75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5">
        <f>IF(B50="I1",AVERAGEIF('QA_Images'!$A$2:$A$63,A50,'QA_Images'!$T$2:$T$63)/100,IF(D50="FULL",1,IF(D50="PARTIAL",0.5,IF(D50="FAIL",0,""))))</f>
        <v/>
      </c>
      <c r="F50" s="5">
        <f>IF(E50="",0,C50*E50)</f>
        <v/>
      </c>
      <c r="G50" s="5">
        <f>IF(B50="I1",20*AVERAGEIF('QA_Images'!$A$2:$A$63,A50,'QA_Images'!$U$2:$U$63)/100,IF(D50="NOT_CHECKED",0,C50))</f>
        <v/>
      </c>
      <c r="H50" s="2" t="inlineStr">
        <is>
          <t>Không suy diễn volume; phân biệt SERP_ONLY và HYPOTHESIS_ONLY.</t>
        </is>
      </c>
      <c r="I50" s="2" t="inlineStr">
        <is>
          <t>["evidence_batch_004_035", "https://jeminise.com/products/custom-retro-football-art-bedding-set-c66211cf75-c66211cf75", "serp_qa_035"]</t>
        </is>
      </c>
      <c r="J50" s="2" t="inlineStr">
        <is>
          <t>["ISS-035-DESC", "ISS-035-PERS"]</t>
        </is>
      </c>
    </row>
    <row r="51" ht="42" customHeight="1">
      <c r="A51" s="3" t="inlineStr">
        <is>
          <t>jeminise.com+custom-retro-football-art-bedding-set-c66211cf75-c66211cf75</t>
        </is>
      </c>
      <c r="B51" s="3" t="inlineStr">
        <is>
          <t>T1</t>
        </is>
      </c>
      <c r="C51" s="3" t="n">
        <v>10</v>
      </c>
      <c r="D51" s="3" t="inlineStr">
        <is>
          <t>FAIL</t>
        </is>
      </c>
      <c r="E51" s="7">
        <f>IF(B51="I1",AVERAGEIF('QA_Images'!$A$2:$A$63,A51,'QA_Images'!$T$2:$T$63)/100,IF(D51="FULL",1,IF(D51="PARTIAL",0.5,IF(D51="FAIL",0,""))))</f>
        <v/>
      </c>
      <c r="F51" s="7">
        <f>IF(E51="",0,C51*E51)</f>
        <v/>
      </c>
      <c r="G51" s="7">
        <f>IF(B51="I1",20*AVERAGEIF('QA_Images'!$A$2:$A$63,A51,'QA_Images'!$U$2:$U$63)/100,IF(D51="NOT_CHECKED",0,C51))</f>
        <v/>
      </c>
      <c r="H51" s="3" t="inlineStr">
        <is>
          <t>Đánh giá SEO title English về độ đúng, tự nhiên, keyword và điểm phân biệt.</t>
        </is>
      </c>
      <c r="I51" s="3" t="inlineStr">
        <is>
          <t>["evidence_batch_004_035", "https://jeminise.com/products/custom-retro-football-art-bedding-set-c66211cf75-c66211cf75", "serp_qa_035"]</t>
        </is>
      </c>
      <c r="J51" s="3" t="inlineStr">
        <is>
          <t>["ISS-035-DESC", "ISS-035-PERS"]</t>
        </is>
      </c>
    </row>
    <row r="52" ht="42" customHeight="1">
      <c r="A52" s="2" t="inlineStr">
        <is>
          <t>jeminise.com+custom-retro-football-art-bedding-set-c66211cf75-c66211cf75</t>
        </is>
      </c>
      <c r="B52" s="2" t="inlineStr">
        <is>
          <t>T2</t>
        </is>
      </c>
      <c r="C52" s="2" t="n">
        <v>5</v>
      </c>
      <c r="D52" s="2" t="inlineStr">
        <is>
          <t>FAIL</t>
        </is>
      </c>
      <c r="E52" s="5">
        <f>IF(B52="I1",AVERAGEIF('QA_Images'!$A$2:$A$63,A52,'QA_Images'!$T$2:$T$63)/100,IF(D52="FULL",1,IF(D52="PARTIAL",0.5,IF(D52="FAIL",0,""))))</f>
        <v/>
      </c>
      <c r="F52" s="5">
        <f>IF(E52="",0,C52*E52)</f>
        <v/>
      </c>
      <c r="G52" s="5">
        <f>IF(B52="I1",20*AVERAGEIF('QA_Images'!$A$2:$A$63,A52,'QA_Images'!$U$2:$U$63)/100,IF(D52="NOT_CHECKED",0,C52))</f>
        <v/>
      </c>
      <c r="H52" s="2" t="inlineStr">
        <is>
          <t>Đánh giá H1 đề xuất độc lập với SEO title và đối chiếu lỗi ký tự nguồn.</t>
        </is>
      </c>
      <c r="I52" s="2" t="inlineStr">
        <is>
          <t>["evidence_batch_004_035", "https://jeminise.com/products/custom-retro-football-art-bedding-set-c66211cf75-c66211cf75", "serp_qa_035"]</t>
        </is>
      </c>
      <c r="J52" s="2" t="inlineStr">
        <is>
          <t>["ISS-035-DESC", "ISS-035-PERS"]</t>
        </is>
      </c>
    </row>
    <row r="53" ht="42" customHeight="1">
      <c r="A53" s="3" t="inlineStr">
        <is>
          <t>jeminise.com+custom-retro-football-art-bedding-set-c66211cf75-c66211cf75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IF(B53="I1",AVERAGEIF('QA_Images'!$A$2:$A$63,A53,'QA_Images'!$T$2:$T$63)/100,IF(D53="FULL",1,IF(D53="PARTIAL",0.5,IF(D53="FAIL",0,""))))</f>
        <v/>
      </c>
      <c r="F53" s="7">
        <f>IF(E53="",0,C53*E53)</f>
        <v/>
      </c>
      <c r="G53" s="7">
        <f>IF(B53="I1",20*AVERAGEIF('QA_Images'!$A$2:$A$63,A53,'QA_Images'!$U$2:$U$63)/100,IF(D53="NOT_CHECKED",0,C53))</f>
        <v/>
      </c>
      <c r="H53" s="3" t="inlineStr">
        <is>
          <t>Đánh giá meta description về tính cụ thể và căn cứ claim.</t>
        </is>
      </c>
      <c r="I53" s="3" t="inlineStr">
        <is>
          <t>["evidence_batch_004_035", "https://jeminise.com/products/custom-retro-football-art-bedding-set-c66211cf75-c66211cf75", "serp_qa_035"]</t>
        </is>
      </c>
      <c r="J53" s="3" t="inlineStr">
        <is>
          <t>["ISS-035-DESC", "ISS-035-PERS"]</t>
        </is>
      </c>
    </row>
    <row r="54" ht="42" customHeight="1">
      <c r="A54" s="2" t="inlineStr">
        <is>
          <t>jeminise.com+custom-retro-football-art-bedding-set-c66211cf75-c66211cf75</t>
        </is>
      </c>
      <c r="B54" s="2" t="inlineStr">
        <is>
          <t>D2</t>
        </is>
      </c>
      <c r="C54" s="2" t="n">
        <v>10</v>
      </c>
      <c r="D54" s="2" t="inlineStr">
        <is>
          <t>FAIL</t>
        </is>
      </c>
      <c r="E54" s="5">
        <f>IF(B54="I1",AVERAGEIF('QA_Images'!$A$2:$A$63,A54,'QA_Images'!$T$2:$T$63)/100,IF(D54="FULL",1,IF(D54="PARTIAL",0.5,IF(D54="FAIL",0,""))))</f>
        <v/>
      </c>
      <c r="F54" s="5">
        <f>IF(E54="",0,C54*E54)</f>
        <v/>
      </c>
      <c r="G54" s="5">
        <f>IF(B54="I1",20*AVERAGEIF('QA_Images'!$A$2:$A$63,A54,'QA_Images'!$U$2:$U$63)/100,IF(D54="NOT_CHECKED",0,C54))</f>
        <v/>
      </c>
      <c r="H54" s="2" t="inlineStr">
        <is>
          <t>Description SET có HTML đầy đủ nhưng chứa câu nội bộ 'This draft should be reviewed...' và dữ liệu nguồn thô/mâu thuẫn; chưa phải nội dung publish-ready.</t>
        </is>
      </c>
      <c r="I54" s="2" t="inlineStr">
        <is>
          <t>["evidence_batch_004_035", "https://jeminise.com/products/custom-retro-football-art-bedding-set-c66211cf75-c66211cf75", "serp_qa_035"]</t>
        </is>
      </c>
      <c r="J54" s="2" t="inlineStr">
        <is>
          <t>["ISS-035-DESC", "ISS-035-PERS"]</t>
        </is>
      </c>
    </row>
    <row r="55" ht="42" customHeight="1">
      <c r="A55" s="3" t="inlineStr">
        <is>
          <t>jeminise.com+custom-retro-football-art-bedding-set-c66211cf75-c66211cf75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IF(B55="I1",AVERAGEIF('QA_Images'!$A$2:$A$63,A55,'QA_Images'!$T$2:$T$63)/100,IF(D55="FULL",1,IF(D55="PARTIAL",0.5,IF(D55="FAIL",0,""))))</f>
        <v/>
      </c>
      <c r="F55" s="7">
        <f>IF(E55="",0,C55*E55)</f>
        <v/>
      </c>
      <c r="G55" s="7">
        <f>IF(B55="I1",20*AVERAGEIF('QA_Images'!$A$2:$A$63,A55,'QA_Images'!$U$2:$U$63)/100,IF(D55="NOT_CHECKED",0,C55))</f>
        <v/>
      </c>
      <c r="H55" s="3" t="inlineStr">
        <is>
          <t>Tính từ trung bình 6 ảnh: 100.0000/100.</t>
        </is>
      </c>
      <c r="I55" s="3" t="inlineStr">
        <is>
          <t>["evidence_batch_004_035", "https://jeminise.com/products/custom-retro-football-art-bedding-set-c66211cf75-c66211cf75", "serp_qa_035"]</t>
        </is>
      </c>
      <c r="J55" s="3" t="inlineStr">
        <is>
          <t>["ISS-035-DESC", "ISS-035-PERS"]</t>
        </is>
      </c>
    </row>
    <row r="56" ht="42" customHeight="1">
      <c r="A56" s="2" t="inlineStr">
        <is>
          <t>jeminise.com+custom-retro-football-art-bedding-set-c66211cf75-c66211cf75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5">
        <f>IF(B56="I1",AVERAGEIF('QA_Images'!$A$2:$A$63,A56,'QA_Images'!$T$2:$T$63)/100,IF(D56="FULL",1,IF(D56="PARTIAL",0.5,IF(D56="FAIL",0,""))))</f>
        <v/>
      </c>
      <c r="F56" s="5">
        <f>IF(E56="",0,C56*E56)</f>
        <v/>
      </c>
      <c r="G56" s="5">
        <f>IF(B56="I1",20*AVERAGEIF('QA_Images'!$A$2:$A$63,A56,'QA_Images'!$U$2:$U$63)/100,IF(D56="NOT_CHECKED",0,C56))</f>
        <v/>
      </c>
      <c r="H56" s="2" t="inlineStr">
        <is>
          <t>Kiểm tra chuỗi evidence và giới hạn do thiếu admin export/browser tương tác.</t>
        </is>
      </c>
      <c r="I56" s="2" t="inlineStr">
        <is>
          <t>["evidence_batch_004_035", "https://jeminise.com/products/custom-retro-football-art-bedding-set-c66211cf75-c66211cf75", "serp_qa_035"]</t>
        </is>
      </c>
      <c r="J56" s="2" t="inlineStr">
        <is>
          <t>["ISS-035-DESC", "ISS-035-PERS"]</t>
        </is>
      </c>
    </row>
    <row r="57" ht="42" customHeight="1">
      <c r="A57" s="3" t="inlineStr">
        <is>
          <t>jeminise.com+custom-american-football-close-up-on-grunge-vintage-comforter-26540e3264-26540e3264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IF(B57="I1",AVERAGEIF('QA_Images'!$A$2:$A$63,A57,'QA_Images'!$T$2:$T$63)/100,IF(D57="FULL",1,IF(D57="PARTIAL",0.5,IF(D57="FAIL",0,""))))</f>
        <v/>
      </c>
      <c r="F57" s="7">
        <f>IF(E57="",0,C57*E57)</f>
        <v/>
      </c>
      <c r="G57" s="7">
        <f>IF(B57="I1",20*AVERAGEIF('QA_Images'!$A$2:$A$63,A57,'QA_Images'!$U$2:$U$63)/100,IF(D57="NOT_CHECKED",0,C57))</f>
        <v/>
      </c>
      <c r="H57" s="3" t="inlineStr">
        <is>
          <t>Đối chiếu loại sản phẩm, thiết kế và màu với product JSON, H1 live và toàn bộ gallery.</t>
        </is>
      </c>
      <c r="I57" s="3" t="inlineStr">
        <is>
          <t>["evidence_batch_004_036", "https://jeminise.com/products/custom-american-football-close-up-on-grunge-vintage-comforter-26540e3264-26540e3264", "serp_qa_036"]</t>
        </is>
      </c>
      <c r="J57" s="3" t="inlineStr">
        <is>
          <t>["ISS-036-DESC", "ISS-036-PERS"]</t>
        </is>
      </c>
    </row>
    <row r="58" ht="42" customHeight="1">
      <c r="A58" s="2" t="inlineStr">
        <is>
          <t>jeminise.com+custom-american-football-close-up-on-grunge-vintage-comforter-26540e3264-26540e3264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5">
        <f>IF(B58="I1",AVERAGEIF('QA_Images'!$A$2:$A$63,A58,'QA_Images'!$T$2:$T$63)/100,IF(D58="FULL",1,IF(D58="PARTIAL",0.5,IF(D58="FAIL",0,""))))</f>
        <v/>
      </c>
      <c r="F58" s="5">
        <f>IF(E58="",0,C58*E58)</f>
        <v/>
      </c>
      <c r="G58" s="5">
        <f>IF(B58="I1",20*AVERAGEIF('QA_Images'!$A$2:$A$63,A58,'QA_Images'!$U$2:$U$63)/100,IF(D58="NOT_CHECKED",0,C58))</f>
        <v/>
      </c>
      <c r="H58" s="2" t="inlineStr">
        <is>
          <t>Đối chiếu specifications, variants, components và personalization với product.js live, body HTML và ảnh.</t>
        </is>
      </c>
      <c r="I58" s="2" t="inlineStr">
        <is>
          <t>["evidence_batch_004_036", "https://jeminise.com/products/custom-american-football-close-up-on-grunge-vintage-comforter-26540e3264-26540e3264", "serp_qa_036"]</t>
        </is>
      </c>
      <c r="J58" s="2" t="inlineStr">
        <is>
          <t>["ISS-036-DESC", "ISS-036-PERS"]</t>
        </is>
      </c>
    </row>
    <row r="59" ht="42" customHeight="1">
      <c r="A59" s="3" t="inlineStr">
        <is>
          <t>jeminise.com+custom-american-football-close-up-on-grunge-vintage-comforter-26540e3264-26540e3264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IF(B59="I1",AVERAGEIF('QA_Images'!$A$2:$A$63,A59,'QA_Images'!$T$2:$T$63)/100,IF(D59="FULL",1,IF(D59="PARTIAL",0.5,IF(D59="FAIL",0,""))))</f>
        <v/>
      </c>
      <c r="F59" s="7">
        <f>IF(E59="",0,C59*E59)</f>
        <v/>
      </c>
      <c r="G59" s="7">
        <f>IF(B59="I1",20*AVERAGEIF('QA_Images'!$A$2:$A$63,A59,'QA_Images'!$U$2:$U$63)/100,IF(D59="NOT_CHECKED",0,C59))</f>
        <v/>
      </c>
      <c r="H59" s="3" t="inlineStr">
        <is>
          <t>Đối chiếu long-tail với thiết kế riêng và nguy cơ trùng intent trong cụm sản phẩm.</t>
        </is>
      </c>
      <c r="I59" s="3" t="inlineStr">
        <is>
          <t>["evidence_batch_004_036", "https://jeminise.com/products/custom-american-football-close-up-on-grunge-vintage-comforter-26540e3264-26540e3264", "serp_qa_036"]</t>
        </is>
      </c>
      <c r="J59" s="3" t="inlineStr">
        <is>
          <t>["ISS-036-DESC", "ISS-036-PERS"]</t>
        </is>
      </c>
    </row>
    <row r="60" ht="42" customHeight="1">
      <c r="A60" s="2" t="inlineStr">
        <is>
          <t>jeminise.com+custom-american-football-close-up-on-grunge-vintage-comforter-26540e3264-26540e3264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IF(B60="I1",AVERAGEIF('QA_Images'!$A$2:$A$63,A60,'QA_Images'!$T$2:$T$63)/100,IF(D60="FULL",1,IF(D60="PARTIAL",0.5,IF(D60="FAIL",0,""))))</f>
        <v/>
      </c>
      <c r="F60" s="5">
        <f>IF(E60="",0,C60*E60)</f>
        <v/>
      </c>
      <c r="G60" s="5">
        <f>IF(B60="I1",20*AVERAGEIF('QA_Images'!$A$2:$A$63,A60,'QA_Images'!$U$2:$U$63)/100,IF(D60="NOT_CHECKED",0,C60))</f>
        <v/>
      </c>
      <c r="H60" s="2" t="inlineStr">
        <is>
          <t>Đã đọc primary và comparator SERP theo US intent; không dùng claim volume.</t>
        </is>
      </c>
      <c r="I60" s="2" t="inlineStr">
        <is>
          <t>["evidence_batch_004_036", "https://jeminise.com/products/custom-american-football-close-up-on-grunge-vintage-comforter-26540e3264-26540e3264", "serp_qa_036"]</t>
        </is>
      </c>
      <c r="J60" s="2" t="inlineStr">
        <is>
          <t>["ISS-036-DESC", "ISS-036-PERS"]</t>
        </is>
      </c>
    </row>
    <row r="61" ht="42" customHeight="1">
      <c r="A61" s="3" t="inlineStr">
        <is>
          <t>jeminise.com+custom-american-football-close-up-on-grunge-vintage-comforter-26540e3264-26540e3264</t>
        </is>
      </c>
      <c r="B61" s="3" t="inlineStr">
        <is>
          <t>K3</t>
        </is>
      </c>
      <c r="C61" s="3" t="n">
        <v>5</v>
      </c>
      <c r="D61" s="3" t="inlineStr">
        <is>
          <t>FULL</t>
        </is>
      </c>
      <c r="E61" s="7">
        <f>IF(B61="I1",AVERAGEIF('QA_Images'!$A$2:$A$63,A61,'QA_Images'!$T$2:$T$63)/100,IF(D61="FULL",1,IF(D61="PARTIAL",0.5,IF(D61="FAIL",0,""))))</f>
        <v/>
      </c>
      <c r="F61" s="7">
        <f>IF(E61="",0,C61*E61)</f>
        <v/>
      </c>
      <c r="G61" s="7">
        <f>IF(B61="I1",20*AVERAGEIF('QA_Images'!$A$2:$A$63,A61,'QA_Images'!$U$2:$U$63)/100,IF(D61="NOT_CHECKED",0,C61))</f>
        <v/>
      </c>
      <c r="H61" s="3" t="inlineStr">
        <is>
          <t>Không suy diễn volume; phân biệt SERP_ONLY và HYPOTHESIS_ONLY.</t>
        </is>
      </c>
      <c r="I61" s="3" t="inlineStr">
        <is>
          <t>["evidence_batch_004_036", "https://jeminise.com/products/custom-american-football-close-up-on-grunge-vintage-comforter-26540e3264-26540e3264", "serp_qa_036"]</t>
        </is>
      </c>
      <c r="J61" s="3" t="inlineStr">
        <is>
          <t>["ISS-036-DESC", "ISS-036-PERS"]</t>
        </is>
      </c>
    </row>
    <row r="62" ht="42" customHeight="1">
      <c r="A62" s="2" t="inlineStr">
        <is>
          <t>jeminise.com+custom-american-football-close-up-on-grunge-vintage-comforter-26540e3264-26540e3264</t>
        </is>
      </c>
      <c r="B62" s="2" t="inlineStr">
        <is>
          <t>T1</t>
        </is>
      </c>
      <c r="C62" s="2" t="n">
        <v>10</v>
      </c>
      <c r="D62" s="2" t="inlineStr">
        <is>
          <t>FAIL</t>
        </is>
      </c>
      <c r="E62" s="5">
        <f>IF(B62="I1",AVERAGEIF('QA_Images'!$A$2:$A$63,A62,'QA_Images'!$T$2:$T$63)/100,IF(D62="FULL",1,IF(D62="PARTIAL",0.5,IF(D62="FAIL",0,""))))</f>
        <v/>
      </c>
      <c r="F62" s="5">
        <f>IF(E62="",0,C62*E62)</f>
        <v/>
      </c>
      <c r="G62" s="5">
        <f>IF(B62="I1",20*AVERAGEIF('QA_Images'!$A$2:$A$63,A62,'QA_Images'!$U$2:$U$63)/100,IF(D62="NOT_CHECKED",0,C62))</f>
        <v/>
      </c>
      <c r="H62" s="2" t="inlineStr">
        <is>
          <t>Đánh giá SEO title English về độ đúng, tự nhiên, keyword và điểm phân biệt.</t>
        </is>
      </c>
      <c r="I62" s="2" t="inlineStr">
        <is>
          <t>["evidence_batch_004_036", "https://jeminise.com/products/custom-american-football-close-up-on-grunge-vintage-comforter-26540e3264-26540e3264", "serp_qa_036"]</t>
        </is>
      </c>
      <c r="J62" s="2" t="inlineStr">
        <is>
          <t>["ISS-036-DESC", "ISS-036-PERS"]</t>
        </is>
      </c>
    </row>
    <row r="63" ht="42" customHeight="1">
      <c r="A63" s="3" t="inlineStr">
        <is>
          <t>jeminise.com+custom-american-football-close-up-on-grunge-vintage-comforter-26540e3264-26540e3264</t>
        </is>
      </c>
      <c r="B63" s="3" t="inlineStr">
        <is>
          <t>T2</t>
        </is>
      </c>
      <c r="C63" s="3" t="n">
        <v>5</v>
      </c>
      <c r="D63" s="3" t="inlineStr">
        <is>
          <t>FAIL</t>
        </is>
      </c>
      <c r="E63" s="7">
        <f>IF(B63="I1",AVERAGEIF('QA_Images'!$A$2:$A$63,A63,'QA_Images'!$T$2:$T$63)/100,IF(D63="FULL",1,IF(D63="PARTIAL",0.5,IF(D63="FAIL",0,""))))</f>
        <v/>
      </c>
      <c r="F63" s="7">
        <f>IF(E63="",0,C63*E63)</f>
        <v/>
      </c>
      <c r="G63" s="7">
        <f>IF(B63="I1",20*AVERAGEIF('QA_Images'!$A$2:$A$63,A63,'QA_Images'!$U$2:$U$63)/100,IF(D63="NOT_CHECKED",0,C63))</f>
        <v/>
      </c>
      <c r="H63" s="3" t="inlineStr">
        <is>
          <t>Đánh giá H1 đề xuất độc lập với SEO title và đối chiếu lỗi ký tự nguồn.</t>
        </is>
      </c>
      <c r="I63" s="3" t="inlineStr">
        <is>
          <t>["evidence_batch_004_036", "https://jeminise.com/products/custom-american-football-close-up-on-grunge-vintage-comforter-26540e3264-26540e3264", "serp_qa_036"]</t>
        </is>
      </c>
      <c r="J63" s="3" t="inlineStr">
        <is>
          <t>["ISS-036-DESC", "ISS-036-PERS"]</t>
        </is>
      </c>
    </row>
    <row r="64" ht="42" customHeight="1">
      <c r="A64" s="2" t="inlineStr">
        <is>
          <t>jeminise.com+custom-american-football-close-up-on-grunge-vintage-comforter-26540e3264-26540e3264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IF(B64="I1",AVERAGEIF('QA_Images'!$A$2:$A$63,A64,'QA_Images'!$T$2:$T$63)/100,IF(D64="FULL",1,IF(D64="PARTIAL",0.5,IF(D64="FAIL",0,""))))</f>
        <v/>
      </c>
      <c r="F64" s="5">
        <f>IF(E64="",0,C64*E64)</f>
        <v/>
      </c>
      <c r="G64" s="5">
        <f>IF(B64="I1",20*AVERAGEIF('QA_Images'!$A$2:$A$63,A64,'QA_Images'!$U$2:$U$63)/100,IF(D64="NOT_CHECKED",0,C64))</f>
        <v/>
      </c>
      <c r="H64" s="2" t="inlineStr">
        <is>
          <t>Đánh giá meta description về tính cụ thể và căn cứ claim.</t>
        </is>
      </c>
      <c r="I64" s="2" t="inlineStr">
        <is>
          <t>["evidence_batch_004_036", "https://jeminise.com/products/custom-american-football-close-up-on-grunge-vintage-comforter-26540e3264-26540e3264", "serp_qa_036"]</t>
        </is>
      </c>
      <c r="J64" s="2" t="inlineStr">
        <is>
          <t>["ISS-036-DESC", "ISS-036-PERS"]</t>
        </is>
      </c>
    </row>
    <row r="65" ht="42" customHeight="1">
      <c r="A65" s="3" t="inlineStr">
        <is>
          <t>jeminise.com+custom-american-football-close-up-on-grunge-vintage-comforter-26540e3264-26540e3264</t>
        </is>
      </c>
      <c r="B65" s="3" t="inlineStr">
        <is>
          <t>D2</t>
        </is>
      </c>
      <c r="C65" s="3" t="n">
        <v>10</v>
      </c>
      <c r="D65" s="3" t="inlineStr">
        <is>
          <t>FAIL</t>
        </is>
      </c>
      <c r="E65" s="7">
        <f>IF(B65="I1",AVERAGEIF('QA_Images'!$A$2:$A$63,A65,'QA_Images'!$T$2:$T$63)/100,IF(D65="FULL",1,IF(D65="PARTIAL",0.5,IF(D65="FAIL",0,""))))</f>
        <v/>
      </c>
      <c r="F65" s="7">
        <f>IF(E65="",0,C65*E65)</f>
        <v/>
      </c>
      <c r="G65" s="7">
        <f>IF(B65="I1",20*AVERAGEIF('QA_Images'!$A$2:$A$63,A65,'QA_Images'!$U$2:$U$63)/100,IF(D65="NOT_CHECKED",0,C65))</f>
        <v/>
      </c>
      <c r="H65" s="3" t="inlineStr">
        <is>
          <t>Description SET có HTML đầy đủ nhưng chứa câu nội bộ 'This draft should be reviewed...' và dữ liệu nguồn thô/mâu thuẫn; chưa phải nội dung publish-ready.</t>
        </is>
      </c>
      <c r="I65" s="3" t="inlineStr">
        <is>
          <t>["evidence_batch_004_036", "https://jeminise.com/products/custom-american-football-close-up-on-grunge-vintage-comforter-26540e3264-26540e3264", "serp_qa_036"]</t>
        </is>
      </c>
      <c r="J65" s="3" t="inlineStr">
        <is>
          <t>["ISS-036-DESC", "ISS-036-PERS"]</t>
        </is>
      </c>
    </row>
    <row r="66" ht="42" customHeight="1">
      <c r="A66" s="2" t="inlineStr">
        <is>
          <t>jeminise.com+custom-american-football-close-up-on-grunge-vintage-comforter-26540e3264-26540e3264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IF(B66="I1",AVERAGEIF('QA_Images'!$A$2:$A$63,A66,'QA_Images'!$T$2:$T$63)/100,IF(D66="FULL",1,IF(D66="PARTIAL",0.5,IF(D66="FAIL",0,""))))</f>
        <v/>
      </c>
      <c r="F66" s="5">
        <f>IF(E66="",0,C66*E66)</f>
        <v/>
      </c>
      <c r="G66" s="5">
        <f>IF(B66="I1",20*AVERAGEIF('QA_Images'!$A$2:$A$63,A66,'QA_Images'!$U$2:$U$63)/100,IF(D66="NOT_CHECKED",0,C66))</f>
        <v/>
      </c>
      <c r="H66" s="2" t="inlineStr">
        <is>
          <t>Tính từ trung bình 6 ảnh: 100.0000/100.</t>
        </is>
      </c>
      <c r="I66" s="2" t="inlineStr">
        <is>
          <t>["evidence_batch_004_036", "https://jeminise.com/products/custom-american-football-close-up-on-grunge-vintage-comforter-26540e3264-26540e3264", "serp_qa_036"]</t>
        </is>
      </c>
      <c r="J66" s="2" t="inlineStr">
        <is>
          <t>["ISS-036-DESC", "ISS-036-PERS"]</t>
        </is>
      </c>
    </row>
    <row r="67" ht="42" customHeight="1">
      <c r="A67" s="3" t="inlineStr">
        <is>
          <t>jeminise.com+custom-american-football-close-up-on-grunge-vintage-comforter-26540e3264-26540e3264</t>
        </is>
      </c>
      <c r="B67" s="3" t="inlineStr">
        <is>
          <t>E1</t>
        </is>
      </c>
      <c r="C67" s="3" t="n">
        <v>5</v>
      </c>
      <c r="D67" s="3" t="inlineStr">
        <is>
          <t>PARTIAL</t>
        </is>
      </c>
      <c r="E67" s="7">
        <f>IF(B67="I1",AVERAGEIF('QA_Images'!$A$2:$A$63,A67,'QA_Images'!$T$2:$T$63)/100,IF(D67="FULL",1,IF(D67="PARTIAL",0.5,IF(D67="FAIL",0,""))))</f>
        <v/>
      </c>
      <c r="F67" s="7">
        <f>IF(E67="",0,C67*E67)</f>
        <v/>
      </c>
      <c r="G67" s="7">
        <f>IF(B67="I1",20*AVERAGEIF('QA_Images'!$A$2:$A$63,A67,'QA_Images'!$U$2:$U$63)/100,IF(D67="NOT_CHECKED",0,C67))</f>
        <v/>
      </c>
      <c r="H67" s="3" t="inlineStr">
        <is>
          <t>Kiểm tra chuỗi evidence và giới hạn do thiếu admin export/browser tương tác.</t>
        </is>
      </c>
      <c r="I67" s="3" t="inlineStr">
        <is>
          <t>["evidence_batch_004_036", "https://jeminise.com/products/custom-american-football-close-up-on-grunge-vintage-comforter-26540e3264-26540e3264", "serp_qa_036"]</t>
        </is>
      </c>
      <c r="J67" s="3" t="inlineStr">
        <is>
          <t>["ISS-036-DESC", "ISS-036-PERS"]</t>
        </is>
      </c>
    </row>
    <row r="68" ht="42" customHeight="1">
      <c r="A68" s="2" t="inlineStr">
        <is>
          <t>jeminise.com+custom-american-football-on-cosmic-background-vintage-comforter-62a3849621-62a3849621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IF(B68="I1",AVERAGEIF('QA_Images'!$A$2:$A$63,A68,'QA_Images'!$T$2:$T$63)/100,IF(D68="FULL",1,IF(D68="PARTIAL",0.5,IF(D68="FAIL",0,""))))</f>
        <v/>
      </c>
      <c r="F68" s="5">
        <f>IF(E68="",0,C68*E68)</f>
        <v/>
      </c>
      <c r="G68" s="5">
        <f>IF(B68="I1",20*AVERAGEIF('QA_Images'!$A$2:$A$63,A68,'QA_Images'!$U$2:$U$63)/100,IF(D68="NOT_CHECKED",0,C68))</f>
        <v/>
      </c>
      <c r="H68" s="2" t="inlineStr">
        <is>
          <t>Đối chiếu loại sản phẩm, thiết kế và màu với product JSON, H1 live và toàn bộ gallery.</t>
        </is>
      </c>
      <c r="I68" s="2" t="inlineStr">
        <is>
          <t>["evidence_batch_004_037", "https://jeminise.com/products/custom-american-football-on-cosmic-background-vintage-comforter-62a3849621-62a3849621", "serp_qa_037"]</t>
        </is>
      </c>
      <c r="J68" s="2" t="inlineStr">
        <is>
          <t>["ISS-037-DESC", "ISS-037-PERS"]</t>
        </is>
      </c>
    </row>
    <row r="69" ht="42" customHeight="1">
      <c r="A69" s="3" t="inlineStr">
        <is>
          <t>jeminise.com+custom-american-football-on-cosmic-background-vintage-comforter-62a3849621-62a3849621</t>
        </is>
      </c>
      <c r="B69" s="3" t="inlineStr">
        <is>
          <t>P2</t>
        </is>
      </c>
      <c r="C69" s="3" t="n">
        <v>10</v>
      </c>
      <c r="D69" s="3" t="inlineStr">
        <is>
          <t>FAIL</t>
        </is>
      </c>
      <c r="E69" s="7">
        <f>IF(B69="I1",AVERAGEIF('QA_Images'!$A$2:$A$63,A69,'QA_Images'!$T$2:$T$63)/100,IF(D69="FULL",1,IF(D69="PARTIAL",0.5,IF(D69="FAIL",0,""))))</f>
        <v/>
      </c>
      <c r="F69" s="7">
        <f>IF(E69="",0,C69*E69)</f>
        <v/>
      </c>
      <c r="G69" s="7">
        <f>IF(B69="I1",20*AVERAGEIF('QA_Images'!$A$2:$A$63,A69,'QA_Images'!$U$2:$U$63)/100,IF(D69="NOT_CHECKED",0,C69))</f>
        <v/>
      </c>
      <c r="H69" s="3" t="inlineStr">
        <is>
          <t>Đối chiếu specifications, variants, components và personalization với product.js live, body HTML và ảnh.</t>
        </is>
      </c>
      <c r="I69" s="3" t="inlineStr">
        <is>
          <t>["evidence_batch_004_037", "https://jeminise.com/products/custom-american-football-on-cosmic-background-vintage-comforter-62a3849621-62a3849621", "serp_qa_037"]</t>
        </is>
      </c>
      <c r="J69" s="3" t="inlineStr">
        <is>
          <t>["ISS-037-DESC", "ISS-037-PERS"]</t>
        </is>
      </c>
    </row>
    <row r="70" ht="42" customHeight="1">
      <c r="A70" s="2" t="inlineStr">
        <is>
          <t>jeminise.com+custom-american-football-on-cosmic-background-vintage-comforter-62a3849621-62a3849621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IF(B70="I1",AVERAGEIF('QA_Images'!$A$2:$A$63,A70,'QA_Images'!$T$2:$T$63)/100,IF(D70="FULL",1,IF(D70="PARTIAL",0.5,IF(D70="FAIL",0,""))))</f>
        <v/>
      </c>
      <c r="F70" s="5">
        <f>IF(E70="",0,C70*E70)</f>
        <v/>
      </c>
      <c r="G70" s="5">
        <f>IF(B70="I1",20*AVERAGEIF('QA_Images'!$A$2:$A$63,A70,'QA_Images'!$U$2:$U$63)/100,IF(D70="NOT_CHECKED",0,C70))</f>
        <v/>
      </c>
      <c r="H70" s="2" t="inlineStr">
        <is>
          <t>Đối chiếu long-tail với thiết kế riêng và nguy cơ trùng intent trong cụm sản phẩm.</t>
        </is>
      </c>
      <c r="I70" s="2" t="inlineStr">
        <is>
          <t>["evidence_batch_004_037", "https://jeminise.com/products/custom-american-football-on-cosmic-background-vintage-comforter-62a3849621-62a3849621", "serp_qa_037"]</t>
        </is>
      </c>
      <c r="J70" s="2" t="inlineStr">
        <is>
          <t>["ISS-037-DESC", "ISS-037-PERS"]</t>
        </is>
      </c>
    </row>
    <row r="71" ht="42" customHeight="1">
      <c r="A71" s="3" t="inlineStr">
        <is>
          <t>jeminise.com+custom-american-football-on-cosmic-background-vintage-comforter-62a3849621-62a3849621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IF(B71="I1",AVERAGEIF('QA_Images'!$A$2:$A$63,A71,'QA_Images'!$T$2:$T$63)/100,IF(D71="FULL",1,IF(D71="PARTIAL",0.5,IF(D71="FAIL",0,""))))</f>
        <v/>
      </c>
      <c r="F71" s="7">
        <f>IF(E71="",0,C71*E71)</f>
        <v/>
      </c>
      <c r="G71" s="7">
        <f>IF(B71="I1",20*AVERAGEIF('QA_Images'!$A$2:$A$63,A71,'QA_Images'!$U$2:$U$63)/100,IF(D71="NOT_CHECKED",0,C71))</f>
        <v/>
      </c>
      <c r="H71" s="3" t="inlineStr">
        <is>
          <t>Đã đọc primary và comparator SERP theo US intent; không dùng claim volume.</t>
        </is>
      </c>
      <c r="I71" s="3" t="inlineStr">
        <is>
          <t>["evidence_batch_004_037", "https://jeminise.com/products/custom-american-football-on-cosmic-background-vintage-comforter-62a3849621-62a3849621", "serp_qa_037"]</t>
        </is>
      </c>
      <c r="J71" s="3" t="inlineStr">
        <is>
          <t>["ISS-037-DESC", "ISS-037-PERS"]</t>
        </is>
      </c>
    </row>
    <row r="72" ht="42" customHeight="1">
      <c r="A72" s="2" t="inlineStr">
        <is>
          <t>jeminise.com+custom-american-football-on-cosmic-background-vintage-comforter-62a3849621-62a3849621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5">
        <f>IF(B72="I1",AVERAGEIF('QA_Images'!$A$2:$A$63,A72,'QA_Images'!$T$2:$T$63)/100,IF(D72="FULL",1,IF(D72="PARTIAL",0.5,IF(D72="FAIL",0,""))))</f>
        <v/>
      </c>
      <c r="F72" s="5">
        <f>IF(E72="",0,C72*E72)</f>
        <v/>
      </c>
      <c r="G72" s="5">
        <f>IF(B72="I1",20*AVERAGEIF('QA_Images'!$A$2:$A$63,A72,'QA_Images'!$U$2:$U$63)/100,IF(D72="NOT_CHECKED",0,C72))</f>
        <v/>
      </c>
      <c r="H72" s="2" t="inlineStr">
        <is>
          <t>Không suy diễn volume; phân biệt SERP_ONLY và HYPOTHESIS_ONLY.</t>
        </is>
      </c>
      <c r="I72" s="2" t="inlineStr">
        <is>
          <t>["evidence_batch_004_037", "https://jeminise.com/products/custom-american-football-on-cosmic-background-vintage-comforter-62a3849621-62a3849621", "serp_qa_037"]</t>
        </is>
      </c>
      <c r="J72" s="2" t="inlineStr">
        <is>
          <t>["ISS-037-DESC", "ISS-037-PERS"]</t>
        </is>
      </c>
    </row>
    <row r="73" ht="42" customHeight="1">
      <c r="A73" s="3" t="inlineStr">
        <is>
          <t>jeminise.com+custom-american-football-on-cosmic-background-vintage-comforter-62a3849621-62a3849621</t>
        </is>
      </c>
      <c r="B73" s="3" t="inlineStr">
        <is>
          <t>T1</t>
        </is>
      </c>
      <c r="C73" s="3" t="n">
        <v>10</v>
      </c>
      <c r="D73" s="3" t="inlineStr">
        <is>
          <t>FAIL</t>
        </is>
      </c>
      <c r="E73" s="7">
        <f>IF(B73="I1",AVERAGEIF('QA_Images'!$A$2:$A$63,A73,'QA_Images'!$T$2:$T$63)/100,IF(D73="FULL",1,IF(D73="PARTIAL",0.5,IF(D73="FAIL",0,""))))</f>
        <v/>
      </c>
      <c r="F73" s="7">
        <f>IF(E73="",0,C73*E73)</f>
        <v/>
      </c>
      <c r="G73" s="7">
        <f>IF(B73="I1",20*AVERAGEIF('QA_Images'!$A$2:$A$63,A73,'QA_Images'!$U$2:$U$63)/100,IF(D73="NOT_CHECKED",0,C73))</f>
        <v/>
      </c>
      <c r="H73" s="3" t="inlineStr">
        <is>
          <t>Đánh giá SEO title English về độ đúng, tự nhiên, keyword và điểm phân biệt.</t>
        </is>
      </c>
      <c r="I73" s="3" t="inlineStr">
        <is>
          <t>["evidence_batch_004_037", "https://jeminise.com/products/custom-american-football-on-cosmic-background-vintage-comforter-62a3849621-62a3849621", "serp_qa_037"]</t>
        </is>
      </c>
      <c r="J73" s="3" t="inlineStr">
        <is>
          <t>["ISS-037-DESC", "ISS-037-PERS"]</t>
        </is>
      </c>
    </row>
    <row r="74" ht="42" customHeight="1">
      <c r="A74" s="2" t="inlineStr">
        <is>
          <t>jeminise.com+custom-american-football-on-cosmic-background-vintage-comforter-62a3849621-62a3849621</t>
        </is>
      </c>
      <c r="B74" s="2" t="inlineStr">
        <is>
          <t>T2</t>
        </is>
      </c>
      <c r="C74" s="2" t="n">
        <v>5</v>
      </c>
      <c r="D74" s="2" t="inlineStr">
        <is>
          <t>FAIL</t>
        </is>
      </c>
      <c r="E74" s="5">
        <f>IF(B74="I1",AVERAGEIF('QA_Images'!$A$2:$A$63,A74,'QA_Images'!$T$2:$T$63)/100,IF(D74="FULL",1,IF(D74="PARTIAL",0.5,IF(D74="FAIL",0,""))))</f>
        <v/>
      </c>
      <c r="F74" s="5">
        <f>IF(E74="",0,C74*E74)</f>
        <v/>
      </c>
      <c r="G74" s="5">
        <f>IF(B74="I1",20*AVERAGEIF('QA_Images'!$A$2:$A$63,A74,'QA_Images'!$U$2:$U$63)/100,IF(D74="NOT_CHECKED",0,C74))</f>
        <v/>
      </c>
      <c r="H74" s="2" t="inlineStr">
        <is>
          <t>Đánh giá H1 đề xuất độc lập với SEO title và đối chiếu lỗi ký tự nguồn.</t>
        </is>
      </c>
      <c r="I74" s="2" t="inlineStr">
        <is>
          <t>["evidence_batch_004_037", "https://jeminise.com/products/custom-american-football-on-cosmic-background-vintage-comforter-62a3849621-62a3849621", "serp_qa_037"]</t>
        </is>
      </c>
      <c r="J74" s="2" t="inlineStr">
        <is>
          <t>["ISS-037-DESC", "ISS-037-PERS"]</t>
        </is>
      </c>
    </row>
    <row r="75" ht="42" customHeight="1">
      <c r="A75" s="3" t="inlineStr">
        <is>
          <t>jeminise.com+custom-american-football-on-cosmic-background-vintage-comforter-62a3849621-62a3849621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IF(B75="I1",AVERAGEIF('QA_Images'!$A$2:$A$63,A75,'QA_Images'!$T$2:$T$63)/100,IF(D75="FULL",1,IF(D75="PARTIAL",0.5,IF(D75="FAIL",0,""))))</f>
        <v/>
      </c>
      <c r="F75" s="7">
        <f>IF(E75="",0,C75*E75)</f>
        <v/>
      </c>
      <c r="G75" s="7">
        <f>IF(B75="I1",20*AVERAGEIF('QA_Images'!$A$2:$A$63,A75,'QA_Images'!$U$2:$U$63)/100,IF(D75="NOT_CHECKED",0,C75))</f>
        <v/>
      </c>
      <c r="H75" s="3" t="inlineStr">
        <is>
          <t>Đánh giá meta description về tính cụ thể và căn cứ claim.</t>
        </is>
      </c>
      <c r="I75" s="3" t="inlineStr">
        <is>
          <t>["evidence_batch_004_037", "https://jeminise.com/products/custom-american-football-on-cosmic-background-vintage-comforter-62a3849621-62a3849621", "serp_qa_037"]</t>
        </is>
      </c>
      <c r="J75" s="3" t="inlineStr">
        <is>
          <t>["ISS-037-DESC", "ISS-037-PERS"]</t>
        </is>
      </c>
    </row>
    <row r="76" ht="42" customHeight="1">
      <c r="A76" s="2" t="inlineStr">
        <is>
          <t>jeminise.com+custom-american-football-on-cosmic-background-vintage-comforter-62a3849621-62a3849621</t>
        </is>
      </c>
      <c r="B76" s="2" t="inlineStr">
        <is>
          <t>D2</t>
        </is>
      </c>
      <c r="C76" s="2" t="n">
        <v>10</v>
      </c>
      <c r="D76" s="2" t="inlineStr">
        <is>
          <t>FAIL</t>
        </is>
      </c>
      <c r="E76" s="5">
        <f>IF(B76="I1",AVERAGEIF('QA_Images'!$A$2:$A$63,A76,'QA_Images'!$T$2:$T$63)/100,IF(D76="FULL",1,IF(D76="PARTIAL",0.5,IF(D76="FAIL",0,""))))</f>
        <v/>
      </c>
      <c r="F76" s="5">
        <f>IF(E76="",0,C76*E76)</f>
        <v/>
      </c>
      <c r="G76" s="5">
        <f>IF(B76="I1",20*AVERAGEIF('QA_Images'!$A$2:$A$63,A76,'QA_Images'!$U$2:$U$63)/100,IF(D76="NOT_CHECKED",0,C76))</f>
        <v/>
      </c>
      <c r="H76" s="2" t="inlineStr">
        <is>
          <t>Description SET có HTML đầy đủ nhưng chứa câu nội bộ 'This draft should be reviewed...' và dữ liệu nguồn thô/mâu thuẫn; chưa phải nội dung publish-ready.</t>
        </is>
      </c>
      <c r="I76" s="2" t="inlineStr">
        <is>
          <t>["evidence_batch_004_037", "https://jeminise.com/products/custom-american-football-on-cosmic-background-vintage-comforter-62a3849621-62a3849621", "serp_qa_037"]</t>
        </is>
      </c>
      <c r="J76" s="2" t="inlineStr">
        <is>
          <t>["ISS-037-DESC", "ISS-037-PERS"]</t>
        </is>
      </c>
    </row>
    <row r="77" ht="42" customHeight="1">
      <c r="A77" s="3" t="inlineStr">
        <is>
          <t>jeminise.com+custom-american-football-on-cosmic-background-vintage-comforter-62a3849621-62a3849621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IF(B77="I1",AVERAGEIF('QA_Images'!$A$2:$A$63,A77,'QA_Images'!$T$2:$T$63)/100,IF(D77="FULL",1,IF(D77="PARTIAL",0.5,IF(D77="FAIL",0,""))))</f>
        <v/>
      </c>
      <c r="F77" s="7">
        <f>IF(E77="",0,C77*E77)</f>
        <v/>
      </c>
      <c r="G77" s="7">
        <f>IF(B77="I1",20*AVERAGEIF('QA_Images'!$A$2:$A$63,A77,'QA_Images'!$U$2:$U$63)/100,IF(D77="NOT_CHECKED",0,C77))</f>
        <v/>
      </c>
      <c r="H77" s="3" t="inlineStr">
        <is>
          <t>Tính từ trung bình 6 ảnh: 100.0000/100.</t>
        </is>
      </c>
      <c r="I77" s="3" t="inlineStr">
        <is>
          <t>["evidence_batch_004_037", "https://jeminise.com/products/custom-american-football-on-cosmic-background-vintage-comforter-62a3849621-62a3849621", "serp_qa_037"]</t>
        </is>
      </c>
      <c r="J77" s="3" t="inlineStr">
        <is>
          <t>["ISS-037-DESC", "ISS-037-PERS"]</t>
        </is>
      </c>
    </row>
    <row r="78" ht="42" customHeight="1">
      <c r="A78" s="2" t="inlineStr">
        <is>
          <t>jeminise.com+custom-american-football-on-cosmic-background-vintage-comforter-62a3849621-62a3849621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5">
        <f>IF(B78="I1",AVERAGEIF('QA_Images'!$A$2:$A$63,A78,'QA_Images'!$T$2:$T$63)/100,IF(D78="FULL",1,IF(D78="PARTIAL",0.5,IF(D78="FAIL",0,""))))</f>
        <v/>
      </c>
      <c r="F78" s="5">
        <f>IF(E78="",0,C78*E78)</f>
        <v/>
      </c>
      <c r="G78" s="5">
        <f>IF(B78="I1",20*AVERAGEIF('QA_Images'!$A$2:$A$63,A78,'QA_Images'!$U$2:$U$63)/100,IF(D78="NOT_CHECKED",0,C78))</f>
        <v/>
      </c>
      <c r="H78" s="2" t="inlineStr">
        <is>
          <t>Kiểm tra chuỗi evidence và giới hạn do thiếu admin export/browser tương tác.</t>
        </is>
      </c>
      <c r="I78" s="2" t="inlineStr">
        <is>
          <t>["evidence_batch_004_037", "https://jeminise.com/products/custom-american-football-on-cosmic-background-vintage-comforter-62a3849621-62a3849621", "serp_qa_037"]</t>
        </is>
      </c>
      <c r="J78" s="2" t="inlineStr">
        <is>
          <t>["ISS-037-DESC", "ISS-037-PERS"]</t>
        </is>
      </c>
    </row>
    <row r="79" ht="42" customHeight="1">
      <c r="A79" s="3" t="inlineStr">
        <is>
          <t>jeminise.com+custom-american-football-on-usa-flag-background-comforter-703a7c0d82-703a7c0d82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IF(B79="I1",AVERAGEIF('QA_Images'!$A$2:$A$63,A79,'QA_Images'!$T$2:$T$63)/100,IF(D79="FULL",1,IF(D79="PARTIAL",0.5,IF(D79="FAIL",0,""))))</f>
        <v/>
      </c>
      <c r="F79" s="7">
        <f>IF(E79="",0,C79*E79)</f>
        <v/>
      </c>
      <c r="G79" s="7">
        <f>IF(B79="I1",20*AVERAGEIF('QA_Images'!$A$2:$A$63,A79,'QA_Images'!$U$2:$U$63)/100,IF(D79="NOT_CHECKED",0,C79))</f>
        <v/>
      </c>
      <c r="H79" s="3" t="inlineStr">
        <is>
          <t>Đối chiếu loại sản phẩm, thiết kế và màu với product JSON, H1 live và toàn bộ gallery.</t>
        </is>
      </c>
      <c r="I79" s="3" t="inlineStr">
        <is>
          <t>["evidence_batch_004_038", "https://jeminise.com/products/custom-american-football-on-usa-flag-background-comforter-703a7c0d82-703a7c0d82", "serp_qa_038"]</t>
        </is>
      </c>
      <c r="J79" s="3" t="inlineStr">
        <is>
          <t>["ISS-038-DESC", "ISS-038-PERS"]</t>
        </is>
      </c>
    </row>
    <row r="80" ht="42" customHeight="1">
      <c r="A80" s="2" t="inlineStr">
        <is>
          <t>jeminise.com+custom-american-football-on-usa-flag-background-comforter-703a7c0d82-703a7c0d82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5">
        <f>IF(B80="I1",AVERAGEIF('QA_Images'!$A$2:$A$63,A80,'QA_Images'!$T$2:$T$63)/100,IF(D80="FULL",1,IF(D80="PARTIAL",0.5,IF(D80="FAIL",0,""))))</f>
        <v/>
      </c>
      <c r="F80" s="5">
        <f>IF(E80="",0,C80*E80)</f>
        <v/>
      </c>
      <c r="G80" s="5">
        <f>IF(B80="I1",20*AVERAGEIF('QA_Images'!$A$2:$A$63,A80,'QA_Images'!$U$2:$U$63)/100,IF(D80="NOT_CHECKED",0,C80))</f>
        <v/>
      </c>
      <c r="H80" s="2" t="inlineStr">
        <is>
          <t>Đối chiếu specifications, variants, components và personalization với product.js live, body HTML và ảnh.</t>
        </is>
      </c>
      <c r="I80" s="2" t="inlineStr">
        <is>
          <t>["evidence_batch_004_038", "https://jeminise.com/products/custom-american-football-on-usa-flag-background-comforter-703a7c0d82-703a7c0d82", "serp_qa_038"]</t>
        </is>
      </c>
      <c r="J80" s="2" t="inlineStr">
        <is>
          <t>["ISS-038-DESC", "ISS-038-PERS"]</t>
        </is>
      </c>
    </row>
    <row r="81" ht="42" customHeight="1">
      <c r="A81" s="3" t="inlineStr">
        <is>
          <t>jeminise.com+custom-american-football-on-usa-flag-background-comforter-703a7c0d82-703a7c0d82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IF(B81="I1",AVERAGEIF('QA_Images'!$A$2:$A$63,A81,'QA_Images'!$T$2:$T$63)/100,IF(D81="FULL",1,IF(D81="PARTIAL",0.5,IF(D81="FAIL",0,""))))</f>
        <v/>
      </c>
      <c r="F81" s="7">
        <f>IF(E81="",0,C81*E81)</f>
        <v/>
      </c>
      <c r="G81" s="7">
        <f>IF(B81="I1",20*AVERAGEIF('QA_Images'!$A$2:$A$63,A81,'QA_Images'!$U$2:$U$63)/100,IF(D81="NOT_CHECKED",0,C81))</f>
        <v/>
      </c>
      <c r="H81" s="3" t="inlineStr">
        <is>
          <t>Đối chiếu long-tail với thiết kế riêng và nguy cơ trùng intent trong cụm sản phẩm.</t>
        </is>
      </c>
      <c r="I81" s="3" t="inlineStr">
        <is>
          <t>["evidence_batch_004_038", "https://jeminise.com/products/custom-american-football-on-usa-flag-background-comforter-703a7c0d82-703a7c0d82", "serp_qa_038"]</t>
        </is>
      </c>
      <c r="J81" s="3" t="inlineStr">
        <is>
          <t>["ISS-038-DESC", "ISS-038-PERS"]</t>
        </is>
      </c>
    </row>
    <row r="82" ht="42" customHeight="1">
      <c r="A82" s="2" t="inlineStr">
        <is>
          <t>jeminise.com+custom-american-football-on-usa-flag-background-comforter-703a7c0d82-703a7c0d82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IF(B82="I1",AVERAGEIF('QA_Images'!$A$2:$A$63,A82,'QA_Images'!$T$2:$T$63)/100,IF(D82="FULL",1,IF(D82="PARTIAL",0.5,IF(D82="FAIL",0,""))))</f>
        <v/>
      </c>
      <c r="F82" s="5">
        <f>IF(E82="",0,C82*E82)</f>
        <v/>
      </c>
      <c r="G82" s="5">
        <f>IF(B82="I1",20*AVERAGEIF('QA_Images'!$A$2:$A$63,A82,'QA_Images'!$U$2:$U$63)/100,IF(D82="NOT_CHECKED",0,C82))</f>
        <v/>
      </c>
      <c r="H82" s="2" t="inlineStr">
        <is>
          <t>Đã đọc primary và comparator SERP theo US intent; không dùng claim volume.</t>
        </is>
      </c>
      <c r="I82" s="2" t="inlineStr">
        <is>
          <t>["evidence_batch_004_038", "https://jeminise.com/products/custom-american-football-on-usa-flag-background-comforter-703a7c0d82-703a7c0d82", "serp_qa_038"]</t>
        </is>
      </c>
      <c r="J82" s="2" t="inlineStr">
        <is>
          <t>["ISS-038-DESC", "ISS-038-PERS"]</t>
        </is>
      </c>
    </row>
    <row r="83" ht="42" customHeight="1">
      <c r="A83" s="3" t="inlineStr">
        <is>
          <t>jeminise.com+custom-american-football-on-usa-flag-background-comforter-703a7c0d82-703a7c0d82</t>
        </is>
      </c>
      <c r="B83" s="3" t="inlineStr">
        <is>
          <t>K3</t>
        </is>
      </c>
      <c r="C83" s="3" t="n">
        <v>5</v>
      </c>
      <c r="D83" s="3" t="inlineStr">
        <is>
          <t>FULL</t>
        </is>
      </c>
      <c r="E83" s="7">
        <f>IF(B83="I1",AVERAGEIF('QA_Images'!$A$2:$A$63,A83,'QA_Images'!$T$2:$T$63)/100,IF(D83="FULL",1,IF(D83="PARTIAL",0.5,IF(D83="FAIL",0,""))))</f>
        <v/>
      </c>
      <c r="F83" s="7">
        <f>IF(E83="",0,C83*E83)</f>
        <v/>
      </c>
      <c r="G83" s="7">
        <f>IF(B83="I1",20*AVERAGEIF('QA_Images'!$A$2:$A$63,A83,'QA_Images'!$U$2:$U$63)/100,IF(D83="NOT_CHECKED",0,C83))</f>
        <v/>
      </c>
      <c r="H83" s="3" t="inlineStr">
        <is>
          <t>Không suy diễn volume; phân biệt SERP_ONLY và HYPOTHESIS_ONLY.</t>
        </is>
      </c>
      <c r="I83" s="3" t="inlineStr">
        <is>
          <t>["evidence_batch_004_038", "https://jeminise.com/products/custom-american-football-on-usa-flag-background-comforter-703a7c0d82-703a7c0d82", "serp_qa_038"]</t>
        </is>
      </c>
      <c r="J83" s="3" t="inlineStr">
        <is>
          <t>["ISS-038-DESC", "ISS-038-PERS"]</t>
        </is>
      </c>
    </row>
    <row r="84" ht="42" customHeight="1">
      <c r="A84" s="2" t="inlineStr">
        <is>
          <t>jeminise.com+custom-american-football-on-usa-flag-background-comforter-703a7c0d82-703a7c0d82</t>
        </is>
      </c>
      <c r="B84" s="2" t="inlineStr">
        <is>
          <t>T1</t>
        </is>
      </c>
      <c r="C84" s="2" t="n">
        <v>10</v>
      </c>
      <c r="D84" s="2" t="inlineStr">
        <is>
          <t>FAIL</t>
        </is>
      </c>
      <c r="E84" s="5">
        <f>IF(B84="I1",AVERAGEIF('QA_Images'!$A$2:$A$63,A84,'QA_Images'!$T$2:$T$63)/100,IF(D84="FULL",1,IF(D84="PARTIAL",0.5,IF(D84="FAIL",0,""))))</f>
        <v/>
      </c>
      <c r="F84" s="5">
        <f>IF(E84="",0,C84*E84)</f>
        <v/>
      </c>
      <c r="G84" s="5">
        <f>IF(B84="I1",20*AVERAGEIF('QA_Images'!$A$2:$A$63,A84,'QA_Images'!$U$2:$U$63)/100,IF(D84="NOT_CHECKED",0,C84))</f>
        <v/>
      </c>
      <c r="H84" s="2" t="inlineStr">
        <is>
          <t>Đánh giá SEO title English về độ đúng, tự nhiên, keyword và điểm phân biệt.</t>
        </is>
      </c>
      <c r="I84" s="2" t="inlineStr">
        <is>
          <t>["evidence_batch_004_038", "https://jeminise.com/products/custom-american-football-on-usa-flag-background-comforter-703a7c0d82-703a7c0d82", "serp_qa_038"]</t>
        </is>
      </c>
      <c r="J84" s="2" t="inlineStr">
        <is>
          <t>["ISS-038-DESC", "ISS-038-PERS"]</t>
        </is>
      </c>
    </row>
    <row r="85" ht="42" customHeight="1">
      <c r="A85" s="3" t="inlineStr">
        <is>
          <t>jeminise.com+custom-american-football-on-usa-flag-background-comforter-703a7c0d82-703a7c0d82</t>
        </is>
      </c>
      <c r="B85" s="3" t="inlineStr">
        <is>
          <t>T2</t>
        </is>
      </c>
      <c r="C85" s="3" t="n">
        <v>5</v>
      </c>
      <c r="D85" s="3" t="inlineStr">
        <is>
          <t>FAIL</t>
        </is>
      </c>
      <c r="E85" s="7">
        <f>IF(B85="I1",AVERAGEIF('QA_Images'!$A$2:$A$63,A85,'QA_Images'!$T$2:$T$63)/100,IF(D85="FULL",1,IF(D85="PARTIAL",0.5,IF(D85="FAIL",0,""))))</f>
        <v/>
      </c>
      <c r="F85" s="7">
        <f>IF(E85="",0,C85*E85)</f>
        <v/>
      </c>
      <c r="G85" s="7">
        <f>IF(B85="I1",20*AVERAGEIF('QA_Images'!$A$2:$A$63,A85,'QA_Images'!$U$2:$U$63)/100,IF(D85="NOT_CHECKED",0,C85))</f>
        <v/>
      </c>
      <c r="H85" s="3" t="inlineStr">
        <is>
          <t>Đánh giá H1 đề xuất độc lập với SEO title và đối chiếu lỗi ký tự nguồn.</t>
        </is>
      </c>
      <c r="I85" s="3" t="inlineStr">
        <is>
          <t>["evidence_batch_004_038", "https://jeminise.com/products/custom-american-football-on-usa-flag-background-comforter-703a7c0d82-703a7c0d82", "serp_qa_038"]</t>
        </is>
      </c>
      <c r="J85" s="3" t="inlineStr">
        <is>
          <t>["ISS-038-DESC", "ISS-038-PERS"]</t>
        </is>
      </c>
    </row>
    <row r="86" ht="42" customHeight="1">
      <c r="A86" s="2" t="inlineStr">
        <is>
          <t>jeminise.com+custom-american-football-on-usa-flag-background-comforter-703a7c0d82-703a7c0d82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IF(B86="I1",AVERAGEIF('QA_Images'!$A$2:$A$63,A86,'QA_Images'!$T$2:$T$63)/100,IF(D86="FULL",1,IF(D86="PARTIAL",0.5,IF(D86="FAIL",0,""))))</f>
        <v/>
      </c>
      <c r="F86" s="5">
        <f>IF(E86="",0,C86*E86)</f>
        <v/>
      </c>
      <c r="G86" s="5">
        <f>IF(B86="I1",20*AVERAGEIF('QA_Images'!$A$2:$A$63,A86,'QA_Images'!$U$2:$U$63)/100,IF(D86="NOT_CHECKED",0,C86))</f>
        <v/>
      </c>
      <c r="H86" s="2" t="inlineStr">
        <is>
          <t>Đánh giá meta description về tính cụ thể và căn cứ claim.</t>
        </is>
      </c>
      <c r="I86" s="2" t="inlineStr">
        <is>
          <t>["evidence_batch_004_038", "https://jeminise.com/products/custom-american-football-on-usa-flag-background-comforter-703a7c0d82-703a7c0d82", "serp_qa_038"]</t>
        </is>
      </c>
      <c r="J86" s="2" t="inlineStr">
        <is>
          <t>["ISS-038-DESC", "ISS-038-PERS"]</t>
        </is>
      </c>
    </row>
    <row r="87" ht="42" customHeight="1">
      <c r="A87" s="3" t="inlineStr">
        <is>
          <t>jeminise.com+custom-american-football-on-usa-flag-background-comforter-703a7c0d82-703a7c0d82</t>
        </is>
      </c>
      <c r="B87" s="3" t="inlineStr">
        <is>
          <t>D2</t>
        </is>
      </c>
      <c r="C87" s="3" t="n">
        <v>10</v>
      </c>
      <c r="D87" s="3" t="inlineStr">
        <is>
          <t>FAIL</t>
        </is>
      </c>
      <c r="E87" s="7">
        <f>IF(B87="I1",AVERAGEIF('QA_Images'!$A$2:$A$63,A87,'QA_Images'!$T$2:$T$63)/100,IF(D87="FULL",1,IF(D87="PARTIAL",0.5,IF(D87="FAIL",0,""))))</f>
        <v/>
      </c>
      <c r="F87" s="7">
        <f>IF(E87="",0,C87*E87)</f>
        <v/>
      </c>
      <c r="G87" s="7">
        <f>IF(B87="I1",20*AVERAGEIF('QA_Images'!$A$2:$A$63,A87,'QA_Images'!$U$2:$U$63)/100,IF(D87="NOT_CHECKED",0,C87))</f>
        <v/>
      </c>
      <c r="H87" s="3" t="inlineStr">
        <is>
          <t>Description SET có HTML đầy đủ nhưng chứa câu nội bộ 'This draft should be reviewed...' và dữ liệu nguồn thô/mâu thuẫn; chưa phải nội dung publish-ready.</t>
        </is>
      </c>
      <c r="I87" s="3" t="inlineStr">
        <is>
          <t>["evidence_batch_004_038", "https://jeminise.com/products/custom-american-football-on-usa-flag-background-comforter-703a7c0d82-703a7c0d82", "serp_qa_038"]</t>
        </is>
      </c>
      <c r="J87" s="3" t="inlineStr">
        <is>
          <t>["ISS-038-DESC", "ISS-038-PERS"]</t>
        </is>
      </c>
    </row>
    <row r="88" ht="42" customHeight="1">
      <c r="A88" s="2" t="inlineStr">
        <is>
          <t>jeminise.com+custom-american-football-on-usa-flag-background-comforter-703a7c0d82-703a7c0d82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IF(B88="I1",AVERAGEIF('QA_Images'!$A$2:$A$63,A88,'QA_Images'!$T$2:$T$63)/100,IF(D88="FULL",1,IF(D88="PARTIAL",0.5,IF(D88="FAIL",0,""))))</f>
        <v/>
      </c>
      <c r="F88" s="5">
        <f>IF(E88="",0,C88*E88)</f>
        <v/>
      </c>
      <c r="G88" s="5">
        <f>IF(B88="I1",20*AVERAGEIF('QA_Images'!$A$2:$A$63,A88,'QA_Images'!$U$2:$U$63)/100,IF(D88="NOT_CHECKED",0,C88))</f>
        <v/>
      </c>
      <c r="H88" s="2" t="inlineStr">
        <is>
          <t>Tính từ trung bình 6 ảnh: 100.0000/100.</t>
        </is>
      </c>
      <c r="I88" s="2" t="inlineStr">
        <is>
          <t>["evidence_batch_004_038", "https://jeminise.com/products/custom-american-football-on-usa-flag-background-comforter-703a7c0d82-703a7c0d82", "serp_qa_038"]</t>
        </is>
      </c>
      <c r="J88" s="2" t="inlineStr">
        <is>
          <t>["ISS-038-DESC", "ISS-038-PERS"]</t>
        </is>
      </c>
    </row>
    <row r="89" ht="42" customHeight="1">
      <c r="A89" s="3" t="inlineStr">
        <is>
          <t>jeminise.com+custom-american-football-on-usa-flag-background-comforter-703a7c0d82-703a7c0d82</t>
        </is>
      </c>
      <c r="B89" s="3" t="inlineStr">
        <is>
          <t>E1</t>
        </is>
      </c>
      <c r="C89" s="3" t="n">
        <v>5</v>
      </c>
      <c r="D89" s="3" t="inlineStr">
        <is>
          <t>PARTIAL</t>
        </is>
      </c>
      <c r="E89" s="7">
        <f>IF(B89="I1",AVERAGEIF('QA_Images'!$A$2:$A$63,A89,'QA_Images'!$T$2:$T$63)/100,IF(D89="FULL",1,IF(D89="PARTIAL",0.5,IF(D89="FAIL",0,""))))</f>
        <v/>
      </c>
      <c r="F89" s="7">
        <f>IF(E89="",0,C89*E89)</f>
        <v/>
      </c>
      <c r="G89" s="7">
        <f>IF(B89="I1",20*AVERAGEIF('QA_Images'!$A$2:$A$63,A89,'QA_Images'!$U$2:$U$63)/100,IF(D89="NOT_CHECKED",0,C89))</f>
        <v/>
      </c>
      <c r="H89" s="3" t="inlineStr">
        <is>
          <t>Kiểm tra chuỗi evidence và giới hạn do thiếu admin export/browser tương tác.</t>
        </is>
      </c>
      <c r="I89" s="3" t="inlineStr">
        <is>
          <t>["evidence_batch_004_038", "https://jeminise.com/products/custom-american-football-on-usa-flag-background-comforter-703a7c0d82-703a7c0d82", "serp_qa_038"]</t>
        </is>
      </c>
      <c r="J89" s="3" t="inlineStr">
        <is>
          <t>["ISS-038-DESC", "ISS-038-PERS"]</t>
        </is>
      </c>
    </row>
    <row r="90" ht="42" customHeight="1">
      <c r="A90" s="2" t="inlineStr">
        <is>
          <t>jeminise.com+custom-american-football-with-paint-splash-background-vintage-comforter-da0e1d5bf1-da0e1d5bf1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IF(B90="I1",AVERAGEIF('QA_Images'!$A$2:$A$63,A90,'QA_Images'!$T$2:$T$63)/100,IF(D90="FULL",1,IF(D90="PARTIAL",0.5,IF(D90="FAIL",0,""))))</f>
        <v/>
      </c>
      <c r="F90" s="5">
        <f>IF(E90="",0,C90*E90)</f>
        <v/>
      </c>
      <c r="G90" s="5">
        <f>IF(B90="I1",20*AVERAGEIF('QA_Images'!$A$2:$A$63,A90,'QA_Images'!$U$2:$U$63)/100,IF(D90="NOT_CHECKED",0,C90))</f>
        <v/>
      </c>
      <c r="H90" s="2" t="inlineStr">
        <is>
          <t>Đối chiếu loại sản phẩm, thiết kế và màu với product JSON, H1 live và toàn bộ gallery.</t>
        </is>
      </c>
      <c r="I90" s="2" t="inlineStr">
        <is>
          <t>["evidence_batch_004_039", "https://jeminise.com/products/custom-american-football-with-paint-splash-background-vintage-comforter-da0e1d5bf1-da0e1d5bf1", "serp_qa_039"]</t>
        </is>
      </c>
      <c r="J90" s="2" t="inlineStr">
        <is>
          <t>["ISS-039-DESC", "ISS-039-PERS"]</t>
        </is>
      </c>
    </row>
    <row r="91" ht="42" customHeight="1">
      <c r="A91" s="3" t="inlineStr">
        <is>
          <t>jeminise.com+custom-american-football-with-paint-splash-background-vintage-comforter-da0e1d5bf1-da0e1d5bf1</t>
        </is>
      </c>
      <c r="B91" s="3" t="inlineStr">
        <is>
          <t>P2</t>
        </is>
      </c>
      <c r="C91" s="3" t="n">
        <v>10</v>
      </c>
      <c r="D91" s="3" t="inlineStr">
        <is>
          <t>FAIL</t>
        </is>
      </c>
      <c r="E91" s="7">
        <f>IF(B91="I1",AVERAGEIF('QA_Images'!$A$2:$A$63,A91,'QA_Images'!$T$2:$T$63)/100,IF(D91="FULL",1,IF(D91="PARTIAL",0.5,IF(D91="FAIL",0,""))))</f>
        <v/>
      </c>
      <c r="F91" s="7">
        <f>IF(E91="",0,C91*E91)</f>
        <v/>
      </c>
      <c r="G91" s="7">
        <f>IF(B91="I1",20*AVERAGEIF('QA_Images'!$A$2:$A$63,A91,'QA_Images'!$U$2:$U$63)/100,IF(D91="NOT_CHECKED",0,C91))</f>
        <v/>
      </c>
      <c r="H91" s="3" t="inlineStr">
        <is>
          <t>Đối chiếu specifications, variants, components và personalization với product.js live, body HTML và ảnh.</t>
        </is>
      </c>
      <c r="I91" s="3" t="inlineStr">
        <is>
          <t>["evidence_batch_004_039", "https://jeminise.com/products/custom-american-football-with-paint-splash-background-vintage-comforter-da0e1d5bf1-da0e1d5bf1", "serp_qa_039"]</t>
        </is>
      </c>
      <c r="J91" s="3" t="inlineStr">
        <is>
          <t>["ISS-039-DESC", "ISS-039-PERS"]</t>
        </is>
      </c>
    </row>
    <row r="92" ht="42" customHeight="1">
      <c r="A92" s="2" t="inlineStr">
        <is>
          <t>jeminise.com+custom-american-football-with-paint-splash-background-vintage-comforter-da0e1d5bf1-da0e1d5bf1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IF(B92="I1",AVERAGEIF('QA_Images'!$A$2:$A$63,A92,'QA_Images'!$T$2:$T$63)/100,IF(D92="FULL",1,IF(D92="PARTIAL",0.5,IF(D92="FAIL",0,""))))</f>
        <v/>
      </c>
      <c r="F92" s="5">
        <f>IF(E92="",0,C92*E92)</f>
        <v/>
      </c>
      <c r="G92" s="5">
        <f>IF(B92="I1",20*AVERAGEIF('QA_Images'!$A$2:$A$63,A92,'QA_Images'!$U$2:$U$63)/100,IF(D92="NOT_CHECKED",0,C92))</f>
        <v/>
      </c>
      <c r="H92" s="2" t="inlineStr">
        <is>
          <t>Đối chiếu long-tail với thiết kế riêng và nguy cơ trùng intent trong cụm sản phẩm.</t>
        </is>
      </c>
      <c r="I92" s="2" t="inlineStr">
        <is>
          <t>["evidence_batch_004_039", "https://jeminise.com/products/custom-american-football-with-paint-splash-background-vintage-comforter-da0e1d5bf1-da0e1d5bf1", "serp_qa_039"]</t>
        </is>
      </c>
      <c r="J92" s="2" t="inlineStr">
        <is>
          <t>["ISS-039-DESC", "ISS-039-PERS"]</t>
        </is>
      </c>
    </row>
    <row r="93" ht="42" customHeight="1">
      <c r="A93" s="3" t="inlineStr">
        <is>
          <t>jeminise.com+custom-american-football-with-paint-splash-background-vintage-comforter-da0e1d5bf1-da0e1d5bf1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IF(B93="I1",AVERAGEIF('QA_Images'!$A$2:$A$63,A93,'QA_Images'!$T$2:$T$63)/100,IF(D93="FULL",1,IF(D93="PARTIAL",0.5,IF(D93="FAIL",0,""))))</f>
        <v/>
      </c>
      <c r="F93" s="7">
        <f>IF(E93="",0,C93*E93)</f>
        <v/>
      </c>
      <c r="G93" s="7">
        <f>IF(B93="I1",20*AVERAGEIF('QA_Images'!$A$2:$A$63,A93,'QA_Images'!$U$2:$U$63)/100,IF(D93="NOT_CHECKED",0,C93))</f>
        <v/>
      </c>
      <c r="H93" s="3" t="inlineStr">
        <is>
          <t>Đã đọc primary và comparator SERP theo US intent; không dùng claim volume.</t>
        </is>
      </c>
      <c r="I93" s="3" t="inlineStr">
        <is>
          <t>["evidence_batch_004_039", "https://jeminise.com/products/custom-american-football-with-paint-splash-background-vintage-comforter-da0e1d5bf1-da0e1d5bf1", "serp_qa_039"]</t>
        </is>
      </c>
      <c r="J93" s="3" t="inlineStr">
        <is>
          <t>["ISS-039-DESC", "ISS-039-PERS"]</t>
        </is>
      </c>
    </row>
    <row r="94" ht="42" customHeight="1">
      <c r="A94" s="2" t="inlineStr">
        <is>
          <t>jeminise.com+custom-american-football-with-paint-splash-background-vintage-comforter-da0e1d5bf1-da0e1d5bf1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5">
        <f>IF(B94="I1",AVERAGEIF('QA_Images'!$A$2:$A$63,A94,'QA_Images'!$T$2:$T$63)/100,IF(D94="FULL",1,IF(D94="PARTIAL",0.5,IF(D94="FAIL",0,""))))</f>
        <v/>
      </c>
      <c r="F94" s="5">
        <f>IF(E94="",0,C94*E94)</f>
        <v/>
      </c>
      <c r="G94" s="5">
        <f>IF(B94="I1",20*AVERAGEIF('QA_Images'!$A$2:$A$63,A94,'QA_Images'!$U$2:$U$63)/100,IF(D94="NOT_CHECKED",0,C94))</f>
        <v/>
      </c>
      <c r="H94" s="2" t="inlineStr">
        <is>
          <t>Không suy diễn volume; phân biệt SERP_ONLY và HYPOTHESIS_ONLY.</t>
        </is>
      </c>
      <c r="I94" s="2" t="inlineStr">
        <is>
          <t>["evidence_batch_004_039", "https://jeminise.com/products/custom-american-football-with-paint-splash-background-vintage-comforter-da0e1d5bf1-da0e1d5bf1", "serp_qa_039"]</t>
        </is>
      </c>
      <c r="J94" s="2" t="inlineStr">
        <is>
          <t>["ISS-039-DESC", "ISS-039-PERS"]</t>
        </is>
      </c>
    </row>
    <row r="95" ht="42" customHeight="1">
      <c r="A95" s="3" t="inlineStr">
        <is>
          <t>jeminise.com+custom-american-football-with-paint-splash-background-vintage-comforter-da0e1d5bf1-da0e1d5bf1</t>
        </is>
      </c>
      <c r="B95" s="3" t="inlineStr">
        <is>
          <t>T1</t>
        </is>
      </c>
      <c r="C95" s="3" t="n">
        <v>10</v>
      </c>
      <c r="D95" s="3" t="inlineStr">
        <is>
          <t>FAIL</t>
        </is>
      </c>
      <c r="E95" s="7">
        <f>IF(B95="I1",AVERAGEIF('QA_Images'!$A$2:$A$63,A95,'QA_Images'!$T$2:$T$63)/100,IF(D95="FULL",1,IF(D95="PARTIAL",0.5,IF(D95="FAIL",0,""))))</f>
        <v/>
      </c>
      <c r="F95" s="7">
        <f>IF(E95="",0,C95*E95)</f>
        <v/>
      </c>
      <c r="G95" s="7">
        <f>IF(B95="I1",20*AVERAGEIF('QA_Images'!$A$2:$A$63,A95,'QA_Images'!$U$2:$U$63)/100,IF(D95="NOT_CHECKED",0,C95))</f>
        <v/>
      </c>
      <c r="H95" s="3" t="inlineStr">
        <is>
          <t>Đánh giá SEO title English về độ đúng, tự nhiên, keyword và điểm phân biệt.</t>
        </is>
      </c>
      <c r="I95" s="3" t="inlineStr">
        <is>
          <t>["evidence_batch_004_039", "https://jeminise.com/products/custom-american-football-with-paint-splash-background-vintage-comforter-da0e1d5bf1-da0e1d5bf1", "serp_qa_039"]</t>
        </is>
      </c>
      <c r="J95" s="3" t="inlineStr">
        <is>
          <t>["ISS-039-DESC", "ISS-039-PERS"]</t>
        </is>
      </c>
    </row>
    <row r="96" ht="42" customHeight="1">
      <c r="A96" s="2" t="inlineStr">
        <is>
          <t>jeminise.com+custom-american-football-with-paint-splash-background-vintage-comforter-da0e1d5bf1-da0e1d5bf1</t>
        </is>
      </c>
      <c r="B96" s="2" t="inlineStr">
        <is>
          <t>T2</t>
        </is>
      </c>
      <c r="C96" s="2" t="n">
        <v>5</v>
      </c>
      <c r="D96" s="2" t="inlineStr">
        <is>
          <t>FAIL</t>
        </is>
      </c>
      <c r="E96" s="5">
        <f>IF(B96="I1",AVERAGEIF('QA_Images'!$A$2:$A$63,A96,'QA_Images'!$T$2:$T$63)/100,IF(D96="FULL",1,IF(D96="PARTIAL",0.5,IF(D96="FAIL",0,""))))</f>
        <v/>
      </c>
      <c r="F96" s="5">
        <f>IF(E96="",0,C96*E96)</f>
        <v/>
      </c>
      <c r="G96" s="5">
        <f>IF(B96="I1",20*AVERAGEIF('QA_Images'!$A$2:$A$63,A96,'QA_Images'!$U$2:$U$63)/100,IF(D96="NOT_CHECKED",0,C96))</f>
        <v/>
      </c>
      <c r="H96" s="2" t="inlineStr">
        <is>
          <t>Đánh giá H1 đề xuất độc lập với SEO title và đối chiếu lỗi ký tự nguồn.</t>
        </is>
      </c>
      <c r="I96" s="2" t="inlineStr">
        <is>
          <t>["evidence_batch_004_039", "https://jeminise.com/products/custom-american-football-with-paint-splash-background-vintage-comforter-da0e1d5bf1-da0e1d5bf1", "serp_qa_039"]</t>
        </is>
      </c>
      <c r="J96" s="2" t="inlineStr">
        <is>
          <t>["ISS-039-DESC", "ISS-039-PERS"]</t>
        </is>
      </c>
    </row>
    <row r="97" ht="42" customHeight="1">
      <c r="A97" s="3" t="inlineStr">
        <is>
          <t>jeminise.com+custom-american-football-with-paint-splash-background-vintage-comforter-da0e1d5bf1-da0e1d5bf1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IF(B97="I1",AVERAGEIF('QA_Images'!$A$2:$A$63,A97,'QA_Images'!$T$2:$T$63)/100,IF(D97="FULL",1,IF(D97="PARTIAL",0.5,IF(D97="FAIL",0,""))))</f>
        <v/>
      </c>
      <c r="F97" s="7">
        <f>IF(E97="",0,C97*E97)</f>
        <v/>
      </c>
      <c r="G97" s="7">
        <f>IF(B97="I1",20*AVERAGEIF('QA_Images'!$A$2:$A$63,A97,'QA_Images'!$U$2:$U$63)/100,IF(D97="NOT_CHECKED",0,C97))</f>
        <v/>
      </c>
      <c r="H97" s="3" t="inlineStr">
        <is>
          <t>Đánh giá meta description về tính cụ thể và căn cứ claim.</t>
        </is>
      </c>
      <c r="I97" s="3" t="inlineStr">
        <is>
          <t>["evidence_batch_004_039", "https://jeminise.com/products/custom-american-football-with-paint-splash-background-vintage-comforter-da0e1d5bf1-da0e1d5bf1", "serp_qa_039"]</t>
        </is>
      </c>
      <c r="J97" s="3" t="inlineStr">
        <is>
          <t>["ISS-039-DESC", "ISS-039-PERS"]</t>
        </is>
      </c>
    </row>
    <row r="98" ht="42" customHeight="1">
      <c r="A98" s="2" t="inlineStr">
        <is>
          <t>jeminise.com+custom-american-football-with-paint-splash-background-vintage-comforter-da0e1d5bf1-da0e1d5bf1</t>
        </is>
      </c>
      <c r="B98" s="2" t="inlineStr">
        <is>
          <t>D2</t>
        </is>
      </c>
      <c r="C98" s="2" t="n">
        <v>10</v>
      </c>
      <c r="D98" s="2" t="inlineStr">
        <is>
          <t>FAIL</t>
        </is>
      </c>
      <c r="E98" s="5">
        <f>IF(B98="I1",AVERAGEIF('QA_Images'!$A$2:$A$63,A98,'QA_Images'!$T$2:$T$63)/100,IF(D98="FULL",1,IF(D98="PARTIAL",0.5,IF(D98="FAIL",0,""))))</f>
        <v/>
      </c>
      <c r="F98" s="5">
        <f>IF(E98="",0,C98*E98)</f>
        <v/>
      </c>
      <c r="G98" s="5">
        <f>IF(B98="I1",20*AVERAGEIF('QA_Images'!$A$2:$A$63,A98,'QA_Images'!$U$2:$U$63)/100,IF(D98="NOT_CHECKED",0,C98))</f>
        <v/>
      </c>
      <c r="H98" s="2" t="inlineStr">
        <is>
          <t>Description SET có HTML đầy đủ nhưng chứa câu nội bộ 'This draft should be reviewed...' và dữ liệu nguồn thô/mâu thuẫn; chưa phải nội dung publish-ready.</t>
        </is>
      </c>
      <c r="I98" s="2" t="inlineStr">
        <is>
          <t>["evidence_batch_004_039", "https://jeminise.com/products/custom-american-football-with-paint-splash-background-vintage-comforter-da0e1d5bf1-da0e1d5bf1", "serp_qa_039"]</t>
        </is>
      </c>
      <c r="J98" s="2" t="inlineStr">
        <is>
          <t>["ISS-039-DESC", "ISS-039-PERS"]</t>
        </is>
      </c>
    </row>
    <row r="99" ht="42" customHeight="1">
      <c r="A99" s="3" t="inlineStr">
        <is>
          <t>jeminise.com+custom-american-football-with-paint-splash-background-vintage-comforter-da0e1d5bf1-da0e1d5bf1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IF(B99="I1",AVERAGEIF('QA_Images'!$A$2:$A$63,A99,'QA_Images'!$T$2:$T$63)/100,IF(D99="FULL",1,IF(D99="PARTIAL",0.5,IF(D99="FAIL",0,""))))</f>
        <v/>
      </c>
      <c r="F99" s="7">
        <f>IF(E99="",0,C99*E99)</f>
        <v/>
      </c>
      <c r="G99" s="7">
        <f>IF(B99="I1",20*AVERAGEIF('QA_Images'!$A$2:$A$63,A99,'QA_Images'!$U$2:$U$63)/100,IF(D99="NOT_CHECKED",0,C99))</f>
        <v/>
      </c>
      <c r="H99" s="3" t="inlineStr">
        <is>
          <t>Tính từ trung bình 6 ảnh: 100.0000/100.</t>
        </is>
      </c>
      <c r="I99" s="3" t="inlineStr">
        <is>
          <t>["evidence_batch_004_039", "https://jeminise.com/products/custom-american-football-with-paint-splash-background-vintage-comforter-da0e1d5bf1-da0e1d5bf1", "serp_qa_039"]</t>
        </is>
      </c>
      <c r="J99" s="3" t="inlineStr">
        <is>
          <t>["ISS-039-DESC", "ISS-039-PERS"]</t>
        </is>
      </c>
    </row>
    <row r="100" ht="42" customHeight="1">
      <c r="A100" s="2" t="inlineStr">
        <is>
          <t>jeminise.com+custom-american-football-with-paint-splash-background-vintage-comforter-da0e1d5bf1-da0e1d5bf1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5">
        <f>IF(B100="I1",AVERAGEIF('QA_Images'!$A$2:$A$63,A100,'QA_Images'!$T$2:$T$63)/100,IF(D100="FULL",1,IF(D100="PARTIAL",0.5,IF(D100="FAIL",0,""))))</f>
        <v/>
      </c>
      <c r="F100" s="5">
        <f>IF(E100="",0,C100*E100)</f>
        <v/>
      </c>
      <c r="G100" s="5">
        <f>IF(B100="I1",20*AVERAGEIF('QA_Images'!$A$2:$A$63,A100,'QA_Images'!$U$2:$U$63)/100,IF(D100="NOT_CHECKED",0,C100))</f>
        <v/>
      </c>
      <c r="H100" s="2" t="inlineStr">
        <is>
          <t>Kiểm tra chuỗi evidence và giới hạn do thiếu admin export/browser tương tác.</t>
        </is>
      </c>
      <c r="I100" s="2" t="inlineStr">
        <is>
          <t>["evidence_batch_004_039", "https://jeminise.com/products/custom-american-football-with-paint-splash-background-vintage-comforter-da0e1d5bf1-da0e1d5bf1", "serp_qa_039"]</t>
        </is>
      </c>
      <c r="J100" s="2" t="inlineStr">
        <is>
          <t>["ISS-039-DESC", "ISS-039-PERS"]</t>
        </is>
      </c>
    </row>
    <row r="101" ht="42" customHeight="1">
      <c r="A101" s="3" t="inlineStr">
        <is>
          <t>jeminise.com+custom-american-football-with-patriotic-flag-comforter-4a3a1ed3c9-4a3a1ed3c9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IF(B101="I1",AVERAGEIF('QA_Images'!$A$2:$A$63,A101,'QA_Images'!$T$2:$T$63)/100,IF(D101="FULL",1,IF(D101="PARTIAL",0.5,IF(D101="FAIL",0,""))))</f>
        <v/>
      </c>
      <c r="F101" s="7">
        <f>IF(E101="",0,C101*E101)</f>
        <v/>
      </c>
      <c r="G101" s="7">
        <f>IF(B101="I1",20*AVERAGEIF('QA_Images'!$A$2:$A$63,A101,'QA_Images'!$U$2:$U$63)/100,IF(D101="NOT_CHECKED",0,C101))</f>
        <v/>
      </c>
      <c r="H101" s="3" t="inlineStr">
        <is>
          <t>Đối chiếu loại sản phẩm, thiết kế và màu với product JSON, H1 live và toàn bộ gallery.</t>
        </is>
      </c>
      <c r="I101" s="3" t="inlineStr">
        <is>
          <t>["evidence_batch_004_040", "https://jeminise.com/products/custom-american-football-with-patriotic-flag-comforter-4a3a1ed3c9-4a3a1ed3c9", "serp_qa_040"]</t>
        </is>
      </c>
      <c r="J101" s="3" t="inlineStr">
        <is>
          <t>["ISS-040-DESC", "ISS-040-PERS"]</t>
        </is>
      </c>
    </row>
    <row r="102" ht="42" customHeight="1">
      <c r="A102" s="2" t="inlineStr">
        <is>
          <t>jeminise.com+custom-american-football-with-patriotic-flag-comforter-4a3a1ed3c9-4a3a1ed3c9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5">
        <f>IF(B102="I1",AVERAGEIF('QA_Images'!$A$2:$A$63,A102,'QA_Images'!$T$2:$T$63)/100,IF(D102="FULL",1,IF(D102="PARTIAL",0.5,IF(D102="FAIL",0,""))))</f>
        <v/>
      </c>
      <c r="F102" s="5">
        <f>IF(E102="",0,C102*E102)</f>
        <v/>
      </c>
      <c r="G102" s="5">
        <f>IF(B102="I1",20*AVERAGEIF('QA_Images'!$A$2:$A$63,A102,'QA_Images'!$U$2:$U$63)/100,IF(D102="NOT_CHECKED",0,C102))</f>
        <v/>
      </c>
      <c r="H102" s="2" t="inlineStr">
        <is>
          <t>Đối chiếu specifications, variants, components và personalization với product.js live, body HTML và ảnh.</t>
        </is>
      </c>
      <c r="I102" s="2" t="inlineStr">
        <is>
          <t>["evidence_batch_004_040", "https://jeminise.com/products/custom-american-football-with-patriotic-flag-comforter-4a3a1ed3c9-4a3a1ed3c9", "serp_qa_040"]</t>
        </is>
      </c>
      <c r="J102" s="2" t="inlineStr">
        <is>
          <t>["ISS-040-DESC", "ISS-040-PERS"]</t>
        </is>
      </c>
    </row>
    <row r="103" ht="42" customHeight="1">
      <c r="A103" s="3" t="inlineStr">
        <is>
          <t>jeminise.com+custom-american-football-with-patriotic-flag-comforter-4a3a1ed3c9-4a3a1ed3c9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IF(B103="I1",AVERAGEIF('QA_Images'!$A$2:$A$63,A103,'QA_Images'!$T$2:$T$63)/100,IF(D103="FULL",1,IF(D103="PARTIAL",0.5,IF(D103="FAIL",0,""))))</f>
        <v/>
      </c>
      <c r="F103" s="7">
        <f>IF(E103="",0,C103*E103)</f>
        <v/>
      </c>
      <c r="G103" s="7">
        <f>IF(B103="I1",20*AVERAGEIF('QA_Images'!$A$2:$A$63,A103,'QA_Images'!$U$2:$U$63)/100,IF(D103="NOT_CHECKED",0,C103))</f>
        <v/>
      </c>
      <c r="H103" s="3" t="inlineStr">
        <is>
          <t>Đối chiếu long-tail với thiết kế riêng và nguy cơ trùng intent trong cụm sản phẩm.</t>
        </is>
      </c>
      <c r="I103" s="3" t="inlineStr">
        <is>
          <t>["evidence_batch_004_040", "https://jeminise.com/products/custom-american-football-with-patriotic-flag-comforter-4a3a1ed3c9-4a3a1ed3c9", "serp_qa_040"]</t>
        </is>
      </c>
      <c r="J103" s="3" t="inlineStr">
        <is>
          <t>["ISS-040-DESC", "ISS-040-PERS"]</t>
        </is>
      </c>
    </row>
    <row r="104" ht="42" customHeight="1">
      <c r="A104" s="2" t="inlineStr">
        <is>
          <t>jeminise.com+custom-american-football-with-patriotic-flag-comforter-4a3a1ed3c9-4a3a1ed3c9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IF(B104="I1",AVERAGEIF('QA_Images'!$A$2:$A$63,A104,'QA_Images'!$T$2:$T$63)/100,IF(D104="FULL",1,IF(D104="PARTIAL",0.5,IF(D104="FAIL",0,""))))</f>
        <v/>
      </c>
      <c r="F104" s="5">
        <f>IF(E104="",0,C104*E104)</f>
        <v/>
      </c>
      <c r="G104" s="5">
        <f>IF(B104="I1",20*AVERAGEIF('QA_Images'!$A$2:$A$63,A104,'QA_Images'!$U$2:$U$63)/100,IF(D104="NOT_CHECKED",0,C104))</f>
        <v/>
      </c>
      <c r="H104" s="2" t="inlineStr">
        <is>
          <t>Đã đọc primary và comparator SERP theo US intent; không dùng claim volume.</t>
        </is>
      </c>
      <c r="I104" s="2" t="inlineStr">
        <is>
          <t>["evidence_batch_004_040", "https://jeminise.com/products/custom-american-football-with-patriotic-flag-comforter-4a3a1ed3c9-4a3a1ed3c9", "serp_qa_040"]</t>
        </is>
      </c>
      <c r="J104" s="2" t="inlineStr">
        <is>
          <t>["ISS-040-DESC", "ISS-040-PERS"]</t>
        </is>
      </c>
    </row>
    <row r="105" ht="42" customHeight="1">
      <c r="A105" s="3" t="inlineStr">
        <is>
          <t>jeminise.com+custom-american-football-with-patriotic-flag-comforter-4a3a1ed3c9-4a3a1ed3c9</t>
        </is>
      </c>
      <c r="B105" s="3" t="inlineStr">
        <is>
          <t>K3</t>
        </is>
      </c>
      <c r="C105" s="3" t="n">
        <v>5</v>
      </c>
      <c r="D105" s="3" t="inlineStr">
        <is>
          <t>FULL</t>
        </is>
      </c>
      <c r="E105" s="7">
        <f>IF(B105="I1",AVERAGEIF('QA_Images'!$A$2:$A$63,A105,'QA_Images'!$T$2:$T$63)/100,IF(D105="FULL",1,IF(D105="PARTIAL",0.5,IF(D105="FAIL",0,""))))</f>
        <v/>
      </c>
      <c r="F105" s="7">
        <f>IF(E105="",0,C105*E105)</f>
        <v/>
      </c>
      <c r="G105" s="7">
        <f>IF(B105="I1",20*AVERAGEIF('QA_Images'!$A$2:$A$63,A105,'QA_Images'!$U$2:$U$63)/100,IF(D105="NOT_CHECKED",0,C105))</f>
        <v/>
      </c>
      <c r="H105" s="3" t="inlineStr">
        <is>
          <t>Không suy diễn volume; phân biệt SERP_ONLY và HYPOTHESIS_ONLY.</t>
        </is>
      </c>
      <c r="I105" s="3" t="inlineStr">
        <is>
          <t>["evidence_batch_004_040", "https://jeminise.com/products/custom-american-football-with-patriotic-flag-comforter-4a3a1ed3c9-4a3a1ed3c9", "serp_qa_040"]</t>
        </is>
      </c>
      <c r="J105" s="3" t="inlineStr">
        <is>
          <t>["ISS-040-DESC", "ISS-040-PERS"]</t>
        </is>
      </c>
    </row>
    <row r="106" ht="42" customHeight="1">
      <c r="A106" s="2" t="inlineStr">
        <is>
          <t>jeminise.com+custom-american-football-with-patriotic-flag-comforter-4a3a1ed3c9-4a3a1ed3c9</t>
        </is>
      </c>
      <c r="B106" s="2" t="inlineStr">
        <is>
          <t>T1</t>
        </is>
      </c>
      <c r="C106" s="2" t="n">
        <v>10</v>
      </c>
      <c r="D106" s="2" t="inlineStr">
        <is>
          <t>FAIL</t>
        </is>
      </c>
      <c r="E106" s="5">
        <f>IF(B106="I1",AVERAGEIF('QA_Images'!$A$2:$A$63,A106,'QA_Images'!$T$2:$T$63)/100,IF(D106="FULL",1,IF(D106="PARTIAL",0.5,IF(D106="FAIL",0,""))))</f>
        <v/>
      </c>
      <c r="F106" s="5">
        <f>IF(E106="",0,C106*E106)</f>
        <v/>
      </c>
      <c r="G106" s="5">
        <f>IF(B106="I1",20*AVERAGEIF('QA_Images'!$A$2:$A$63,A106,'QA_Images'!$U$2:$U$63)/100,IF(D106="NOT_CHECKED",0,C106))</f>
        <v/>
      </c>
      <c r="H106" s="2" t="inlineStr">
        <is>
          <t>Đánh giá SEO title English về độ đúng, tự nhiên, keyword và điểm phân biệt.</t>
        </is>
      </c>
      <c r="I106" s="2" t="inlineStr">
        <is>
          <t>["evidence_batch_004_040", "https://jeminise.com/products/custom-american-football-with-patriotic-flag-comforter-4a3a1ed3c9-4a3a1ed3c9", "serp_qa_040"]</t>
        </is>
      </c>
      <c r="J106" s="2" t="inlineStr">
        <is>
          <t>["ISS-040-DESC", "ISS-040-PERS"]</t>
        </is>
      </c>
    </row>
    <row r="107" ht="42" customHeight="1">
      <c r="A107" s="3" t="inlineStr">
        <is>
          <t>jeminise.com+custom-american-football-with-patriotic-flag-comforter-4a3a1ed3c9-4a3a1ed3c9</t>
        </is>
      </c>
      <c r="B107" s="3" t="inlineStr">
        <is>
          <t>T2</t>
        </is>
      </c>
      <c r="C107" s="3" t="n">
        <v>5</v>
      </c>
      <c r="D107" s="3" t="inlineStr">
        <is>
          <t>FAIL</t>
        </is>
      </c>
      <c r="E107" s="7">
        <f>IF(B107="I1",AVERAGEIF('QA_Images'!$A$2:$A$63,A107,'QA_Images'!$T$2:$T$63)/100,IF(D107="FULL",1,IF(D107="PARTIAL",0.5,IF(D107="FAIL",0,""))))</f>
        <v/>
      </c>
      <c r="F107" s="7">
        <f>IF(E107="",0,C107*E107)</f>
        <v/>
      </c>
      <c r="G107" s="7">
        <f>IF(B107="I1",20*AVERAGEIF('QA_Images'!$A$2:$A$63,A107,'QA_Images'!$U$2:$U$63)/100,IF(D107="NOT_CHECKED",0,C107))</f>
        <v/>
      </c>
      <c r="H107" s="3" t="inlineStr">
        <is>
          <t>Đánh giá H1 đề xuất độc lập với SEO title và đối chiếu lỗi ký tự nguồn.</t>
        </is>
      </c>
      <c r="I107" s="3" t="inlineStr">
        <is>
          <t>["evidence_batch_004_040", "https://jeminise.com/products/custom-american-football-with-patriotic-flag-comforter-4a3a1ed3c9-4a3a1ed3c9", "serp_qa_040"]</t>
        </is>
      </c>
      <c r="J107" s="3" t="inlineStr">
        <is>
          <t>["ISS-040-DESC", "ISS-040-PERS"]</t>
        </is>
      </c>
    </row>
    <row r="108" ht="42" customHeight="1">
      <c r="A108" s="2" t="inlineStr">
        <is>
          <t>jeminise.com+custom-american-football-with-patriotic-flag-comforter-4a3a1ed3c9-4a3a1ed3c9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IF(B108="I1",AVERAGEIF('QA_Images'!$A$2:$A$63,A108,'QA_Images'!$T$2:$T$63)/100,IF(D108="FULL",1,IF(D108="PARTIAL",0.5,IF(D108="FAIL",0,""))))</f>
        <v/>
      </c>
      <c r="F108" s="5">
        <f>IF(E108="",0,C108*E108)</f>
        <v/>
      </c>
      <c r="G108" s="5">
        <f>IF(B108="I1",20*AVERAGEIF('QA_Images'!$A$2:$A$63,A108,'QA_Images'!$U$2:$U$63)/100,IF(D108="NOT_CHECKED",0,C108))</f>
        <v/>
      </c>
      <c r="H108" s="2" t="inlineStr">
        <is>
          <t>Đánh giá meta description về tính cụ thể và căn cứ claim.</t>
        </is>
      </c>
      <c r="I108" s="2" t="inlineStr">
        <is>
          <t>["evidence_batch_004_040", "https://jeminise.com/products/custom-american-football-with-patriotic-flag-comforter-4a3a1ed3c9-4a3a1ed3c9", "serp_qa_040"]</t>
        </is>
      </c>
      <c r="J108" s="2" t="inlineStr">
        <is>
          <t>["ISS-040-DESC", "ISS-040-PERS"]</t>
        </is>
      </c>
    </row>
    <row r="109" ht="42" customHeight="1">
      <c r="A109" s="3" t="inlineStr">
        <is>
          <t>jeminise.com+custom-american-football-with-patriotic-flag-comforter-4a3a1ed3c9-4a3a1ed3c9</t>
        </is>
      </c>
      <c r="B109" s="3" t="inlineStr">
        <is>
          <t>D2</t>
        </is>
      </c>
      <c r="C109" s="3" t="n">
        <v>10</v>
      </c>
      <c r="D109" s="3" t="inlineStr">
        <is>
          <t>FAIL</t>
        </is>
      </c>
      <c r="E109" s="7">
        <f>IF(B109="I1",AVERAGEIF('QA_Images'!$A$2:$A$63,A109,'QA_Images'!$T$2:$T$63)/100,IF(D109="FULL",1,IF(D109="PARTIAL",0.5,IF(D109="FAIL",0,""))))</f>
        <v/>
      </c>
      <c r="F109" s="7">
        <f>IF(E109="",0,C109*E109)</f>
        <v/>
      </c>
      <c r="G109" s="7">
        <f>IF(B109="I1",20*AVERAGEIF('QA_Images'!$A$2:$A$63,A109,'QA_Images'!$U$2:$U$63)/100,IF(D109="NOT_CHECKED",0,C109))</f>
        <v/>
      </c>
      <c r="H109" s="3" t="inlineStr">
        <is>
          <t>Description SET có HTML đầy đủ nhưng chứa câu nội bộ 'This draft should be reviewed...' và dữ liệu nguồn thô/mâu thuẫn; chưa phải nội dung publish-ready.</t>
        </is>
      </c>
      <c r="I109" s="3" t="inlineStr">
        <is>
          <t>["evidence_batch_004_040", "https://jeminise.com/products/custom-american-football-with-patriotic-flag-comforter-4a3a1ed3c9-4a3a1ed3c9", "serp_qa_040"]</t>
        </is>
      </c>
      <c r="J109" s="3" t="inlineStr">
        <is>
          <t>["ISS-040-DESC", "ISS-040-PERS"]</t>
        </is>
      </c>
    </row>
    <row r="110" ht="42" customHeight="1">
      <c r="A110" s="2" t="inlineStr">
        <is>
          <t>jeminise.com+custom-american-football-with-patriotic-flag-comforter-4a3a1ed3c9-4a3a1ed3c9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IF(B110="I1",AVERAGEIF('QA_Images'!$A$2:$A$63,A110,'QA_Images'!$T$2:$T$63)/100,IF(D110="FULL",1,IF(D110="PARTIAL",0.5,IF(D110="FAIL",0,""))))</f>
        <v/>
      </c>
      <c r="F110" s="5">
        <f>IF(E110="",0,C110*E110)</f>
        <v/>
      </c>
      <c r="G110" s="5">
        <f>IF(B110="I1",20*AVERAGEIF('QA_Images'!$A$2:$A$63,A110,'QA_Images'!$U$2:$U$63)/100,IF(D110="NOT_CHECKED",0,C110))</f>
        <v/>
      </c>
      <c r="H110" s="2" t="inlineStr">
        <is>
          <t>Tính từ trung bình 6 ảnh: 100.0000/100.</t>
        </is>
      </c>
      <c r="I110" s="2" t="inlineStr">
        <is>
          <t>["evidence_batch_004_040", "https://jeminise.com/products/custom-american-football-with-patriotic-flag-comforter-4a3a1ed3c9-4a3a1ed3c9", "serp_qa_040"]</t>
        </is>
      </c>
      <c r="J110" s="2" t="inlineStr">
        <is>
          <t>["ISS-040-DESC", "ISS-040-PERS"]</t>
        </is>
      </c>
    </row>
    <row r="111" ht="42" customHeight="1">
      <c r="A111" s="3" t="inlineStr">
        <is>
          <t>jeminise.com+custom-american-football-with-patriotic-flag-comforter-4a3a1ed3c9-4a3a1ed3c9</t>
        </is>
      </c>
      <c r="B111" s="3" t="inlineStr">
        <is>
          <t>E1</t>
        </is>
      </c>
      <c r="C111" s="3" t="n">
        <v>5</v>
      </c>
      <c r="D111" s="3" t="inlineStr">
        <is>
          <t>PARTIAL</t>
        </is>
      </c>
      <c r="E111" s="7">
        <f>IF(B111="I1",AVERAGEIF('QA_Images'!$A$2:$A$63,A111,'QA_Images'!$T$2:$T$63)/100,IF(D111="FULL",1,IF(D111="PARTIAL",0.5,IF(D111="FAIL",0,""))))</f>
        <v/>
      </c>
      <c r="F111" s="7">
        <f>IF(E111="",0,C111*E111)</f>
        <v/>
      </c>
      <c r="G111" s="7">
        <f>IF(B111="I1",20*AVERAGEIF('QA_Images'!$A$2:$A$63,A111,'QA_Images'!$U$2:$U$63)/100,IF(D111="NOT_CHECKED",0,C111))</f>
        <v/>
      </c>
      <c r="H111" s="3" t="inlineStr">
        <is>
          <t>Kiểm tra chuỗi evidence và giới hạn do thiếu admin export/browser tương tác.</t>
        </is>
      </c>
      <c r="I111" s="3" t="inlineStr">
        <is>
          <t>["evidence_batch_004_040", "https://jeminise.com/products/custom-american-football-with-patriotic-flag-comforter-4a3a1ed3c9-4a3a1ed3c9", "serp_qa_040"]</t>
        </is>
      </c>
      <c r="J111" s="3" t="inlineStr">
        <is>
          <t>["ISS-040-DESC", "ISS-040-PERS"]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3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</row>
    <row r="2" ht="66" customHeight="1">
      <c r="A2" s="2" t="inlineStr">
        <is>
          <t>jeminise.com+christmas-cardinals-near-snowy-birdhouse-patchwork-floral-quilt-b90d55a935-b90d55a935</t>
        </is>
      </c>
      <c r="B2" s="2" t="inlineStr">
        <is>
          <t>qaimg_f4dbca08152a7478</t>
        </is>
      </c>
      <c r="C2" s="4" t="inlineStr">
        <is>
          <t>https://cdn.shopify.com/s/files/1/0792/5098/1063/files/cefa39b8e586dae0db27829a045f8d696721e4c0e044144b214323829fbee46b.jpg?v=1785099259</t>
        </is>
      </c>
      <c r="D2" s="4" t="inlineStr">
        <is>
          <t>https://cdn.shopify.com/s/files/1/0792/5098/1063/files/cefa39b8e586dae0db27829a045f8d696721e4c0e044144b214323829fbee46b.jpg?v=1785099259</t>
        </is>
      </c>
      <c r="E2" s="2" t="inlineStr">
        <is>
          <t>38506580508871</t>
        </is>
      </c>
      <c r="F2" s="2" t="inlineStr">
        <is>
          <t>47540019036359</t>
        </is>
      </c>
      <c r="G2" s="2" t="inlineStr"/>
      <c r="H2" s="2" t="inlineStr">
        <is>
          <t>GALLERY</t>
        </is>
      </c>
      <c r="I2" s="2" t="inlineStr">
        <is>
          <t>DIRECT_ORIGINAL_IMAGE</t>
        </is>
      </c>
      <c r="J2" s="2" t="inlineStr">
        <is>
          <t>2026-09-07T10:06:44.827720+07:00</t>
        </is>
      </c>
      <c r="K2" s="2" t="inlineStr">
        <is>
          <t>Front bedroom mockup of a cardinal-and-birdhouse Christmas quilt with poinsettias.</t>
        </is>
      </c>
      <c r="L2" s="2" t="inlineStr">
        <is>
          <t>Main bed mockup showing Christmas cardinal birdhouse quilt with poinsettias.</t>
        </is>
      </c>
      <c r="M2" s="2" t="inlineStr">
        <is>
          <t>Christmas Cardinals Near Snowy Birdhouse Patchwork Floral Quilt</t>
        </is>
      </c>
      <c r="N2" s="2" t="inlineStr">
        <is>
          <t>SET</t>
        </is>
      </c>
      <c r="O2" s="2" t="inlineStr">
        <is>
          <t>Christmas Cardinal Birdhouse Quilt Set displayed on a bed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[]</t>
        </is>
      </c>
      <c r="Z2" s="2" t="inlineStr">
        <is>
          <t>["seo_runs\\jeminise.com\\20260906_234129\\evidence\\images\\31_christmas-cardinals-near-snowy-birdhouse-patchwork-floral-quilt-b90d55a935-b90d55a935\\image_01_47540019036359.jpg; seo_runs\\jeminise.com\\20260906_234129\\evidence\\contact_sheets\\31_christmas-cardinals-near-snowy-birdhouse-patchwork-floral-quilt-b90d55a935-b90d55a935.jpg", "https://jeminise.com/products/christmas-cardinals-near-snowy-birdhouse-patchwork-floral-quilt-b90d55a935-b90d55a935", "https://cdn.shopify.com/s/files/1/0792/5098/1063/files/cefa39b8e586dae0db27829a045f8d696721e4c0e044144b214323829fbee46b.jpg?v=1785099259"]</t>
        </is>
      </c>
    </row>
    <row r="3" ht="66" customHeight="1">
      <c r="A3" s="3" t="inlineStr">
        <is>
          <t>jeminise.com+christmas-cardinals-near-snowy-birdhouse-patchwork-floral-quilt-b90d55a935-b90d55a935</t>
        </is>
      </c>
      <c r="B3" s="3" t="inlineStr">
        <is>
          <t>qaimg_3d3263312998689b</t>
        </is>
      </c>
      <c r="C3" s="4" t="inlineStr">
        <is>
          <t>https://cdn.shopify.com/s/files/1/0792/5098/1063/files/817cf504495341989c34e5153f75779357b3dd16c9af88d5e8f16bf5cdd1d8a4.jpg?v=1785099259</t>
        </is>
      </c>
      <c r="D3" s="4" t="inlineStr">
        <is>
          <t>https://cdn.shopify.com/s/files/1/0792/5098/1063/files/817cf504495341989c34e5153f75779357b3dd16c9af88d5e8f16bf5cdd1d8a4.jpg?v=1785099259</t>
        </is>
      </c>
      <c r="E3" s="3" t="inlineStr">
        <is>
          <t>38506580541639</t>
        </is>
      </c>
      <c r="F3" s="3" t="inlineStr">
        <is>
          <t>47540019069127</t>
        </is>
      </c>
      <c r="G3" s="3" t="inlineStr"/>
      <c r="H3" s="3" t="inlineStr">
        <is>
          <t>GALLERY</t>
        </is>
      </c>
      <c r="I3" s="3" t="inlineStr">
        <is>
          <t>DIRECT_ORIGINAL_IMAGE</t>
        </is>
      </c>
      <c r="J3" s="3" t="inlineStr">
        <is>
          <t>2026-09-07T10:06:44.827720+07:00</t>
        </is>
      </c>
      <c r="K3" s="3" t="inlineStr">
        <is>
          <t>Angled bedroom view with printed-craft feature callouts.</t>
        </is>
      </c>
      <c r="L3" s="3" t="inlineStr">
        <is>
          <t>Angled bedroom mockup showing Christmas cardinal birdhouse quilt with poinsettias.</t>
        </is>
      </c>
      <c r="M3" s="3" t="inlineStr">
        <is>
          <t>Christmas Cardinals Near Snowy Birdhouse Patchwork Floral Quilt</t>
        </is>
      </c>
      <c r="N3" s="3" t="inlineStr">
        <is>
          <t>SET</t>
        </is>
      </c>
      <c r="O3" s="3" t="inlineStr">
        <is>
          <t>Angled bedroom view of Christmas Cardinal Birdhouse Quilt Set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>
        <is>
          <t>[]</t>
        </is>
      </c>
      <c r="Z3" s="3" t="inlineStr">
        <is>
          <t>["seo_runs\\jeminise.com\\20260906_234129\\evidence\\images\\31_christmas-cardinals-near-snowy-birdhouse-patchwork-floral-quilt-b90d55a935-b90d55a935\\image_02_47540019069127.jpg; seo_runs\\jeminise.com\\20260906_234129\\evidence\\contact_sheets\\31_christmas-cardinals-near-snowy-birdhouse-patchwork-floral-quilt-b90d55a935-b90d55a935.jpg", "https://jeminise.com/products/christmas-cardinals-near-snowy-birdhouse-patchwork-floral-quilt-b90d55a935-b90d55a935", "https://cdn.shopify.com/s/files/1/0792/5098/1063/files/817cf504495341989c34e5153f75779357b3dd16c9af88d5e8f16bf5cdd1d8a4.jpg?v=1785099259"]</t>
        </is>
      </c>
    </row>
    <row r="4" ht="66" customHeight="1">
      <c r="A4" s="2" t="inlineStr">
        <is>
          <t>jeminise.com+christmas-cardinals-near-snowy-birdhouse-patchwork-floral-quilt-b90d55a935-b90d55a935</t>
        </is>
      </c>
      <c r="B4" s="2" t="inlineStr">
        <is>
          <t>qaimg_c0b900a11e3c761f</t>
        </is>
      </c>
      <c r="C4" s="4" t="inlineStr">
        <is>
          <t>https://cdn.shopify.com/s/files/1/0792/5098/1063/files/192d8a6eed2602b9a36fbbd7936b0d70ef3680e4dd38270f22af78ba5c23bb4a.jpg?v=1785099259</t>
        </is>
      </c>
      <c r="D4" s="4" t="inlineStr">
        <is>
          <t>https://cdn.shopify.com/s/files/1/0792/5098/1063/files/192d8a6eed2602b9a36fbbd7936b0d70ef3680e4dd38270f22af78ba5c23bb4a.jpg?v=1785099259</t>
        </is>
      </c>
      <c r="E4" s="2" t="inlineStr">
        <is>
          <t>38506580574407</t>
        </is>
      </c>
      <c r="F4" s="2" t="inlineStr">
        <is>
          <t>47540019101895</t>
        </is>
      </c>
      <c r="G4" s="2" t="inlineStr"/>
      <c r="H4" s="2" t="inlineStr">
        <is>
          <t>GALLERY</t>
        </is>
      </c>
      <c r="I4" s="2" t="inlineStr">
        <is>
          <t>DIRECT_ORIGINAL_IMAGE</t>
        </is>
      </c>
      <c r="J4" s="2" t="inlineStr">
        <is>
          <t>2026-09-07T10:06:44.827720+07:00</t>
        </is>
      </c>
      <c r="K4" s="2" t="inlineStr">
        <is>
          <t>Matching pillow shams and lightweight, soft, anti-pill and anti-static callouts.</t>
        </is>
      </c>
      <c r="L4" s="2" t="inlineStr">
        <is>
          <t>Product type comparison or matching pillow sham/detail image for Christmas cardinal birdhouse quilt with poinsettias.</t>
        </is>
      </c>
      <c r="M4" s="2" t="inlineStr">
        <is>
          <t>Christmas Cardinals Near Snowy Birdhouse Patchwork Floral Quilt</t>
        </is>
      </c>
      <c r="N4" s="2" t="inlineStr">
        <is>
          <t>SET</t>
        </is>
      </c>
      <c r="O4" s="2" t="inlineStr">
        <is>
          <t>Matching sham or product info image for Christmas Cardinal Birdhouse Quilt Set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[]</t>
        </is>
      </c>
      <c r="Z4" s="2" t="inlineStr">
        <is>
          <t>["seo_runs\\jeminise.com\\20260906_234129\\evidence\\images\\31_christmas-cardinals-near-snowy-birdhouse-patchwork-floral-quilt-b90d55a935-b90d55a935\\image_03_47540019101895.jpg; seo_runs\\jeminise.com\\20260906_234129\\evidence\\contact_sheets\\31_christmas-cardinals-near-snowy-birdhouse-patchwork-floral-quilt-b90d55a935-b90d55a935.jpg", "https://jeminise.com/products/christmas-cardinals-near-snowy-birdhouse-patchwork-floral-quilt-b90d55a935-b90d55a935", "https://cdn.shopify.com/s/files/1/0792/5098/1063/files/192d8a6eed2602b9a36fbbd7936b0d70ef3680e4dd38270f22af78ba5c23bb4a.jpg?v=1785099259"]</t>
        </is>
      </c>
    </row>
    <row r="5" ht="66" customHeight="1">
      <c r="A5" s="3" t="inlineStr">
        <is>
          <t>jeminise.com+christmas-cardinals-near-snowy-birdhouse-patchwork-floral-quilt-b90d55a935-b90d55a935</t>
        </is>
      </c>
      <c r="B5" s="3" t="inlineStr">
        <is>
          <t>qaimg_cbb1704cddee2f79</t>
        </is>
      </c>
      <c r="C5" s="4" t="inlineStr">
        <is>
          <t>https://cdn.shopify.com/s/files/1/0792/5098/1063/files/a5f492aee10aae43511cc5e9a46710cc38afe374b23731941e7748005cf44564.jpg?v=1785099259</t>
        </is>
      </c>
      <c r="D5" s="4" t="inlineStr">
        <is>
          <t>https://cdn.shopify.com/s/files/1/0792/5098/1063/files/a5f492aee10aae43511cc5e9a46710cc38afe374b23731941e7748005cf44564.jpg?v=1785099259</t>
        </is>
      </c>
      <c r="E5" s="3" t="inlineStr">
        <is>
          <t>38506580607175</t>
        </is>
      </c>
      <c r="F5" s="3" t="inlineStr">
        <is>
          <t>47540019134663</t>
        </is>
      </c>
      <c r="G5" s="3" t="inlineStr"/>
      <c r="H5" s="3" t="inlineStr">
        <is>
          <t>GALLERY</t>
        </is>
      </c>
      <c r="I5" s="3" t="inlineStr">
        <is>
          <t>DIRECT_ORIGINAL_IMAGE</t>
        </is>
      </c>
      <c r="J5" s="3" t="inlineStr">
        <is>
          <t>2026-09-07T10:06:44.827720+07:00</t>
        </is>
      </c>
      <c r="K5" s="3" t="inlineStr">
        <is>
          <t>Fabric-feature panel describing the printed quilt for all-season use.</t>
        </is>
      </c>
      <c r="L5" s="3" t="inlineStr">
        <is>
          <t>Close room/detail or fabric feature image showing Christmas cardinal birdhouse quilt with poinsettias.</t>
        </is>
      </c>
      <c r="M5" s="3" t="inlineStr">
        <is>
          <t>Christmas Cardinals Near Snowy Birdhouse Patchwork Floral Quilt</t>
        </is>
      </c>
      <c r="N5" s="3" t="inlineStr">
        <is>
          <t>SET</t>
        </is>
      </c>
      <c r="O5" s="3" t="inlineStr">
        <is>
          <t>Close-up detail of Christmas cardinal birdhouse quilt with poinsettias</t>
        </is>
      </c>
      <c r="P5" s="3" t="inlineStr">
        <is>
          <t>FULL</t>
        </is>
      </c>
      <c r="Q5" s="3" t="inlineStr">
        <is>
          <t>FULL</t>
        </is>
      </c>
      <c r="R5" s="3" t="inlineStr">
        <is>
          <t>FULL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[]</t>
        </is>
      </c>
      <c r="Z5" s="3" t="inlineStr">
        <is>
          <t>["seo_runs\\jeminise.com\\20260906_234129\\evidence\\images\\31_christmas-cardinals-near-snowy-birdhouse-patchwork-floral-quilt-b90d55a935-b90d55a935\\image_04_47540019134663.jpg; seo_runs\\jeminise.com\\20260906_234129\\evidence\\contact_sheets\\31_christmas-cardinals-near-snowy-birdhouse-patchwork-floral-quilt-b90d55a935-b90d55a935.jpg", "https://jeminise.com/products/christmas-cardinals-near-snowy-birdhouse-patchwork-floral-quilt-b90d55a935-b90d55a935", "https://cdn.shopify.com/s/files/1/0792/5098/1063/files/a5f492aee10aae43511cc5e9a46710cc38afe374b23731941e7748005cf44564.jpg?v=1785099259"]</t>
        </is>
      </c>
    </row>
    <row r="6" ht="66" customHeight="1">
      <c r="A6" s="2" t="inlineStr">
        <is>
          <t>jeminise.com+christmas-cardinals-near-snowy-birdhouse-patchwork-floral-quilt-b90d55a935-b90d55a935</t>
        </is>
      </c>
      <c r="B6" s="2" t="inlineStr">
        <is>
          <t>qaimg_fda5c81e3b5ba7de</t>
        </is>
      </c>
      <c r="C6" s="4" t="inlineStr">
        <is>
          <t>https://cdn.shopify.com/s/files/1/0792/5098/1063/files/578ac27946027e8e5ec1b6c4efdccc50d46e3d6182eed1ca0e62799fb3b416fd.jpg?v=1785099259</t>
        </is>
      </c>
      <c r="D6" s="4" t="inlineStr">
        <is>
          <t>https://cdn.shopify.com/s/files/1/0792/5098/1063/files/578ac27946027e8e5ec1b6c4efdccc50d46e3d6182eed1ca0e62799fb3b416fd.jpg?v=1785099259</t>
        </is>
      </c>
      <c r="E6" s="2" t="inlineStr">
        <is>
          <t>38506580639943</t>
        </is>
      </c>
      <c r="F6" s="2" t="inlineStr">
        <is>
          <t>47540019167431</t>
        </is>
      </c>
      <c r="G6" s="2" t="inlineStr"/>
      <c r="H6" s="2" t="inlineStr">
        <is>
          <t>GALLERY</t>
        </is>
      </c>
      <c r="I6" s="2" t="inlineStr">
        <is>
          <t>DIRECT_ORIGINAL_IMAGE</t>
        </is>
      </c>
      <c r="J6" s="2" t="inlineStr">
        <is>
          <t>2026-09-07T10:06:44.827720+07:00</t>
        </is>
      </c>
      <c r="K6" s="2" t="inlineStr">
        <is>
          <t>Premium quilt-set size chart for Throw, Twin, Full, Queen and King.</t>
        </is>
      </c>
      <c r="L6" s="2" t="inlineStr">
        <is>
          <t>Easy-care or sizing information image for the bedding set.</t>
        </is>
      </c>
      <c r="M6" s="2" t="inlineStr">
        <is>
          <t>Christmas Cardinals Near Snowy Birdhouse Patchwork Floral Quilt</t>
        </is>
      </c>
      <c r="N6" s="2" t="inlineStr">
        <is>
          <t>SET</t>
        </is>
      </c>
      <c r="O6" s="2" t="inlineStr">
        <is>
          <t>Care or size information for Christmas Cardinal Birdhouse Quilt Set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>
        <is>
          <t>[]</t>
        </is>
      </c>
      <c r="Z6" s="2" t="inlineStr">
        <is>
          <t>["seo_runs\\jeminise.com\\20260906_234129\\evidence\\images\\31_christmas-cardinals-near-snowy-birdhouse-patchwork-floral-quilt-b90d55a935-b90d55a935\\image_05_47540019167431.jpg; seo_runs\\jeminise.com\\20260906_234129\\evidence\\contact_sheets\\31_christmas-cardinals-near-snowy-birdhouse-patchwork-floral-quilt-b90d55a935-b90d55a935.jpg", "https://jeminise.com/products/christmas-cardinals-near-snowy-birdhouse-patchwork-floral-quilt-b90d55a935-b90d55a935", "https://cdn.shopify.com/s/files/1/0792/5098/1063/files/578ac27946027e8e5ec1b6c4efdccc50d46e3d6182eed1ca0e62799fb3b416fd.jpg?v=1785099259"]</t>
        </is>
      </c>
    </row>
    <row r="7" ht="66" customHeight="1">
      <c r="A7" s="3" t="inlineStr">
        <is>
          <t>jeminise.com+christmas-cardinals-near-snowy-birdhouse-patchwork-floral-quilt-b90d55a935-b90d55a935</t>
        </is>
      </c>
      <c r="B7" s="3" t="inlineStr">
        <is>
          <t>qaimg_4a4a3594acd52c20</t>
        </is>
      </c>
      <c r="C7" s="4" t="inlineStr">
        <is>
          <t>https://cdn.shopify.com/s/files/1/0792/5098/1063/files/17b3827a8c3b4dbbd608b08c3534148427ac4397354f3f0fe053ed23086269e8.jpg?v=1785099259</t>
        </is>
      </c>
      <c r="D7" s="4" t="inlineStr">
        <is>
          <t>https://cdn.shopify.com/s/files/1/0792/5098/1063/files/17b3827a8c3b4dbbd608b08c3534148427ac4397354f3f0fe053ed23086269e8.jpg?v=1785099259</t>
        </is>
      </c>
      <c r="E7" s="3" t="inlineStr">
        <is>
          <t>38506580672711</t>
        </is>
      </c>
      <c r="F7" s="3" t="inlineStr">
        <is>
          <t>47540019200199</t>
        </is>
      </c>
      <c r="G7" s="3" t="inlineStr"/>
      <c r="H7" s="3" t="inlineStr">
        <is>
          <t>GALLERY</t>
        </is>
      </c>
      <c r="I7" s="3" t="inlineStr">
        <is>
          <t>DIRECT_ORIGINAL_IMAGE</t>
        </is>
      </c>
      <c r="J7" s="3" t="inlineStr">
        <is>
          <t>2026-09-07T10:06:44.827720+07:00</t>
        </is>
      </c>
      <c r="K7" s="3" t="inlineStr">
        <is>
          <t>Material-layer and bedspread-features diagram for top, filling and back layers.</t>
        </is>
      </c>
      <c r="L7" s="3" t="inlineStr">
        <is>
          <t>Size dimension image for twin, full, queen and king bedding options.</t>
        </is>
      </c>
      <c r="M7" s="3" t="inlineStr">
        <is>
          <t>Christmas Cardinals Near Snowy Birdhouse Patchwork Floral Quilt</t>
        </is>
      </c>
      <c r="N7" s="3" t="inlineStr">
        <is>
          <t>SET</t>
        </is>
      </c>
      <c r="O7" s="3" t="inlineStr">
        <is>
          <t>Size dimension guide for Christmas Cardinal Birdhouse Quilt Set</t>
        </is>
      </c>
      <c r="P7" s="3" t="inlineStr">
        <is>
          <t>FULL</t>
        </is>
      </c>
      <c r="Q7" s="3" t="inlineStr">
        <is>
          <t>FAIL</t>
        </is>
      </c>
      <c r="R7" s="3" t="inlineStr">
        <is>
          <t>FAIL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["ISS-031-IMG-06"]</t>
        </is>
      </c>
      <c r="Z7" s="3" t="inlineStr">
        <is>
          <t>["seo_runs\\jeminise.com\\20260906_234129\\evidence\\images\\31_christmas-cardinals-near-snowy-birdhouse-patchwork-floral-quilt-b90d55a935-b90d55a935\\image_06_47540019200199.jpg; seo_runs\\jeminise.com\\20260906_234129\\evidence\\contact_sheets\\31_christmas-cardinals-near-snowy-birdhouse-patchwork-floral-quilt-b90d55a935-b90d55a935.jpg", "https://jeminise.com/products/christmas-cardinals-near-snowy-birdhouse-patchwork-floral-quilt-b90d55a935-b90d55a935", "https://cdn.shopify.com/s/files/1/0792/5098/1063/files/17b3827a8c3b4dbbd608b08c3534148427ac4397354f3f0fe053ed23086269e8.jpg?v=1785099259"]</t>
        </is>
      </c>
    </row>
    <row r="8" ht="66" customHeight="1">
      <c r="A8" s="2" t="inlineStr">
        <is>
          <t>jeminise.com+christmas-cardinals-near-snowy-birdhouse-patchwork-floral-quilt-b90d55a935-b90d55a935</t>
        </is>
      </c>
      <c r="B8" s="2" t="inlineStr">
        <is>
          <t>qaimg_b913d31cc8bddb72</t>
        </is>
      </c>
      <c r="C8" s="4" t="inlineStr">
        <is>
          <t>https://cdn.shopify.com/s/files/1/0792/5098/1063/files/24dc7edea95f70726f65b933a6f8c4826cdc3c896050c2c5109926d64325dd21.jpg?v=1785099258</t>
        </is>
      </c>
      <c r="D8" s="4" t="inlineStr">
        <is>
          <t>https://cdn.shopify.com/s/files/1/0792/5098/1063/files/24dc7edea95f70726f65b933a6f8c4826cdc3c896050c2c5109926d64325dd21.jpg?v=1785099258</t>
        </is>
      </c>
      <c r="E8" s="2" t="inlineStr">
        <is>
          <t>38506580705479</t>
        </is>
      </c>
      <c r="F8" s="2" t="inlineStr">
        <is>
          <t>47540019232967</t>
        </is>
      </c>
      <c r="G8" s="2" t="inlineStr"/>
      <c r="H8" s="2" t="inlineStr">
        <is>
          <t>GALLERY</t>
        </is>
      </c>
      <c r="I8" s="2" t="inlineStr">
        <is>
          <t>DIRECT_ORIGINAL_IMAGE</t>
        </is>
      </c>
      <c r="J8" s="2" t="inlineStr">
        <is>
          <t>2026-09-07T10:06:44.827720+07:00</t>
        </is>
      </c>
      <c r="K8" s="2" t="inlineStr">
        <is>
          <t>Overhead bedroom mockup of the cardinal-and-birdhouse quilt.</t>
        </is>
      </c>
      <c r="L8" s="2" t="inlineStr">
        <is>
          <t>Additional bedroom mockup or product feature image showing Christmas cardinal birdhouse quilt with poinsettias.</t>
        </is>
      </c>
      <c r="M8" s="2" t="inlineStr">
        <is>
          <t>Christmas Cardinals Near Snowy Birdhouse Patchwork Floral Quilt</t>
        </is>
      </c>
      <c r="N8" s="2" t="inlineStr">
        <is>
          <t>SET</t>
        </is>
      </c>
      <c r="O8" s="2" t="inlineStr">
        <is>
          <t>Additional bedroom mockup of Christmas Cardinal Birdhouse Quilt Set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>
        <is>
          <t>[]</t>
        </is>
      </c>
      <c r="Z8" s="2" t="inlineStr">
        <is>
          <t>["seo_runs\\jeminise.com\\20260906_234129\\evidence\\images\\31_christmas-cardinals-near-snowy-birdhouse-patchwork-floral-quilt-b90d55a935-b90d55a935\\image_07_47540019232967.jpg; seo_runs\\jeminise.com\\20260906_234129\\evidence\\contact_sheets\\31_christmas-cardinals-near-snowy-birdhouse-patchwork-floral-quilt-b90d55a935-b90d55a935.jpg", "https://jeminise.com/products/christmas-cardinals-near-snowy-birdhouse-patchwork-floral-quilt-b90d55a935-b90d55a935", "https://cdn.shopify.com/s/files/1/0792/5098/1063/files/24dc7edea95f70726f65b933a6f8c4826cdc3c896050c2c5109926d64325dd21.jpg?v=1785099258"]</t>
        </is>
      </c>
    </row>
    <row r="9" ht="66" customHeight="1">
      <c r="A9" s="3" t="inlineStr">
        <is>
          <t>jeminise.com+christmas-cardinals-on-snowy-branches-patchwork-winter-quilt-8fa1a9e2ed-8fa1a9e2ed</t>
        </is>
      </c>
      <c r="B9" s="3" t="inlineStr">
        <is>
          <t>qaimg_51bd410641e698c4</t>
        </is>
      </c>
      <c r="C9" s="4" t="inlineStr">
        <is>
          <t>https://cdn.shopify.com/s/files/1/0792/5098/1063/files/dac06806abe736aaddf0257ef47ee3581ffb682f1ee70078a493eb9381b34f9f.jpg?v=1785098963</t>
        </is>
      </c>
      <c r="D9" s="4" t="inlineStr">
        <is>
          <t>https://cdn.shopify.com/s/files/1/0792/5098/1063/files/dac06806abe736aaddf0257ef47ee3581ffb682f1ee70078a493eb9381b34f9f.jpg?v=1785098963</t>
        </is>
      </c>
      <c r="E9" s="3" t="inlineStr">
        <is>
          <t>38506549313735</t>
        </is>
      </c>
      <c r="F9" s="3" t="inlineStr">
        <is>
          <t>47539987841223</t>
        </is>
      </c>
      <c r="G9" s="3" t="inlineStr"/>
      <c r="H9" s="3" t="inlineStr">
        <is>
          <t>GALLERY</t>
        </is>
      </c>
      <c r="I9" s="3" t="inlineStr">
        <is>
          <t>DIRECT_ORIGINAL_IMAGE</t>
        </is>
      </c>
      <c r="J9" s="3" t="inlineStr">
        <is>
          <t>2026-09-07T10:06:44.827720+07:00</t>
        </is>
      </c>
      <c r="K9" s="3" t="inlineStr">
        <is>
          <t>Front bedroom mockup with two red cardinals on snowy branches and poinsettias.</t>
        </is>
      </c>
      <c r="L9" s="3" t="inlineStr">
        <is>
          <t>Main bed mockup showing Christmas cardinals snowy branch quilt.</t>
        </is>
      </c>
      <c r="M9" s="3" t="inlineStr">
        <is>
          <t>Christmas Cardinals on Snowy Branches Patchwork Winter Quilt</t>
        </is>
      </c>
      <c r="N9" s="3" t="inlineStr">
        <is>
          <t>SET</t>
        </is>
      </c>
      <c r="O9" s="3" t="inlineStr">
        <is>
          <t>Christmas Cardinals on Snowy Branches Quilt displayed on a bed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FULL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[]</t>
        </is>
      </c>
      <c r="Z9" s="3" t="inlineStr">
        <is>
          <t>["seo_runs\\jeminise.com\\20260906_234129\\evidence\\images\\32_christmas-cardinals-on-snowy-branches-patchwork-winter-quilt-8fa1a9e2ed-8fa1a9e2ed\\image_01_47539987841223.jpg; seo_runs\\jeminise.com\\20260906_234129\\evidence\\contact_sheets\\32_christmas-cardinals-on-snowy-branches-patchwork-winter-quilt-8fa1a9e2ed-8fa1a9e2ed.jpg", "https://jeminise.com/products/christmas-cardinals-on-snowy-branches-patchwork-winter-quilt-8fa1a9e2ed-8fa1a9e2ed", "https://cdn.shopify.com/s/files/1/0792/5098/1063/files/dac06806abe736aaddf0257ef47ee3581ffb682f1ee70078a493eb9381b34f9f.jpg?v=1785098963"]</t>
        </is>
      </c>
    </row>
    <row r="10" ht="66" customHeight="1">
      <c r="A10" s="2" t="inlineStr">
        <is>
          <t>jeminise.com+christmas-cardinals-on-snowy-branches-patchwork-winter-quilt-8fa1a9e2ed-8fa1a9e2ed</t>
        </is>
      </c>
      <c r="B10" s="2" t="inlineStr">
        <is>
          <t>qaimg_48f97a3347959ba9</t>
        </is>
      </c>
      <c r="C10" s="4" t="inlineStr">
        <is>
          <t>https://cdn.shopify.com/s/files/1/0792/5098/1063/files/ab7e4f9484e52e83891e552e58d6a27e151a62e654a01667625d8c86bd6a3295.jpg?v=1785098963</t>
        </is>
      </c>
      <c r="D10" s="4" t="inlineStr">
        <is>
          <t>https://cdn.shopify.com/s/files/1/0792/5098/1063/files/ab7e4f9484e52e83891e552e58d6a27e151a62e654a01667625d8c86bd6a3295.jpg?v=1785098963</t>
        </is>
      </c>
      <c r="E10" s="2" t="inlineStr">
        <is>
          <t>38506549346503</t>
        </is>
      </c>
      <c r="F10" s="2" t="inlineStr">
        <is>
          <t>47539987873991</t>
        </is>
      </c>
      <c r="G10" s="2" t="inlineStr"/>
      <c r="H10" s="2" t="inlineStr">
        <is>
          <t>GALLERY</t>
        </is>
      </c>
      <c r="I10" s="2" t="inlineStr">
        <is>
          <t>DIRECT_ORIGINAL_IMAGE</t>
        </is>
      </c>
      <c r="J10" s="2" t="inlineStr">
        <is>
          <t>2026-09-07T10:06:44.827720+07:00</t>
        </is>
      </c>
      <c r="K10" s="2" t="inlineStr">
        <is>
          <t>Close-up of a red cardinal and the quilted printed surface.</t>
        </is>
      </c>
      <c r="L10" s="2" t="inlineStr">
        <is>
          <t>Angled bedroom mockup showing Christmas cardinals snowy branch quilt.</t>
        </is>
      </c>
      <c r="M10" s="2" t="inlineStr">
        <is>
          <t>Christmas Cardinals on Snowy Branches Patchwork Winter Quilt</t>
        </is>
      </c>
      <c r="N10" s="2" t="inlineStr">
        <is>
          <t>SET</t>
        </is>
      </c>
      <c r="O10" s="2" t="inlineStr">
        <is>
          <t>Angled bedroom view of Christmas Cardinals on Snowy Branches Quilt</t>
        </is>
      </c>
      <c r="P10" s="2" t="inlineStr">
        <is>
          <t>FULL</t>
        </is>
      </c>
      <c r="Q10" s="2" t="inlineStr">
        <is>
          <t>FAIL</t>
        </is>
      </c>
      <c r="R10" s="2" t="inlineStr">
        <is>
          <t>FAIL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>
        <is>
          <t>["ISS-032-IMG-02"]</t>
        </is>
      </c>
      <c r="Z10" s="2" t="inlineStr">
        <is>
          <t>["seo_runs\\jeminise.com\\20260906_234129\\evidence\\images\\32_christmas-cardinals-on-snowy-branches-patchwork-winter-quilt-8fa1a9e2ed-8fa1a9e2ed\\image_02_47539987873991.jpg; seo_runs\\jeminise.com\\20260906_234129\\evidence\\contact_sheets\\32_christmas-cardinals-on-snowy-branches-patchwork-winter-quilt-8fa1a9e2ed-8fa1a9e2ed.jpg", "https://jeminise.com/products/christmas-cardinals-on-snowy-branches-patchwork-winter-quilt-8fa1a9e2ed-8fa1a9e2ed", "https://cdn.shopify.com/s/files/1/0792/5098/1063/files/ab7e4f9484e52e83891e552e58d6a27e151a62e654a01667625d8c86bd6a3295.jpg?v=1785098963"]</t>
        </is>
      </c>
    </row>
    <row r="11" ht="66" customHeight="1">
      <c r="A11" s="3" t="inlineStr">
        <is>
          <t>jeminise.com+christmas-cardinals-on-snowy-branches-patchwork-winter-quilt-8fa1a9e2ed-8fa1a9e2ed</t>
        </is>
      </c>
      <c r="B11" s="3" t="inlineStr">
        <is>
          <t>qaimg_54027ac92d68353f</t>
        </is>
      </c>
      <c r="C11" s="4" t="inlineStr">
        <is>
          <t>https://cdn.shopify.com/s/files/1/0792/5098/1063/files/af11f2e375dabf355f9318fb1eea3b312db7cd0ed95fb4b96e7b537d184a9d42.jpg?v=1785098963</t>
        </is>
      </c>
      <c r="D11" s="4" t="inlineStr">
        <is>
          <t>https://cdn.shopify.com/s/files/1/0792/5098/1063/files/af11f2e375dabf355f9318fb1eea3b312db7cd0ed95fb4b96e7b537d184a9d42.jpg?v=1785098963</t>
        </is>
      </c>
      <c r="E11" s="3" t="inlineStr">
        <is>
          <t>38506549379271</t>
        </is>
      </c>
      <c r="F11" s="3" t="inlineStr">
        <is>
          <t>47539987906759</t>
        </is>
      </c>
      <c r="G11" s="3" t="inlineStr"/>
      <c r="H11" s="3" t="inlineStr">
        <is>
          <t>GALLERY</t>
        </is>
      </c>
      <c r="I11" s="3" t="inlineStr">
        <is>
          <t>DIRECT_ORIGINAL_IMAGE</t>
        </is>
      </c>
      <c r="J11" s="3" t="inlineStr">
        <is>
          <t>2026-09-07T10:06:44.827720+07:00</t>
        </is>
      </c>
      <c r="K11" s="3" t="inlineStr">
        <is>
          <t>Isolated matching pillow sham with cardinal artwork.</t>
        </is>
      </c>
      <c r="L11" s="3" t="inlineStr">
        <is>
          <t>Product type comparison or matching pillow sham/detail image for Christmas cardinals snowy branch quilt.</t>
        </is>
      </c>
      <c r="M11" s="3" t="inlineStr">
        <is>
          <t>Christmas Cardinals on Snowy Branches Patchwork Winter Quilt</t>
        </is>
      </c>
      <c r="N11" s="3" t="inlineStr">
        <is>
          <t>SET</t>
        </is>
      </c>
      <c r="O11" s="3" t="inlineStr">
        <is>
          <t>Matching sham or product info image for Christmas Cardinals on Snowy Branches Quilt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FULL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>
        <is>
          <t>[]</t>
        </is>
      </c>
      <c r="Z11" s="3" t="inlineStr">
        <is>
          <t>["seo_runs\\jeminise.com\\20260906_234129\\evidence\\images\\32_christmas-cardinals-on-snowy-branches-patchwork-winter-quilt-8fa1a9e2ed-8fa1a9e2ed\\image_03_47539987906759.jpg; seo_runs\\jeminise.com\\20260906_234129\\evidence\\contact_sheets\\32_christmas-cardinals-on-snowy-branches-patchwork-winter-quilt-8fa1a9e2ed-8fa1a9e2ed.jpg", "https://jeminise.com/products/christmas-cardinals-on-snowy-branches-patchwork-winter-quilt-8fa1a9e2ed-8fa1a9e2ed", "https://cdn.shopify.com/s/files/1/0792/5098/1063/files/af11f2e375dabf355f9318fb1eea3b312db7cd0ed95fb4b96e7b537d184a9d42.jpg?v=1785098963"]</t>
        </is>
      </c>
    </row>
    <row r="12" ht="66" customHeight="1">
      <c r="A12" s="2" t="inlineStr">
        <is>
          <t>jeminise.com+christmas-cardinals-on-snowy-branches-patchwork-winter-quilt-8fa1a9e2ed-8fa1a9e2ed</t>
        </is>
      </c>
      <c r="B12" s="2" t="inlineStr">
        <is>
          <t>qaimg_819766fd43b5aa2c</t>
        </is>
      </c>
      <c r="C12" s="4" t="inlineStr">
        <is>
          <t>https://cdn.shopify.com/s/files/1/0792/5098/1063/files/f940efaf872da7294b0ec99795596430c32c922db66b35243684820e65417fb3.jpg?v=1785098963</t>
        </is>
      </c>
      <c r="D12" s="4" t="inlineStr">
        <is>
          <t>https://cdn.shopify.com/s/files/1/0792/5098/1063/files/f940efaf872da7294b0ec99795596430c32c922db66b35243684820e65417fb3.jpg?v=1785098963</t>
        </is>
      </c>
      <c r="E12" s="2" t="inlineStr">
        <is>
          <t>38506549412039</t>
        </is>
      </c>
      <c r="F12" s="2" t="inlineStr">
        <is>
          <t>47539987939527</t>
        </is>
      </c>
      <c r="G12" s="2" t="inlineStr"/>
      <c r="H12" s="2" t="inlineStr">
        <is>
          <t>GALLERY</t>
        </is>
      </c>
      <c r="I12" s="2" t="inlineStr">
        <is>
          <t>DIRECT_ORIGINAL_IMAGE</t>
        </is>
      </c>
      <c r="J12" s="2" t="inlineStr">
        <is>
          <t>2026-09-07T10:06:44.827720+07:00</t>
        </is>
      </c>
      <c r="K12" s="2" t="inlineStr">
        <is>
          <t>Angled bedroom mockup of the cardinal quilt.</t>
        </is>
      </c>
      <c r="L12" s="2" t="inlineStr">
        <is>
          <t>Close room/detail or fabric feature image showing Christmas cardinals snowy branch quilt.</t>
        </is>
      </c>
      <c r="M12" s="2" t="inlineStr">
        <is>
          <t>Christmas Cardinals on Snowy Branches Patchwork Winter Quilt</t>
        </is>
      </c>
      <c r="N12" s="2" t="inlineStr">
        <is>
          <t>SET</t>
        </is>
      </c>
      <c r="O12" s="2" t="inlineStr">
        <is>
          <t>Close-up detail of Christmas cardinals snowy branch quilt</t>
        </is>
      </c>
      <c r="P12" s="2" t="inlineStr">
        <is>
          <t>FULL</t>
        </is>
      </c>
      <c r="Q12" s="2" t="inlineStr">
        <is>
          <t>FAIL</t>
        </is>
      </c>
      <c r="R12" s="2" t="inlineStr">
        <is>
          <t>FAIL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["ISS-032-IMG-04"]</t>
        </is>
      </c>
      <c r="Z12" s="2" t="inlineStr">
        <is>
          <t>["seo_runs\\jeminise.com\\20260906_234129\\evidence\\images\\32_christmas-cardinals-on-snowy-branches-patchwork-winter-quilt-8fa1a9e2ed-8fa1a9e2ed\\image_04_47539987939527.jpg; seo_runs\\jeminise.com\\20260906_234129\\evidence\\contact_sheets\\32_christmas-cardinals-on-snowy-branches-patchwork-winter-quilt-8fa1a9e2ed-8fa1a9e2ed.jpg", "https://jeminise.com/products/christmas-cardinals-on-snowy-branches-patchwork-winter-quilt-8fa1a9e2ed-8fa1a9e2ed", "https://cdn.shopify.com/s/files/1/0792/5098/1063/files/f940efaf872da7294b0ec99795596430c32c922db66b35243684820e65417fb3.jpg?v=1785098963"]</t>
        </is>
      </c>
    </row>
    <row r="13" ht="66" customHeight="1">
      <c r="A13" s="3" t="inlineStr">
        <is>
          <t>jeminise.com+christmas-cardinals-on-snowy-branches-patchwork-winter-quilt-8fa1a9e2ed-8fa1a9e2ed</t>
        </is>
      </c>
      <c r="B13" s="3" t="inlineStr">
        <is>
          <t>qaimg_862b54dc20308856</t>
        </is>
      </c>
      <c r="C13" s="4" t="inlineStr">
        <is>
          <t>https://cdn.shopify.com/s/files/1/0792/5098/1063/files/e0cc67382e14f285ae5b93b57a9e0bfb1a6da6368549d710aed5a534af0f3e89.jpg?v=1785098963</t>
        </is>
      </c>
      <c r="D13" s="4" t="inlineStr">
        <is>
          <t>https://cdn.shopify.com/s/files/1/0792/5098/1063/files/e0cc67382e14f285ae5b93b57a9e0bfb1a6da6368549d710aed5a534af0f3e89.jpg?v=1785098963</t>
        </is>
      </c>
      <c r="E13" s="3" t="inlineStr">
        <is>
          <t>38506549444807</t>
        </is>
      </c>
      <c r="F13" s="3" t="inlineStr">
        <is>
          <t>47539987972295</t>
        </is>
      </c>
      <c r="G13" s="3" t="inlineStr"/>
      <c r="H13" s="3" t="inlineStr">
        <is>
          <t>GALLERY</t>
        </is>
      </c>
      <c r="I13" s="3" t="inlineStr">
        <is>
          <t>DIRECT_ORIGINAL_IMAGE</t>
        </is>
      </c>
      <c r="J13" s="3" t="inlineStr">
        <is>
          <t>2026-09-07T10:06:44.827720+07:00</t>
        </is>
      </c>
      <c r="K13" s="3" t="inlineStr">
        <is>
          <t>Included-components and size overlay for quilt and optional shams.</t>
        </is>
      </c>
      <c r="L13" s="3" t="inlineStr">
        <is>
          <t>Easy-care or sizing information image for the bedding set.</t>
        </is>
      </c>
      <c r="M13" s="3" t="inlineStr">
        <is>
          <t>Christmas Cardinals on Snowy Branches Patchwork Winter Quilt</t>
        </is>
      </c>
      <c r="N13" s="3" t="inlineStr">
        <is>
          <t>SET</t>
        </is>
      </c>
      <c r="O13" s="3" t="inlineStr">
        <is>
          <t>Care or size information for Christmas Cardinals on Snowy Branches Quilt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>
        <is>
          <t>[]</t>
        </is>
      </c>
      <c r="Z13" s="3" t="inlineStr">
        <is>
          <t>["seo_runs\\jeminise.com\\20260906_234129\\evidence\\images\\32_christmas-cardinals-on-snowy-branches-patchwork-winter-quilt-8fa1a9e2ed-8fa1a9e2ed\\image_05_47539987972295.jpg; seo_runs\\jeminise.com\\20260906_234129\\evidence\\contact_sheets\\32_christmas-cardinals-on-snowy-branches-patchwork-winter-quilt-8fa1a9e2ed-8fa1a9e2ed.jpg", "https://jeminise.com/products/christmas-cardinals-on-snowy-branches-patchwork-winter-quilt-8fa1a9e2ed-8fa1a9e2ed", "https://cdn.shopify.com/s/files/1/0792/5098/1063/files/e0cc67382e14f285ae5b93b57a9e0bfb1a6da6368549d710aed5a534af0f3e89.jpg?v=1785098963"]</t>
        </is>
      </c>
    </row>
    <row r="14" ht="66" customHeight="1">
      <c r="A14" s="2" t="inlineStr">
        <is>
          <t>jeminise.com+cow-with-landscape-patchwork-quilt-animal-farmhouse-printed-quilt-set</t>
        </is>
      </c>
      <c r="B14" s="2" t="inlineStr">
        <is>
          <t>qaimg_f92e2c13b2543b18</t>
        </is>
      </c>
      <c r="C14" s="4" t="inlineStr">
        <is>
          <t>https://cdn.shopify.com/s/files/1/0792/5098/1063/files/c125a162b81ac7a0917f20a9f0ef6de99ea1d1287c4b81750b47673eae384743.jpg?v=1787233735</t>
        </is>
      </c>
      <c r="D14" s="4" t="inlineStr">
        <is>
          <t>https://cdn.shopify.com/s/files/1/0792/5098/1063/files/c125a162b81ac7a0917f20a9f0ef6de99ea1d1287c4b81750b47673eae384743.jpg?v=1787233735</t>
        </is>
      </c>
      <c r="E14" s="2" t="inlineStr">
        <is>
          <t>38894709899463</t>
        </is>
      </c>
      <c r="F14" s="2" t="inlineStr">
        <is>
          <t>47933468082375</t>
        </is>
      </c>
      <c r="G14" s="2" t="inlineStr"/>
      <c r="H14" s="2" t="inlineStr">
        <is>
          <t>GALLERY</t>
        </is>
      </c>
      <c r="I14" s="2" t="inlineStr">
        <is>
          <t>DIRECT_ORIGINAL_IMAGE</t>
        </is>
      </c>
      <c r="J14" s="2" t="inlineStr">
        <is>
          <t>2026-09-07T10:06:44.827720+07:00</t>
        </is>
      </c>
      <c r="K14" s="2" t="inlineStr">
        <is>
          <t>Front bedroom mockup of a cow-and-sunflower landscape quilt.</t>
        </is>
      </c>
      <c r="L14" s="2" t="inlineStr">
        <is>
          <t>Main bed mockup showing cow and sunflower farmhouse quilt.</t>
        </is>
      </c>
      <c r="M14" s="2" t="inlineStr">
        <is>
          <t>Cow with Landscape Patchwork Quilt, Animal Farmhouse Printed Quilt Set Bedding Set, Premium Patchwork Pattern Quilts Bedspread, Bedding Set with Cow Lover Gift</t>
        </is>
      </c>
      <c r="N14" s="2" t="inlineStr">
        <is>
          <t>SET</t>
        </is>
      </c>
      <c r="O14" s="2" t="inlineStr">
        <is>
          <t>Cow and Sunflower Farmhouse Quilt Set displayed on a bed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[]</t>
        </is>
      </c>
      <c r="Z14" s="2" t="inlineStr">
        <is>
          <t>["seo_runs\\jeminise.com\\20260906_234129\\evidence\\images\\33_cow-with-landscape-patchwork-quilt-animal-farmhouse-printed-quilt-set\\image_01_47933468082375.jpg; seo_runs\\jeminise.com\\20260906_234129\\evidence\\contact_sheets\\33_cow-with-landscape-patchwork-quilt-animal-farmhouse-printed-quilt-set.jpg", "https://jeminise.com/products/cow-with-landscape-patchwork-quilt-animal-farmhouse-printed-quilt-set", "https://cdn.shopify.com/s/files/1/0792/5098/1063/files/c125a162b81ac7a0917f20a9f0ef6de99ea1d1287c4b81750b47673eae384743.jpg?v=1787233735"]</t>
        </is>
      </c>
    </row>
    <row r="15" ht="66" customHeight="1">
      <c r="A15" s="3" t="inlineStr">
        <is>
          <t>jeminise.com+cow-with-landscape-patchwork-quilt-animal-farmhouse-printed-quilt-set</t>
        </is>
      </c>
      <c r="B15" s="3" t="inlineStr">
        <is>
          <t>qaimg_8dce0084092da7e6</t>
        </is>
      </c>
      <c r="C15" s="4" t="inlineStr">
        <is>
          <t>https://cdn.shopify.com/s/files/1/0792/5098/1063/files/7a88284bac324abbd9e85d02486e08e699c97d58643e1069e6adbbc0aaa005b3.jpg?v=1787233735</t>
        </is>
      </c>
      <c r="D15" s="4" t="inlineStr">
        <is>
          <t>https://cdn.shopify.com/s/files/1/0792/5098/1063/files/7a88284bac324abbd9e85d02486e08e699c97d58643e1069e6adbbc0aaa005b3.jpg?v=1787233735</t>
        </is>
      </c>
      <c r="E15" s="3" t="inlineStr">
        <is>
          <t>38894709932231</t>
        </is>
      </c>
      <c r="F15" s="3" t="inlineStr">
        <is>
          <t>47933468115143</t>
        </is>
      </c>
      <c r="G15" s="3" t="inlineStr"/>
      <c r="H15" s="3" t="inlineStr">
        <is>
          <t>GALLERY</t>
        </is>
      </c>
      <c r="I15" s="3" t="inlineStr">
        <is>
          <t>DIRECT_ORIGINAL_IMAGE</t>
        </is>
      </c>
      <c r="J15" s="3" t="inlineStr">
        <is>
          <t>2026-09-07T10:06:44.827720+07:00</t>
        </is>
      </c>
      <c r="K15" s="3" t="inlineStr">
        <is>
          <t>Angled bedroom mockup of the cow-and-sunflower quilt.</t>
        </is>
      </c>
      <c r="L15" s="3" t="inlineStr">
        <is>
          <t>Angled bedroom mockup showing cow and sunflower farmhouse quilt.</t>
        </is>
      </c>
      <c r="M15" s="3" t="inlineStr">
        <is>
          <t>Cow with Landscape Patchwork Quilt, Animal Farmhouse Printed Quilt Set Bedding Set, Premium Patchwork Pattern Quilts Bedspread, Bedding Set with Cow Lover Gift</t>
        </is>
      </c>
      <c r="N15" s="3" t="inlineStr">
        <is>
          <t>SET</t>
        </is>
      </c>
      <c r="O15" s="3" t="inlineStr">
        <is>
          <t>Angled bedroom view of Cow and Sunflower Farmhouse Quilt Set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>
        <is>
          <t>[]</t>
        </is>
      </c>
      <c r="Z15" s="3" t="inlineStr">
        <is>
          <t>["seo_runs\\jeminise.com\\20260906_234129\\evidence\\images\\33_cow-with-landscape-patchwork-quilt-animal-farmhouse-printed-quilt-set\\image_02_47933468115143.jpg; seo_runs\\jeminise.com\\20260906_234129\\evidence\\contact_sheets\\33_cow-with-landscape-patchwork-quilt-animal-farmhouse-printed-quilt-set.jpg", "https://jeminise.com/products/cow-with-landscape-patchwork-quilt-animal-farmhouse-printed-quilt-set", "https://cdn.shopify.com/s/files/1/0792/5098/1063/files/7a88284bac324abbd9e85d02486e08e699c97d58643e1069e6adbbc0aaa005b3.jpg?v=1787233735"]</t>
        </is>
      </c>
    </row>
    <row r="16" ht="66" customHeight="1">
      <c r="A16" s="2" t="inlineStr">
        <is>
          <t>jeminise.com+cow-with-landscape-patchwork-quilt-animal-farmhouse-printed-quilt-set</t>
        </is>
      </c>
      <c r="B16" s="2" t="inlineStr">
        <is>
          <t>qaimg_85c7344673d47a19</t>
        </is>
      </c>
      <c r="C16" s="4" t="inlineStr">
        <is>
          <t>https://cdn.shopify.com/s/files/1/0792/5098/1063/files/f32a0ab9ff68ed03ce7eeb22aba59688cf62bd847260ddb6328da301eba420f1.jpg?v=1787233735</t>
        </is>
      </c>
      <c r="D16" s="4" t="inlineStr">
        <is>
          <t>https://cdn.shopify.com/s/files/1/0792/5098/1063/files/f32a0ab9ff68ed03ce7eeb22aba59688cf62bd847260ddb6328da301eba420f1.jpg?v=1787233735</t>
        </is>
      </c>
      <c r="E16" s="2" t="inlineStr">
        <is>
          <t>38894709964999</t>
        </is>
      </c>
      <c r="F16" s="2" t="inlineStr">
        <is>
          <t>47933468147911</t>
        </is>
      </c>
      <c r="G16" s="2" t="inlineStr"/>
      <c r="H16" s="2" t="inlineStr">
        <is>
          <t>GALLERY</t>
        </is>
      </c>
      <c r="I16" s="2" t="inlineStr">
        <is>
          <t>DIRECT_ORIGINAL_IMAGE</t>
        </is>
      </c>
      <c r="J16" s="2" t="inlineStr">
        <is>
          <t>2026-09-07T10:06:44.827720+07:00</t>
        </is>
      </c>
      <c r="K16" s="2" t="inlineStr">
        <is>
          <t>Matching shams and product-feature callouts.</t>
        </is>
      </c>
      <c r="L16" s="2" t="inlineStr">
        <is>
          <t>Product type comparison or matching pillow sham/detail image for cow and sunflower farmhouse quilt.</t>
        </is>
      </c>
      <c r="M16" s="2" t="inlineStr">
        <is>
          <t>Cow with Landscape Patchwork Quilt, Animal Farmhouse Printed Quilt Set Bedding Set, Premium Patchwork Pattern Quilts Bedspread, Bedding Set with Cow Lover Gift</t>
        </is>
      </c>
      <c r="N16" s="2" t="inlineStr">
        <is>
          <t>SET</t>
        </is>
      </c>
      <c r="O16" s="2" t="inlineStr">
        <is>
          <t>Matching sham or product info image for Cow and Sunflower Farmhouse Quilt Set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>
        <is>
          <t>[]</t>
        </is>
      </c>
      <c r="Z16" s="2" t="inlineStr">
        <is>
          <t>["seo_runs\\jeminise.com\\20260906_234129\\evidence\\images\\33_cow-with-landscape-patchwork-quilt-animal-farmhouse-printed-quilt-set\\image_03_47933468147911.jpg; seo_runs\\jeminise.com\\20260906_234129\\evidence\\contact_sheets\\33_cow-with-landscape-patchwork-quilt-animal-farmhouse-printed-quilt-set.jpg", "https://jeminise.com/products/cow-with-landscape-patchwork-quilt-animal-farmhouse-printed-quilt-set", "https://cdn.shopify.com/s/files/1/0792/5098/1063/files/f32a0ab9ff68ed03ce7eeb22aba59688cf62bd847260ddb6328da301eba420f1.jpg?v=1787233735"]</t>
        </is>
      </c>
    </row>
    <row r="17" ht="66" customHeight="1">
      <c r="A17" s="3" t="inlineStr">
        <is>
          <t>jeminise.com+cow-with-landscape-patchwork-quilt-animal-farmhouse-printed-quilt-set</t>
        </is>
      </c>
      <c r="B17" s="3" t="inlineStr">
        <is>
          <t>qaimg_9855230629ffd67a</t>
        </is>
      </c>
      <c r="C17" s="4" t="inlineStr">
        <is>
          <t>https://cdn.shopify.com/s/files/1/0792/5098/1063/files/1bbca18f85bad17a4319e22b1226d6662eb2bab7b67726b2423904e5d0e36838.jpg?v=1787233735</t>
        </is>
      </c>
      <c r="D17" s="4" t="inlineStr">
        <is>
          <t>https://cdn.shopify.com/s/files/1/0792/5098/1063/files/1bbca18f85bad17a4319e22b1226d6662eb2bab7b67726b2423904e5d0e36838.jpg?v=1787233735</t>
        </is>
      </c>
      <c r="E17" s="3" t="inlineStr">
        <is>
          <t>38894709997767</t>
        </is>
      </c>
      <c r="F17" s="3" t="inlineStr">
        <is>
          <t>47933468180679</t>
        </is>
      </c>
      <c r="G17" s="3" t="inlineStr"/>
      <c r="H17" s="3" t="inlineStr">
        <is>
          <t>GALLERY</t>
        </is>
      </c>
      <c r="I17" s="3" t="inlineStr">
        <is>
          <t>DIRECT_ORIGINAL_IMAGE</t>
        </is>
      </c>
      <c r="J17" s="3" t="inlineStr">
        <is>
          <t>2026-09-07T10:06:44.827720+07:00</t>
        </is>
      </c>
      <c r="K17" s="3" t="inlineStr">
        <is>
          <t>Fabric-feature panel for the printed quilt.</t>
        </is>
      </c>
      <c r="L17" s="3" t="inlineStr">
        <is>
          <t>Close room/detail or fabric feature image showing cow and sunflower farmhouse quilt.</t>
        </is>
      </c>
      <c r="M17" s="3" t="inlineStr">
        <is>
          <t>Cow with Landscape Patchwork Quilt, Animal Farmhouse Printed Quilt Set Bedding Set, Premium Patchwork Pattern Quilts Bedspread, Bedding Set with Cow Lover Gift</t>
        </is>
      </c>
      <c r="N17" s="3" t="inlineStr">
        <is>
          <t>SET</t>
        </is>
      </c>
      <c r="O17" s="3" t="inlineStr">
        <is>
          <t>Close-up detail of cow and sunflower farmhouse quilt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FULL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>
        <is>
          <t>[]</t>
        </is>
      </c>
      <c r="Z17" s="3" t="inlineStr">
        <is>
          <t>["seo_runs\\jeminise.com\\20260906_234129\\evidence\\images\\33_cow-with-landscape-patchwork-quilt-animal-farmhouse-printed-quilt-set\\image_04_47933468180679.jpg; seo_runs\\jeminise.com\\20260906_234129\\evidence\\contact_sheets\\33_cow-with-landscape-patchwork-quilt-animal-farmhouse-printed-quilt-set.jpg", "https://jeminise.com/products/cow-with-landscape-patchwork-quilt-animal-farmhouse-printed-quilt-set", "https://cdn.shopify.com/s/files/1/0792/5098/1063/files/1bbca18f85bad17a4319e22b1226d6662eb2bab7b67726b2423904e5d0e36838.jpg?v=1787233735"]</t>
        </is>
      </c>
    </row>
    <row r="18" ht="66" customHeight="1">
      <c r="A18" s="2" t="inlineStr">
        <is>
          <t>jeminise.com+cow-with-landscape-patchwork-quilt-animal-farmhouse-printed-quilt-set</t>
        </is>
      </c>
      <c r="B18" s="2" t="inlineStr">
        <is>
          <t>qaimg_d89aaedc5fe19b95</t>
        </is>
      </c>
      <c r="C18" s="4" t="inlineStr">
        <is>
          <t>https://cdn.shopify.com/s/files/1/0792/5098/1063/files/32dcd15df2916d5b1b8d8d68f2f607c4714e8c2431775c9aca2dfd45240abd6f.jpg?v=1787233735</t>
        </is>
      </c>
      <c r="D18" s="4" t="inlineStr">
        <is>
          <t>https://cdn.shopify.com/s/files/1/0792/5098/1063/files/32dcd15df2916d5b1b8d8d68f2f607c4714e8c2431775c9aca2dfd45240abd6f.jpg?v=1787233735</t>
        </is>
      </c>
      <c r="E18" s="2" t="inlineStr">
        <is>
          <t>38894710030535</t>
        </is>
      </c>
      <c r="F18" s="2" t="inlineStr">
        <is>
          <t>47933468213447</t>
        </is>
      </c>
      <c r="G18" s="2" t="inlineStr"/>
      <c r="H18" s="2" t="inlineStr">
        <is>
          <t>GALLERY</t>
        </is>
      </c>
      <c r="I18" s="2" t="inlineStr">
        <is>
          <t>DIRECT_ORIGINAL_IMAGE</t>
        </is>
      </c>
      <c r="J18" s="2" t="inlineStr">
        <is>
          <t>2026-09-07T10:06:44.827720+07:00</t>
        </is>
      </c>
      <c r="K18" s="2" t="inlineStr">
        <is>
          <t>Premium quilt-set size chart.</t>
        </is>
      </c>
      <c r="L18" s="2" t="inlineStr">
        <is>
          <t>Easy-care or sizing information image for the bedding set.</t>
        </is>
      </c>
      <c r="M18" s="2" t="inlineStr">
        <is>
          <t>Cow with Landscape Patchwork Quilt, Animal Farmhouse Printed Quilt Set Bedding Set, Premium Patchwork Pattern Quilts Bedspread, Bedding Set with Cow Lover Gift</t>
        </is>
      </c>
      <c r="N18" s="2" t="inlineStr">
        <is>
          <t>SET</t>
        </is>
      </c>
      <c r="O18" s="2" t="inlineStr">
        <is>
          <t>Care or size information for Cow and Sunflower Farmhouse Quilt Set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>
        <is>
          <t>[]</t>
        </is>
      </c>
      <c r="Z18" s="2" t="inlineStr">
        <is>
          <t>["seo_runs\\jeminise.com\\20260906_234129\\evidence\\images\\33_cow-with-landscape-patchwork-quilt-animal-farmhouse-printed-quilt-set\\image_05_47933468213447.jpg; seo_runs\\jeminise.com\\20260906_234129\\evidence\\contact_sheets\\33_cow-with-landscape-patchwork-quilt-animal-farmhouse-printed-quilt-set.jpg", "https://jeminise.com/products/cow-with-landscape-patchwork-quilt-animal-farmhouse-printed-quilt-set", "https://cdn.shopify.com/s/files/1/0792/5098/1063/files/32dcd15df2916d5b1b8d8d68f2f607c4714e8c2431775c9aca2dfd45240abd6f.jpg?v=1787233735"]</t>
        </is>
      </c>
    </row>
    <row r="19" ht="66" customHeight="1">
      <c r="A19" s="3" t="inlineStr">
        <is>
          <t>jeminise.com+cow-with-landscape-patchwork-quilt-animal-farmhouse-printed-quilt-set</t>
        </is>
      </c>
      <c r="B19" s="3" t="inlineStr">
        <is>
          <t>qaimg_401d386d66bc64b7</t>
        </is>
      </c>
      <c r="C19" s="4" t="inlineStr">
        <is>
          <t>https://cdn.shopify.com/s/files/1/0792/5098/1063/files/dc70b03e88939e50ced310aa559c8361dac40ba03af7d4e5a16ecc0308756e3b.jpg?v=1787233735</t>
        </is>
      </c>
      <c r="D19" s="4" t="inlineStr">
        <is>
          <t>https://cdn.shopify.com/s/files/1/0792/5098/1063/files/dc70b03e88939e50ced310aa559c8361dac40ba03af7d4e5a16ecc0308756e3b.jpg?v=1787233735</t>
        </is>
      </c>
      <c r="E19" s="3" t="inlineStr">
        <is>
          <t>38894710063303</t>
        </is>
      </c>
      <c r="F19" s="3" t="inlineStr">
        <is>
          <t>47933468246215</t>
        </is>
      </c>
      <c r="G19" s="3" t="inlineStr"/>
      <c r="H19" s="3" t="inlineStr">
        <is>
          <t>GALLERY</t>
        </is>
      </c>
      <c r="I19" s="3" t="inlineStr">
        <is>
          <t>DIRECT_ORIGINAL_IMAGE</t>
        </is>
      </c>
      <c r="J19" s="3" t="inlineStr">
        <is>
          <t>2026-09-07T10:06:44.827720+07:00</t>
        </is>
      </c>
      <c r="K19" s="3" t="inlineStr">
        <is>
          <t>Material-layer and bedspread-features diagram.</t>
        </is>
      </c>
      <c r="L19" s="3" t="inlineStr">
        <is>
          <t>Size dimension image for twin, full, queen and king bedding options.</t>
        </is>
      </c>
      <c r="M19" s="3" t="inlineStr">
        <is>
          <t>Cow with Landscape Patchwork Quilt, Animal Farmhouse Printed Quilt Set Bedding Set, Premium Patchwork Pattern Quilts Bedspread, Bedding Set with Cow Lover Gift</t>
        </is>
      </c>
      <c r="N19" s="3" t="inlineStr">
        <is>
          <t>SET</t>
        </is>
      </c>
      <c r="O19" s="3" t="inlineStr">
        <is>
          <t>Size dimension guide for Cow and Sunflower Farmhouse Quilt Set</t>
        </is>
      </c>
      <c r="P19" s="3" t="inlineStr">
        <is>
          <t>FULL</t>
        </is>
      </c>
      <c r="Q19" s="3" t="inlineStr">
        <is>
          <t>FAIL</t>
        </is>
      </c>
      <c r="R19" s="3" t="inlineStr">
        <is>
          <t>FAIL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["ISS-033-IMG-06"]</t>
        </is>
      </c>
      <c r="Z19" s="3" t="inlineStr">
        <is>
          <t>["seo_runs\\jeminise.com\\20260906_234129\\evidence\\images\\33_cow-with-landscape-patchwork-quilt-animal-farmhouse-printed-quilt-set\\image_06_47933468246215.jpg; seo_runs\\jeminise.com\\20260906_234129\\evidence\\contact_sheets\\33_cow-with-landscape-patchwork-quilt-animal-farmhouse-printed-quilt-set.jpg", "https://jeminise.com/products/cow-with-landscape-patchwork-quilt-animal-farmhouse-printed-quilt-set", "https://cdn.shopify.com/s/files/1/0792/5098/1063/files/dc70b03e88939e50ced310aa559c8361dac40ba03af7d4e5a16ecc0308756e3b.jpg?v=1787233735"]</t>
        </is>
      </c>
    </row>
    <row r="20" ht="66" customHeight="1">
      <c r="A20" s="2" t="inlineStr">
        <is>
          <t>jeminise.com+cow-with-landscape-patchwork-quilt-animal-farmhouse-printed-quilt-set</t>
        </is>
      </c>
      <c r="B20" s="2" t="inlineStr">
        <is>
          <t>qaimg_52a1c175796aecee</t>
        </is>
      </c>
      <c r="C20" s="4" t="inlineStr">
        <is>
          <t>https://cdn.shopify.com/s/files/1/0792/5098/1063/files/c37475656bf98ea019e9e9887fa4be4c65af24e59e440b0e459561c573680aa0.jpg?v=1787233735</t>
        </is>
      </c>
      <c r="D20" s="4" t="inlineStr">
        <is>
          <t>https://cdn.shopify.com/s/files/1/0792/5098/1063/files/c37475656bf98ea019e9e9887fa4be4c65af24e59e440b0e459561c573680aa0.jpg?v=1787233735</t>
        </is>
      </c>
      <c r="E20" s="2" t="inlineStr">
        <is>
          <t>38894710096071</t>
        </is>
      </c>
      <c r="F20" s="2" t="inlineStr">
        <is>
          <t>47933468278983</t>
        </is>
      </c>
      <c r="G20" s="2" t="inlineStr"/>
      <c r="H20" s="2" t="inlineStr">
        <is>
          <t>GALLERY</t>
        </is>
      </c>
      <c r="I20" s="2" t="inlineStr">
        <is>
          <t>DIRECT_ORIGINAL_IMAGE</t>
        </is>
      </c>
      <c r="J20" s="2" t="inlineStr">
        <is>
          <t>2026-09-07T10:06:44.827720+07:00</t>
        </is>
      </c>
      <c r="K20" s="2" t="inlineStr">
        <is>
          <t>Overhead bedroom mockup of the cow-and-sunflower quilt.</t>
        </is>
      </c>
      <c r="L20" s="2" t="inlineStr">
        <is>
          <t>Additional bedroom mockup or product feature image showing cow and sunflower farmhouse quilt.</t>
        </is>
      </c>
      <c r="M20" s="2" t="inlineStr">
        <is>
          <t>Cow with Landscape Patchwork Quilt, Animal Farmhouse Printed Quilt Set Bedding Set, Premium Patchwork Pattern Quilts Bedspread, Bedding Set with Cow Lover Gift</t>
        </is>
      </c>
      <c r="N20" s="2" t="inlineStr">
        <is>
          <t>SET</t>
        </is>
      </c>
      <c r="O20" s="2" t="inlineStr">
        <is>
          <t>Additional bedroom mockup of Cow and Sunflower Farmhouse Quilt Set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>
        <is>
          <t>[]</t>
        </is>
      </c>
      <c r="Z20" s="2" t="inlineStr">
        <is>
          <t>["seo_runs\\jeminise.com\\20260906_234129\\evidence\\images\\33_cow-with-landscape-patchwork-quilt-animal-farmhouse-printed-quilt-set\\image_07_47933468278983.jpg; seo_runs\\jeminise.com\\20260906_234129\\evidence\\contact_sheets\\33_cow-with-landscape-patchwork-quilt-animal-farmhouse-printed-quilt-set.jpg", "https://jeminise.com/products/cow-with-landscape-patchwork-quilt-animal-farmhouse-printed-quilt-set", "https://cdn.shopify.com/s/files/1/0792/5098/1063/files/c37475656bf98ea019e9e9887fa4be4c65af24e59e440b0e459561c573680aa0.jpg?v=1787233735"]</t>
        </is>
      </c>
    </row>
    <row r="21" ht="66" customHeight="1">
      <c r="A21" s="3" t="inlineStr">
        <is>
          <t>jeminise.com+crocodile-patchwork-printed-quilts-animal-patchwork-bedding</t>
        </is>
      </c>
      <c r="B21" s="3" t="inlineStr">
        <is>
          <t>qaimg_b81e16c8c13a96dc</t>
        </is>
      </c>
      <c r="C21" s="4" t="inlineStr">
        <is>
          <t>https://cdn.shopify.com/s/files/1/0792/5098/1063/files/3c7bf8f759fde9a601188dc9ea3bfb0f79f2706824b7f370fe34e30020f2a202.jpg?v=1787233713</t>
        </is>
      </c>
      <c r="D21" s="4" t="inlineStr">
        <is>
          <t>https://cdn.shopify.com/s/files/1/0792/5098/1063/files/3c7bf8f759fde9a601188dc9ea3bfb0f79f2706824b7f370fe34e30020f2a202.jpg?v=1787233713</t>
        </is>
      </c>
      <c r="E21" s="3" t="inlineStr">
        <is>
          <t>38894707278023</t>
        </is>
      </c>
      <c r="F21" s="3" t="inlineStr">
        <is>
          <t>47933465428167</t>
        </is>
      </c>
      <c r="G21" s="3" t="inlineStr"/>
      <c r="H21" s="3" t="inlineStr">
        <is>
          <t>GALLERY</t>
        </is>
      </c>
      <c r="I21" s="3" t="inlineStr">
        <is>
          <t>DIRECT_ORIGINAL_IMAGE</t>
        </is>
      </c>
      <c r="J21" s="3" t="inlineStr">
        <is>
          <t>2026-09-07T10:06:44.827720+07:00</t>
        </is>
      </c>
      <c r="K21" s="3" t="inlineStr">
        <is>
          <t>Front bedroom mockup of a colorful cartoon crocodile patchwork quilt.</t>
        </is>
      </c>
      <c r="L21" s="3" t="inlineStr">
        <is>
          <t>Main bed mockup showing crocodile patchwork animal quilt.</t>
        </is>
      </c>
      <c r="M21" s="3" t="inlineStr">
        <is>
          <t>Crocodile Patchwork Printed Quilts, Animal Patchwork Bedding - Crocodile Quilt Bedset Style, Premium Quilts Bedspread, Animals Bedding Blanket Gift</t>
        </is>
      </c>
      <c r="N21" s="3" t="inlineStr">
        <is>
          <t>SET</t>
        </is>
      </c>
      <c r="O21" s="3" t="inlineStr">
        <is>
          <t>Crocodile Patchwork Animal Quilt Set displayed on a bed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FULL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[]</t>
        </is>
      </c>
      <c r="Z21" s="3" t="inlineStr">
        <is>
          <t>["seo_runs\\jeminise.com\\20260906_234129\\evidence\\images\\34_crocodile-patchwork-printed-quilts-animal-patchwork-bedding\\image_01_47933465428167.jpg; seo_runs\\jeminise.com\\20260906_234129\\evidence\\contact_sheets\\34_crocodile-patchwork-printed-quilts-animal-patchwork-bedding.jpg", "https://jeminise.com/products/crocodile-patchwork-printed-quilts-animal-patchwork-bedding", "https://cdn.shopify.com/s/files/1/0792/5098/1063/files/3c7bf8f759fde9a601188dc9ea3bfb0f79f2706824b7f370fe34e30020f2a202.jpg?v=1787233713"]</t>
        </is>
      </c>
    </row>
    <row r="22" ht="66" customHeight="1">
      <c r="A22" s="2" t="inlineStr">
        <is>
          <t>jeminise.com+crocodile-patchwork-printed-quilts-animal-patchwork-bedding</t>
        </is>
      </c>
      <c r="B22" s="2" t="inlineStr">
        <is>
          <t>qaimg_cf9cff51e91374cb</t>
        </is>
      </c>
      <c r="C22" s="4" t="inlineStr">
        <is>
          <t>https://cdn.shopify.com/s/files/1/0792/5098/1063/files/45d1fdc812fc32fda9640edc194f4f3eb069b49c9bad423b59abfe172e4a5c89.jpg?v=1787233712</t>
        </is>
      </c>
      <c r="D22" s="4" t="inlineStr">
        <is>
          <t>https://cdn.shopify.com/s/files/1/0792/5098/1063/files/45d1fdc812fc32fda9640edc194f4f3eb069b49c9bad423b59abfe172e4a5c89.jpg?v=1787233712</t>
        </is>
      </c>
      <c r="E22" s="2" t="inlineStr">
        <is>
          <t>38894707310791</t>
        </is>
      </c>
      <c r="F22" s="2" t="inlineStr">
        <is>
          <t>47933465460935</t>
        </is>
      </c>
      <c r="G22" s="2" t="inlineStr"/>
      <c r="H22" s="2" t="inlineStr">
        <is>
          <t>GALLERY</t>
        </is>
      </c>
      <c r="I22" s="2" t="inlineStr">
        <is>
          <t>DIRECT_ORIGINAL_IMAGE</t>
        </is>
      </c>
      <c r="J22" s="2" t="inlineStr">
        <is>
          <t>2026-09-07T10:06:44.827720+07:00</t>
        </is>
      </c>
      <c r="K22" s="2" t="inlineStr">
        <is>
          <t>Angled bedroom mockup of the crocodile patchwork quilt.</t>
        </is>
      </c>
      <c r="L22" s="2" t="inlineStr">
        <is>
          <t>Angled bedroom mockup showing crocodile patchwork animal quilt.</t>
        </is>
      </c>
      <c r="M22" s="2" t="inlineStr">
        <is>
          <t>Crocodile Patchwork Printed Quilts, Animal Patchwork Bedding - Crocodile Quilt Bedset Style, Premium Quilts Bedspread, Animals Bedding Blanket Gift</t>
        </is>
      </c>
      <c r="N22" s="2" t="inlineStr">
        <is>
          <t>SET</t>
        </is>
      </c>
      <c r="O22" s="2" t="inlineStr">
        <is>
          <t>Angled bedroom view of Crocodile Patchwork Animal Quilt Set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>
        <is>
          <t>[]</t>
        </is>
      </c>
      <c r="Z22" s="2" t="inlineStr">
        <is>
          <t>["seo_runs\\jeminise.com\\20260906_234129\\evidence\\images\\34_crocodile-patchwork-printed-quilts-animal-patchwork-bedding\\image_02_47933465460935.jpg; seo_runs\\jeminise.com\\20260906_234129\\evidence\\contact_sheets\\34_crocodile-patchwork-printed-quilts-animal-patchwork-bedding.jpg", "https://jeminise.com/products/crocodile-patchwork-printed-quilts-animal-patchwork-bedding", "https://cdn.shopify.com/s/files/1/0792/5098/1063/files/45d1fdc812fc32fda9640edc194f4f3eb069b49c9bad423b59abfe172e4a5c89.jpg?v=1787233712"]</t>
        </is>
      </c>
    </row>
    <row r="23" ht="66" customHeight="1">
      <c r="A23" s="3" t="inlineStr">
        <is>
          <t>jeminise.com+crocodile-patchwork-printed-quilts-animal-patchwork-bedding</t>
        </is>
      </c>
      <c r="B23" s="3" t="inlineStr">
        <is>
          <t>qaimg_ceb79bff2b6d2ab5</t>
        </is>
      </c>
      <c r="C23" s="4" t="inlineStr">
        <is>
          <t>https://cdn.shopify.com/s/files/1/0792/5098/1063/files/3a2053c767418069e7798a6396238963761e34d481d46bd9d676cc7a722ce425.jpg?v=1787233713</t>
        </is>
      </c>
      <c r="D23" s="4" t="inlineStr">
        <is>
          <t>https://cdn.shopify.com/s/files/1/0792/5098/1063/files/3a2053c767418069e7798a6396238963761e34d481d46bd9d676cc7a722ce425.jpg?v=1787233713</t>
        </is>
      </c>
      <c r="E23" s="3" t="inlineStr">
        <is>
          <t>38894707343559</t>
        </is>
      </c>
      <c r="F23" s="3" t="inlineStr">
        <is>
          <t>47933465493703</t>
        </is>
      </c>
      <c r="G23" s="3" t="inlineStr"/>
      <c r="H23" s="3" t="inlineStr">
        <is>
          <t>GALLERY</t>
        </is>
      </c>
      <c r="I23" s="3" t="inlineStr">
        <is>
          <t>DIRECT_ORIGINAL_IMAGE</t>
        </is>
      </c>
      <c r="J23" s="3" t="inlineStr">
        <is>
          <t>2026-09-07T10:06:44.827720+07:00</t>
        </is>
      </c>
      <c r="K23" s="3" t="inlineStr">
        <is>
          <t>Matching shams and product-feature callouts.</t>
        </is>
      </c>
      <c r="L23" s="3" t="inlineStr">
        <is>
          <t>Product type comparison or matching pillow sham/detail image for crocodile patchwork animal quilt.</t>
        </is>
      </c>
      <c r="M23" s="3" t="inlineStr">
        <is>
          <t>Crocodile Patchwork Printed Quilts, Animal Patchwork Bedding - Crocodile Quilt Bedset Style, Premium Quilts Bedspread, Animals Bedding Blanket Gift</t>
        </is>
      </c>
      <c r="N23" s="3" t="inlineStr">
        <is>
          <t>SET</t>
        </is>
      </c>
      <c r="O23" s="3" t="inlineStr">
        <is>
          <t>Matching sham or product info image for Crocodile Patchwork Animal Quilt Set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FULL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>
        <is>
          <t>[]</t>
        </is>
      </c>
      <c r="Z23" s="3" t="inlineStr">
        <is>
          <t>["seo_runs\\jeminise.com\\20260906_234129\\evidence\\images\\34_crocodile-patchwork-printed-quilts-animal-patchwork-bedding\\image_03_47933465493703.jpg; seo_runs\\jeminise.com\\20260906_234129\\evidence\\contact_sheets\\34_crocodile-patchwork-printed-quilts-animal-patchwork-bedding.jpg", "https://jeminise.com/products/crocodile-patchwork-printed-quilts-animal-patchwork-bedding", "https://cdn.shopify.com/s/files/1/0792/5098/1063/files/3a2053c767418069e7798a6396238963761e34d481d46bd9d676cc7a722ce425.jpg?v=1787233713"]</t>
        </is>
      </c>
    </row>
    <row r="24" ht="66" customHeight="1">
      <c r="A24" s="2" t="inlineStr">
        <is>
          <t>jeminise.com+crocodile-patchwork-printed-quilts-animal-patchwork-bedding</t>
        </is>
      </c>
      <c r="B24" s="2" t="inlineStr">
        <is>
          <t>qaimg_8f34bdc13c168cda</t>
        </is>
      </c>
      <c r="C24" s="4" t="inlineStr">
        <is>
          <t>https://cdn.shopify.com/s/files/1/0792/5098/1063/files/ca1530c052c368c7b33901d9e2fd47aa2d3c8729c2b6a8e94b515887302df3a0.jpg?v=1787233712</t>
        </is>
      </c>
      <c r="D24" s="4" t="inlineStr">
        <is>
          <t>https://cdn.shopify.com/s/files/1/0792/5098/1063/files/ca1530c052c368c7b33901d9e2fd47aa2d3c8729c2b6a8e94b515887302df3a0.jpg?v=1787233712</t>
        </is>
      </c>
      <c r="E24" s="2" t="inlineStr">
        <is>
          <t>38894707376327</t>
        </is>
      </c>
      <c r="F24" s="2" t="inlineStr">
        <is>
          <t>47933465526471</t>
        </is>
      </c>
      <c r="G24" s="2" t="inlineStr"/>
      <c r="H24" s="2" t="inlineStr">
        <is>
          <t>GALLERY</t>
        </is>
      </c>
      <c r="I24" s="2" t="inlineStr">
        <is>
          <t>DIRECT_ORIGINAL_IMAGE</t>
        </is>
      </c>
      <c r="J24" s="2" t="inlineStr">
        <is>
          <t>2026-09-07T10:06:44.827720+07:00</t>
        </is>
      </c>
      <c r="K24" s="2" t="inlineStr">
        <is>
          <t>Fabric-feature panel for the printed quilt.</t>
        </is>
      </c>
      <c r="L24" s="2" t="inlineStr">
        <is>
          <t>Close room/detail or fabric feature image showing crocodile patchwork animal quilt.</t>
        </is>
      </c>
      <c r="M24" s="2" t="inlineStr">
        <is>
          <t>Crocodile Patchwork Printed Quilts, Animal Patchwork Bedding - Crocodile Quilt Bedset Style, Premium Quilts Bedspread, Animals Bedding Blanket Gift</t>
        </is>
      </c>
      <c r="N24" s="2" t="inlineStr">
        <is>
          <t>SET</t>
        </is>
      </c>
      <c r="O24" s="2" t="inlineStr">
        <is>
          <t>Close-up detail of crocodile patchwork animal quilt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>
        <is>
          <t>[]</t>
        </is>
      </c>
      <c r="Z24" s="2" t="inlineStr">
        <is>
          <t>["seo_runs\\jeminise.com\\20260906_234129\\evidence\\images\\34_crocodile-patchwork-printed-quilts-animal-patchwork-bedding\\image_04_47933465526471.jpg; seo_runs\\jeminise.com\\20260906_234129\\evidence\\contact_sheets\\34_crocodile-patchwork-printed-quilts-animal-patchwork-bedding.jpg", "https://jeminise.com/products/crocodile-patchwork-printed-quilts-animal-patchwork-bedding", "https://cdn.shopify.com/s/files/1/0792/5098/1063/files/ca1530c052c368c7b33901d9e2fd47aa2d3c8729c2b6a8e94b515887302df3a0.jpg?v=1787233712"]</t>
        </is>
      </c>
    </row>
    <row r="25" ht="66" customHeight="1">
      <c r="A25" s="3" t="inlineStr">
        <is>
          <t>jeminise.com+crocodile-patchwork-printed-quilts-animal-patchwork-bedding</t>
        </is>
      </c>
      <c r="B25" s="3" t="inlineStr">
        <is>
          <t>qaimg_9ccb991be2a3859a</t>
        </is>
      </c>
      <c r="C25" s="4" t="inlineStr">
        <is>
          <t>https://cdn.shopify.com/s/files/1/0792/5098/1063/files/1fa8058540449ec4eb68c35fe7ec37e0856cc71fc7a5029d3951ed6945165bfc.jpg?v=1787233713</t>
        </is>
      </c>
      <c r="D25" s="4" t="inlineStr">
        <is>
          <t>https://cdn.shopify.com/s/files/1/0792/5098/1063/files/1fa8058540449ec4eb68c35fe7ec37e0856cc71fc7a5029d3951ed6945165bfc.jpg?v=1787233713</t>
        </is>
      </c>
      <c r="E25" s="3" t="inlineStr">
        <is>
          <t>38894707409095</t>
        </is>
      </c>
      <c r="F25" s="3" t="inlineStr">
        <is>
          <t>47933465559239</t>
        </is>
      </c>
      <c r="G25" s="3" t="inlineStr"/>
      <c r="H25" s="3" t="inlineStr">
        <is>
          <t>GALLERY</t>
        </is>
      </c>
      <c r="I25" s="3" t="inlineStr">
        <is>
          <t>DIRECT_ORIGINAL_IMAGE</t>
        </is>
      </c>
      <c r="J25" s="3" t="inlineStr">
        <is>
          <t>2026-09-07T10:06:44.827720+07:00</t>
        </is>
      </c>
      <c r="K25" s="3" t="inlineStr">
        <is>
          <t>Premium quilt-set size chart.</t>
        </is>
      </c>
      <c r="L25" s="3" t="inlineStr">
        <is>
          <t>Easy-care or sizing information image for the bedding set.</t>
        </is>
      </c>
      <c r="M25" s="3" t="inlineStr">
        <is>
          <t>Crocodile Patchwork Printed Quilts, Animal Patchwork Bedding - Crocodile Quilt Bedset Style, Premium Quilts Bedspread, Animals Bedding Blanket Gift</t>
        </is>
      </c>
      <c r="N25" s="3" t="inlineStr">
        <is>
          <t>SET</t>
        </is>
      </c>
      <c r="O25" s="3" t="inlineStr">
        <is>
          <t>Care or size information for Crocodile Patchwork Animal Quilt Set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>
        <is>
          <t>[]</t>
        </is>
      </c>
      <c r="Z25" s="3" t="inlineStr">
        <is>
          <t>["seo_runs\\jeminise.com\\20260906_234129\\evidence\\images\\34_crocodile-patchwork-printed-quilts-animal-patchwork-bedding\\image_05_47933465559239.jpg; seo_runs\\jeminise.com\\20260906_234129\\evidence\\contact_sheets\\34_crocodile-patchwork-printed-quilts-animal-patchwork-bedding.jpg", "https://jeminise.com/products/crocodile-patchwork-printed-quilts-animal-patchwork-bedding", "https://cdn.shopify.com/s/files/1/0792/5098/1063/files/1fa8058540449ec4eb68c35fe7ec37e0856cc71fc7a5029d3951ed6945165bfc.jpg?v=1787233713"]</t>
        </is>
      </c>
    </row>
    <row r="26" ht="66" customHeight="1">
      <c r="A26" s="2" t="inlineStr">
        <is>
          <t>jeminise.com+crocodile-patchwork-printed-quilts-animal-patchwork-bedding</t>
        </is>
      </c>
      <c r="B26" s="2" t="inlineStr">
        <is>
          <t>qaimg_48c3818edf46b065</t>
        </is>
      </c>
      <c r="C26" s="4" t="inlineStr">
        <is>
          <t>https://cdn.shopify.com/s/files/1/0792/5098/1063/files/71e21ed6c41ef40003dcc207eada8ae5687d7cdc52c7c96941fafe821b96cf71.jpg?v=1787233712</t>
        </is>
      </c>
      <c r="D26" s="4" t="inlineStr">
        <is>
          <t>https://cdn.shopify.com/s/files/1/0792/5098/1063/files/71e21ed6c41ef40003dcc207eada8ae5687d7cdc52c7c96941fafe821b96cf71.jpg?v=1787233712</t>
        </is>
      </c>
      <c r="E26" s="2" t="inlineStr">
        <is>
          <t>38894707441863</t>
        </is>
      </c>
      <c r="F26" s="2" t="inlineStr">
        <is>
          <t>47933465592007</t>
        </is>
      </c>
      <c r="G26" s="2" t="inlineStr"/>
      <c r="H26" s="2" t="inlineStr">
        <is>
          <t>GALLERY</t>
        </is>
      </c>
      <c r="I26" s="2" t="inlineStr">
        <is>
          <t>DIRECT_ORIGINAL_IMAGE</t>
        </is>
      </c>
      <c r="J26" s="2" t="inlineStr">
        <is>
          <t>2026-09-07T10:06:44.827720+07:00</t>
        </is>
      </c>
      <c r="K26" s="2" t="inlineStr">
        <is>
          <t>Material-layer and bedspread-features diagram.</t>
        </is>
      </c>
      <c r="L26" s="2" t="inlineStr">
        <is>
          <t>Size dimension image for twin, full, queen and king bedding options.</t>
        </is>
      </c>
      <c r="M26" s="2" t="inlineStr">
        <is>
          <t>Crocodile Patchwork Printed Quilts, Animal Patchwork Bedding - Crocodile Quilt Bedset Style, Premium Quilts Bedspread, Animals Bedding Blanket Gift</t>
        </is>
      </c>
      <c r="N26" s="2" t="inlineStr">
        <is>
          <t>SET</t>
        </is>
      </c>
      <c r="O26" s="2" t="inlineStr">
        <is>
          <t>Size dimension guide for Crocodile Patchwork Animal Quilt Set</t>
        </is>
      </c>
      <c r="P26" s="2" t="inlineStr">
        <is>
          <t>FULL</t>
        </is>
      </c>
      <c r="Q26" s="2" t="inlineStr">
        <is>
          <t>FAIL</t>
        </is>
      </c>
      <c r="R26" s="2" t="inlineStr">
        <is>
          <t>FAIL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>
        <is>
          <t>["ISS-034-IMG-06"]</t>
        </is>
      </c>
      <c r="Z26" s="2" t="inlineStr">
        <is>
          <t>["seo_runs\\jeminise.com\\20260906_234129\\evidence\\images\\34_crocodile-patchwork-printed-quilts-animal-patchwork-bedding\\image_06_47933465592007.jpg; seo_runs\\jeminise.com\\20260906_234129\\evidence\\contact_sheets\\34_crocodile-patchwork-printed-quilts-animal-patchwork-bedding.jpg", "https://jeminise.com/products/crocodile-patchwork-printed-quilts-animal-patchwork-bedding", "https://cdn.shopify.com/s/files/1/0792/5098/1063/files/71e21ed6c41ef40003dcc207eada8ae5687d7cdc52c7c96941fafe821b96cf71.jpg?v=1787233712"]</t>
        </is>
      </c>
    </row>
    <row r="27" ht="66" customHeight="1">
      <c r="A27" s="3" t="inlineStr">
        <is>
          <t>jeminise.com+crocodile-patchwork-printed-quilts-animal-patchwork-bedding</t>
        </is>
      </c>
      <c r="B27" s="3" t="inlineStr">
        <is>
          <t>qaimg_4e33dafc514aa39a</t>
        </is>
      </c>
      <c r="C27" s="4" t="inlineStr">
        <is>
          <t>https://cdn.shopify.com/s/files/1/0792/5098/1063/files/2e61c65733910ced1b3279c5c08d3d803cc79f9b416df50e273ff128a85b4f69.jpg?v=1787233712</t>
        </is>
      </c>
      <c r="D27" s="4" t="inlineStr">
        <is>
          <t>https://cdn.shopify.com/s/files/1/0792/5098/1063/files/2e61c65733910ced1b3279c5c08d3d803cc79f9b416df50e273ff128a85b4f69.jpg?v=1787233712</t>
        </is>
      </c>
      <c r="E27" s="3" t="inlineStr">
        <is>
          <t>38894707474631</t>
        </is>
      </c>
      <c r="F27" s="3" t="inlineStr">
        <is>
          <t>47933465624775</t>
        </is>
      </c>
      <c r="G27" s="3" t="inlineStr"/>
      <c r="H27" s="3" t="inlineStr">
        <is>
          <t>GALLERY</t>
        </is>
      </c>
      <c r="I27" s="3" t="inlineStr">
        <is>
          <t>DIRECT_ORIGINAL_IMAGE</t>
        </is>
      </c>
      <c r="J27" s="3" t="inlineStr">
        <is>
          <t>2026-09-07T10:06:44.827720+07:00</t>
        </is>
      </c>
      <c r="K27" s="3" t="inlineStr">
        <is>
          <t>Overhead bedroom mockup of the crocodile patchwork quilt.</t>
        </is>
      </c>
      <c r="L27" s="3" t="inlineStr">
        <is>
          <t>Additional bedroom mockup or product feature image showing crocodile patchwork animal quilt.</t>
        </is>
      </c>
      <c r="M27" s="3" t="inlineStr">
        <is>
          <t>Crocodile Patchwork Printed Quilts, Animal Patchwork Bedding - Crocodile Quilt Bedset Style, Premium Quilts Bedspread, Animals Bedding Blanket Gift</t>
        </is>
      </c>
      <c r="N27" s="3" t="inlineStr">
        <is>
          <t>SET</t>
        </is>
      </c>
      <c r="O27" s="3" t="inlineStr">
        <is>
          <t>Additional bedroom mockup of Crocodile Patchwork Animal Quilt Set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>
        <is>
          <t>[]</t>
        </is>
      </c>
      <c r="Z27" s="3" t="inlineStr">
        <is>
          <t>["seo_runs\\jeminise.com\\20260906_234129\\evidence\\images\\34_crocodile-patchwork-printed-quilts-animal-patchwork-bedding\\image_07_47933465624775.jpg; seo_runs\\jeminise.com\\20260906_234129\\evidence\\contact_sheets\\34_crocodile-patchwork-printed-quilts-animal-patchwork-bedding.jpg", "https://jeminise.com/products/crocodile-patchwork-printed-quilts-animal-patchwork-bedding", "https://cdn.shopify.com/s/files/1/0792/5098/1063/files/2e61c65733910ced1b3279c5c08d3d803cc79f9b416df50e273ff128a85b4f69.jpg?v=1787233712"]</t>
        </is>
      </c>
    </row>
    <row r="28" ht="66" customHeight="1">
      <c r="A28" s="2" t="inlineStr">
        <is>
          <t>jeminise.com+custom-retro-football-art-bedding-set-c66211cf75-c66211cf75</t>
        </is>
      </c>
      <c r="B28" s="2" t="inlineStr">
        <is>
          <t>qaimg_e603dbf4cab95661</t>
        </is>
      </c>
      <c r="C28" s="4" t="inlineStr">
        <is>
          <t>https://cdn.shopify.com/s/files/1/0792/5098/1063/files/cd93064cff49abd094a4b54d4c8521f964011ef3177c132c9e7664b7ae385495.jpg?v=1785101924</t>
        </is>
      </c>
      <c r="D28" s="4" t="inlineStr">
        <is>
          <t>https://cdn.shopify.com/s/files/1/0792/5098/1063/files/cd93064cff49abd094a4b54d4c8521f964011ef3177c132c9e7664b7ae385495.jpg?v=1785101924</t>
        </is>
      </c>
      <c r="E28" s="2" t="inlineStr">
        <is>
          <t>38506866671815</t>
        </is>
      </c>
      <c r="F28" s="2" t="inlineStr">
        <is>
          <t>47540306837703</t>
        </is>
      </c>
      <c r="G28" s="2" t="inlineStr"/>
      <c r="H28" s="2" t="inlineStr">
        <is>
          <t>GALLERY</t>
        </is>
      </c>
      <c r="I28" s="2" t="inlineStr">
        <is>
          <t>DIRECT_ORIGINAL_IMAGE</t>
        </is>
      </c>
      <c r="J28" s="2" t="inlineStr">
        <is>
          <t>2026-09-07T10:06:44.827720+07:00</t>
        </is>
      </c>
      <c r="K28" s="2" t="inlineStr">
        <is>
          <t>Main bed view of a football on a vintage US flag with sample name Kevin and number 15.</t>
        </is>
      </c>
      <c r="L28" s="2" t="inlineStr">
        <is>
          <t>Main bed mockup showing personalized football flag comforter with the name Kevin and number 15.</t>
        </is>
      </c>
      <c r="M28" s="2" t="inlineStr">
        <is>
          <t>Custom American Football Close Up on Flag Comforter</t>
        </is>
      </c>
      <c r="N28" s="2" t="inlineStr">
        <is>
          <t>SET</t>
        </is>
      </c>
      <c r="O28" s="2" t="inlineStr">
        <is>
          <t>Personalized American Football Comforter Set displayed on a bed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[]</t>
        </is>
      </c>
      <c r="Z28" s="2" t="inlineStr">
        <is>
          <t>["seo_runs\\jeminise.com\\20260906_234129\\evidence\\images\\35_custom-retro-football-art-bedding-set-c66211cf75-c66211cf75\\image_01_47540306837703.jpg; seo_runs\\jeminise.com\\20260906_234129\\evidence\\contact_sheets\\35_custom-retro-football-art-bedding-set-c66211cf75-c66211cf75.jpg", "https://jeminise.com/products/custom-retro-football-art-bedding-set-c66211cf75-c66211cf75", "https://cdn.shopify.com/s/files/1/0792/5098/1063/files/cd93064cff49abd094a4b54d4c8521f964011ef3177c132c9e7664b7ae385495.jpg?v=1785101924"]</t>
        </is>
      </c>
    </row>
    <row r="29" ht="66" customHeight="1">
      <c r="A29" s="3" t="inlineStr">
        <is>
          <t>jeminise.com+custom-retro-football-art-bedding-set-c66211cf75-c66211cf75</t>
        </is>
      </c>
      <c r="B29" s="3" t="inlineStr">
        <is>
          <t>qaimg_66c95d2fbc8f9bc7</t>
        </is>
      </c>
      <c r="C29" s="4" t="inlineStr">
        <is>
          <t>https://cdn.shopify.com/s/files/1/0792/5098/1063/files/384ec0bb85a1c394b826a8ce0cc726e412f6f9248512418013abccd1c39244e3.jpg?v=1785101924</t>
        </is>
      </c>
      <c r="D29" s="4" t="inlineStr">
        <is>
          <t>https://cdn.shopify.com/s/files/1/0792/5098/1063/files/384ec0bb85a1c394b826a8ce0cc726e412f6f9248512418013abccd1c39244e3.jpg?v=1785101924</t>
        </is>
      </c>
      <c r="E29" s="3" t="inlineStr">
        <is>
          <t>38506866704583</t>
        </is>
      </c>
      <c r="F29" s="3" t="inlineStr">
        <is>
          <t>47540306870471</t>
        </is>
      </c>
      <c r="G29" s="3" t="inlineStr"/>
      <c r="H29" s="3" t="inlineStr">
        <is>
          <t>GALLERY</t>
        </is>
      </c>
      <c r="I29" s="3" t="inlineStr">
        <is>
          <t>DIRECT_ORIGINAL_IMAGE</t>
        </is>
      </c>
      <c r="J29" s="3" t="inlineStr">
        <is>
          <t>2026-09-07T10:06:44.827720+07:00</t>
        </is>
      </c>
      <c r="K29" s="3" t="inlineStr">
        <is>
          <t>Angled bedroom view of the same Kevin 15 football design.</t>
        </is>
      </c>
      <c r="L29" s="3" t="inlineStr">
        <is>
          <t>Angled bedroom mockup showing personalized football flag comforter with the name Kevin and number 15.</t>
        </is>
      </c>
      <c r="M29" s="3" t="inlineStr">
        <is>
          <t>Custom American Football Close Up on Flag Comforter</t>
        </is>
      </c>
      <c r="N29" s="3" t="inlineStr">
        <is>
          <t>SET</t>
        </is>
      </c>
      <c r="O29" s="3" t="inlineStr">
        <is>
          <t>Angled bedroom view of Personalized American Football Comforter Set</t>
        </is>
      </c>
      <c r="P29" s="3" t="inlineStr">
        <is>
          <t>FULL</t>
        </is>
      </c>
      <c r="Q29" s="3" t="inlineStr">
        <is>
          <t>FULL</t>
        </is>
      </c>
      <c r="R29" s="3" t="inlineStr">
        <is>
          <t>FULL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>
        <is>
          <t>[]</t>
        </is>
      </c>
      <c r="Z29" s="3" t="inlineStr">
        <is>
          <t>["seo_runs\\jeminise.com\\20260906_234129\\evidence\\images\\35_custom-retro-football-art-bedding-set-c66211cf75-c66211cf75\\image_02_47540306870471.jpg; seo_runs\\jeminise.com\\20260906_234129\\evidence\\contact_sheets\\35_custom-retro-football-art-bedding-set-c66211cf75-c66211cf75.jpg", "https://jeminise.com/products/custom-retro-football-art-bedding-set-c66211cf75-c66211cf75", "https://cdn.shopify.com/s/files/1/0792/5098/1063/files/384ec0bb85a1c394b826a8ce0cc726e412f6f9248512418013abccd1c39244e3.jpg?v=1785101924"]</t>
        </is>
      </c>
    </row>
    <row r="30" ht="66" customHeight="1">
      <c r="A30" s="2" t="inlineStr">
        <is>
          <t>jeminise.com+custom-retro-football-art-bedding-set-c66211cf75-c66211cf75</t>
        </is>
      </c>
      <c r="B30" s="2" t="inlineStr">
        <is>
          <t>qaimg_0a99e05bcda79ee0</t>
        </is>
      </c>
      <c r="C30" s="4" t="inlineStr">
        <is>
          <t>https://cdn.shopify.com/s/files/1/0792/5098/1063/files/16f7293cbefa5743a35b2e6316a5a114e5c052d08151e367dafd26aa5e2e542b_1645c7b1-7dd0-4432-8f0e-842386b9a1b7.jpg?v=1785101924</t>
        </is>
      </c>
      <c r="D30" s="4" t="inlineStr">
        <is>
          <t>https://cdn.shopify.com/s/files/1/0792/5098/1063/files/16f7293cbefa5743a35b2e6316a5a114e5c052d08151e367dafd26aa5e2e542b_1645c7b1-7dd0-4432-8f0e-842386b9a1b7.jpg?v=1785101924</t>
        </is>
      </c>
      <c r="E30" s="2" t="inlineStr">
        <is>
          <t>38506866737351</t>
        </is>
      </c>
      <c r="F30" s="2" t="inlineStr">
        <is>
          <t>47540306903239</t>
        </is>
      </c>
      <c r="G30" s="2" t="inlineStr"/>
      <c r="H30" s="2" t="inlineStr">
        <is>
          <t>GALLERY</t>
        </is>
      </c>
      <c r="I30" s="2" t="inlineStr">
        <is>
          <t>DIRECT_ORIGINAL_IMAGE</t>
        </is>
      </c>
      <c r="J30" s="2" t="inlineStr">
        <is>
          <t>2026-09-07T10:06:44.827720+07:00</t>
        </is>
      </c>
      <c r="K30" s="2" t="inlineStr">
        <is>
          <t>Duvet-cover versus comforter product-type comparison.</t>
        </is>
      </c>
      <c r="L30" s="2" t="inlineStr">
        <is>
          <t>Product type comparison or matching pillow sham/detail image for personalized football flag comforter with the name Kevin and number 15.</t>
        </is>
      </c>
      <c r="M30" s="2" t="inlineStr">
        <is>
          <t>Custom American Football Close Up on Flag Comforter</t>
        </is>
      </c>
      <c r="N30" s="2" t="inlineStr">
        <is>
          <t>SET</t>
        </is>
      </c>
      <c r="O30" s="2" t="inlineStr">
        <is>
          <t>Matching sham or product info image for Personalized American Football Comforter Set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FULL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[]</t>
        </is>
      </c>
      <c r="Z30" s="2" t="inlineStr">
        <is>
          <t>["seo_runs\\jeminise.com\\20260906_234129\\evidence\\images\\35_custom-retro-football-art-bedding-set-c66211cf75-c66211cf75\\image_03_47540306903239.jpg; seo_runs\\jeminise.com\\20260906_234129\\evidence\\contact_sheets\\35_custom-retro-football-art-bedding-set-c66211cf75-c66211cf75.jpg", "https://jeminise.com/products/custom-retro-football-art-bedding-set-c66211cf75-c66211cf75", "https://cdn.shopify.com/s/files/1/0792/5098/1063/files/16f7293cbefa5743a35b2e6316a5a114e5c052d08151e367dafd26aa5e2e542b_1645c7b1-7dd0-4432-8f0e-842386b9a1b7.jpg?v=1785101924"]</t>
        </is>
      </c>
    </row>
    <row r="31" ht="66" customHeight="1">
      <c r="A31" s="3" t="inlineStr">
        <is>
          <t>jeminise.com+custom-retro-football-art-bedding-set-c66211cf75-c66211cf75</t>
        </is>
      </c>
      <c r="B31" s="3" t="inlineStr">
        <is>
          <t>qaimg_d02ae0d8ea1a2f0b</t>
        </is>
      </c>
      <c r="C31" s="4" t="inlineStr">
        <is>
          <t>https://cdn.shopify.com/s/files/1/0792/5098/1063/files/3e41b1b3613ae8424f256e83517163fa8317c8d737d739882986d6ecc0324617.jpg?v=1785101924</t>
        </is>
      </c>
      <c r="D31" s="4" t="inlineStr">
        <is>
          <t>https://cdn.shopify.com/s/files/1/0792/5098/1063/files/3e41b1b3613ae8424f256e83517163fa8317c8d737d739882986d6ecc0324617.jpg?v=1785101924</t>
        </is>
      </c>
      <c r="E31" s="3" t="inlineStr">
        <is>
          <t>38506866770119</t>
        </is>
      </c>
      <c r="F31" s="3" t="inlineStr">
        <is>
          <t>47540306936007</t>
        </is>
      </c>
      <c r="G31" s="3" t="inlineStr"/>
      <c r="H31" s="3" t="inlineStr">
        <is>
          <t>GALLERY</t>
        </is>
      </c>
      <c r="I31" s="3" t="inlineStr">
        <is>
          <t>DIRECT_ORIGINAL_IMAGE</t>
        </is>
      </c>
      <c r="J31" s="3" t="inlineStr">
        <is>
          <t>2026-09-07T10:06:44.827720+07:00</t>
        </is>
      </c>
      <c r="K31" s="3" t="inlineStr">
        <is>
          <t>Close-up feature panel marked soft, lightweight, durable and breathable.</t>
        </is>
      </c>
      <c r="L31" s="3" t="inlineStr">
        <is>
          <t>Close room/detail or fabric feature image showing personalized football flag comforter with the name Kevin and number 15.</t>
        </is>
      </c>
      <c r="M31" s="3" t="inlineStr">
        <is>
          <t>Custom American Football Close Up on Flag Comforter</t>
        </is>
      </c>
      <c r="N31" s="3" t="inlineStr">
        <is>
          <t>SET</t>
        </is>
      </c>
      <c r="O31" s="3" t="inlineStr">
        <is>
          <t>Close-up detail of personalized football flag comforter with the name Kevin and number 15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>
        <is>
          <t>[]</t>
        </is>
      </c>
      <c r="Z31" s="3" t="inlineStr">
        <is>
          <t>["seo_runs\\jeminise.com\\20260906_234129\\evidence\\images\\35_custom-retro-football-art-bedding-set-c66211cf75-c66211cf75\\image_04_47540306936007.jpg; seo_runs\\jeminise.com\\20260906_234129\\evidence\\contact_sheets\\35_custom-retro-football-art-bedding-set-c66211cf75-c66211cf75.jpg", "https://jeminise.com/products/custom-retro-football-art-bedding-set-c66211cf75-c66211cf75", "https://cdn.shopify.com/s/files/1/0792/5098/1063/files/3e41b1b3613ae8424f256e83517163fa8317c8d737d739882986d6ecc0324617.jpg?v=1785101924"]</t>
        </is>
      </c>
    </row>
    <row r="32" ht="66" customHeight="1">
      <c r="A32" s="2" t="inlineStr">
        <is>
          <t>jeminise.com+custom-retro-football-art-bedding-set-c66211cf75-c66211cf75</t>
        </is>
      </c>
      <c r="B32" s="2" t="inlineStr">
        <is>
          <t>qaimg_7739eb0ba236e5ef</t>
        </is>
      </c>
      <c r="C32" s="4" t="inlineStr">
        <is>
          <t>https://cdn.shopify.com/s/files/1/0792/5098/1063/files/7c006bddc94d4763c71c8376307e195c1bbce73b8c802ec73ac5a8cef1291262_a3fb9a4f-ebe5-48cb-aa4f-5ac39a8a9cdc.jpg?v=1785101924</t>
        </is>
      </c>
      <c r="D32" s="4" t="inlineStr">
        <is>
          <t>https://cdn.shopify.com/s/files/1/0792/5098/1063/files/7c006bddc94d4763c71c8376307e195c1bbce73b8c802ec73ac5a8cef1291262_a3fb9a4f-ebe5-48cb-aa4f-5ac39a8a9cdc.jpg?v=1785101924</t>
        </is>
      </c>
      <c r="E32" s="2" t="inlineStr">
        <is>
          <t>38506866802887</t>
        </is>
      </c>
      <c r="F32" s="2" t="inlineStr">
        <is>
          <t>47540306968775</t>
        </is>
      </c>
      <c r="G32" s="2" t="inlineStr"/>
      <c r="H32" s="2" t="inlineStr">
        <is>
          <t>GALLERY</t>
        </is>
      </c>
      <c r="I32" s="2" t="inlineStr">
        <is>
          <t>DIRECT_ORIGINAL_IMAGE</t>
        </is>
      </c>
      <c r="J32" s="2" t="inlineStr">
        <is>
          <t>2026-09-07T10:06:44.827720+07:00</t>
        </is>
      </c>
      <c r="K32" s="2" t="inlineStr">
        <is>
          <t>Easy-care instruction panel.</t>
        </is>
      </c>
      <c r="L32" s="2" t="inlineStr">
        <is>
          <t>Easy-care or sizing information image for the bedding set.</t>
        </is>
      </c>
      <c r="M32" s="2" t="inlineStr">
        <is>
          <t>Custom American Football Close Up on Flag Comforter</t>
        </is>
      </c>
      <c r="N32" s="2" t="inlineStr">
        <is>
          <t>SET</t>
        </is>
      </c>
      <c r="O32" s="2" t="inlineStr">
        <is>
          <t>Care or size information for Personalized American Football Comforter Set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>
        <is>
          <t>[]</t>
        </is>
      </c>
      <c r="Z32" s="2" t="inlineStr">
        <is>
          <t>["seo_runs\\jeminise.com\\20260906_234129\\evidence\\images\\35_custom-retro-football-art-bedding-set-c66211cf75-c66211cf75\\image_05_47540306968775.jpg; seo_runs\\jeminise.com\\20260906_234129\\evidence\\contact_sheets\\35_custom-retro-football-art-bedding-set-c66211cf75-c66211cf75.jpg", "https://jeminise.com/products/custom-retro-football-art-bedding-set-c66211cf75-c66211cf75", "https://cdn.shopify.com/s/files/1/0792/5098/1063/files/7c006bddc94d4763c71c8376307e195c1bbce73b8c802ec73ac5a8cef1291262_a3fb9a4f-ebe5-48cb-aa4f-5ac39a8a9cdc.jpg?v=1785101924"]</t>
        </is>
      </c>
    </row>
    <row r="33" ht="66" customHeight="1">
      <c r="A33" s="3" t="inlineStr">
        <is>
          <t>jeminise.com+custom-retro-football-art-bedding-set-c66211cf75-c66211cf75</t>
        </is>
      </c>
      <c r="B33" s="3" t="inlineStr">
        <is>
          <t>qaimg_06b2ae2a966ab0ca</t>
        </is>
      </c>
      <c r="C33" s="4" t="inlineStr">
        <is>
          <t>https://cdn.shopify.com/s/files/1/0792/5098/1063/files/e5cad84edb4d7bf77c48fd7c8e52eb3b73f04eba8bf177671fd8a059c59422e8_0a0a59ee-c0ee-4995-bf6a-e815a670b8e3.jpg?v=1785101924</t>
        </is>
      </c>
      <c r="D33" s="4" t="inlineStr">
        <is>
          <t>https://cdn.shopify.com/s/files/1/0792/5098/1063/files/e5cad84edb4d7bf77c48fd7c8e52eb3b73f04eba8bf177671fd8a059c59422e8_0a0a59ee-c0ee-4995-bf6a-e815a670b8e3.jpg?v=1785101924</t>
        </is>
      </c>
      <c r="E33" s="3" t="inlineStr">
        <is>
          <t>38506866835655</t>
        </is>
      </c>
      <c r="F33" s="3" t="inlineStr">
        <is>
          <t>47540307001543</t>
        </is>
      </c>
      <c r="G33" s="3" t="inlineStr"/>
      <c r="H33" s="3" t="inlineStr">
        <is>
          <t>GALLERY</t>
        </is>
      </c>
      <c r="I33" s="3" t="inlineStr">
        <is>
          <t>DIRECT_ORIGINAL_IMAGE</t>
        </is>
      </c>
      <c r="J33" s="3" t="inlineStr">
        <is>
          <t>2026-09-07T10:06:44.827720+07:00</t>
        </is>
      </c>
      <c r="K33" s="3" t="inlineStr">
        <is>
          <t>Comforter and duvet-cover size-dimension diagram.</t>
        </is>
      </c>
      <c r="L33" s="3" t="inlineStr">
        <is>
          <t>Size dimension image for twin, full, queen and king bedding options.</t>
        </is>
      </c>
      <c r="M33" s="3" t="inlineStr">
        <is>
          <t>Custom American Football Close Up on Flag Comforter</t>
        </is>
      </c>
      <c r="N33" s="3" t="inlineStr">
        <is>
          <t>SET</t>
        </is>
      </c>
      <c r="O33" s="3" t="inlineStr">
        <is>
          <t>Size dimension guide for Personalized American Football Comforter Set</t>
        </is>
      </c>
      <c r="P33" s="3" t="inlineStr">
        <is>
          <t>FULL</t>
        </is>
      </c>
      <c r="Q33" s="3" t="inlineStr">
        <is>
          <t>FULL</t>
        </is>
      </c>
      <c r="R33" s="3" t="inlineStr">
        <is>
          <t>FULL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[]</t>
        </is>
      </c>
      <c r="Z33" s="3" t="inlineStr">
        <is>
          <t>["seo_runs\\jeminise.com\\20260906_234129\\evidence\\images\\35_custom-retro-football-art-bedding-set-c66211cf75-c66211cf75\\image_06_47540307001543.jpg; seo_runs\\jeminise.com\\20260906_234129\\evidence\\contact_sheets\\35_custom-retro-football-art-bedding-set-c66211cf75-c66211cf75.jpg", "https://jeminise.com/products/custom-retro-football-art-bedding-set-c66211cf75-c66211cf75", "https://cdn.shopify.com/s/files/1/0792/5098/1063/files/e5cad84edb4d7bf77c48fd7c8e52eb3b73f04eba8bf177671fd8a059c59422e8_0a0a59ee-c0ee-4995-bf6a-e815a670b8e3.jpg?v=1785101924"]</t>
        </is>
      </c>
    </row>
    <row r="34" ht="66" customHeight="1">
      <c r="A34" s="2" t="inlineStr">
        <is>
          <t>jeminise.com+custom-american-football-close-up-on-grunge-vintage-comforter-26540e3264-26540e3264</t>
        </is>
      </c>
      <c r="B34" s="2" t="inlineStr">
        <is>
          <t>qaimg_aec396233188aee2</t>
        </is>
      </c>
      <c r="C34" s="4" t="inlineStr">
        <is>
          <t>https://cdn.shopify.com/s/files/1/0792/5098/1063/files/11f76d2e307e1c50766e2c6b95e8a9272e0546226ca0a5996ceecb7ad1d1e36b.jpg?v=1785100474</t>
        </is>
      </c>
      <c r="D34" s="4" t="inlineStr">
        <is>
          <t>https://cdn.shopify.com/s/files/1/0792/5098/1063/files/11f76d2e307e1c50766e2c6b95e8a9272e0546226ca0a5996ceecb7ad1d1e36b.jpg?v=1785100474</t>
        </is>
      </c>
      <c r="E34" s="2" t="inlineStr">
        <is>
          <t>38506730782919</t>
        </is>
      </c>
      <c r="F34" s="2" t="inlineStr">
        <is>
          <t>47540170358983</t>
        </is>
      </c>
      <c r="G34" s="2" t="inlineStr"/>
      <c r="H34" s="2" t="inlineStr">
        <is>
          <t>GALLERY</t>
        </is>
      </c>
      <c r="I34" s="2" t="inlineStr">
        <is>
          <t>DIRECT_ORIGINAL_IMAGE</t>
        </is>
      </c>
      <c r="J34" s="2" t="inlineStr">
        <is>
          <t>2026-09-07T10:06:44.827720+07:00</t>
        </is>
      </c>
      <c r="K34" s="2" t="inlineStr">
        <is>
          <t>Main bed view of a football on grunge red-and-white stripes with sample name Brian and number 15.</t>
        </is>
      </c>
      <c r="L34" s="2" t="inlineStr">
        <is>
          <t>Main bed mockup showing personalized grunge football comforter with the name Brian and number 15.</t>
        </is>
      </c>
      <c r="M34" s="2" t="inlineStr">
        <is>
          <t>Custom American Football Close Up on Grunge Vintage Comforter</t>
        </is>
      </c>
      <c r="N34" s="2" t="inlineStr">
        <is>
          <t>SET</t>
        </is>
      </c>
      <c r="O34" s="2" t="inlineStr">
        <is>
          <t>Custom Grunge Football Comforter Set displayed on a bed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>
        <is>
          <t>[]</t>
        </is>
      </c>
      <c r="Z34" s="2" t="inlineStr">
        <is>
          <t>["seo_runs\\jeminise.com\\20260906_234129\\evidence\\images\\36_custom-american-football-close-up-on-grunge-vintage-comforter-26540e3264-26540e3264\\image_01_47540170358983.jpg; seo_runs\\jeminise.com\\20260906_234129\\evidence\\contact_sheets\\36_custom-american-football-close-up-on-grunge-vintage-comforter-26540e3264-26540e3264.jpg", "https://jeminise.com/products/custom-american-football-close-up-on-grunge-vintage-comforter-26540e3264-26540e3264", "https://cdn.shopify.com/s/files/1/0792/5098/1063/files/11f76d2e307e1c50766e2c6b95e8a9272e0546226ca0a5996ceecb7ad1d1e36b.jpg?v=1785100474"]</t>
        </is>
      </c>
    </row>
    <row r="35" ht="66" customHeight="1">
      <c r="A35" s="3" t="inlineStr">
        <is>
          <t>jeminise.com+custom-american-football-close-up-on-grunge-vintage-comforter-26540e3264-26540e3264</t>
        </is>
      </c>
      <c r="B35" s="3" t="inlineStr">
        <is>
          <t>qaimg_301fc93aecebaccf</t>
        </is>
      </c>
      <c r="C35" s="4" t="inlineStr">
        <is>
          <t>https://cdn.shopify.com/s/files/1/0792/5098/1063/files/a086ef784a942cd52629fe736719d7e523332dd679d2ff85ee39f4db573b7877.jpg?v=1785100474</t>
        </is>
      </c>
      <c r="D35" s="4" t="inlineStr">
        <is>
          <t>https://cdn.shopify.com/s/files/1/0792/5098/1063/files/a086ef784a942cd52629fe736719d7e523332dd679d2ff85ee39f4db573b7877.jpg?v=1785100474</t>
        </is>
      </c>
      <c r="E35" s="3" t="inlineStr">
        <is>
          <t>38506730815687</t>
        </is>
      </c>
      <c r="F35" s="3" t="inlineStr">
        <is>
          <t>47540170391751</t>
        </is>
      </c>
      <c r="G35" s="3" t="inlineStr"/>
      <c r="H35" s="3" t="inlineStr">
        <is>
          <t>GALLERY</t>
        </is>
      </c>
      <c r="I35" s="3" t="inlineStr">
        <is>
          <t>DIRECT_ORIGINAL_IMAGE</t>
        </is>
      </c>
      <c r="J35" s="3" t="inlineStr">
        <is>
          <t>2026-09-07T10:06:44.827720+07:00</t>
        </is>
      </c>
      <c r="K35" s="3" t="inlineStr">
        <is>
          <t>Angled bedroom view of the same Brian 15 design.</t>
        </is>
      </c>
      <c r="L35" s="3" t="inlineStr">
        <is>
          <t>Angled bedroom mockup showing personalized grunge football comforter with the name Brian and number 15.</t>
        </is>
      </c>
      <c r="M35" s="3" t="inlineStr">
        <is>
          <t>Custom American Football Close Up on Grunge Vintage Comforter</t>
        </is>
      </c>
      <c r="N35" s="3" t="inlineStr">
        <is>
          <t>SET</t>
        </is>
      </c>
      <c r="O35" s="3" t="inlineStr">
        <is>
          <t>Angled bedroom view of Custom Grunge Football Comforter Set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FULL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>
        <is>
          <t>[]</t>
        </is>
      </c>
      <c r="Z35" s="3" t="inlineStr">
        <is>
          <t>["seo_runs\\jeminise.com\\20260906_234129\\evidence\\images\\36_custom-american-football-close-up-on-grunge-vintage-comforter-26540e3264-26540e3264\\image_02_47540170391751.jpg; seo_runs\\jeminise.com\\20260906_234129\\evidence\\contact_sheets\\36_custom-american-football-close-up-on-grunge-vintage-comforter-26540e3264-26540e3264.jpg", "https://jeminise.com/products/custom-american-football-close-up-on-grunge-vintage-comforter-26540e3264-26540e3264", "https://cdn.shopify.com/s/files/1/0792/5098/1063/files/a086ef784a942cd52629fe736719d7e523332dd679d2ff85ee39f4db573b7877.jpg?v=1785100474"]</t>
        </is>
      </c>
    </row>
    <row r="36" ht="66" customHeight="1">
      <c r="A36" s="2" t="inlineStr">
        <is>
          <t>jeminise.com+custom-american-football-close-up-on-grunge-vintage-comforter-26540e3264-26540e3264</t>
        </is>
      </c>
      <c r="B36" s="2" t="inlineStr">
        <is>
          <t>qaimg_17dad146fa2db47e</t>
        </is>
      </c>
      <c r="C36" s="4" t="inlineStr">
        <is>
          <t>https://cdn.shopify.com/s/files/1/0792/5098/1063/files/16f7293cbefa5743a35b2e6316a5a114e5c052d08151e367dafd26aa5e2e542b_f61d59c9-1e61-473b-93e0-490c63ed9242.jpg?v=1785100474</t>
        </is>
      </c>
      <c r="D36" s="4" t="inlineStr">
        <is>
          <t>https://cdn.shopify.com/s/files/1/0792/5098/1063/files/16f7293cbefa5743a35b2e6316a5a114e5c052d08151e367dafd26aa5e2e542b_f61d59c9-1e61-473b-93e0-490c63ed9242.jpg?v=1785100474</t>
        </is>
      </c>
      <c r="E36" s="2" t="inlineStr">
        <is>
          <t>38506730848455</t>
        </is>
      </c>
      <c r="F36" s="2" t="inlineStr">
        <is>
          <t>47540170424519</t>
        </is>
      </c>
      <c r="G36" s="2" t="inlineStr"/>
      <c r="H36" s="2" t="inlineStr">
        <is>
          <t>GALLERY</t>
        </is>
      </c>
      <c r="I36" s="2" t="inlineStr">
        <is>
          <t>DIRECT_ORIGINAL_IMAGE</t>
        </is>
      </c>
      <c r="J36" s="2" t="inlineStr">
        <is>
          <t>2026-09-07T10:06:44.827720+07:00</t>
        </is>
      </c>
      <c r="K36" s="2" t="inlineStr">
        <is>
          <t>Duvet-cover versus comforter product-type comparison.</t>
        </is>
      </c>
      <c r="L36" s="2" t="inlineStr">
        <is>
          <t>Product type comparison or matching pillow sham/detail image for personalized grunge football comforter with the name Brian and number 15.</t>
        </is>
      </c>
      <c r="M36" s="2" t="inlineStr">
        <is>
          <t>Custom American Football Close Up on Grunge Vintage Comforter</t>
        </is>
      </c>
      <c r="N36" s="2" t="inlineStr">
        <is>
          <t>SET</t>
        </is>
      </c>
      <c r="O36" s="2" t="inlineStr">
        <is>
          <t>Matching sham or product info image for Custom Grunge Football Comforter Set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>
        <is>
          <t>[]</t>
        </is>
      </c>
      <c r="Z36" s="2" t="inlineStr">
        <is>
          <t>["seo_runs\\jeminise.com\\20260906_234129\\evidence\\images\\36_custom-american-football-close-up-on-grunge-vintage-comforter-26540e3264-26540e3264\\image_03_47540170424519.jpg; seo_runs\\jeminise.com\\20260906_234129\\evidence\\contact_sheets\\36_custom-american-football-close-up-on-grunge-vintage-comforter-26540e3264-26540e3264.jpg", "https://jeminise.com/products/custom-american-football-close-up-on-grunge-vintage-comforter-26540e3264-26540e3264", "https://cdn.shopify.com/s/files/1/0792/5098/1063/files/16f7293cbefa5743a35b2e6316a5a114e5c052d08151e367dafd26aa5e2e542b_f61d59c9-1e61-473b-93e0-490c63ed9242.jpg?v=1785100474"]</t>
        </is>
      </c>
    </row>
    <row r="37" ht="66" customHeight="1">
      <c r="A37" s="3" t="inlineStr">
        <is>
          <t>jeminise.com+custom-american-football-close-up-on-grunge-vintage-comforter-26540e3264-26540e3264</t>
        </is>
      </c>
      <c r="B37" s="3" t="inlineStr">
        <is>
          <t>qaimg_61b8fd9f7ee60535</t>
        </is>
      </c>
      <c r="C37" s="4" t="inlineStr">
        <is>
          <t>https://cdn.shopify.com/s/files/1/0792/5098/1063/files/1bb27dd96fe081443e8b20966cb77e2c7e536a5f697d54f3941ab027a2445269.jpg?v=1785100474</t>
        </is>
      </c>
      <c r="D37" s="4" t="inlineStr">
        <is>
          <t>https://cdn.shopify.com/s/files/1/0792/5098/1063/files/1bb27dd96fe081443e8b20966cb77e2c7e536a5f697d54f3941ab027a2445269.jpg?v=1785100474</t>
        </is>
      </c>
      <c r="E37" s="3" t="inlineStr">
        <is>
          <t>38506730881223</t>
        </is>
      </c>
      <c r="F37" s="3" t="inlineStr">
        <is>
          <t>47540170457287</t>
        </is>
      </c>
      <c r="G37" s="3" t="inlineStr"/>
      <c r="H37" s="3" t="inlineStr">
        <is>
          <t>GALLERY</t>
        </is>
      </c>
      <c r="I37" s="3" t="inlineStr">
        <is>
          <t>DIRECT_ORIGINAL_IMAGE</t>
        </is>
      </c>
      <c r="J37" s="3" t="inlineStr">
        <is>
          <t>2026-09-07T10:06:44.827720+07:00</t>
        </is>
      </c>
      <c r="K37" s="3" t="inlineStr">
        <is>
          <t>Close-up feature panel marked soft, lightweight, durable and breathable.</t>
        </is>
      </c>
      <c r="L37" s="3" t="inlineStr">
        <is>
          <t>Close room/detail or fabric feature image showing personalized grunge football comforter with the name Brian and number 15.</t>
        </is>
      </c>
      <c r="M37" s="3" t="inlineStr">
        <is>
          <t>Custom American Football Close Up on Grunge Vintage Comforter</t>
        </is>
      </c>
      <c r="N37" s="3" t="inlineStr">
        <is>
          <t>SET</t>
        </is>
      </c>
      <c r="O37" s="3" t="inlineStr">
        <is>
          <t>Close-up detail of personalized grunge football comforter with the name Brian and number 15</t>
        </is>
      </c>
      <c r="P37" s="3" t="inlineStr">
        <is>
          <t>FULL</t>
        </is>
      </c>
      <c r="Q37" s="3" t="inlineStr">
        <is>
          <t>FULL</t>
        </is>
      </c>
      <c r="R37" s="3" t="inlineStr">
        <is>
          <t>FULL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[]</t>
        </is>
      </c>
      <c r="Z37" s="3" t="inlineStr">
        <is>
          <t>["seo_runs\\jeminise.com\\20260906_234129\\evidence\\images\\36_custom-american-football-close-up-on-grunge-vintage-comforter-26540e3264-26540e3264\\image_04_47540170457287.jpg; seo_runs\\jeminise.com\\20260906_234129\\evidence\\contact_sheets\\36_custom-american-football-close-up-on-grunge-vintage-comforter-26540e3264-26540e3264.jpg", "https://jeminise.com/products/custom-american-football-close-up-on-grunge-vintage-comforter-26540e3264-26540e3264", "https://cdn.shopify.com/s/files/1/0792/5098/1063/files/1bb27dd96fe081443e8b20966cb77e2c7e536a5f697d54f3941ab027a2445269.jpg?v=1785100474"]</t>
        </is>
      </c>
    </row>
    <row r="38" ht="66" customHeight="1">
      <c r="A38" s="2" t="inlineStr">
        <is>
          <t>jeminise.com+custom-american-football-close-up-on-grunge-vintage-comforter-26540e3264-26540e3264</t>
        </is>
      </c>
      <c r="B38" s="2" t="inlineStr">
        <is>
          <t>qaimg_09cee40c8bb157a6</t>
        </is>
      </c>
      <c r="C38" s="4" t="inlineStr">
        <is>
          <t>https://cdn.shopify.com/s/files/1/0792/5098/1063/files/7c006bddc94d4763c71c8376307e195c1bbce73b8c802ec73ac5a8cef1291262_f556ba8b-082d-45f0-9344-319cc291850f.jpg?v=1785100474</t>
        </is>
      </c>
      <c r="D38" s="4" t="inlineStr">
        <is>
          <t>https://cdn.shopify.com/s/files/1/0792/5098/1063/files/7c006bddc94d4763c71c8376307e195c1bbce73b8c802ec73ac5a8cef1291262_f556ba8b-082d-45f0-9344-319cc291850f.jpg?v=1785100474</t>
        </is>
      </c>
      <c r="E38" s="2" t="inlineStr">
        <is>
          <t>38506730913991</t>
        </is>
      </c>
      <c r="F38" s="2" t="inlineStr">
        <is>
          <t>47540170490055</t>
        </is>
      </c>
      <c r="G38" s="2" t="inlineStr"/>
      <c r="H38" s="2" t="inlineStr">
        <is>
          <t>GALLERY</t>
        </is>
      </c>
      <c r="I38" s="2" t="inlineStr">
        <is>
          <t>DIRECT_ORIGINAL_IMAGE</t>
        </is>
      </c>
      <c r="J38" s="2" t="inlineStr">
        <is>
          <t>2026-09-07T10:06:44.827720+07:00</t>
        </is>
      </c>
      <c r="K38" s="2" t="inlineStr">
        <is>
          <t>Easy-care instruction panel.</t>
        </is>
      </c>
      <c r="L38" s="2" t="inlineStr">
        <is>
          <t>Easy-care or sizing information image for the bedding set.</t>
        </is>
      </c>
      <c r="M38" s="2" t="inlineStr">
        <is>
          <t>Custom American Football Close Up on Grunge Vintage Comforter</t>
        </is>
      </c>
      <c r="N38" s="2" t="inlineStr">
        <is>
          <t>SET</t>
        </is>
      </c>
      <c r="O38" s="2" t="inlineStr">
        <is>
          <t>Care or size information for Custom Grunge Football Comforter Set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[]</t>
        </is>
      </c>
      <c r="Z38" s="2" t="inlineStr">
        <is>
          <t>["seo_runs\\jeminise.com\\20260906_234129\\evidence\\images\\36_custom-american-football-close-up-on-grunge-vintage-comforter-26540e3264-26540e3264\\image_05_47540170490055.jpg; seo_runs\\jeminise.com\\20260906_234129\\evidence\\contact_sheets\\36_custom-american-football-close-up-on-grunge-vintage-comforter-26540e3264-26540e3264.jpg", "https://jeminise.com/products/custom-american-football-close-up-on-grunge-vintage-comforter-26540e3264-26540e3264", "https://cdn.shopify.com/s/files/1/0792/5098/1063/files/7c006bddc94d4763c71c8376307e195c1bbce73b8c802ec73ac5a8cef1291262_f556ba8b-082d-45f0-9344-319cc291850f.jpg?v=1785100474"]</t>
        </is>
      </c>
    </row>
    <row r="39" ht="66" customHeight="1">
      <c r="A39" s="3" t="inlineStr">
        <is>
          <t>jeminise.com+custom-american-football-close-up-on-grunge-vintage-comforter-26540e3264-26540e3264</t>
        </is>
      </c>
      <c r="B39" s="3" t="inlineStr">
        <is>
          <t>qaimg_bac450467054d043</t>
        </is>
      </c>
      <c r="C39" s="4" t="inlineStr">
        <is>
          <t>https://cdn.shopify.com/s/files/1/0792/5098/1063/files/e5cad84edb4d7bf77c48fd7c8e52eb3b73f04eba8bf177671fd8a059c59422e8_e68e02cc-c567-4e1f-93b4-3efe2b03219d.jpg?v=1785100474</t>
        </is>
      </c>
      <c r="D39" s="4" t="inlineStr">
        <is>
          <t>https://cdn.shopify.com/s/files/1/0792/5098/1063/files/e5cad84edb4d7bf77c48fd7c8e52eb3b73f04eba8bf177671fd8a059c59422e8_e68e02cc-c567-4e1f-93b4-3efe2b03219d.jpg?v=1785100474</t>
        </is>
      </c>
      <c r="E39" s="3" t="inlineStr">
        <is>
          <t>38506730946759</t>
        </is>
      </c>
      <c r="F39" s="3" t="inlineStr">
        <is>
          <t>47540170522823</t>
        </is>
      </c>
      <c r="G39" s="3" t="inlineStr"/>
      <c r="H39" s="3" t="inlineStr">
        <is>
          <t>GALLERY</t>
        </is>
      </c>
      <c r="I39" s="3" t="inlineStr">
        <is>
          <t>DIRECT_ORIGINAL_IMAGE</t>
        </is>
      </c>
      <c r="J39" s="3" t="inlineStr">
        <is>
          <t>2026-09-07T10:06:44.827720+07:00</t>
        </is>
      </c>
      <c r="K39" s="3" t="inlineStr">
        <is>
          <t>Comforter and duvet-cover size-dimension diagram.</t>
        </is>
      </c>
      <c r="L39" s="3" t="inlineStr">
        <is>
          <t>Size dimension image for twin, full, queen and king bedding options.</t>
        </is>
      </c>
      <c r="M39" s="3" t="inlineStr">
        <is>
          <t>Custom American Football Close Up on Grunge Vintage Comforter</t>
        </is>
      </c>
      <c r="N39" s="3" t="inlineStr">
        <is>
          <t>SET</t>
        </is>
      </c>
      <c r="O39" s="3" t="inlineStr">
        <is>
          <t>Size dimension guide for Custom Grunge Football Comforter Set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>
        <is>
          <t>[]</t>
        </is>
      </c>
      <c r="Z39" s="3" t="inlineStr">
        <is>
          <t>["seo_runs\\jeminise.com\\20260906_234129\\evidence\\images\\36_custom-american-football-close-up-on-grunge-vintage-comforter-26540e3264-26540e3264\\image_06_47540170522823.jpg; seo_runs\\jeminise.com\\20260906_234129\\evidence\\contact_sheets\\36_custom-american-football-close-up-on-grunge-vintage-comforter-26540e3264-26540e3264.jpg", "https://jeminise.com/products/custom-american-football-close-up-on-grunge-vintage-comforter-26540e3264-26540e3264", "https://cdn.shopify.com/s/files/1/0792/5098/1063/files/e5cad84edb4d7bf77c48fd7c8e52eb3b73f04eba8bf177671fd8a059c59422e8_e68e02cc-c567-4e1f-93b4-3efe2b03219d.jpg?v=1785100474"]</t>
        </is>
      </c>
    </row>
    <row r="40" ht="66" customHeight="1">
      <c r="A40" s="2" t="inlineStr">
        <is>
          <t>jeminise.com+custom-american-football-on-cosmic-background-vintage-comforter-62a3849621-62a3849621</t>
        </is>
      </c>
      <c r="B40" s="2" t="inlineStr">
        <is>
          <t>qaimg_6b907110c6e80000</t>
        </is>
      </c>
      <c r="C40" s="4" t="inlineStr">
        <is>
          <t>https://cdn.shopify.com/s/files/1/0792/5098/1063/files/b38409cca05f668cdad57ab52d40b4b00fb8c161ab5af391eaf7a4ce3b8892f2.jpg?v=1785100295</t>
        </is>
      </c>
      <c r="D40" s="4" t="inlineStr">
        <is>
          <t>https://cdn.shopify.com/s/files/1/0792/5098/1063/files/b38409cca05f668cdad57ab52d40b4b00fb8c161ab5af391eaf7a4ce3b8892f2.jpg?v=1785100295</t>
        </is>
      </c>
      <c r="E40" s="2" t="inlineStr">
        <is>
          <t>38506713874631</t>
        </is>
      </c>
      <c r="F40" s="2" t="inlineStr">
        <is>
          <t>47540153385159</t>
        </is>
      </c>
      <c r="G40" s="2" t="inlineStr"/>
      <c r="H40" s="2" t="inlineStr">
        <is>
          <t>GALLERY</t>
        </is>
      </c>
      <c r="I40" s="2" t="inlineStr">
        <is>
          <t>DIRECT_ORIGINAL_IMAGE</t>
        </is>
      </c>
      <c r="J40" s="2" t="inlineStr">
        <is>
          <t>2026-09-07T10:06:44.827720+07:00</t>
        </is>
      </c>
      <c r="K40" s="2" t="inlineStr">
        <is>
          <t>Main bed view of a football on a blue-red cosmic background with sample name Kevin and number 20.</t>
        </is>
      </c>
      <c r="L40" s="2" t="inlineStr">
        <is>
          <t>Main bed mockup showing personalized cosmic football comforter with the name Kevin and number 20.</t>
        </is>
      </c>
      <c r="M40" s="2" t="inlineStr">
        <is>
          <t>Custom American Football on Cosmic Background Vintage Comforter</t>
        </is>
      </c>
      <c r="N40" s="2" t="inlineStr">
        <is>
          <t>SET</t>
        </is>
      </c>
      <c r="O40" s="2" t="inlineStr">
        <is>
          <t>Personalized Cosmic Football Comforter Set displayed on a bed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[]</t>
        </is>
      </c>
      <c r="Z40" s="2" t="inlineStr">
        <is>
          <t>["seo_runs\\jeminise.com\\20260906_234129\\evidence\\images\\37_custom-american-football-on-cosmic-background-vintage-comforter-62a3849621-62a3849621\\image_01_47540153385159.jpg; seo_runs\\jeminise.com\\20260906_234129\\evidence\\contact_sheets\\37_custom-american-football-on-cosmic-background-vintage-comforter-62a3849621-62a3849621.jpg", "https://jeminise.com/products/custom-american-football-on-cosmic-background-vintage-comforter-62a3849621-62a3849621", "https://cdn.shopify.com/s/files/1/0792/5098/1063/files/b38409cca05f668cdad57ab52d40b4b00fb8c161ab5af391eaf7a4ce3b8892f2.jpg?v=1785100295"]</t>
        </is>
      </c>
    </row>
    <row r="41" ht="66" customHeight="1">
      <c r="A41" s="3" t="inlineStr">
        <is>
          <t>jeminise.com+custom-american-football-on-cosmic-background-vintage-comforter-62a3849621-62a3849621</t>
        </is>
      </c>
      <c r="B41" s="3" t="inlineStr">
        <is>
          <t>qaimg_5749a43b97f54338</t>
        </is>
      </c>
      <c r="C41" s="4" t="inlineStr">
        <is>
          <t>https://cdn.shopify.com/s/files/1/0792/5098/1063/files/541f7a11cb182f93e5c63ff4db954de7b224c4f859e24518f310d671cca10275.jpg?v=1785100295</t>
        </is>
      </c>
      <c r="D41" s="4" t="inlineStr">
        <is>
          <t>https://cdn.shopify.com/s/files/1/0792/5098/1063/files/541f7a11cb182f93e5c63ff4db954de7b224c4f859e24518f310d671cca10275.jpg?v=1785100295</t>
        </is>
      </c>
      <c r="E41" s="3" t="inlineStr">
        <is>
          <t>38506713907399</t>
        </is>
      </c>
      <c r="F41" s="3" t="inlineStr">
        <is>
          <t>47540153417927</t>
        </is>
      </c>
      <c r="G41" s="3" t="inlineStr"/>
      <c r="H41" s="3" t="inlineStr">
        <is>
          <t>GALLERY</t>
        </is>
      </c>
      <c r="I41" s="3" t="inlineStr">
        <is>
          <t>DIRECT_ORIGINAL_IMAGE</t>
        </is>
      </c>
      <c r="J41" s="3" t="inlineStr">
        <is>
          <t>2026-09-07T10:06:44.827720+07:00</t>
        </is>
      </c>
      <c r="K41" s="3" t="inlineStr">
        <is>
          <t>Angled bedroom view of the same Kevin 20 cosmic design.</t>
        </is>
      </c>
      <c r="L41" s="3" t="inlineStr">
        <is>
          <t>Angled bedroom mockup showing personalized cosmic football comforter with the name Kevin and number 20.</t>
        </is>
      </c>
      <c r="M41" s="3" t="inlineStr">
        <is>
          <t>Custom American Football on Cosmic Background Vintage Comforter</t>
        </is>
      </c>
      <c r="N41" s="3" t="inlineStr">
        <is>
          <t>SET</t>
        </is>
      </c>
      <c r="O41" s="3" t="inlineStr">
        <is>
          <t>Angled bedroom view of Personalized Cosmic Football Comforter Set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FULL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>
        <is>
          <t>[]</t>
        </is>
      </c>
      <c r="Z41" s="3" t="inlineStr">
        <is>
          <t>["seo_runs\\jeminise.com\\20260906_234129\\evidence\\images\\37_custom-american-football-on-cosmic-background-vintage-comforter-62a3849621-62a3849621\\image_02_47540153417927.jpg; seo_runs\\jeminise.com\\20260906_234129\\evidence\\contact_sheets\\37_custom-american-football-on-cosmic-background-vintage-comforter-62a3849621-62a3849621.jpg", "https://jeminise.com/products/custom-american-football-on-cosmic-background-vintage-comforter-62a3849621-62a3849621", "https://cdn.shopify.com/s/files/1/0792/5098/1063/files/541f7a11cb182f93e5c63ff4db954de7b224c4f859e24518f310d671cca10275.jpg?v=1785100295"]</t>
        </is>
      </c>
    </row>
    <row r="42" ht="66" customHeight="1">
      <c r="A42" s="2" t="inlineStr">
        <is>
          <t>jeminise.com+custom-american-football-on-cosmic-background-vintage-comforter-62a3849621-62a3849621</t>
        </is>
      </c>
      <c r="B42" s="2" t="inlineStr">
        <is>
          <t>qaimg_4f48ca0e52576484</t>
        </is>
      </c>
      <c r="C42" s="4" t="inlineStr">
        <is>
          <t>https://cdn.shopify.com/s/files/1/0792/5098/1063/files/9aa9c35ad239e2defe80d680bfc9c3ac770143ee38bd0c93c9b9e1b1dc297f8c_36262fc6-efaa-4cca-aed1-b9455ede2ae8.jpg?v=1785100295</t>
        </is>
      </c>
      <c r="D42" s="4" t="inlineStr">
        <is>
          <t>https://cdn.shopify.com/s/files/1/0792/5098/1063/files/9aa9c35ad239e2defe80d680bfc9c3ac770143ee38bd0c93c9b9e1b1dc297f8c_36262fc6-efaa-4cca-aed1-b9455ede2ae8.jpg?v=1785100295</t>
        </is>
      </c>
      <c r="E42" s="2" t="inlineStr">
        <is>
          <t>38506713940167</t>
        </is>
      </c>
      <c r="F42" s="2" t="inlineStr">
        <is>
          <t>47540153450695</t>
        </is>
      </c>
      <c r="G42" s="2" t="inlineStr"/>
      <c r="H42" s="2" t="inlineStr">
        <is>
          <t>GALLERY</t>
        </is>
      </c>
      <c r="I42" s="2" t="inlineStr">
        <is>
          <t>DIRECT_ORIGINAL_IMAGE</t>
        </is>
      </c>
      <c r="J42" s="2" t="inlineStr">
        <is>
          <t>2026-09-07T10:06:44.827720+07:00</t>
        </is>
      </c>
      <c r="K42" s="2" t="inlineStr">
        <is>
          <t>Duvet-cover versus comforter product-type comparison.</t>
        </is>
      </c>
      <c r="L42" s="2" t="inlineStr">
        <is>
          <t>Product type comparison or matching pillow sham/detail image for personalized cosmic football comforter with the name Kevin and number 20.</t>
        </is>
      </c>
      <c r="M42" s="2" t="inlineStr">
        <is>
          <t>Custom American Football on Cosmic Background Vintage Comforter</t>
        </is>
      </c>
      <c r="N42" s="2" t="inlineStr">
        <is>
          <t>SET</t>
        </is>
      </c>
      <c r="O42" s="2" t="inlineStr">
        <is>
          <t>Matching sham or product info image for Personalized Cosmic Football Comforter Set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>
        <is>
          <t>[]</t>
        </is>
      </c>
      <c r="Z42" s="2" t="inlineStr">
        <is>
          <t>["seo_runs\\jeminise.com\\20260906_234129\\evidence\\images\\37_custom-american-football-on-cosmic-background-vintage-comforter-62a3849621-62a3849621\\image_03_47540153450695.jpg; seo_runs\\jeminise.com\\20260906_234129\\evidence\\contact_sheets\\37_custom-american-football-on-cosmic-background-vintage-comforter-62a3849621-62a3849621.jpg", "https://jeminise.com/products/custom-american-football-on-cosmic-background-vintage-comforter-62a3849621-62a3849621", "https://cdn.shopify.com/s/files/1/0792/5098/1063/files/9aa9c35ad239e2defe80d680bfc9c3ac770143ee38bd0c93c9b9e1b1dc297f8c_36262fc6-efaa-4cca-aed1-b9455ede2ae8.jpg?v=1785100295"]</t>
        </is>
      </c>
    </row>
    <row r="43" ht="66" customHeight="1">
      <c r="A43" s="3" t="inlineStr">
        <is>
          <t>jeminise.com+custom-american-football-on-cosmic-background-vintage-comforter-62a3849621-62a3849621</t>
        </is>
      </c>
      <c r="B43" s="3" t="inlineStr">
        <is>
          <t>qaimg_5e835bea47e4c1ff</t>
        </is>
      </c>
      <c r="C43" s="4" t="inlineStr">
        <is>
          <t>https://cdn.shopify.com/s/files/1/0792/5098/1063/files/7a84d6352dbc1e78ebe1fc0d5c248b6dada28fcf2bc3ae2d6caf4e1511373e35.jpg?v=1785100295</t>
        </is>
      </c>
      <c r="D43" s="4" t="inlineStr">
        <is>
          <t>https://cdn.shopify.com/s/files/1/0792/5098/1063/files/7a84d6352dbc1e78ebe1fc0d5c248b6dada28fcf2bc3ae2d6caf4e1511373e35.jpg?v=1785100295</t>
        </is>
      </c>
      <c r="E43" s="3" t="inlineStr">
        <is>
          <t>38506713972935</t>
        </is>
      </c>
      <c r="F43" s="3" t="inlineStr">
        <is>
          <t>47540153483463</t>
        </is>
      </c>
      <c r="G43" s="3" t="inlineStr"/>
      <c r="H43" s="3" t="inlineStr">
        <is>
          <t>GALLERY</t>
        </is>
      </c>
      <c r="I43" s="3" t="inlineStr">
        <is>
          <t>DIRECT_ORIGINAL_IMAGE</t>
        </is>
      </c>
      <c r="J43" s="3" t="inlineStr">
        <is>
          <t>2026-09-07T10:06:44.827720+07:00</t>
        </is>
      </c>
      <c r="K43" s="3" t="inlineStr">
        <is>
          <t>Close-up feature panel marked soft, lightweight, durable and breathable.</t>
        </is>
      </c>
      <c r="L43" s="3" t="inlineStr">
        <is>
          <t>Close room/detail or fabric feature image showing personalized cosmic football comforter with the name Kevin and number 20.</t>
        </is>
      </c>
      <c r="M43" s="3" t="inlineStr">
        <is>
          <t>Custom American Football on Cosmic Background Vintage Comforter</t>
        </is>
      </c>
      <c r="N43" s="3" t="inlineStr">
        <is>
          <t>SET</t>
        </is>
      </c>
      <c r="O43" s="3" t="inlineStr">
        <is>
          <t>Close-up detail of personalized cosmic football comforter with the name Kevin and number 20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>
        <is>
          <t>[]</t>
        </is>
      </c>
      <c r="Z43" s="3" t="inlineStr">
        <is>
          <t>["seo_runs\\jeminise.com\\20260906_234129\\evidence\\images\\37_custom-american-football-on-cosmic-background-vintage-comforter-62a3849621-62a3849621\\image_04_47540153483463.jpg; seo_runs\\jeminise.com\\20260906_234129\\evidence\\contact_sheets\\37_custom-american-football-on-cosmic-background-vintage-comforter-62a3849621-62a3849621.jpg", "https://jeminise.com/products/custom-american-football-on-cosmic-background-vintage-comforter-62a3849621-62a3849621", "https://cdn.shopify.com/s/files/1/0792/5098/1063/files/7a84d6352dbc1e78ebe1fc0d5c248b6dada28fcf2bc3ae2d6caf4e1511373e35.jpg?v=1785100295"]</t>
        </is>
      </c>
    </row>
    <row r="44" ht="66" customHeight="1">
      <c r="A44" s="2" t="inlineStr">
        <is>
          <t>jeminise.com+custom-american-football-on-cosmic-background-vintage-comforter-62a3849621-62a3849621</t>
        </is>
      </c>
      <c r="B44" s="2" t="inlineStr">
        <is>
          <t>qaimg_a0b443fba20448ff</t>
        </is>
      </c>
      <c r="C44" s="4" t="inlineStr">
        <is>
          <t>https://cdn.shopify.com/s/files/1/0792/5098/1063/files/1bbfbfcf6d26cde4c41dc9cd48a48d8537c348d2d8ae8239cde2198dbac1d7d5_2f6333ff-2210-49b8-95cd-4a58a2c3229b.jpg?v=1785100295</t>
        </is>
      </c>
      <c r="D44" s="4" t="inlineStr">
        <is>
          <t>https://cdn.shopify.com/s/files/1/0792/5098/1063/files/1bbfbfcf6d26cde4c41dc9cd48a48d8537c348d2d8ae8239cde2198dbac1d7d5_2f6333ff-2210-49b8-95cd-4a58a2c3229b.jpg?v=1785100295</t>
        </is>
      </c>
      <c r="E44" s="2" t="inlineStr">
        <is>
          <t>38506714005703</t>
        </is>
      </c>
      <c r="F44" s="2" t="inlineStr">
        <is>
          <t>47540153516231</t>
        </is>
      </c>
      <c r="G44" s="2" t="inlineStr"/>
      <c r="H44" s="2" t="inlineStr">
        <is>
          <t>GALLERY</t>
        </is>
      </c>
      <c r="I44" s="2" t="inlineStr">
        <is>
          <t>DIRECT_ORIGINAL_IMAGE</t>
        </is>
      </c>
      <c r="J44" s="2" t="inlineStr">
        <is>
          <t>2026-09-07T10:06:44.827720+07:00</t>
        </is>
      </c>
      <c r="K44" s="2" t="inlineStr">
        <is>
          <t>Easy-care instruction panel.</t>
        </is>
      </c>
      <c r="L44" s="2" t="inlineStr">
        <is>
          <t>Easy-care or sizing information image for the bedding set.</t>
        </is>
      </c>
      <c r="M44" s="2" t="inlineStr">
        <is>
          <t>Custom American Football on Cosmic Background Vintage Comforter</t>
        </is>
      </c>
      <c r="N44" s="2" t="inlineStr">
        <is>
          <t>SET</t>
        </is>
      </c>
      <c r="O44" s="2" t="inlineStr">
        <is>
          <t>Care or size information for Personalized Cosmic Football Comforter Set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>
        <is>
          <t>[]</t>
        </is>
      </c>
      <c r="Z44" s="2" t="inlineStr">
        <is>
          <t>["seo_runs\\jeminise.com\\20260906_234129\\evidence\\images\\37_custom-american-football-on-cosmic-background-vintage-comforter-62a3849621-62a3849621\\image_05_47540153516231.jpg; seo_runs\\jeminise.com\\20260906_234129\\evidence\\contact_sheets\\37_custom-american-football-on-cosmic-background-vintage-comforter-62a3849621-62a3849621.jpg", "https://jeminise.com/products/custom-american-football-on-cosmic-background-vintage-comforter-62a3849621-62a3849621", "https://cdn.shopify.com/s/files/1/0792/5098/1063/files/1bbfbfcf6d26cde4c41dc9cd48a48d8537c348d2d8ae8239cde2198dbac1d7d5_2f6333ff-2210-49b8-95cd-4a58a2c3229b.jpg?v=1785100295"]</t>
        </is>
      </c>
    </row>
    <row r="45" ht="66" customHeight="1">
      <c r="A45" s="3" t="inlineStr">
        <is>
          <t>jeminise.com+custom-american-football-on-cosmic-background-vintage-comforter-62a3849621-62a3849621</t>
        </is>
      </c>
      <c r="B45" s="3" t="inlineStr">
        <is>
          <t>qaimg_40fc9ee63e1634d3</t>
        </is>
      </c>
      <c r="C45" s="4" t="inlineStr">
        <is>
          <t>https://cdn.shopify.com/s/files/1/0792/5098/1063/files/b875bfc16d8349abe649f457b947dd0efc388f0aa8df8cf243abee1bb432b085_894668af-b5c7-4cad-b078-ede9e4dae69a.jpg?v=1785100295</t>
        </is>
      </c>
      <c r="D45" s="4" t="inlineStr">
        <is>
          <t>https://cdn.shopify.com/s/files/1/0792/5098/1063/files/b875bfc16d8349abe649f457b947dd0efc388f0aa8df8cf243abee1bb432b085_894668af-b5c7-4cad-b078-ede9e4dae69a.jpg?v=1785100295</t>
        </is>
      </c>
      <c r="E45" s="3" t="inlineStr">
        <is>
          <t>38506714038471</t>
        </is>
      </c>
      <c r="F45" s="3" t="inlineStr">
        <is>
          <t>47540153548999</t>
        </is>
      </c>
      <c r="G45" s="3" t="inlineStr"/>
      <c r="H45" s="3" t="inlineStr">
        <is>
          <t>GALLERY</t>
        </is>
      </c>
      <c r="I45" s="3" t="inlineStr">
        <is>
          <t>DIRECT_ORIGINAL_IMAGE</t>
        </is>
      </c>
      <c r="J45" s="3" t="inlineStr">
        <is>
          <t>2026-09-07T10:06:44.827720+07:00</t>
        </is>
      </c>
      <c r="K45" s="3" t="inlineStr">
        <is>
          <t>Comforter and duvet-cover size-dimension diagram.</t>
        </is>
      </c>
      <c r="L45" s="3" t="inlineStr">
        <is>
          <t>Size dimension image for twin, full, queen and king bedding options.</t>
        </is>
      </c>
      <c r="M45" s="3" t="inlineStr">
        <is>
          <t>Custom American Football on Cosmic Background Vintage Comforter</t>
        </is>
      </c>
      <c r="N45" s="3" t="inlineStr">
        <is>
          <t>SET</t>
        </is>
      </c>
      <c r="O45" s="3" t="inlineStr">
        <is>
          <t>Size dimension guide for Personalized Cosmic Football Comforter Set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FULL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[]</t>
        </is>
      </c>
      <c r="Z45" s="3" t="inlineStr">
        <is>
          <t>["seo_runs\\jeminise.com\\20260906_234129\\evidence\\images\\37_custom-american-football-on-cosmic-background-vintage-comforter-62a3849621-62a3849621\\image_06_47540153548999.jpg; seo_runs\\jeminise.com\\20260906_234129\\evidence\\contact_sheets\\37_custom-american-football-on-cosmic-background-vintage-comforter-62a3849621-62a3849621.jpg", "https://jeminise.com/products/custom-american-football-on-cosmic-background-vintage-comforter-62a3849621-62a3849621", "https://cdn.shopify.com/s/files/1/0792/5098/1063/files/b875bfc16d8349abe649f457b947dd0efc388f0aa8df8cf243abee1bb432b085_894668af-b5c7-4cad-b078-ede9e4dae69a.jpg?v=1785100295"]</t>
        </is>
      </c>
    </row>
    <row r="46" ht="66" customHeight="1">
      <c r="A46" s="2" t="inlineStr">
        <is>
          <t>jeminise.com+custom-american-football-on-usa-flag-background-comforter-703a7c0d82-703a7c0d82</t>
        </is>
      </c>
      <c r="B46" s="2" t="inlineStr">
        <is>
          <t>qaimg_b8bbf36c7b0d4e98</t>
        </is>
      </c>
      <c r="C46" s="4" t="inlineStr">
        <is>
          <t>https://cdn.shopify.com/s/files/1/0792/5098/1063/files/e5722218140b0bda49ea2f5691bd969b1bc3066cad7c3a0bb0771d1509e66d50.jpg?v=1785101771</t>
        </is>
      </c>
      <c r="D46" s="4" t="inlineStr">
        <is>
          <t>https://cdn.shopify.com/s/files/1/0792/5098/1063/files/e5722218140b0bda49ea2f5691bd969b1bc3066cad7c3a0bb0771d1509e66d50.jpg?v=1785101771</t>
        </is>
      </c>
      <c r="E46" s="2" t="inlineStr">
        <is>
          <t>38506854842567</t>
        </is>
      </c>
      <c r="F46" s="2" t="inlineStr">
        <is>
          <t>47540295008455</t>
        </is>
      </c>
      <c r="G46" s="2" t="inlineStr"/>
      <c r="H46" s="2" t="inlineStr">
        <is>
          <t>GALLERY</t>
        </is>
      </c>
      <c r="I46" s="2" t="inlineStr">
        <is>
          <t>DIRECT_ORIGINAL_IMAGE</t>
        </is>
      </c>
      <c r="J46" s="2" t="inlineStr">
        <is>
          <t>2026-09-07T10:06:44.827720+07:00</t>
        </is>
      </c>
      <c r="K46" s="2" t="inlineStr">
        <is>
          <t>Main bed view of a football on a vintage USA flag background with sample name Michael and number 30.</t>
        </is>
      </c>
      <c r="L46" s="2" t="inlineStr">
        <is>
          <t>Main bed mockup showing personalized USA flag football comforter with the name Michael and number 30.</t>
        </is>
      </c>
      <c r="M46" s="2" t="inlineStr">
        <is>
          <t>Custom American Football on Usa Flag Background Comforter</t>
        </is>
      </c>
      <c r="N46" s="2" t="inlineStr">
        <is>
          <t>SET</t>
        </is>
      </c>
      <c r="O46" s="2" t="inlineStr">
        <is>
          <t>Personalized USA Flag Football Comforter Set displayed on a bed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>
        <is>
          <t>[]</t>
        </is>
      </c>
      <c r="Z46" s="2" t="inlineStr">
        <is>
          <t>["seo_runs\\jeminise.com\\20260906_234129\\evidence\\images\\38_custom-american-football-on-usa-flag-background-comforter-703a7c0d82-703a7c0d82\\image_01_47540295008455.jpg; seo_runs\\jeminise.com\\20260906_234129\\evidence\\contact_sheets\\38_custom-american-football-on-usa-flag-background-comforter-703a7c0d82-703a7c0d82.jpg", "https://jeminise.com/products/custom-american-football-on-usa-flag-background-comforter-703a7c0d82-703a7c0d82", "https://cdn.shopify.com/s/files/1/0792/5098/1063/files/e5722218140b0bda49ea2f5691bd969b1bc3066cad7c3a0bb0771d1509e66d50.jpg?v=1785101771"]</t>
        </is>
      </c>
    </row>
    <row r="47" ht="66" customHeight="1">
      <c r="A47" s="3" t="inlineStr">
        <is>
          <t>jeminise.com+custom-american-football-on-usa-flag-background-comforter-703a7c0d82-703a7c0d82</t>
        </is>
      </c>
      <c r="B47" s="3" t="inlineStr">
        <is>
          <t>qaimg_f115b796bd48c5f0</t>
        </is>
      </c>
      <c r="C47" s="4" t="inlineStr">
        <is>
          <t>https://cdn.shopify.com/s/files/1/0792/5098/1063/files/5583b1802d78e566880d8695a5c0bcdf0bb685b148b271042c5b29db02caaf18.jpg?v=1785101770</t>
        </is>
      </c>
      <c r="D47" s="4" t="inlineStr">
        <is>
          <t>https://cdn.shopify.com/s/files/1/0792/5098/1063/files/5583b1802d78e566880d8695a5c0bcdf0bb685b148b271042c5b29db02caaf18.jpg?v=1785101770</t>
        </is>
      </c>
      <c r="E47" s="3" t="inlineStr">
        <is>
          <t>38506854875335</t>
        </is>
      </c>
      <c r="F47" s="3" t="inlineStr">
        <is>
          <t>47540295041223</t>
        </is>
      </c>
      <c r="G47" s="3" t="inlineStr"/>
      <c r="H47" s="3" t="inlineStr">
        <is>
          <t>GALLERY</t>
        </is>
      </c>
      <c r="I47" s="3" t="inlineStr">
        <is>
          <t>DIRECT_ORIGINAL_IMAGE</t>
        </is>
      </c>
      <c r="J47" s="3" t="inlineStr">
        <is>
          <t>2026-09-07T10:06:44.827720+07:00</t>
        </is>
      </c>
      <c r="K47" s="3" t="inlineStr">
        <is>
          <t>Angled bedroom view of the same Michael 30 design.</t>
        </is>
      </c>
      <c r="L47" s="3" t="inlineStr">
        <is>
          <t>Angled bedroom mockup showing personalized USA flag football comforter with the name Michael and number 30.</t>
        </is>
      </c>
      <c r="M47" s="3" t="inlineStr">
        <is>
          <t>Custom American Football on Usa Flag Background Comforter</t>
        </is>
      </c>
      <c r="N47" s="3" t="inlineStr">
        <is>
          <t>SET</t>
        </is>
      </c>
      <c r="O47" s="3" t="inlineStr">
        <is>
          <t>Angled bedroom view of Personalized USA Flag Football Comforter Set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FULL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[]</t>
        </is>
      </c>
      <c r="Z47" s="3" t="inlineStr">
        <is>
          <t>["seo_runs\\jeminise.com\\20260906_234129\\evidence\\images\\38_custom-american-football-on-usa-flag-background-comforter-703a7c0d82-703a7c0d82\\image_02_47540295041223.jpg; seo_runs\\jeminise.com\\20260906_234129\\evidence\\contact_sheets\\38_custom-american-football-on-usa-flag-background-comforter-703a7c0d82-703a7c0d82.jpg", "https://jeminise.com/products/custom-american-football-on-usa-flag-background-comforter-703a7c0d82-703a7c0d82", "https://cdn.shopify.com/s/files/1/0792/5098/1063/files/5583b1802d78e566880d8695a5c0bcdf0bb685b148b271042c5b29db02caaf18.jpg?v=1785101770"]</t>
        </is>
      </c>
    </row>
    <row r="48" ht="66" customHeight="1">
      <c r="A48" s="2" t="inlineStr">
        <is>
          <t>jeminise.com+custom-american-football-on-usa-flag-background-comforter-703a7c0d82-703a7c0d82</t>
        </is>
      </c>
      <c r="B48" s="2" t="inlineStr">
        <is>
          <t>qaimg_d42db3e36f2823e8</t>
        </is>
      </c>
      <c r="C48" s="4" t="inlineStr">
        <is>
          <t>https://cdn.shopify.com/s/files/1/0792/5098/1063/files/16f7293cbefa5743a35b2e6316a5a114e5c052d08151e367dafd26aa5e2e542b_50c40cd4-4737-483e-b146-d01efedc6b1f.jpg?v=1785101770</t>
        </is>
      </c>
      <c r="D48" s="4" t="inlineStr">
        <is>
          <t>https://cdn.shopify.com/s/files/1/0792/5098/1063/files/16f7293cbefa5743a35b2e6316a5a114e5c052d08151e367dafd26aa5e2e542b_50c40cd4-4737-483e-b146-d01efedc6b1f.jpg?v=1785101770</t>
        </is>
      </c>
      <c r="E48" s="2" t="inlineStr">
        <is>
          <t>38506854908103</t>
        </is>
      </c>
      <c r="F48" s="2" t="inlineStr">
        <is>
          <t>47540295073991</t>
        </is>
      </c>
      <c r="G48" s="2" t="inlineStr"/>
      <c r="H48" s="2" t="inlineStr">
        <is>
          <t>GALLERY</t>
        </is>
      </c>
      <c r="I48" s="2" t="inlineStr">
        <is>
          <t>DIRECT_ORIGINAL_IMAGE</t>
        </is>
      </c>
      <c r="J48" s="2" t="inlineStr">
        <is>
          <t>2026-09-07T10:06:44.827720+07:00</t>
        </is>
      </c>
      <c r="K48" s="2" t="inlineStr">
        <is>
          <t>Duvet-cover versus comforter product-type comparison.</t>
        </is>
      </c>
      <c r="L48" s="2" t="inlineStr">
        <is>
          <t>Product type comparison or matching pillow sham/detail image for personalized USA flag football comforter with the name Michael and number 30.</t>
        </is>
      </c>
      <c r="M48" s="2" t="inlineStr">
        <is>
          <t>Custom American Football on Usa Flag Background Comforter</t>
        </is>
      </c>
      <c r="N48" s="2" t="inlineStr">
        <is>
          <t>SET</t>
        </is>
      </c>
      <c r="O48" s="2" t="inlineStr">
        <is>
          <t>Matching sham or product info image for Personalized USA Flag Football Comforter Set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[]</t>
        </is>
      </c>
      <c r="Z48" s="2" t="inlineStr">
        <is>
          <t>["seo_runs\\jeminise.com\\20260906_234129\\evidence\\images\\38_custom-american-football-on-usa-flag-background-comforter-703a7c0d82-703a7c0d82\\image_03_47540295073991.jpg; seo_runs\\jeminise.com\\20260906_234129\\evidence\\contact_sheets\\38_custom-american-football-on-usa-flag-background-comforter-703a7c0d82-703a7c0d82.jpg", "https://jeminise.com/products/custom-american-football-on-usa-flag-background-comforter-703a7c0d82-703a7c0d82", "https://cdn.shopify.com/s/files/1/0792/5098/1063/files/16f7293cbefa5743a35b2e6316a5a114e5c052d08151e367dafd26aa5e2e542b_50c40cd4-4737-483e-b146-d01efedc6b1f.jpg?v=1785101770"]</t>
        </is>
      </c>
    </row>
    <row r="49" ht="66" customHeight="1">
      <c r="A49" s="3" t="inlineStr">
        <is>
          <t>jeminise.com+custom-american-football-on-usa-flag-background-comforter-703a7c0d82-703a7c0d82</t>
        </is>
      </c>
      <c r="B49" s="3" t="inlineStr">
        <is>
          <t>qaimg_99346a3485478f71</t>
        </is>
      </c>
      <c r="C49" s="4" t="inlineStr">
        <is>
          <t>https://cdn.shopify.com/s/files/1/0792/5098/1063/files/c05fa3057772437a9c016de35e8829c295fa0f9aa5ab3e4cef2ef36b835bcecb.jpg?v=1785101770</t>
        </is>
      </c>
      <c r="D49" s="4" t="inlineStr">
        <is>
          <t>https://cdn.shopify.com/s/files/1/0792/5098/1063/files/c05fa3057772437a9c016de35e8829c295fa0f9aa5ab3e4cef2ef36b835bcecb.jpg?v=1785101770</t>
        </is>
      </c>
      <c r="E49" s="3" t="inlineStr">
        <is>
          <t>38506854940871</t>
        </is>
      </c>
      <c r="F49" s="3" t="inlineStr">
        <is>
          <t>47540295106759</t>
        </is>
      </c>
      <c r="G49" s="3" t="inlineStr"/>
      <c r="H49" s="3" t="inlineStr">
        <is>
          <t>GALLERY</t>
        </is>
      </c>
      <c r="I49" s="3" t="inlineStr">
        <is>
          <t>DIRECT_ORIGINAL_IMAGE</t>
        </is>
      </c>
      <c r="J49" s="3" t="inlineStr">
        <is>
          <t>2026-09-07T10:06:44.827720+07:00</t>
        </is>
      </c>
      <c r="K49" s="3" t="inlineStr">
        <is>
          <t>Close-up feature panel marked soft, lightweight, durable and breathable.</t>
        </is>
      </c>
      <c r="L49" s="3" t="inlineStr">
        <is>
          <t>Close room/detail or fabric feature image showing personalized USA flag football comforter with the name Michael and number 30.</t>
        </is>
      </c>
      <c r="M49" s="3" t="inlineStr">
        <is>
          <t>Custom American Football on Usa Flag Background Comforter</t>
        </is>
      </c>
      <c r="N49" s="3" t="inlineStr">
        <is>
          <t>SET</t>
        </is>
      </c>
      <c r="O49" s="3" t="inlineStr">
        <is>
          <t>Close-up detail of personalized USA flag football comforter with the name Michael and number 30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>
        <is>
          <t>[]</t>
        </is>
      </c>
      <c r="Z49" s="3" t="inlineStr">
        <is>
          <t>["seo_runs\\jeminise.com\\20260906_234129\\evidence\\images\\38_custom-american-football-on-usa-flag-background-comforter-703a7c0d82-703a7c0d82\\image_04_47540295106759.jpg; seo_runs\\jeminise.com\\20260906_234129\\evidence\\contact_sheets\\38_custom-american-football-on-usa-flag-background-comforter-703a7c0d82-703a7c0d82.jpg", "https://jeminise.com/products/custom-american-football-on-usa-flag-background-comforter-703a7c0d82-703a7c0d82", "https://cdn.shopify.com/s/files/1/0792/5098/1063/files/c05fa3057772437a9c016de35e8829c295fa0f9aa5ab3e4cef2ef36b835bcecb.jpg?v=1785101770"]</t>
        </is>
      </c>
    </row>
    <row r="50" ht="66" customHeight="1">
      <c r="A50" s="2" t="inlineStr">
        <is>
          <t>jeminise.com+custom-american-football-on-usa-flag-background-comforter-703a7c0d82-703a7c0d82</t>
        </is>
      </c>
      <c r="B50" s="2" t="inlineStr">
        <is>
          <t>qaimg_1a242778991d1060</t>
        </is>
      </c>
      <c r="C50" s="4" t="inlineStr">
        <is>
          <t>https://cdn.shopify.com/s/files/1/0792/5098/1063/files/7c006bddc94d4763c71c8376307e195c1bbce73b8c802ec73ac5a8cef1291262_e42da11c-22a6-4e3d-bb70-996edab6cf62.jpg?v=1785101771</t>
        </is>
      </c>
      <c r="D50" s="4" t="inlineStr">
        <is>
          <t>https://cdn.shopify.com/s/files/1/0792/5098/1063/files/7c006bddc94d4763c71c8376307e195c1bbce73b8c802ec73ac5a8cef1291262_e42da11c-22a6-4e3d-bb70-996edab6cf62.jpg?v=1785101771</t>
        </is>
      </c>
      <c r="E50" s="2" t="inlineStr">
        <is>
          <t>38506854973639</t>
        </is>
      </c>
      <c r="F50" s="2" t="inlineStr">
        <is>
          <t>47540295139527</t>
        </is>
      </c>
      <c r="G50" s="2" t="inlineStr"/>
      <c r="H50" s="2" t="inlineStr">
        <is>
          <t>GALLERY</t>
        </is>
      </c>
      <c r="I50" s="2" t="inlineStr">
        <is>
          <t>DIRECT_ORIGINAL_IMAGE</t>
        </is>
      </c>
      <c r="J50" s="2" t="inlineStr">
        <is>
          <t>2026-09-07T10:06:44.827720+07:00</t>
        </is>
      </c>
      <c r="K50" s="2" t="inlineStr">
        <is>
          <t>Easy-care instruction panel.</t>
        </is>
      </c>
      <c r="L50" s="2" t="inlineStr">
        <is>
          <t>Easy-care or sizing information image for the bedding set.</t>
        </is>
      </c>
      <c r="M50" s="2" t="inlineStr">
        <is>
          <t>Custom American Football on Usa Flag Background Comforter</t>
        </is>
      </c>
      <c r="N50" s="2" t="inlineStr">
        <is>
          <t>SET</t>
        </is>
      </c>
      <c r="O50" s="2" t="inlineStr">
        <is>
          <t>Care or size information for Personalized USA Flag Football Comforter Set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>
        <is>
          <t>[]</t>
        </is>
      </c>
      <c r="Z50" s="2" t="inlineStr">
        <is>
          <t>["seo_runs\\jeminise.com\\20260906_234129\\evidence\\images\\38_custom-american-football-on-usa-flag-background-comforter-703a7c0d82-703a7c0d82\\image_05_47540295139527.jpg; seo_runs\\jeminise.com\\20260906_234129\\evidence\\contact_sheets\\38_custom-american-football-on-usa-flag-background-comforter-703a7c0d82-703a7c0d82.jpg", "https://jeminise.com/products/custom-american-football-on-usa-flag-background-comforter-703a7c0d82-703a7c0d82", "https://cdn.shopify.com/s/files/1/0792/5098/1063/files/7c006bddc94d4763c71c8376307e195c1bbce73b8c802ec73ac5a8cef1291262_e42da11c-22a6-4e3d-bb70-996edab6cf62.jpg?v=1785101771"]</t>
        </is>
      </c>
    </row>
    <row r="51" ht="66" customHeight="1">
      <c r="A51" s="3" t="inlineStr">
        <is>
          <t>jeminise.com+custom-american-football-on-usa-flag-background-comforter-703a7c0d82-703a7c0d82</t>
        </is>
      </c>
      <c r="B51" s="3" t="inlineStr">
        <is>
          <t>qaimg_dfc771a6b56abd3e</t>
        </is>
      </c>
      <c r="C51" s="4" t="inlineStr">
        <is>
          <t>https://cdn.shopify.com/s/files/1/0792/5098/1063/files/e5cad84edb4d7bf77c48fd7c8e52eb3b73f04eba8bf177671fd8a059c59422e8_83f80854-ef3b-498b-9687-6e0c3210b351.jpg?v=1785101770</t>
        </is>
      </c>
      <c r="D51" s="4" t="inlineStr">
        <is>
          <t>https://cdn.shopify.com/s/files/1/0792/5098/1063/files/e5cad84edb4d7bf77c48fd7c8e52eb3b73f04eba8bf177671fd8a059c59422e8_83f80854-ef3b-498b-9687-6e0c3210b351.jpg?v=1785101770</t>
        </is>
      </c>
      <c r="E51" s="3" t="inlineStr">
        <is>
          <t>38506855006407</t>
        </is>
      </c>
      <c r="F51" s="3" t="inlineStr">
        <is>
          <t>47540295172295</t>
        </is>
      </c>
      <c r="G51" s="3" t="inlineStr"/>
      <c r="H51" s="3" t="inlineStr">
        <is>
          <t>GALLERY</t>
        </is>
      </c>
      <c r="I51" s="3" t="inlineStr">
        <is>
          <t>DIRECT_ORIGINAL_IMAGE</t>
        </is>
      </c>
      <c r="J51" s="3" t="inlineStr">
        <is>
          <t>2026-09-07T10:06:44.827720+07:00</t>
        </is>
      </c>
      <c r="K51" s="3" t="inlineStr">
        <is>
          <t>Comforter and duvet-cover size-dimension diagram.</t>
        </is>
      </c>
      <c r="L51" s="3" t="inlineStr">
        <is>
          <t>Size dimension image for twin, full, queen and king bedding options.</t>
        </is>
      </c>
      <c r="M51" s="3" t="inlineStr">
        <is>
          <t>Custom American Football on Usa Flag Background Comforter</t>
        </is>
      </c>
      <c r="N51" s="3" t="inlineStr">
        <is>
          <t>SET</t>
        </is>
      </c>
      <c r="O51" s="3" t="inlineStr">
        <is>
          <t>Size dimension guide for Personalized USA Flag Football Comforter Set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[]</t>
        </is>
      </c>
      <c r="Z51" s="3" t="inlineStr">
        <is>
          <t>["seo_runs\\jeminise.com\\20260906_234129\\evidence\\images\\38_custom-american-football-on-usa-flag-background-comforter-703a7c0d82-703a7c0d82\\image_06_47540295172295.jpg; seo_runs\\jeminise.com\\20260906_234129\\evidence\\contact_sheets\\38_custom-american-football-on-usa-flag-background-comforter-703a7c0d82-703a7c0d82.jpg", "https://jeminise.com/products/custom-american-football-on-usa-flag-background-comforter-703a7c0d82-703a7c0d82", "https://cdn.shopify.com/s/files/1/0792/5098/1063/files/e5cad84edb4d7bf77c48fd7c8e52eb3b73f04eba8bf177671fd8a059c59422e8_83f80854-ef3b-498b-9687-6e0c3210b351.jpg?v=1785101770"]</t>
        </is>
      </c>
    </row>
    <row r="52" ht="66" customHeight="1">
      <c r="A52" s="2" t="inlineStr">
        <is>
          <t>jeminise.com+custom-american-football-with-paint-splash-background-vintage-comforter-da0e1d5bf1-da0e1d5bf1</t>
        </is>
      </c>
      <c r="B52" s="2" t="inlineStr">
        <is>
          <t>qaimg_f57f1ca7373a267d</t>
        </is>
      </c>
      <c r="C52" s="4" t="inlineStr">
        <is>
          <t>https://cdn.shopify.com/s/files/1/0792/5098/1063/files/f9e8536c20f2dc19107c6fd69a43535c4bb88bac4323fd1ee6ac49a2601099d3.jpg?v=1785102312</t>
        </is>
      </c>
      <c r="D52" s="4" t="inlineStr">
        <is>
          <t>https://cdn.shopify.com/s/files/1/0792/5098/1063/files/f9e8536c20f2dc19107c6fd69a43535c4bb88bac4323fd1ee6ac49a2601099d3.jpg?v=1785102312</t>
        </is>
      </c>
      <c r="E52" s="2" t="inlineStr">
        <is>
          <t>38506886070471</t>
        </is>
      </c>
      <c r="F52" s="2" t="inlineStr">
        <is>
          <t>47540326236359</t>
        </is>
      </c>
      <c r="G52" s="2" t="inlineStr"/>
      <c r="H52" s="2" t="inlineStr">
        <is>
          <t>GALLERY</t>
        </is>
      </c>
      <c r="I52" s="2" t="inlineStr">
        <is>
          <t>DIRECT_ORIGINAL_IMAGE</t>
        </is>
      </c>
      <c r="J52" s="2" t="inlineStr">
        <is>
          <t>2026-09-07T10:06:44.827720+07:00</t>
        </is>
      </c>
      <c r="K52" s="2" t="inlineStr">
        <is>
          <t>Main bed view of a tan paint-splash football design with sample name MARK and number 15.</t>
        </is>
      </c>
      <c r="L52" s="2" t="inlineStr">
        <is>
          <t>Main bed mockup showing personalized vintage football comforter with the name Mark and number 15.</t>
        </is>
      </c>
      <c r="M52" s="2" t="inlineStr">
        <is>
          <t>Custom American Football with Paint Splash Background Vintage Comforter</t>
        </is>
      </c>
      <c r="N52" s="2" t="inlineStr">
        <is>
          <t>SET</t>
        </is>
      </c>
      <c r="O52" s="2" t="inlineStr">
        <is>
          <t>Personalized Vintage Football Comforter Set displayed on a bed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FULL</t>
        </is>
      </c>
      <c r="S52" s="2" t="inlineStr">
        <is>
          <t>FULL</t>
        </is>
      </c>
      <c r="T52" s="5">
        <f>IF(P52="FULL",40,IF(P52="PARTIAL",40/2,0))+IF(Q52="FULL",30,IF(Q52="PARTIAL",30/2,0))+IF(R52="FULL",20,IF(R52="PARTIAL",20/2,0))+IF(S52="FULL",10,IF(S52="PARTIAL",10/2,0))</f>
        <v/>
      </c>
      <c r="U52" s="5">
        <f>IF(P52="NOT_CHECKED",0,40)+IF(Q52="NOT_CHECKED",0,30)+IF(R52="NOT_CHECKED",0,20)+IF(S52="NOT_CHECKED",0,10)</f>
        <v/>
      </c>
      <c r="V52" s="5">
        <f>IF(U52=100,T52,"")</f>
        <v/>
      </c>
      <c r="W52" s="5">
        <f>T52</f>
        <v/>
      </c>
      <c r="X52" s="5">
        <f>T52+(100-U52)</f>
        <v/>
      </c>
      <c r="Y52" s="2" t="inlineStr">
        <is>
          <t>[]</t>
        </is>
      </c>
      <c r="Z52" s="2" t="inlineStr">
        <is>
          <t>["seo_runs\\jeminise.com\\20260906_234129\\evidence\\images\\39_custom-american-football-with-paint-splash-background-vintage-comforter-da0e1d5bf1-da0e1d5bf1\\image_01_47540326236359.jpg; seo_runs\\jeminise.com\\20260906_234129\\evidence\\contact_sheets\\39_custom-american-football-with-paint-splash-background-vintage-comforter-da0e1d5bf1-da0e1d5bf1.jpg", "https://jeminise.com/products/custom-american-football-with-paint-splash-background-vintage-comforter-da0e1d5bf1-da0e1d5bf1", "https://cdn.shopify.com/s/files/1/0792/5098/1063/files/f9e8536c20f2dc19107c6fd69a43535c4bb88bac4323fd1ee6ac49a2601099d3.jpg?v=1785102312"]</t>
        </is>
      </c>
    </row>
    <row r="53" ht="66" customHeight="1">
      <c r="A53" s="3" t="inlineStr">
        <is>
          <t>jeminise.com+custom-american-football-with-paint-splash-background-vintage-comforter-da0e1d5bf1-da0e1d5bf1</t>
        </is>
      </c>
      <c r="B53" s="3" t="inlineStr">
        <is>
          <t>qaimg_558cacbc16455716</t>
        </is>
      </c>
      <c r="C53" s="4" t="inlineStr">
        <is>
          <t>https://cdn.shopify.com/s/files/1/0792/5098/1063/files/928eb50ae3f1bc7e4d40765cc2350f1fd1aba1a4ed6c886ee957ba75876d92ff.jpg?v=1785102312</t>
        </is>
      </c>
      <c r="D53" s="4" t="inlineStr">
        <is>
          <t>https://cdn.shopify.com/s/files/1/0792/5098/1063/files/928eb50ae3f1bc7e4d40765cc2350f1fd1aba1a4ed6c886ee957ba75876d92ff.jpg?v=1785102312</t>
        </is>
      </c>
      <c r="E53" s="3" t="inlineStr">
        <is>
          <t>38506886103239</t>
        </is>
      </c>
      <c r="F53" s="3" t="inlineStr">
        <is>
          <t>47540326269127</t>
        </is>
      </c>
      <c r="G53" s="3" t="inlineStr"/>
      <c r="H53" s="3" t="inlineStr">
        <is>
          <t>GALLERY</t>
        </is>
      </c>
      <c r="I53" s="3" t="inlineStr">
        <is>
          <t>DIRECT_ORIGINAL_IMAGE</t>
        </is>
      </c>
      <c r="J53" s="3" t="inlineStr">
        <is>
          <t>2026-09-07T10:06:44.827720+07:00</t>
        </is>
      </c>
      <c r="K53" s="3" t="inlineStr">
        <is>
          <t>Angled bedroom view of the same MARK 15 design.</t>
        </is>
      </c>
      <c r="L53" s="3" t="inlineStr">
        <is>
          <t>Angled bedroom mockup showing personalized vintage football comforter with the name Mark and number 15.</t>
        </is>
      </c>
      <c r="M53" s="3" t="inlineStr">
        <is>
          <t>Custom American Football with Paint Splash Background Vintage Comforter</t>
        </is>
      </c>
      <c r="N53" s="3" t="inlineStr">
        <is>
          <t>SET</t>
        </is>
      </c>
      <c r="O53" s="3" t="inlineStr">
        <is>
          <t>Angled bedroom view of Personalized Vintage Football Comforter Set</t>
        </is>
      </c>
      <c r="P53" s="3" t="inlineStr">
        <is>
          <t>FULL</t>
        </is>
      </c>
      <c r="Q53" s="3" t="inlineStr">
        <is>
          <t>FULL</t>
        </is>
      </c>
      <c r="R53" s="3" t="inlineStr">
        <is>
          <t>FULL</t>
        </is>
      </c>
      <c r="S53" s="3" t="inlineStr">
        <is>
          <t>FULL</t>
        </is>
      </c>
      <c r="T53" s="7">
        <f>IF(P53="FULL",40,IF(P53="PARTIAL",40/2,0))+IF(Q53="FULL",30,IF(Q53="PARTIAL",30/2,0))+IF(R53="FULL",20,IF(R53="PARTIAL",20/2,0))+IF(S53="FULL",10,IF(S53="PARTIAL",10/2,0))</f>
        <v/>
      </c>
      <c r="U53" s="7">
        <f>IF(P53="NOT_CHECKED",0,40)+IF(Q53="NOT_CHECKED",0,30)+IF(R53="NOT_CHECKED",0,20)+IF(S53="NOT_CHECKED",0,10)</f>
        <v/>
      </c>
      <c r="V53" s="7">
        <f>IF(U53=100,T53,"")</f>
        <v/>
      </c>
      <c r="W53" s="7">
        <f>T53</f>
        <v/>
      </c>
      <c r="X53" s="7">
        <f>T53+(100-U53)</f>
        <v/>
      </c>
      <c r="Y53" s="3" t="inlineStr">
        <is>
          <t>[]</t>
        </is>
      </c>
      <c r="Z53" s="3" t="inlineStr">
        <is>
          <t>["seo_runs\\jeminise.com\\20260906_234129\\evidence\\images\\39_custom-american-football-with-paint-splash-background-vintage-comforter-da0e1d5bf1-da0e1d5bf1\\image_02_47540326269127.jpg; seo_runs\\jeminise.com\\20260906_234129\\evidence\\contact_sheets\\39_custom-american-football-with-paint-splash-background-vintage-comforter-da0e1d5bf1-da0e1d5bf1.jpg", "https://jeminise.com/products/custom-american-football-with-paint-splash-background-vintage-comforter-da0e1d5bf1-da0e1d5bf1", "https://cdn.shopify.com/s/files/1/0792/5098/1063/files/928eb50ae3f1bc7e4d40765cc2350f1fd1aba1a4ed6c886ee957ba75876d92ff.jpg?v=1785102312"]</t>
        </is>
      </c>
    </row>
    <row r="54" ht="66" customHeight="1">
      <c r="A54" s="2" t="inlineStr">
        <is>
          <t>jeminise.com+custom-american-football-with-paint-splash-background-vintage-comforter-da0e1d5bf1-da0e1d5bf1</t>
        </is>
      </c>
      <c r="B54" s="2" t="inlineStr">
        <is>
          <t>qaimg_341de507c2adef85</t>
        </is>
      </c>
      <c r="C54" s="4" t="inlineStr">
        <is>
          <t>https://cdn.shopify.com/s/files/1/0792/5098/1063/files/16f7293cbefa5743a35b2e6316a5a114e5c052d08151e367dafd26aa5e2e542b_1acfa0ab-cba8-45fa-a4cf-f1fd84ab628b.jpg?v=1785102312</t>
        </is>
      </c>
      <c r="D54" s="4" t="inlineStr">
        <is>
          <t>https://cdn.shopify.com/s/files/1/0792/5098/1063/files/16f7293cbefa5743a35b2e6316a5a114e5c052d08151e367dafd26aa5e2e542b_1acfa0ab-cba8-45fa-a4cf-f1fd84ab628b.jpg?v=1785102312</t>
        </is>
      </c>
      <c r="E54" s="2" t="inlineStr">
        <is>
          <t>38506886136007</t>
        </is>
      </c>
      <c r="F54" s="2" t="inlineStr">
        <is>
          <t>47540326301895</t>
        </is>
      </c>
      <c r="G54" s="2" t="inlineStr"/>
      <c r="H54" s="2" t="inlineStr">
        <is>
          <t>GALLERY</t>
        </is>
      </c>
      <c r="I54" s="2" t="inlineStr">
        <is>
          <t>DIRECT_ORIGINAL_IMAGE</t>
        </is>
      </c>
      <c r="J54" s="2" t="inlineStr">
        <is>
          <t>2026-09-07T10:06:44.827720+07:00</t>
        </is>
      </c>
      <c r="K54" s="2" t="inlineStr">
        <is>
          <t>Duvet-cover versus comforter product-type comparison.</t>
        </is>
      </c>
      <c r="L54" s="2" t="inlineStr">
        <is>
          <t>Product type comparison or matching pillow sham/detail image for personalized vintage football comforter with the name Mark and number 15.</t>
        </is>
      </c>
      <c r="M54" s="2" t="inlineStr">
        <is>
          <t>Custom American Football with Paint Splash Background Vintage Comforter</t>
        </is>
      </c>
      <c r="N54" s="2" t="inlineStr">
        <is>
          <t>SET</t>
        </is>
      </c>
      <c r="O54" s="2" t="inlineStr">
        <is>
          <t>Matching sham or product info image for Personalized Vintage Football Comforter Set</t>
        </is>
      </c>
      <c r="P54" s="2" t="inlineStr">
        <is>
          <t>FULL</t>
        </is>
      </c>
      <c r="Q54" s="2" t="inlineStr">
        <is>
          <t>FULL</t>
        </is>
      </c>
      <c r="R54" s="2" t="inlineStr">
        <is>
          <t>FULL</t>
        </is>
      </c>
      <c r="S54" s="2" t="inlineStr">
        <is>
          <t>FULL</t>
        </is>
      </c>
      <c r="T54" s="5">
        <f>IF(P54="FULL",40,IF(P54="PARTIAL",40/2,0))+IF(Q54="FULL",30,IF(Q54="PARTIAL",30/2,0))+IF(R54="FULL",20,IF(R54="PARTIAL",20/2,0))+IF(S54="FULL",10,IF(S54="PARTIAL",10/2,0))</f>
        <v/>
      </c>
      <c r="U54" s="5">
        <f>IF(P54="NOT_CHECKED",0,40)+IF(Q54="NOT_CHECKED",0,30)+IF(R54="NOT_CHECKED",0,20)+IF(S54="NOT_CHECKED",0,10)</f>
        <v/>
      </c>
      <c r="V54" s="5">
        <f>IF(U54=100,T54,"")</f>
        <v/>
      </c>
      <c r="W54" s="5">
        <f>T54</f>
        <v/>
      </c>
      <c r="X54" s="5">
        <f>T54+(100-U54)</f>
        <v/>
      </c>
      <c r="Y54" s="2" t="inlineStr">
        <is>
          <t>[]</t>
        </is>
      </c>
      <c r="Z54" s="2" t="inlineStr">
        <is>
          <t>["seo_runs\\jeminise.com\\20260906_234129\\evidence\\images\\39_custom-american-football-with-paint-splash-background-vintage-comforter-da0e1d5bf1-da0e1d5bf1\\image_03_47540326301895.jpg; seo_runs\\jeminise.com\\20260906_234129\\evidence\\contact_sheets\\39_custom-american-football-with-paint-splash-background-vintage-comforter-da0e1d5bf1-da0e1d5bf1.jpg", "https://jeminise.com/products/custom-american-football-with-paint-splash-background-vintage-comforter-da0e1d5bf1-da0e1d5bf1", "https://cdn.shopify.com/s/files/1/0792/5098/1063/files/16f7293cbefa5743a35b2e6316a5a114e5c052d08151e367dafd26aa5e2e542b_1acfa0ab-cba8-45fa-a4cf-f1fd84ab628b.jpg?v=1785102312"]</t>
        </is>
      </c>
    </row>
    <row r="55" ht="66" customHeight="1">
      <c r="A55" s="3" t="inlineStr">
        <is>
          <t>jeminise.com+custom-american-football-with-paint-splash-background-vintage-comforter-da0e1d5bf1-da0e1d5bf1</t>
        </is>
      </c>
      <c r="B55" s="3" t="inlineStr">
        <is>
          <t>qaimg_13afc64e218a59d2</t>
        </is>
      </c>
      <c r="C55" s="4" t="inlineStr">
        <is>
          <t>https://cdn.shopify.com/s/files/1/0792/5098/1063/files/fcef7f349baccd1d4b9d05508c169228825a3e4845ac14a8f93db8f652db7186.jpg?v=1785102312</t>
        </is>
      </c>
      <c r="D55" s="4" t="inlineStr">
        <is>
          <t>https://cdn.shopify.com/s/files/1/0792/5098/1063/files/fcef7f349baccd1d4b9d05508c169228825a3e4845ac14a8f93db8f652db7186.jpg?v=1785102312</t>
        </is>
      </c>
      <c r="E55" s="3" t="inlineStr">
        <is>
          <t>38506886168775</t>
        </is>
      </c>
      <c r="F55" s="3" t="inlineStr">
        <is>
          <t>47540326334663</t>
        </is>
      </c>
      <c r="G55" s="3" t="inlineStr"/>
      <c r="H55" s="3" t="inlineStr">
        <is>
          <t>GALLERY</t>
        </is>
      </c>
      <c r="I55" s="3" t="inlineStr">
        <is>
          <t>DIRECT_ORIGINAL_IMAGE</t>
        </is>
      </c>
      <c r="J55" s="3" t="inlineStr">
        <is>
          <t>2026-09-07T10:06:44.827720+07:00</t>
        </is>
      </c>
      <c r="K55" s="3" t="inlineStr">
        <is>
          <t>Close-up feature panel marked soft, lightweight, durable and breathable.</t>
        </is>
      </c>
      <c r="L55" s="3" t="inlineStr">
        <is>
          <t>Close room/detail or fabric feature image showing personalized vintage football comforter with the name Mark and number 15.</t>
        </is>
      </c>
      <c r="M55" s="3" t="inlineStr">
        <is>
          <t>Custom American Football with Paint Splash Background Vintage Comforter</t>
        </is>
      </c>
      <c r="N55" s="3" t="inlineStr">
        <is>
          <t>SET</t>
        </is>
      </c>
      <c r="O55" s="3" t="inlineStr">
        <is>
          <t>Close-up detail of personalized vintage football comforter with the name Mark and number 15</t>
        </is>
      </c>
      <c r="P55" s="3" t="inlineStr">
        <is>
          <t>FULL</t>
        </is>
      </c>
      <c r="Q55" s="3" t="inlineStr">
        <is>
          <t>FULL</t>
        </is>
      </c>
      <c r="R55" s="3" t="inlineStr">
        <is>
          <t>FULL</t>
        </is>
      </c>
      <c r="S55" s="3" t="inlineStr">
        <is>
          <t>FULL</t>
        </is>
      </c>
      <c r="T55" s="7">
        <f>IF(P55="FULL",40,IF(P55="PARTIAL",40/2,0))+IF(Q55="FULL",30,IF(Q55="PARTIAL",30/2,0))+IF(R55="FULL",20,IF(R55="PARTIAL",20/2,0))+IF(S55="FULL",10,IF(S55="PARTIAL",10/2,0))</f>
        <v/>
      </c>
      <c r="U55" s="7">
        <f>IF(P55="NOT_CHECKED",0,40)+IF(Q55="NOT_CHECKED",0,30)+IF(R55="NOT_CHECKED",0,20)+IF(S55="NOT_CHECKED",0,10)</f>
        <v/>
      </c>
      <c r="V55" s="7">
        <f>IF(U55=100,T55,"")</f>
        <v/>
      </c>
      <c r="W55" s="7">
        <f>T55</f>
        <v/>
      </c>
      <c r="X55" s="7">
        <f>T55+(100-U55)</f>
        <v/>
      </c>
      <c r="Y55" s="3" t="inlineStr">
        <is>
          <t>[]</t>
        </is>
      </c>
      <c r="Z55" s="3" t="inlineStr">
        <is>
          <t>["seo_runs\\jeminise.com\\20260906_234129\\evidence\\images\\39_custom-american-football-with-paint-splash-background-vintage-comforter-da0e1d5bf1-da0e1d5bf1\\image_04_47540326334663.jpg; seo_runs\\jeminise.com\\20260906_234129\\evidence\\contact_sheets\\39_custom-american-football-with-paint-splash-background-vintage-comforter-da0e1d5bf1-da0e1d5bf1.jpg", "https://jeminise.com/products/custom-american-football-with-paint-splash-background-vintage-comforter-da0e1d5bf1-da0e1d5bf1", "https://cdn.shopify.com/s/files/1/0792/5098/1063/files/fcef7f349baccd1d4b9d05508c169228825a3e4845ac14a8f93db8f652db7186.jpg?v=1785102312"]</t>
        </is>
      </c>
    </row>
    <row r="56" ht="66" customHeight="1">
      <c r="A56" s="2" t="inlineStr">
        <is>
          <t>jeminise.com+custom-american-football-with-paint-splash-background-vintage-comforter-da0e1d5bf1-da0e1d5bf1</t>
        </is>
      </c>
      <c r="B56" s="2" t="inlineStr">
        <is>
          <t>qaimg_f17dd103af765a75</t>
        </is>
      </c>
      <c r="C56" s="4" t="inlineStr">
        <is>
          <t>https://cdn.shopify.com/s/files/1/0792/5098/1063/files/7c006bddc94d4763c71c8376307e195c1bbce73b8c802ec73ac5a8cef1291262_e57e2d4f-2a74-4a7f-9a82-b7c808f9b0cc.jpg?v=1785102312</t>
        </is>
      </c>
      <c r="D56" s="4" t="inlineStr">
        <is>
          <t>https://cdn.shopify.com/s/files/1/0792/5098/1063/files/7c006bddc94d4763c71c8376307e195c1bbce73b8c802ec73ac5a8cef1291262_e57e2d4f-2a74-4a7f-9a82-b7c808f9b0cc.jpg?v=1785102312</t>
        </is>
      </c>
      <c r="E56" s="2" t="inlineStr">
        <is>
          <t>38506886201543</t>
        </is>
      </c>
      <c r="F56" s="2" t="inlineStr">
        <is>
          <t>47540326367431</t>
        </is>
      </c>
      <c r="G56" s="2" t="inlineStr"/>
      <c r="H56" s="2" t="inlineStr">
        <is>
          <t>GALLERY</t>
        </is>
      </c>
      <c r="I56" s="2" t="inlineStr">
        <is>
          <t>DIRECT_ORIGINAL_IMAGE</t>
        </is>
      </c>
      <c r="J56" s="2" t="inlineStr">
        <is>
          <t>2026-09-07T10:06:44.827720+07:00</t>
        </is>
      </c>
      <c r="K56" s="2" t="inlineStr">
        <is>
          <t>Easy-care instruction panel.</t>
        </is>
      </c>
      <c r="L56" s="2" t="inlineStr">
        <is>
          <t>Easy-care or sizing information image for the bedding set.</t>
        </is>
      </c>
      <c r="M56" s="2" t="inlineStr">
        <is>
          <t>Custom American Football with Paint Splash Background Vintage Comforter</t>
        </is>
      </c>
      <c r="N56" s="2" t="inlineStr">
        <is>
          <t>SET</t>
        </is>
      </c>
      <c r="O56" s="2" t="inlineStr">
        <is>
          <t>Care or size information for Personalized Vintage Football Comforter Set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2" t="inlineStr">
        <is>
          <t>FULL</t>
        </is>
      </c>
      <c r="T56" s="5">
        <f>IF(P56="FULL",40,IF(P56="PARTIAL",40/2,0))+IF(Q56="FULL",30,IF(Q56="PARTIAL",30/2,0))+IF(R56="FULL",20,IF(R56="PARTIAL",20/2,0))+IF(S56="FULL",10,IF(S56="PARTIAL",10/2,0))</f>
        <v/>
      </c>
      <c r="U56" s="5">
        <f>IF(P56="NOT_CHECKED",0,40)+IF(Q56="NOT_CHECKED",0,30)+IF(R56="NOT_CHECKED",0,20)+IF(S56="NOT_CHECKED",0,10)</f>
        <v/>
      </c>
      <c r="V56" s="5">
        <f>IF(U56=100,T56,"")</f>
        <v/>
      </c>
      <c r="W56" s="5">
        <f>T56</f>
        <v/>
      </c>
      <c r="X56" s="5">
        <f>T56+(100-U56)</f>
        <v/>
      </c>
      <c r="Y56" s="2" t="inlineStr">
        <is>
          <t>[]</t>
        </is>
      </c>
      <c r="Z56" s="2" t="inlineStr">
        <is>
          <t>["seo_runs\\jeminise.com\\20260906_234129\\evidence\\images\\39_custom-american-football-with-paint-splash-background-vintage-comforter-da0e1d5bf1-da0e1d5bf1\\image_05_47540326367431.jpg; seo_runs\\jeminise.com\\20260906_234129\\evidence\\contact_sheets\\39_custom-american-football-with-paint-splash-background-vintage-comforter-da0e1d5bf1-da0e1d5bf1.jpg", "https://jeminise.com/products/custom-american-football-with-paint-splash-background-vintage-comforter-da0e1d5bf1-da0e1d5bf1", "https://cdn.shopify.com/s/files/1/0792/5098/1063/files/7c006bddc94d4763c71c8376307e195c1bbce73b8c802ec73ac5a8cef1291262_e57e2d4f-2a74-4a7f-9a82-b7c808f9b0cc.jpg?v=1785102312"]</t>
        </is>
      </c>
    </row>
    <row r="57" ht="66" customHeight="1">
      <c r="A57" s="3" t="inlineStr">
        <is>
          <t>jeminise.com+custom-american-football-with-paint-splash-background-vintage-comforter-da0e1d5bf1-da0e1d5bf1</t>
        </is>
      </c>
      <c r="B57" s="3" t="inlineStr">
        <is>
          <t>qaimg_957435caf59cffa3</t>
        </is>
      </c>
      <c r="C57" s="4" t="inlineStr">
        <is>
          <t>https://cdn.shopify.com/s/files/1/0792/5098/1063/files/e5cad84edb4d7bf77c48fd7c8e52eb3b73f04eba8bf177671fd8a059c59422e8_e4232455-7802-4105-bf12-f40717779408.jpg?v=1785102312</t>
        </is>
      </c>
      <c r="D57" s="4" t="inlineStr">
        <is>
          <t>https://cdn.shopify.com/s/files/1/0792/5098/1063/files/e5cad84edb4d7bf77c48fd7c8e52eb3b73f04eba8bf177671fd8a059c59422e8_e4232455-7802-4105-bf12-f40717779408.jpg?v=1785102312</t>
        </is>
      </c>
      <c r="E57" s="3" t="inlineStr">
        <is>
          <t>38506886234311</t>
        </is>
      </c>
      <c r="F57" s="3" t="inlineStr">
        <is>
          <t>47540326400199</t>
        </is>
      </c>
      <c r="G57" s="3" t="inlineStr"/>
      <c r="H57" s="3" t="inlineStr">
        <is>
          <t>GALLERY</t>
        </is>
      </c>
      <c r="I57" s="3" t="inlineStr">
        <is>
          <t>DIRECT_ORIGINAL_IMAGE</t>
        </is>
      </c>
      <c r="J57" s="3" t="inlineStr">
        <is>
          <t>2026-09-07T10:06:44.827720+07:00</t>
        </is>
      </c>
      <c r="K57" s="3" t="inlineStr">
        <is>
          <t>Comforter and duvet-cover size-dimension diagram.</t>
        </is>
      </c>
      <c r="L57" s="3" t="inlineStr">
        <is>
          <t>Size dimension image for twin, full, queen and king bedding options.</t>
        </is>
      </c>
      <c r="M57" s="3" t="inlineStr">
        <is>
          <t>Custom American Football with Paint Splash Background Vintage Comforter</t>
        </is>
      </c>
      <c r="N57" s="3" t="inlineStr">
        <is>
          <t>SET</t>
        </is>
      </c>
      <c r="O57" s="3" t="inlineStr">
        <is>
          <t>Size dimension guide for Personalized Vintage Football Comforter Set</t>
        </is>
      </c>
      <c r="P57" s="3" t="inlineStr">
        <is>
          <t>FULL</t>
        </is>
      </c>
      <c r="Q57" s="3" t="inlineStr">
        <is>
          <t>FULL</t>
        </is>
      </c>
      <c r="R57" s="3" t="inlineStr">
        <is>
          <t>FULL</t>
        </is>
      </c>
      <c r="S57" s="3" t="inlineStr">
        <is>
          <t>FULL</t>
        </is>
      </c>
      <c r="T57" s="7">
        <f>IF(P57="FULL",40,IF(P57="PARTIAL",40/2,0))+IF(Q57="FULL",30,IF(Q57="PARTIAL",30/2,0))+IF(R57="FULL",20,IF(R57="PARTIAL",20/2,0))+IF(S57="FULL",10,IF(S57="PARTIAL",10/2,0))</f>
        <v/>
      </c>
      <c r="U57" s="7">
        <f>IF(P57="NOT_CHECKED",0,40)+IF(Q57="NOT_CHECKED",0,30)+IF(R57="NOT_CHECKED",0,20)+IF(S57="NOT_CHECKED",0,10)</f>
        <v/>
      </c>
      <c r="V57" s="7">
        <f>IF(U57=100,T57,"")</f>
        <v/>
      </c>
      <c r="W57" s="7">
        <f>T57</f>
        <v/>
      </c>
      <c r="X57" s="7">
        <f>T57+(100-U57)</f>
        <v/>
      </c>
      <c r="Y57" s="3" t="inlineStr">
        <is>
          <t>[]</t>
        </is>
      </c>
      <c r="Z57" s="3" t="inlineStr">
        <is>
          <t>["seo_runs\\jeminise.com\\20260906_234129\\evidence\\images\\39_custom-american-football-with-paint-splash-background-vintage-comforter-da0e1d5bf1-da0e1d5bf1\\image_06_47540326400199.jpg; seo_runs\\jeminise.com\\20260906_234129\\evidence\\contact_sheets\\39_custom-american-football-with-paint-splash-background-vintage-comforter-da0e1d5bf1-da0e1d5bf1.jpg", "https://jeminise.com/products/custom-american-football-with-paint-splash-background-vintage-comforter-da0e1d5bf1-da0e1d5bf1", "https://cdn.shopify.com/s/files/1/0792/5098/1063/files/e5cad84edb4d7bf77c48fd7c8e52eb3b73f04eba8bf177671fd8a059c59422e8_e4232455-7802-4105-bf12-f40717779408.jpg?v=1785102312"]</t>
        </is>
      </c>
    </row>
    <row r="58" ht="66" customHeight="1">
      <c r="A58" s="2" t="inlineStr">
        <is>
          <t>jeminise.com+custom-american-football-with-patriotic-flag-comforter-4a3a1ed3c9-4a3a1ed3c9</t>
        </is>
      </c>
      <c r="B58" s="2" t="inlineStr">
        <is>
          <t>qaimg_b0aeb9f07dde8b60</t>
        </is>
      </c>
      <c r="C58" s="4" t="inlineStr">
        <is>
          <t>https://cdn.shopify.com/s/files/1/0792/5098/1063/files/a6aedfb7f9b81449b401a91a0409992efbba09d035e85d8e5cc7da9802dc0589.jpg?v=1785101840</t>
        </is>
      </c>
      <c r="D58" s="4" t="inlineStr">
        <is>
          <t>https://cdn.shopify.com/s/files/1/0792/5098/1063/files/a6aedfb7f9b81449b401a91a0409992efbba09d035e85d8e5cc7da9802dc0589.jpg?v=1785101840</t>
        </is>
      </c>
      <c r="E58" s="2" t="inlineStr">
        <is>
          <t>38506860380359</t>
        </is>
      </c>
      <c r="F58" s="2" t="inlineStr">
        <is>
          <t>47540300546247</t>
        </is>
      </c>
      <c r="G58" s="2" t="inlineStr"/>
      <c r="H58" s="2" t="inlineStr">
        <is>
          <t>GALLERY</t>
        </is>
      </c>
      <c r="I58" s="2" t="inlineStr">
        <is>
          <t>DIRECT_ORIGINAL_IMAGE</t>
        </is>
      </c>
      <c r="J58" s="2" t="inlineStr">
        <is>
          <t>2026-09-07T10:06:44.827720+07:00</t>
        </is>
      </c>
      <c r="K58" s="2" t="inlineStr">
        <is>
          <t>Main bed view of a football wrapped in a USA flag with sample name MATTHEW and number 08.</t>
        </is>
      </c>
      <c r="L58" s="2" t="inlineStr">
        <is>
          <t>Main bed mockup showing personalized patriotic football comforter with the name Matthew and number 08.</t>
        </is>
      </c>
      <c r="M58" s="2" t="inlineStr">
        <is>
          <t>Custom American Football with Patriotic Flag Comforter</t>
        </is>
      </c>
      <c r="N58" s="2" t="inlineStr">
        <is>
          <t>SET</t>
        </is>
      </c>
      <c r="O58" s="2" t="inlineStr">
        <is>
          <t>Custom Patriotic Football Comforter Set displayed on a bed</t>
        </is>
      </c>
      <c r="P58" s="2" t="inlineStr">
        <is>
          <t>FULL</t>
        </is>
      </c>
      <c r="Q58" s="2" t="inlineStr">
        <is>
          <t>FULL</t>
        </is>
      </c>
      <c r="R58" s="2" t="inlineStr">
        <is>
          <t>FULL</t>
        </is>
      </c>
      <c r="S58" s="2" t="inlineStr">
        <is>
          <t>FULL</t>
        </is>
      </c>
      <c r="T58" s="5">
        <f>IF(P58="FULL",40,IF(P58="PARTIAL",40/2,0))+IF(Q58="FULL",30,IF(Q58="PARTIAL",30/2,0))+IF(R58="FULL",20,IF(R58="PARTIAL",20/2,0))+IF(S58="FULL",10,IF(S58="PARTIAL",10/2,0))</f>
        <v/>
      </c>
      <c r="U58" s="5">
        <f>IF(P58="NOT_CHECKED",0,40)+IF(Q58="NOT_CHECKED",0,30)+IF(R58="NOT_CHECKED",0,20)+IF(S58="NOT_CHECKED",0,10)</f>
        <v/>
      </c>
      <c r="V58" s="5">
        <f>IF(U58=100,T58,"")</f>
        <v/>
      </c>
      <c r="W58" s="5">
        <f>T58</f>
        <v/>
      </c>
      <c r="X58" s="5">
        <f>T58+(100-U58)</f>
        <v/>
      </c>
      <c r="Y58" s="2" t="inlineStr">
        <is>
          <t>[]</t>
        </is>
      </c>
      <c r="Z58" s="2" t="inlineStr">
        <is>
          <t>["seo_runs\\jeminise.com\\20260906_234129\\evidence\\images\\40_custom-american-football-with-patriotic-flag-comforter-4a3a1ed3c9-4a3a1ed3c9\\image_01_47540300546247.jpg; seo_runs\\jeminise.com\\20260906_234129\\evidence\\contact_sheets\\40_custom-american-football-with-patriotic-flag-comforter-4a3a1ed3c9-4a3a1ed3c9.jpg", "https://jeminise.com/products/custom-american-football-with-patriotic-flag-comforter-4a3a1ed3c9-4a3a1ed3c9", "https://cdn.shopify.com/s/files/1/0792/5098/1063/files/a6aedfb7f9b81449b401a91a0409992efbba09d035e85d8e5cc7da9802dc0589.jpg?v=1785101840"]</t>
        </is>
      </c>
    </row>
    <row r="59" ht="66" customHeight="1">
      <c r="A59" s="3" t="inlineStr">
        <is>
          <t>jeminise.com+custom-american-football-with-patriotic-flag-comforter-4a3a1ed3c9-4a3a1ed3c9</t>
        </is>
      </c>
      <c r="B59" s="3" t="inlineStr">
        <is>
          <t>qaimg_10a56cdad95e628f</t>
        </is>
      </c>
      <c r="C59" s="4" t="inlineStr">
        <is>
          <t>https://cdn.shopify.com/s/files/1/0792/5098/1063/files/c68aa5c462e7e6a06d4fab3fb3a9399d56e5454756be9390c9f0a2573c8bb7ae.jpg?v=1785101840</t>
        </is>
      </c>
      <c r="D59" s="4" t="inlineStr">
        <is>
          <t>https://cdn.shopify.com/s/files/1/0792/5098/1063/files/c68aa5c462e7e6a06d4fab3fb3a9399d56e5454756be9390c9f0a2573c8bb7ae.jpg?v=1785101840</t>
        </is>
      </c>
      <c r="E59" s="3" t="inlineStr">
        <is>
          <t>38506860413127</t>
        </is>
      </c>
      <c r="F59" s="3" t="inlineStr">
        <is>
          <t>47540300579015</t>
        </is>
      </c>
      <c r="G59" s="3" t="inlineStr"/>
      <c r="H59" s="3" t="inlineStr">
        <is>
          <t>GALLERY</t>
        </is>
      </c>
      <c r="I59" s="3" t="inlineStr">
        <is>
          <t>DIRECT_ORIGINAL_IMAGE</t>
        </is>
      </c>
      <c r="J59" s="3" t="inlineStr">
        <is>
          <t>2026-09-07T10:06:44.827720+07:00</t>
        </is>
      </c>
      <c r="K59" s="3" t="inlineStr">
        <is>
          <t>Angled bedroom view of the same MATTHEW 08 design.</t>
        </is>
      </c>
      <c r="L59" s="3" t="inlineStr">
        <is>
          <t>Angled bedroom mockup showing personalized patriotic football comforter with the name Matthew and number 08.</t>
        </is>
      </c>
      <c r="M59" s="3" t="inlineStr">
        <is>
          <t>Custom American Football with Patriotic Flag Comforter</t>
        </is>
      </c>
      <c r="N59" s="3" t="inlineStr">
        <is>
          <t>SET</t>
        </is>
      </c>
      <c r="O59" s="3" t="inlineStr">
        <is>
          <t>Angled bedroom view of Custom Patriotic Football Comforter Set</t>
        </is>
      </c>
      <c r="P59" s="3" t="inlineStr">
        <is>
          <t>FULL</t>
        </is>
      </c>
      <c r="Q59" s="3" t="inlineStr">
        <is>
          <t>FULL</t>
        </is>
      </c>
      <c r="R59" s="3" t="inlineStr">
        <is>
          <t>FULL</t>
        </is>
      </c>
      <c r="S59" s="3" t="inlineStr">
        <is>
          <t>FULL</t>
        </is>
      </c>
      <c r="T59" s="7">
        <f>IF(P59="FULL",40,IF(P59="PARTIAL",40/2,0))+IF(Q59="FULL",30,IF(Q59="PARTIAL",30/2,0))+IF(R59="FULL",20,IF(R59="PARTIAL",20/2,0))+IF(S59="FULL",10,IF(S59="PARTIAL",10/2,0))</f>
        <v/>
      </c>
      <c r="U59" s="7">
        <f>IF(P59="NOT_CHECKED",0,40)+IF(Q59="NOT_CHECKED",0,30)+IF(R59="NOT_CHECKED",0,20)+IF(S59="NOT_CHECKED",0,10)</f>
        <v/>
      </c>
      <c r="V59" s="7">
        <f>IF(U59=100,T59,"")</f>
        <v/>
      </c>
      <c r="W59" s="7">
        <f>T59</f>
        <v/>
      </c>
      <c r="X59" s="7">
        <f>T59+(100-U59)</f>
        <v/>
      </c>
      <c r="Y59" s="3" t="inlineStr">
        <is>
          <t>[]</t>
        </is>
      </c>
      <c r="Z59" s="3" t="inlineStr">
        <is>
          <t>["seo_runs\\jeminise.com\\20260906_234129\\evidence\\images\\40_custom-american-football-with-patriotic-flag-comforter-4a3a1ed3c9-4a3a1ed3c9\\image_02_47540300579015.jpg; seo_runs\\jeminise.com\\20260906_234129\\evidence\\contact_sheets\\40_custom-american-football-with-patriotic-flag-comforter-4a3a1ed3c9-4a3a1ed3c9.jpg", "https://jeminise.com/products/custom-american-football-with-patriotic-flag-comforter-4a3a1ed3c9-4a3a1ed3c9", "https://cdn.shopify.com/s/files/1/0792/5098/1063/files/c68aa5c462e7e6a06d4fab3fb3a9399d56e5454756be9390c9f0a2573c8bb7ae.jpg?v=1785101840"]</t>
        </is>
      </c>
    </row>
    <row r="60" ht="66" customHeight="1">
      <c r="A60" s="2" t="inlineStr">
        <is>
          <t>jeminise.com+custom-american-football-with-patriotic-flag-comforter-4a3a1ed3c9-4a3a1ed3c9</t>
        </is>
      </c>
      <c r="B60" s="2" t="inlineStr">
        <is>
          <t>qaimg_d2d729216975a578</t>
        </is>
      </c>
      <c r="C60" s="4" t="inlineStr">
        <is>
          <t>https://cdn.shopify.com/s/files/1/0792/5098/1063/files/16f7293cbefa5743a35b2e6316a5a114e5c052d08151e367dafd26aa5e2e542b_4cbeb11e-e4ef-4f2d-8aa3-de326b38c11b.jpg?v=1785101840</t>
        </is>
      </c>
      <c r="D60" s="4" t="inlineStr">
        <is>
          <t>https://cdn.shopify.com/s/files/1/0792/5098/1063/files/16f7293cbefa5743a35b2e6316a5a114e5c052d08151e367dafd26aa5e2e542b_4cbeb11e-e4ef-4f2d-8aa3-de326b38c11b.jpg?v=1785101840</t>
        </is>
      </c>
      <c r="E60" s="2" t="inlineStr">
        <is>
          <t>38506860445895</t>
        </is>
      </c>
      <c r="F60" s="2" t="inlineStr">
        <is>
          <t>47540300611783</t>
        </is>
      </c>
      <c r="G60" s="2" t="inlineStr"/>
      <c r="H60" s="2" t="inlineStr">
        <is>
          <t>GALLERY</t>
        </is>
      </c>
      <c r="I60" s="2" t="inlineStr">
        <is>
          <t>DIRECT_ORIGINAL_IMAGE</t>
        </is>
      </c>
      <c r="J60" s="2" t="inlineStr">
        <is>
          <t>2026-09-07T10:06:44.827720+07:00</t>
        </is>
      </c>
      <c r="K60" s="2" t="inlineStr">
        <is>
          <t>Duvet-cover versus comforter product-type comparison.</t>
        </is>
      </c>
      <c r="L60" s="2" t="inlineStr">
        <is>
          <t>Product type comparison or matching pillow sham/detail image for personalized patriotic football comforter with the name Matthew and number 08.</t>
        </is>
      </c>
      <c r="M60" s="2" t="inlineStr">
        <is>
          <t>Custom American Football with Patriotic Flag Comforter</t>
        </is>
      </c>
      <c r="N60" s="2" t="inlineStr">
        <is>
          <t>SET</t>
        </is>
      </c>
      <c r="O60" s="2" t="inlineStr">
        <is>
          <t>Matching sham or product info image for Custom Patriotic Football Comforter Set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2" t="inlineStr">
        <is>
          <t>FULL</t>
        </is>
      </c>
      <c r="T60" s="5">
        <f>IF(P60="FULL",40,IF(P60="PARTIAL",40/2,0))+IF(Q60="FULL",30,IF(Q60="PARTIAL",30/2,0))+IF(R60="FULL",20,IF(R60="PARTIAL",20/2,0))+IF(S60="FULL",10,IF(S60="PARTIAL",10/2,0))</f>
        <v/>
      </c>
      <c r="U60" s="5">
        <f>IF(P60="NOT_CHECKED",0,40)+IF(Q60="NOT_CHECKED",0,30)+IF(R60="NOT_CHECKED",0,20)+IF(S60="NOT_CHECKED",0,10)</f>
        <v/>
      </c>
      <c r="V60" s="5">
        <f>IF(U60=100,T60,"")</f>
        <v/>
      </c>
      <c r="W60" s="5">
        <f>T60</f>
        <v/>
      </c>
      <c r="X60" s="5">
        <f>T60+(100-U60)</f>
        <v/>
      </c>
      <c r="Y60" s="2" t="inlineStr">
        <is>
          <t>[]</t>
        </is>
      </c>
      <c r="Z60" s="2" t="inlineStr">
        <is>
          <t>["seo_runs\\jeminise.com\\20260906_234129\\evidence\\images\\40_custom-american-football-with-patriotic-flag-comforter-4a3a1ed3c9-4a3a1ed3c9\\image_03_47540300611783.jpg; seo_runs\\jeminise.com\\20260906_234129\\evidence\\contact_sheets\\40_custom-american-football-with-patriotic-flag-comforter-4a3a1ed3c9-4a3a1ed3c9.jpg", "https://jeminise.com/products/custom-american-football-with-patriotic-flag-comforter-4a3a1ed3c9-4a3a1ed3c9", "https://cdn.shopify.com/s/files/1/0792/5098/1063/files/16f7293cbefa5743a35b2e6316a5a114e5c052d08151e367dafd26aa5e2e542b_4cbeb11e-e4ef-4f2d-8aa3-de326b38c11b.jpg?v=1785101840"]</t>
        </is>
      </c>
    </row>
    <row r="61" ht="66" customHeight="1">
      <c r="A61" s="3" t="inlineStr">
        <is>
          <t>jeminise.com+custom-american-football-with-patriotic-flag-comforter-4a3a1ed3c9-4a3a1ed3c9</t>
        </is>
      </c>
      <c r="B61" s="3" t="inlineStr">
        <is>
          <t>qaimg_d549accff2c936ca</t>
        </is>
      </c>
      <c r="C61" s="4" t="inlineStr">
        <is>
          <t>https://cdn.shopify.com/s/files/1/0792/5098/1063/files/56be7714426e11e337618ffdd9b78d22e6d77bcea91f35de4b20937187994964.jpg?v=1785101840</t>
        </is>
      </c>
      <c r="D61" s="4" t="inlineStr">
        <is>
          <t>https://cdn.shopify.com/s/files/1/0792/5098/1063/files/56be7714426e11e337618ffdd9b78d22e6d77bcea91f35de4b20937187994964.jpg?v=1785101840</t>
        </is>
      </c>
      <c r="E61" s="3" t="inlineStr">
        <is>
          <t>38506860478663</t>
        </is>
      </c>
      <c r="F61" s="3" t="inlineStr">
        <is>
          <t>47540300644551</t>
        </is>
      </c>
      <c r="G61" s="3" t="inlineStr"/>
      <c r="H61" s="3" t="inlineStr">
        <is>
          <t>GALLERY</t>
        </is>
      </c>
      <c r="I61" s="3" t="inlineStr">
        <is>
          <t>DIRECT_ORIGINAL_IMAGE</t>
        </is>
      </c>
      <c r="J61" s="3" t="inlineStr">
        <is>
          <t>2026-09-07T10:06:44.827720+07:00</t>
        </is>
      </c>
      <c r="K61" s="3" t="inlineStr">
        <is>
          <t>Close-up feature panel marked soft, lightweight, durable and breathable.</t>
        </is>
      </c>
      <c r="L61" s="3" t="inlineStr">
        <is>
          <t>Close room/detail or fabric feature image showing personalized patriotic football comforter with the name Matthew and number 08.</t>
        </is>
      </c>
      <c r="M61" s="3" t="inlineStr">
        <is>
          <t>Custom American Football with Patriotic Flag Comforter</t>
        </is>
      </c>
      <c r="N61" s="3" t="inlineStr">
        <is>
          <t>SET</t>
        </is>
      </c>
      <c r="O61" s="3" t="inlineStr">
        <is>
          <t>Close-up detail of personalized patriotic football comforter with the name Matthew and number 08</t>
        </is>
      </c>
      <c r="P61" s="3" t="inlineStr">
        <is>
          <t>FULL</t>
        </is>
      </c>
      <c r="Q61" s="3" t="inlineStr">
        <is>
          <t>FULL</t>
        </is>
      </c>
      <c r="R61" s="3" t="inlineStr">
        <is>
          <t>FULL</t>
        </is>
      </c>
      <c r="S61" s="3" t="inlineStr">
        <is>
          <t>FULL</t>
        </is>
      </c>
      <c r="T61" s="7">
        <f>IF(P61="FULL",40,IF(P61="PARTIAL",40/2,0))+IF(Q61="FULL",30,IF(Q61="PARTIAL",30/2,0))+IF(R61="FULL",20,IF(R61="PARTIAL",20/2,0))+IF(S61="FULL",10,IF(S61="PARTIAL",10/2,0))</f>
        <v/>
      </c>
      <c r="U61" s="7">
        <f>IF(P61="NOT_CHECKED",0,40)+IF(Q61="NOT_CHECKED",0,30)+IF(R61="NOT_CHECKED",0,20)+IF(S61="NOT_CHECKED",0,10)</f>
        <v/>
      </c>
      <c r="V61" s="7">
        <f>IF(U61=100,T61,"")</f>
        <v/>
      </c>
      <c r="W61" s="7">
        <f>T61</f>
        <v/>
      </c>
      <c r="X61" s="7">
        <f>T61+(100-U61)</f>
        <v/>
      </c>
      <c r="Y61" s="3" t="inlineStr">
        <is>
          <t>[]</t>
        </is>
      </c>
      <c r="Z61" s="3" t="inlineStr">
        <is>
          <t>["seo_runs\\jeminise.com\\20260906_234129\\evidence\\images\\40_custom-american-football-with-patriotic-flag-comforter-4a3a1ed3c9-4a3a1ed3c9\\image_04_47540300644551.jpg; seo_runs\\jeminise.com\\20260906_234129\\evidence\\contact_sheets\\40_custom-american-football-with-patriotic-flag-comforter-4a3a1ed3c9-4a3a1ed3c9.jpg", "https://jeminise.com/products/custom-american-football-with-patriotic-flag-comforter-4a3a1ed3c9-4a3a1ed3c9", "https://cdn.shopify.com/s/files/1/0792/5098/1063/files/56be7714426e11e337618ffdd9b78d22e6d77bcea91f35de4b20937187994964.jpg?v=1785101840"]</t>
        </is>
      </c>
    </row>
    <row r="62" ht="66" customHeight="1">
      <c r="A62" s="2" t="inlineStr">
        <is>
          <t>jeminise.com+custom-american-football-with-patriotic-flag-comforter-4a3a1ed3c9-4a3a1ed3c9</t>
        </is>
      </c>
      <c r="B62" s="2" t="inlineStr">
        <is>
          <t>qaimg_70e791ea57becf57</t>
        </is>
      </c>
      <c r="C62" s="4" t="inlineStr">
        <is>
          <t>https://cdn.shopify.com/s/files/1/0792/5098/1063/files/7c006bddc94d4763c71c8376307e195c1bbce73b8c802ec73ac5a8cef1291262_66044d52-aa86-47c2-84d2-beed979c5ac0.jpg?v=1785101840</t>
        </is>
      </c>
      <c r="D62" s="4" t="inlineStr">
        <is>
          <t>https://cdn.shopify.com/s/files/1/0792/5098/1063/files/7c006bddc94d4763c71c8376307e195c1bbce73b8c802ec73ac5a8cef1291262_66044d52-aa86-47c2-84d2-beed979c5ac0.jpg?v=1785101840</t>
        </is>
      </c>
      <c r="E62" s="2" t="inlineStr">
        <is>
          <t>38506860511431</t>
        </is>
      </c>
      <c r="F62" s="2" t="inlineStr">
        <is>
          <t>47540300677319</t>
        </is>
      </c>
      <c r="G62" s="2" t="inlineStr"/>
      <c r="H62" s="2" t="inlineStr">
        <is>
          <t>GALLERY</t>
        </is>
      </c>
      <c r="I62" s="2" t="inlineStr">
        <is>
          <t>DIRECT_ORIGINAL_IMAGE</t>
        </is>
      </c>
      <c r="J62" s="2" t="inlineStr">
        <is>
          <t>2026-09-07T10:06:44.827720+07:00</t>
        </is>
      </c>
      <c r="K62" s="2" t="inlineStr">
        <is>
          <t>Easy-care instruction panel.</t>
        </is>
      </c>
      <c r="L62" s="2" t="inlineStr">
        <is>
          <t>Easy-care or sizing information image for the bedding set.</t>
        </is>
      </c>
      <c r="M62" s="2" t="inlineStr">
        <is>
          <t>Custom American Football with Patriotic Flag Comforter</t>
        </is>
      </c>
      <c r="N62" s="2" t="inlineStr">
        <is>
          <t>SET</t>
        </is>
      </c>
      <c r="O62" s="2" t="inlineStr">
        <is>
          <t>Care or size information for Custom Patriotic Football Comforter Set</t>
        </is>
      </c>
      <c r="P62" s="2" t="inlineStr">
        <is>
          <t>FULL</t>
        </is>
      </c>
      <c r="Q62" s="2" t="inlineStr">
        <is>
          <t>FULL</t>
        </is>
      </c>
      <c r="R62" s="2" t="inlineStr">
        <is>
          <t>FULL</t>
        </is>
      </c>
      <c r="S62" s="2" t="inlineStr">
        <is>
          <t>FULL</t>
        </is>
      </c>
      <c r="T62" s="5">
        <f>IF(P62="FULL",40,IF(P62="PARTIAL",40/2,0))+IF(Q62="FULL",30,IF(Q62="PARTIAL",30/2,0))+IF(R62="FULL",20,IF(R62="PARTIAL",20/2,0))+IF(S62="FULL",10,IF(S62="PARTIAL",10/2,0))</f>
        <v/>
      </c>
      <c r="U62" s="5">
        <f>IF(P62="NOT_CHECKED",0,40)+IF(Q62="NOT_CHECKED",0,30)+IF(R62="NOT_CHECKED",0,20)+IF(S62="NOT_CHECKED",0,10)</f>
        <v/>
      </c>
      <c r="V62" s="5">
        <f>IF(U62=100,T62,"")</f>
        <v/>
      </c>
      <c r="W62" s="5">
        <f>T62</f>
        <v/>
      </c>
      <c r="X62" s="5">
        <f>T62+(100-U62)</f>
        <v/>
      </c>
      <c r="Y62" s="2" t="inlineStr">
        <is>
          <t>[]</t>
        </is>
      </c>
      <c r="Z62" s="2" t="inlineStr">
        <is>
          <t>["seo_runs\\jeminise.com\\20260906_234129\\evidence\\images\\40_custom-american-football-with-patriotic-flag-comforter-4a3a1ed3c9-4a3a1ed3c9\\image_05_47540300677319.jpg; seo_runs\\jeminise.com\\20260906_234129\\evidence\\contact_sheets\\40_custom-american-football-with-patriotic-flag-comforter-4a3a1ed3c9-4a3a1ed3c9.jpg", "https://jeminise.com/products/custom-american-football-with-patriotic-flag-comforter-4a3a1ed3c9-4a3a1ed3c9", "https://cdn.shopify.com/s/files/1/0792/5098/1063/files/7c006bddc94d4763c71c8376307e195c1bbce73b8c802ec73ac5a8cef1291262_66044d52-aa86-47c2-84d2-beed979c5ac0.jpg?v=1785101840"]</t>
        </is>
      </c>
    </row>
    <row r="63" ht="66" customHeight="1">
      <c r="A63" s="3" t="inlineStr">
        <is>
          <t>jeminise.com+custom-american-football-with-patriotic-flag-comforter-4a3a1ed3c9-4a3a1ed3c9</t>
        </is>
      </c>
      <c r="B63" s="3" t="inlineStr">
        <is>
          <t>qaimg_2ffaaa178e316a11</t>
        </is>
      </c>
      <c r="C63" s="4" t="inlineStr">
        <is>
          <t>https://cdn.shopify.com/s/files/1/0792/5098/1063/files/e5cad84edb4d7bf77c48fd7c8e52eb3b73f04eba8bf177671fd8a059c59422e8_e9a8f6c7-84a8-4f8e-a21c-61b347436f7e.jpg?v=1785101840</t>
        </is>
      </c>
      <c r="D63" s="4" t="inlineStr">
        <is>
          <t>https://cdn.shopify.com/s/files/1/0792/5098/1063/files/e5cad84edb4d7bf77c48fd7c8e52eb3b73f04eba8bf177671fd8a059c59422e8_e9a8f6c7-84a8-4f8e-a21c-61b347436f7e.jpg?v=1785101840</t>
        </is>
      </c>
      <c r="E63" s="3" t="inlineStr">
        <is>
          <t>38506860544199</t>
        </is>
      </c>
      <c r="F63" s="3" t="inlineStr">
        <is>
          <t>47540300710087</t>
        </is>
      </c>
      <c r="G63" s="3" t="inlineStr"/>
      <c r="H63" s="3" t="inlineStr">
        <is>
          <t>GALLERY</t>
        </is>
      </c>
      <c r="I63" s="3" t="inlineStr">
        <is>
          <t>DIRECT_ORIGINAL_IMAGE</t>
        </is>
      </c>
      <c r="J63" s="3" t="inlineStr">
        <is>
          <t>2026-09-07T10:06:44.827720+07:00</t>
        </is>
      </c>
      <c r="K63" s="3" t="inlineStr">
        <is>
          <t>Comforter and duvet-cover size-dimension diagram.</t>
        </is>
      </c>
      <c r="L63" s="3" t="inlineStr">
        <is>
          <t>Size dimension image for twin, full, queen and king bedding options.</t>
        </is>
      </c>
      <c r="M63" s="3" t="inlineStr">
        <is>
          <t>Custom American Football with Patriotic Flag Comforter</t>
        </is>
      </c>
      <c r="N63" s="3" t="inlineStr">
        <is>
          <t>SET</t>
        </is>
      </c>
      <c r="O63" s="3" t="inlineStr">
        <is>
          <t>Size dimension guide for Custom Patriotic Football Comforter Set</t>
        </is>
      </c>
      <c r="P63" s="3" t="inlineStr">
        <is>
          <t>FULL</t>
        </is>
      </c>
      <c r="Q63" s="3" t="inlineStr">
        <is>
          <t>FULL</t>
        </is>
      </c>
      <c r="R63" s="3" t="inlineStr">
        <is>
          <t>FULL</t>
        </is>
      </c>
      <c r="S63" s="3" t="inlineStr">
        <is>
          <t>FULL</t>
        </is>
      </c>
      <c r="T63" s="7">
        <f>IF(P63="FULL",40,IF(P63="PARTIAL",40/2,0))+IF(Q63="FULL",30,IF(Q63="PARTIAL",30/2,0))+IF(R63="FULL",20,IF(R63="PARTIAL",20/2,0))+IF(S63="FULL",10,IF(S63="PARTIAL",10/2,0))</f>
        <v/>
      </c>
      <c r="U63" s="7">
        <f>IF(P63="NOT_CHECKED",0,40)+IF(Q63="NOT_CHECKED",0,30)+IF(R63="NOT_CHECKED",0,20)+IF(S63="NOT_CHECKED",0,10)</f>
        <v/>
      </c>
      <c r="V63" s="7">
        <f>IF(U63=100,T63,"")</f>
        <v/>
      </c>
      <c r="W63" s="7">
        <f>T63</f>
        <v/>
      </c>
      <c r="X63" s="7">
        <f>T63+(100-U63)</f>
        <v/>
      </c>
      <c r="Y63" s="3" t="inlineStr">
        <is>
          <t>[]</t>
        </is>
      </c>
      <c r="Z63" s="3" t="inlineStr">
        <is>
          <t>["seo_runs\\jeminise.com\\20260906_234129\\evidence\\images\\40_custom-american-football-with-patriotic-flag-comforter-4a3a1ed3c9-4a3a1ed3c9\\image_06_47540300710087.jpg; seo_runs\\jeminise.com\\20260906_234129\\evidence\\contact_sheets\\40_custom-american-football-with-patriotic-flag-comforter-4a3a1ed3c9-4a3a1ed3c9.jpg", "https://jeminise.com/products/custom-american-football-with-patriotic-flag-comforter-4a3a1ed3c9-4a3a1ed3c9", "https://cdn.shopify.com/s/files/1/0792/5098/1063/files/e5cad84edb4d7bf77c48fd7c8e52eb3b73f04eba8bf177671fd8a059c59422e8_e9a8f6c7-84a8-4f8e-a21c-61b347436f7e.jpg?v=1785101840"]</t>
        </is>
      </c>
    </row>
  </sheetData>
  <autoFilter ref="A1:Z6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ISS-031-IMG-06</t>
        </is>
      </c>
      <c r="B2" s="2" t="inlineStr">
        <is>
          <t>jeminise.com+christmas-cardinals-near-snowy-birdhouse-patchwork-floral-quilt-b90d55a935-b90d55a935</t>
        </is>
      </c>
      <c r="C2" s="2" t="inlineStr">
        <is>
          <t>qaimg_4a4a3594acd52c20</t>
        </is>
      </c>
      <c r="D2" s="2" t="inlineStr">
        <is>
          <t>MAJOR</t>
        </is>
      </c>
      <c r="E2" s="2" t="inlineStr">
        <is>
          <t>image_observation/alt_effective</t>
        </is>
      </c>
      <c r="F2" s="2" t="inlineStr">
        <is>
          <t>Size dimension image for twin, full, queen and king bedding options. | Size dimension guide for Christmas Cardinal Birdhouse Quilt Set</t>
        </is>
      </c>
      <c r="G2" s="2" t="inlineStr">
        <is>
          <t>Material-layer and bedspread-features diagram for top, filling and back layers.</t>
        </is>
      </c>
      <c r="H2" s="2" t="inlineStr">
        <is>
          <t>Observation/alt theo mẫu vị trí không phản ánh đúng ảnh gốc.</t>
        </is>
      </c>
      <c r="I2" s="2" t="inlineStr">
        <is>
          <t>Cardinal quilt material layers and bedspread feature diagram</t>
        </is>
      </c>
      <c r="J2" s="2" t="inlineStr">
        <is>
          <t>seo_runs\jeminise.com\20260906_234129\evidence\images\31_christmas-cardinals-near-snowy-birdhouse-patchwork-floral-quilt-b90d55a935-b90d55a935\image_06_47540019200199.jpg; seo_runs\jeminise.com\20260906_234129\evidence\contact_sheets\31_christmas-cardinals-near-snowy-birdhouse-patchwork-floral-quilt-b90d55a935-b90d55a935.jpg; https://jeminise.com/products/christmas-cardinals-near-snowy-birdhouse-patchwork-floral-quilt-b90d55a935-b90d55a935; https://cdn.shopify.com/s/files/1/0792/5098/1063/files/17b3827a8c3b4dbbd608b08c3534148427ac4397354f3f0fe053ed23086269e8.jpg?v=1785099259</t>
        </is>
      </c>
      <c r="K2" s="2" t="inlineStr">
        <is>
          <t>Mở ảnh gốc và xác nhận alt mới mô tả đúng ảnh.</t>
        </is>
      </c>
    </row>
    <row r="3" ht="84" customHeight="1">
      <c r="A3" s="3" t="inlineStr">
        <is>
          <t>ISS-032-IMG-02</t>
        </is>
      </c>
      <c r="B3" s="3" t="inlineStr">
        <is>
          <t>jeminise.com+christmas-cardinals-on-snowy-branches-patchwork-winter-quilt-8fa1a9e2ed-8fa1a9e2ed</t>
        </is>
      </c>
      <c r="C3" s="3" t="inlineStr">
        <is>
          <t>qaimg_48f97a3347959ba9</t>
        </is>
      </c>
      <c r="D3" s="3" t="inlineStr">
        <is>
          <t>MAJOR</t>
        </is>
      </c>
      <c r="E3" s="3" t="inlineStr">
        <is>
          <t>image_observation/alt_effective</t>
        </is>
      </c>
      <c r="F3" s="3" t="inlineStr">
        <is>
          <t>Angled bedroom mockup showing Christmas cardinals snowy branch quilt. | Angled bedroom view of Christmas Cardinals on Snowy Branches Quilt</t>
        </is>
      </c>
      <c r="G3" s="3" t="inlineStr">
        <is>
          <t>Close-up of a red cardinal and the quilted printed surface.</t>
        </is>
      </c>
      <c r="H3" s="3" t="inlineStr">
        <is>
          <t>Observation/alt theo mẫu vị trí không phản ánh đúng ảnh gốc.</t>
        </is>
      </c>
      <c r="I3" s="3" t="inlineStr">
        <is>
          <t>Close-up of red cardinal on snowy branch quilt print</t>
        </is>
      </c>
      <c r="J3" s="3" t="inlineStr">
        <is>
          <t>seo_runs\jeminise.com\20260906_234129\evidence\images\32_christmas-cardinals-on-snowy-branches-patchwork-winter-quilt-8fa1a9e2ed-8fa1a9e2ed\image_02_47539987873991.jpg; seo_runs\jeminise.com\20260906_234129\evidence\contact_sheets\32_christmas-cardinals-on-snowy-branches-patchwork-winter-quilt-8fa1a9e2ed-8fa1a9e2ed.jpg; https://jeminise.com/products/christmas-cardinals-on-snowy-branches-patchwork-winter-quilt-8fa1a9e2ed-8fa1a9e2ed; https://cdn.shopify.com/s/files/1/0792/5098/1063/files/ab7e4f9484e52e83891e552e58d6a27e151a62e654a01667625d8c86bd6a3295.jpg?v=1785098963</t>
        </is>
      </c>
      <c r="K3" s="3" t="inlineStr">
        <is>
          <t>Mở ảnh gốc và xác nhận alt mới mô tả đúng ảnh.</t>
        </is>
      </c>
    </row>
    <row r="4" ht="84" customHeight="1">
      <c r="A4" s="2" t="inlineStr">
        <is>
          <t>ISS-032-IMG-04</t>
        </is>
      </c>
      <c r="B4" s="2" t="inlineStr">
        <is>
          <t>jeminise.com+christmas-cardinals-on-snowy-branches-patchwork-winter-quilt-8fa1a9e2ed-8fa1a9e2ed</t>
        </is>
      </c>
      <c r="C4" s="2" t="inlineStr">
        <is>
          <t>qaimg_819766fd43b5aa2c</t>
        </is>
      </c>
      <c r="D4" s="2" t="inlineStr">
        <is>
          <t>MAJOR</t>
        </is>
      </c>
      <c r="E4" s="2" t="inlineStr">
        <is>
          <t>image_observation/alt_effective</t>
        </is>
      </c>
      <c r="F4" s="2" t="inlineStr">
        <is>
          <t>Close room/detail or fabric feature image showing Christmas cardinals snowy branch quilt. | Close-up detail of Christmas cardinals snowy branch quilt</t>
        </is>
      </c>
      <c r="G4" s="2" t="inlineStr">
        <is>
          <t>Angled bedroom mockup of the cardinal quilt.</t>
        </is>
      </c>
      <c r="H4" s="2" t="inlineStr">
        <is>
          <t>Observation/alt theo mẫu vị trí không phản ánh đúng ảnh gốc.</t>
        </is>
      </c>
      <c r="I4" s="2" t="inlineStr">
        <is>
          <t>Christmas cardinal quilt in an angled bedroom view</t>
        </is>
      </c>
      <c r="J4" s="2" t="inlineStr">
        <is>
          <t>seo_runs\jeminise.com\20260906_234129\evidence\images\32_christmas-cardinals-on-snowy-branches-patchwork-winter-quilt-8fa1a9e2ed-8fa1a9e2ed\image_04_47539987939527.jpg; seo_runs\jeminise.com\20260906_234129\evidence\contact_sheets\32_christmas-cardinals-on-snowy-branches-patchwork-winter-quilt-8fa1a9e2ed-8fa1a9e2ed.jpg; https://jeminise.com/products/christmas-cardinals-on-snowy-branches-patchwork-winter-quilt-8fa1a9e2ed-8fa1a9e2ed; https://cdn.shopify.com/s/files/1/0792/5098/1063/files/f940efaf872da7294b0ec99795596430c32c922db66b35243684820e65417fb3.jpg?v=1785098963</t>
        </is>
      </c>
      <c r="K4" s="2" t="inlineStr">
        <is>
          <t>Mở ảnh gốc và xác nhận alt mới mô tả đúng ảnh.</t>
        </is>
      </c>
    </row>
    <row r="5" ht="84" customHeight="1">
      <c r="A5" s="3" t="inlineStr">
        <is>
          <t>ISS-033-IMG-06</t>
        </is>
      </c>
      <c r="B5" s="3" t="inlineStr">
        <is>
          <t>jeminise.com+cow-with-landscape-patchwork-quilt-animal-farmhouse-printed-quilt-set</t>
        </is>
      </c>
      <c r="C5" s="3" t="inlineStr">
        <is>
          <t>qaimg_401d386d66bc64b7</t>
        </is>
      </c>
      <c r="D5" s="3" t="inlineStr">
        <is>
          <t>MAJOR</t>
        </is>
      </c>
      <c r="E5" s="3" t="inlineStr">
        <is>
          <t>image_observation/alt_effective</t>
        </is>
      </c>
      <c r="F5" s="3" t="inlineStr">
        <is>
          <t>Size dimension image for twin, full, queen and king bedding options. | Size dimension guide for Cow and Sunflower Farmhouse Quilt Set</t>
        </is>
      </c>
      <c r="G5" s="3" t="inlineStr">
        <is>
          <t>Material-layer and bedspread-features diagram.</t>
        </is>
      </c>
      <c r="H5" s="3" t="inlineStr">
        <is>
          <t>Observation/alt theo mẫu vị trí không phản ánh đúng ảnh gốc.</t>
        </is>
      </c>
      <c r="I5" s="3" t="inlineStr">
        <is>
          <t>Cow sunflower quilt material layers and bedspread feature diagram</t>
        </is>
      </c>
      <c r="J5" s="3" t="inlineStr">
        <is>
          <t>seo_runs\jeminise.com\20260906_234129\evidence\images\33_cow-with-landscape-patchwork-quilt-animal-farmhouse-printed-quilt-set\image_06_47933468246215.jpg; seo_runs\jeminise.com\20260906_234129\evidence\contact_sheets\33_cow-with-landscape-patchwork-quilt-animal-farmhouse-printed-quilt-set.jpg; https://jeminise.com/products/cow-with-landscape-patchwork-quilt-animal-farmhouse-printed-quilt-set; https://cdn.shopify.com/s/files/1/0792/5098/1063/files/dc70b03e88939e50ced310aa559c8361dac40ba03af7d4e5a16ecc0308756e3b.jpg?v=1787233735</t>
        </is>
      </c>
      <c r="K5" s="3" t="inlineStr">
        <is>
          <t>Mở ảnh gốc và xác nhận alt mới mô tả đúng ảnh.</t>
        </is>
      </c>
    </row>
    <row r="6" ht="84" customHeight="1">
      <c r="A6" s="2" t="inlineStr">
        <is>
          <t>ISS-034-IMG-06</t>
        </is>
      </c>
      <c r="B6" s="2" t="inlineStr">
        <is>
          <t>jeminise.com+crocodile-patchwork-printed-quilts-animal-patchwork-bedding</t>
        </is>
      </c>
      <c r="C6" s="2" t="inlineStr">
        <is>
          <t>qaimg_48c3818edf46b065</t>
        </is>
      </c>
      <c r="D6" s="2" t="inlineStr">
        <is>
          <t>MAJOR</t>
        </is>
      </c>
      <c r="E6" s="2" t="inlineStr">
        <is>
          <t>image_observation/alt_effective</t>
        </is>
      </c>
      <c r="F6" s="2" t="inlineStr">
        <is>
          <t>Size dimension image for twin, full, queen and king bedding options. | Size dimension guide for Crocodile Patchwork Animal Quilt Set</t>
        </is>
      </c>
      <c r="G6" s="2" t="inlineStr">
        <is>
          <t>Material-layer and bedspread-features diagram.</t>
        </is>
      </c>
      <c r="H6" s="2" t="inlineStr">
        <is>
          <t>Observation/alt theo mẫu vị trí không phản ánh đúng ảnh gốc.</t>
        </is>
      </c>
      <c r="I6" s="2" t="inlineStr">
        <is>
          <t>Crocodile quilt material layers and bedspread feature diagram</t>
        </is>
      </c>
      <c r="J6" s="2" t="inlineStr">
        <is>
          <t>seo_runs\jeminise.com\20260906_234129\evidence\images\34_crocodile-patchwork-printed-quilts-animal-patchwork-bedding\image_06_47933465592007.jpg; seo_runs\jeminise.com\20260906_234129\evidence\contact_sheets\34_crocodile-patchwork-printed-quilts-animal-patchwork-bedding.jpg; https://jeminise.com/products/crocodile-patchwork-printed-quilts-animal-patchwork-bedding; https://cdn.shopify.com/s/files/1/0792/5098/1063/files/71e21ed6c41ef40003dcc207eada8ae5687d7cdc52c7c96941fafe821b96cf71.jpg?v=1787233712</t>
        </is>
      </c>
      <c r="K6" s="2" t="inlineStr">
        <is>
          <t>Mở ảnh gốc và xác nhận alt mới mô tả đúng ảnh.</t>
        </is>
      </c>
    </row>
    <row r="7" ht="84" customHeight="1">
      <c r="A7" s="3" t="inlineStr">
        <is>
          <t>ISS-031-DESC</t>
        </is>
      </c>
      <c r="B7" s="3" t="inlineStr">
        <is>
          <t>jeminise.com+christmas-cardinals-near-snowy-birdhouse-patchwork-floral-quilt-b90d55a935-b90d55a935</t>
        </is>
      </c>
      <c r="C7" s="3" t="inlineStr"/>
      <c r="D7" s="3" t="inlineStr">
        <is>
          <t>MAJOR</t>
        </is>
      </c>
      <c r="E7" s="3" t="inlineStr">
        <is>
          <t>description_proposed_html</t>
        </is>
      </c>
      <c r="F7" s="3" t="inlineStr">
        <is>
          <t>It needs QA and approval before import.</t>
        </is>
      </c>
      <c r="G7" s="3" t="inlineStr">
        <is>
          <t>HTML chứa heading SEO Use và câu nội bộ về QA/import.</t>
        </is>
      </c>
      <c r="H7" s="3" t="inlineStr">
        <is>
          <t>Nội dung quy trình nội bộ không được xuất hiện trên storefront.</t>
        </is>
      </c>
      <c r="I7" s="3" t="inlineStr">
        <is>
          <t>Rewrite as customer-facing English HTML and remove the internal SEO/QA/import block.</t>
        </is>
      </c>
      <c r="J7" s="3" t="inlineStr">
        <is>
          <t>evidence_batch_004_031</t>
        </is>
      </c>
      <c r="K7" s="3" t="inlineStr">
        <is>
          <t>Render HTML and confirm no drafting, QA or import instruction remains.</t>
        </is>
      </c>
    </row>
    <row r="8" ht="84" customHeight="1">
      <c r="A8" s="2" t="inlineStr">
        <is>
          <t>ISS-032-DESC</t>
        </is>
      </c>
      <c r="B8" s="2" t="inlineStr">
        <is>
          <t>jeminise.com+christmas-cardinals-on-snowy-branches-patchwork-winter-quilt-8fa1a9e2ed-8fa1a9e2ed</t>
        </is>
      </c>
      <c r="C8" s="2" t="inlineStr"/>
      <c r="D8" s="2" t="inlineStr">
        <is>
          <t>MAJOR</t>
        </is>
      </c>
      <c r="E8" s="2" t="inlineStr">
        <is>
          <t>description_proposed_html</t>
        </is>
      </c>
      <c r="F8" s="2" t="inlineStr">
        <is>
          <t>It needs QA and approval before import.</t>
        </is>
      </c>
      <c r="G8" s="2" t="inlineStr">
        <is>
          <t>HTML chứa heading SEO Use và câu nội bộ về QA/import.</t>
        </is>
      </c>
      <c r="H8" s="2" t="inlineStr">
        <is>
          <t>Nội dung quy trình nội bộ không được xuất hiện trên storefront.</t>
        </is>
      </c>
      <c r="I8" s="2" t="inlineStr">
        <is>
          <t>Rewrite as customer-facing English HTML and remove the internal SEO/QA/import block.</t>
        </is>
      </c>
      <c r="J8" s="2" t="inlineStr">
        <is>
          <t>evidence_batch_004_032</t>
        </is>
      </c>
      <c r="K8" s="2" t="inlineStr">
        <is>
          <t>Render HTML and confirm no drafting, QA or import instruction remains.</t>
        </is>
      </c>
    </row>
    <row r="9" ht="84" customHeight="1">
      <c r="A9" s="3" t="inlineStr">
        <is>
          <t>ISS-033-DESC</t>
        </is>
      </c>
      <c r="B9" s="3" t="inlineStr">
        <is>
          <t>jeminise.com+cow-with-landscape-patchwork-quilt-animal-farmhouse-printed-quilt-set</t>
        </is>
      </c>
      <c r="C9" s="3" t="inlineStr"/>
      <c r="D9" s="3" t="inlineStr">
        <is>
          <t>MAJOR</t>
        </is>
      </c>
      <c r="E9" s="3" t="inlineStr">
        <is>
          <t>description_proposed_html</t>
        </is>
      </c>
      <c r="F9" s="3" t="inlineStr">
        <is>
          <t>It needs QA and approval before import.</t>
        </is>
      </c>
      <c r="G9" s="3" t="inlineStr">
        <is>
          <t>HTML chứa heading SEO Use và câu nội bộ về QA/import.</t>
        </is>
      </c>
      <c r="H9" s="3" t="inlineStr">
        <is>
          <t>Nội dung quy trình nội bộ không được xuất hiện trên storefront.</t>
        </is>
      </c>
      <c r="I9" s="3" t="inlineStr">
        <is>
          <t>Rewrite as customer-facing English HTML and remove the internal SEO/QA/import block.</t>
        </is>
      </c>
      <c r="J9" s="3" t="inlineStr">
        <is>
          <t>evidence_batch_004_033</t>
        </is>
      </c>
      <c r="K9" s="3" t="inlineStr">
        <is>
          <t>Render HTML and confirm no drafting, QA or import instruction remains.</t>
        </is>
      </c>
    </row>
    <row r="10" ht="84" customHeight="1">
      <c r="A10" s="2" t="inlineStr">
        <is>
          <t>ISS-034-DESC</t>
        </is>
      </c>
      <c r="B10" s="2" t="inlineStr">
        <is>
          <t>jeminise.com+crocodile-patchwork-printed-quilts-animal-patchwork-bedding</t>
        </is>
      </c>
      <c r="C10" s="2" t="inlineStr"/>
      <c r="D10" s="2" t="inlineStr">
        <is>
          <t>MAJOR</t>
        </is>
      </c>
      <c r="E10" s="2" t="inlineStr">
        <is>
          <t>description_proposed_html</t>
        </is>
      </c>
      <c r="F10" s="2" t="inlineStr">
        <is>
          <t>It needs QA and approval before import.</t>
        </is>
      </c>
      <c r="G10" s="2" t="inlineStr">
        <is>
          <t>HTML chứa heading SEO Use và câu nội bộ về QA/import.</t>
        </is>
      </c>
      <c r="H10" s="2" t="inlineStr">
        <is>
          <t>Nội dung quy trình nội bộ không được xuất hiện trên storefront.</t>
        </is>
      </c>
      <c r="I10" s="2" t="inlineStr">
        <is>
          <t>Rewrite as customer-facing English HTML and remove the internal SEO/QA/import block.</t>
        </is>
      </c>
      <c r="J10" s="2" t="inlineStr">
        <is>
          <t>evidence_batch_004_034</t>
        </is>
      </c>
      <c r="K10" s="2" t="inlineStr">
        <is>
          <t>Render HTML and confirm no drafting, QA or import instruction remains.</t>
        </is>
      </c>
    </row>
    <row r="11" ht="84" customHeight="1">
      <c r="A11" s="3" t="inlineStr">
        <is>
          <t>ISS-035-DESC</t>
        </is>
      </c>
      <c r="B11" s="3" t="inlineStr">
        <is>
          <t>jeminise.com+custom-retro-football-art-bedding-set-c66211cf75-c66211cf75</t>
        </is>
      </c>
      <c r="C11" s="3" t="inlineStr"/>
      <c r="D11" s="3" t="inlineStr">
        <is>
          <t>MAJOR</t>
        </is>
      </c>
      <c r="E11" s="3" t="inlineStr">
        <is>
          <t>description_proposed_html</t>
        </is>
      </c>
      <c r="F11" s="3" t="inlineStr">
        <is>
          <t>It needs QA and approval before import.</t>
        </is>
      </c>
      <c r="G11" s="3" t="inlineStr">
        <is>
          <t>HTML chứa heading SEO Use và câu nội bộ về QA/import.</t>
        </is>
      </c>
      <c r="H11" s="3" t="inlineStr">
        <is>
          <t>Nội dung quy trình nội bộ không được xuất hiện trên storefront.</t>
        </is>
      </c>
      <c r="I11" s="3" t="inlineStr">
        <is>
          <t>Rewrite as customer-facing English HTML and remove the internal SEO/QA/import block.</t>
        </is>
      </c>
      <c r="J11" s="3" t="inlineStr">
        <is>
          <t>evidence_batch_004_035</t>
        </is>
      </c>
      <c r="K11" s="3" t="inlineStr">
        <is>
          <t>Render HTML and confirm no drafting, QA or import instruction remains.</t>
        </is>
      </c>
    </row>
    <row r="12" ht="84" customHeight="1">
      <c r="A12" s="2" t="inlineStr">
        <is>
          <t>ISS-036-DESC</t>
        </is>
      </c>
      <c r="B12" s="2" t="inlineStr">
        <is>
          <t>jeminise.com+custom-american-football-close-up-on-grunge-vintage-comforter-26540e3264-26540e3264</t>
        </is>
      </c>
      <c r="C12" s="2" t="inlineStr"/>
      <c r="D12" s="2" t="inlineStr">
        <is>
          <t>MAJOR</t>
        </is>
      </c>
      <c r="E12" s="2" t="inlineStr">
        <is>
          <t>description_proposed_html</t>
        </is>
      </c>
      <c r="F12" s="2" t="inlineStr">
        <is>
          <t>It needs QA and approval before import.</t>
        </is>
      </c>
      <c r="G12" s="2" t="inlineStr">
        <is>
          <t>HTML chứa heading SEO Use và câu nội bộ về QA/import.</t>
        </is>
      </c>
      <c r="H12" s="2" t="inlineStr">
        <is>
          <t>Nội dung quy trình nội bộ không được xuất hiện trên storefront.</t>
        </is>
      </c>
      <c r="I12" s="2" t="inlineStr">
        <is>
          <t>Rewrite as customer-facing English HTML and remove the internal SEO/QA/import block.</t>
        </is>
      </c>
      <c r="J12" s="2" t="inlineStr">
        <is>
          <t>evidence_batch_004_036</t>
        </is>
      </c>
      <c r="K12" s="2" t="inlineStr">
        <is>
          <t>Render HTML and confirm no drafting, QA or import instruction remains.</t>
        </is>
      </c>
    </row>
    <row r="13" ht="84" customHeight="1">
      <c r="A13" s="3" t="inlineStr">
        <is>
          <t>ISS-037-DESC</t>
        </is>
      </c>
      <c r="B13" s="3" t="inlineStr">
        <is>
          <t>jeminise.com+custom-american-football-on-cosmic-background-vintage-comforter-62a3849621-62a3849621</t>
        </is>
      </c>
      <c r="C13" s="3" t="inlineStr"/>
      <c r="D13" s="3" t="inlineStr">
        <is>
          <t>MAJOR</t>
        </is>
      </c>
      <c r="E13" s="3" t="inlineStr">
        <is>
          <t>description_proposed_html</t>
        </is>
      </c>
      <c r="F13" s="3" t="inlineStr">
        <is>
          <t>It needs QA and approval before import.</t>
        </is>
      </c>
      <c r="G13" s="3" t="inlineStr">
        <is>
          <t>HTML chứa heading SEO Use và câu nội bộ về QA/import.</t>
        </is>
      </c>
      <c r="H13" s="3" t="inlineStr">
        <is>
          <t>Nội dung quy trình nội bộ không được xuất hiện trên storefront.</t>
        </is>
      </c>
      <c r="I13" s="3" t="inlineStr">
        <is>
          <t>Rewrite as customer-facing English HTML and remove the internal SEO/QA/import block.</t>
        </is>
      </c>
      <c r="J13" s="3" t="inlineStr">
        <is>
          <t>evidence_batch_004_037</t>
        </is>
      </c>
      <c r="K13" s="3" t="inlineStr">
        <is>
          <t>Render HTML and confirm no drafting, QA or import instruction remains.</t>
        </is>
      </c>
    </row>
    <row r="14" ht="84" customHeight="1">
      <c r="A14" s="2" t="inlineStr">
        <is>
          <t>ISS-038-DESC</t>
        </is>
      </c>
      <c r="B14" s="2" t="inlineStr">
        <is>
          <t>jeminise.com+custom-american-football-on-usa-flag-background-comforter-703a7c0d82-703a7c0d82</t>
        </is>
      </c>
      <c r="C14" s="2" t="inlineStr"/>
      <c r="D14" s="2" t="inlineStr">
        <is>
          <t>MAJOR</t>
        </is>
      </c>
      <c r="E14" s="2" t="inlineStr">
        <is>
          <t>description_proposed_html</t>
        </is>
      </c>
      <c r="F14" s="2" t="inlineStr">
        <is>
          <t>It needs QA and approval before import.</t>
        </is>
      </c>
      <c r="G14" s="2" t="inlineStr">
        <is>
          <t>HTML chứa heading SEO Use và câu nội bộ về QA/import.</t>
        </is>
      </c>
      <c r="H14" s="2" t="inlineStr">
        <is>
          <t>Nội dung quy trình nội bộ không được xuất hiện trên storefront.</t>
        </is>
      </c>
      <c r="I14" s="2" t="inlineStr">
        <is>
          <t>Rewrite as customer-facing English HTML and remove the internal SEO/QA/import block.</t>
        </is>
      </c>
      <c r="J14" s="2" t="inlineStr">
        <is>
          <t>evidence_batch_004_038</t>
        </is>
      </c>
      <c r="K14" s="2" t="inlineStr">
        <is>
          <t>Render HTML and confirm no drafting, QA or import instruction remains.</t>
        </is>
      </c>
    </row>
    <row r="15" ht="84" customHeight="1">
      <c r="A15" s="3" t="inlineStr">
        <is>
          <t>ISS-039-DESC</t>
        </is>
      </c>
      <c r="B15" s="3" t="inlineStr">
        <is>
          <t>jeminise.com+custom-american-football-with-paint-splash-background-vintage-comforter-da0e1d5bf1-da0e1d5bf1</t>
        </is>
      </c>
      <c r="C15" s="3" t="inlineStr"/>
      <c r="D15" s="3" t="inlineStr">
        <is>
          <t>MAJOR</t>
        </is>
      </c>
      <c r="E15" s="3" t="inlineStr">
        <is>
          <t>description_proposed_html</t>
        </is>
      </c>
      <c r="F15" s="3" t="inlineStr">
        <is>
          <t>It needs QA and approval before import.</t>
        </is>
      </c>
      <c r="G15" s="3" t="inlineStr">
        <is>
          <t>HTML chứa heading SEO Use và câu nội bộ về QA/import.</t>
        </is>
      </c>
      <c r="H15" s="3" t="inlineStr">
        <is>
          <t>Nội dung quy trình nội bộ không được xuất hiện trên storefront.</t>
        </is>
      </c>
      <c r="I15" s="3" t="inlineStr">
        <is>
          <t>Rewrite as customer-facing English HTML and remove the internal SEO/QA/import block.</t>
        </is>
      </c>
      <c r="J15" s="3" t="inlineStr">
        <is>
          <t>evidence_batch_004_039</t>
        </is>
      </c>
      <c r="K15" s="3" t="inlineStr">
        <is>
          <t>Render HTML and confirm no drafting, QA or import instruction remains.</t>
        </is>
      </c>
    </row>
    <row r="16" ht="84" customHeight="1">
      <c r="A16" s="2" t="inlineStr">
        <is>
          <t>ISS-040-DESC</t>
        </is>
      </c>
      <c r="B16" s="2" t="inlineStr">
        <is>
          <t>jeminise.com+custom-american-football-with-patriotic-flag-comforter-4a3a1ed3c9-4a3a1ed3c9</t>
        </is>
      </c>
      <c r="C16" s="2" t="inlineStr"/>
      <c r="D16" s="2" t="inlineStr">
        <is>
          <t>MAJOR</t>
        </is>
      </c>
      <c r="E16" s="2" t="inlineStr">
        <is>
          <t>description_proposed_html</t>
        </is>
      </c>
      <c r="F16" s="2" t="inlineStr">
        <is>
          <t>It needs QA and approval before import.</t>
        </is>
      </c>
      <c r="G16" s="2" t="inlineStr">
        <is>
          <t>HTML chứa heading SEO Use và câu nội bộ về QA/import.</t>
        </is>
      </c>
      <c r="H16" s="2" t="inlineStr">
        <is>
          <t>Nội dung quy trình nội bộ không được xuất hiện trên storefront.</t>
        </is>
      </c>
      <c r="I16" s="2" t="inlineStr">
        <is>
          <t>Rewrite as customer-facing English HTML and remove the internal SEO/QA/import block.</t>
        </is>
      </c>
      <c r="J16" s="2" t="inlineStr">
        <is>
          <t>evidence_batch_004_040</t>
        </is>
      </c>
      <c r="K16" s="2" t="inlineStr">
        <is>
          <t>Render HTML and confirm no drafting, QA or import instruction remains.</t>
        </is>
      </c>
    </row>
    <row r="17" ht="84" customHeight="1">
      <c r="A17" s="3" t="inlineStr">
        <is>
          <t>ISS-033-PERS</t>
        </is>
      </c>
      <c r="B17" s="3" t="inlineStr">
        <is>
          <t>jeminise.com+cow-with-landscape-patchwork-quilt-animal-farmhouse-printed-quilt-set</t>
        </is>
      </c>
      <c r="C17" s="3" t="inlineStr"/>
      <c r="D17" s="3" t="inlineStr">
        <is>
          <t>CRITICAL</t>
        </is>
      </c>
      <c r="E17" s="3" t="inlineStr">
        <is>
          <t>personalization/customization claims</t>
        </is>
      </c>
      <c r="F17" s="3" t="inlineStr">
        <is>
          <t>cow sunflower quilt set | Cow and Sunflower Farmhouse Quilt Set</t>
        </is>
      </c>
      <c r="G17" s="3" t="inlineStr">
        <is>
          <t>Trang live/product.js chỉ có size, pillowcase và/hoặc flat-sheet options; không có input name/number/text.</t>
        </is>
      </c>
      <c r="H17" s="3" t="inlineStr">
        <is>
          <t>Ảnh có tên/số mẫu không chứng minh người mua có thể tùy biến.</t>
        </is>
      </c>
      <c r="I17" s="3" t="inlineStr">
        <is>
          <t>Prove a working name/number input and fulfillment mapping, or remove personalized/custom claims from keyword, title, meta and body.</t>
        </is>
      </c>
      <c r="J17" s="3" t="inlineStr">
        <is>
          <t>https://jeminise.com/products/cow-with-landscape-patchwork-quilt-animal-farmhouse-printed-quilt-set; live options=[{"name": "CHOOSE QUILT SIZE", "position": 1, "values": ["Throw (60''x70'')", "Twin (68\"x86\")", "Full (80\"x90\")", "Queen (90\"x90\")", "King (102\"x91\")"]}, {"name": "PILLOWCASES (Purchase SEPARATELY)", "position": 2, "values": ["I don't need pillowcases", "1 Pillowcases (20''x30'')", "2 Pillowcases (20''x30'')", "4 Pillowcases (20''x30'')"]}]</t>
        </is>
      </c>
      <c r="K17" s="3" t="inlineStr">
        <is>
          <t>Purchase flow visibly accepts, persists and fulfills the claimed custom values.</t>
        </is>
      </c>
    </row>
    <row r="18" ht="84" customHeight="1">
      <c r="A18" s="2" t="inlineStr">
        <is>
          <t>ISS-034-PERS</t>
        </is>
      </c>
      <c r="B18" s="2" t="inlineStr">
        <is>
          <t>jeminise.com+crocodile-patchwork-printed-quilts-animal-patchwork-bedding</t>
        </is>
      </c>
      <c r="C18" s="2" t="inlineStr"/>
      <c r="D18" s="2" t="inlineStr">
        <is>
          <t>CRITICAL</t>
        </is>
      </c>
      <c r="E18" s="2" t="inlineStr">
        <is>
          <t>personalization/customization claims</t>
        </is>
      </c>
      <c r="F18" s="2" t="inlineStr">
        <is>
          <t>crocodile patchwork quilt set | Crocodile Patchwork Animal Quilt Set</t>
        </is>
      </c>
      <c r="G18" s="2" t="inlineStr">
        <is>
          <t>Trang live/product.js chỉ có size, pillowcase và/hoặc flat-sheet options; không có input name/number/text.</t>
        </is>
      </c>
      <c r="H18" s="2" t="inlineStr">
        <is>
          <t>Ảnh có tên/số mẫu không chứng minh người mua có thể tùy biến.</t>
        </is>
      </c>
      <c r="I18" s="2" t="inlineStr">
        <is>
          <t>Prove a working name/number input and fulfillment mapping, or remove personalized/custom claims from keyword, title, meta and body.</t>
        </is>
      </c>
      <c r="J18" s="2" t="inlineStr">
        <is>
          <t>https://jeminise.com/products/crocodile-patchwork-printed-quilts-animal-patchwork-bedding; live options=[{"name": "CHOOSE QUILT SIZE", "position": 1, "values": ["Throw (60''x70'')", "Twin (68\"x86\")", "Full (80\"x90\")", "Queen (90\"x90\")", "King (102\"x91\")"]}, {"name": "PILLOWCASES (Purchase SEPARATELY)", "position": 2, "values": ["I don't need pillowcases", "1 Pillowcases (20''x30'')", "2 Pillowcases (20''x30'')", "4 Pillowcases (20''x30'')"]}]</t>
        </is>
      </c>
      <c r="K18" s="2" t="inlineStr">
        <is>
          <t>Purchase flow visibly accepts, persists and fulfills the claimed custom values.</t>
        </is>
      </c>
    </row>
    <row r="19" ht="84" customHeight="1">
      <c r="A19" s="3" t="inlineStr">
        <is>
          <t>ISS-035-PERS</t>
        </is>
      </c>
      <c r="B19" s="3" t="inlineStr">
        <is>
          <t>jeminise.com+custom-retro-football-art-bedding-set-c66211cf75-c66211cf75</t>
        </is>
      </c>
      <c r="C19" s="3" t="inlineStr"/>
      <c r="D19" s="3" t="inlineStr">
        <is>
          <t>CRITICAL</t>
        </is>
      </c>
      <c r="E19" s="3" t="inlineStr">
        <is>
          <t>personalization/customization claims</t>
        </is>
      </c>
      <c r="F19" s="3" t="inlineStr">
        <is>
          <t>personalized football comforter | Personalized American Football Comforter Set</t>
        </is>
      </c>
      <c r="G19" s="3" t="inlineStr">
        <is>
          <t>Trang live/product.js chỉ có size, pillowcase và/hoặc flat-sheet options; không có input name/number/text.</t>
        </is>
      </c>
      <c r="H19" s="3" t="inlineStr">
        <is>
          <t>Ảnh có tên/số mẫu không chứng minh người mua có thể tùy biến.</t>
        </is>
      </c>
      <c r="I19" s="3" t="inlineStr">
        <is>
          <t>Prove a working name/number input and fulfillment mapping, or remove personalized/custom claims from keyword, title, meta and body.</t>
        </is>
      </c>
      <c r="J19" s="3" t="inlineStr">
        <is>
          <t>https://jeminise.com/products/custom-retro-football-art-bedding-set-c66211cf75-c66211cf75; live options=[{"name": "Choose Product Type + Size", "position": 1, "values": ["Duvet Cover Twin (68\" x 88\")", "Duvet Cover Full (78\" x 88\")", "Duvet Cover Queen (88\" x 88\")", "Duvet Cover King (104\" x 88\")", "Comforter Twin (68\"x90\")", "Comforter Full (79\"x90\")", "Comforter Queen (90\"x90\")", "Comforter King (104\"x90\")"]}, {"name": "Choose Pillowcases", "position": 2, "values": ["None", "1 Pillowcase", "2 Pillowcases"]}, {"name": "Additional Sheet Cover (Flat Sheet)", "position": 3, "values": ["None", "1 Sheet Cover (same size)"]}]</t>
        </is>
      </c>
      <c r="K19" s="3" t="inlineStr">
        <is>
          <t>Purchase flow visibly accepts, persists and fulfills the claimed custom values.</t>
        </is>
      </c>
    </row>
    <row r="20" ht="84" customHeight="1">
      <c r="A20" s="2" t="inlineStr">
        <is>
          <t>ISS-036-PERS</t>
        </is>
      </c>
      <c r="B20" s="2" t="inlineStr">
        <is>
          <t>jeminise.com+custom-american-football-close-up-on-grunge-vintage-comforter-26540e3264-26540e3264</t>
        </is>
      </c>
      <c r="C20" s="2" t="inlineStr"/>
      <c r="D20" s="2" t="inlineStr">
        <is>
          <t>CRITICAL</t>
        </is>
      </c>
      <c r="E20" s="2" t="inlineStr">
        <is>
          <t>personalization/customization claims</t>
        </is>
      </c>
      <c r="F20" s="2" t="inlineStr">
        <is>
          <t>custom football comforter with name | Custom Grunge Football Comforter Set</t>
        </is>
      </c>
      <c r="G20" s="2" t="inlineStr">
        <is>
          <t>Trang live/product.js chỉ có size, pillowcase và/hoặc flat-sheet options; không có input name/number/text.</t>
        </is>
      </c>
      <c r="H20" s="2" t="inlineStr">
        <is>
          <t>Ảnh có tên/số mẫu không chứng minh người mua có thể tùy biến.</t>
        </is>
      </c>
      <c r="I20" s="2" t="inlineStr">
        <is>
          <t>Prove a working name/number input and fulfillment mapping, or remove personalized/custom claims from keyword, title, meta and body.</t>
        </is>
      </c>
      <c r="J20" s="2" t="inlineStr">
        <is>
          <t>https://jeminise.com/products/custom-american-football-close-up-on-grunge-vintage-comforter-26540e3264-26540e3264; live options=[{"name": "Choose Product Type + Size", "position": 1, "values": ["Duvet Cover Twin (68\" x 88\")", "Duvet Cover Full (78\" x 88\")", "Duvet Cover Queen (88\" x 88\")", "Duvet Cover King (104\" x 88\")", "Comforter Twin (68\"x90\")", "Comforter Full (79\"x90\")", "Comforter Queen (90\"x90\")", "Comforter King (104\"x90\")"]}, {"name": "Choose Pillowcases", "position": 2, "values": ["None", "1 Pillowcase", "2 Pillowcases"]}, {"name": "Additional Sheet Cover (Flat Sheet)", "position": 3, "values": ["None", "1 Sheet Cover (same size)"]}]</t>
        </is>
      </c>
      <c r="K20" s="2" t="inlineStr">
        <is>
          <t>Purchase flow visibly accepts, persists and fulfills the claimed custom values.</t>
        </is>
      </c>
    </row>
    <row r="21" ht="84" customHeight="1">
      <c r="A21" s="3" t="inlineStr">
        <is>
          <t>ISS-037-PERS</t>
        </is>
      </c>
      <c r="B21" s="3" t="inlineStr">
        <is>
          <t>jeminise.com+custom-american-football-on-cosmic-background-vintage-comforter-62a3849621-62a3849621</t>
        </is>
      </c>
      <c r="C21" s="3" t="inlineStr"/>
      <c r="D21" s="3" t="inlineStr">
        <is>
          <t>CRITICAL</t>
        </is>
      </c>
      <c r="E21" s="3" t="inlineStr">
        <is>
          <t>personalization/customization claims</t>
        </is>
      </c>
      <c r="F21" s="3" t="inlineStr">
        <is>
          <t>cosmic football comforter | Personalized Cosmic Football Comforter Set</t>
        </is>
      </c>
      <c r="G21" s="3" t="inlineStr">
        <is>
          <t>Trang live/product.js chỉ có size, pillowcase và/hoặc flat-sheet options; không có input name/number/text.</t>
        </is>
      </c>
      <c r="H21" s="3" t="inlineStr">
        <is>
          <t>Ảnh có tên/số mẫu không chứng minh người mua có thể tùy biến.</t>
        </is>
      </c>
      <c r="I21" s="3" t="inlineStr">
        <is>
          <t>Prove a working name/number input and fulfillment mapping, or remove personalized/custom claims from keyword, title, meta and body.</t>
        </is>
      </c>
      <c r="J21" s="3" t="inlineStr">
        <is>
          <t>https://jeminise.com/products/custom-american-football-on-cosmic-background-vintage-comforter-62a3849621-62a3849621; live options=[{"name": "Choose Product Type + Size", "position": 1, "values": ["Duvet Cover Twin (68\" x 88\")", "Duvet Cover Full (78\" x 88\")", "Duvet Cover Queen (88\" x 88\")", "Duvet Cover King (104\" x 88\")", "Comforter Twin (68\"x90\")", "Comforter Full (79\"x90\")", "Comforter Queen (90\"x90\")", "Comforter King (104\"x90\")"]}, {"name": "Choose Pillowcases", "position": 2, "values": ["None", "1 Pillowcase", "2 Pillowcases"]}, {"name": "Additional Sheet Cover (Flat Sheet)", "position": 3, "values": ["None", "1 Sheet Cover (same size)"]}]</t>
        </is>
      </c>
      <c r="K21" s="3" t="inlineStr">
        <is>
          <t>Purchase flow visibly accepts, persists and fulfills the claimed custom values.</t>
        </is>
      </c>
    </row>
    <row r="22" ht="84" customHeight="1">
      <c r="A22" s="2" t="inlineStr">
        <is>
          <t>ISS-038-PERS</t>
        </is>
      </c>
      <c r="B22" s="2" t="inlineStr">
        <is>
          <t>jeminise.com+custom-american-football-on-usa-flag-background-comforter-703a7c0d82-703a7c0d82</t>
        </is>
      </c>
      <c r="C22" s="2" t="inlineStr"/>
      <c r="D22" s="2" t="inlineStr">
        <is>
          <t>CRITICAL</t>
        </is>
      </c>
      <c r="E22" s="2" t="inlineStr">
        <is>
          <t>personalization/customization claims</t>
        </is>
      </c>
      <c r="F22" s="2" t="inlineStr">
        <is>
          <t>personalized patriotic football comforter | Personalized USA Flag Football Comforter Set</t>
        </is>
      </c>
      <c r="G22" s="2" t="inlineStr">
        <is>
          <t>Trang live/product.js chỉ có size, pillowcase và/hoặc flat-sheet options; không có input name/number/text.</t>
        </is>
      </c>
      <c r="H22" s="2" t="inlineStr">
        <is>
          <t>Ảnh có tên/số mẫu không chứng minh người mua có thể tùy biến.</t>
        </is>
      </c>
      <c r="I22" s="2" t="inlineStr">
        <is>
          <t>Prove a working name/number input and fulfillment mapping, or remove personalized/custom claims from keyword, title, meta and body.</t>
        </is>
      </c>
      <c r="J22" s="2" t="inlineStr">
        <is>
          <t>https://jeminise.com/products/custom-american-football-on-usa-flag-background-comforter-703a7c0d82-703a7c0d82; live options=[{"name": "Choose Product Type + Size", "position": 1, "values": ["Duvet Cover Twin (68\" x 88\")", "Duvet Cover Full (78\" x 88\")", "Duvet Cover Queen (88\" x 88\")", "Duvet Cover King (104\" x 88\")", "Comforter Twin (68\"x90\")", "Comforter Full (79\"x90\")", "Comforter Queen (90\"x90\")", "Comforter King (104\"x90\")"]}, {"name": "Choose Pillowcases", "position": 2, "values": ["None", "1 Pillowcase", "2 Pillowcases"]}, {"name": "Additional Sheet Cover (Flat Sheet)", "position": 3, "values": ["None", "1 Sheet Cover (same size)"]}]</t>
        </is>
      </c>
      <c r="K22" s="2" t="inlineStr">
        <is>
          <t>Purchase flow visibly accepts, persists and fulfills the claimed custom values.</t>
        </is>
      </c>
    </row>
    <row r="23" ht="84" customHeight="1">
      <c r="A23" s="3" t="inlineStr">
        <is>
          <t>ISS-039-PERS</t>
        </is>
      </c>
      <c r="B23" s="3" t="inlineStr">
        <is>
          <t>jeminise.com+custom-american-football-with-paint-splash-background-vintage-comforter-da0e1d5bf1-da0e1d5bf1</t>
        </is>
      </c>
      <c r="C23" s="3" t="inlineStr"/>
      <c r="D23" s="3" t="inlineStr">
        <is>
          <t>CRITICAL</t>
        </is>
      </c>
      <c r="E23" s="3" t="inlineStr">
        <is>
          <t>personalization/customization claims</t>
        </is>
      </c>
      <c r="F23" s="3" t="inlineStr">
        <is>
          <t>personalized vintage football comforter | Personalized Vintage Football Comforter Set</t>
        </is>
      </c>
      <c r="G23" s="3" t="inlineStr">
        <is>
          <t>Trang live/product.js chỉ có size, pillowcase và/hoặc flat-sheet options; không có input name/number/text.</t>
        </is>
      </c>
      <c r="H23" s="3" t="inlineStr">
        <is>
          <t>Ảnh có tên/số mẫu không chứng minh người mua có thể tùy biến.</t>
        </is>
      </c>
      <c r="I23" s="3" t="inlineStr">
        <is>
          <t>Prove a working name/number input and fulfillment mapping, or remove personalized/custom claims from keyword, title, meta and body.</t>
        </is>
      </c>
      <c r="J23" s="3" t="inlineStr">
        <is>
          <t>https://jeminise.com/products/custom-american-football-with-paint-splash-background-vintage-comforter-da0e1d5bf1-da0e1d5bf1; live options=[{"name": "Choose Product Type + Size", "position": 1, "values": ["Duvet Cover Twin (68\" x 88\")", "Duvet Cover Full (78\" x 88\")", "Duvet Cover Queen (88\" x 88\")", "Duvet Cover King (104\" x 88\")", "Comforter Twin (68\"x90\")", "Comforter Full (79\"x90\")", "Comforter Queen (90\"x90\")", "Comforter King (104\"x90\")"]}, {"name": "Choose Pillowcases", "position": 2, "values": ["None", "1 Pillowcase", "2 Pillowcases"]}, {"name": "Additional Sheet Cover (Flat Sheet)", "position": 3, "values": ["None", "1 Sheet Cover (same size)"]}]</t>
        </is>
      </c>
      <c r="K23" s="3" t="inlineStr">
        <is>
          <t>Purchase flow visibly accepts, persists and fulfills the claimed custom values.</t>
        </is>
      </c>
    </row>
    <row r="24" ht="84" customHeight="1">
      <c r="A24" s="2" t="inlineStr">
        <is>
          <t>ISS-040-PERS</t>
        </is>
      </c>
      <c r="B24" s="2" t="inlineStr">
        <is>
          <t>jeminise.com+custom-american-football-with-patriotic-flag-comforter-4a3a1ed3c9-4a3a1ed3c9</t>
        </is>
      </c>
      <c r="C24" s="2" t="inlineStr"/>
      <c r="D24" s="2" t="inlineStr">
        <is>
          <t>CRITICAL</t>
        </is>
      </c>
      <c r="E24" s="2" t="inlineStr">
        <is>
          <t>personalization/customization claims</t>
        </is>
      </c>
      <c r="F24" s="2" t="inlineStr">
        <is>
          <t>custom patriotic football comforter | Custom Patriotic Football Comforter Set</t>
        </is>
      </c>
      <c r="G24" s="2" t="inlineStr">
        <is>
          <t>Trang live/product.js chỉ có size, pillowcase và/hoặc flat-sheet options; không có input name/number/text.</t>
        </is>
      </c>
      <c r="H24" s="2" t="inlineStr">
        <is>
          <t>Ảnh có tên/số mẫu không chứng minh người mua có thể tùy biến.</t>
        </is>
      </c>
      <c r="I24" s="2" t="inlineStr">
        <is>
          <t>Prove a working name/number input and fulfillment mapping, or remove personalized/custom claims from keyword, title, meta and body.</t>
        </is>
      </c>
      <c r="J24" s="2" t="inlineStr">
        <is>
          <t>https://jeminise.com/products/custom-american-football-with-patriotic-flag-comforter-4a3a1ed3c9-4a3a1ed3c9; live options=[{"name": "Choose Product Type + Size", "position": 1, "values": ["Duvet Cover Twin (68\" x 88\")", "Duvet Cover Full (78\" x 88\")", "Duvet Cover Queen (88\" x 88\")", "Duvet Cover King (104\" x 88\")", "Comforter Twin (68\"x90\")", "Comforter Full (79\"x90\")", "Comforter Queen (90\"x90\")", "Comforter King (104\"x90\")"]}, {"name": "Choose Pillowcases", "position": 2, "values": ["None", "1 Pillowcase", "2 Pillowcases"]}, {"name": "Additional Sheet Cover (Flat Sheet)", "position": 3, "values": ["None", "1 Sheet Cover (same size)"]}]</t>
        </is>
      </c>
      <c r="K24" s="2" t="inlineStr">
        <is>
          <t>Purchase flow visibly accepts, persists and fulfills the claimed custom values.</t>
        </is>
      </c>
    </row>
    <row r="25" ht="84" customHeight="1">
      <c r="A25" s="3" t="inlineStr">
        <is>
          <t>ISS-033-DRAGONFLY</t>
        </is>
      </c>
      <c r="B25" s="3" t="inlineStr">
        <is>
          <t>jeminise.com+cow-with-landscape-patchwork-quilt-animal-farmhouse-printed-quilt-set</t>
        </is>
      </c>
      <c r="C25" s="3" t="inlineStr"/>
      <c r="D25" s="3" t="inlineStr">
        <is>
          <t>MAJOR</t>
        </is>
      </c>
      <c r="E25" s="3" t="inlineStr">
        <is>
          <t>description_proposed_html</t>
        </is>
      </c>
      <c r="F25" s="3" t="inlineStr">
        <is>
          <t>Dragonfly source field copied into draft.</t>
        </is>
      </c>
      <c r="G25" s="3" t="inlineStr">
        <is>
          <t>Front bedroom mockup of a cow-and-sunflower landscape quilt.</t>
        </is>
      </c>
      <c r="H25" s="3" t="inlineStr">
        <is>
          <t>Dragonfly contradicts the visible cow/crocodile artwork.</t>
        </is>
      </c>
      <c r="I25" s="3" t="inlineStr">
        <is>
          <t>Remove the Dragonfly color/pattern/design field and replace only with evidenced product facts.</t>
        </is>
      </c>
      <c r="J25" s="3" t="inlineStr">
        <is>
          <t>evidence_batch_004_033; direct images 1-7</t>
        </is>
      </c>
      <c r="K25" s="3" t="inlineStr">
        <is>
          <t>No Dragonfly attribute remains unless supported by a matching source revision.</t>
        </is>
      </c>
    </row>
    <row r="26" ht="84" customHeight="1">
      <c r="A26" s="2" t="inlineStr">
        <is>
          <t>ISS-034-DRAGONFLY</t>
        </is>
      </c>
      <c r="B26" s="2" t="inlineStr">
        <is>
          <t>jeminise.com+crocodile-patchwork-printed-quilts-animal-patchwork-bedding</t>
        </is>
      </c>
      <c r="C26" s="2" t="inlineStr"/>
      <c r="D26" s="2" t="inlineStr">
        <is>
          <t>MAJOR</t>
        </is>
      </c>
      <c r="E26" s="2" t="inlineStr">
        <is>
          <t>description_proposed_html</t>
        </is>
      </c>
      <c r="F26" s="2" t="inlineStr">
        <is>
          <t>Dragonfly source field copied into draft.</t>
        </is>
      </c>
      <c r="G26" s="2" t="inlineStr">
        <is>
          <t>Front bedroom mockup of a colorful cartoon crocodile patchwork quilt.</t>
        </is>
      </c>
      <c r="H26" s="2" t="inlineStr">
        <is>
          <t>Dragonfly contradicts the visible cow/crocodile artwork.</t>
        </is>
      </c>
      <c r="I26" s="2" t="inlineStr">
        <is>
          <t>Remove the Dragonfly color/pattern/design field and replace only with evidenced product facts.</t>
        </is>
      </c>
      <c r="J26" s="2" t="inlineStr">
        <is>
          <t>evidence_batch_004_034; direct images 1-7</t>
        </is>
      </c>
      <c r="K26" s="2" t="inlineStr">
        <is>
          <t>No Dragonfly attribute remains unless supported by a matching source revision.</t>
        </is>
      </c>
    </row>
    <row r="27" ht="84" customHeight="1">
      <c r="A27" s="3" t="inlineStr">
        <is>
          <t>ISS-031-SERP</t>
        </is>
      </c>
      <c r="B27" s="3" t="inlineStr">
        <is>
          <t>jeminise.com+christmas-cardinals-near-snowy-birdhouse-patchwork-floral-quilt-b90d55a935-b90d55a935</t>
        </is>
      </c>
      <c r="C27" s="3" t="inlineStr"/>
      <c r="D27" s="3" t="inlineStr">
        <is>
          <t>MAJOR</t>
        </is>
      </c>
      <c r="E27" s="3" t="inlineStr">
        <is>
          <t>keyword/SERP evidence</t>
        </is>
      </c>
      <c r="F27" s="3" t="inlineStr">
        <is>
          <t>Christmas cardinal birdhouse quilt</t>
        </is>
      </c>
      <c r="G27" s="3" t="inlineStr">
        <is>
          <t>Exact birdhouse results skew toward fabric panels and quilt kits; finished-bedding evidence is broader cardinal/poinsettia intent.</t>
        </is>
      </c>
      <c r="H27" s="3" t="inlineStr">
        <is>
          <t>The chosen exact phrase is not cleanly validated as finished-product intent.</t>
        </is>
      </c>
      <c r="I27" s="3" t="inlineStr">
        <is>
          <t>Retain SERP_ONLY and rerun with US finished-bedding product results before approval.</t>
        </is>
      </c>
      <c r="J27" s="3" t="inlineStr">
        <is>
          <t>[["Christmas cardinal birdhouse quilt", ["https://saphiesfabrics.com/products/christmas-cardinal-birdhouse-100-cotton-fabric-panel-block-ee1859-copy-1"]], ["cardinal poinsettia quilt set", ["https://www.macustom.com/collections/quilted-bedding-set/products/cardinal-christmas-quilted-bedding-set-ncu0vh044"]]]</t>
        </is>
      </c>
      <c r="K27" s="3" t="inlineStr">
        <is>
          <t>Two current finished-bedding product SERPs support the exact motif and product type.</t>
        </is>
      </c>
    </row>
    <row r="28" ht="84" customHeight="1">
      <c r="A28" s="2" t="inlineStr">
        <is>
          <t>ISS-034-ALLIGATOR</t>
        </is>
      </c>
      <c r="B28" s="2" t="inlineStr">
        <is>
          <t>jeminise.com+crocodile-patchwork-printed-quilts-animal-patchwork-bedding</t>
        </is>
      </c>
      <c r="C28" s="2" t="inlineStr"/>
      <c r="D28" s="2" t="inlineStr">
        <is>
          <t>MAJOR</t>
        </is>
      </c>
      <c r="E28" s="2" t="inlineStr">
        <is>
          <t>secondary_keywords</t>
        </is>
      </c>
      <c r="F28" s="2" t="inlineStr">
        <is>
          <t>alligator quilt set</t>
        </is>
      </c>
      <c r="G28" s="2" t="inlineStr">
        <is>
          <t>Front bedroom mockup of a colorful cartoon crocodile patchwork quilt.</t>
        </is>
      </c>
      <c r="H28" s="2" t="inlineStr">
        <is>
          <t>Crocodile and alligator are not interchangeable product attributes without source evidence.</t>
        </is>
      </c>
      <c r="I28" s="2" t="inlineStr">
        <is>
          <t>Use crocodile-specific wording, or document why the depicted animal is an alligator.</t>
        </is>
      </c>
      <c r="J28" s="2" t="inlineStr">
        <is>
          <t>evidence_batch_004_034; direct images</t>
        </is>
      </c>
      <c r="K28" s="2" t="inlineStr">
        <is>
          <t>Keyword map and copy use a single evidence-supported animal identity.</t>
        </is>
      </c>
    </row>
    <row r="29" ht="84" customHeight="1">
      <c r="A29" s="3" t="inlineStr">
        <is>
          <t>ISS-031-KREASON</t>
        </is>
      </c>
      <c r="B29" s="3" t="inlineStr">
        <is>
          <t>jeminise.com+christmas-cardinals-near-snowy-birdhouse-patchwork-floral-quilt-b90d55a935-b90d55a935</t>
        </is>
      </c>
      <c r="C29" s="3" t="inlineStr"/>
      <c r="D29" s="3" t="inlineStr">
        <is>
          <t>MAJOR</t>
        </is>
      </c>
      <c r="E29" s="3" t="inlineStr">
        <is>
          <t>keyword decision reason</t>
        </is>
      </c>
      <c r="F29" s="3" t="inlineStr">
        <is>
          <t>Specific to visible artwork, personalization and product type.</t>
        </is>
      </c>
      <c r="G29" s="3" t="inlineStr">
        <is>
          <t>The proposed customer copy does not claim personalization and the live purchase flow exposes no text input.</t>
        </is>
      </c>
      <c r="H29" s="3" t="inlineStr">
        <is>
          <t>The evidence chain cites an unsupported personalization signal.</t>
        </is>
      </c>
      <c r="I29" s="3" t="inlineStr">
        <is>
          <t>Rewrite the decision reason around visible motif and finished quilt-set intent only.</t>
        </is>
      </c>
      <c r="J29" s="3" t="inlineStr">
        <is>
          <t>evidence_batch_004_031</t>
        </is>
      </c>
      <c r="K29" s="3" t="inlineStr">
        <is>
          <t>Decision reason contains only evidence-backed selection factors.</t>
        </is>
      </c>
    </row>
    <row r="30" ht="84" customHeight="1">
      <c r="A30" s="2" t="inlineStr">
        <is>
          <t>ISS-032-KREASON</t>
        </is>
      </c>
      <c r="B30" s="2" t="inlineStr">
        <is>
          <t>jeminise.com+christmas-cardinals-on-snowy-branches-patchwork-winter-quilt-8fa1a9e2ed-8fa1a9e2ed</t>
        </is>
      </c>
      <c r="C30" s="2" t="inlineStr"/>
      <c r="D30" s="2" t="inlineStr">
        <is>
          <t>MAJOR</t>
        </is>
      </c>
      <c r="E30" s="2" t="inlineStr">
        <is>
          <t>keyword decision reason</t>
        </is>
      </c>
      <c r="F30" s="2" t="inlineStr">
        <is>
          <t>Specific to visible artwork, personalization and product type.</t>
        </is>
      </c>
      <c r="G30" s="2" t="inlineStr">
        <is>
          <t>The proposed customer copy does not claim personalization and the live purchase flow exposes no text input.</t>
        </is>
      </c>
      <c r="H30" s="2" t="inlineStr">
        <is>
          <t>The evidence chain cites an unsupported personalization signal.</t>
        </is>
      </c>
      <c r="I30" s="2" t="inlineStr">
        <is>
          <t>Rewrite the decision reason around visible motif and finished quilt-set intent only.</t>
        </is>
      </c>
      <c r="J30" s="2" t="inlineStr">
        <is>
          <t>evidence_batch_004_032</t>
        </is>
      </c>
      <c r="K30" s="2" t="inlineStr">
        <is>
          <t>Decision reason contains only evidence-backed selection factors.</t>
        </is>
      </c>
    </row>
    <row r="31" ht="84" customHeight="1">
      <c r="A31" s="3" t="inlineStr">
        <is>
          <t>ISS-031-ALTGEN</t>
        </is>
      </c>
      <c r="B31" s="3" t="inlineStr">
        <is>
          <t>jeminise.com+christmas-cardinals-near-snowy-birdhouse-patchwork-floral-quilt-b90d55a935-b90d55a935</t>
        </is>
      </c>
      <c r="C31" s="3" t="inlineStr"/>
      <c r="D31" s="3" t="inlineStr">
        <is>
          <t>MINOR</t>
        </is>
      </c>
      <c r="E31" s="3" t="inlineStr">
        <is>
          <t>image alt text</t>
        </is>
      </c>
      <c r="F31" s="3" t="inlineStr">
        <is>
          <t>Several alts use generic alternatives such as 'care or size' / 'detail or fabric feature'.</t>
        </is>
      </c>
      <c r="G31" s="3" t="inlineStr">
        <is>
          <t>Direct inspection identifies a single image purpose.</t>
        </is>
      </c>
      <c r="H31" s="3" t="inlineStr">
        <is>
          <t>Ambiguous 'or' phrasing is less precise than the source image.</t>
        </is>
      </c>
      <c r="I31" s="3" t="inlineStr">
        <is>
          <t>Replace generic alternatives with the exact image purpose recorded in QA_Images.</t>
        </is>
      </c>
      <c r="J31" s="3" t="inlineStr">
        <is>
          <t>evidence_batch_004_031</t>
        </is>
      </c>
      <c r="K31" s="3" t="inlineStr">
        <is>
          <t>Every SET alt names the observed scene or information panel without alternatives.</t>
        </is>
      </c>
    </row>
    <row r="32" ht="84" customHeight="1">
      <c r="A32" s="2" t="inlineStr">
        <is>
          <t>ISS-032-ALTGEN</t>
        </is>
      </c>
      <c r="B32" s="2" t="inlineStr">
        <is>
          <t>jeminise.com+christmas-cardinals-on-snowy-branches-patchwork-winter-quilt-8fa1a9e2ed-8fa1a9e2ed</t>
        </is>
      </c>
      <c r="C32" s="2" t="inlineStr"/>
      <c r="D32" s="2" t="inlineStr">
        <is>
          <t>MINOR</t>
        </is>
      </c>
      <c r="E32" s="2" t="inlineStr">
        <is>
          <t>image alt text</t>
        </is>
      </c>
      <c r="F32" s="2" t="inlineStr">
        <is>
          <t>Several alts use generic alternatives such as 'care or size' / 'detail or fabric feature'.</t>
        </is>
      </c>
      <c r="G32" s="2" t="inlineStr">
        <is>
          <t>Direct inspection identifies a single image purpose.</t>
        </is>
      </c>
      <c r="H32" s="2" t="inlineStr">
        <is>
          <t>Ambiguous 'or' phrasing is less precise than the source image.</t>
        </is>
      </c>
      <c r="I32" s="2" t="inlineStr">
        <is>
          <t>Replace generic alternatives with the exact image purpose recorded in QA_Images.</t>
        </is>
      </c>
      <c r="J32" s="2" t="inlineStr">
        <is>
          <t>evidence_batch_004_032</t>
        </is>
      </c>
      <c r="K32" s="2" t="inlineStr">
        <is>
          <t>Every SET alt names the observed scene or information panel without alternatives.</t>
        </is>
      </c>
    </row>
    <row r="33" ht="84" customHeight="1">
      <c r="A33" s="3" t="inlineStr">
        <is>
          <t>ISS-033-ALTGEN</t>
        </is>
      </c>
      <c r="B33" s="3" t="inlineStr">
        <is>
          <t>jeminise.com+cow-with-landscape-patchwork-quilt-animal-farmhouse-printed-quilt-set</t>
        </is>
      </c>
      <c r="C33" s="3" t="inlineStr"/>
      <c r="D33" s="3" t="inlineStr">
        <is>
          <t>MINOR</t>
        </is>
      </c>
      <c r="E33" s="3" t="inlineStr">
        <is>
          <t>image alt text</t>
        </is>
      </c>
      <c r="F33" s="3" t="inlineStr">
        <is>
          <t>Several alts use generic alternatives such as 'care or size' / 'detail or fabric feature'.</t>
        </is>
      </c>
      <c r="G33" s="3" t="inlineStr">
        <is>
          <t>Direct inspection identifies a single image purpose.</t>
        </is>
      </c>
      <c r="H33" s="3" t="inlineStr">
        <is>
          <t>Ambiguous 'or' phrasing is less precise than the source image.</t>
        </is>
      </c>
      <c r="I33" s="3" t="inlineStr">
        <is>
          <t>Replace generic alternatives with the exact image purpose recorded in QA_Images.</t>
        </is>
      </c>
      <c r="J33" s="3" t="inlineStr">
        <is>
          <t>evidence_batch_004_033</t>
        </is>
      </c>
      <c r="K33" s="3" t="inlineStr">
        <is>
          <t>Every SET alt names the observed scene or information panel without alternatives.</t>
        </is>
      </c>
    </row>
    <row r="34" ht="84" customHeight="1">
      <c r="A34" s="2" t="inlineStr">
        <is>
          <t>ISS-034-ALTGEN</t>
        </is>
      </c>
      <c r="B34" s="2" t="inlineStr">
        <is>
          <t>jeminise.com+crocodile-patchwork-printed-quilts-animal-patchwork-bedding</t>
        </is>
      </c>
      <c r="C34" s="2" t="inlineStr"/>
      <c r="D34" s="2" t="inlineStr">
        <is>
          <t>MINOR</t>
        </is>
      </c>
      <c r="E34" s="2" t="inlineStr">
        <is>
          <t>image alt text</t>
        </is>
      </c>
      <c r="F34" s="2" t="inlineStr">
        <is>
          <t>Several alts use generic alternatives such as 'care or size' / 'detail or fabric feature'.</t>
        </is>
      </c>
      <c r="G34" s="2" t="inlineStr">
        <is>
          <t>Direct inspection identifies a single image purpose.</t>
        </is>
      </c>
      <c r="H34" s="2" t="inlineStr">
        <is>
          <t>Ambiguous 'or' phrasing is less precise than the source image.</t>
        </is>
      </c>
      <c r="I34" s="2" t="inlineStr">
        <is>
          <t>Replace generic alternatives with the exact image purpose recorded in QA_Images.</t>
        </is>
      </c>
      <c r="J34" s="2" t="inlineStr">
        <is>
          <t>evidence_batch_004_034</t>
        </is>
      </c>
      <c r="K34" s="2" t="inlineStr">
        <is>
          <t>Every SET alt names the observed scene or information panel without alternatives.</t>
        </is>
      </c>
    </row>
    <row r="35" ht="84" customHeight="1">
      <c r="A35" s="3" t="inlineStr">
        <is>
          <t>ISS-GLOBAL-ADMIN</t>
        </is>
      </c>
      <c r="B35" s="3" t="inlineStr"/>
      <c r="C35" s="3" t="inlineStr"/>
      <c r="D35" s="3" t="inlineStr">
        <is>
          <t>LIMITATION</t>
        </is>
      </c>
      <c r="E35" s="3" t="inlineStr">
        <is>
          <t>current admin SEO fields/current admin alt</t>
        </is>
      </c>
      <c r="F35" s="3" t="inlineStr">
        <is>
          <t>Not supplied</t>
        </is>
      </c>
      <c r="G35" s="3" t="inlineStr">
        <is>
          <t>Storefront metadata and product.js media alt were readable, but no Shopify admin export was provided.</t>
        </is>
      </c>
      <c r="H35" s="3" t="inlineStr">
        <is>
          <t>Storefront values cannot prove admin fields or future import mapping.</t>
        </is>
      </c>
      <c r="I35" s="3" t="inlineStr">
        <is>
          <t>Provide a frozen Shopify admin/export snapshot before deployment approval.</t>
        </is>
      </c>
      <c r="J35" s="3" t="inlineStr">
        <is>
          <t>D:\Shopify_Workspace\jeminise_seo\resutls\jeminise.com\20260906_234129\batches\SEO_Product_Optimization_through_batch_034.xlsx</t>
        </is>
      </c>
      <c r="K35" s="3" t="inlineStr">
        <is>
          <t>Admin export revision and hash are frozen and compared.</t>
        </is>
      </c>
    </row>
  </sheetData>
  <autoFilter ref="A1:K35"/>
  <conditionalFormatting sqref="D2:D35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2026-09-07T03:07:09Z</dcterms:created>
  <dcterms:modified xmlns:dcterms="http://purl.org/dc/terms/" xmlns:xsi="http://www.w3.org/2001/XMLSchema-instance" xsi:type="dcterms:W3CDTF">2026-09-07T03:07:09Z</dcterms:modified>
</cp:coreProperties>
</file>