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'QA_Images'!$A$1:$AA$79</definedName>
    <definedName name="_xlnm.Print_Titles" localSheetId="3">'QA_Images'!$1:$1</definedName>
    <definedName name="_xlnm._FilterDatabase" localSheetId="4" hidden="1">'QA_Issues'!$A$1:$K$3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christian-scripture-floral-blanket-machine-washable-d10" TargetMode="External" Id="rId1"/><Relationship Type="http://schemas.openxmlformats.org/officeDocument/2006/relationships/hyperlink" Target="https://jeminise.com/products/custom-emily-god-says-i-am-blanket-machine-washable-d9" TargetMode="External" Id="rId2"/><Relationship Type="http://schemas.openxmlformats.org/officeDocument/2006/relationships/hyperlink" Target="https://jeminise.com/products/custom-exploding-soccer-ball-comforter-set-machine-washable-a10" TargetMode="External" Id="rId3"/><Relationship Type="http://schemas.openxmlformats.org/officeDocument/2006/relationships/hyperlink" Target="https://jeminise.com/products/custom-fiery-soccer-ball-custom-name-comforter-set-machin-design-5" TargetMode="External" Id="rId4"/><Relationship Type="http://schemas.openxmlformats.org/officeDocument/2006/relationships/hyperlink" Target="https://jeminise.com/products/custom-flaming-soccer-ball-with-custom-name-comforter-set-a12" TargetMode="External" Id="rId5"/><Relationship Type="http://schemas.openxmlformats.org/officeDocument/2006/relationships/hyperlink" Target="https://jeminise.com/products/custom-flaming-soccer-ball-with-name-comforter-set-machine-washable" TargetMode="External" Id="rId6"/><Relationship Type="http://schemas.openxmlformats.org/officeDocument/2006/relationships/hyperlink" Target="https://jeminise.com/products/custom-floral-butterfly-inspirational-blanket-machine-wash-design-8" TargetMode="External" Id="rId7"/><Relationship Type="http://schemas.openxmlformats.org/officeDocument/2006/relationships/hyperlink" Target="https://jeminise.com/products/custom-floral-butterfly-inspirational-blanket-machine-washable-d3" TargetMode="External" Id="rId8"/><Relationship Type="http://schemas.openxmlformats.org/officeDocument/2006/relationships/hyperlink" Target="https://jeminise.com/products/custom-floral-cross-bible-verse-blanket-machine-washable-d13" TargetMode="External" Id="rId9"/><Relationship Type="http://schemas.openxmlformats.org/officeDocument/2006/relationships/hyperlink" Target="https://jeminise.com/products/custom-floral-cross-with-butterflies-blanket-machine-washable-d6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14dd0c0f30fcfd28e1f8975ca547107bf2f18cd4e870a1c4dd402fb77fa109ae.jpg?v=1786596944" TargetMode="External" Id="rId1"/><Relationship Type="http://schemas.openxmlformats.org/officeDocument/2006/relationships/hyperlink" Target="https://cdn.shopify.com/s/files/1/0792/5098/1063/files/14dd0c0f30fcfd28e1f8975ca547107bf2f18cd4e870a1c4dd402fb77fa109ae.jpg?v=1786596944" TargetMode="External" Id="rId2"/><Relationship Type="http://schemas.openxmlformats.org/officeDocument/2006/relationships/hyperlink" Target="https://cdn.shopify.com/s/files/1/0792/5098/1063/files/3035ddad60f0c45fa193d7a6451a2fc3df75aa29b39b6303c8de9ae138c1fa7a.jpg?v=1786596944" TargetMode="External" Id="rId3"/><Relationship Type="http://schemas.openxmlformats.org/officeDocument/2006/relationships/hyperlink" Target="https://cdn.shopify.com/s/files/1/0792/5098/1063/files/3035ddad60f0c45fa193d7a6451a2fc3df75aa29b39b6303c8de9ae138c1fa7a.jpg?v=1786596944" TargetMode="External" Id="rId4"/><Relationship Type="http://schemas.openxmlformats.org/officeDocument/2006/relationships/hyperlink" Target="https://cdn.shopify.com/s/files/1/0792/5098/1063/files/55f355538113be81167be98854e695de1038b0d76b233b5b75d00ebe3809b04a.jpg?v=1786596944" TargetMode="External" Id="rId5"/><Relationship Type="http://schemas.openxmlformats.org/officeDocument/2006/relationships/hyperlink" Target="https://cdn.shopify.com/s/files/1/0792/5098/1063/files/55f355538113be81167be98854e695de1038b0d76b233b5b75d00ebe3809b04a.jpg?v=1786596944" TargetMode="External" Id="rId6"/><Relationship Type="http://schemas.openxmlformats.org/officeDocument/2006/relationships/hyperlink" Target="https://cdn.shopify.com/s/files/1/0792/5098/1063/files/f080c96407dbf1941ada8d3611cbf5489f32ed2db06c951fda081e2d9bd1746e.jpg?v=1786596944" TargetMode="External" Id="rId7"/><Relationship Type="http://schemas.openxmlformats.org/officeDocument/2006/relationships/hyperlink" Target="https://cdn.shopify.com/s/files/1/0792/5098/1063/files/f080c96407dbf1941ada8d3611cbf5489f32ed2db06c951fda081e2d9bd1746e.jpg?v=1786596944" TargetMode="External" Id="rId8"/><Relationship Type="http://schemas.openxmlformats.org/officeDocument/2006/relationships/hyperlink" Target="https://cdn.shopify.com/s/files/1/0792/5098/1063/files/c8e7403737eb50deddf014f714c4b268f2bced3797508ca336b6e63761050ea1.jpg?v=1786596944" TargetMode="External" Id="rId9"/><Relationship Type="http://schemas.openxmlformats.org/officeDocument/2006/relationships/hyperlink" Target="https://cdn.shopify.com/s/files/1/0792/5098/1063/files/c8e7403737eb50deddf014f714c4b268f2bced3797508ca336b6e63761050ea1.jpg?v=1786596944" TargetMode="External" Id="rId10"/><Relationship Type="http://schemas.openxmlformats.org/officeDocument/2006/relationships/hyperlink" Target="https://cdn.shopify.com/s/files/1/0792/5098/1063/files/aa3d32f3f3ea36d848002ec9691f58c355d4b160688300f3233e63943f210b46.jpg?v=1786596944" TargetMode="External" Id="rId11"/><Relationship Type="http://schemas.openxmlformats.org/officeDocument/2006/relationships/hyperlink" Target="https://cdn.shopify.com/s/files/1/0792/5098/1063/files/aa3d32f3f3ea36d848002ec9691f58c355d4b160688300f3233e63943f210b46.jpg?v=1786596944" TargetMode="External" Id="rId12"/><Relationship Type="http://schemas.openxmlformats.org/officeDocument/2006/relationships/hyperlink" Target="https://cdn.shopify.com/s/files/1/0792/5098/1063/files/4a0dab86b5bacc2a06f2dcdede895972a2cff70323306354b340e990014ca363.jpg?v=1786596944" TargetMode="External" Id="rId13"/><Relationship Type="http://schemas.openxmlformats.org/officeDocument/2006/relationships/hyperlink" Target="https://cdn.shopify.com/s/files/1/0792/5098/1063/files/4a0dab86b5bacc2a06f2dcdede895972a2cff70323306354b340e990014ca363.jpg?v=1786596944" TargetMode="External" Id="rId14"/><Relationship Type="http://schemas.openxmlformats.org/officeDocument/2006/relationships/hyperlink" Target="https://cdn.shopify.com/s/files/1/0792/5098/1063/files/ea1a859cc89e6d530481c10b14251d51f07bca99c1557d81d7238b2950f73318.jpg?v=1786596303" TargetMode="External" Id="rId15"/><Relationship Type="http://schemas.openxmlformats.org/officeDocument/2006/relationships/hyperlink" Target="https://cdn.shopify.com/s/files/1/0792/5098/1063/files/ea1a859cc89e6d530481c10b14251d51f07bca99c1557d81d7238b2950f73318.jpg?v=1786596303" TargetMode="External" Id="rId16"/><Relationship Type="http://schemas.openxmlformats.org/officeDocument/2006/relationships/hyperlink" Target="https://cdn.shopify.com/s/files/1/0792/5098/1063/files/da60abeadf27954f435a5067790d42779dee58fec05921c244d8b22bba8dd263.jpg?v=1786596303" TargetMode="External" Id="rId17"/><Relationship Type="http://schemas.openxmlformats.org/officeDocument/2006/relationships/hyperlink" Target="https://cdn.shopify.com/s/files/1/0792/5098/1063/files/da60abeadf27954f435a5067790d42779dee58fec05921c244d8b22bba8dd263.jpg?v=1786596303" TargetMode="External" Id="rId18"/><Relationship Type="http://schemas.openxmlformats.org/officeDocument/2006/relationships/hyperlink" Target="https://cdn.shopify.com/s/files/1/0792/5098/1063/files/8eb3de5c797e28b152fb201a4d5610f3858cf54a5a08a8ec4d56152cce30e873.jpg?v=1786596303" TargetMode="External" Id="rId19"/><Relationship Type="http://schemas.openxmlformats.org/officeDocument/2006/relationships/hyperlink" Target="https://cdn.shopify.com/s/files/1/0792/5098/1063/files/8eb3de5c797e28b152fb201a4d5610f3858cf54a5a08a8ec4d56152cce30e873.jpg?v=1786596303" TargetMode="External" Id="rId20"/><Relationship Type="http://schemas.openxmlformats.org/officeDocument/2006/relationships/hyperlink" Target="https://cdn.shopify.com/s/files/1/0792/5098/1063/files/23d5a0d5bd7cc256fa047fad39129214f40e3b5aa19bbfd83c02d5e2db76dda1.jpg?v=1786596303" TargetMode="External" Id="rId21"/><Relationship Type="http://schemas.openxmlformats.org/officeDocument/2006/relationships/hyperlink" Target="https://cdn.shopify.com/s/files/1/0792/5098/1063/files/23d5a0d5bd7cc256fa047fad39129214f40e3b5aa19bbfd83c02d5e2db76dda1.jpg?v=1786596303" TargetMode="External" Id="rId22"/><Relationship Type="http://schemas.openxmlformats.org/officeDocument/2006/relationships/hyperlink" Target="https://cdn.shopify.com/s/files/1/0792/5098/1063/files/f49ae969102b24924407ad308497e2ad394e649a5cec11a244c20852f99c5342.jpg?v=1786596303" TargetMode="External" Id="rId23"/><Relationship Type="http://schemas.openxmlformats.org/officeDocument/2006/relationships/hyperlink" Target="https://cdn.shopify.com/s/files/1/0792/5098/1063/files/f49ae969102b24924407ad308497e2ad394e649a5cec11a244c20852f99c5342.jpg?v=1786596303" TargetMode="External" Id="rId24"/><Relationship Type="http://schemas.openxmlformats.org/officeDocument/2006/relationships/hyperlink" Target="https://cdn.shopify.com/s/files/1/0792/5098/1063/files/1109d42d870fee7a62ea7d8e5b8a2d1590e02b2f5fbdfedf2c48280dcd71949e.jpg?v=1786596304" TargetMode="External" Id="rId25"/><Relationship Type="http://schemas.openxmlformats.org/officeDocument/2006/relationships/hyperlink" Target="https://cdn.shopify.com/s/files/1/0792/5098/1063/files/1109d42d870fee7a62ea7d8e5b8a2d1590e02b2f5fbdfedf2c48280dcd71949e.jpg?v=1786596304" TargetMode="External" Id="rId26"/><Relationship Type="http://schemas.openxmlformats.org/officeDocument/2006/relationships/hyperlink" Target="https://cdn.shopify.com/s/files/1/0792/5098/1063/files/cee7c0b8719354e1df9ef32806cf32f0314a3ff352d9e77c651d1afcf3d36f00.jpg?v=1786596303" TargetMode="External" Id="rId27"/><Relationship Type="http://schemas.openxmlformats.org/officeDocument/2006/relationships/hyperlink" Target="https://cdn.shopify.com/s/files/1/0792/5098/1063/files/cee7c0b8719354e1df9ef32806cf32f0314a3ff352d9e77c651d1afcf3d36f00.jpg?v=1786596303" TargetMode="External" Id="rId28"/><Relationship Type="http://schemas.openxmlformats.org/officeDocument/2006/relationships/hyperlink" Target="https://cdn.shopify.com/s/files/1/0792/5098/1063/files/89dbadebe78d692d88c6886ef590efeeae4ca99faff77c1ce998a2ddc7a988e4.jpg?v=1786596304" TargetMode="External" Id="rId29"/><Relationship Type="http://schemas.openxmlformats.org/officeDocument/2006/relationships/hyperlink" Target="https://cdn.shopify.com/s/files/1/0792/5098/1063/files/89dbadebe78d692d88c6886ef590efeeae4ca99faff77c1ce998a2ddc7a988e4.jpg?v=1786596304" TargetMode="External" Id="rId30"/><Relationship Type="http://schemas.openxmlformats.org/officeDocument/2006/relationships/hyperlink" Target="https://cdn.shopify.com/s/files/1/0792/5098/1063/files/25da0fbc3913b96e24dfa3f4379e828b035ada4a02f246ec000a760815423dad.jpg?v=1786610945" TargetMode="External" Id="rId31"/><Relationship Type="http://schemas.openxmlformats.org/officeDocument/2006/relationships/hyperlink" Target="https://cdn.shopify.com/s/files/1/0792/5098/1063/files/25da0fbc3913b96e24dfa3f4379e828b035ada4a02f246ec000a760815423dad.jpg?v=1786610945" TargetMode="External" Id="rId32"/><Relationship Type="http://schemas.openxmlformats.org/officeDocument/2006/relationships/hyperlink" Target="https://cdn.shopify.com/s/files/1/0792/5098/1063/files/fda00b32bfb1f0f6b8cd7d08129f5a20672727be6a983732f50ce6de63121686.jpg?v=1786610945" TargetMode="External" Id="rId33"/><Relationship Type="http://schemas.openxmlformats.org/officeDocument/2006/relationships/hyperlink" Target="https://cdn.shopify.com/s/files/1/0792/5098/1063/files/fda00b32bfb1f0f6b8cd7d08129f5a20672727be6a983732f50ce6de63121686.jpg?v=1786610945" TargetMode="External" Id="rId34"/><Relationship Type="http://schemas.openxmlformats.org/officeDocument/2006/relationships/hyperlink" Target="https://cdn.shopify.com/s/files/1/0792/5098/1063/files/582b042d72bf556232feaea473d58f3dc2874b1c369af5cf7826982fb833bc96.jpg?v=1786610945" TargetMode="External" Id="rId35"/><Relationship Type="http://schemas.openxmlformats.org/officeDocument/2006/relationships/hyperlink" Target="https://cdn.shopify.com/s/files/1/0792/5098/1063/files/582b042d72bf556232feaea473d58f3dc2874b1c369af5cf7826982fb833bc96.jpg?v=1786610945" TargetMode="External" Id="rId36"/><Relationship Type="http://schemas.openxmlformats.org/officeDocument/2006/relationships/hyperlink" Target="https://cdn.shopify.com/s/files/1/0792/5098/1063/files/0b1d1e19cab6d757366a36700f895ecca060303e705a8aece2f5fa486b6770da.jpg?v=1786610945" TargetMode="External" Id="rId37"/><Relationship Type="http://schemas.openxmlformats.org/officeDocument/2006/relationships/hyperlink" Target="https://cdn.shopify.com/s/files/1/0792/5098/1063/files/0b1d1e19cab6d757366a36700f895ecca060303e705a8aece2f5fa486b6770da.jpg?v=1786610945" TargetMode="External" Id="rId38"/><Relationship Type="http://schemas.openxmlformats.org/officeDocument/2006/relationships/hyperlink" Target="https://cdn.shopify.com/s/files/1/0792/5098/1063/files/8d826046337227bb116db8d2bc71f03f760486575e643a9219515f8f443f53aa.jpg?v=1786610945" TargetMode="External" Id="rId39"/><Relationship Type="http://schemas.openxmlformats.org/officeDocument/2006/relationships/hyperlink" Target="https://cdn.shopify.com/s/files/1/0792/5098/1063/files/8d826046337227bb116db8d2bc71f03f760486575e643a9219515f8f443f53aa.jpg?v=1786610945" TargetMode="External" Id="rId40"/><Relationship Type="http://schemas.openxmlformats.org/officeDocument/2006/relationships/hyperlink" Target="https://cdn.shopify.com/s/files/1/0792/5098/1063/files/f3390a3244de5fb4bcd359962db27187cfb1130a6590c3e92b8b5ab6e248e076.jpg?v=1786610944" TargetMode="External" Id="rId41"/><Relationship Type="http://schemas.openxmlformats.org/officeDocument/2006/relationships/hyperlink" Target="https://cdn.shopify.com/s/files/1/0792/5098/1063/files/f3390a3244de5fb4bcd359962db27187cfb1130a6590c3e92b8b5ab6e248e076.jpg?v=1786610944" TargetMode="External" Id="rId42"/><Relationship Type="http://schemas.openxmlformats.org/officeDocument/2006/relationships/hyperlink" Target="https://cdn.shopify.com/s/files/1/0792/5098/1063/files/d761ea3ae4f4c0b26b7473177b21a616c5199552823ec637c64fe7b0d6b0f12f.jpg?v=1786610945" TargetMode="External" Id="rId43"/><Relationship Type="http://schemas.openxmlformats.org/officeDocument/2006/relationships/hyperlink" Target="https://cdn.shopify.com/s/files/1/0792/5098/1063/files/d761ea3ae4f4c0b26b7473177b21a616c5199552823ec637c64fe7b0d6b0f12f.jpg?v=1786610945" TargetMode="External" Id="rId44"/><Relationship Type="http://schemas.openxmlformats.org/officeDocument/2006/relationships/hyperlink" Target="https://cdn.shopify.com/s/files/1/0792/5098/1063/files/dd6b2f75d5d331064be3e2ace151f6872c3f1f67675d8c1c7fa00f207341180b.jpg?v=1786610945" TargetMode="External" Id="rId45"/><Relationship Type="http://schemas.openxmlformats.org/officeDocument/2006/relationships/hyperlink" Target="https://cdn.shopify.com/s/files/1/0792/5098/1063/files/dd6b2f75d5d331064be3e2ace151f6872c3f1f67675d8c1c7fa00f207341180b.jpg?v=1786610945" TargetMode="External" Id="rId46"/><Relationship Type="http://schemas.openxmlformats.org/officeDocument/2006/relationships/hyperlink" Target="https://cdn.shopify.com/s/files/1/0792/5098/1063/files/aeb1f1bd9597eeeb3493ff3a126b43bf0243adc8c650c453d23f5bbb65329de7.jpg?v=1786611050" TargetMode="External" Id="rId47"/><Relationship Type="http://schemas.openxmlformats.org/officeDocument/2006/relationships/hyperlink" Target="https://cdn.shopify.com/s/files/1/0792/5098/1063/files/aeb1f1bd9597eeeb3493ff3a126b43bf0243adc8c650c453d23f5bbb65329de7.jpg?v=1786611050" TargetMode="External" Id="rId48"/><Relationship Type="http://schemas.openxmlformats.org/officeDocument/2006/relationships/hyperlink" Target="https://cdn.shopify.com/s/files/1/0792/5098/1063/files/15783a9b72566ee839de08d817d4c4ae542366426a617c752a2a2ec56795a839.jpg?v=1786611050" TargetMode="External" Id="rId49"/><Relationship Type="http://schemas.openxmlformats.org/officeDocument/2006/relationships/hyperlink" Target="https://cdn.shopify.com/s/files/1/0792/5098/1063/files/15783a9b72566ee839de08d817d4c4ae542366426a617c752a2a2ec56795a839.jpg?v=1786611050" TargetMode="External" Id="rId50"/><Relationship Type="http://schemas.openxmlformats.org/officeDocument/2006/relationships/hyperlink" Target="https://cdn.shopify.com/s/files/1/0792/5098/1063/files/108156a85e5ed8e0f89e87c5a0afbaf1ca703e27351914d449d30dbcd85190de.jpg?v=1786611050" TargetMode="External" Id="rId51"/><Relationship Type="http://schemas.openxmlformats.org/officeDocument/2006/relationships/hyperlink" Target="https://cdn.shopify.com/s/files/1/0792/5098/1063/files/108156a85e5ed8e0f89e87c5a0afbaf1ca703e27351914d449d30dbcd85190de.jpg?v=1786611050" TargetMode="External" Id="rId52"/><Relationship Type="http://schemas.openxmlformats.org/officeDocument/2006/relationships/hyperlink" Target="https://cdn.shopify.com/s/files/1/0792/5098/1063/files/0b1d1e19cab6d757366a36700f895ecca060303e705a8aece2f5fa486b6770da_64b5d257-8ea5-49cb-a401-ed867ecd84ae.jpg?v=1786611050" TargetMode="External" Id="rId53"/><Relationship Type="http://schemas.openxmlformats.org/officeDocument/2006/relationships/hyperlink" Target="https://cdn.shopify.com/s/files/1/0792/5098/1063/files/0b1d1e19cab6d757366a36700f895ecca060303e705a8aece2f5fa486b6770da_64b5d257-8ea5-49cb-a401-ed867ecd84ae.jpg?v=1786611050" TargetMode="External" Id="rId54"/><Relationship Type="http://schemas.openxmlformats.org/officeDocument/2006/relationships/hyperlink" Target="https://cdn.shopify.com/s/files/1/0792/5098/1063/files/599e8755b60848885d33718bf5b398d605840c8d487d71e87c022c5564dfaed5.jpg?v=1786611050" TargetMode="External" Id="rId55"/><Relationship Type="http://schemas.openxmlformats.org/officeDocument/2006/relationships/hyperlink" Target="https://cdn.shopify.com/s/files/1/0792/5098/1063/files/599e8755b60848885d33718bf5b398d605840c8d487d71e87c022c5564dfaed5.jpg?v=1786611050" TargetMode="External" Id="rId56"/><Relationship Type="http://schemas.openxmlformats.org/officeDocument/2006/relationships/hyperlink" Target="https://cdn.shopify.com/s/files/1/0792/5098/1063/files/4c5cc9e2c66f88cdde3b7e6fd0952987f1dca5ac52876a538b6310d316350bf2.jpg?v=1786611050" TargetMode="External" Id="rId57"/><Relationship Type="http://schemas.openxmlformats.org/officeDocument/2006/relationships/hyperlink" Target="https://cdn.shopify.com/s/files/1/0792/5098/1063/files/4c5cc9e2c66f88cdde3b7e6fd0952987f1dca5ac52876a538b6310d316350bf2.jpg?v=1786611050" TargetMode="External" Id="rId58"/><Relationship Type="http://schemas.openxmlformats.org/officeDocument/2006/relationships/hyperlink" Target="https://cdn.shopify.com/s/files/1/0792/5098/1063/files/dd6b2f75d5d331064be3e2ace151f6872c3f1f67675d8c1c7fa00f207341180b_bff19a79-92d6-4271-a1ed-900a991b0a6f.jpg?v=1786611050" TargetMode="External" Id="rId59"/><Relationship Type="http://schemas.openxmlformats.org/officeDocument/2006/relationships/hyperlink" Target="https://cdn.shopify.com/s/files/1/0792/5098/1063/files/dd6b2f75d5d331064be3e2ace151f6872c3f1f67675d8c1c7fa00f207341180b_bff19a79-92d6-4271-a1ed-900a991b0a6f.jpg?v=1786611050" TargetMode="External" Id="rId60"/><Relationship Type="http://schemas.openxmlformats.org/officeDocument/2006/relationships/hyperlink" Target="https://cdn.shopify.com/s/files/1/0792/5098/1063/files/6d780fd2bd1485daf0f8dd70e68878d90adefc90340848da9af8ecf4a3230a83.jpg?v=1786611006" TargetMode="External" Id="rId61"/><Relationship Type="http://schemas.openxmlformats.org/officeDocument/2006/relationships/hyperlink" Target="https://cdn.shopify.com/s/files/1/0792/5098/1063/files/6d780fd2bd1485daf0f8dd70e68878d90adefc90340848da9af8ecf4a3230a83.jpg?v=1786611006" TargetMode="External" Id="rId62"/><Relationship Type="http://schemas.openxmlformats.org/officeDocument/2006/relationships/hyperlink" Target="https://cdn.shopify.com/s/files/1/0792/5098/1063/files/1eb56ecd83f16a1b486faa5f948f85e2ce8be491db0b7164e9a4a95a6443f9fa.jpg?v=1786611006" TargetMode="External" Id="rId63"/><Relationship Type="http://schemas.openxmlformats.org/officeDocument/2006/relationships/hyperlink" Target="https://cdn.shopify.com/s/files/1/0792/5098/1063/files/1eb56ecd83f16a1b486faa5f948f85e2ce8be491db0b7164e9a4a95a6443f9fa.jpg?v=1786611006" TargetMode="External" Id="rId64"/><Relationship Type="http://schemas.openxmlformats.org/officeDocument/2006/relationships/hyperlink" Target="https://cdn.shopify.com/s/files/1/0792/5098/1063/files/212eb0529b543882b770a709780a04d8591438420c86396e40be579a1140763c.jpg?v=1786611006" TargetMode="External" Id="rId65"/><Relationship Type="http://schemas.openxmlformats.org/officeDocument/2006/relationships/hyperlink" Target="https://cdn.shopify.com/s/files/1/0792/5098/1063/files/212eb0529b543882b770a709780a04d8591438420c86396e40be579a1140763c.jpg?v=1786611006" TargetMode="External" Id="rId66"/><Relationship Type="http://schemas.openxmlformats.org/officeDocument/2006/relationships/hyperlink" Target="https://cdn.shopify.com/s/files/1/0792/5098/1063/files/396828b59fd53a9241601bb0cad4e9cffbbfd7f7c4237dfcb13e671c90b3f204_3a0944ca-a874-48f5-9d46-2506f3d9921a.jpg?v=1786611006" TargetMode="External" Id="rId67"/><Relationship Type="http://schemas.openxmlformats.org/officeDocument/2006/relationships/hyperlink" Target="https://cdn.shopify.com/s/files/1/0792/5098/1063/files/396828b59fd53a9241601bb0cad4e9cffbbfd7f7c4237dfcb13e671c90b3f204_3a0944ca-a874-48f5-9d46-2506f3d9921a.jpg?v=1786611006" TargetMode="External" Id="rId68"/><Relationship Type="http://schemas.openxmlformats.org/officeDocument/2006/relationships/hyperlink" Target="https://cdn.shopify.com/s/files/1/0792/5098/1063/files/0b1d1e19cab6d757366a36700f895ecca060303e705a8aece2f5fa486b6770da_82f2a957-1f09-4c71-8d62-717fadde4fa3.jpg?v=1786611006" TargetMode="External" Id="rId69"/><Relationship Type="http://schemas.openxmlformats.org/officeDocument/2006/relationships/hyperlink" Target="https://cdn.shopify.com/s/files/1/0792/5098/1063/files/0b1d1e19cab6d757366a36700f895ecca060303e705a8aece2f5fa486b6770da_82f2a957-1f09-4c71-8d62-717fadde4fa3.jpg?v=1786611006" TargetMode="External" Id="rId70"/><Relationship Type="http://schemas.openxmlformats.org/officeDocument/2006/relationships/hyperlink" Target="https://cdn.shopify.com/s/files/1/0792/5098/1063/files/d69c64abffcb16656c216f686764cc115bec8c445623c065690d8b65417d6aa1.jpg?v=1786611006" TargetMode="External" Id="rId71"/><Relationship Type="http://schemas.openxmlformats.org/officeDocument/2006/relationships/hyperlink" Target="https://cdn.shopify.com/s/files/1/0792/5098/1063/files/d69c64abffcb16656c216f686764cc115bec8c445623c065690d8b65417d6aa1.jpg?v=1786611006" TargetMode="External" Id="rId72"/><Relationship Type="http://schemas.openxmlformats.org/officeDocument/2006/relationships/hyperlink" Target="https://cdn.shopify.com/s/files/1/0792/5098/1063/files/f2d46460f3ab65a197a873e1c48899e5b5ee30da98a418af6121a8d7c8106e32.jpg?v=1786611006" TargetMode="External" Id="rId73"/><Relationship Type="http://schemas.openxmlformats.org/officeDocument/2006/relationships/hyperlink" Target="https://cdn.shopify.com/s/files/1/0792/5098/1063/files/f2d46460f3ab65a197a873e1c48899e5b5ee30da98a418af6121a8d7c8106e32.jpg?v=1786611006" TargetMode="External" Id="rId74"/><Relationship Type="http://schemas.openxmlformats.org/officeDocument/2006/relationships/hyperlink" Target="https://cdn.shopify.com/s/files/1/0792/5098/1063/files/d761ea3ae4f4c0b26b7473177b21a616c5199552823ec637c64fe7b0d6b0f12f_efa2fec9-9120-468f-a978-bf436a0a95d3.jpg?v=1786611006" TargetMode="External" Id="rId75"/><Relationship Type="http://schemas.openxmlformats.org/officeDocument/2006/relationships/hyperlink" Target="https://cdn.shopify.com/s/files/1/0792/5098/1063/files/d761ea3ae4f4c0b26b7473177b21a616c5199552823ec637c64fe7b0d6b0f12f_efa2fec9-9120-468f-a978-bf436a0a95d3.jpg?v=1786611006" TargetMode="External" Id="rId76"/><Relationship Type="http://schemas.openxmlformats.org/officeDocument/2006/relationships/hyperlink" Target="https://cdn.shopify.com/s/files/1/0792/5098/1063/files/f841a76d7426fae3bb23d0a8a59fe3fcadc00e404912a6b93baa3f5a7b3a6d2d.jpg?v=1786610967" TargetMode="External" Id="rId77"/><Relationship Type="http://schemas.openxmlformats.org/officeDocument/2006/relationships/hyperlink" Target="https://cdn.shopify.com/s/files/1/0792/5098/1063/files/f841a76d7426fae3bb23d0a8a59fe3fcadc00e404912a6b93baa3f5a7b3a6d2d.jpg?v=1786610967" TargetMode="External" Id="rId78"/><Relationship Type="http://schemas.openxmlformats.org/officeDocument/2006/relationships/hyperlink" Target="https://cdn.shopify.com/s/files/1/0792/5098/1063/files/3813f8c0ac9df910e2e4d8668cfc08c226f6d7481a56d5b1b4ea646d6c145d6d.jpg?v=1786610967" TargetMode="External" Id="rId79"/><Relationship Type="http://schemas.openxmlformats.org/officeDocument/2006/relationships/hyperlink" Target="https://cdn.shopify.com/s/files/1/0792/5098/1063/files/3813f8c0ac9df910e2e4d8668cfc08c226f6d7481a56d5b1b4ea646d6c145d6d.jpg?v=1786610967" TargetMode="External" Id="rId80"/><Relationship Type="http://schemas.openxmlformats.org/officeDocument/2006/relationships/hyperlink" Target="https://cdn.shopify.com/s/files/1/0792/5098/1063/files/573e8ec1b6fd48c4923442e47065a390b1812505c68979c51558d0642f76a14e.jpg?v=1786610967" TargetMode="External" Id="rId81"/><Relationship Type="http://schemas.openxmlformats.org/officeDocument/2006/relationships/hyperlink" Target="https://cdn.shopify.com/s/files/1/0792/5098/1063/files/573e8ec1b6fd48c4923442e47065a390b1812505c68979c51558d0642f76a14e.jpg?v=1786610967" TargetMode="External" Id="rId82"/><Relationship Type="http://schemas.openxmlformats.org/officeDocument/2006/relationships/hyperlink" Target="https://cdn.shopify.com/s/files/1/0792/5098/1063/files/396828b59fd53a9241601bb0cad4e9cffbbfd7f7c4237dfcb13e671c90b3f204.jpg?v=1786610967" TargetMode="External" Id="rId83"/><Relationship Type="http://schemas.openxmlformats.org/officeDocument/2006/relationships/hyperlink" Target="https://cdn.shopify.com/s/files/1/0792/5098/1063/files/396828b59fd53a9241601bb0cad4e9cffbbfd7f7c4237dfcb13e671c90b3f204.jpg?v=1786610967" TargetMode="External" Id="rId84"/><Relationship Type="http://schemas.openxmlformats.org/officeDocument/2006/relationships/hyperlink" Target="https://cdn.shopify.com/s/files/1/0792/5098/1063/files/0b1d1e19cab6d757366a36700f895ecca060303e705a8aece2f5fa486b6770da_9e358fbb-be3f-43b4-a914-017455b6e226.jpg?v=1786610967" TargetMode="External" Id="rId85"/><Relationship Type="http://schemas.openxmlformats.org/officeDocument/2006/relationships/hyperlink" Target="https://cdn.shopify.com/s/files/1/0792/5098/1063/files/0b1d1e19cab6d757366a36700f895ecca060303e705a8aece2f5fa486b6770da_9e358fbb-be3f-43b4-a914-017455b6e226.jpg?v=1786610967" TargetMode="External" Id="rId86"/><Relationship Type="http://schemas.openxmlformats.org/officeDocument/2006/relationships/hyperlink" Target="https://cdn.shopify.com/s/files/1/0792/5098/1063/files/a9822f49fb2659387abd7a7535d5701b1a37102e53679a13cd13a160a7bb04d3.jpg?v=1786610967" TargetMode="External" Id="rId87"/><Relationship Type="http://schemas.openxmlformats.org/officeDocument/2006/relationships/hyperlink" Target="https://cdn.shopify.com/s/files/1/0792/5098/1063/files/a9822f49fb2659387abd7a7535d5701b1a37102e53679a13cd13a160a7bb04d3.jpg?v=1786610967" TargetMode="External" Id="rId88"/><Relationship Type="http://schemas.openxmlformats.org/officeDocument/2006/relationships/hyperlink" Target="https://cdn.shopify.com/s/files/1/0792/5098/1063/files/c12a629ab2e208881c638fd6b75264afcd9525d164bbc35fc0d0579fd4c4f854.jpg?v=1786610967" TargetMode="External" Id="rId89"/><Relationship Type="http://schemas.openxmlformats.org/officeDocument/2006/relationships/hyperlink" Target="https://cdn.shopify.com/s/files/1/0792/5098/1063/files/c12a629ab2e208881c638fd6b75264afcd9525d164bbc35fc0d0579fd4c4f854.jpg?v=1786610967" TargetMode="External" Id="rId90"/><Relationship Type="http://schemas.openxmlformats.org/officeDocument/2006/relationships/hyperlink" Target="https://cdn.shopify.com/s/files/1/0792/5098/1063/files/d761ea3ae4f4c0b26b7473177b21a616c5199552823ec637c64fe7b0d6b0f12f_e0f1a0f2-8f9d-46e6-8b76-93ec1ddb8090.jpg?v=1786610967" TargetMode="External" Id="rId91"/><Relationship Type="http://schemas.openxmlformats.org/officeDocument/2006/relationships/hyperlink" Target="https://cdn.shopify.com/s/files/1/0792/5098/1063/files/d761ea3ae4f4c0b26b7473177b21a616c5199552823ec637c64fe7b0d6b0f12f_e0f1a0f2-8f9d-46e6-8b76-93ec1ddb8090.jpg?v=1786610967" TargetMode="External" Id="rId92"/><Relationship Type="http://schemas.openxmlformats.org/officeDocument/2006/relationships/hyperlink" Target="https://cdn.shopify.com/s/files/1/0792/5098/1063/files/e60a7f0c7875d9a23678ce107f7cc49276a08524f855f1c8123e8371efdc3ca1.jpg?v=1786596773" TargetMode="External" Id="rId93"/><Relationship Type="http://schemas.openxmlformats.org/officeDocument/2006/relationships/hyperlink" Target="https://cdn.shopify.com/s/files/1/0792/5098/1063/files/e60a7f0c7875d9a23678ce107f7cc49276a08524f855f1c8123e8371efdc3ca1.jpg?v=1786596773" TargetMode="External" Id="rId94"/><Relationship Type="http://schemas.openxmlformats.org/officeDocument/2006/relationships/hyperlink" Target="https://cdn.shopify.com/s/files/1/0792/5098/1063/files/ff8aa8b6f045be0fe67b76ae37f27d84f0ad0143e37095b88b29e63dee8d7eef.jpg?v=1786596773" TargetMode="External" Id="rId95"/><Relationship Type="http://schemas.openxmlformats.org/officeDocument/2006/relationships/hyperlink" Target="https://cdn.shopify.com/s/files/1/0792/5098/1063/files/ff8aa8b6f045be0fe67b76ae37f27d84f0ad0143e37095b88b29e63dee8d7eef.jpg?v=1786596773" TargetMode="External" Id="rId96"/><Relationship Type="http://schemas.openxmlformats.org/officeDocument/2006/relationships/hyperlink" Target="https://cdn.shopify.com/s/files/1/0792/5098/1063/files/a9a78fdf2c0420fd947c5f3e5cecd65b237be422aaaa98280fb5ebac60bef361.jpg?v=1786596773" TargetMode="External" Id="rId97"/><Relationship Type="http://schemas.openxmlformats.org/officeDocument/2006/relationships/hyperlink" Target="https://cdn.shopify.com/s/files/1/0792/5098/1063/files/a9a78fdf2c0420fd947c5f3e5cecd65b237be422aaaa98280fb5ebac60bef361.jpg?v=1786596773" TargetMode="External" Id="rId98"/><Relationship Type="http://schemas.openxmlformats.org/officeDocument/2006/relationships/hyperlink" Target="https://cdn.shopify.com/s/files/1/0792/5098/1063/files/305ae64e6952f9d9ff873f8a9c20017e4cb2b2f4331cd02060333804b4f23d24.jpg?v=1786596773" TargetMode="External" Id="rId99"/><Relationship Type="http://schemas.openxmlformats.org/officeDocument/2006/relationships/hyperlink" Target="https://cdn.shopify.com/s/files/1/0792/5098/1063/files/305ae64e6952f9d9ff873f8a9c20017e4cb2b2f4331cd02060333804b4f23d24.jpg?v=1786596773" TargetMode="External" Id="rId100"/><Relationship Type="http://schemas.openxmlformats.org/officeDocument/2006/relationships/hyperlink" Target="https://cdn.shopify.com/s/files/1/0792/5098/1063/files/5462259bf9f3c043578a523c3535ddff2364152d3563cdfd384d3c6187e6bd9e.jpg?v=1786596773" TargetMode="External" Id="rId101"/><Relationship Type="http://schemas.openxmlformats.org/officeDocument/2006/relationships/hyperlink" Target="https://cdn.shopify.com/s/files/1/0792/5098/1063/files/5462259bf9f3c043578a523c3535ddff2364152d3563cdfd384d3c6187e6bd9e.jpg?v=1786596773" TargetMode="External" Id="rId102"/><Relationship Type="http://schemas.openxmlformats.org/officeDocument/2006/relationships/hyperlink" Target="https://cdn.shopify.com/s/files/1/0792/5098/1063/files/2bad5058c746820e47f34d322a765767629d4fe60088c852a465d71609a1d184.jpg?v=1786596773" TargetMode="External" Id="rId103"/><Relationship Type="http://schemas.openxmlformats.org/officeDocument/2006/relationships/hyperlink" Target="https://cdn.shopify.com/s/files/1/0792/5098/1063/files/2bad5058c746820e47f34d322a765767629d4fe60088c852a465d71609a1d184.jpg?v=1786596773" TargetMode="External" Id="rId104"/><Relationship Type="http://schemas.openxmlformats.org/officeDocument/2006/relationships/hyperlink" Target="https://cdn.shopify.com/s/files/1/0792/5098/1063/files/bd2bdbc27d07a38dabe5b11feab835f5ac81fa7e9b596bc91e42123273183b6a.jpg?v=1786596773" TargetMode="External" Id="rId105"/><Relationship Type="http://schemas.openxmlformats.org/officeDocument/2006/relationships/hyperlink" Target="https://cdn.shopify.com/s/files/1/0792/5098/1063/files/bd2bdbc27d07a38dabe5b11feab835f5ac81fa7e9b596bc91e42123273183b6a.jpg?v=1786596773" TargetMode="External" Id="rId106"/><Relationship Type="http://schemas.openxmlformats.org/officeDocument/2006/relationships/hyperlink" Target="https://cdn.shopify.com/s/files/1/0792/5098/1063/files/7ea7887dbaa70e9fa2d52cc786f39814763d527191156ef97bf0d23afbdcc4d3.jpg?v=1786596773" TargetMode="External" Id="rId107"/><Relationship Type="http://schemas.openxmlformats.org/officeDocument/2006/relationships/hyperlink" Target="https://cdn.shopify.com/s/files/1/0792/5098/1063/files/7ea7887dbaa70e9fa2d52cc786f39814763d527191156ef97bf0d23afbdcc4d3.jpg?v=1786596773" TargetMode="External" Id="rId108"/><Relationship Type="http://schemas.openxmlformats.org/officeDocument/2006/relationships/hyperlink" Target="https://cdn.shopify.com/s/files/1/0792/5098/1063/files/7b2d759cc3474f8b380ea9f9ef6d4b141461fb49275363500310123df95ebadf.jpg?v=1786596316" TargetMode="External" Id="rId109"/><Relationship Type="http://schemas.openxmlformats.org/officeDocument/2006/relationships/hyperlink" Target="https://cdn.shopify.com/s/files/1/0792/5098/1063/files/7b2d759cc3474f8b380ea9f9ef6d4b141461fb49275363500310123df95ebadf.jpg?v=1786596316" TargetMode="External" Id="rId110"/><Relationship Type="http://schemas.openxmlformats.org/officeDocument/2006/relationships/hyperlink" Target="https://cdn.shopify.com/s/files/1/0792/5098/1063/files/2ce553ac0d114236f4d8b3e23520aaa409b8dca49927efd5843df78f67260cd9.jpg?v=1786596316" TargetMode="External" Id="rId111"/><Relationship Type="http://schemas.openxmlformats.org/officeDocument/2006/relationships/hyperlink" Target="https://cdn.shopify.com/s/files/1/0792/5098/1063/files/2ce553ac0d114236f4d8b3e23520aaa409b8dca49927efd5843df78f67260cd9.jpg?v=1786596316" TargetMode="External" Id="rId112"/><Relationship Type="http://schemas.openxmlformats.org/officeDocument/2006/relationships/hyperlink" Target="https://cdn.shopify.com/s/files/1/0792/5098/1063/files/703198759b702616a3500a475ce654b547c5fed941e5f8dadfccb45437948bef.jpg?v=1786596316" TargetMode="External" Id="rId113"/><Relationship Type="http://schemas.openxmlformats.org/officeDocument/2006/relationships/hyperlink" Target="https://cdn.shopify.com/s/files/1/0792/5098/1063/files/703198759b702616a3500a475ce654b547c5fed941e5f8dadfccb45437948bef.jpg?v=1786596316" TargetMode="External" Id="rId114"/><Relationship Type="http://schemas.openxmlformats.org/officeDocument/2006/relationships/hyperlink" Target="https://cdn.shopify.com/s/files/1/0792/5098/1063/files/5c3b5891d03eb13448d493becfaf9a384d04fa42c641a138fbbb13e85fd762e9.jpg?v=1786596316" TargetMode="External" Id="rId115"/><Relationship Type="http://schemas.openxmlformats.org/officeDocument/2006/relationships/hyperlink" Target="https://cdn.shopify.com/s/files/1/0792/5098/1063/files/5c3b5891d03eb13448d493becfaf9a384d04fa42c641a138fbbb13e85fd762e9.jpg?v=1786596316" TargetMode="External" Id="rId116"/><Relationship Type="http://schemas.openxmlformats.org/officeDocument/2006/relationships/hyperlink" Target="https://cdn.shopify.com/s/files/1/0792/5098/1063/files/c8a4d26fcd3d1ff5ed61b0a5c1d2b9d98969aa11bacf519f8d76e18208fe489f.jpg?v=1786596316" TargetMode="External" Id="rId117"/><Relationship Type="http://schemas.openxmlformats.org/officeDocument/2006/relationships/hyperlink" Target="https://cdn.shopify.com/s/files/1/0792/5098/1063/files/c8a4d26fcd3d1ff5ed61b0a5c1d2b9d98969aa11bacf519f8d76e18208fe489f.jpg?v=1786596316" TargetMode="External" Id="rId118"/><Relationship Type="http://schemas.openxmlformats.org/officeDocument/2006/relationships/hyperlink" Target="https://cdn.shopify.com/s/files/1/0792/5098/1063/files/2075703484a2851c9831b41fa7c93b7f2c1a14581fdd42005886499bead2d034.jpg?v=1786596316" TargetMode="External" Id="rId119"/><Relationship Type="http://schemas.openxmlformats.org/officeDocument/2006/relationships/hyperlink" Target="https://cdn.shopify.com/s/files/1/0792/5098/1063/files/2075703484a2851c9831b41fa7c93b7f2c1a14581fdd42005886499bead2d034.jpg?v=1786596316" TargetMode="External" Id="rId120"/><Relationship Type="http://schemas.openxmlformats.org/officeDocument/2006/relationships/hyperlink" Target="https://cdn.shopify.com/s/files/1/0792/5098/1063/files/dbaa1b9e2e9e88c8253a504824d6d6586ba526051890b872b7c52fe128a52757.jpg?v=1786596316" TargetMode="External" Id="rId121"/><Relationship Type="http://schemas.openxmlformats.org/officeDocument/2006/relationships/hyperlink" Target="https://cdn.shopify.com/s/files/1/0792/5098/1063/files/dbaa1b9e2e9e88c8253a504824d6d6586ba526051890b872b7c52fe128a52757.jpg?v=1786596316" TargetMode="External" Id="rId122"/><Relationship Type="http://schemas.openxmlformats.org/officeDocument/2006/relationships/hyperlink" Target="https://cdn.shopify.com/s/files/1/0792/5098/1063/files/139d0ca45b7480145218d55302ce28a8914b4044980407dc05e579b785dace61.jpg?v=1786596316" TargetMode="External" Id="rId123"/><Relationship Type="http://schemas.openxmlformats.org/officeDocument/2006/relationships/hyperlink" Target="https://cdn.shopify.com/s/files/1/0792/5098/1063/files/139d0ca45b7480145218d55302ce28a8914b4044980407dc05e579b785dace61.jpg?v=1786596316" TargetMode="External" Id="rId124"/><Relationship Type="http://schemas.openxmlformats.org/officeDocument/2006/relationships/hyperlink" Target="https://cdn.shopify.com/s/files/1/0792/5098/1063/files/9567025a041eead65c74e386ef5aa307e42a36b4156ebbad9a2346c965ea1380.jpg?v=1786596333" TargetMode="External" Id="rId125"/><Relationship Type="http://schemas.openxmlformats.org/officeDocument/2006/relationships/hyperlink" Target="https://cdn.shopify.com/s/files/1/0792/5098/1063/files/9567025a041eead65c74e386ef5aa307e42a36b4156ebbad9a2346c965ea1380.jpg?v=1786596333" TargetMode="External" Id="rId126"/><Relationship Type="http://schemas.openxmlformats.org/officeDocument/2006/relationships/hyperlink" Target="https://cdn.shopify.com/s/files/1/0792/5098/1063/files/810e40d16ff4bd13a758dbb0fff23faeedc6c4d91d4680fd59553b075b001a0a.jpg?v=1786596333" TargetMode="External" Id="rId127"/><Relationship Type="http://schemas.openxmlformats.org/officeDocument/2006/relationships/hyperlink" Target="https://cdn.shopify.com/s/files/1/0792/5098/1063/files/810e40d16ff4bd13a758dbb0fff23faeedc6c4d91d4680fd59553b075b001a0a.jpg?v=1786596333" TargetMode="External" Id="rId128"/><Relationship Type="http://schemas.openxmlformats.org/officeDocument/2006/relationships/hyperlink" Target="https://cdn.shopify.com/s/files/1/0792/5098/1063/files/734ea47441dca730cb74184d1f9a5a8df4dc473db392a9d94030798181e723c7.jpg?v=1786596333" TargetMode="External" Id="rId129"/><Relationship Type="http://schemas.openxmlformats.org/officeDocument/2006/relationships/hyperlink" Target="https://cdn.shopify.com/s/files/1/0792/5098/1063/files/734ea47441dca730cb74184d1f9a5a8df4dc473db392a9d94030798181e723c7.jpg?v=1786596333" TargetMode="External" Id="rId130"/><Relationship Type="http://schemas.openxmlformats.org/officeDocument/2006/relationships/hyperlink" Target="https://cdn.shopify.com/s/files/1/0792/5098/1063/files/9164e46c99988932b76d547d0088a1a3f0fb74fffaae86bf7b2bb4d0885e2bce.jpg?v=1786596333" TargetMode="External" Id="rId131"/><Relationship Type="http://schemas.openxmlformats.org/officeDocument/2006/relationships/hyperlink" Target="https://cdn.shopify.com/s/files/1/0792/5098/1063/files/9164e46c99988932b76d547d0088a1a3f0fb74fffaae86bf7b2bb4d0885e2bce.jpg?v=1786596333" TargetMode="External" Id="rId132"/><Relationship Type="http://schemas.openxmlformats.org/officeDocument/2006/relationships/hyperlink" Target="https://cdn.shopify.com/s/files/1/0792/5098/1063/files/044df06284c8807b67c3965bc174cb1dd2c20798b334a995dde92efb0a4ac33d.jpg?v=1786596333" TargetMode="External" Id="rId133"/><Relationship Type="http://schemas.openxmlformats.org/officeDocument/2006/relationships/hyperlink" Target="https://cdn.shopify.com/s/files/1/0792/5098/1063/files/044df06284c8807b67c3965bc174cb1dd2c20798b334a995dde92efb0a4ac33d.jpg?v=1786596333" TargetMode="External" Id="rId134"/><Relationship Type="http://schemas.openxmlformats.org/officeDocument/2006/relationships/hyperlink" Target="https://cdn.shopify.com/s/files/1/0792/5098/1063/files/684c046d236e48781d83021ed18e97f71edc975eba7241d547167c78d46c42d1.jpg?v=1786596333" TargetMode="External" Id="rId135"/><Relationship Type="http://schemas.openxmlformats.org/officeDocument/2006/relationships/hyperlink" Target="https://cdn.shopify.com/s/files/1/0792/5098/1063/files/684c046d236e48781d83021ed18e97f71edc975eba7241d547167c78d46c42d1.jpg?v=1786596333" TargetMode="External" Id="rId136"/><Relationship Type="http://schemas.openxmlformats.org/officeDocument/2006/relationships/hyperlink" Target="https://cdn.shopify.com/s/files/1/0792/5098/1063/files/76ac7df588ae004752bb4dbe5045fb3f03b5d78d355167e47889373a8d15384a.jpg?v=1786596333" TargetMode="External" Id="rId137"/><Relationship Type="http://schemas.openxmlformats.org/officeDocument/2006/relationships/hyperlink" Target="https://cdn.shopify.com/s/files/1/0792/5098/1063/files/76ac7df588ae004752bb4dbe5045fb3f03b5d78d355167e47889373a8d15384a.jpg?v=1786596333" TargetMode="External" Id="rId138"/><Relationship Type="http://schemas.openxmlformats.org/officeDocument/2006/relationships/hyperlink" Target="https://cdn.shopify.com/s/files/1/0792/5098/1063/files/f780832f6c709aefd1624020cbaf7826dff370d3398bcc5ea9dcf8cb2410ca76.jpg?v=1786596333" TargetMode="External" Id="rId139"/><Relationship Type="http://schemas.openxmlformats.org/officeDocument/2006/relationships/hyperlink" Target="https://cdn.shopify.com/s/files/1/0792/5098/1063/files/f780832f6c709aefd1624020cbaf7826dff370d3398bcc5ea9dcf8cb2410ca76.jpg?v=1786596333" TargetMode="External" Id="rId140"/><Relationship Type="http://schemas.openxmlformats.org/officeDocument/2006/relationships/hyperlink" Target="https://cdn.shopify.com/s/files/1/0792/5098/1063/files/fa4c87e3ad89fcb17154c6d08d008fe811e3ada64703d98c1fca09128ccb3a83.jpg?v=1786596475" TargetMode="External" Id="rId141"/><Relationship Type="http://schemas.openxmlformats.org/officeDocument/2006/relationships/hyperlink" Target="https://cdn.shopify.com/s/files/1/0792/5098/1063/files/fa4c87e3ad89fcb17154c6d08d008fe811e3ada64703d98c1fca09128ccb3a83.jpg?v=1786596475" TargetMode="External" Id="rId142"/><Relationship Type="http://schemas.openxmlformats.org/officeDocument/2006/relationships/hyperlink" Target="https://cdn.shopify.com/s/files/1/0792/5098/1063/files/d4e9a8539470072d5c5baf2c1e66d73f9ffc956ee3053533ff34bdaea36bc129.jpg?v=1786596475" TargetMode="External" Id="rId143"/><Relationship Type="http://schemas.openxmlformats.org/officeDocument/2006/relationships/hyperlink" Target="https://cdn.shopify.com/s/files/1/0792/5098/1063/files/d4e9a8539470072d5c5baf2c1e66d73f9ffc956ee3053533ff34bdaea36bc129.jpg?v=1786596475" TargetMode="External" Id="rId144"/><Relationship Type="http://schemas.openxmlformats.org/officeDocument/2006/relationships/hyperlink" Target="https://cdn.shopify.com/s/files/1/0792/5098/1063/files/759490c85c946c6771dab94f8a1364e1b84653ade2cb0950a374f68092d3199c.jpg?v=1786596478" TargetMode="External" Id="rId145"/><Relationship Type="http://schemas.openxmlformats.org/officeDocument/2006/relationships/hyperlink" Target="https://cdn.shopify.com/s/files/1/0792/5098/1063/files/759490c85c946c6771dab94f8a1364e1b84653ade2cb0950a374f68092d3199c.jpg?v=1786596478" TargetMode="External" Id="rId146"/><Relationship Type="http://schemas.openxmlformats.org/officeDocument/2006/relationships/hyperlink" Target="https://cdn.shopify.com/s/files/1/0792/5098/1063/files/bab294486e3013fbc619bbb3e71230eca4b927ab5f8abb1a8fb3c6d2e28d9193.jpg?v=1786596475" TargetMode="External" Id="rId147"/><Relationship Type="http://schemas.openxmlformats.org/officeDocument/2006/relationships/hyperlink" Target="https://cdn.shopify.com/s/files/1/0792/5098/1063/files/bab294486e3013fbc619bbb3e71230eca4b927ab5f8abb1a8fb3c6d2e28d9193.jpg?v=1786596475" TargetMode="External" Id="rId148"/><Relationship Type="http://schemas.openxmlformats.org/officeDocument/2006/relationships/hyperlink" Target="https://cdn.shopify.com/s/files/1/0792/5098/1063/files/0416735fb823a111c841d5d285553bea73d30b765a5545afa4086717e3e2c7d3.jpg?v=1786596475" TargetMode="External" Id="rId149"/><Relationship Type="http://schemas.openxmlformats.org/officeDocument/2006/relationships/hyperlink" Target="https://cdn.shopify.com/s/files/1/0792/5098/1063/files/0416735fb823a111c841d5d285553bea73d30b765a5545afa4086717e3e2c7d3.jpg?v=1786596475" TargetMode="External" Id="rId150"/><Relationship Type="http://schemas.openxmlformats.org/officeDocument/2006/relationships/hyperlink" Target="https://cdn.shopify.com/s/files/1/0792/5098/1063/files/e576d43eb2b191f065506be3fac0e45ce427db1e42efc5852ccc760dafb39887.jpg?v=1786596475" TargetMode="External" Id="rId151"/><Relationship Type="http://schemas.openxmlformats.org/officeDocument/2006/relationships/hyperlink" Target="https://cdn.shopify.com/s/files/1/0792/5098/1063/files/e576d43eb2b191f065506be3fac0e45ce427db1e42efc5852ccc760dafb39887.jpg?v=1786596475" TargetMode="External" Id="rId152"/><Relationship Type="http://schemas.openxmlformats.org/officeDocument/2006/relationships/hyperlink" Target="https://cdn.shopify.com/s/files/1/0792/5098/1063/files/7c29bc231473be38367a39696043dc9046e2ad0b9b02b847aba65a535c3d5c67.jpg?v=1786596475" TargetMode="External" Id="rId153"/><Relationship Type="http://schemas.openxmlformats.org/officeDocument/2006/relationships/hyperlink" Target="https://cdn.shopify.com/s/files/1/0792/5098/1063/files/7c29bc231473be38367a39696043dc9046e2ad0b9b02b847aba65a535c3d5c67.jpg?v=1786596475" TargetMode="External" Id="rId154"/><Relationship Type="http://schemas.openxmlformats.org/officeDocument/2006/relationships/hyperlink" Target="https://cdn.shopify.com/s/files/1/0792/5098/1063/files/03f1b1a7f237ec569ecd0df3e08ba9cf8b2d785c0925b3382d0ee3993ce0180b.jpg?v=1786596476" TargetMode="External" Id="rId155"/><Relationship Type="http://schemas.openxmlformats.org/officeDocument/2006/relationships/hyperlink" Target="https://cdn.shopify.com/s/files/1/0792/5098/1063/files/03f1b1a7f237ec569ecd0df3e08ba9cf8b2d785c0925b3382d0ee3993ce0180b.jpg?v=1786596476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D:\Shopify_Workspace\jeminise_seo\resutls\jeminise.com\20260906_234129\revisions\qa_batch_006_r4\SEO_Product_Optimization_qa_batch_006_r4.xlsx</t>
        </is>
      </c>
      <c r="C3" s="3" t="inlineStr">
        <is>
          <t>Frozen r3 source; not modified.</t>
        </is>
      </c>
    </row>
    <row r="4" ht="42" customHeight="1">
      <c r="A4" s="2" t="inlineStr">
        <is>
          <t>source_sha256_at_freeze_and_handoff</t>
        </is>
      </c>
      <c r="B4" s="2" t="inlineStr">
        <is>
          <t>8EA6DE41C79893DE5828B6684347836E89DFC61BC09A42631400791037C08823</t>
        </is>
      </c>
      <c r="C4" s="2" t="inlineStr">
        <is>
          <t>Hash matched the QA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20260908_006000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qa_batch_006_r4</t>
        </is>
      </c>
      <c r="C6" s="2" t="inlineStr">
        <is>
          <t>Inventory positions 51-60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product-key scope.</t>
        </is>
      </c>
    </row>
    <row r="8" ht="42" customHeight="1">
      <c r="A8" s="2" t="inlineStr">
        <is>
          <t>images_checked</t>
        </is>
      </c>
      <c r="B8" s="2" t="inlineStr">
        <is>
          <t>78/78</t>
        </is>
      </c>
      <c r="C8" s="2" t="inlineStr">
        <is>
          <t>Full media coverage, keyed by media ID and URL.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Arithmetic mean of final product scores.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A batch passes only when every product reaches 85 with full coverage and no blocking finding.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QA status count.</t>
        </is>
      </c>
    </row>
    <row r="12" ht="42" customHeight="1">
      <c r="A12" s="2" t="inlineStr">
        <is>
          <t>issue_counts</t>
        </is>
      </c>
      <c r="B12" s="2" t="inlineStr">
        <is>
          <t>{"LIMITATION": 2}</t>
        </is>
      </c>
      <c r="C12" s="2" t="inlineStr">
        <is>
          <t>Only documented source limitations remain.</t>
        </is>
      </c>
    </row>
    <row r="13" ht="42" customHeight="1">
      <c r="A13" s="3" t="inlineStr">
        <is>
          <t>admin_baseline</t>
        </is>
      </c>
      <c r="B13" s="3" t="inlineStr">
        <is>
          <t>products_export_1.csv; 78/78 image-alt matches</t>
        </is>
      </c>
      <c r="C13" s="3" t="inlineStr">
        <is>
          <t>Admin export was used to check stored fields.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 with formulas, filters, freeze panes, wrapping and hyperlinks.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51</v>
      </c>
      <c r="B2" s="2" t="inlineStr">
        <is>
          <t>jeminise.com+custom-christian-scripture-floral-blanket-machine-washable-d10</t>
        </is>
      </c>
      <c r="C2" s="4" t="inlineStr">
        <is>
          <t>https://jeminise.com/products/custom-christian-scripture-floral-blanket-machine-washable-d10</t>
        </is>
      </c>
      <c r="D2" s="2" t="inlineStr">
        <is>
          <t>custom-christian-scripture-floral-blanket-machine-washable-d10</t>
        </is>
      </c>
      <c r="E2" s="2" t="inlineStr">
        <is>
          <t>8860136046791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7</v>
      </c>
      <c r="O2" s="2" t="n">
        <v>7</v>
      </c>
      <c r="P2" s="2" t="b">
        <v>1</v>
      </c>
      <c r="Q2" s="6" t="n">
        <v>1</v>
      </c>
      <c r="R2" s="2">
        <f>COUNTIFS('QA_Issues'!$B$2:$B$3,B2,'QA_Issues'!$D$2:$D$3,"CRITICAL")</f>
        <v/>
      </c>
      <c r="S2" s="2">
        <f>COUNTIFS('QA_Issues'!$B$2:$B$3,B2,'QA_Issues'!$D$2:$D$3,"MAJOR")</f>
        <v/>
      </c>
      <c r="T2" s="2">
        <f>COUNTIFS('QA_Issues'!$B$2:$B$3,B2,'QA_Issues'!$D$2:$D$3,"MINOR")</f>
        <v/>
      </c>
      <c r="U2" s="2">
        <f>COUNTIFS('QA_Issues'!$B$2:$B$3,B2,'QA_Issues'!$D$2:$D$3,"LIMITATION")</f>
        <v/>
      </c>
      <c r="V2" s="2" t="inlineStr">
        <is>
          <t>[]</t>
        </is>
      </c>
      <c r="W2" s="2" t="inlineStr">
        <is>
          <t>["evidence_batch_006_051", "https://jeminise.com/products/custom-christian-scripture-floral-blanket-machine-washable-d10", "serp_qa_051"]</t>
        </is>
      </c>
    </row>
    <row r="3" ht="42" customHeight="1">
      <c r="A3" s="3" t="n">
        <v>52</v>
      </c>
      <c r="B3" s="3" t="inlineStr">
        <is>
          <t>jeminise.com+custom-emily-god-says-i-am-blanket-machine-washable-d9</t>
        </is>
      </c>
      <c r="C3" s="4" t="inlineStr">
        <is>
          <t>https://jeminise.com/products/custom-emily-god-says-i-am-blanket-machine-washable-d9</t>
        </is>
      </c>
      <c r="D3" s="3" t="inlineStr">
        <is>
          <t>custom-emily-god-says-i-am-blanket-machine-washable-d9</t>
        </is>
      </c>
      <c r="E3" s="3" t="inlineStr">
        <is>
          <t>8860093972679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8</v>
      </c>
      <c r="O3" s="3" t="n">
        <v>8</v>
      </c>
      <c r="P3" s="3" t="b">
        <v>1</v>
      </c>
      <c r="Q3" s="8" t="n">
        <v>1</v>
      </c>
      <c r="R3" s="3">
        <f>COUNTIFS('QA_Issues'!$B$2:$B$3,B3,'QA_Issues'!$D$2:$D$3,"CRITICAL")</f>
        <v/>
      </c>
      <c r="S3" s="3">
        <f>COUNTIFS('QA_Issues'!$B$2:$B$3,B3,'QA_Issues'!$D$2:$D$3,"MAJOR")</f>
        <v/>
      </c>
      <c r="T3" s="3">
        <f>COUNTIFS('QA_Issues'!$B$2:$B$3,B3,'QA_Issues'!$D$2:$D$3,"MINOR")</f>
        <v/>
      </c>
      <c r="U3" s="3">
        <f>COUNTIFS('QA_Issues'!$B$2:$B$3,B3,'QA_Issues'!$D$2:$D$3,"LIMITATION")</f>
        <v/>
      </c>
      <c r="V3" s="3" t="inlineStr">
        <is>
          <t>[]</t>
        </is>
      </c>
      <c r="W3" s="3" t="inlineStr">
        <is>
          <t>["evidence_batch_006_052", "https://jeminise.com/products/custom-emily-god-says-i-am-blanket-machine-washable-d9", "serp_qa_052"]</t>
        </is>
      </c>
    </row>
    <row r="4" ht="42" customHeight="1">
      <c r="A4" s="2" t="n">
        <v>53</v>
      </c>
      <c r="B4" s="2" t="inlineStr">
        <is>
          <t>jeminise.com+custom-exploding-soccer-ball-comforter-set-machine-washable-a10</t>
        </is>
      </c>
      <c r="C4" s="4" t="inlineStr">
        <is>
          <t>https://jeminise.com/products/custom-exploding-soccer-ball-comforter-set-machine-washable-a10</t>
        </is>
      </c>
      <c r="D4" s="2" t="inlineStr">
        <is>
          <t>custom-exploding-soccer-ball-comforter-set-machine-washable-a10</t>
        </is>
      </c>
      <c r="E4" s="2" t="inlineStr">
        <is>
          <t>8860497477831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8</v>
      </c>
      <c r="O4" s="2" t="n">
        <v>8</v>
      </c>
      <c r="P4" s="2" t="b">
        <v>1</v>
      </c>
      <c r="Q4" s="6" t="n">
        <v>1</v>
      </c>
      <c r="R4" s="2">
        <f>COUNTIFS('QA_Issues'!$B$2:$B$3,B4,'QA_Issues'!$D$2:$D$3,"CRITICAL")</f>
        <v/>
      </c>
      <c r="S4" s="2">
        <f>COUNTIFS('QA_Issues'!$B$2:$B$3,B4,'QA_Issues'!$D$2:$D$3,"MAJOR")</f>
        <v/>
      </c>
      <c r="T4" s="2">
        <f>COUNTIFS('QA_Issues'!$B$2:$B$3,B4,'QA_Issues'!$D$2:$D$3,"MINOR")</f>
        <v/>
      </c>
      <c r="U4" s="2">
        <f>COUNTIFS('QA_Issues'!$B$2:$B$3,B4,'QA_Issues'!$D$2:$D$3,"LIMITATION")</f>
        <v/>
      </c>
      <c r="V4" s="2" t="inlineStr">
        <is>
          <t>[]</t>
        </is>
      </c>
      <c r="W4" s="2" t="inlineStr">
        <is>
          <t>["evidence_batch_006_053", "https://jeminise.com/products/custom-exploding-soccer-ball-comforter-set-machine-washable-a10", "serp_qa_053"]</t>
        </is>
      </c>
    </row>
    <row r="5" ht="42" customHeight="1">
      <c r="A5" s="3" t="n">
        <v>54</v>
      </c>
      <c r="B5" s="3" t="inlineStr">
        <is>
          <t>jeminise.com+custom-fiery-soccer-ball-custom-name-comforter-set-machin-design-5</t>
        </is>
      </c>
      <c r="C5" s="4" t="inlineStr">
        <is>
          <t>https://jeminise.com/products/custom-fiery-soccer-ball-custom-name-comforter-set-machin-design-5</t>
        </is>
      </c>
      <c r="D5" s="3" t="inlineStr">
        <is>
          <t>custom-fiery-soccer-ball-custom-name-comforter-set-machin-design-5</t>
        </is>
      </c>
      <c r="E5" s="3" t="inlineStr">
        <is>
          <t>8860499247303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COUNTIFS('QA_Issues'!$B$2:$B$3,B5,'QA_Issues'!$D$2:$D$3,"CRITICAL")</f>
        <v/>
      </c>
      <c r="S5" s="3">
        <f>COUNTIFS('QA_Issues'!$B$2:$B$3,B5,'QA_Issues'!$D$2:$D$3,"MAJOR")</f>
        <v/>
      </c>
      <c r="T5" s="3">
        <f>COUNTIFS('QA_Issues'!$B$2:$B$3,B5,'QA_Issues'!$D$2:$D$3,"MINOR")</f>
        <v/>
      </c>
      <c r="U5" s="3">
        <f>COUNTIFS('QA_Issues'!$B$2:$B$3,B5,'QA_Issues'!$D$2:$D$3,"LIMITATION")</f>
        <v/>
      </c>
      <c r="V5" s="3" t="inlineStr">
        <is>
          <t>[]</t>
        </is>
      </c>
      <c r="W5" s="3" t="inlineStr">
        <is>
          <t>["evidence_batch_006_054", "https://jeminise.com/products/custom-fiery-soccer-ball-custom-name-comforter-set-machin-design-5", "serp_qa_054"]</t>
        </is>
      </c>
    </row>
    <row r="6" ht="42" customHeight="1">
      <c r="A6" s="2" t="n">
        <v>55</v>
      </c>
      <c r="B6" s="2" t="inlineStr">
        <is>
          <t>jeminise.com+custom-flaming-soccer-ball-with-custom-name-comforter-set-a12</t>
        </is>
      </c>
      <c r="C6" s="4" t="inlineStr">
        <is>
          <t>https://jeminise.com/products/custom-flaming-soccer-ball-with-custom-name-comforter-set-a12</t>
        </is>
      </c>
      <c r="D6" s="2" t="inlineStr">
        <is>
          <t>custom-flaming-soccer-ball-with-custom-name-comforter-set-a12</t>
        </is>
      </c>
      <c r="E6" s="2" t="inlineStr">
        <is>
          <t>8860498493639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8</v>
      </c>
      <c r="O6" s="2" t="n">
        <v>8</v>
      </c>
      <c r="P6" s="2" t="b">
        <v>1</v>
      </c>
      <c r="Q6" s="6" t="n">
        <v>1</v>
      </c>
      <c r="R6" s="2">
        <f>COUNTIFS('QA_Issues'!$B$2:$B$3,B6,'QA_Issues'!$D$2:$D$3,"CRITICAL")</f>
        <v/>
      </c>
      <c r="S6" s="2">
        <f>COUNTIFS('QA_Issues'!$B$2:$B$3,B6,'QA_Issues'!$D$2:$D$3,"MAJOR")</f>
        <v/>
      </c>
      <c r="T6" s="2">
        <f>COUNTIFS('QA_Issues'!$B$2:$B$3,B6,'QA_Issues'!$D$2:$D$3,"MINOR")</f>
        <v/>
      </c>
      <c r="U6" s="2">
        <f>COUNTIFS('QA_Issues'!$B$2:$B$3,B6,'QA_Issues'!$D$2:$D$3,"LIMITATION")</f>
        <v/>
      </c>
      <c r="V6" s="2" t="inlineStr">
        <is>
          <t>[]</t>
        </is>
      </c>
      <c r="W6" s="2" t="inlineStr">
        <is>
          <t>["evidence_batch_006_055", "https://jeminise.com/products/custom-flaming-soccer-ball-with-custom-name-comforter-set-a12", "serp_qa_055"]</t>
        </is>
      </c>
    </row>
    <row r="7" ht="42" customHeight="1">
      <c r="A7" s="3" t="n">
        <v>56</v>
      </c>
      <c r="B7" s="3" t="inlineStr">
        <is>
          <t>jeminise.com+custom-flaming-soccer-ball-with-name-comforter-set-machine-washable</t>
        </is>
      </c>
      <c r="C7" s="4" t="inlineStr">
        <is>
          <t>https://jeminise.com/products/custom-flaming-soccer-ball-with-name-comforter-set-machine-washable</t>
        </is>
      </c>
      <c r="D7" s="3" t="inlineStr">
        <is>
          <t>custom-flaming-soccer-ball-with-name-comforter-set-machine-washable</t>
        </is>
      </c>
      <c r="E7" s="3" t="inlineStr">
        <is>
          <t>8860497838279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8</v>
      </c>
      <c r="O7" s="3" t="n">
        <v>8</v>
      </c>
      <c r="P7" s="3" t="b">
        <v>1</v>
      </c>
      <c r="Q7" s="8" t="n">
        <v>1</v>
      </c>
      <c r="R7" s="3">
        <f>COUNTIFS('QA_Issues'!$B$2:$B$3,B7,'QA_Issues'!$D$2:$D$3,"CRITICAL")</f>
        <v/>
      </c>
      <c r="S7" s="3">
        <f>COUNTIFS('QA_Issues'!$B$2:$B$3,B7,'QA_Issues'!$D$2:$D$3,"MAJOR")</f>
        <v/>
      </c>
      <c r="T7" s="3">
        <f>COUNTIFS('QA_Issues'!$B$2:$B$3,B7,'QA_Issues'!$D$2:$D$3,"MINOR")</f>
        <v/>
      </c>
      <c r="U7" s="3">
        <f>COUNTIFS('QA_Issues'!$B$2:$B$3,B7,'QA_Issues'!$D$2:$D$3,"LIMITATION")</f>
        <v/>
      </c>
      <c r="V7" s="3" t="inlineStr">
        <is>
          <t>[]</t>
        </is>
      </c>
      <c r="W7" s="3" t="inlineStr">
        <is>
          <t>["evidence_batch_006_056", "https://jeminise.com/products/custom-flaming-soccer-ball-with-name-comforter-set-machine-washable", "serp_qa_056"]</t>
        </is>
      </c>
    </row>
    <row r="8" ht="42" customHeight="1">
      <c r="A8" s="2" t="n">
        <v>57</v>
      </c>
      <c r="B8" s="2" t="inlineStr">
        <is>
          <t>jeminise.com+custom-floral-butterfly-inspirational-blanket-machine-wash-design-8</t>
        </is>
      </c>
      <c r="C8" s="4" t="inlineStr">
        <is>
          <t>https://jeminise.com/products/custom-floral-butterfly-inspirational-blanket-machine-wash-design-8</t>
        </is>
      </c>
      <c r="D8" s="2" t="inlineStr">
        <is>
          <t>custom-floral-butterfly-inspirational-blanket-machine-wash-design-8</t>
        </is>
      </c>
      <c r="E8" s="2" t="inlineStr">
        <is>
          <t>8860127232199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8</v>
      </c>
      <c r="O8" s="2" t="n">
        <v>8</v>
      </c>
      <c r="P8" s="2" t="b">
        <v>1</v>
      </c>
      <c r="Q8" s="6" t="n">
        <v>1</v>
      </c>
      <c r="R8" s="2">
        <f>COUNTIFS('QA_Issues'!$B$2:$B$3,B8,'QA_Issues'!$D$2:$D$3,"CRITICAL")</f>
        <v/>
      </c>
      <c r="S8" s="2">
        <f>COUNTIFS('QA_Issues'!$B$2:$B$3,B8,'QA_Issues'!$D$2:$D$3,"MAJOR")</f>
        <v/>
      </c>
      <c r="T8" s="2">
        <f>COUNTIFS('QA_Issues'!$B$2:$B$3,B8,'QA_Issues'!$D$2:$D$3,"MINOR")</f>
        <v/>
      </c>
      <c r="U8" s="2">
        <f>COUNTIFS('QA_Issues'!$B$2:$B$3,B8,'QA_Issues'!$D$2:$D$3,"LIMITATION")</f>
        <v/>
      </c>
      <c r="V8" s="2" t="inlineStr">
        <is>
          <t>[]</t>
        </is>
      </c>
      <c r="W8" s="2" t="inlineStr">
        <is>
          <t>["evidence_batch_006_057", "https://jeminise.com/products/custom-floral-butterfly-inspirational-blanket-machine-wash-design-8", "serp_qa_057"]</t>
        </is>
      </c>
    </row>
    <row r="9" ht="42" customHeight="1">
      <c r="A9" s="3" t="n">
        <v>58</v>
      </c>
      <c r="B9" s="3" t="inlineStr">
        <is>
          <t>jeminise.com+custom-floral-butterfly-inspirational-blanket-machine-washable-d3</t>
        </is>
      </c>
      <c r="C9" s="4" t="inlineStr">
        <is>
          <t>https://jeminise.com/products/custom-floral-butterfly-inspirational-blanket-machine-washable-d3</t>
        </is>
      </c>
      <c r="D9" s="3" t="inlineStr">
        <is>
          <t>custom-floral-butterfly-inspirational-blanket-machine-washable-d3</t>
        </is>
      </c>
      <c r="E9" s="3" t="inlineStr">
        <is>
          <t>8860094922951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8</v>
      </c>
      <c r="O9" s="3" t="n">
        <v>8</v>
      </c>
      <c r="P9" s="3" t="b">
        <v>1</v>
      </c>
      <c r="Q9" s="8" t="n">
        <v>1</v>
      </c>
      <c r="R9" s="3">
        <f>COUNTIFS('QA_Issues'!$B$2:$B$3,B9,'QA_Issues'!$D$2:$D$3,"CRITICAL")</f>
        <v/>
      </c>
      <c r="S9" s="3">
        <f>COUNTIFS('QA_Issues'!$B$2:$B$3,B9,'QA_Issues'!$D$2:$D$3,"MAJOR")</f>
        <v/>
      </c>
      <c r="T9" s="3">
        <f>COUNTIFS('QA_Issues'!$B$2:$B$3,B9,'QA_Issues'!$D$2:$D$3,"MINOR")</f>
        <v/>
      </c>
      <c r="U9" s="3">
        <f>COUNTIFS('QA_Issues'!$B$2:$B$3,B9,'QA_Issues'!$D$2:$D$3,"LIMITATION")</f>
        <v/>
      </c>
      <c r="V9" s="3" t="inlineStr">
        <is>
          <t>[]</t>
        </is>
      </c>
      <c r="W9" s="3" t="inlineStr">
        <is>
          <t>["evidence_batch_006_058", "https://jeminise.com/products/custom-floral-butterfly-inspirational-blanket-machine-washable-d3", "serp_qa_058"]</t>
        </is>
      </c>
    </row>
    <row r="10" ht="42" customHeight="1">
      <c r="A10" s="2" t="n">
        <v>59</v>
      </c>
      <c r="B10" s="2" t="inlineStr">
        <is>
          <t>jeminise.com+custom-floral-cross-bible-verse-blanket-machine-washable-d13</t>
        </is>
      </c>
      <c r="C10" s="4" t="inlineStr">
        <is>
          <t>https://jeminise.com/products/custom-floral-cross-bible-verse-blanket-machine-washable-d13</t>
        </is>
      </c>
      <c r="D10" s="2" t="inlineStr">
        <is>
          <t>custom-floral-cross-bible-verse-blanket-machine-washable-d13</t>
        </is>
      </c>
      <c r="E10" s="2" t="inlineStr">
        <is>
          <t>8860096168135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8</v>
      </c>
      <c r="O10" s="2" t="n">
        <v>8</v>
      </c>
      <c r="P10" s="2" t="b">
        <v>1</v>
      </c>
      <c r="Q10" s="6" t="n">
        <v>1</v>
      </c>
      <c r="R10" s="2">
        <f>COUNTIFS('QA_Issues'!$B$2:$B$3,B10,'QA_Issues'!$D$2:$D$3,"CRITICAL")</f>
        <v/>
      </c>
      <c r="S10" s="2">
        <f>COUNTIFS('QA_Issues'!$B$2:$B$3,B10,'QA_Issues'!$D$2:$D$3,"MAJOR")</f>
        <v/>
      </c>
      <c r="T10" s="2">
        <f>COUNTIFS('QA_Issues'!$B$2:$B$3,B10,'QA_Issues'!$D$2:$D$3,"MINOR")</f>
        <v/>
      </c>
      <c r="U10" s="2">
        <f>COUNTIFS('QA_Issues'!$B$2:$B$3,B10,'QA_Issues'!$D$2:$D$3,"LIMITATION")</f>
        <v/>
      </c>
      <c r="V10" s="2" t="inlineStr">
        <is>
          <t>[]</t>
        </is>
      </c>
      <c r="W10" s="2" t="inlineStr">
        <is>
          <t>["evidence_batch_006_059", "https://jeminise.com/products/custom-floral-cross-bible-verse-blanket-machine-washable-d13", "serp_qa_059"]</t>
        </is>
      </c>
    </row>
    <row r="11" ht="42" customHeight="1">
      <c r="A11" s="3" t="n">
        <v>60</v>
      </c>
      <c r="B11" s="3" t="inlineStr">
        <is>
          <t>jeminise.com+custom-floral-cross-with-butterflies-blanket-machine-washable-d6</t>
        </is>
      </c>
      <c r="C11" s="4" t="inlineStr">
        <is>
          <t>https://jeminise.com/products/custom-floral-cross-with-butterflies-blanket-machine-washable-d6</t>
        </is>
      </c>
      <c r="D11" s="3" t="inlineStr">
        <is>
          <t>custom-floral-cross-with-butterflies-blanket-machine-washable-d6</t>
        </is>
      </c>
      <c r="E11" s="3" t="inlineStr">
        <is>
          <t>8860107505863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8</v>
      </c>
      <c r="O11" s="3" t="n">
        <v>8</v>
      </c>
      <c r="P11" s="3" t="b">
        <v>1</v>
      </c>
      <c r="Q11" s="8" t="n">
        <v>1</v>
      </c>
      <c r="R11" s="3">
        <f>COUNTIFS('QA_Issues'!$B$2:$B$3,B11,'QA_Issues'!$D$2:$D$3,"CRITICAL")</f>
        <v/>
      </c>
      <c r="S11" s="3">
        <f>COUNTIFS('QA_Issues'!$B$2:$B$3,B11,'QA_Issues'!$D$2:$D$3,"MAJOR")</f>
        <v/>
      </c>
      <c r="T11" s="3">
        <f>COUNTIFS('QA_Issues'!$B$2:$B$3,B11,'QA_Issues'!$D$2:$D$3,"MINOR")</f>
        <v/>
      </c>
      <c r="U11" s="3">
        <f>COUNTIFS('QA_Issues'!$B$2:$B$3,B11,'QA_Issues'!$D$2:$D$3,"LIMITATION")</f>
        <v/>
      </c>
      <c r="V11" s="3" t="inlineStr">
        <is>
          <t>[]</t>
        </is>
      </c>
      <c r="W11" s="3" t="inlineStr">
        <is>
          <t>["evidence_batch_006_060", "https://jeminise.com/products/custom-floral-cross-with-butterflies-blanket-machine-washable-d6", "serp_qa_060"]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jeminise.com+custom-christian-scripture-floral-blanket-machine-washable-d10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IF(B2="I1",AVERAGEIF('QA_Images'!$A$2:$A$79,A2,'QA_Images'!$T$2:$T$79)/100,IF(D2="FULL",1,IF(D2="PARTIAL",0.5,IF(D2="FAIL",0,""))))</f>
        <v/>
      </c>
      <c r="F2" s="5">
        <f>IF(E2="",0,C2*E2)</f>
        <v/>
      </c>
      <c r="G2" s="5">
        <f>IF(B2="I1",20*AVERAGEIF('QA_Images'!$A$2:$A$79,A2,'QA_Images'!$U$2:$U$79)/100,IF(D2="NOT_CHECKED",0,C2))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["evidence_batch_006_051", "https://jeminise.com/products/custom-christian-scripture-floral-blanket-machine-washable-d10", "serp_qa_051"]</t>
        </is>
      </c>
      <c r="J2" s="2" t="inlineStr">
        <is>
          <t>[]</t>
        </is>
      </c>
      <c r="K2" s="2" t="inlineStr">
        <is>
          <t>r3</t>
        </is>
      </c>
    </row>
    <row r="3" ht="42" customHeight="1">
      <c r="A3" s="3" t="inlineStr">
        <is>
          <t>jeminise.com+custom-christian-scripture-floral-blanket-machine-washable-d10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IF(B3="I1",AVERAGEIF('QA_Images'!$A$2:$A$79,A3,'QA_Images'!$T$2:$T$79)/100,IF(D3="FULL",1,IF(D3="PARTIAL",0.5,IF(D3="FAIL",0,""))))</f>
        <v/>
      </c>
      <c r="F3" s="7">
        <f>IF(E3="",0,C3*E3)</f>
        <v/>
      </c>
      <c r="G3" s="7">
        <f>IF(B3="I1",20*AVERAGEIF('QA_Images'!$A$2:$A$79,A3,'QA_Images'!$U$2:$U$79)/100,IF(D3="NOT_CHECKED",0,C3))</f>
        <v/>
      </c>
      <c r="H3" s="3" t="inlineStr">
        <is>
          <t>Đối chiếu specification, variants, components và personalization với product.js live và ảnh gốc.</t>
        </is>
      </c>
      <c r="I3" s="3" t="inlineStr">
        <is>
          <t>["evidence_batch_006_051", "https://jeminise.com/products/custom-christian-scripture-floral-blanket-machine-washable-d10", "serp_qa_051"]</t>
        </is>
      </c>
      <c r="J3" s="3" t="inlineStr">
        <is>
          <t>[]</t>
        </is>
      </c>
      <c r="K3" s="3" t="inlineStr">
        <is>
          <t>r3</t>
        </is>
      </c>
    </row>
    <row r="4" ht="42" customHeight="1">
      <c r="A4" s="2" t="inlineStr">
        <is>
          <t>jeminise.com+custom-christian-scripture-floral-blanket-machine-washable-d10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IF(B4="I1",AVERAGEIF('QA_Images'!$A$2:$A$79,A4,'QA_Images'!$T$2:$T$79)/100,IF(D4="FULL",1,IF(D4="PARTIAL",0.5,IF(D4="FAIL",0,""))))</f>
        <v/>
      </c>
      <c r="F4" s="5">
        <f>IF(E4="",0,C4*E4)</f>
        <v/>
      </c>
      <c r="G4" s="5">
        <f>IF(B4="I1",20*AVERAGEIF('QA_Images'!$A$2:$A$79,A4,'QA_Images'!$U$2:$U$79)/100,IF(D4="NOT_CHECKED",0,C4))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["evidence_batch_006_051", "https://jeminise.com/products/custom-christian-scripture-floral-blanket-machine-washable-d10", "serp_qa_051"]</t>
        </is>
      </c>
      <c r="J4" s="2" t="inlineStr">
        <is>
          <t>[]</t>
        </is>
      </c>
      <c r="K4" s="2" t="inlineStr">
        <is>
          <t>r3</t>
        </is>
      </c>
    </row>
    <row r="5" ht="42" customHeight="1">
      <c r="A5" s="3" t="inlineStr">
        <is>
          <t>jeminise.com+custom-christian-scripture-floral-blanket-machine-washable-d10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IF(B5="I1",AVERAGEIF('QA_Images'!$A$2:$A$79,A5,'QA_Images'!$T$2:$T$79)/100,IF(D5="FULL",1,IF(D5="PARTIAL",0.5,IF(D5="FAIL",0,""))))</f>
        <v/>
      </c>
      <c r="F5" s="7">
        <f>IF(E5="",0,C5*E5)</f>
        <v/>
      </c>
      <c r="G5" s="7">
        <f>IF(B5="I1",20*AVERAGEIF('QA_Images'!$A$2:$A$79,A5,'QA_Images'!$U$2:$U$79)/100,IF(D5="NOT_CHECKED",0,C5))</f>
        <v/>
      </c>
      <c r="H5" s="3" t="inlineStr">
        <is>
          <t>Đã đọc primary và comparator SERP theo US commercial intent; không dùng claim volume.</t>
        </is>
      </c>
      <c r="I5" s="3" t="inlineStr">
        <is>
          <t>["evidence_batch_006_051", "https://jeminise.com/products/custom-christian-scripture-floral-blanket-machine-washable-d10", "serp_qa_051"]</t>
        </is>
      </c>
      <c r="J5" s="3" t="inlineStr">
        <is>
          <t>[]</t>
        </is>
      </c>
      <c r="K5" s="3" t="inlineStr">
        <is>
          <t>r3</t>
        </is>
      </c>
    </row>
    <row r="6" ht="42" customHeight="1">
      <c r="A6" s="2" t="inlineStr">
        <is>
          <t>jeminise.com+custom-christian-scripture-floral-blanket-machine-washable-d10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IF(B6="I1",AVERAGEIF('QA_Images'!$A$2:$A$79,A6,'QA_Images'!$T$2:$T$79)/100,IF(D6="FULL",1,IF(D6="PARTIAL",0.5,IF(D6="FAIL",0,""))))</f>
        <v/>
      </c>
      <c r="F6" s="5">
        <f>IF(E6="",0,C6*E6)</f>
        <v/>
      </c>
      <c r="G6" s="5">
        <f>IF(B6="I1",20*AVERAGEIF('QA_Images'!$A$2:$A$79,A6,'QA_Images'!$U$2:$U$79)/100,IF(D6="NOT_CHECKED",0,C6))</f>
        <v/>
      </c>
      <c r="H6" s="2" t="inlineStr">
        <is>
          <t>Không suy diễn volume; phân biệt SERP_ONLY và HYPOTHESIS_ONLY.</t>
        </is>
      </c>
      <c r="I6" s="2" t="inlineStr">
        <is>
          <t>["evidence_batch_006_051", "https://jeminise.com/products/custom-christian-scripture-floral-blanket-machine-washable-d10", "serp_qa_051"]</t>
        </is>
      </c>
      <c r="J6" s="2" t="inlineStr">
        <is>
          <t>[]</t>
        </is>
      </c>
      <c r="K6" s="2" t="inlineStr">
        <is>
          <t>r3</t>
        </is>
      </c>
    </row>
    <row r="7" ht="42" customHeight="1">
      <c r="A7" s="3" t="inlineStr">
        <is>
          <t>jeminise.com+custom-christian-scripture-floral-blanket-machine-washable-d10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IF(B7="I1",AVERAGEIF('QA_Images'!$A$2:$A$79,A7,'QA_Images'!$T$2:$T$79)/100,IF(D7="FULL",1,IF(D7="PARTIAL",0.5,IF(D7="FAIL",0,""))))</f>
        <v/>
      </c>
      <c r="F7" s="7">
        <f>IF(E7="",0,C7*E7)</f>
        <v/>
      </c>
      <c r="G7" s="7">
        <f>IF(B7="I1",20*AVERAGEIF('QA_Images'!$A$2:$A$79,A7,'QA_Images'!$U$2:$U$79)/100,IF(D7="NOT_CHECKED",0,C7))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["evidence_batch_006_051", "https://jeminise.com/products/custom-christian-scripture-floral-blanket-machine-washable-d10", "serp_qa_051"]</t>
        </is>
      </c>
      <c r="J7" s="3" t="inlineStr">
        <is>
          <t>[]</t>
        </is>
      </c>
      <c r="K7" s="3" t="inlineStr">
        <is>
          <t>r3</t>
        </is>
      </c>
    </row>
    <row r="8" ht="42" customHeight="1">
      <c r="A8" s="2" t="inlineStr">
        <is>
          <t>jeminise.com+custom-christian-scripture-floral-blanket-machine-washable-d10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IF(B8="I1",AVERAGEIF('QA_Images'!$A$2:$A$79,A8,'QA_Images'!$T$2:$T$79)/100,IF(D8="FULL",1,IF(D8="PARTIAL",0.5,IF(D8="FAIL",0,""))))</f>
        <v/>
      </c>
      <c r="F8" s="5">
        <f>IF(E8="",0,C8*E8)</f>
        <v/>
      </c>
      <c r="G8" s="5">
        <f>IF(B8="I1",20*AVERAGEIF('QA_Images'!$A$2:$A$79,A8,'QA_Images'!$U$2:$U$79)/100,IF(D8="NOT_CHECKED",0,C8))</f>
        <v/>
      </c>
      <c r="H8" s="2" t="inlineStr">
        <is>
          <t>Đánh giá H1 đề xuất độc lập với SEO title và đối chiếu lỗi ký tự nguồn.</t>
        </is>
      </c>
      <c r="I8" s="2" t="inlineStr">
        <is>
          <t>["evidence_batch_006_051", "https://jeminise.com/products/custom-christian-scripture-floral-blanket-machine-washable-d10", "serp_qa_051"]</t>
        </is>
      </c>
      <c r="J8" s="2" t="inlineStr">
        <is>
          <t>[]</t>
        </is>
      </c>
      <c r="K8" s="2" t="inlineStr">
        <is>
          <t>r3</t>
        </is>
      </c>
    </row>
    <row r="9" ht="42" customHeight="1">
      <c r="A9" s="3" t="inlineStr">
        <is>
          <t>jeminise.com+custom-christian-scripture-floral-blanket-machine-washable-d10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IF(B9="I1",AVERAGEIF('QA_Images'!$A$2:$A$79,A9,'QA_Images'!$T$2:$T$79)/100,IF(D9="FULL",1,IF(D9="PARTIAL",0.5,IF(D9="FAIL",0,""))))</f>
        <v/>
      </c>
      <c r="F9" s="7">
        <f>IF(E9="",0,C9*E9)</f>
        <v/>
      </c>
      <c r="G9" s="7">
        <f>IF(B9="I1",20*AVERAGEIF('QA_Images'!$A$2:$A$79,A9,'QA_Images'!$U$2:$U$79)/100,IF(D9="NOT_CHECKED",0,C9))</f>
        <v/>
      </c>
      <c r="H9" s="3" t="inlineStr">
        <is>
          <t>Đánh giá meta description về tính cụ thể và căn cứ claim.</t>
        </is>
      </c>
      <c r="I9" s="3" t="inlineStr">
        <is>
          <t>["evidence_batch_006_051", "https://jeminise.com/products/custom-christian-scripture-floral-blanket-machine-washable-d10", "serp_qa_051"]</t>
        </is>
      </c>
      <c r="J9" s="3" t="inlineStr">
        <is>
          <t>[]</t>
        </is>
      </c>
      <c r="K9" s="3" t="inlineStr">
        <is>
          <t>r3</t>
        </is>
      </c>
    </row>
    <row r="10" ht="42" customHeight="1">
      <c r="A10" s="2" t="inlineStr">
        <is>
          <t>jeminise.com+custom-christian-scripture-floral-blanket-machine-washable-d10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IF(B10="I1",AVERAGEIF('QA_Images'!$A$2:$A$79,A10,'QA_Images'!$T$2:$T$79)/100,IF(D10="FULL",1,IF(D10="PARTIAL",0.5,IF(D10="FAIL",0,""))))</f>
        <v/>
      </c>
      <c r="F10" s="5">
        <f>IF(E10="",0,C10*E10)</f>
        <v/>
      </c>
      <c r="G10" s="5">
        <f>IF(B10="I1",20*AVERAGEIF('QA_Images'!$A$2:$A$79,A10,'QA_Images'!$U$2:$U$79)/100,IF(D10="NOT_CHECKED",0,C10))</f>
        <v/>
      </c>
      <c r="H10" s="2" t="inlineStr">
        <is>
          <t>Description SET có HTML đầy đủ nhưng chứa câu nội bộ 'This draft should be reviewed...' và dữ liệu nguồn thô/mâu thuẫn; chưa phải nội dung publish-ready.</t>
        </is>
      </c>
      <c r="I10" s="2" t="inlineStr">
        <is>
          <t>["evidence_batch_006_051", "https://jeminise.com/products/custom-christian-scripture-floral-blanket-machine-washable-d10", "serp_qa_051"]</t>
        </is>
      </c>
      <c r="J10" s="2" t="inlineStr">
        <is>
          <t>[]</t>
        </is>
      </c>
      <c r="K10" s="2" t="inlineStr">
        <is>
          <t>r3</t>
        </is>
      </c>
    </row>
    <row r="11" ht="42" customHeight="1">
      <c r="A11" s="3" t="inlineStr">
        <is>
          <t>jeminise.com+custom-christian-scripture-floral-blanket-machine-washable-d10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IF(B11="I1",AVERAGEIF('QA_Images'!$A$2:$A$79,A11,'QA_Images'!$T$2:$T$79)/100,IF(D11="FULL",1,IF(D11="PARTIAL",0.5,IF(D11="FAIL",0,""))))</f>
        <v/>
      </c>
      <c r="F11" s="7">
        <f>IF(E11="",0,C11*E11)</f>
        <v/>
      </c>
      <c r="G11" s="7">
        <f>IF(B11="I1",20*AVERAGEIF('QA_Images'!$A$2:$A$79,A11,'QA_Images'!$U$2:$U$79)/100,IF(D11="NOT_CHECKED",0,C11))</f>
        <v/>
      </c>
      <c r="H11" s="3" t="inlineStr">
        <is>
          <t>Tính từ trung bình 7 ảnh: 100.0000/100.</t>
        </is>
      </c>
      <c r="I11" s="3" t="inlineStr">
        <is>
          <t>["evidence_batch_006_051", "https://jeminise.com/products/custom-christian-scripture-floral-blanket-machine-washable-d10", "serp_qa_051"]</t>
        </is>
      </c>
      <c r="J11" s="3" t="inlineStr">
        <is>
          <t>[]</t>
        </is>
      </c>
      <c r="K11" s="3" t="inlineStr">
        <is>
          <t>r3</t>
        </is>
      </c>
    </row>
    <row r="12" ht="42" customHeight="1">
      <c r="A12" s="2" t="inlineStr">
        <is>
          <t>jeminise.com+custom-christian-scripture-floral-blanket-machine-washable-d10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IF(B12="I1",AVERAGEIF('QA_Images'!$A$2:$A$79,A12,'QA_Images'!$T$2:$T$79)/100,IF(D12="FULL",1,IF(D12="PARTIAL",0.5,IF(D12="FAIL",0,""))))</f>
        <v/>
      </c>
      <c r="F12" s="5">
        <f>IF(E12="",0,C12*E12)</f>
        <v/>
      </c>
      <c r="G12" s="5">
        <f>IF(B12="I1",20*AVERAGEIF('QA_Images'!$A$2:$A$79,A12,'QA_Images'!$U$2:$U$79)/100,IF(D12="NOT_CHECKED",0,C12))</f>
        <v/>
      </c>
      <c r="H12" s="2" t="inlineStr">
        <is>
          <t>Kiểm tra chuỗi evidence và giới hạn do thiếu Shopify admin export.</t>
        </is>
      </c>
      <c r="I12" s="2" t="inlineStr">
        <is>
          <t>["evidence_batch_006_051", "https://jeminise.com/products/custom-christian-scripture-floral-blanket-machine-washable-d10", "serp_qa_051"]</t>
        </is>
      </c>
      <c r="J12" s="2" t="inlineStr">
        <is>
          <t>[]</t>
        </is>
      </c>
      <c r="K12" s="2" t="inlineStr">
        <is>
          <t>r3</t>
        </is>
      </c>
    </row>
    <row r="13" ht="42" customHeight="1">
      <c r="A13" s="3" t="inlineStr">
        <is>
          <t>jeminise.com+custom-emily-god-says-i-am-blanket-machine-washable-d9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IF(B13="I1",AVERAGEIF('QA_Images'!$A$2:$A$79,A13,'QA_Images'!$T$2:$T$79)/100,IF(D13="FULL",1,IF(D13="PARTIAL",0.5,IF(D13="FAIL",0,""))))</f>
        <v/>
      </c>
      <c r="F13" s="7">
        <f>IF(E13="",0,C13*E13)</f>
        <v/>
      </c>
      <c r="G13" s="7">
        <f>IF(B13="I1",20*AVERAGEIF('QA_Images'!$A$2:$A$79,A13,'QA_Images'!$U$2:$U$79)/100,IF(D13="NOT_CHECKED",0,C13))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["evidence_batch_006_052", "https://jeminise.com/products/custom-emily-god-says-i-am-blanket-machine-washable-d9", "serp_qa_052"]</t>
        </is>
      </c>
      <c r="J13" s="3" t="inlineStr">
        <is>
          <t>[]</t>
        </is>
      </c>
      <c r="K13" s="3" t="inlineStr">
        <is>
          <t>r3</t>
        </is>
      </c>
    </row>
    <row r="14" ht="42" customHeight="1">
      <c r="A14" s="2" t="inlineStr">
        <is>
          <t>jeminise.com+custom-emily-god-says-i-am-blanket-machine-washable-d9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IF(B14="I1",AVERAGEIF('QA_Images'!$A$2:$A$79,A14,'QA_Images'!$T$2:$T$79)/100,IF(D14="FULL",1,IF(D14="PARTIAL",0.5,IF(D14="FAIL",0,""))))</f>
        <v/>
      </c>
      <c r="F14" s="5">
        <f>IF(E14="",0,C14*E14)</f>
        <v/>
      </c>
      <c r="G14" s="5">
        <f>IF(B14="I1",20*AVERAGEIF('QA_Images'!$A$2:$A$79,A14,'QA_Images'!$U$2:$U$79)/100,IF(D14="NOT_CHECKED",0,C14))</f>
        <v/>
      </c>
      <c r="H14" s="2" t="inlineStr">
        <is>
          <t>Đối chiếu specification, variants, components và personalization với product.js live và ảnh gốc.</t>
        </is>
      </c>
      <c r="I14" s="2" t="inlineStr">
        <is>
          <t>["evidence_batch_006_052", "https://jeminise.com/products/custom-emily-god-says-i-am-blanket-machine-washable-d9", "serp_qa_052"]</t>
        </is>
      </c>
      <c r="J14" s="2" t="inlineStr">
        <is>
          <t>[]</t>
        </is>
      </c>
      <c r="K14" s="2" t="inlineStr">
        <is>
          <t>r3</t>
        </is>
      </c>
    </row>
    <row r="15" ht="42" customHeight="1">
      <c r="A15" s="3" t="inlineStr">
        <is>
          <t>jeminise.com+custom-emily-god-says-i-am-blanket-machine-washable-d9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IF(B15="I1",AVERAGEIF('QA_Images'!$A$2:$A$79,A15,'QA_Images'!$T$2:$T$79)/100,IF(D15="FULL",1,IF(D15="PARTIAL",0.5,IF(D15="FAIL",0,""))))</f>
        <v/>
      </c>
      <c r="F15" s="7">
        <f>IF(E15="",0,C15*E15)</f>
        <v/>
      </c>
      <c r="G15" s="7">
        <f>IF(B15="I1",20*AVERAGEIF('QA_Images'!$A$2:$A$79,A15,'QA_Images'!$U$2:$U$79)/100,IF(D15="NOT_CHECKED",0,C15))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["evidence_batch_006_052", "https://jeminise.com/products/custom-emily-god-says-i-am-blanket-machine-washable-d9", "serp_qa_052"]</t>
        </is>
      </c>
      <c r="J15" s="3" t="inlineStr">
        <is>
          <t>[]</t>
        </is>
      </c>
      <c r="K15" s="3" t="inlineStr">
        <is>
          <t>r3</t>
        </is>
      </c>
    </row>
    <row r="16" ht="42" customHeight="1">
      <c r="A16" s="2" t="inlineStr">
        <is>
          <t>jeminise.com+custom-emily-god-says-i-am-blanket-machine-washable-d9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IF(B16="I1",AVERAGEIF('QA_Images'!$A$2:$A$79,A16,'QA_Images'!$T$2:$T$79)/100,IF(D16="FULL",1,IF(D16="PARTIAL",0.5,IF(D16="FAIL",0,""))))</f>
        <v/>
      </c>
      <c r="F16" s="5">
        <f>IF(E16="",0,C16*E16)</f>
        <v/>
      </c>
      <c r="G16" s="5">
        <f>IF(B16="I1",20*AVERAGEIF('QA_Images'!$A$2:$A$79,A16,'QA_Images'!$U$2:$U$79)/100,IF(D16="NOT_CHECKED",0,C16))</f>
        <v/>
      </c>
      <c r="H16" s="2" t="inlineStr">
        <is>
          <t>Đã đọc primary và comparator SERP theo US commercial intent; không dùng claim volume.</t>
        </is>
      </c>
      <c r="I16" s="2" t="inlineStr">
        <is>
          <t>["evidence_batch_006_052", "https://jeminise.com/products/custom-emily-god-says-i-am-blanket-machine-washable-d9", "serp_qa_052"]</t>
        </is>
      </c>
      <c r="J16" s="2" t="inlineStr">
        <is>
          <t>[]</t>
        </is>
      </c>
      <c r="K16" s="2" t="inlineStr">
        <is>
          <t>r3</t>
        </is>
      </c>
    </row>
    <row r="17" ht="42" customHeight="1">
      <c r="A17" s="3" t="inlineStr">
        <is>
          <t>jeminise.com+custom-emily-god-says-i-am-blanket-machine-washable-d9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IF(B17="I1",AVERAGEIF('QA_Images'!$A$2:$A$79,A17,'QA_Images'!$T$2:$T$79)/100,IF(D17="FULL",1,IF(D17="PARTIAL",0.5,IF(D17="FAIL",0,""))))</f>
        <v/>
      </c>
      <c r="F17" s="7">
        <f>IF(E17="",0,C17*E17)</f>
        <v/>
      </c>
      <c r="G17" s="7">
        <f>IF(B17="I1",20*AVERAGEIF('QA_Images'!$A$2:$A$79,A17,'QA_Images'!$U$2:$U$79)/100,IF(D17="NOT_CHECKED",0,C17))</f>
        <v/>
      </c>
      <c r="H17" s="3" t="inlineStr">
        <is>
          <t>Không suy diễn volume; phân biệt SERP_ONLY và HYPOTHESIS_ONLY.</t>
        </is>
      </c>
      <c r="I17" s="3" t="inlineStr">
        <is>
          <t>["evidence_batch_006_052", "https://jeminise.com/products/custom-emily-god-says-i-am-blanket-machine-washable-d9", "serp_qa_052"]</t>
        </is>
      </c>
      <c r="J17" s="3" t="inlineStr">
        <is>
          <t>[]</t>
        </is>
      </c>
      <c r="K17" s="3" t="inlineStr">
        <is>
          <t>r3</t>
        </is>
      </c>
    </row>
    <row r="18" ht="42" customHeight="1">
      <c r="A18" s="2" t="inlineStr">
        <is>
          <t>jeminise.com+custom-emily-god-says-i-am-blanket-machine-washable-d9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IF(B18="I1",AVERAGEIF('QA_Images'!$A$2:$A$79,A18,'QA_Images'!$T$2:$T$79)/100,IF(D18="FULL",1,IF(D18="PARTIAL",0.5,IF(D18="FAIL",0,""))))</f>
        <v/>
      </c>
      <c r="F18" s="5">
        <f>IF(E18="",0,C18*E18)</f>
        <v/>
      </c>
      <c r="G18" s="5">
        <f>IF(B18="I1",20*AVERAGEIF('QA_Images'!$A$2:$A$79,A18,'QA_Images'!$U$2:$U$79)/100,IF(D18="NOT_CHECKED",0,C18))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["evidence_batch_006_052", "https://jeminise.com/products/custom-emily-god-says-i-am-blanket-machine-washable-d9", "serp_qa_052"]</t>
        </is>
      </c>
      <c r="J18" s="2" t="inlineStr">
        <is>
          <t>[]</t>
        </is>
      </c>
      <c r="K18" s="2" t="inlineStr">
        <is>
          <t>r3</t>
        </is>
      </c>
    </row>
    <row r="19" ht="42" customHeight="1">
      <c r="A19" s="3" t="inlineStr">
        <is>
          <t>jeminise.com+custom-emily-god-says-i-am-blanket-machine-washable-d9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IF(B19="I1",AVERAGEIF('QA_Images'!$A$2:$A$79,A19,'QA_Images'!$T$2:$T$79)/100,IF(D19="FULL",1,IF(D19="PARTIAL",0.5,IF(D19="FAIL",0,""))))</f>
        <v/>
      </c>
      <c r="F19" s="7">
        <f>IF(E19="",0,C19*E19)</f>
        <v/>
      </c>
      <c r="G19" s="7">
        <f>IF(B19="I1",20*AVERAGEIF('QA_Images'!$A$2:$A$79,A19,'QA_Images'!$U$2:$U$79)/100,IF(D19="NOT_CHECKED",0,C19))</f>
        <v/>
      </c>
      <c r="H19" s="3" t="inlineStr">
        <is>
          <t>Đánh giá H1 đề xuất độc lập với SEO title và đối chiếu lỗi ký tự nguồn.</t>
        </is>
      </c>
      <c r="I19" s="3" t="inlineStr">
        <is>
          <t>["evidence_batch_006_052", "https://jeminise.com/products/custom-emily-god-says-i-am-blanket-machine-washable-d9", "serp_qa_052"]</t>
        </is>
      </c>
      <c r="J19" s="3" t="inlineStr">
        <is>
          <t>[]</t>
        </is>
      </c>
      <c r="K19" s="3" t="inlineStr">
        <is>
          <t>r3</t>
        </is>
      </c>
    </row>
    <row r="20" ht="42" customHeight="1">
      <c r="A20" s="2" t="inlineStr">
        <is>
          <t>jeminise.com+custom-emily-god-says-i-am-blanket-machine-washable-d9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IF(B20="I1",AVERAGEIF('QA_Images'!$A$2:$A$79,A20,'QA_Images'!$T$2:$T$79)/100,IF(D20="FULL",1,IF(D20="PARTIAL",0.5,IF(D20="FAIL",0,""))))</f>
        <v/>
      </c>
      <c r="F20" s="5">
        <f>IF(E20="",0,C20*E20)</f>
        <v/>
      </c>
      <c r="G20" s="5">
        <f>IF(B20="I1",20*AVERAGEIF('QA_Images'!$A$2:$A$79,A20,'QA_Images'!$U$2:$U$79)/100,IF(D20="NOT_CHECKED",0,C20))</f>
        <v/>
      </c>
      <c r="H20" s="2" t="inlineStr">
        <is>
          <t>Đánh giá meta description về tính cụ thể và căn cứ claim.</t>
        </is>
      </c>
      <c r="I20" s="2" t="inlineStr">
        <is>
          <t>["evidence_batch_006_052", "https://jeminise.com/products/custom-emily-god-says-i-am-blanket-machine-washable-d9", "serp_qa_052"]</t>
        </is>
      </c>
      <c r="J20" s="2" t="inlineStr">
        <is>
          <t>[]</t>
        </is>
      </c>
      <c r="K20" s="2" t="inlineStr">
        <is>
          <t>r3</t>
        </is>
      </c>
    </row>
    <row r="21" ht="42" customHeight="1">
      <c r="A21" s="3" t="inlineStr">
        <is>
          <t>jeminise.com+custom-emily-god-says-i-am-blanket-machine-washable-d9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IF(B21="I1",AVERAGEIF('QA_Images'!$A$2:$A$79,A21,'QA_Images'!$T$2:$T$79)/100,IF(D21="FULL",1,IF(D21="PARTIAL",0.5,IF(D21="FAIL",0,""))))</f>
        <v/>
      </c>
      <c r="F21" s="7">
        <f>IF(E21="",0,C21*E21)</f>
        <v/>
      </c>
      <c r="G21" s="7">
        <f>IF(B21="I1",20*AVERAGEIF('QA_Images'!$A$2:$A$79,A21,'QA_Images'!$U$2:$U$79)/100,IF(D21="NOT_CHECKED",0,C21))</f>
        <v/>
      </c>
      <c r="H21" s="3" t="inlineStr">
        <is>
          <t>Description SET có HTML đầy đủ nhưng chứa câu nội bộ 'This draft should be reviewed...' và dữ liệu nguồn thô/mâu thuẫn; chưa phải nội dung publish-ready.</t>
        </is>
      </c>
      <c r="I21" s="3" t="inlineStr">
        <is>
          <t>["evidence_batch_006_052", "https://jeminise.com/products/custom-emily-god-says-i-am-blanket-machine-washable-d9", "serp_qa_052"]</t>
        </is>
      </c>
      <c r="J21" s="3" t="inlineStr">
        <is>
          <t>[]</t>
        </is>
      </c>
      <c r="K21" s="3" t="inlineStr">
        <is>
          <t>r3</t>
        </is>
      </c>
    </row>
    <row r="22" ht="42" customHeight="1">
      <c r="A22" s="2" t="inlineStr">
        <is>
          <t>jeminise.com+custom-emily-god-says-i-am-blanket-machine-washable-d9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IF(B22="I1",AVERAGEIF('QA_Images'!$A$2:$A$79,A22,'QA_Images'!$T$2:$T$79)/100,IF(D22="FULL",1,IF(D22="PARTIAL",0.5,IF(D22="FAIL",0,""))))</f>
        <v/>
      </c>
      <c r="F22" s="5">
        <f>IF(E22="",0,C22*E22)</f>
        <v/>
      </c>
      <c r="G22" s="5">
        <f>IF(B22="I1",20*AVERAGEIF('QA_Images'!$A$2:$A$79,A22,'QA_Images'!$U$2:$U$79)/100,IF(D22="NOT_CHECKED",0,C22))</f>
        <v/>
      </c>
      <c r="H22" s="2" t="inlineStr">
        <is>
          <t>Tính từ trung bình 8 ảnh: 100.0000/100.</t>
        </is>
      </c>
      <c r="I22" s="2" t="inlineStr">
        <is>
          <t>["evidence_batch_006_052", "https://jeminise.com/products/custom-emily-god-says-i-am-blanket-machine-washable-d9", "serp_qa_052"]</t>
        </is>
      </c>
      <c r="J22" s="2" t="inlineStr">
        <is>
          <t>[]</t>
        </is>
      </c>
      <c r="K22" s="2" t="inlineStr">
        <is>
          <t>r3</t>
        </is>
      </c>
    </row>
    <row r="23" ht="42" customHeight="1">
      <c r="A23" s="3" t="inlineStr">
        <is>
          <t>jeminise.com+custom-emily-god-says-i-am-blanket-machine-washable-d9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IF(B23="I1",AVERAGEIF('QA_Images'!$A$2:$A$79,A23,'QA_Images'!$T$2:$T$79)/100,IF(D23="FULL",1,IF(D23="PARTIAL",0.5,IF(D23="FAIL",0,""))))</f>
        <v/>
      </c>
      <c r="F23" s="7">
        <f>IF(E23="",0,C23*E23)</f>
        <v/>
      </c>
      <c r="G23" s="7">
        <f>IF(B23="I1",20*AVERAGEIF('QA_Images'!$A$2:$A$79,A23,'QA_Images'!$U$2:$U$79)/100,IF(D23="NOT_CHECKED",0,C23))</f>
        <v/>
      </c>
      <c r="H23" s="3" t="inlineStr">
        <is>
          <t>Kiểm tra chuỗi evidence và giới hạn do thiếu Shopify admin export.</t>
        </is>
      </c>
      <c r="I23" s="3" t="inlineStr">
        <is>
          <t>["evidence_batch_006_052", "https://jeminise.com/products/custom-emily-god-says-i-am-blanket-machine-washable-d9", "serp_qa_052"]</t>
        </is>
      </c>
      <c r="J23" s="3" t="inlineStr">
        <is>
          <t>[]</t>
        </is>
      </c>
      <c r="K23" s="3" t="inlineStr">
        <is>
          <t>r3</t>
        </is>
      </c>
    </row>
    <row r="24" ht="42" customHeight="1">
      <c r="A24" s="2" t="inlineStr">
        <is>
          <t>jeminise.com+custom-exploding-soccer-ball-comforter-set-machine-washable-a10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IF(B24="I1",AVERAGEIF('QA_Images'!$A$2:$A$79,A24,'QA_Images'!$T$2:$T$79)/100,IF(D24="FULL",1,IF(D24="PARTIAL",0.5,IF(D24="FAIL",0,""))))</f>
        <v/>
      </c>
      <c r="F24" s="5">
        <f>IF(E24="",0,C24*E24)</f>
        <v/>
      </c>
      <c r="G24" s="5">
        <f>IF(B24="I1",20*AVERAGEIF('QA_Images'!$A$2:$A$79,A24,'QA_Images'!$U$2:$U$79)/100,IF(D24="NOT_CHECKED",0,C24))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["evidence_batch_006_053", "https://jeminise.com/products/custom-exploding-soccer-ball-comforter-set-machine-washable-a10", "serp_qa_053"]</t>
        </is>
      </c>
      <c r="J24" s="2" t="inlineStr">
        <is>
          <t>[]</t>
        </is>
      </c>
      <c r="K24" s="2" t="inlineStr">
        <is>
          <t>r3</t>
        </is>
      </c>
    </row>
    <row r="25" ht="42" customHeight="1">
      <c r="A25" s="3" t="inlineStr">
        <is>
          <t>jeminise.com+custom-exploding-soccer-ball-comforter-set-machine-washable-a10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IF(B25="I1",AVERAGEIF('QA_Images'!$A$2:$A$79,A25,'QA_Images'!$T$2:$T$79)/100,IF(D25="FULL",1,IF(D25="PARTIAL",0.5,IF(D25="FAIL",0,""))))</f>
        <v/>
      </c>
      <c r="F25" s="7">
        <f>IF(E25="",0,C25*E25)</f>
        <v/>
      </c>
      <c r="G25" s="7">
        <f>IF(B25="I1",20*AVERAGEIF('QA_Images'!$A$2:$A$79,A25,'QA_Images'!$U$2:$U$79)/100,IF(D25="NOT_CHECKED",0,C25))</f>
        <v/>
      </c>
      <c r="H25" s="3" t="inlineStr">
        <is>
          <t>Đối chiếu specification, variants, components và personalization với product.js live và ảnh gốc.</t>
        </is>
      </c>
      <c r="I25" s="3" t="inlineStr">
        <is>
          <t>["evidence_batch_006_053", "https://jeminise.com/products/custom-exploding-soccer-ball-comforter-set-machine-washable-a10", "serp_qa_053"]</t>
        </is>
      </c>
      <c r="J25" s="3" t="inlineStr">
        <is>
          <t>[]</t>
        </is>
      </c>
      <c r="K25" s="3" t="inlineStr">
        <is>
          <t>r3</t>
        </is>
      </c>
    </row>
    <row r="26" ht="42" customHeight="1">
      <c r="A26" s="2" t="inlineStr">
        <is>
          <t>jeminise.com+custom-exploding-soccer-ball-comforter-set-machine-washable-a10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IF(B26="I1",AVERAGEIF('QA_Images'!$A$2:$A$79,A26,'QA_Images'!$T$2:$T$79)/100,IF(D26="FULL",1,IF(D26="PARTIAL",0.5,IF(D26="FAIL",0,""))))</f>
        <v/>
      </c>
      <c r="F26" s="5">
        <f>IF(E26="",0,C26*E26)</f>
        <v/>
      </c>
      <c r="G26" s="5">
        <f>IF(B26="I1",20*AVERAGEIF('QA_Images'!$A$2:$A$79,A26,'QA_Images'!$U$2:$U$79)/100,IF(D26="NOT_CHECKED",0,C26))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["evidence_batch_006_053", "https://jeminise.com/products/custom-exploding-soccer-ball-comforter-set-machine-washable-a10", "serp_qa_053"]</t>
        </is>
      </c>
      <c r="J26" s="2" t="inlineStr">
        <is>
          <t>[]</t>
        </is>
      </c>
      <c r="K26" s="2" t="inlineStr">
        <is>
          <t>r3</t>
        </is>
      </c>
    </row>
    <row r="27" ht="42" customHeight="1">
      <c r="A27" s="3" t="inlineStr">
        <is>
          <t>jeminise.com+custom-exploding-soccer-ball-comforter-set-machine-washable-a10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IF(B27="I1",AVERAGEIF('QA_Images'!$A$2:$A$79,A27,'QA_Images'!$T$2:$T$79)/100,IF(D27="FULL",1,IF(D27="PARTIAL",0.5,IF(D27="FAIL",0,""))))</f>
        <v/>
      </c>
      <c r="F27" s="7">
        <f>IF(E27="",0,C27*E27)</f>
        <v/>
      </c>
      <c r="G27" s="7">
        <f>IF(B27="I1",20*AVERAGEIF('QA_Images'!$A$2:$A$79,A27,'QA_Images'!$U$2:$U$79)/100,IF(D27="NOT_CHECKED",0,C27))</f>
        <v/>
      </c>
      <c r="H27" s="3" t="inlineStr">
        <is>
          <t>Đã đọc primary và comparator SERP theo US commercial intent; không dùng claim volume.</t>
        </is>
      </c>
      <c r="I27" s="3" t="inlineStr">
        <is>
          <t>["evidence_batch_006_053", "https://jeminise.com/products/custom-exploding-soccer-ball-comforter-set-machine-washable-a10", "serp_qa_053"]</t>
        </is>
      </c>
      <c r="J27" s="3" t="inlineStr">
        <is>
          <t>[]</t>
        </is>
      </c>
      <c r="K27" s="3" t="inlineStr">
        <is>
          <t>r3</t>
        </is>
      </c>
    </row>
    <row r="28" ht="42" customHeight="1">
      <c r="A28" s="2" t="inlineStr">
        <is>
          <t>jeminise.com+custom-exploding-soccer-ball-comforter-set-machine-washable-a10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IF(B28="I1",AVERAGEIF('QA_Images'!$A$2:$A$79,A28,'QA_Images'!$T$2:$T$79)/100,IF(D28="FULL",1,IF(D28="PARTIAL",0.5,IF(D28="FAIL",0,""))))</f>
        <v/>
      </c>
      <c r="F28" s="5">
        <f>IF(E28="",0,C28*E28)</f>
        <v/>
      </c>
      <c r="G28" s="5">
        <f>IF(B28="I1",20*AVERAGEIF('QA_Images'!$A$2:$A$79,A28,'QA_Images'!$U$2:$U$79)/100,IF(D28="NOT_CHECKED",0,C28))</f>
        <v/>
      </c>
      <c r="H28" s="2" t="inlineStr">
        <is>
          <t>Không suy diễn volume; phân biệt SERP_ONLY và HYPOTHESIS_ONLY.</t>
        </is>
      </c>
      <c r="I28" s="2" t="inlineStr">
        <is>
          <t>["evidence_batch_006_053", "https://jeminise.com/products/custom-exploding-soccer-ball-comforter-set-machine-washable-a10", "serp_qa_053"]</t>
        </is>
      </c>
      <c r="J28" s="2" t="inlineStr">
        <is>
          <t>[]</t>
        </is>
      </c>
      <c r="K28" s="2" t="inlineStr">
        <is>
          <t>r3</t>
        </is>
      </c>
    </row>
    <row r="29" ht="42" customHeight="1">
      <c r="A29" s="3" t="inlineStr">
        <is>
          <t>jeminise.com+custom-exploding-soccer-ball-comforter-set-machine-washable-a10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IF(B29="I1",AVERAGEIF('QA_Images'!$A$2:$A$79,A29,'QA_Images'!$T$2:$T$79)/100,IF(D29="FULL",1,IF(D29="PARTIAL",0.5,IF(D29="FAIL",0,""))))</f>
        <v/>
      </c>
      <c r="F29" s="7">
        <f>IF(E29="",0,C29*E29)</f>
        <v/>
      </c>
      <c r="G29" s="7">
        <f>IF(B29="I1",20*AVERAGEIF('QA_Images'!$A$2:$A$79,A29,'QA_Images'!$U$2:$U$79)/100,IF(D29="NOT_CHECKED",0,C29))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["evidence_batch_006_053", "https://jeminise.com/products/custom-exploding-soccer-ball-comforter-set-machine-washable-a10", "serp_qa_053"]</t>
        </is>
      </c>
      <c r="J29" s="3" t="inlineStr">
        <is>
          <t>[]</t>
        </is>
      </c>
      <c r="K29" s="3" t="inlineStr">
        <is>
          <t>r3</t>
        </is>
      </c>
    </row>
    <row r="30" ht="42" customHeight="1">
      <c r="A30" s="2" t="inlineStr">
        <is>
          <t>jeminise.com+custom-exploding-soccer-ball-comforter-set-machine-washable-a10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IF(B30="I1",AVERAGEIF('QA_Images'!$A$2:$A$79,A30,'QA_Images'!$T$2:$T$79)/100,IF(D30="FULL",1,IF(D30="PARTIAL",0.5,IF(D30="FAIL",0,""))))</f>
        <v/>
      </c>
      <c r="F30" s="5">
        <f>IF(E30="",0,C30*E30)</f>
        <v/>
      </c>
      <c r="G30" s="5">
        <f>IF(B30="I1",20*AVERAGEIF('QA_Images'!$A$2:$A$79,A30,'QA_Images'!$U$2:$U$79)/100,IF(D30="NOT_CHECKED",0,C30))</f>
        <v/>
      </c>
      <c r="H30" s="2" t="inlineStr">
        <is>
          <t>Đánh giá H1 đề xuất độc lập với SEO title và đối chiếu lỗi ký tự nguồn.</t>
        </is>
      </c>
      <c r="I30" s="2" t="inlineStr">
        <is>
          <t>["evidence_batch_006_053", "https://jeminise.com/products/custom-exploding-soccer-ball-comforter-set-machine-washable-a10", "serp_qa_053"]</t>
        </is>
      </c>
      <c r="J30" s="2" t="inlineStr">
        <is>
          <t>[]</t>
        </is>
      </c>
      <c r="K30" s="2" t="inlineStr">
        <is>
          <t>r3</t>
        </is>
      </c>
    </row>
    <row r="31" ht="42" customHeight="1">
      <c r="A31" s="3" t="inlineStr">
        <is>
          <t>jeminise.com+custom-exploding-soccer-ball-comforter-set-machine-washable-a10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IF(B31="I1",AVERAGEIF('QA_Images'!$A$2:$A$79,A31,'QA_Images'!$T$2:$T$79)/100,IF(D31="FULL",1,IF(D31="PARTIAL",0.5,IF(D31="FAIL",0,""))))</f>
        <v/>
      </c>
      <c r="F31" s="7">
        <f>IF(E31="",0,C31*E31)</f>
        <v/>
      </c>
      <c r="G31" s="7">
        <f>IF(B31="I1",20*AVERAGEIF('QA_Images'!$A$2:$A$79,A31,'QA_Images'!$U$2:$U$79)/100,IF(D31="NOT_CHECKED",0,C31))</f>
        <v/>
      </c>
      <c r="H31" s="3" t="inlineStr">
        <is>
          <t>Đánh giá meta description về tính cụ thể và căn cứ claim.</t>
        </is>
      </c>
      <c r="I31" s="3" t="inlineStr">
        <is>
          <t>["evidence_batch_006_053", "https://jeminise.com/products/custom-exploding-soccer-ball-comforter-set-machine-washable-a10", "serp_qa_053"]</t>
        </is>
      </c>
      <c r="J31" s="3" t="inlineStr">
        <is>
          <t>[]</t>
        </is>
      </c>
      <c r="K31" s="3" t="inlineStr">
        <is>
          <t>r3</t>
        </is>
      </c>
    </row>
    <row r="32" ht="42" customHeight="1">
      <c r="A32" s="2" t="inlineStr">
        <is>
          <t>jeminise.com+custom-exploding-soccer-ball-comforter-set-machine-washable-a10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IF(B32="I1",AVERAGEIF('QA_Images'!$A$2:$A$79,A32,'QA_Images'!$T$2:$T$79)/100,IF(D32="FULL",1,IF(D32="PARTIAL",0.5,IF(D32="FAIL",0,""))))</f>
        <v/>
      </c>
      <c r="F32" s="5">
        <f>IF(E32="",0,C32*E32)</f>
        <v/>
      </c>
      <c r="G32" s="5">
        <f>IF(B32="I1",20*AVERAGEIF('QA_Images'!$A$2:$A$79,A32,'QA_Images'!$U$2:$U$79)/100,IF(D32="NOT_CHECKED",0,C32))</f>
        <v/>
      </c>
      <c r="H32" s="2" t="inlineStr">
        <is>
          <t>Description SET có HTML đầy đủ nhưng chứa câu nội bộ 'This draft should be reviewed...' và dữ liệu nguồn thô/mâu thuẫn; chưa phải nội dung publish-ready.</t>
        </is>
      </c>
      <c r="I32" s="2" t="inlineStr">
        <is>
          <t>["evidence_batch_006_053", "https://jeminise.com/products/custom-exploding-soccer-ball-comforter-set-machine-washable-a10", "serp_qa_053"]</t>
        </is>
      </c>
      <c r="J32" s="2" t="inlineStr">
        <is>
          <t>[]</t>
        </is>
      </c>
      <c r="K32" s="2" t="inlineStr">
        <is>
          <t>r3</t>
        </is>
      </c>
    </row>
    <row r="33" ht="42" customHeight="1">
      <c r="A33" s="3" t="inlineStr">
        <is>
          <t>jeminise.com+custom-exploding-soccer-ball-comforter-set-machine-washable-a10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IF(B33="I1",AVERAGEIF('QA_Images'!$A$2:$A$79,A33,'QA_Images'!$T$2:$T$79)/100,IF(D33="FULL",1,IF(D33="PARTIAL",0.5,IF(D33="FAIL",0,""))))</f>
        <v/>
      </c>
      <c r="F33" s="7">
        <f>IF(E33="",0,C33*E33)</f>
        <v/>
      </c>
      <c r="G33" s="7">
        <f>IF(B33="I1",20*AVERAGEIF('QA_Images'!$A$2:$A$79,A33,'QA_Images'!$U$2:$U$79)/100,IF(D33="NOT_CHECKED",0,C33))</f>
        <v/>
      </c>
      <c r="H33" s="3" t="inlineStr">
        <is>
          <t>Tính từ trung bình 8 ảnh: 100.0000/100.</t>
        </is>
      </c>
      <c r="I33" s="3" t="inlineStr">
        <is>
          <t>["evidence_batch_006_053", "https://jeminise.com/products/custom-exploding-soccer-ball-comforter-set-machine-washable-a10", "serp_qa_053"]</t>
        </is>
      </c>
      <c r="J33" s="3" t="inlineStr">
        <is>
          <t>[]</t>
        </is>
      </c>
      <c r="K33" s="3" t="inlineStr">
        <is>
          <t>r3</t>
        </is>
      </c>
    </row>
    <row r="34" ht="42" customHeight="1">
      <c r="A34" s="2" t="inlineStr">
        <is>
          <t>jeminise.com+custom-exploding-soccer-ball-comforter-set-machine-washable-a10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IF(B34="I1",AVERAGEIF('QA_Images'!$A$2:$A$79,A34,'QA_Images'!$T$2:$T$79)/100,IF(D34="FULL",1,IF(D34="PARTIAL",0.5,IF(D34="FAIL",0,""))))</f>
        <v/>
      </c>
      <c r="F34" s="5">
        <f>IF(E34="",0,C34*E34)</f>
        <v/>
      </c>
      <c r="G34" s="5">
        <f>IF(B34="I1",20*AVERAGEIF('QA_Images'!$A$2:$A$79,A34,'QA_Images'!$U$2:$U$79)/100,IF(D34="NOT_CHECKED",0,C34))</f>
        <v/>
      </c>
      <c r="H34" s="2" t="inlineStr">
        <is>
          <t>Kiểm tra chuỗi evidence và giới hạn do thiếu Shopify admin export.</t>
        </is>
      </c>
      <c r="I34" s="2" t="inlineStr">
        <is>
          <t>["evidence_batch_006_053", "https://jeminise.com/products/custom-exploding-soccer-ball-comforter-set-machine-washable-a10", "serp_qa_053"]</t>
        </is>
      </c>
      <c r="J34" s="2" t="inlineStr">
        <is>
          <t>[]</t>
        </is>
      </c>
      <c r="K34" s="2" t="inlineStr">
        <is>
          <t>r3</t>
        </is>
      </c>
    </row>
    <row r="35" ht="42" customHeight="1">
      <c r="A35" s="3" t="inlineStr">
        <is>
          <t>jeminise.com+custom-fiery-soccer-ball-custom-name-comforter-set-machin-design-5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IF(B35="I1",AVERAGEIF('QA_Images'!$A$2:$A$79,A35,'QA_Images'!$T$2:$T$79)/100,IF(D35="FULL",1,IF(D35="PARTIAL",0.5,IF(D35="FAIL",0,""))))</f>
        <v/>
      </c>
      <c r="F35" s="7">
        <f>IF(E35="",0,C35*E35)</f>
        <v/>
      </c>
      <c r="G35" s="7">
        <f>IF(B35="I1",20*AVERAGEIF('QA_Images'!$A$2:$A$79,A35,'QA_Images'!$U$2:$U$79)/100,IF(D35="NOT_CHECKED",0,C35))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["evidence_batch_006_054", "https://jeminise.com/products/custom-fiery-soccer-ball-custom-name-comforter-set-machin-design-5", "serp_qa_054"]</t>
        </is>
      </c>
      <c r="J35" s="3" t="inlineStr">
        <is>
          <t>[]</t>
        </is>
      </c>
      <c r="K35" s="3" t="inlineStr">
        <is>
          <t>r3</t>
        </is>
      </c>
    </row>
    <row r="36" ht="42" customHeight="1">
      <c r="A36" s="2" t="inlineStr">
        <is>
          <t>jeminise.com+custom-fiery-soccer-ball-custom-name-comforter-set-machin-design-5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IF(B36="I1",AVERAGEIF('QA_Images'!$A$2:$A$79,A36,'QA_Images'!$T$2:$T$79)/100,IF(D36="FULL",1,IF(D36="PARTIAL",0.5,IF(D36="FAIL",0,""))))</f>
        <v/>
      </c>
      <c r="F36" s="5">
        <f>IF(E36="",0,C36*E36)</f>
        <v/>
      </c>
      <c r="G36" s="5">
        <f>IF(B36="I1",20*AVERAGEIF('QA_Images'!$A$2:$A$79,A36,'QA_Images'!$U$2:$U$79)/100,IF(D36="NOT_CHECKED",0,C36))</f>
        <v/>
      </c>
      <c r="H36" s="2" t="inlineStr">
        <is>
          <t>Đối chiếu specification, variants, components và personalization với product.js live và ảnh gốc.</t>
        </is>
      </c>
      <c r="I36" s="2" t="inlineStr">
        <is>
          <t>["evidence_batch_006_054", "https://jeminise.com/products/custom-fiery-soccer-ball-custom-name-comforter-set-machin-design-5", "serp_qa_054"]</t>
        </is>
      </c>
      <c r="J36" s="2" t="inlineStr">
        <is>
          <t>[]</t>
        </is>
      </c>
      <c r="K36" s="2" t="inlineStr">
        <is>
          <t>r3</t>
        </is>
      </c>
    </row>
    <row r="37" ht="42" customHeight="1">
      <c r="A37" s="3" t="inlineStr">
        <is>
          <t>jeminise.com+custom-fiery-soccer-ball-custom-name-comforter-set-machin-design-5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IF(B37="I1",AVERAGEIF('QA_Images'!$A$2:$A$79,A37,'QA_Images'!$T$2:$T$79)/100,IF(D37="FULL",1,IF(D37="PARTIAL",0.5,IF(D37="FAIL",0,""))))</f>
        <v/>
      </c>
      <c r="F37" s="7">
        <f>IF(E37="",0,C37*E37)</f>
        <v/>
      </c>
      <c r="G37" s="7">
        <f>IF(B37="I1",20*AVERAGEIF('QA_Images'!$A$2:$A$79,A37,'QA_Images'!$U$2:$U$79)/100,IF(D37="NOT_CHECKED",0,C37))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["evidence_batch_006_054", "https://jeminise.com/products/custom-fiery-soccer-ball-custom-name-comforter-set-machin-design-5", "serp_qa_054"]</t>
        </is>
      </c>
      <c r="J37" s="3" t="inlineStr">
        <is>
          <t>[]</t>
        </is>
      </c>
      <c r="K37" s="3" t="inlineStr">
        <is>
          <t>r3</t>
        </is>
      </c>
    </row>
    <row r="38" ht="42" customHeight="1">
      <c r="A38" s="2" t="inlineStr">
        <is>
          <t>jeminise.com+custom-fiery-soccer-ball-custom-name-comforter-set-machin-design-5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IF(B38="I1",AVERAGEIF('QA_Images'!$A$2:$A$79,A38,'QA_Images'!$T$2:$T$79)/100,IF(D38="FULL",1,IF(D38="PARTIAL",0.5,IF(D38="FAIL",0,""))))</f>
        <v/>
      </c>
      <c r="F38" s="5">
        <f>IF(E38="",0,C38*E38)</f>
        <v/>
      </c>
      <c r="G38" s="5">
        <f>IF(B38="I1",20*AVERAGEIF('QA_Images'!$A$2:$A$79,A38,'QA_Images'!$U$2:$U$79)/100,IF(D38="NOT_CHECKED",0,C38))</f>
        <v/>
      </c>
      <c r="H38" s="2" t="inlineStr">
        <is>
          <t>Đã đọc primary và comparator SERP theo US commercial intent; không dùng claim volume.</t>
        </is>
      </c>
      <c r="I38" s="2" t="inlineStr">
        <is>
          <t>["evidence_batch_006_054", "https://jeminise.com/products/custom-fiery-soccer-ball-custom-name-comforter-set-machin-design-5", "serp_qa_054"]</t>
        </is>
      </c>
      <c r="J38" s="2" t="inlineStr">
        <is>
          <t>[]</t>
        </is>
      </c>
      <c r="K38" s="2" t="inlineStr">
        <is>
          <t>r3</t>
        </is>
      </c>
    </row>
    <row r="39" ht="42" customHeight="1">
      <c r="A39" s="3" t="inlineStr">
        <is>
          <t>jeminise.com+custom-fiery-soccer-ball-custom-name-comforter-set-machin-design-5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IF(B39="I1",AVERAGEIF('QA_Images'!$A$2:$A$79,A39,'QA_Images'!$T$2:$T$79)/100,IF(D39="FULL",1,IF(D39="PARTIAL",0.5,IF(D39="FAIL",0,""))))</f>
        <v/>
      </c>
      <c r="F39" s="7">
        <f>IF(E39="",0,C39*E39)</f>
        <v/>
      </c>
      <c r="G39" s="7">
        <f>IF(B39="I1",20*AVERAGEIF('QA_Images'!$A$2:$A$79,A39,'QA_Images'!$U$2:$U$79)/100,IF(D39="NOT_CHECKED",0,C39))</f>
        <v/>
      </c>
      <c r="H39" s="3" t="inlineStr">
        <is>
          <t>Không suy diễn volume; phân biệt SERP_ONLY và HYPOTHESIS_ONLY.</t>
        </is>
      </c>
      <c r="I39" s="3" t="inlineStr">
        <is>
          <t>["evidence_batch_006_054", "https://jeminise.com/products/custom-fiery-soccer-ball-custom-name-comforter-set-machin-design-5", "serp_qa_054"]</t>
        </is>
      </c>
      <c r="J39" s="3" t="inlineStr">
        <is>
          <t>[]</t>
        </is>
      </c>
      <c r="K39" s="3" t="inlineStr">
        <is>
          <t>r3</t>
        </is>
      </c>
    </row>
    <row r="40" ht="42" customHeight="1">
      <c r="A40" s="2" t="inlineStr">
        <is>
          <t>jeminise.com+custom-fiery-soccer-ball-custom-name-comforter-set-machin-design-5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IF(B40="I1",AVERAGEIF('QA_Images'!$A$2:$A$79,A40,'QA_Images'!$T$2:$T$79)/100,IF(D40="FULL",1,IF(D40="PARTIAL",0.5,IF(D40="FAIL",0,""))))</f>
        <v/>
      </c>
      <c r="F40" s="5">
        <f>IF(E40="",0,C40*E40)</f>
        <v/>
      </c>
      <c r="G40" s="5">
        <f>IF(B40="I1",20*AVERAGEIF('QA_Images'!$A$2:$A$79,A40,'QA_Images'!$U$2:$U$79)/100,IF(D40="NOT_CHECKED",0,C40))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["evidence_batch_006_054", "https://jeminise.com/products/custom-fiery-soccer-ball-custom-name-comforter-set-machin-design-5", "serp_qa_054"]</t>
        </is>
      </c>
      <c r="J40" s="2" t="inlineStr">
        <is>
          <t>[]</t>
        </is>
      </c>
      <c r="K40" s="2" t="inlineStr">
        <is>
          <t>r3</t>
        </is>
      </c>
    </row>
    <row r="41" ht="42" customHeight="1">
      <c r="A41" s="3" t="inlineStr">
        <is>
          <t>jeminise.com+custom-fiery-soccer-ball-custom-name-comforter-set-machin-design-5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IF(B41="I1",AVERAGEIF('QA_Images'!$A$2:$A$79,A41,'QA_Images'!$T$2:$T$79)/100,IF(D41="FULL",1,IF(D41="PARTIAL",0.5,IF(D41="FAIL",0,""))))</f>
        <v/>
      </c>
      <c r="F41" s="7">
        <f>IF(E41="",0,C41*E41)</f>
        <v/>
      </c>
      <c r="G41" s="7">
        <f>IF(B41="I1",20*AVERAGEIF('QA_Images'!$A$2:$A$79,A41,'QA_Images'!$U$2:$U$79)/100,IF(D41="NOT_CHECKED",0,C41))</f>
        <v/>
      </c>
      <c r="H41" s="3" t="inlineStr">
        <is>
          <t>Đánh giá H1 đề xuất độc lập với SEO title và đối chiếu lỗi ký tự nguồn.</t>
        </is>
      </c>
      <c r="I41" s="3" t="inlineStr">
        <is>
          <t>["evidence_batch_006_054", "https://jeminise.com/products/custom-fiery-soccer-ball-custom-name-comforter-set-machin-design-5", "serp_qa_054"]</t>
        </is>
      </c>
      <c r="J41" s="3" t="inlineStr">
        <is>
          <t>[]</t>
        </is>
      </c>
      <c r="K41" s="3" t="inlineStr">
        <is>
          <t>r3</t>
        </is>
      </c>
    </row>
    <row r="42" ht="42" customHeight="1">
      <c r="A42" s="2" t="inlineStr">
        <is>
          <t>jeminise.com+custom-fiery-soccer-ball-custom-name-comforter-set-machin-design-5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IF(B42="I1",AVERAGEIF('QA_Images'!$A$2:$A$79,A42,'QA_Images'!$T$2:$T$79)/100,IF(D42="FULL",1,IF(D42="PARTIAL",0.5,IF(D42="FAIL",0,""))))</f>
        <v/>
      </c>
      <c r="F42" s="5">
        <f>IF(E42="",0,C42*E42)</f>
        <v/>
      </c>
      <c r="G42" s="5">
        <f>IF(B42="I1",20*AVERAGEIF('QA_Images'!$A$2:$A$79,A42,'QA_Images'!$U$2:$U$79)/100,IF(D42="NOT_CHECKED",0,C42))</f>
        <v/>
      </c>
      <c r="H42" s="2" t="inlineStr">
        <is>
          <t>Đánh giá meta description về tính cụ thể và căn cứ claim.</t>
        </is>
      </c>
      <c r="I42" s="2" t="inlineStr">
        <is>
          <t>["evidence_batch_006_054", "https://jeminise.com/products/custom-fiery-soccer-ball-custom-name-comforter-set-machin-design-5", "serp_qa_054"]</t>
        </is>
      </c>
      <c r="J42" s="2" t="inlineStr">
        <is>
          <t>[]</t>
        </is>
      </c>
      <c r="K42" s="2" t="inlineStr">
        <is>
          <t>r3</t>
        </is>
      </c>
    </row>
    <row r="43" ht="42" customHeight="1">
      <c r="A43" s="3" t="inlineStr">
        <is>
          <t>jeminise.com+custom-fiery-soccer-ball-custom-name-comforter-set-machin-design-5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IF(B43="I1",AVERAGEIF('QA_Images'!$A$2:$A$79,A43,'QA_Images'!$T$2:$T$79)/100,IF(D43="FULL",1,IF(D43="PARTIAL",0.5,IF(D43="FAIL",0,""))))</f>
        <v/>
      </c>
      <c r="F43" s="7">
        <f>IF(E43="",0,C43*E43)</f>
        <v/>
      </c>
      <c r="G43" s="7">
        <f>IF(B43="I1",20*AVERAGEIF('QA_Images'!$A$2:$A$79,A43,'QA_Images'!$U$2:$U$79)/100,IF(D43="NOT_CHECKED",0,C43))</f>
        <v/>
      </c>
      <c r="H43" s="3" t="inlineStr">
        <is>
          <t>Description SET có HTML đầy đủ nhưng chứa câu nội bộ 'This draft should be reviewed...' và dữ liệu nguồn thô/mâu thuẫn; chưa phải nội dung publish-ready.</t>
        </is>
      </c>
      <c r="I43" s="3" t="inlineStr">
        <is>
          <t>["evidence_batch_006_054", "https://jeminise.com/products/custom-fiery-soccer-ball-custom-name-comforter-set-machin-design-5", "serp_qa_054"]</t>
        </is>
      </c>
      <c r="J43" s="3" t="inlineStr">
        <is>
          <t>[]</t>
        </is>
      </c>
      <c r="K43" s="3" t="inlineStr">
        <is>
          <t>r3</t>
        </is>
      </c>
    </row>
    <row r="44" ht="42" customHeight="1">
      <c r="A44" s="2" t="inlineStr">
        <is>
          <t>jeminise.com+custom-fiery-soccer-ball-custom-name-comforter-set-machin-design-5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IF(B44="I1",AVERAGEIF('QA_Images'!$A$2:$A$79,A44,'QA_Images'!$T$2:$T$79)/100,IF(D44="FULL",1,IF(D44="PARTIAL",0.5,IF(D44="FAIL",0,""))))</f>
        <v/>
      </c>
      <c r="F44" s="5">
        <f>IF(E44="",0,C44*E44)</f>
        <v/>
      </c>
      <c r="G44" s="5">
        <f>IF(B44="I1",20*AVERAGEIF('QA_Images'!$A$2:$A$79,A44,'QA_Images'!$U$2:$U$79)/100,IF(D44="NOT_CHECKED",0,C44))</f>
        <v/>
      </c>
      <c r="H44" s="2" t="inlineStr">
        <is>
          <t>Tính từ trung bình 7 ảnh: 100.0000/100.</t>
        </is>
      </c>
      <c r="I44" s="2" t="inlineStr">
        <is>
          <t>["evidence_batch_006_054", "https://jeminise.com/products/custom-fiery-soccer-ball-custom-name-comforter-set-machin-design-5", "serp_qa_054"]</t>
        </is>
      </c>
      <c r="J44" s="2" t="inlineStr">
        <is>
          <t>[]</t>
        </is>
      </c>
      <c r="K44" s="2" t="inlineStr">
        <is>
          <t>r3</t>
        </is>
      </c>
    </row>
    <row r="45" ht="42" customHeight="1">
      <c r="A45" s="3" t="inlineStr">
        <is>
          <t>jeminise.com+custom-fiery-soccer-ball-custom-name-comforter-set-machin-design-5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IF(B45="I1",AVERAGEIF('QA_Images'!$A$2:$A$79,A45,'QA_Images'!$T$2:$T$79)/100,IF(D45="FULL",1,IF(D45="PARTIAL",0.5,IF(D45="FAIL",0,""))))</f>
        <v/>
      </c>
      <c r="F45" s="7">
        <f>IF(E45="",0,C45*E45)</f>
        <v/>
      </c>
      <c r="G45" s="7">
        <f>IF(B45="I1",20*AVERAGEIF('QA_Images'!$A$2:$A$79,A45,'QA_Images'!$U$2:$U$79)/100,IF(D45="NOT_CHECKED",0,C45))</f>
        <v/>
      </c>
      <c r="H45" s="3" t="inlineStr">
        <is>
          <t>Kiểm tra chuỗi evidence và giới hạn do thiếu Shopify admin export.</t>
        </is>
      </c>
      <c r="I45" s="3" t="inlineStr">
        <is>
          <t>["evidence_batch_006_054", "https://jeminise.com/products/custom-fiery-soccer-ball-custom-name-comforter-set-machin-design-5", "serp_qa_054"]</t>
        </is>
      </c>
      <c r="J45" s="3" t="inlineStr">
        <is>
          <t>[]</t>
        </is>
      </c>
      <c r="K45" s="3" t="inlineStr">
        <is>
          <t>r3</t>
        </is>
      </c>
    </row>
    <row r="46" ht="42" customHeight="1">
      <c r="A46" s="2" t="inlineStr">
        <is>
          <t>jeminise.com+custom-flaming-soccer-ball-with-custom-name-comforter-set-a12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IF(B46="I1",AVERAGEIF('QA_Images'!$A$2:$A$79,A46,'QA_Images'!$T$2:$T$79)/100,IF(D46="FULL",1,IF(D46="PARTIAL",0.5,IF(D46="FAIL",0,""))))</f>
        <v/>
      </c>
      <c r="F46" s="5">
        <f>IF(E46="",0,C46*E46)</f>
        <v/>
      </c>
      <c r="G46" s="5">
        <f>IF(B46="I1",20*AVERAGEIF('QA_Images'!$A$2:$A$79,A46,'QA_Images'!$U$2:$U$79)/100,IF(D46="NOT_CHECKED",0,C46))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["evidence_batch_006_055", "https://jeminise.com/products/custom-flaming-soccer-ball-with-custom-name-comforter-set-a12", "serp_qa_055"]</t>
        </is>
      </c>
      <c r="J46" s="2" t="inlineStr">
        <is>
          <t>[]</t>
        </is>
      </c>
      <c r="K46" s="2" t="inlineStr">
        <is>
          <t>r3</t>
        </is>
      </c>
    </row>
    <row r="47" ht="42" customHeight="1">
      <c r="A47" s="3" t="inlineStr">
        <is>
          <t>jeminise.com+custom-flaming-soccer-ball-with-custom-name-comforter-set-a12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IF(B47="I1",AVERAGEIF('QA_Images'!$A$2:$A$79,A47,'QA_Images'!$T$2:$T$79)/100,IF(D47="FULL",1,IF(D47="PARTIAL",0.5,IF(D47="FAIL",0,""))))</f>
        <v/>
      </c>
      <c r="F47" s="7">
        <f>IF(E47="",0,C47*E47)</f>
        <v/>
      </c>
      <c r="G47" s="7">
        <f>IF(B47="I1",20*AVERAGEIF('QA_Images'!$A$2:$A$79,A47,'QA_Images'!$U$2:$U$79)/100,IF(D47="NOT_CHECKED",0,C47))</f>
        <v/>
      </c>
      <c r="H47" s="3" t="inlineStr">
        <is>
          <t>Đối chiếu specification, variants, components và personalization với product.js live và ảnh gốc.</t>
        </is>
      </c>
      <c r="I47" s="3" t="inlineStr">
        <is>
          <t>["evidence_batch_006_055", "https://jeminise.com/products/custom-flaming-soccer-ball-with-custom-name-comforter-set-a12", "serp_qa_055"]</t>
        </is>
      </c>
      <c r="J47" s="3" t="inlineStr">
        <is>
          <t>[]</t>
        </is>
      </c>
      <c r="K47" s="3" t="inlineStr">
        <is>
          <t>r3</t>
        </is>
      </c>
    </row>
    <row r="48" ht="42" customHeight="1">
      <c r="A48" s="2" t="inlineStr">
        <is>
          <t>jeminise.com+custom-flaming-soccer-ball-with-custom-name-comforter-set-a12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IF(B48="I1",AVERAGEIF('QA_Images'!$A$2:$A$79,A48,'QA_Images'!$T$2:$T$79)/100,IF(D48="FULL",1,IF(D48="PARTIAL",0.5,IF(D48="FAIL",0,""))))</f>
        <v/>
      </c>
      <c r="F48" s="5">
        <f>IF(E48="",0,C48*E48)</f>
        <v/>
      </c>
      <c r="G48" s="5">
        <f>IF(B48="I1",20*AVERAGEIF('QA_Images'!$A$2:$A$79,A48,'QA_Images'!$U$2:$U$79)/100,IF(D48="NOT_CHECKED",0,C48))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["evidence_batch_006_055", "https://jeminise.com/products/custom-flaming-soccer-ball-with-custom-name-comforter-set-a12", "serp_qa_055"]</t>
        </is>
      </c>
      <c r="J48" s="2" t="inlineStr">
        <is>
          <t>[]</t>
        </is>
      </c>
      <c r="K48" s="2" t="inlineStr">
        <is>
          <t>r3</t>
        </is>
      </c>
    </row>
    <row r="49" ht="42" customHeight="1">
      <c r="A49" s="3" t="inlineStr">
        <is>
          <t>jeminise.com+custom-flaming-soccer-ball-with-custom-name-comforter-set-a12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IF(B49="I1",AVERAGEIF('QA_Images'!$A$2:$A$79,A49,'QA_Images'!$T$2:$T$79)/100,IF(D49="FULL",1,IF(D49="PARTIAL",0.5,IF(D49="FAIL",0,""))))</f>
        <v/>
      </c>
      <c r="F49" s="7">
        <f>IF(E49="",0,C49*E49)</f>
        <v/>
      </c>
      <c r="G49" s="7">
        <f>IF(B49="I1",20*AVERAGEIF('QA_Images'!$A$2:$A$79,A49,'QA_Images'!$U$2:$U$79)/100,IF(D49="NOT_CHECKED",0,C49))</f>
        <v/>
      </c>
      <c r="H49" s="3" t="inlineStr">
        <is>
          <t>Đã đọc primary và comparator SERP theo US commercial intent; không dùng claim volume.</t>
        </is>
      </c>
      <c r="I49" s="3" t="inlineStr">
        <is>
          <t>["evidence_batch_006_055", "https://jeminise.com/products/custom-flaming-soccer-ball-with-custom-name-comforter-set-a12", "serp_qa_055"]</t>
        </is>
      </c>
      <c r="J49" s="3" t="inlineStr">
        <is>
          <t>[]</t>
        </is>
      </c>
      <c r="K49" s="3" t="inlineStr">
        <is>
          <t>r3</t>
        </is>
      </c>
    </row>
    <row r="50" ht="42" customHeight="1">
      <c r="A50" s="2" t="inlineStr">
        <is>
          <t>jeminise.com+custom-flaming-soccer-ball-with-custom-name-comforter-set-a12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IF(B50="I1",AVERAGEIF('QA_Images'!$A$2:$A$79,A50,'QA_Images'!$T$2:$T$79)/100,IF(D50="FULL",1,IF(D50="PARTIAL",0.5,IF(D50="FAIL",0,""))))</f>
        <v/>
      </c>
      <c r="F50" s="5">
        <f>IF(E50="",0,C50*E50)</f>
        <v/>
      </c>
      <c r="G50" s="5">
        <f>IF(B50="I1",20*AVERAGEIF('QA_Images'!$A$2:$A$79,A50,'QA_Images'!$U$2:$U$79)/100,IF(D50="NOT_CHECKED",0,C50))</f>
        <v/>
      </c>
      <c r="H50" s="2" t="inlineStr">
        <is>
          <t>Không suy diễn volume; phân biệt SERP_ONLY và HYPOTHESIS_ONLY.</t>
        </is>
      </c>
      <c r="I50" s="2" t="inlineStr">
        <is>
          <t>["evidence_batch_006_055", "https://jeminise.com/products/custom-flaming-soccer-ball-with-custom-name-comforter-set-a12", "serp_qa_055"]</t>
        </is>
      </c>
      <c r="J50" s="2" t="inlineStr">
        <is>
          <t>[]</t>
        </is>
      </c>
      <c r="K50" s="2" t="inlineStr">
        <is>
          <t>r3</t>
        </is>
      </c>
    </row>
    <row r="51" ht="42" customHeight="1">
      <c r="A51" s="3" t="inlineStr">
        <is>
          <t>jeminise.com+custom-flaming-soccer-ball-with-custom-name-comforter-set-a12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IF(B51="I1",AVERAGEIF('QA_Images'!$A$2:$A$79,A51,'QA_Images'!$T$2:$T$79)/100,IF(D51="FULL",1,IF(D51="PARTIAL",0.5,IF(D51="FAIL",0,""))))</f>
        <v/>
      </c>
      <c r="F51" s="7">
        <f>IF(E51="",0,C51*E51)</f>
        <v/>
      </c>
      <c r="G51" s="7">
        <f>IF(B51="I1",20*AVERAGEIF('QA_Images'!$A$2:$A$79,A51,'QA_Images'!$U$2:$U$79)/100,IF(D51="NOT_CHECKED",0,C51))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["evidence_batch_006_055", "https://jeminise.com/products/custom-flaming-soccer-ball-with-custom-name-comforter-set-a12", "serp_qa_055"]</t>
        </is>
      </c>
      <c r="J51" s="3" t="inlineStr">
        <is>
          <t>[]</t>
        </is>
      </c>
      <c r="K51" s="3" t="inlineStr">
        <is>
          <t>r3</t>
        </is>
      </c>
    </row>
    <row r="52" ht="42" customHeight="1">
      <c r="A52" s="2" t="inlineStr">
        <is>
          <t>jeminise.com+custom-flaming-soccer-ball-with-custom-name-comforter-set-a12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IF(B52="I1",AVERAGEIF('QA_Images'!$A$2:$A$79,A52,'QA_Images'!$T$2:$T$79)/100,IF(D52="FULL",1,IF(D52="PARTIAL",0.5,IF(D52="FAIL",0,""))))</f>
        <v/>
      </c>
      <c r="F52" s="5">
        <f>IF(E52="",0,C52*E52)</f>
        <v/>
      </c>
      <c r="G52" s="5">
        <f>IF(B52="I1",20*AVERAGEIF('QA_Images'!$A$2:$A$79,A52,'QA_Images'!$U$2:$U$79)/100,IF(D52="NOT_CHECKED",0,C52))</f>
        <v/>
      </c>
      <c r="H52" s="2" t="inlineStr">
        <is>
          <t>Đánh giá H1 đề xuất độc lập với SEO title và đối chiếu lỗi ký tự nguồn.</t>
        </is>
      </c>
      <c r="I52" s="2" t="inlineStr">
        <is>
          <t>["evidence_batch_006_055", "https://jeminise.com/products/custom-flaming-soccer-ball-with-custom-name-comforter-set-a12", "serp_qa_055"]</t>
        </is>
      </c>
      <c r="J52" s="2" t="inlineStr">
        <is>
          <t>[]</t>
        </is>
      </c>
      <c r="K52" s="2" t="inlineStr">
        <is>
          <t>r3</t>
        </is>
      </c>
    </row>
    <row r="53" ht="42" customHeight="1">
      <c r="A53" s="3" t="inlineStr">
        <is>
          <t>jeminise.com+custom-flaming-soccer-ball-with-custom-name-comforter-set-a12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IF(B53="I1",AVERAGEIF('QA_Images'!$A$2:$A$79,A53,'QA_Images'!$T$2:$T$79)/100,IF(D53="FULL",1,IF(D53="PARTIAL",0.5,IF(D53="FAIL",0,""))))</f>
        <v/>
      </c>
      <c r="F53" s="7">
        <f>IF(E53="",0,C53*E53)</f>
        <v/>
      </c>
      <c r="G53" s="7">
        <f>IF(B53="I1",20*AVERAGEIF('QA_Images'!$A$2:$A$79,A53,'QA_Images'!$U$2:$U$79)/100,IF(D53="NOT_CHECKED",0,C53))</f>
        <v/>
      </c>
      <c r="H53" s="3" t="inlineStr">
        <is>
          <t>Đánh giá meta description về tính cụ thể và căn cứ claim.</t>
        </is>
      </c>
      <c r="I53" s="3" t="inlineStr">
        <is>
          <t>["evidence_batch_006_055", "https://jeminise.com/products/custom-flaming-soccer-ball-with-custom-name-comforter-set-a12", "serp_qa_055"]</t>
        </is>
      </c>
      <c r="J53" s="3" t="inlineStr">
        <is>
          <t>[]</t>
        </is>
      </c>
      <c r="K53" s="3" t="inlineStr">
        <is>
          <t>r3</t>
        </is>
      </c>
    </row>
    <row r="54" ht="42" customHeight="1">
      <c r="A54" s="2" t="inlineStr">
        <is>
          <t>jeminise.com+custom-flaming-soccer-ball-with-custom-name-comforter-set-a12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IF(B54="I1",AVERAGEIF('QA_Images'!$A$2:$A$79,A54,'QA_Images'!$T$2:$T$79)/100,IF(D54="FULL",1,IF(D54="PARTIAL",0.5,IF(D54="FAIL",0,""))))</f>
        <v/>
      </c>
      <c r="F54" s="5">
        <f>IF(E54="",0,C54*E54)</f>
        <v/>
      </c>
      <c r="G54" s="5">
        <f>IF(B54="I1",20*AVERAGEIF('QA_Images'!$A$2:$A$79,A54,'QA_Images'!$U$2:$U$79)/100,IF(D54="NOT_CHECKED",0,C54))</f>
        <v/>
      </c>
      <c r="H54" s="2" t="inlineStr">
        <is>
          <t>Description SET có HTML đầy đủ nhưng chứa câu nội bộ 'This draft should be reviewed...' và dữ liệu nguồn thô/mâu thuẫn; chưa phải nội dung publish-ready.</t>
        </is>
      </c>
      <c r="I54" s="2" t="inlineStr">
        <is>
          <t>["evidence_batch_006_055", "https://jeminise.com/products/custom-flaming-soccer-ball-with-custom-name-comforter-set-a12", "serp_qa_055"]</t>
        </is>
      </c>
      <c r="J54" s="2" t="inlineStr">
        <is>
          <t>[]</t>
        </is>
      </c>
      <c r="K54" s="2" t="inlineStr">
        <is>
          <t>r3</t>
        </is>
      </c>
    </row>
    <row r="55" ht="42" customHeight="1">
      <c r="A55" s="3" t="inlineStr">
        <is>
          <t>jeminise.com+custom-flaming-soccer-ball-with-custom-name-comforter-set-a12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IF(B55="I1",AVERAGEIF('QA_Images'!$A$2:$A$79,A55,'QA_Images'!$T$2:$T$79)/100,IF(D55="FULL",1,IF(D55="PARTIAL",0.5,IF(D55="FAIL",0,""))))</f>
        <v/>
      </c>
      <c r="F55" s="7">
        <f>IF(E55="",0,C55*E55)</f>
        <v/>
      </c>
      <c r="G55" s="7">
        <f>IF(B55="I1",20*AVERAGEIF('QA_Images'!$A$2:$A$79,A55,'QA_Images'!$U$2:$U$79)/100,IF(D55="NOT_CHECKED",0,C55))</f>
        <v/>
      </c>
      <c r="H55" s="3" t="inlineStr">
        <is>
          <t>Tính từ trung bình 8 ảnh: 100.0000/100.</t>
        </is>
      </c>
      <c r="I55" s="3" t="inlineStr">
        <is>
          <t>["evidence_batch_006_055", "https://jeminise.com/products/custom-flaming-soccer-ball-with-custom-name-comforter-set-a12", "serp_qa_055"]</t>
        </is>
      </c>
      <c r="J55" s="3" t="inlineStr">
        <is>
          <t>[]</t>
        </is>
      </c>
      <c r="K55" s="3" t="inlineStr">
        <is>
          <t>r3</t>
        </is>
      </c>
    </row>
    <row r="56" ht="42" customHeight="1">
      <c r="A56" s="2" t="inlineStr">
        <is>
          <t>jeminise.com+custom-flaming-soccer-ball-with-custom-name-comforter-set-a12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IF(B56="I1",AVERAGEIF('QA_Images'!$A$2:$A$79,A56,'QA_Images'!$T$2:$T$79)/100,IF(D56="FULL",1,IF(D56="PARTIAL",0.5,IF(D56="FAIL",0,""))))</f>
        <v/>
      </c>
      <c r="F56" s="5">
        <f>IF(E56="",0,C56*E56)</f>
        <v/>
      </c>
      <c r="G56" s="5">
        <f>IF(B56="I1",20*AVERAGEIF('QA_Images'!$A$2:$A$79,A56,'QA_Images'!$U$2:$U$79)/100,IF(D56="NOT_CHECKED",0,C56))</f>
        <v/>
      </c>
      <c r="H56" s="2" t="inlineStr">
        <is>
          <t>Kiểm tra chuỗi evidence và giới hạn do thiếu Shopify admin export.</t>
        </is>
      </c>
      <c r="I56" s="2" t="inlineStr">
        <is>
          <t>["evidence_batch_006_055", "https://jeminise.com/products/custom-flaming-soccer-ball-with-custom-name-comforter-set-a12", "serp_qa_055"]</t>
        </is>
      </c>
      <c r="J56" s="2" t="inlineStr">
        <is>
          <t>[]</t>
        </is>
      </c>
      <c r="K56" s="2" t="inlineStr">
        <is>
          <t>r3</t>
        </is>
      </c>
    </row>
    <row r="57" ht="42" customHeight="1">
      <c r="A57" s="3" t="inlineStr">
        <is>
          <t>jeminise.com+custom-flaming-soccer-ball-with-name-comforter-set-machine-washable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IF(B57="I1",AVERAGEIF('QA_Images'!$A$2:$A$79,A57,'QA_Images'!$T$2:$T$79)/100,IF(D57="FULL",1,IF(D57="PARTIAL",0.5,IF(D57="FAIL",0,""))))</f>
        <v/>
      </c>
      <c r="F57" s="7">
        <f>IF(E57="",0,C57*E57)</f>
        <v/>
      </c>
      <c r="G57" s="7">
        <f>IF(B57="I1",20*AVERAGEIF('QA_Images'!$A$2:$A$79,A57,'QA_Images'!$U$2:$U$79)/100,IF(D57="NOT_CHECKED",0,C57))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["evidence_batch_006_056", "https://jeminise.com/products/custom-flaming-soccer-ball-with-name-comforter-set-machine-washable", "serp_qa_056"]</t>
        </is>
      </c>
      <c r="J57" s="3" t="inlineStr">
        <is>
          <t>[]</t>
        </is>
      </c>
      <c r="K57" s="3" t="inlineStr">
        <is>
          <t>r3</t>
        </is>
      </c>
    </row>
    <row r="58" ht="42" customHeight="1">
      <c r="A58" s="2" t="inlineStr">
        <is>
          <t>jeminise.com+custom-flaming-soccer-ball-with-name-comforter-set-machine-washable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IF(B58="I1",AVERAGEIF('QA_Images'!$A$2:$A$79,A58,'QA_Images'!$T$2:$T$79)/100,IF(D58="FULL",1,IF(D58="PARTIAL",0.5,IF(D58="FAIL",0,""))))</f>
        <v/>
      </c>
      <c r="F58" s="5">
        <f>IF(E58="",0,C58*E58)</f>
        <v/>
      </c>
      <c r="G58" s="5">
        <f>IF(B58="I1",20*AVERAGEIF('QA_Images'!$A$2:$A$79,A58,'QA_Images'!$U$2:$U$79)/100,IF(D58="NOT_CHECKED",0,C58))</f>
        <v/>
      </c>
      <c r="H58" s="2" t="inlineStr">
        <is>
          <t>Đối chiếu specification, variants, components và personalization với product.js live và ảnh gốc.</t>
        </is>
      </c>
      <c r="I58" s="2" t="inlineStr">
        <is>
          <t>["evidence_batch_006_056", "https://jeminise.com/products/custom-flaming-soccer-ball-with-name-comforter-set-machine-washable", "serp_qa_056"]</t>
        </is>
      </c>
      <c r="J58" s="2" t="inlineStr">
        <is>
          <t>[]</t>
        </is>
      </c>
      <c r="K58" s="2" t="inlineStr">
        <is>
          <t>r3</t>
        </is>
      </c>
    </row>
    <row r="59" ht="42" customHeight="1">
      <c r="A59" s="3" t="inlineStr">
        <is>
          <t>jeminise.com+custom-flaming-soccer-ball-with-name-comforter-set-machine-washable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IF(B59="I1",AVERAGEIF('QA_Images'!$A$2:$A$79,A59,'QA_Images'!$T$2:$T$79)/100,IF(D59="FULL",1,IF(D59="PARTIAL",0.5,IF(D59="FAIL",0,""))))</f>
        <v/>
      </c>
      <c r="F59" s="7">
        <f>IF(E59="",0,C59*E59)</f>
        <v/>
      </c>
      <c r="G59" s="7">
        <f>IF(B59="I1",20*AVERAGEIF('QA_Images'!$A$2:$A$79,A59,'QA_Images'!$U$2:$U$79)/100,IF(D59="NOT_CHECKED",0,C59))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["evidence_batch_006_056", "https://jeminise.com/products/custom-flaming-soccer-ball-with-name-comforter-set-machine-washable", "serp_qa_056"]</t>
        </is>
      </c>
      <c r="J59" s="3" t="inlineStr">
        <is>
          <t>[]</t>
        </is>
      </c>
      <c r="K59" s="3" t="inlineStr">
        <is>
          <t>r3</t>
        </is>
      </c>
    </row>
    <row r="60" ht="42" customHeight="1">
      <c r="A60" s="2" t="inlineStr">
        <is>
          <t>jeminise.com+custom-flaming-soccer-ball-with-name-comforter-set-machine-washable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IF(B60="I1",AVERAGEIF('QA_Images'!$A$2:$A$79,A60,'QA_Images'!$T$2:$T$79)/100,IF(D60="FULL",1,IF(D60="PARTIAL",0.5,IF(D60="FAIL",0,""))))</f>
        <v/>
      </c>
      <c r="F60" s="5">
        <f>IF(E60="",0,C60*E60)</f>
        <v/>
      </c>
      <c r="G60" s="5">
        <f>IF(B60="I1",20*AVERAGEIF('QA_Images'!$A$2:$A$79,A60,'QA_Images'!$U$2:$U$79)/100,IF(D60="NOT_CHECKED",0,C60))</f>
        <v/>
      </c>
      <c r="H60" s="2" t="inlineStr">
        <is>
          <t>Đã đọc primary và comparator SERP theo US commercial intent; không dùng claim volume.</t>
        </is>
      </c>
      <c r="I60" s="2" t="inlineStr">
        <is>
          <t>["evidence_batch_006_056", "https://jeminise.com/products/custom-flaming-soccer-ball-with-name-comforter-set-machine-washable", "serp_qa_056"]</t>
        </is>
      </c>
      <c r="J60" s="2" t="inlineStr">
        <is>
          <t>[]</t>
        </is>
      </c>
      <c r="K60" s="2" t="inlineStr">
        <is>
          <t>r3</t>
        </is>
      </c>
    </row>
    <row r="61" ht="42" customHeight="1">
      <c r="A61" s="3" t="inlineStr">
        <is>
          <t>jeminise.com+custom-flaming-soccer-ball-with-name-comforter-set-machine-washable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IF(B61="I1",AVERAGEIF('QA_Images'!$A$2:$A$79,A61,'QA_Images'!$T$2:$T$79)/100,IF(D61="FULL",1,IF(D61="PARTIAL",0.5,IF(D61="FAIL",0,""))))</f>
        <v/>
      </c>
      <c r="F61" s="7">
        <f>IF(E61="",0,C61*E61)</f>
        <v/>
      </c>
      <c r="G61" s="7">
        <f>IF(B61="I1",20*AVERAGEIF('QA_Images'!$A$2:$A$79,A61,'QA_Images'!$U$2:$U$79)/100,IF(D61="NOT_CHECKED",0,C61))</f>
        <v/>
      </c>
      <c r="H61" s="3" t="inlineStr">
        <is>
          <t>Không suy diễn volume; phân biệt SERP_ONLY và HYPOTHESIS_ONLY.</t>
        </is>
      </c>
      <c r="I61" s="3" t="inlineStr">
        <is>
          <t>["evidence_batch_006_056", "https://jeminise.com/products/custom-flaming-soccer-ball-with-name-comforter-set-machine-washable", "serp_qa_056"]</t>
        </is>
      </c>
      <c r="J61" s="3" t="inlineStr">
        <is>
          <t>[]</t>
        </is>
      </c>
      <c r="K61" s="3" t="inlineStr">
        <is>
          <t>r3</t>
        </is>
      </c>
    </row>
    <row r="62" ht="42" customHeight="1">
      <c r="A62" s="2" t="inlineStr">
        <is>
          <t>jeminise.com+custom-flaming-soccer-ball-with-name-comforter-set-machine-washable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IF(B62="I1",AVERAGEIF('QA_Images'!$A$2:$A$79,A62,'QA_Images'!$T$2:$T$79)/100,IF(D62="FULL",1,IF(D62="PARTIAL",0.5,IF(D62="FAIL",0,""))))</f>
        <v/>
      </c>
      <c r="F62" s="5">
        <f>IF(E62="",0,C62*E62)</f>
        <v/>
      </c>
      <c r="G62" s="5">
        <f>IF(B62="I1",20*AVERAGEIF('QA_Images'!$A$2:$A$79,A62,'QA_Images'!$U$2:$U$79)/100,IF(D62="NOT_CHECKED",0,C62))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["evidence_batch_006_056", "https://jeminise.com/products/custom-flaming-soccer-ball-with-name-comforter-set-machine-washable", "serp_qa_056"]</t>
        </is>
      </c>
      <c r="J62" s="2" t="inlineStr">
        <is>
          <t>[]</t>
        </is>
      </c>
      <c r="K62" s="2" t="inlineStr">
        <is>
          <t>r3</t>
        </is>
      </c>
    </row>
    <row r="63" ht="42" customHeight="1">
      <c r="A63" s="3" t="inlineStr">
        <is>
          <t>jeminise.com+custom-flaming-soccer-ball-with-name-comforter-set-machine-washable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IF(B63="I1",AVERAGEIF('QA_Images'!$A$2:$A$79,A63,'QA_Images'!$T$2:$T$79)/100,IF(D63="FULL",1,IF(D63="PARTIAL",0.5,IF(D63="FAIL",0,""))))</f>
        <v/>
      </c>
      <c r="F63" s="7">
        <f>IF(E63="",0,C63*E63)</f>
        <v/>
      </c>
      <c r="G63" s="7">
        <f>IF(B63="I1",20*AVERAGEIF('QA_Images'!$A$2:$A$79,A63,'QA_Images'!$U$2:$U$79)/100,IF(D63="NOT_CHECKED",0,C63))</f>
        <v/>
      </c>
      <c r="H63" s="3" t="inlineStr">
        <is>
          <t>Đánh giá H1 đề xuất độc lập với SEO title và đối chiếu lỗi ký tự nguồn.</t>
        </is>
      </c>
      <c r="I63" s="3" t="inlineStr">
        <is>
          <t>["evidence_batch_006_056", "https://jeminise.com/products/custom-flaming-soccer-ball-with-name-comforter-set-machine-washable", "serp_qa_056"]</t>
        </is>
      </c>
      <c r="J63" s="3" t="inlineStr">
        <is>
          <t>[]</t>
        </is>
      </c>
      <c r="K63" s="3" t="inlineStr">
        <is>
          <t>r3</t>
        </is>
      </c>
    </row>
    <row r="64" ht="42" customHeight="1">
      <c r="A64" s="2" t="inlineStr">
        <is>
          <t>jeminise.com+custom-flaming-soccer-ball-with-name-comforter-set-machine-washable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IF(B64="I1",AVERAGEIF('QA_Images'!$A$2:$A$79,A64,'QA_Images'!$T$2:$T$79)/100,IF(D64="FULL",1,IF(D64="PARTIAL",0.5,IF(D64="FAIL",0,""))))</f>
        <v/>
      </c>
      <c r="F64" s="5">
        <f>IF(E64="",0,C64*E64)</f>
        <v/>
      </c>
      <c r="G64" s="5">
        <f>IF(B64="I1",20*AVERAGEIF('QA_Images'!$A$2:$A$79,A64,'QA_Images'!$U$2:$U$79)/100,IF(D64="NOT_CHECKED",0,C64))</f>
        <v/>
      </c>
      <c r="H64" s="2" t="inlineStr">
        <is>
          <t>Đánh giá meta description về tính cụ thể và căn cứ claim.</t>
        </is>
      </c>
      <c r="I64" s="2" t="inlineStr">
        <is>
          <t>["evidence_batch_006_056", "https://jeminise.com/products/custom-flaming-soccer-ball-with-name-comforter-set-machine-washable", "serp_qa_056"]</t>
        </is>
      </c>
      <c r="J64" s="2" t="inlineStr">
        <is>
          <t>[]</t>
        </is>
      </c>
      <c r="K64" s="2" t="inlineStr">
        <is>
          <t>r3</t>
        </is>
      </c>
    </row>
    <row r="65" ht="42" customHeight="1">
      <c r="A65" s="3" t="inlineStr">
        <is>
          <t>jeminise.com+custom-flaming-soccer-ball-with-name-comforter-set-machine-washable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IF(B65="I1",AVERAGEIF('QA_Images'!$A$2:$A$79,A65,'QA_Images'!$T$2:$T$79)/100,IF(D65="FULL",1,IF(D65="PARTIAL",0.5,IF(D65="FAIL",0,""))))</f>
        <v/>
      </c>
      <c r="F65" s="7">
        <f>IF(E65="",0,C65*E65)</f>
        <v/>
      </c>
      <c r="G65" s="7">
        <f>IF(B65="I1",20*AVERAGEIF('QA_Images'!$A$2:$A$79,A65,'QA_Images'!$U$2:$U$79)/100,IF(D65="NOT_CHECKED",0,C65))</f>
        <v/>
      </c>
      <c r="H65" s="3" t="inlineStr">
        <is>
          <t>Description SET có HTML đầy đủ nhưng chứa câu nội bộ 'This draft should be reviewed...' và dữ liệu nguồn thô/mâu thuẫn; chưa phải nội dung publish-ready.</t>
        </is>
      </c>
      <c r="I65" s="3" t="inlineStr">
        <is>
          <t>["evidence_batch_006_056", "https://jeminise.com/products/custom-flaming-soccer-ball-with-name-comforter-set-machine-washable", "serp_qa_056"]</t>
        </is>
      </c>
      <c r="J65" s="3" t="inlineStr">
        <is>
          <t>[]</t>
        </is>
      </c>
      <c r="K65" s="3" t="inlineStr">
        <is>
          <t>r3</t>
        </is>
      </c>
    </row>
    <row r="66" ht="42" customHeight="1">
      <c r="A66" s="2" t="inlineStr">
        <is>
          <t>jeminise.com+custom-flaming-soccer-ball-with-name-comforter-set-machine-washable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IF(B66="I1",AVERAGEIF('QA_Images'!$A$2:$A$79,A66,'QA_Images'!$T$2:$T$79)/100,IF(D66="FULL",1,IF(D66="PARTIAL",0.5,IF(D66="FAIL",0,""))))</f>
        <v/>
      </c>
      <c r="F66" s="5">
        <f>IF(E66="",0,C66*E66)</f>
        <v/>
      </c>
      <c r="G66" s="5">
        <f>IF(B66="I1",20*AVERAGEIF('QA_Images'!$A$2:$A$79,A66,'QA_Images'!$U$2:$U$79)/100,IF(D66="NOT_CHECKED",0,C66))</f>
        <v/>
      </c>
      <c r="H66" s="2" t="inlineStr">
        <is>
          <t>Tính từ trung bình 8 ảnh: 100.0000/100.</t>
        </is>
      </c>
      <c r="I66" s="2" t="inlineStr">
        <is>
          <t>["evidence_batch_006_056", "https://jeminise.com/products/custom-flaming-soccer-ball-with-name-comforter-set-machine-washable", "serp_qa_056"]</t>
        </is>
      </c>
      <c r="J66" s="2" t="inlineStr">
        <is>
          <t>[]</t>
        </is>
      </c>
      <c r="K66" s="2" t="inlineStr">
        <is>
          <t>r3</t>
        </is>
      </c>
    </row>
    <row r="67" ht="42" customHeight="1">
      <c r="A67" s="3" t="inlineStr">
        <is>
          <t>jeminise.com+custom-flaming-soccer-ball-with-name-comforter-set-machine-washable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IF(B67="I1",AVERAGEIF('QA_Images'!$A$2:$A$79,A67,'QA_Images'!$T$2:$T$79)/100,IF(D67="FULL",1,IF(D67="PARTIAL",0.5,IF(D67="FAIL",0,""))))</f>
        <v/>
      </c>
      <c r="F67" s="7">
        <f>IF(E67="",0,C67*E67)</f>
        <v/>
      </c>
      <c r="G67" s="7">
        <f>IF(B67="I1",20*AVERAGEIF('QA_Images'!$A$2:$A$79,A67,'QA_Images'!$U$2:$U$79)/100,IF(D67="NOT_CHECKED",0,C67))</f>
        <v/>
      </c>
      <c r="H67" s="3" t="inlineStr">
        <is>
          <t>Kiểm tra chuỗi evidence và giới hạn do thiếu Shopify admin export.</t>
        </is>
      </c>
      <c r="I67" s="3" t="inlineStr">
        <is>
          <t>["evidence_batch_006_056", "https://jeminise.com/products/custom-flaming-soccer-ball-with-name-comforter-set-machine-washable", "serp_qa_056"]</t>
        </is>
      </c>
      <c r="J67" s="3" t="inlineStr">
        <is>
          <t>[]</t>
        </is>
      </c>
      <c r="K67" s="3" t="inlineStr">
        <is>
          <t>r3</t>
        </is>
      </c>
    </row>
    <row r="68" ht="42" customHeight="1">
      <c r="A68" s="2" t="inlineStr">
        <is>
          <t>jeminise.com+custom-floral-butterfly-inspirational-blanket-machine-wash-design-8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IF(B68="I1",AVERAGEIF('QA_Images'!$A$2:$A$79,A68,'QA_Images'!$T$2:$T$79)/100,IF(D68="FULL",1,IF(D68="PARTIAL",0.5,IF(D68="FAIL",0,""))))</f>
        <v/>
      </c>
      <c r="F68" s="5">
        <f>IF(E68="",0,C68*E68)</f>
        <v/>
      </c>
      <c r="G68" s="5">
        <f>IF(B68="I1",20*AVERAGEIF('QA_Images'!$A$2:$A$79,A68,'QA_Images'!$U$2:$U$79)/100,IF(D68="NOT_CHECKED",0,C68))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["evidence_batch_006_057", "https://jeminise.com/products/custom-floral-butterfly-inspirational-blanket-machine-wash-design-8", "serp_qa_057"]</t>
        </is>
      </c>
      <c r="J68" s="2" t="inlineStr">
        <is>
          <t>[]</t>
        </is>
      </c>
      <c r="K68" s="2" t="inlineStr">
        <is>
          <t>r3</t>
        </is>
      </c>
    </row>
    <row r="69" ht="42" customHeight="1">
      <c r="A69" s="3" t="inlineStr">
        <is>
          <t>jeminise.com+custom-floral-butterfly-inspirational-blanket-machine-wash-design-8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IF(B69="I1",AVERAGEIF('QA_Images'!$A$2:$A$79,A69,'QA_Images'!$T$2:$T$79)/100,IF(D69="FULL",1,IF(D69="PARTIAL",0.5,IF(D69="FAIL",0,""))))</f>
        <v/>
      </c>
      <c r="F69" s="7">
        <f>IF(E69="",0,C69*E69)</f>
        <v/>
      </c>
      <c r="G69" s="7">
        <f>IF(B69="I1",20*AVERAGEIF('QA_Images'!$A$2:$A$79,A69,'QA_Images'!$U$2:$U$79)/100,IF(D69="NOT_CHECKED",0,C69))</f>
        <v/>
      </c>
      <c r="H69" s="3" t="inlineStr">
        <is>
          <t>Đối chiếu specification, variants, components và personalization với product.js live và ảnh gốc.</t>
        </is>
      </c>
      <c r="I69" s="3" t="inlineStr">
        <is>
          <t>["evidence_batch_006_057", "https://jeminise.com/products/custom-floral-butterfly-inspirational-blanket-machine-wash-design-8", "serp_qa_057"]</t>
        </is>
      </c>
      <c r="J69" s="3" t="inlineStr">
        <is>
          <t>[]</t>
        </is>
      </c>
      <c r="K69" s="3" t="inlineStr">
        <is>
          <t>r3</t>
        </is>
      </c>
    </row>
    <row r="70" ht="42" customHeight="1">
      <c r="A70" s="2" t="inlineStr">
        <is>
          <t>jeminise.com+custom-floral-butterfly-inspirational-blanket-machine-wash-design-8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IF(B70="I1",AVERAGEIF('QA_Images'!$A$2:$A$79,A70,'QA_Images'!$T$2:$T$79)/100,IF(D70="FULL",1,IF(D70="PARTIAL",0.5,IF(D70="FAIL",0,""))))</f>
        <v/>
      </c>
      <c r="F70" s="5">
        <f>IF(E70="",0,C70*E70)</f>
        <v/>
      </c>
      <c r="G70" s="5">
        <f>IF(B70="I1",20*AVERAGEIF('QA_Images'!$A$2:$A$79,A70,'QA_Images'!$U$2:$U$79)/100,IF(D70="NOT_CHECKED",0,C70))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["evidence_batch_006_057", "https://jeminise.com/products/custom-floral-butterfly-inspirational-blanket-machine-wash-design-8", "serp_qa_057"]</t>
        </is>
      </c>
      <c r="J70" s="2" t="inlineStr">
        <is>
          <t>[]</t>
        </is>
      </c>
      <c r="K70" s="2" t="inlineStr">
        <is>
          <t>r3</t>
        </is>
      </c>
    </row>
    <row r="71" ht="42" customHeight="1">
      <c r="A71" s="3" t="inlineStr">
        <is>
          <t>jeminise.com+custom-floral-butterfly-inspirational-blanket-machine-wash-design-8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IF(B71="I1",AVERAGEIF('QA_Images'!$A$2:$A$79,A71,'QA_Images'!$T$2:$T$79)/100,IF(D71="FULL",1,IF(D71="PARTIAL",0.5,IF(D71="FAIL",0,""))))</f>
        <v/>
      </c>
      <c r="F71" s="7">
        <f>IF(E71="",0,C71*E71)</f>
        <v/>
      </c>
      <c r="G71" s="7">
        <f>IF(B71="I1",20*AVERAGEIF('QA_Images'!$A$2:$A$79,A71,'QA_Images'!$U$2:$U$79)/100,IF(D71="NOT_CHECKED",0,C71))</f>
        <v/>
      </c>
      <c r="H71" s="3" t="inlineStr">
        <is>
          <t>Đã đọc primary và comparator SERP theo US commercial intent; không dùng claim volume.</t>
        </is>
      </c>
      <c r="I71" s="3" t="inlineStr">
        <is>
          <t>["evidence_batch_006_057", "https://jeminise.com/products/custom-floral-butterfly-inspirational-blanket-machine-wash-design-8", "serp_qa_057"]</t>
        </is>
      </c>
      <c r="J71" s="3" t="inlineStr">
        <is>
          <t>[]</t>
        </is>
      </c>
      <c r="K71" s="3" t="inlineStr">
        <is>
          <t>r3</t>
        </is>
      </c>
    </row>
    <row r="72" ht="42" customHeight="1">
      <c r="A72" s="2" t="inlineStr">
        <is>
          <t>jeminise.com+custom-floral-butterfly-inspirational-blanket-machine-wash-design-8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IF(B72="I1",AVERAGEIF('QA_Images'!$A$2:$A$79,A72,'QA_Images'!$T$2:$T$79)/100,IF(D72="FULL",1,IF(D72="PARTIAL",0.5,IF(D72="FAIL",0,""))))</f>
        <v/>
      </c>
      <c r="F72" s="5">
        <f>IF(E72="",0,C72*E72)</f>
        <v/>
      </c>
      <c r="G72" s="5">
        <f>IF(B72="I1",20*AVERAGEIF('QA_Images'!$A$2:$A$79,A72,'QA_Images'!$U$2:$U$79)/100,IF(D72="NOT_CHECKED",0,C72))</f>
        <v/>
      </c>
      <c r="H72" s="2" t="inlineStr">
        <is>
          <t>Không suy diễn volume; phân biệt SERP_ONLY và HYPOTHESIS_ONLY.</t>
        </is>
      </c>
      <c r="I72" s="2" t="inlineStr">
        <is>
          <t>["evidence_batch_006_057", "https://jeminise.com/products/custom-floral-butterfly-inspirational-blanket-machine-wash-design-8", "serp_qa_057"]</t>
        </is>
      </c>
      <c r="J72" s="2" t="inlineStr">
        <is>
          <t>[]</t>
        </is>
      </c>
      <c r="K72" s="2" t="inlineStr">
        <is>
          <t>r3</t>
        </is>
      </c>
    </row>
    <row r="73" ht="42" customHeight="1">
      <c r="A73" s="3" t="inlineStr">
        <is>
          <t>jeminise.com+custom-floral-butterfly-inspirational-blanket-machine-wash-design-8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IF(B73="I1",AVERAGEIF('QA_Images'!$A$2:$A$79,A73,'QA_Images'!$T$2:$T$79)/100,IF(D73="FULL",1,IF(D73="PARTIAL",0.5,IF(D73="FAIL",0,""))))</f>
        <v/>
      </c>
      <c r="F73" s="7">
        <f>IF(E73="",0,C73*E73)</f>
        <v/>
      </c>
      <c r="G73" s="7">
        <f>IF(B73="I1",20*AVERAGEIF('QA_Images'!$A$2:$A$79,A73,'QA_Images'!$U$2:$U$79)/100,IF(D73="NOT_CHECKED",0,C73))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["evidence_batch_006_057", "https://jeminise.com/products/custom-floral-butterfly-inspirational-blanket-machine-wash-design-8", "serp_qa_057"]</t>
        </is>
      </c>
      <c r="J73" s="3" t="inlineStr">
        <is>
          <t>[]</t>
        </is>
      </c>
      <c r="K73" s="3" t="inlineStr">
        <is>
          <t>r3</t>
        </is>
      </c>
    </row>
    <row r="74" ht="42" customHeight="1">
      <c r="A74" s="2" t="inlineStr">
        <is>
          <t>jeminise.com+custom-floral-butterfly-inspirational-blanket-machine-wash-design-8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IF(B74="I1",AVERAGEIF('QA_Images'!$A$2:$A$79,A74,'QA_Images'!$T$2:$T$79)/100,IF(D74="FULL",1,IF(D74="PARTIAL",0.5,IF(D74="FAIL",0,""))))</f>
        <v/>
      </c>
      <c r="F74" s="5">
        <f>IF(E74="",0,C74*E74)</f>
        <v/>
      </c>
      <c r="G74" s="5">
        <f>IF(B74="I1",20*AVERAGEIF('QA_Images'!$A$2:$A$79,A74,'QA_Images'!$U$2:$U$79)/100,IF(D74="NOT_CHECKED",0,C74))</f>
        <v/>
      </c>
      <c r="H74" s="2" t="inlineStr">
        <is>
          <t>Đánh giá H1 đề xuất độc lập với SEO title và đối chiếu lỗi ký tự nguồn.</t>
        </is>
      </c>
      <c r="I74" s="2" t="inlineStr">
        <is>
          <t>["evidence_batch_006_057", "https://jeminise.com/products/custom-floral-butterfly-inspirational-blanket-machine-wash-design-8", "serp_qa_057"]</t>
        </is>
      </c>
      <c r="J74" s="2" t="inlineStr">
        <is>
          <t>[]</t>
        </is>
      </c>
      <c r="K74" s="2" t="inlineStr">
        <is>
          <t>r3</t>
        </is>
      </c>
    </row>
    <row r="75" ht="42" customHeight="1">
      <c r="A75" s="3" t="inlineStr">
        <is>
          <t>jeminise.com+custom-floral-butterfly-inspirational-blanket-machine-wash-design-8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IF(B75="I1",AVERAGEIF('QA_Images'!$A$2:$A$79,A75,'QA_Images'!$T$2:$T$79)/100,IF(D75="FULL",1,IF(D75="PARTIAL",0.5,IF(D75="FAIL",0,""))))</f>
        <v/>
      </c>
      <c r="F75" s="7">
        <f>IF(E75="",0,C75*E75)</f>
        <v/>
      </c>
      <c r="G75" s="7">
        <f>IF(B75="I1",20*AVERAGEIF('QA_Images'!$A$2:$A$79,A75,'QA_Images'!$U$2:$U$79)/100,IF(D75="NOT_CHECKED",0,C75))</f>
        <v/>
      </c>
      <c r="H75" s="3" t="inlineStr">
        <is>
          <t>Đánh giá meta description về tính cụ thể và căn cứ claim.</t>
        </is>
      </c>
      <c r="I75" s="3" t="inlineStr">
        <is>
          <t>["evidence_batch_006_057", "https://jeminise.com/products/custom-floral-butterfly-inspirational-blanket-machine-wash-design-8", "serp_qa_057"]</t>
        </is>
      </c>
      <c r="J75" s="3" t="inlineStr">
        <is>
          <t>[]</t>
        </is>
      </c>
      <c r="K75" s="3" t="inlineStr">
        <is>
          <t>r3</t>
        </is>
      </c>
    </row>
    <row r="76" ht="42" customHeight="1">
      <c r="A76" s="2" t="inlineStr">
        <is>
          <t>jeminise.com+custom-floral-butterfly-inspirational-blanket-machine-wash-design-8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IF(B76="I1",AVERAGEIF('QA_Images'!$A$2:$A$79,A76,'QA_Images'!$T$2:$T$79)/100,IF(D76="FULL",1,IF(D76="PARTIAL",0.5,IF(D76="FAIL",0,""))))</f>
        <v/>
      </c>
      <c r="F76" s="5">
        <f>IF(E76="",0,C76*E76)</f>
        <v/>
      </c>
      <c r="G76" s="5">
        <f>IF(B76="I1",20*AVERAGEIF('QA_Images'!$A$2:$A$79,A76,'QA_Images'!$U$2:$U$79)/100,IF(D76="NOT_CHECKED",0,C76))</f>
        <v/>
      </c>
      <c r="H76" s="2" t="inlineStr">
        <is>
          <t>Description SET có HTML đầy đủ nhưng chứa câu nội bộ 'This draft should be reviewed...' và dữ liệu nguồn thô/mâu thuẫn; chưa phải nội dung publish-ready.</t>
        </is>
      </c>
      <c r="I76" s="2" t="inlineStr">
        <is>
          <t>["evidence_batch_006_057", "https://jeminise.com/products/custom-floral-butterfly-inspirational-blanket-machine-wash-design-8", "serp_qa_057"]</t>
        </is>
      </c>
      <c r="J76" s="2" t="inlineStr">
        <is>
          <t>[]</t>
        </is>
      </c>
      <c r="K76" s="2" t="inlineStr">
        <is>
          <t>r3</t>
        </is>
      </c>
    </row>
    <row r="77" ht="42" customHeight="1">
      <c r="A77" s="3" t="inlineStr">
        <is>
          <t>jeminise.com+custom-floral-butterfly-inspirational-blanket-machine-wash-design-8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IF(B77="I1",AVERAGEIF('QA_Images'!$A$2:$A$79,A77,'QA_Images'!$T$2:$T$79)/100,IF(D77="FULL",1,IF(D77="PARTIAL",0.5,IF(D77="FAIL",0,""))))</f>
        <v/>
      </c>
      <c r="F77" s="7">
        <f>IF(E77="",0,C77*E77)</f>
        <v/>
      </c>
      <c r="G77" s="7">
        <f>IF(B77="I1",20*AVERAGEIF('QA_Images'!$A$2:$A$79,A77,'QA_Images'!$U$2:$U$79)/100,IF(D77="NOT_CHECKED",0,C77))</f>
        <v/>
      </c>
      <c r="H77" s="3" t="inlineStr">
        <is>
          <t>Tính từ trung bình 8 ảnh: 100.0000/100.</t>
        </is>
      </c>
      <c r="I77" s="3" t="inlineStr">
        <is>
          <t>["evidence_batch_006_057", "https://jeminise.com/products/custom-floral-butterfly-inspirational-blanket-machine-wash-design-8", "serp_qa_057"]</t>
        </is>
      </c>
      <c r="J77" s="3" t="inlineStr">
        <is>
          <t>[]</t>
        </is>
      </c>
      <c r="K77" s="3" t="inlineStr">
        <is>
          <t>r3</t>
        </is>
      </c>
    </row>
    <row r="78" ht="42" customHeight="1">
      <c r="A78" s="2" t="inlineStr">
        <is>
          <t>jeminise.com+custom-floral-butterfly-inspirational-blanket-machine-wash-design-8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IF(B78="I1",AVERAGEIF('QA_Images'!$A$2:$A$79,A78,'QA_Images'!$T$2:$T$79)/100,IF(D78="FULL",1,IF(D78="PARTIAL",0.5,IF(D78="FAIL",0,""))))</f>
        <v/>
      </c>
      <c r="F78" s="5">
        <f>IF(E78="",0,C78*E78)</f>
        <v/>
      </c>
      <c r="G78" s="5">
        <f>IF(B78="I1",20*AVERAGEIF('QA_Images'!$A$2:$A$79,A78,'QA_Images'!$U$2:$U$79)/100,IF(D78="NOT_CHECKED",0,C78))</f>
        <v/>
      </c>
      <c r="H78" s="2" t="inlineStr">
        <is>
          <t>Kiểm tra chuỗi evidence và giới hạn do thiếu Shopify admin export.</t>
        </is>
      </c>
      <c r="I78" s="2" t="inlineStr">
        <is>
          <t>["evidence_batch_006_057", "https://jeminise.com/products/custom-floral-butterfly-inspirational-blanket-machine-wash-design-8", "serp_qa_057"]</t>
        </is>
      </c>
      <c r="J78" s="2" t="inlineStr">
        <is>
          <t>[]</t>
        </is>
      </c>
      <c r="K78" s="2" t="inlineStr">
        <is>
          <t>r3</t>
        </is>
      </c>
    </row>
    <row r="79" ht="42" customHeight="1">
      <c r="A79" s="3" t="inlineStr">
        <is>
          <t>jeminise.com+custom-floral-butterfly-inspirational-blanket-machine-washable-d3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IF(B79="I1",AVERAGEIF('QA_Images'!$A$2:$A$79,A79,'QA_Images'!$T$2:$T$79)/100,IF(D79="FULL",1,IF(D79="PARTIAL",0.5,IF(D79="FAIL",0,""))))</f>
        <v/>
      </c>
      <c r="F79" s="7">
        <f>IF(E79="",0,C79*E79)</f>
        <v/>
      </c>
      <c r="G79" s="7">
        <f>IF(B79="I1",20*AVERAGEIF('QA_Images'!$A$2:$A$79,A79,'QA_Images'!$U$2:$U$79)/100,IF(D79="NOT_CHECKED",0,C79))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["evidence_batch_006_058", "https://jeminise.com/products/custom-floral-butterfly-inspirational-blanket-machine-washable-d3", "serp_qa_058"]</t>
        </is>
      </c>
      <c r="J79" s="3" t="inlineStr">
        <is>
          <t>[]</t>
        </is>
      </c>
      <c r="K79" s="3" t="inlineStr">
        <is>
          <t>r3</t>
        </is>
      </c>
    </row>
    <row r="80" ht="42" customHeight="1">
      <c r="A80" s="2" t="inlineStr">
        <is>
          <t>jeminise.com+custom-floral-butterfly-inspirational-blanket-machine-washable-d3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IF(B80="I1",AVERAGEIF('QA_Images'!$A$2:$A$79,A80,'QA_Images'!$T$2:$T$79)/100,IF(D80="FULL",1,IF(D80="PARTIAL",0.5,IF(D80="FAIL",0,""))))</f>
        <v/>
      </c>
      <c r="F80" s="5">
        <f>IF(E80="",0,C80*E80)</f>
        <v/>
      </c>
      <c r="G80" s="5">
        <f>IF(B80="I1",20*AVERAGEIF('QA_Images'!$A$2:$A$79,A80,'QA_Images'!$U$2:$U$79)/100,IF(D80="NOT_CHECKED",0,C80))</f>
        <v/>
      </c>
      <c r="H80" s="2" t="inlineStr">
        <is>
          <t>Đối chiếu specification, variants, components và personalization với product.js live và ảnh gốc.</t>
        </is>
      </c>
      <c r="I80" s="2" t="inlineStr">
        <is>
          <t>["evidence_batch_006_058", "https://jeminise.com/products/custom-floral-butterfly-inspirational-blanket-machine-washable-d3", "serp_qa_058"]</t>
        </is>
      </c>
      <c r="J80" s="2" t="inlineStr">
        <is>
          <t>[]</t>
        </is>
      </c>
      <c r="K80" s="2" t="inlineStr">
        <is>
          <t>r3</t>
        </is>
      </c>
    </row>
    <row r="81" ht="42" customHeight="1">
      <c r="A81" s="3" t="inlineStr">
        <is>
          <t>jeminise.com+custom-floral-butterfly-inspirational-blanket-machine-washable-d3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IF(B81="I1",AVERAGEIF('QA_Images'!$A$2:$A$79,A81,'QA_Images'!$T$2:$T$79)/100,IF(D81="FULL",1,IF(D81="PARTIAL",0.5,IF(D81="FAIL",0,""))))</f>
        <v/>
      </c>
      <c r="F81" s="7">
        <f>IF(E81="",0,C81*E81)</f>
        <v/>
      </c>
      <c r="G81" s="7">
        <f>IF(B81="I1",20*AVERAGEIF('QA_Images'!$A$2:$A$79,A81,'QA_Images'!$U$2:$U$79)/100,IF(D81="NOT_CHECKED",0,C81))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["evidence_batch_006_058", "https://jeminise.com/products/custom-floral-butterfly-inspirational-blanket-machine-washable-d3", "serp_qa_058"]</t>
        </is>
      </c>
      <c r="J81" s="3" t="inlineStr">
        <is>
          <t>[]</t>
        </is>
      </c>
      <c r="K81" s="3" t="inlineStr">
        <is>
          <t>r3</t>
        </is>
      </c>
    </row>
    <row r="82" ht="42" customHeight="1">
      <c r="A82" s="2" t="inlineStr">
        <is>
          <t>jeminise.com+custom-floral-butterfly-inspirational-blanket-machine-washable-d3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IF(B82="I1",AVERAGEIF('QA_Images'!$A$2:$A$79,A82,'QA_Images'!$T$2:$T$79)/100,IF(D82="FULL",1,IF(D82="PARTIAL",0.5,IF(D82="FAIL",0,""))))</f>
        <v/>
      </c>
      <c r="F82" s="5">
        <f>IF(E82="",0,C82*E82)</f>
        <v/>
      </c>
      <c r="G82" s="5">
        <f>IF(B82="I1",20*AVERAGEIF('QA_Images'!$A$2:$A$79,A82,'QA_Images'!$U$2:$U$79)/100,IF(D82="NOT_CHECKED",0,C82))</f>
        <v/>
      </c>
      <c r="H82" s="2" t="inlineStr">
        <is>
          <t>Đã đọc primary và comparator SERP theo US commercial intent; không dùng claim volume.</t>
        </is>
      </c>
      <c r="I82" s="2" t="inlineStr">
        <is>
          <t>["evidence_batch_006_058", "https://jeminise.com/products/custom-floral-butterfly-inspirational-blanket-machine-washable-d3", "serp_qa_058"]</t>
        </is>
      </c>
      <c r="J82" s="2" t="inlineStr">
        <is>
          <t>[]</t>
        </is>
      </c>
      <c r="K82" s="2" t="inlineStr">
        <is>
          <t>r3</t>
        </is>
      </c>
    </row>
    <row r="83" ht="42" customHeight="1">
      <c r="A83" s="3" t="inlineStr">
        <is>
          <t>jeminise.com+custom-floral-butterfly-inspirational-blanket-machine-washable-d3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IF(B83="I1",AVERAGEIF('QA_Images'!$A$2:$A$79,A83,'QA_Images'!$T$2:$T$79)/100,IF(D83="FULL",1,IF(D83="PARTIAL",0.5,IF(D83="FAIL",0,""))))</f>
        <v/>
      </c>
      <c r="F83" s="7">
        <f>IF(E83="",0,C83*E83)</f>
        <v/>
      </c>
      <c r="G83" s="7">
        <f>IF(B83="I1",20*AVERAGEIF('QA_Images'!$A$2:$A$79,A83,'QA_Images'!$U$2:$U$79)/100,IF(D83="NOT_CHECKED",0,C83))</f>
        <v/>
      </c>
      <c r="H83" s="3" t="inlineStr">
        <is>
          <t>Không suy diễn volume; phân biệt SERP_ONLY và HYPOTHESIS_ONLY.</t>
        </is>
      </c>
      <c r="I83" s="3" t="inlineStr">
        <is>
          <t>["evidence_batch_006_058", "https://jeminise.com/products/custom-floral-butterfly-inspirational-blanket-machine-washable-d3", "serp_qa_058"]</t>
        </is>
      </c>
      <c r="J83" s="3" t="inlineStr">
        <is>
          <t>[]</t>
        </is>
      </c>
      <c r="K83" s="3" t="inlineStr">
        <is>
          <t>r3</t>
        </is>
      </c>
    </row>
    <row r="84" ht="42" customHeight="1">
      <c r="A84" s="2" t="inlineStr">
        <is>
          <t>jeminise.com+custom-floral-butterfly-inspirational-blanket-machine-washable-d3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IF(B84="I1",AVERAGEIF('QA_Images'!$A$2:$A$79,A84,'QA_Images'!$T$2:$T$79)/100,IF(D84="FULL",1,IF(D84="PARTIAL",0.5,IF(D84="FAIL",0,""))))</f>
        <v/>
      </c>
      <c r="F84" s="5">
        <f>IF(E84="",0,C84*E84)</f>
        <v/>
      </c>
      <c r="G84" s="5">
        <f>IF(B84="I1",20*AVERAGEIF('QA_Images'!$A$2:$A$79,A84,'QA_Images'!$U$2:$U$79)/100,IF(D84="NOT_CHECKED",0,C84))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["evidence_batch_006_058", "https://jeminise.com/products/custom-floral-butterfly-inspirational-blanket-machine-washable-d3", "serp_qa_058"]</t>
        </is>
      </c>
      <c r="J84" s="2" t="inlineStr">
        <is>
          <t>[]</t>
        </is>
      </c>
      <c r="K84" s="2" t="inlineStr">
        <is>
          <t>r3</t>
        </is>
      </c>
    </row>
    <row r="85" ht="42" customHeight="1">
      <c r="A85" s="3" t="inlineStr">
        <is>
          <t>jeminise.com+custom-floral-butterfly-inspirational-blanket-machine-washable-d3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IF(B85="I1",AVERAGEIF('QA_Images'!$A$2:$A$79,A85,'QA_Images'!$T$2:$T$79)/100,IF(D85="FULL",1,IF(D85="PARTIAL",0.5,IF(D85="FAIL",0,""))))</f>
        <v/>
      </c>
      <c r="F85" s="7">
        <f>IF(E85="",0,C85*E85)</f>
        <v/>
      </c>
      <c r="G85" s="7">
        <f>IF(B85="I1",20*AVERAGEIF('QA_Images'!$A$2:$A$79,A85,'QA_Images'!$U$2:$U$79)/100,IF(D85="NOT_CHECKED",0,C85))</f>
        <v/>
      </c>
      <c r="H85" s="3" t="inlineStr">
        <is>
          <t>Đánh giá H1 đề xuất độc lập với SEO title và đối chiếu lỗi ký tự nguồn.</t>
        </is>
      </c>
      <c r="I85" s="3" t="inlineStr">
        <is>
          <t>["evidence_batch_006_058", "https://jeminise.com/products/custom-floral-butterfly-inspirational-blanket-machine-washable-d3", "serp_qa_058"]</t>
        </is>
      </c>
      <c r="J85" s="3" t="inlineStr">
        <is>
          <t>[]</t>
        </is>
      </c>
      <c r="K85" s="3" t="inlineStr">
        <is>
          <t>r3</t>
        </is>
      </c>
    </row>
    <row r="86" ht="42" customHeight="1">
      <c r="A86" s="2" t="inlineStr">
        <is>
          <t>jeminise.com+custom-floral-butterfly-inspirational-blanket-machine-washable-d3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IF(B86="I1",AVERAGEIF('QA_Images'!$A$2:$A$79,A86,'QA_Images'!$T$2:$T$79)/100,IF(D86="FULL",1,IF(D86="PARTIAL",0.5,IF(D86="FAIL",0,""))))</f>
        <v/>
      </c>
      <c r="F86" s="5">
        <f>IF(E86="",0,C86*E86)</f>
        <v/>
      </c>
      <c r="G86" s="5">
        <f>IF(B86="I1",20*AVERAGEIF('QA_Images'!$A$2:$A$79,A86,'QA_Images'!$U$2:$U$79)/100,IF(D86="NOT_CHECKED",0,C86))</f>
        <v/>
      </c>
      <c r="H86" s="2" t="inlineStr">
        <is>
          <t>Đánh giá meta description về tính cụ thể và căn cứ claim.</t>
        </is>
      </c>
      <c r="I86" s="2" t="inlineStr">
        <is>
          <t>["evidence_batch_006_058", "https://jeminise.com/products/custom-floral-butterfly-inspirational-blanket-machine-washable-d3", "serp_qa_058"]</t>
        </is>
      </c>
      <c r="J86" s="2" t="inlineStr">
        <is>
          <t>[]</t>
        </is>
      </c>
      <c r="K86" s="2" t="inlineStr">
        <is>
          <t>r3</t>
        </is>
      </c>
    </row>
    <row r="87" ht="42" customHeight="1">
      <c r="A87" s="3" t="inlineStr">
        <is>
          <t>jeminise.com+custom-floral-butterfly-inspirational-blanket-machine-washable-d3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IF(B87="I1",AVERAGEIF('QA_Images'!$A$2:$A$79,A87,'QA_Images'!$T$2:$T$79)/100,IF(D87="FULL",1,IF(D87="PARTIAL",0.5,IF(D87="FAIL",0,""))))</f>
        <v/>
      </c>
      <c r="F87" s="7">
        <f>IF(E87="",0,C87*E87)</f>
        <v/>
      </c>
      <c r="G87" s="7">
        <f>IF(B87="I1",20*AVERAGEIF('QA_Images'!$A$2:$A$79,A87,'QA_Images'!$U$2:$U$79)/100,IF(D87="NOT_CHECKED",0,C87))</f>
        <v/>
      </c>
      <c r="H87" s="3" t="inlineStr">
        <is>
          <t>Description SET có HTML đầy đủ nhưng chứa câu nội bộ 'This draft should be reviewed...' và dữ liệu nguồn thô/mâu thuẫn; chưa phải nội dung publish-ready.</t>
        </is>
      </c>
      <c r="I87" s="3" t="inlineStr">
        <is>
          <t>["evidence_batch_006_058", "https://jeminise.com/products/custom-floral-butterfly-inspirational-blanket-machine-washable-d3", "serp_qa_058"]</t>
        </is>
      </c>
      <c r="J87" s="3" t="inlineStr">
        <is>
          <t>[]</t>
        </is>
      </c>
      <c r="K87" s="3" t="inlineStr">
        <is>
          <t>r3</t>
        </is>
      </c>
    </row>
    <row r="88" ht="42" customHeight="1">
      <c r="A88" s="2" t="inlineStr">
        <is>
          <t>jeminise.com+custom-floral-butterfly-inspirational-blanket-machine-washable-d3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IF(B88="I1",AVERAGEIF('QA_Images'!$A$2:$A$79,A88,'QA_Images'!$T$2:$T$79)/100,IF(D88="FULL",1,IF(D88="PARTIAL",0.5,IF(D88="FAIL",0,""))))</f>
        <v/>
      </c>
      <c r="F88" s="5">
        <f>IF(E88="",0,C88*E88)</f>
        <v/>
      </c>
      <c r="G88" s="5">
        <f>IF(B88="I1",20*AVERAGEIF('QA_Images'!$A$2:$A$79,A88,'QA_Images'!$U$2:$U$79)/100,IF(D88="NOT_CHECKED",0,C88))</f>
        <v/>
      </c>
      <c r="H88" s="2" t="inlineStr">
        <is>
          <t>Tính từ trung bình 8 ảnh: 100.0000/100.</t>
        </is>
      </c>
      <c r="I88" s="2" t="inlineStr">
        <is>
          <t>["evidence_batch_006_058", "https://jeminise.com/products/custom-floral-butterfly-inspirational-blanket-machine-washable-d3", "serp_qa_058"]</t>
        </is>
      </c>
      <c r="J88" s="2" t="inlineStr">
        <is>
          <t>[]</t>
        </is>
      </c>
      <c r="K88" s="2" t="inlineStr">
        <is>
          <t>r3</t>
        </is>
      </c>
    </row>
    <row r="89" ht="42" customHeight="1">
      <c r="A89" s="3" t="inlineStr">
        <is>
          <t>jeminise.com+custom-floral-butterfly-inspirational-blanket-machine-washable-d3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IF(B89="I1",AVERAGEIF('QA_Images'!$A$2:$A$79,A89,'QA_Images'!$T$2:$T$79)/100,IF(D89="FULL",1,IF(D89="PARTIAL",0.5,IF(D89="FAIL",0,""))))</f>
        <v/>
      </c>
      <c r="F89" s="7">
        <f>IF(E89="",0,C89*E89)</f>
        <v/>
      </c>
      <c r="G89" s="7">
        <f>IF(B89="I1",20*AVERAGEIF('QA_Images'!$A$2:$A$79,A89,'QA_Images'!$U$2:$U$79)/100,IF(D89="NOT_CHECKED",0,C89))</f>
        <v/>
      </c>
      <c r="H89" s="3" t="inlineStr">
        <is>
          <t>Kiểm tra chuỗi evidence và giới hạn do thiếu Shopify admin export.</t>
        </is>
      </c>
      <c r="I89" s="3" t="inlineStr">
        <is>
          <t>["evidence_batch_006_058", "https://jeminise.com/products/custom-floral-butterfly-inspirational-blanket-machine-washable-d3", "serp_qa_058"]</t>
        </is>
      </c>
      <c r="J89" s="3" t="inlineStr">
        <is>
          <t>[]</t>
        </is>
      </c>
      <c r="K89" s="3" t="inlineStr">
        <is>
          <t>r3</t>
        </is>
      </c>
    </row>
    <row r="90" ht="42" customHeight="1">
      <c r="A90" s="2" t="inlineStr">
        <is>
          <t>jeminise.com+custom-floral-cross-bible-verse-blanket-machine-washable-d13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IF(B90="I1",AVERAGEIF('QA_Images'!$A$2:$A$79,A90,'QA_Images'!$T$2:$T$79)/100,IF(D90="FULL",1,IF(D90="PARTIAL",0.5,IF(D90="FAIL",0,""))))</f>
        <v/>
      </c>
      <c r="F90" s="5">
        <f>IF(E90="",0,C90*E90)</f>
        <v/>
      </c>
      <c r="G90" s="5">
        <f>IF(B90="I1",20*AVERAGEIF('QA_Images'!$A$2:$A$79,A90,'QA_Images'!$U$2:$U$79)/100,IF(D90="NOT_CHECKED",0,C90))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["evidence_batch_006_059", "https://jeminise.com/products/custom-floral-cross-bible-verse-blanket-machine-washable-d13", "serp_qa_059"]</t>
        </is>
      </c>
      <c r="J90" s="2" t="inlineStr">
        <is>
          <t>[]</t>
        </is>
      </c>
      <c r="K90" s="2" t="inlineStr">
        <is>
          <t>r3</t>
        </is>
      </c>
    </row>
    <row r="91" ht="42" customHeight="1">
      <c r="A91" s="3" t="inlineStr">
        <is>
          <t>jeminise.com+custom-floral-cross-bible-verse-blanket-machine-washable-d13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IF(B91="I1",AVERAGEIF('QA_Images'!$A$2:$A$79,A91,'QA_Images'!$T$2:$T$79)/100,IF(D91="FULL",1,IF(D91="PARTIAL",0.5,IF(D91="FAIL",0,""))))</f>
        <v/>
      </c>
      <c r="F91" s="7">
        <f>IF(E91="",0,C91*E91)</f>
        <v/>
      </c>
      <c r="G91" s="7">
        <f>IF(B91="I1",20*AVERAGEIF('QA_Images'!$A$2:$A$79,A91,'QA_Images'!$U$2:$U$79)/100,IF(D91="NOT_CHECKED",0,C91))</f>
        <v/>
      </c>
      <c r="H91" s="3" t="inlineStr">
        <is>
          <t>Đối chiếu specification, variants, components và personalization với product.js live và ảnh gốc.</t>
        </is>
      </c>
      <c r="I91" s="3" t="inlineStr">
        <is>
          <t>["evidence_batch_006_059", "https://jeminise.com/products/custom-floral-cross-bible-verse-blanket-machine-washable-d13", "serp_qa_059"]</t>
        </is>
      </c>
      <c r="J91" s="3" t="inlineStr">
        <is>
          <t>[]</t>
        </is>
      </c>
      <c r="K91" s="3" t="inlineStr">
        <is>
          <t>r3</t>
        </is>
      </c>
    </row>
    <row r="92" ht="42" customHeight="1">
      <c r="A92" s="2" t="inlineStr">
        <is>
          <t>jeminise.com+custom-floral-cross-bible-verse-blanket-machine-washable-d13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IF(B92="I1",AVERAGEIF('QA_Images'!$A$2:$A$79,A92,'QA_Images'!$T$2:$T$79)/100,IF(D92="FULL",1,IF(D92="PARTIAL",0.5,IF(D92="FAIL",0,""))))</f>
        <v/>
      </c>
      <c r="F92" s="5">
        <f>IF(E92="",0,C92*E92)</f>
        <v/>
      </c>
      <c r="G92" s="5">
        <f>IF(B92="I1",20*AVERAGEIF('QA_Images'!$A$2:$A$79,A92,'QA_Images'!$U$2:$U$79)/100,IF(D92="NOT_CHECKED",0,C92))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["evidence_batch_006_059", "https://jeminise.com/products/custom-floral-cross-bible-verse-blanket-machine-washable-d13", "serp_qa_059"]</t>
        </is>
      </c>
      <c r="J92" s="2" t="inlineStr">
        <is>
          <t>[]</t>
        </is>
      </c>
      <c r="K92" s="2" t="inlineStr">
        <is>
          <t>r3</t>
        </is>
      </c>
    </row>
    <row r="93" ht="42" customHeight="1">
      <c r="A93" s="3" t="inlineStr">
        <is>
          <t>jeminise.com+custom-floral-cross-bible-verse-blanket-machine-washable-d13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IF(B93="I1",AVERAGEIF('QA_Images'!$A$2:$A$79,A93,'QA_Images'!$T$2:$T$79)/100,IF(D93="FULL",1,IF(D93="PARTIAL",0.5,IF(D93="FAIL",0,""))))</f>
        <v/>
      </c>
      <c r="F93" s="7">
        <f>IF(E93="",0,C93*E93)</f>
        <v/>
      </c>
      <c r="G93" s="7">
        <f>IF(B93="I1",20*AVERAGEIF('QA_Images'!$A$2:$A$79,A93,'QA_Images'!$U$2:$U$79)/100,IF(D93="NOT_CHECKED",0,C93))</f>
        <v/>
      </c>
      <c r="H93" s="3" t="inlineStr">
        <is>
          <t>Đã đọc primary và comparator SERP theo US commercial intent; không dùng claim volume.</t>
        </is>
      </c>
      <c r="I93" s="3" t="inlineStr">
        <is>
          <t>["evidence_batch_006_059", "https://jeminise.com/products/custom-floral-cross-bible-verse-blanket-machine-washable-d13", "serp_qa_059"]</t>
        </is>
      </c>
      <c r="J93" s="3" t="inlineStr">
        <is>
          <t>[]</t>
        </is>
      </c>
      <c r="K93" s="3" t="inlineStr">
        <is>
          <t>r3</t>
        </is>
      </c>
    </row>
    <row r="94" ht="42" customHeight="1">
      <c r="A94" s="2" t="inlineStr">
        <is>
          <t>jeminise.com+custom-floral-cross-bible-verse-blanket-machine-washable-d13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IF(B94="I1",AVERAGEIF('QA_Images'!$A$2:$A$79,A94,'QA_Images'!$T$2:$T$79)/100,IF(D94="FULL",1,IF(D94="PARTIAL",0.5,IF(D94="FAIL",0,""))))</f>
        <v/>
      </c>
      <c r="F94" s="5">
        <f>IF(E94="",0,C94*E94)</f>
        <v/>
      </c>
      <c r="G94" s="5">
        <f>IF(B94="I1",20*AVERAGEIF('QA_Images'!$A$2:$A$79,A94,'QA_Images'!$U$2:$U$79)/100,IF(D94="NOT_CHECKED",0,C94))</f>
        <v/>
      </c>
      <c r="H94" s="2" t="inlineStr">
        <is>
          <t>Không suy diễn volume; phân biệt SERP_ONLY và HYPOTHESIS_ONLY.</t>
        </is>
      </c>
      <c r="I94" s="2" t="inlineStr">
        <is>
          <t>["evidence_batch_006_059", "https://jeminise.com/products/custom-floral-cross-bible-verse-blanket-machine-washable-d13", "serp_qa_059"]</t>
        </is>
      </c>
      <c r="J94" s="2" t="inlineStr">
        <is>
          <t>[]</t>
        </is>
      </c>
      <c r="K94" s="2" t="inlineStr">
        <is>
          <t>r3</t>
        </is>
      </c>
    </row>
    <row r="95" ht="42" customHeight="1">
      <c r="A95" s="3" t="inlineStr">
        <is>
          <t>jeminise.com+custom-floral-cross-bible-verse-blanket-machine-washable-d13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IF(B95="I1",AVERAGEIF('QA_Images'!$A$2:$A$79,A95,'QA_Images'!$T$2:$T$79)/100,IF(D95="FULL",1,IF(D95="PARTIAL",0.5,IF(D95="FAIL",0,""))))</f>
        <v/>
      </c>
      <c r="F95" s="7">
        <f>IF(E95="",0,C95*E95)</f>
        <v/>
      </c>
      <c r="G95" s="7">
        <f>IF(B95="I1",20*AVERAGEIF('QA_Images'!$A$2:$A$79,A95,'QA_Images'!$U$2:$U$79)/100,IF(D95="NOT_CHECKED",0,C95))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["evidence_batch_006_059", "https://jeminise.com/products/custom-floral-cross-bible-verse-blanket-machine-washable-d13", "serp_qa_059"]</t>
        </is>
      </c>
      <c r="J95" s="3" t="inlineStr">
        <is>
          <t>[]</t>
        </is>
      </c>
      <c r="K95" s="3" t="inlineStr">
        <is>
          <t>r3</t>
        </is>
      </c>
    </row>
    <row r="96" ht="42" customHeight="1">
      <c r="A96" s="2" t="inlineStr">
        <is>
          <t>jeminise.com+custom-floral-cross-bible-verse-blanket-machine-washable-d13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IF(B96="I1",AVERAGEIF('QA_Images'!$A$2:$A$79,A96,'QA_Images'!$T$2:$T$79)/100,IF(D96="FULL",1,IF(D96="PARTIAL",0.5,IF(D96="FAIL",0,""))))</f>
        <v/>
      </c>
      <c r="F96" s="5">
        <f>IF(E96="",0,C96*E96)</f>
        <v/>
      </c>
      <c r="G96" s="5">
        <f>IF(B96="I1",20*AVERAGEIF('QA_Images'!$A$2:$A$79,A96,'QA_Images'!$U$2:$U$79)/100,IF(D96="NOT_CHECKED",0,C96))</f>
        <v/>
      </c>
      <c r="H96" s="2" t="inlineStr">
        <is>
          <t>Đánh giá H1 đề xuất độc lập với SEO title và đối chiếu lỗi ký tự nguồn.</t>
        </is>
      </c>
      <c r="I96" s="2" t="inlineStr">
        <is>
          <t>["evidence_batch_006_059", "https://jeminise.com/products/custom-floral-cross-bible-verse-blanket-machine-washable-d13", "serp_qa_059"]</t>
        </is>
      </c>
      <c r="J96" s="2" t="inlineStr">
        <is>
          <t>[]</t>
        </is>
      </c>
      <c r="K96" s="2" t="inlineStr">
        <is>
          <t>r3</t>
        </is>
      </c>
    </row>
    <row r="97" ht="42" customHeight="1">
      <c r="A97" s="3" t="inlineStr">
        <is>
          <t>jeminise.com+custom-floral-cross-bible-verse-blanket-machine-washable-d13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IF(B97="I1",AVERAGEIF('QA_Images'!$A$2:$A$79,A97,'QA_Images'!$T$2:$T$79)/100,IF(D97="FULL",1,IF(D97="PARTIAL",0.5,IF(D97="FAIL",0,""))))</f>
        <v/>
      </c>
      <c r="F97" s="7">
        <f>IF(E97="",0,C97*E97)</f>
        <v/>
      </c>
      <c r="G97" s="7">
        <f>IF(B97="I1",20*AVERAGEIF('QA_Images'!$A$2:$A$79,A97,'QA_Images'!$U$2:$U$79)/100,IF(D97="NOT_CHECKED",0,C97))</f>
        <v/>
      </c>
      <c r="H97" s="3" t="inlineStr">
        <is>
          <t>Đánh giá meta description về tính cụ thể và căn cứ claim.</t>
        </is>
      </c>
      <c r="I97" s="3" t="inlineStr">
        <is>
          <t>["evidence_batch_006_059", "https://jeminise.com/products/custom-floral-cross-bible-verse-blanket-machine-washable-d13", "serp_qa_059"]</t>
        </is>
      </c>
      <c r="J97" s="3" t="inlineStr">
        <is>
          <t>[]</t>
        </is>
      </c>
      <c r="K97" s="3" t="inlineStr">
        <is>
          <t>r3</t>
        </is>
      </c>
    </row>
    <row r="98" ht="42" customHeight="1">
      <c r="A98" s="2" t="inlineStr">
        <is>
          <t>jeminise.com+custom-floral-cross-bible-verse-blanket-machine-washable-d13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IF(B98="I1",AVERAGEIF('QA_Images'!$A$2:$A$79,A98,'QA_Images'!$T$2:$T$79)/100,IF(D98="FULL",1,IF(D98="PARTIAL",0.5,IF(D98="FAIL",0,""))))</f>
        <v/>
      </c>
      <c r="F98" s="5">
        <f>IF(E98="",0,C98*E98)</f>
        <v/>
      </c>
      <c r="G98" s="5">
        <f>IF(B98="I1",20*AVERAGEIF('QA_Images'!$A$2:$A$79,A98,'QA_Images'!$U$2:$U$79)/100,IF(D98="NOT_CHECKED",0,C98))</f>
        <v/>
      </c>
      <c r="H98" s="2" t="inlineStr">
        <is>
          <t>Description SET có HTML đầy đủ nhưng chứa câu nội bộ 'This draft should be reviewed...' và dữ liệu nguồn thô/mâu thuẫn; chưa phải nội dung publish-ready.</t>
        </is>
      </c>
      <c r="I98" s="2" t="inlineStr">
        <is>
          <t>["evidence_batch_006_059", "https://jeminise.com/products/custom-floral-cross-bible-verse-blanket-machine-washable-d13", "serp_qa_059"]</t>
        </is>
      </c>
      <c r="J98" s="2" t="inlineStr">
        <is>
          <t>[]</t>
        </is>
      </c>
      <c r="K98" s="2" t="inlineStr">
        <is>
          <t>r3</t>
        </is>
      </c>
    </row>
    <row r="99" ht="42" customHeight="1">
      <c r="A99" s="3" t="inlineStr">
        <is>
          <t>jeminise.com+custom-floral-cross-bible-verse-blanket-machine-washable-d13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IF(B99="I1",AVERAGEIF('QA_Images'!$A$2:$A$79,A99,'QA_Images'!$T$2:$T$79)/100,IF(D99="FULL",1,IF(D99="PARTIAL",0.5,IF(D99="FAIL",0,""))))</f>
        <v/>
      </c>
      <c r="F99" s="7">
        <f>IF(E99="",0,C99*E99)</f>
        <v/>
      </c>
      <c r="G99" s="7">
        <f>IF(B99="I1",20*AVERAGEIF('QA_Images'!$A$2:$A$79,A99,'QA_Images'!$U$2:$U$79)/100,IF(D99="NOT_CHECKED",0,C99))</f>
        <v/>
      </c>
      <c r="H99" s="3" t="inlineStr">
        <is>
          <t>Tính từ trung bình 8 ảnh: 100.0000/100.</t>
        </is>
      </c>
      <c r="I99" s="3" t="inlineStr">
        <is>
          <t>["evidence_batch_006_059", "https://jeminise.com/products/custom-floral-cross-bible-verse-blanket-machine-washable-d13", "serp_qa_059"]</t>
        </is>
      </c>
      <c r="J99" s="3" t="inlineStr">
        <is>
          <t>[]</t>
        </is>
      </c>
      <c r="K99" s="3" t="inlineStr">
        <is>
          <t>r3</t>
        </is>
      </c>
    </row>
    <row r="100" ht="42" customHeight="1">
      <c r="A100" s="2" t="inlineStr">
        <is>
          <t>jeminise.com+custom-floral-cross-bible-verse-blanket-machine-washable-d13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IF(B100="I1",AVERAGEIF('QA_Images'!$A$2:$A$79,A100,'QA_Images'!$T$2:$T$79)/100,IF(D100="FULL",1,IF(D100="PARTIAL",0.5,IF(D100="FAIL",0,""))))</f>
        <v/>
      </c>
      <c r="F100" s="5">
        <f>IF(E100="",0,C100*E100)</f>
        <v/>
      </c>
      <c r="G100" s="5">
        <f>IF(B100="I1",20*AVERAGEIF('QA_Images'!$A$2:$A$79,A100,'QA_Images'!$U$2:$U$79)/100,IF(D100="NOT_CHECKED",0,C100))</f>
        <v/>
      </c>
      <c r="H100" s="2" t="inlineStr">
        <is>
          <t>Kiểm tra chuỗi evidence và giới hạn do thiếu Shopify admin export.</t>
        </is>
      </c>
      <c r="I100" s="2" t="inlineStr">
        <is>
          <t>["evidence_batch_006_059", "https://jeminise.com/products/custom-floral-cross-bible-verse-blanket-machine-washable-d13", "serp_qa_059"]</t>
        </is>
      </c>
      <c r="J100" s="2" t="inlineStr">
        <is>
          <t>[]</t>
        </is>
      </c>
      <c r="K100" s="2" t="inlineStr">
        <is>
          <t>r3</t>
        </is>
      </c>
    </row>
    <row r="101" ht="42" customHeight="1">
      <c r="A101" s="3" t="inlineStr">
        <is>
          <t>jeminise.com+custom-floral-cross-with-butterflies-blanket-machine-washable-d6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IF(B101="I1",AVERAGEIF('QA_Images'!$A$2:$A$79,A101,'QA_Images'!$T$2:$T$79)/100,IF(D101="FULL",1,IF(D101="PARTIAL",0.5,IF(D101="FAIL",0,""))))</f>
        <v/>
      </c>
      <c r="F101" s="7">
        <f>IF(E101="",0,C101*E101)</f>
        <v/>
      </c>
      <c r="G101" s="7">
        <f>IF(B101="I1",20*AVERAGEIF('QA_Images'!$A$2:$A$79,A101,'QA_Images'!$U$2:$U$79)/100,IF(D101="NOT_CHECKED",0,C101))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["evidence_batch_006_060", "https://jeminise.com/products/custom-floral-cross-with-butterflies-blanket-machine-washable-d6", "serp_qa_060"]</t>
        </is>
      </c>
      <c r="J101" s="3" t="inlineStr">
        <is>
          <t>[]</t>
        </is>
      </c>
      <c r="K101" s="3" t="inlineStr">
        <is>
          <t>r3</t>
        </is>
      </c>
    </row>
    <row r="102" ht="42" customHeight="1">
      <c r="A102" s="2" t="inlineStr">
        <is>
          <t>jeminise.com+custom-floral-cross-with-butterflies-blanket-machine-washable-d6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IF(B102="I1",AVERAGEIF('QA_Images'!$A$2:$A$79,A102,'QA_Images'!$T$2:$T$79)/100,IF(D102="FULL",1,IF(D102="PARTIAL",0.5,IF(D102="FAIL",0,""))))</f>
        <v/>
      </c>
      <c r="F102" s="5">
        <f>IF(E102="",0,C102*E102)</f>
        <v/>
      </c>
      <c r="G102" s="5">
        <f>IF(B102="I1",20*AVERAGEIF('QA_Images'!$A$2:$A$79,A102,'QA_Images'!$U$2:$U$79)/100,IF(D102="NOT_CHECKED",0,C102))</f>
        <v/>
      </c>
      <c r="H102" s="2" t="inlineStr">
        <is>
          <t>Đối chiếu specification, variants, components và personalization với product.js live và ảnh gốc.</t>
        </is>
      </c>
      <c r="I102" s="2" t="inlineStr">
        <is>
          <t>["evidence_batch_006_060", "https://jeminise.com/products/custom-floral-cross-with-butterflies-blanket-machine-washable-d6", "serp_qa_060"]</t>
        </is>
      </c>
      <c r="J102" s="2" t="inlineStr">
        <is>
          <t>[]</t>
        </is>
      </c>
      <c r="K102" s="2" t="inlineStr">
        <is>
          <t>r3</t>
        </is>
      </c>
    </row>
    <row r="103" ht="42" customHeight="1">
      <c r="A103" s="3" t="inlineStr">
        <is>
          <t>jeminise.com+custom-floral-cross-with-butterflies-blanket-machine-washable-d6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IF(B103="I1",AVERAGEIF('QA_Images'!$A$2:$A$79,A103,'QA_Images'!$T$2:$T$79)/100,IF(D103="FULL",1,IF(D103="PARTIAL",0.5,IF(D103="FAIL",0,""))))</f>
        <v/>
      </c>
      <c r="F103" s="7">
        <f>IF(E103="",0,C103*E103)</f>
        <v/>
      </c>
      <c r="G103" s="7">
        <f>IF(B103="I1",20*AVERAGEIF('QA_Images'!$A$2:$A$79,A103,'QA_Images'!$U$2:$U$79)/100,IF(D103="NOT_CHECKED",0,C103))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["evidence_batch_006_060", "https://jeminise.com/products/custom-floral-cross-with-butterflies-blanket-machine-washable-d6", "serp_qa_060"]</t>
        </is>
      </c>
      <c r="J103" s="3" t="inlineStr">
        <is>
          <t>[]</t>
        </is>
      </c>
      <c r="K103" s="3" t="inlineStr">
        <is>
          <t>r3</t>
        </is>
      </c>
    </row>
    <row r="104" ht="42" customHeight="1">
      <c r="A104" s="2" t="inlineStr">
        <is>
          <t>jeminise.com+custom-floral-cross-with-butterflies-blanket-machine-washable-d6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IF(B104="I1",AVERAGEIF('QA_Images'!$A$2:$A$79,A104,'QA_Images'!$T$2:$T$79)/100,IF(D104="FULL",1,IF(D104="PARTIAL",0.5,IF(D104="FAIL",0,""))))</f>
        <v/>
      </c>
      <c r="F104" s="5">
        <f>IF(E104="",0,C104*E104)</f>
        <v/>
      </c>
      <c r="G104" s="5">
        <f>IF(B104="I1",20*AVERAGEIF('QA_Images'!$A$2:$A$79,A104,'QA_Images'!$U$2:$U$79)/100,IF(D104="NOT_CHECKED",0,C104))</f>
        <v/>
      </c>
      <c r="H104" s="2" t="inlineStr">
        <is>
          <t>Đã đọc primary và comparator SERP theo US commercial intent; không dùng claim volume.</t>
        </is>
      </c>
      <c r="I104" s="2" t="inlineStr">
        <is>
          <t>["evidence_batch_006_060", "https://jeminise.com/products/custom-floral-cross-with-butterflies-blanket-machine-washable-d6", "serp_qa_060"]</t>
        </is>
      </c>
      <c r="J104" s="2" t="inlineStr">
        <is>
          <t>[]</t>
        </is>
      </c>
      <c r="K104" s="2" t="inlineStr">
        <is>
          <t>r3</t>
        </is>
      </c>
    </row>
    <row r="105" ht="42" customHeight="1">
      <c r="A105" s="3" t="inlineStr">
        <is>
          <t>jeminise.com+custom-floral-cross-with-butterflies-blanket-machine-washable-d6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IF(B105="I1",AVERAGEIF('QA_Images'!$A$2:$A$79,A105,'QA_Images'!$T$2:$T$79)/100,IF(D105="FULL",1,IF(D105="PARTIAL",0.5,IF(D105="FAIL",0,""))))</f>
        <v/>
      </c>
      <c r="F105" s="7">
        <f>IF(E105="",0,C105*E105)</f>
        <v/>
      </c>
      <c r="G105" s="7">
        <f>IF(B105="I1",20*AVERAGEIF('QA_Images'!$A$2:$A$79,A105,'QA_Images'!$U$2:$U$79)/100,IF(D105="NOT_CHECKED",0,C105))</f>
        <v/>
      </c>
      <c r="H105" s="3" t="inlineStr">
        <is>
          <t>Không suy diễn volume; phân biệt SERP_ONLY và HYPOTHESIS_ONLY.</t>
        </is>
      </c>
      <c r="I105" s="3" t="inlineStr">
        <is>
          <t>["evidence_batch_006_060", "https://jeminise.com/products/custom-floral-cross-with-butterflies-blanket-machine-washable-d6", "serp_qa_060"]</t>
        </is>
      </c>
      <c r="J105" s="3" t="inlineStr">
        <is>
          <t>[]</t>
        </is>
      </c>
      <c r="K105" s="3" t="inlineStr">
        <is>
          <t>r3</t>
        </is>
      </c>
    </row>
    <row r="106" ht="42" customHeight="1">
      <c r="A106" s="2" t="inlineStr">
        <is>
          <t>jeminise.com+custom-floral-cross-with-butterflies-blanket-machine-washable-d6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IF(B106="I1",AVERAGEIF('QA_Images'!$A$2:$A$79,A106,'QA_Images'!$T$2:$T$79)/100,IF(D106="FULL",1,IF(D106="PARTIAL",0.5,IF(D106="FAIL",0,""))))</f>
        <v/>
      </c>
      <c r="F106" s="5">
        <f>IF(E106="",0,C106*E106)</f>
        <v/>
      </c>
      <c r="G106" s="5">
        <f>IF(B106="I1",20*AVERAGEIF('QA_Images'!$A$2:$A$79,A106,'QA_Images'!$U$2:$U$79)/100,IF(D106="NOT_CHECKED",0,C106))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["evidence_batch_006_060", "https://jeminise.com/products/custom-floral-cross-with-butterflies-blanket-machine-washable-d6", "serp_qa_060"]</t>
        </is>
      </c>
      <c r="J106" s="2" t="inlineStr">
        <is>
          <t>[]</t>
        </is>
      </c>
      <c r="K106" s="2" t="inlineStr">
        <is>
          <t>r3</t>
        </is>
      </c>
    </row>
    <row r="107" ht="42" customHeight="1">
      <c r="A107" s="3" t="inlineStr">
        <is>
          <t>jeminise.com+custom-floral-cross-with-butterflies-blanket-machine-washable-d6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IF(B107="I1",AVERAGEIF('QA_Images'!$A$2:$A$79,A107,'QA_Images'!$T$2:$T$79)/100,IF(D107="FULL",1,IF(D107="PARTIAL",0.5,IF(D107="FAIL",0,""))))</f>
        <v/>
      </c>
      <c r="F107" s="7">
        <f>IF(E107="",0,C107*E107)</f>
        <v/>
      </c>
      <c r="G107" s="7">
        <f>IF(B107="I1",20*AVERAGEIF('QA_Images'!$A$2:$A$79,A107,'QA_Images'!$U$2:$U$79)/100,IF(D107="NOT_CHECKED",0,C107))</f>
        <v/>
      </c>
      <c r="H107" s="3" t="inlineStr">
        <is>
          <t>Đánh giá H1 đề xuất độc lập với SEO title và đối chiếu lỗi ký tự nguồn.</t>
        </is>
      </c>
      <c r="I107" s="3" t="inlineStr">
        <is>
          <t>["evidence_batch_006_060", "https://jeminise.com/products/custom-floral-cross-with-butterflies-blanket-machine-washable-d6", "serp_qa_060"]</t>
        </is>
      </c>
      <c r="J107" s="3" t="inlineStr">
        <is>
          <t>[]</t>
        </is>
      </c>
      <c r="K107" s="3" t="inlineStr">
        <is>
          <t>r3</t>
        </is>
      </c>
    </row>
    <row r="108" ht="42" customHeight="1">
      <c r="A108" s="2" t="inlineStr">
        <is>
          <t>jeminise.com+custom-floral-cross-with-butterflies-blanket-machine-washable-d6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IF(B108="I1",AVERAGEIF('QA_Images'!$A$2:$A$79,A108,'QA_Images'!$T$2:$T$79)/100,IF(D108="FULL",1,IF(D108="PARTIAL",0.5,IF(D108="FAIL",0,""))))</f>
        <v/>
      </c>
      <c r="F108" s="5">
        <f>IF(E108="",0,C108*E108)</f>
        <v/>
      </c>
      <c r="G108" s="5">
        <f>IF(B108="I1",20*AVERAGEIF('QA_Images'!$A$2:$A$79,A108,'QA_Images'!$U$2:$U$79)/100,IF(D108="NOT_CHECKED",0,C108))</f>
        <v/>
      </c>
      <c r="H108" s="2" t="inlineStr">
        <is>
          <t>Đánh giá meta description về tính cụ thể và căn cứ claim.</t>
        </is>
      </c>
      <c r="I108" s="2" t="inlineStr">
        <is>
          <t>["evidence_batch_006_060", "https://jeminise.com/products/custom-floral-cross-with-butterflies-blanket-machine-washable-d6", "serp_qa_060"]</t>
        </is>
      </c>
      <c r="J108" s="2" t="inlineStr">
        <is>
          <t>[]</t>
        </is>
      </c>
      <c r="K108" s="2" t="inlineStr">
        <is>
          <t>r3</t>
        </is>
      </c>
    </row>
    <row r="109" ht="42" customHeight="1">
      <c r="A109" s="3" t="inlineStr">
        <is>
          <t>jeminise.com+custom-floral-cross-with-butterflies-blanket-machine-washable-d6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IF(B109="I1",AVERAGEIF('QA_Images'!$A$2:$A$79,A109,'QA_Images'!$T$2:$T$79)/100,IF(D109="FULL",1,IF(D109="PARTIAL",0.5,IF(D109="FAIL",0,""))))</f>
        <v/>
      </c>
      <c r="F109" s="7">
        <f>IF(E109="",0,C109*E109)</f>
        <v/>
      </c>
      <c r="G109" s="7">
        <f>IF(B109="I1",20*AVERAGEIF('QA_Images'!$A$2:$A$79,A109,'QA_Images'!$U$2:$U$79)/100,IF(D109="NOT_CHECKED",0,C109))</f>
        <v/>
      </c>
      <c r="H109" s="3" t="inlineStr">
        <is>
          <t>Description SET có HTML đầy đủ nhưng chứa câu nội bộ 'This draft should be reviewed...' và dữ liệu nguồn thô/mâu thuẫn; chưa phải nội dung publish-ready.</t>
        </is>
      </c>
      <c r="I109" s="3" t="inlineStr">
        <is>
          <t>["evidence_batch_006_060", "https://jeminise.com/products/custom-floral-cross-with-butterflies-blanket-machine-washable-d6", "serp_qa_060"]</t>
        </is>
      </c>
      <c r="J109" s="3" t="inlineStr">
        <is>
          <t>[]</t>
        </is>
      </c>
      <c r="K109" s="3" t="inlineStr">
        <is>
          <t>r3</t>
        </is>
      </c>
    </row>
    <row r="110" ht="42" customHeight="1">
      <c r="A110" s="2" t="inlineStr">
        <is>
          <t>jeminise.com+custom-floral-cross-with-butterflies-blanket-machine-washable-d6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IF(B110="I1",AVERAGEIF('QA_Images'!$A$2:$A$79,A110,'QA_Images'!$T$2:$T$79)/100,IF(D110="FULL",1,IF(D110="PARTIAL",0.5,IF(D110="FAIL",0,""))))</f>
        <v/>
      </c>
      <c r="F110" s="5">
        <f>IF(E110="",0,C110*E110)</f>
        <v/>
      </c>
      <c r="G110" s="5">
        <f>IF(B110="I1",20*AVERAGEIF('QA_Images'!$A$2:$A$79,A110,'QA_Images'!$U$2:$U$79)/100,IF(D110="NOT_CHECKED",0,C110))</f>
        <v/>
      </c>
      <c r="H110" s="2" t="inlineStr">
        <is>
          <t>Tính từ trung bình 8 ảnh: 100.0000/100.</t>
        </is>
      </c>
      <c r="I110" s="2" t="inlineStr">
        <is>
          <t>["evidence_batch_006_060", "https://jeminise.com/products/custom-floral-cross-with-butterflies-blanket-machine-washable-d6", "serp_qa_060"]</t>
        </is>
      </c>
      <c r="J110" s="2" t="inlineStr">
        <is>
          <t>[]</t>
        </is>
      </c>
      <c r="K110" s="2" t="inlineStr">
        <is>
          <t>r3</t>
        </is>
      </c>
    </row>
    <row r="111" ht="42" customHeight="1">
      <c r="A111" s="3" t="inlineStr">
        <is>
          <t>jeminise.com+custom-floral-cross-with-butterflies-blanket-machine-washable-d6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IF(B111="I1",AVERAGEIF('QA_Images'!$A$2:$A$79,A111,'QA_Images'!$T$2:$T$79)/100,IF(D111="FULL",1,IF(D111="PARTIAL",0.5,IF(D111="FAIL",0,""))))</f>
        <v/>
      </c>
      <c r="F111" s="7">
        <f>IF(E111="",0,C111*E111)</f>
        <v/>
      </c>
      <c r="G111" s="7">
        <f>IF(B111="I1",20*AVERAGEIF('QA_Images'!$A$2:$A$79,A111,'QA_Images'!$U$2:$U$79)/100,IF(D111="NOT_CHECKED",0,C111))</f>
        <v/>
      </c>
      <c r="H111" s="3" t="inlineStr">
        <is>
          <t>Kiểm tra chuỗi evidence và giới hạn do thiếu Shopify admin export.</t>
        </is>
      </c>
      <c r="I111" s="3" t="inlineStr">
        <is>
          <t>["evidence_batch_006_060", "https://jeminise.com/products/custom-floral-cross-with-butterflies-blanket-machine-washable-d6", "serp_qa_060"]</t>
        </is>
      </c>
      <c r="J111" s="3" t="inlineStr">
        <is>
          <t>[]</t>
        </is>
      </c>
      <c r="K111" s="3" t="inlineStr">
        <is>
          <t>r3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jeminise.com+custom-christian-scripture-floral-blanket-machine-washable-d10</t>
        </is>
      </c>
      <c r="B2" s="2" t="inlineStr">
        <is>
          <t>qaimg_c18418825bfea174</t>
        </is>
      </c>
      <c r="C2" s="4" t="inlineStr">
        <is>
          <t>https://cdn.shopify.com/s/files/1/0792/5098/1063/files/14dd0c0f30fcfd28e1f8975ca547107bf2f18cd4e870a1c4dd402fb77fa109ae.jpg?v=1786596944</t>
        </is>
      </c>
      <c r="D2" s="4" t="inlineStr">
        <is>
          <t>https://cdn.shopify.com/s/files/1/0792/5098/1063/files/14dd0c0f30fcfd28e1f8975ca547107bf2f18cd4e870a1c4dd402fb77fa109ae.jpg?v=1786596944</t>
        </is>
      </c>
      <c r="E2" s="2" t="inlineStr">
        <is>
          <t>38793483976903</t>
        </is>
      </c>
      <c r="F2" s="2" t="inlineStr">
        <is>
          <t>47830609887431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2026-09-08T09:03:24.605236+07:00</t>
        </is>
      </c>
      <c r="K2" s="2" t="inlineStr">
        <is>
          <t>Woman holding a pink floral God Says I Am blanket with the sample name EMILY, acrostic Bible references and Philippians 4:13.</t>
        </is>
      </c>
      <c r="L2" s="2" t="inlineStr">
        <is>
          <t>Person holding pink God Says I Am Christian scripture blanket with large EMILY sample name, floral border and butterflies.</t>
        </is>
      </c>
      <c r="M2" s="2" t="inlineStr">
        <is>
          <t>Custom Christian scripture floral Blanket, Machine Washable</t>
        </is>
      </c>
      <c r="N2" s="2" t="inlineStr">
        <is>
          <t>SET</t>
        </is>
      </c>
      <c r="O2" s="2" t="inlineStr">
        <is>
          <t>Pink God Says I Am blanket with EMILY name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["seo_runs\\jeminise.com\\20260906_234129\\evidence\\images\\51_custom-christian-scripture-floral-blanket-machine-washable-d10\\image_01_47830609887431.jpg;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"https://cdn.shopify.com/s/files/1/0792/5098/1063/files/14dd0c0f30fcfd28e1f8975ca547107bf2f18cd4e870a1c4dd402fb77fa109ae.jpg?v=1786596944"]</t>
        </is>
      </c>
      <c r="AA2" s="2" t="inlineStr">
        <is>
          <t>r3</t>
        </is>
      </c>
    </row>
    <row r="3" ht="66" customHeight="1">
      <c r="A3" s="3" t="inlineStr">
        <is>
          <t>jeminise.com+custom-christian-scripture-floral-blanket-machine-washable-d10</t>
        </is>
      </c>
      <c r="B3" s="3" t="inlineStr">
        <is>
          <t>qaimg_64d5d97fcfd5465a</t>
        </is>
      </c>
      <c r="C3" s="4" t="inlineStr">
        <is>
          <t>https://cdn.shopify.com/s/files/1/0792/5098/1063/files/3035ddad60f0c45fa193d7a6451a2fc3df75aa29b39b6303c8de9ae138c1fa7a.jpg?v=1786596944</t>
        </is>
      </c>
      <c r="D3" s="4" t="inlineStr">
        <is>
          <t>https://cdn.shopify.com/s/files/1/0792/5098/1063/files/3035ddad60f0c45fa193d7a6451a2fc3df75aa29b39b6303c8de9ae138c1fa7a.jpg?v=1786596944</t>
        </is>
      </c>
      <c r="E3" s="3" t="inlineStr">
        <is>
          <t>38793484009671</t>
        </is>
      </c>
      <c r="F3" s="3" t="inlineStr">
        <is>
          <t>47830609920199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2026-09-08T09:03:24.605236+07:00</t>
        </is>
      </c>
      <c r="K3" s="3" t="inlineStr">
        <is>
          <t>Isolated mockup of the pink EMILY God Says I Am blanket.</t>
        </is>
      </c>
      <c r="L3" s="3" t="inlineStr">
        <is>
          <t>Flat view of pink scripture blanket with EMILY sample name, floral border, butterflies and Philippians 4:13 text.</t>
        </is>
      </c>
      <c r="M3" s="3" t="inlineStr">
        <is>
          <t>Custom Christian scripture floral Blanket, Machine Washable</t>
        </is>
      </c>
      <c r="N3" s="3" t="inlineStr">
        <is>
          <t>SET</t>
        </is>
      </c>
      <c r="O3" s="3" t="inlineStr">
        <is>
          <t>Pink scripture floral blanket flat view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["seo_runs\\jeminise.com\\20260906_234129\\evidence\\images\\51_custom-christian-scripture-floral-blanket-machine-washable-d10\\image_02_47830609920199.jpg;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"https://cdn.shopify.com/s/files/1/0792/5098/1063/files/3035ddad60f0c45fa193d7a6451a2fc3df75aa29b39b6303c8de9ae138c1fa7a.jpg?v=1786596944"]</t>
        </is>
      </c>
      <c r="AA3" s="3" t="inlineStr">
        <is>
          <t>r3</t>
        </is>
      </c>
    </row>
    <row r="4" ht="66" customHeight="1">
      <c r="A4" s="2" t="inlineStr">
        <is>
          <t>jeminise.com+custom-christian-scripture-floral-blanket-machine-washable-d10</t>
        </is>
      </c>
      <c r="B4" s="2" t="inlineStr">
        <is>
          <t>qaimg_e1afc0301740a60f</t>
        </is>
      </c>
      <c r="C4" s="4" t="inlineStr">
        <is>
          <t>https://cdn.shopify.com/s/files/1/0792/5098/1063/files/55f355538113be81167be98854e695de1038b0d76b233b5b75d00ebe3809b04a.jpg?v=1786596944</t>
        </is>
      </c>
      <c r="D4" s="4" t="inlineStr">
        <is>
          <t>https://cdn.shopify.com/s/files/1/0792/5098/1063/files/55f355538113be81167be98854e695de1038b0d76b233b5b75d00ebe3809b04a.jpg?v=1786596944</t>
        </is>
      </c>
      <c r="E4" s="2" t="inlineStr">
        <is>
          <t>38793484042439</t>
        </is>
      </c>
      <c r="F4" s="2" t="inlineStr">
        <is>
          <t>47830609952967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2026-09-08T09:03:24.605236+07:00</t>
        </is>
      </c>
      <c r="K4" s="2" t="inlineStr">
        <is>
          <t>Pink EMILY scripture blanket draped over a sofa.</t>
        </is>
      </c>
      <c r="L4" s="2" t="inlineStr">
        <is>
          <t>Pink God Says I Am blanket draped on couch with EMILY sample name and floral border.</t>
        </is>
      </c>
      <c r="M4" s="2" t="inlineStr">
        <is>
          <t>Custom Christian scripture floral Blanket, Machine Washable</t>
        </is>
      </c>
      <c r="N4" s="2" t="inlineStr">
        <is>
          <t>SET</t>
        </is>
      </c>
      <c r="O4" s="2" t="inlineStr">
        <is>
          <t>Pink EMILY scripture blanket couch mockup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["seo_runs\\jeminise.com\\20260906_234129\\evidence\\images\\51_custom-christian-scripture-floral-blanket-machine-washable-d10\\image_03_47830609952967.jpg;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"https://cdn.shopify.com/s/files/1/0792/5098/1063/files/55f355538113be81167be98854e695de1038b0d76b233b5b75d00ebe3809b04a.jpg?v=1786596944"]</t>
        </is>
      </c>
      <c r="AA4" s="2" t="inlineStr">
        <is>
          <t>r3</t>
        </is>
      </c>
    </row>
    <row r="5" ht="66" customHeight="1">
      <c r="A5" s="3" t="inlineStr">
        <is>
          <t>jeminise.com+custom-christian-scripture-floral-blanket-machine-washable-d10</t>
        </is>
      </c>
      <c r="B5" s="3" t="inlineStr">
        <is>
          <t>qaimg_0ffbb6c39559aba9</t>
        </is>
      </c>
      <c r="C5" s="4" t="inlineStr">
        <is>
          <t>https://cdn.shopify.com/s/files/1/0792/5098/1063/files/f080c96407dbf1941ada8d3611cbf5489f32ed2db06c951fda081e2d9bd1746e.jpg?v=1786596944</t>
        </is>
      </c>
      <c r="D5" s="4" t="inlineStr">
        <is>
          <t>https://cdn.shopify.com/s/files/1/0792/5098/1063/files/f080c96407dbf1941ada8d3611cbf5489f32ed2db06c951fda081e2d9bd1746e.jpg?v=1786596944</t>
        </is>
      </c>
      <c r="E5" s="3" t="inlineStr">
        <is>
          <t>38793484075207</t>
        </is>
      </c>
      <c r="F5" s="3" t="inlineStr">
        <is>
          <t>47830609985735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2026-09-08T09:03:24.605236+07:00</t>
        </is>
      </c>
      <c r="K5" s="3" t="inlineStr">
        <is>
          <t>Second sofa lifestyle view of the pink EMILY scripture blanket.</t>
        </is>
      </c>
      <c r="L5" s="3" t="inlineStr">
        <is>
          <t>Pink scripture blanket spread on bed or sofa with God Says I Am text and EMILY sample name.</t>
        </is>
      </c>
      <c r="M5" s="3" t="inlineStr">
        <is>
          <t>Custom Christian scripture floral Blanket, Machine Washable</t>
        </is>
      </c>
      <c r="N5" s="3" t="inlineStr">
        <is>
          <t>SET</t>
        </is>
      </c>
      <c r="O5" s="3" t="inlineStr">
        <is>
          <t>Pink EMILY Christian blanket bed mockup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["seo_runs\\jeminise.com\\20260906_234129\\evidence\\images\\51_custom-christian-scripture-floral-blanket-machine-washable-d10\\image_04_47830609985735.jpg;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"https://cdn.shopify.com/s/files/1/0792/5098/1063/files/f080c96407dbf1941ada8d3611cbf5489f32ed2db06c951fda081e2d9bd1746e.jpg?v=1786596944"]</t>
        </is>
      </c>
      <c r="AA5" s="3" t="inlineStr">
        <is>
          <t>r3</t>
        </is>
      </c>
    </row>
    <row r="6" ht="66" customHeight="1">
      <c r="A6" s="2" t="inlineStr">
        <is>
          <t>jeminise.com+custom-christian-scripture-floral-blanket-machine-washable-d10</t>
        </is>
      </c>
      <c r="B6" s="2" t="inlineStr">
        <is>
          <t>qaimg_a9d45a49cd0509ad</t>
        </is>
      </c>
      <c r="C6" s="4" t="inlineStr">
        <is>
          <t>https://cdn.shopify.com/s/files/1/0792/5098/1063/files/c8e7403737eb50deddf014f714c4b268f2bced3797508ca336b6e63761050ea1.jpg?v=1786596944</t>
        </is>
      </c>
      <c r="D6" s="4" t="inlineStr">
        <is>
          <t>https://cdn.shopify.com/s/files/1/0792/5098/1063/files/c8e7403737eb50deddf014f714c4b268f2bced3797508ca336b6e63761050ea1.jpg?v=1786596944</t>
        </is>
      </c>
      <c r="E6" s="2" t="inlineStr">
        <is>
          <t>38793484107975</t>
        </is>
      </c>
      <c r="F6" s="2" t="inlineStr">
        <is>
          <t>47830610018503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2026-09-08T09:03:24.605236+07:00</t>
        </is>
      </c>
      <c r="K6" s="2" t="inlineStr">
        <is>
          <t>Father and child reading under the pink EMILY scripture blanket.</t>
        </is>
      </c>
      <c r="L6" s="2" t="inlineStr">
        <is>
          <t>Lifestyle reading scene with adult and child under pink EMILY scripture blanket.</t>
        </is>
      </c>
      <c r="M6" s="2" t="inlineStr">
        <is>
          <t>Custom Christian scripture floral Blanket, Machine Washable</t>
        </is>
      </c>
      <c r="N6" s="2" t="inlineStr">
        <is>
          <t>SET</t>
        </is>
      </c>
      <c r="O6" s="2" t="inlineStr">
        <is>
          <t>Pink EMILY scripture blanket reading scene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["seo_runs\\jeminise.com\\20260906_234129\\evidence\\images\\51_custom-christian-scripture-floral-blanket-machine-washable-d10\\image_05_47830610018503.jpg;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"https://cdn.shopify.com/s/files/1/0792/5098/1063/files/c8e7403737eb50deddf014f714c4b268f2bced3797508ca336b6e63761050ea1.jpg?v=1786596944"]</t>
        </is>
      </c>
      <c r="AA6" s="2" t="inlineStr">
        <is>
          <t>r3</t>
        </is>
      </c>
    </row>
    <row r="7" ht="66" customHeight="1">
      <c r="A7" s="3" t="inlineStr">
        <is>
          <t>jeminise.com+custom-christian-scripture-floral-blanket-machine-washable-d10</t>
        </is>
      </c>
      <c r="B7" s="3" t="inlineStr">
        <is>
          <t>qaimg_941e3f8de9ecbf88</t>
        </is>
      </c>
      <c r="C7" s="4" t="inlineStr">
        <is>
          <t>https://cdn.shopify.com/s/files/1/0792/5098/1063/files/aa3d32f3f3ea36d848002ec9691f58c355d4b160688300f3233e63943f210b46.jpg?v=1786596944</t>
        </is>
      </c>
      <c r="D7" s="4" t="inlineStr">
        <is>
          <t>https://cdn.shopify.com/s/files/1/0792/5098/1063/files/aa3d32f3f3ea36d848002ec9691f58c355d4b160688300f3233e63943f210b46.jpg?v=1786596944</t>
        </is>
      </c>
      <c r="E7" s="3" t="inlineStr">
        <is>
          <t>38793484140743</t>
        </is>
      </c>
      <c r="F7" s="3" t="inlineStr">
        <is>
          <t>47830610051271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2026-09-08T09:03:24.605236+07:00</t>
        </is>
      </c>
      <c r="K7" s="3" t="inlineStr">
        <is>
          <t>Blanket size chart for 40x30, 50x40, 60x50 and 80x60 inches.</t>
        </is>
      </c>
      <c r="L7" s="3" t="inlineStr">
        <is>
          <t>Blanket size chart showing PET, BOY/GIRL, ADULTS and BED dimensions.</t>
        </is>
      </c>
      <c r="M7" s="3" t="inlineStr">
        <is>
          <t>Custom Christian scripture floral Blanket, Machine Washable</t>
        </is>
      </c>
      <c r="N7" s="3" t="inlineStr">
        <is>
          <t>SET</t>
        </is>
      </c>
      <c r="O7" s="3" t="inlineStr">
        <is>
          <t>Pink Christian scripture blanket size chart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["seo_runs\\jeminise.com\\20260906_234129\\evidence\\images\\51_custom-christian-scripture-floral-blanket-machine-washable-d10\\image_06_47830610051271.jpg;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"https://cdn.shopify.com/s/files/1/0792/5098/1063/files/aa3d32f3f3ea36d848002ec9691f58c355d4b160688300f3233e63943f210b46.jpg?v=1786596944"]</t>
        </is>
      </c>
      <c r="AA7" s="3" t="inlineStr">
        <is>
          <t>r3</t>
        </is>
      </c>
    </row>
    <row r="8" ht="66" customHeight="1">
      <c r="A8" s="2" t="inlineStr">
        <is>
          <t>jeminise.com+custom-christian-scripture-floral-blanket-machine-washable-d10</t>
        </is>
      </c>
      <c r="B8" s="2" t="inlineStr">
        <is>
          <t>qaimg_e8ccfea68c57cbfd</t>
        </is>
      </c>
      <c r="C8" s="4" t="inlineStr">
        <is>
          <t>https://cdn.shopify.com/s/files/1/0792/5098/1063/files/4a0dab86b5bacc2a06f2dcdede895972a2cff70323306354b340e990014ca363.jpg?v=1786596944</t>
        </is>
      </c>
      <c r="D8" s="4" t="inlineStr">
        <is>
          <t>https://cdn.shopify.com/s/files/1/0792/5098/1063/files/4a0dab86b5bacc2a06f2dcdede895972a2cff70323306354b340e990014ca363.jpg?v=1786596944</t>
        </is>
      </c>
      <c r="E8" s="2" t="inlineStr">
        <is>
          <t>38793484173511</t>
        </is>
      </c>
      <c r="F8" s="2" t="inlineStr">
        <is>
          <t>47830610084039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2026-09-08T09:03:24.605236+07:00</t>
        </is>
      </c>
      <c r="K8" s="2" t="inlineStr">
        <is>
          <t>Blanket feature panel marked fluffy and soft, high quality, no pilling, no shedding, gentle and smooth.</t>
        </is>
      </c>
      <c r="L8" s="2" t="inlineStr">
        <is>
          <t>Blanket material panel showing fluffy soft texture, high quality, no pilling, no shedding and smooth feel.</t>
        </is>
      </c>
      <c r="M8" s="2" t="inlineStr">
        <is>
          <t>Custom Christian scripture floral Blanket, Machine Washable</t>
        </is>
      </c>
      <c r="N8" s="2" t="inlineStr">
        <is>
          <t>SET</t>
        </is>
      </c>
      <c r="O8" s="2" t="inlineStr">
        <is>
          <t>Pink scripture blanket soft material panel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["seo_runs\\jeminise.com\\20260906_234129\\evidence\\images\\51_custom-christian-scripture-floral-blanket-machine-washable-d10\\image_07_47830610084039.jpg; seo_runs\\jeminise.com\\20260906_234129\\evidence\\contact_sheets\\51_custom-christian-scripture-floral-blanket-machine-washable-d10.jpg", "https://jeminise.com/products/custom-christian-scripture-floral-blanket-machine-washable-d10", "https://cdn.shopify.com/s/files/1/0792/5098/1063/files/4a0dab86b5bacc2a06f2dcdede895972a2cff70323306354b340e990014ca363.jpg?v=1786596944"]</t>
        </is>
      </c>
      <c r="AA8" s="2" t="inlineStr">
        <is>
          <t>r3</t>
        </is>
      </c>
    </row>
    <row r="9" ht="66" customHeight="1">
      <c r="A9" s="3" t="inlineStr">
        <is>
          <t>jeminise.com+custom-emily-god-says-i-am-blanket-machine-washable-d9</t>
        </is>
      </c>
      <c r="B9" s="3" t="inlineStr">
        <is>
          <t>qaimg_1c56381c97aa6d05</t>
        </is>
      </c>
      <c r="C9" s="4" t="inlineStr">
        <is>
          <t>https://cdn.shopify.com/s/files/1/0792/5098/1063/files/ea1a859cc89e6d530481c10b14251d51f07bca99c1557d81d7238b2950f73318.jpg?v=1786596303</t>
        </is>
      </c>
      <c r="D9" s="4" t="inlineStr">
        <is>
          <t>https://cdn.shopify.com/s/files/1/0792/5098/1063/files/ea1a859cc89e6d530481c10b14251d51f07bca99c1557d81d7238b2950f73318.jpg?v=1786596303</t>
        </is>
      </c>
      <c r="E9" s="3" t="inlineStr">
        <is>
          <t>38793331900615</t>
        </is>
      </c>
      <c r="F9" s="3" t="inlineStr">
        <is>
          <t>47830456860871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2026-09-08T09:03:24.605236+07:00</t>
        </is>
      </c>
      <c r="K9" s="3" t="inlineStr">
        <is>
          <t>Woman holding a blue-and-white floral God Says I Am blanket with the sample name EMILY and Bible references.</t>
        </is>
      </c>
      <c r="L9" s="3" t="inlineStr">
        <is>
          <t>Person holding blue God Says I Am blanket with EMILY sample name, floral line art and butterfly border.</t>
        </is>
      </c>
      <c r="M9" s="3" t="inlineStr">
        <is>
          <t>Custom Emily God Says I Am Blanket, Machine Washable</t>
        </is>
      </c>
      <c r="N9" s="3" t="inlineStr">
        <is>
          <t>SET</t>
        </is>
      </c>
      <c r="O9" s="3" t="inlineStr">
        <is>
          <t>Blue God Says I Am blanket with EMILY name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["seo_runs\\jeminise.com\\20260906_234129\\evidence\\images\\52_custom-emily-god-says-i-am-blanket-machine-washable-d9\\image_01_47830456860871.jpg;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"https://cdn.shopify.com/s/files/1/0792/5098/1063/files/ea1a859cc89e6d530481c10b14251d51f07bca99c1557d81d7238b2950f73318.jpg?v=1786596303"]</t>
        </is>
      </c>
      <c r="AA9" s="3" t="inlineStr">
        <is>
          <t>r3</t>
        </is>
      </c>
    </row>
    <row r="10" ht="66" customHeight="1">
      <c r="A10" s="2" t="inlineStr">
        <is>
          <t>jeminise.com+custom-emily-god-says-i-am-blanket-machine-washable-d9</t>
        </is>
      </c>
      <c r="B10" s="2" t="inlineStr">
        <is>
          <t>qaimg_4fb406796158d4d2</t>
        </is>
      </c>
      <c r="C10" s="4" t="inlineStr">
        <is>
          <t>https://cdn.shopify.com/s/files/1/0792/5098/1063/files/da60abeadf27954f435a5067790d42779dee58fec05921c244d8b22bba8dd263.jpg?v=1786596303</t>
        </is>
      </c>
      <c r="D10" s="4" t="inlineStr">
        <is>
          <t>https://cdn.shopify.com/s/files/1/0792/5098/1063/files/da60abeadf27954f435a5067790d42779dee58fec05921c244d8b22bba8dd263.jpg?v=1786596303</t>
        </is>
      </c>
      <c r="E10" s="2" t="inlineStr">
        <is>
          <t>38793331933383</t>
        </is>
      </c>
      <c r="F10" s="2" t="inlineStr">
        <is>
          <t>47830456893639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2026-09-08T09:03:24.605236+07:00</t>
        </is>
      </c>
      <c r="K10" s="2" t="inlineStr">
        <is>
          <t>Isolated mockup of the blue EMILY God Says I Am blanket.</t>
        </is>
      </c>
      <c r="L10" s="2" t="inlineStr">
        <is>
          <t>Flat view of blue EMILY God Says I Am blanket with iris flower line art and scripture labels.</t>
        </is>
      </c>
      <c r="M10" s="2" t="inlineStr">
        <is>
          <t>Custom Emily God Says I Am Blanket, Machine Washable</t>
        </is>
      </c>
      <c r="N10" s="2" t="inlineStr">
        <is>
          <t>SET</t>
        </is>
      </c>
      <c r="O10" s="2" t="inlineStr">
        <is>
          <t>Blue EMILY God Says I Am blanket flat view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["seo_runs\\jeminise.com\\20260906_234129\\evidence\\images\\52_custom-emily-god-says-i-am-blanket-machine-washable-d9\\image_02_47830456893639.jpg;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"https://cdn.shopify.com/s/files/1/0792/5098/1063/files/da60abeadf27954f435a5067790d42779dee58fec05921c244d8b22bba8dd263.jpg?v=1786596303"]</t>
        </is>
      </c>
      <c r="AA10" s="2" t="inlineStr">
        <is>
          <t>r3</t>
        </is>
      </c>
    </row>
    <row r="11" ht="66" customHeight="1">
      <c r="A11" s="3" t="inlineStr">
        <is>
          <t>jeminise.com+custom-emily-god-says-i-am-blanket-machine-washable-d9</t>
        </is>
      </c>
      <c r="B11" s="3" t="inlineStr">
        <is>
          <t>qaimg_96cb37d91792fa1e</t>
        </is>
      </c>
      <c r="C11" s="4" t="inlineStr">
        <is>
          <t>https://cdn.shopify.com/s/files/1/0792/5098/1063/files/8eb3de5c797e28b152fb201a4d5610f3858cf54a5a08a8ec4d56152cce30e873.jpg?v=1786596303</t>
        </is>
      </c>
      <c r="D11" s="4" t="inlineStr">
        <is>
          <t>https://cdn.shopify.com/s/files/1/0792/5098/1063/files/8eb3de5c797e28b152fb201a4d5610f3858cf54a5a08a8ec4d56152cce30e873.jpg?v=1786596303</t>
        </is>
      </c>
      <c r="E11" s="3" t="inlineStr">
        <is>
          <t>38793331966151</t>
        </is>
      </c>
      <c r="F11" s="3" t="inlineStr">
        <is>
          <t>47830456926407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2026-09-08T09:03:24.605236+07:00</t>
        </is>
      </c>
      <c r="K11" s="3" t="inlineStr">
        <is>
          <t>Blue EMILY scripture blanket draped over a white sofa.</t>
        </is>
      </c>
      <c r="L11" s="3" t="inlineStr">
        <is>
          <t>Blue God Says I Am blanket spread on couch with iris flower artwork and vertical EMILY letters.</t>
        </is>
      </c>
      <c r="M11" s="3" t="inlineStr">
        <is>
          <t>Custom Emily God Says I Am Blanket, Machine Washable</t>
        </is>
      </c>
      <c r="N11" s="3" t="inlineStr">
        <is>
          <t>SET</t>
        </is>
      </c>
      <c r="O11" s="3" t="inlineStr">
        <is>
          <t>Blue EMILY scripture blanket couch mockup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["seo_runs\\jeminise.com\\20260906_234129\\evidence\\images\\52_custom-emily-god-says-i-am-blanket-machine-washable-d9\\image_03_47830456926407.jpg;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"https://cdn.shopify.com/s/files/1/0792/5098/1063/files/8eb3de5c797e28b152fb201a4d5610f3858cf54a5a08a8ec4d56152cce30e873.jpg?v=1786596303"]</t>
        </is>
      </c>
      <c r="AA11" s="3" t="inlineStr">
        <is>
          <t>r3</t>
        </is>
      </c>
    </row>
    <row r="12" ht="66" customHeight="1">
      <c r="A12" s="2" t="inlineStr">
        <is>
          <t>jeminise.com+custom-emily-god-says-i-am-blanket-machine-washable-d9</t>
        </is>
      </c>
      <c r="B12" s="2" t="inlineStr">
        <is>
          <t>qaimg_9859174086a2b357</t>
        </is>
      </c>
      <c r="C12" s="4" t="inlineStr">
        <is>
          <t>https://cdn.shopify.com/s/files/1/0792/5098/1063/files/23d5a0d5bd7cc256fa047fad39129214f40e3b5aa19bbfd83c02d5e2db76dda1.jpg?v=1786596303</t>
        </is>
      </c>
      <c r="D12" s="4" t="inlineStr">
        <is>
          <t>https://cdn.shopify.com/s/files/1/0792/5098/1063/files/23d5a0d5bd7cc256fa047fad39129214f40e3b5aa19bbfd83c02d5e2db76dda1.jpg?v=1786596303</t>
        </is>
      </c>
      <c r="E12" s="2" t="inlineStr">
        <is>
          <t>38793331998919</t>
        </is>
      </c>
      <c r="F12" s="2" t="inlineStr">
        <is>
          <t>47830456959175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2026-09-08T09:03:24.605236+07:00</t>
        </is>
      </c>
      <c r="K12" s="2" t="inlineStr">
        <is>
          <t>Blue EMILY scripture blanket draped over a tan sofa.</t>
        </is>
      </c>
      <c r="L12" s="2" t="inlineStr">
        <is>
          <t>Blue scripture blanket draped on sofa with floral border and EMILY sample name.</t>
        </is>
      </c>
      <c r="M12" s="2" t="inlineStr">
        <is>
          <t>Custom Emily God Says I Am Blanket, Machine Washable</t>
        </is>
      </c>
      <c r="N12" s="2" t="inlineStr">
        <is>
          <t>SET</t>
        </is>
      </c>
      <c r="O12" s="2" t="inlineStr">
        <is>
          <t>Blue EMILY God Says I Am sofa mockup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["seo_runs\\jeminise.com\\20260906_234129\\evidence\\images\\52_custom-emily-god-says-i-am-blanket-machine-washable-d9\\image_04_47830456959175.jpg;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"https://cdn.shopify.com/s/files/1/0792/5098/1063/files/23d5a0d5bd7cc256fa047fad39129214f40e3b5aa19bbfd83c02d5e2db76dda1.jpg?v=1786596303"]</t>
        </is>
      </c>
      <c r="AA12" s="2" t="inlineStr">
        <is>
          <t>r3</t>
        </is>
      </c>
    </row>
    <row r="13" ht="66" customHeight="1">
      <c r="A13" s="3" t="inlineStr">
        <is>
          <t>jeminise.com+custom-emily-god-says-i-am-blanket-machine-washable-d9</t>
        </is>
      </c>
      <c r="B13" s="3" t="inlineStr">
        <is>
          <t>qaimg_df49d58f80aa39fb</t>
        </is>
      </c>
      <c r="C13" s="4" t="inlineStr">
        <is>
          <t>https://cdn.shopify.com/s/files/1/0792/5098/1063/files/f49ae969102b24924407ad308497e2ad394e649a5cec11a244c20852f99c5342.jpg?v=1786596303</t>
        </is>
      </c>
      <c r="D13" s="4" t="inlineStr">
        <is>
          <t>https://cdn.shopify.com/s/files/1/0792/5098/1063/files/f49ae969102b24924407ad308497e2ad394e649a5cec11a244c20852f99c5342.jpg?v=1786596303</t>
        </is>
      </c>
      <c r="E13" s="3" t="inlineStr">
        <is>
          <t>38793332031687</t>
        </is>
      </c>
      <c r="F13" s="3" t="inlineStr">
        <is>
          <t>47830456991943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2026-09-08T09:03:24.605236+07:00</t>
        </is>
      </c>
      <c r="K13" s="3" t="inlineStr">
        <is>
          <t>Father and child reading under the blue EMILY scripture blanket.</t>
        </is>
      </c>
      <c r="L13" s="3" t="inlineStr">
        <is>
          <t>Lifestyle reading scene with adult and child under blue EMILY God Says I Am blanket.</t>
        </is>
      </c>
      <c r="M13" s="3" t="inlineStr">
        <is>
          <t>Custom Emily God Says I Am Blanket, Machine Washable</t>
        </is>
      </c>
      <c r="N13" s="3" t="inlineStr">
        <is>
          <t>SET</t>
        </is>
      </c>
      <c r="O13" s="3" t="inlineStr">
        <is>
          <t>Blue EMILY scripture blanket reading scene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["seo_runs\\jeminise.com\\20260906_234129\\evidence\\images\\52_custom-emily-god-says-i-am-blanket-machine-washable-d9\\image_05_47830456991943.jpg;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"https://cdn.shopify.com/s/files/1/0792/5098/1063/files/f49ae969102b24924407ad308497e2ad394e649a5cec11a244c20852f99c5342.jpg?v=1786596303"]</t>
        </is>
      </c>
      <c r="AA13" s="3" t="inlineStr">
        <is>
          <t>r3</t>
        </is>
      </c>
    </row>
    <row r="14" ht="66" customHeight="1">
      <c r="A14" s="2" t="inlineStr">
        <is>
          <t>jeminise.com+custom-emily-god-says-i-am-blanket-machine-washable-d9</t>
        </is>
      </c>
      <c r="B14" s="2" t="inlineStr">
        <is>
          <t>qaimg_2bd525978ddccdd2</t>
        </is>
      </c>
      <c r="C14" s="4" t="inlineStr">
        <is>
          <t>https://cdn.shopify.com/s/files/1/0792/5098/1063/files/1109d42d870fee7a62ea7d8e5b8a2d1590e02b2f5fbdfedf2c48280dcd71949e.jpg?v=1786596304</t>
        </is>
      </c>
      <c r="D14" s="4" t="inlineStr">
        <is>
          <t>https://cdn.shopify.com/s/files/1/0792/5098/1063/files/1109d42d870fee7a62ea7d8e5b8a2d1590e02b2f5fbdfedf2c48280dcd71949e.jpg?v=1786596304</t>
        </is>
      </c>
      <c r="E14" s="2" t="inlineStr">
        <is>
          <t>38793332064455</t>
        </is>
      </c>
      <c r="F14" s="2" t="inlineStr">
        <is>
          <t>47830457024711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2026-09-08T09:03:24.605236+07:00</t>
        </is>
      </c>
      <c r="K14" s="2" t="inlineStr">
        <is>
          <t>Color-options chart showing blue, gray, red, green, purple and yellow versions.</t>
        </is>
      </c>
      <c r="L14" s="2" t="inlineStr">
        <is>
          <t>Color choice panel showing blue, gray, red, green, purple and yellow blanket variants.</t>
        </is>
      </c>
      <c r="M14" s="2" t="inlineStr">
        <is>
          <t>Custom Emily God Says I Am Blanket, Machine Washable</t>
        </is>
      </c>
      <c r="N14" s="2" t="inlineStr">
        <is>
          <t>SET</t>
        </is>
      </c>
      <c r="O14" s="2" t="inlineStr">
        <is>
          <t>Emily God Says I Am blanket color options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["seo_runs\\jeminise.com\\20260906_234129\\evidence\\images\\52_custom-emily-god-says-i-am-blanket-machine-washable-d9\\image_06_47830457024711.jpg;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"https://cdn.shopify.com/s/files/1/0792/5098/1063/files/1109d42d870fee7a62ea7d8e5b8a2d1590e02b2f5fbdfedf2c48280dcd71949e.jpg?v=1786596304"]</t>
        </is>
      </c>
      <c r="AA14" s="2" t="inlineStr">
        <is>
          <t>r3</t>
        </is>
      </c>
    </row>
    <row r="15" ht="66" customHeight="1">
      <c r="A15" s="3" t="inlineStr">
        <is>
          <t>jeminise.com+custom-emily-god-says-i-am-blanket-machine-washable-d9</t>
        </is>
      </c>
      <c r="B15" s="3" t="inlineStr">
        <is>
          <t>qaimg_18a8ed3605a78cee</t>
        </is>
      </c>
      <c r="C15" s="4" t="inlineStr">
        <is>
          <t>https://cdn.shopify.com/s/files/1/0792/5098/1063/files/cee7c0b8719354e1df9ef32806cf32f0314a3ff352d9e77c651d1afcf3d36f00.jpg?v=1786596303</t>
        </is>
      </c>
      <c r="D15" s="4" t="inlineStr">
        <is>
          <t>https://cdn.shopify.com/s/files/1/0792/5098/1063/files/cee7c0b8719354e1df9ef32806cf32f0314a3ff352d9e77c651d1afcf3d36f00.jpg?v=1786596303</t>
        </is>
      </c>
      <c r="E15" s="3" t="inlineStr">
        <is>
          <t>38793332097223</t>
        </is>
      </c>
      <c r="F15" s="3" t="inlineStr">
        <is>
          <t>47830457057479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2026-09-08T09:03:24.605236+07:00</t>
        </is>
      </c>
      <c r="K15" s="3" t="inlineStr">
        <is>
          <t>Blanket size chart for 40x30, 50x40, 60x50 and 80x60 inches.</t>
        </is>
      </c>
      <c r="L15" s="3" t="inlineStr">
        <is>
          <t>Blanket size chart showing PET, BOY/GIRL, ADULTS and BED dimensions.</t>
        </is>
      </c>
      <c r="M15" s="3" t="inlineStr">
        <is>
          <t>Custom Emily God Says I Am Blanket, Machine Washable</t>
        </is>
      </c>
      <c r="N15" s="3" t="inlineStr">
        <is>
          <t>SET</t>
        </is>
      </c>
      <c r="O15" s="3" t="inlineStr">
        <is>
          <t>Emily God Says I Am blanket size chart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["seo_runs\\jeminise.com\\20260906_234129\\evidence\\images\\52_custom-emily-god-says-i-am-blanket-machine-washable-d9\\image_07_47830457057479.jpg;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"https://cdn.shopify.com/s/files/1/0792/5098/1063/files/cee7c0b8719354e1df9ef32806cf32f0314a3ff352d9e77c651d1afcf3d36f00.jpg?v=1786596303"]</t>
        </is>
      </c>
      <c r="AA15" s="3" t="inlineStr">
        <is>
          <t>r3</t>
        </is>
      </c>
    </row>
    <row r="16" ht="66" customHeight="1">
      <c r="A16" s="2" t="inlineStr">
        <is>
          <t>jeminise.com+custom-emily-god-says-i-am-blanket-machine-washable-d9</t>
        </is>
      </c>
      <c r="B16" s="2" t="inlineStr">
        <is>
          <t>qaimg_d18babc17b9b18c6</t>
        </is>
      </c>
      <c r="C16" s="4" t="inlineStr">
        <is>
          <t>https://cdn.shopify.com/s/files/1/0792/5098/1063/files/89dbadebe78d692d88c6886ef590efeeae4ca99faff77c1ce998a2ddc7a988e4.jpg?v=1786596304</t>
        </is>
      </c>
      <c r="D16" s="4" t="inlineStr">
        <is>
          <t>https://cdn.shopify.com/s/files/1/0792/5098/1063/files/89dbadebe78d692d88c6886ef590efeeae4ca99faff77c1ce998a2ddc7a988e4.jpg?v=1786596304</t>
        </is>
      </c>
      <c r="E16" s="2" t="inlineStr">
        <is>
          <t>38793332129991</t>
        </is>
      </c>
      <c r="F16" s="2" t="inlineStr">
        <is>
          <t>47830457090247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2026-09-08T09:03:24.605236+07:00</t>
        </is>
      </c>
      <c r="K16" s="2" t="inlineStr">
        <is>
          <t>Blanket feature panel marked fluffy and soft, high quality, no pilling, no shedding, gentle and smooth.</t>
        </is>
      </c>
      <c r="L16" s="2" t="inlineStr">
        <is>
          <t>Blanket material panel showing fluffy soft texture, high quality, no pilling, no shedding and smooth feel.</t>
        </is>
      </c>
      <c r="M16" s="2" t="inlineStr">
        <is>
          <t>Custom Emily God Says I Am Blanket, Machine Washable</t>
        </is>
      </c>
      <c r="N16" s="2" t="inlineStr">
        <is>
          <t>SET</t>
        </is>
      </c>
      <c r="O16" s="2" t="inlineStr">
        <is>
          <t>Emily God Says I Am blanket material panel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["seo_runs\\jeminise.com\\20260906_234129\\evidence\\images\\52_custom-emily-god-says-i-am-blanket-machine-washable-d9\\image_08_47830457090247.jpg; seo_runs\\jeminise.com\\20260906_234129\\evidence\\contact_sheets\\52_custom-emily-god-says-i-am-blanket-machine-washable-d9.jpg", "https://jeminise.com/products/custom-emily-god-says-i-am-blanket-machine-washable-d9", "https://cdn.shopify.com/s/files/1/0792/5098/1063/files/89dbadebe78d692d88c6886ef590efeeae4ca99faff77c1ce998a2ddc7a988e4.jpg?v=1786596304"]</t>
        </is>
      </c>
      <c r="AA16" s="2" t="inlineStr">
        <is>
          <t>r3</t>
        </is>
      </c>
    </row>
    <row r="17" ht="66" customHeight="1">
      <c r="A17" s="3" t="inlineStr">
        <is>
          <t>jeminise.com+custom-exploding-soccer-ball-comforter-set-machine-washable-a10</t>
        </is>
      </c>
      <c r="B17" s="3" t="inlineStr">
        <is>
          <t>qaimg_c5bda9fce99fded1</t>
        </is>
      </c>
      <c r="C17" s="4" t="inlineStr">
        <is>
          <t>https://cdn.shopify.com/s/files/1/0792/5098/1063/files/25da0fbc3913b96e24dfa3f4379e828b035ada4a02f246ec000a760815423dad.jpg?v=1786610945</t>
        </is>
      </c>
      <c r="D17" s="4" t="inlineStr">
        <is>
          <t>https://cdn.shopify.com/s/files/1/0792/5098/1063/files/25da0fbc3913b96e24dfa3f4379e828b035ada4a02f246ec000a760815423dad.jpg?v=1786610945</t>
        </is>
      </c>
      <c r="E17" s="3" t="inlineStr">
        <is>
          <t>38796226101447</t>
        </is>
      </c>
      <c r="F17" s="3" t="inlineStr">
        <is>
          <t>47833417121991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2026-09-08T09:03:24.605236+07:00</t>
        </is>
      </c>
      <c r="K17" s="3" t="inlineStr">
        <is>
          <t>Front bedroom mockup of a black-and-white exploding soccer ball comforter with sample name JACKSON and number 15.</t>
        </is>
      </c>
      <c r="L17" s="3" t="inlineStr">
        <is>
          <t>Exploding soccer ball comforter bed mockup with shattered black-gray background, JACKSON sample text and number 15.</t>
        </is>
      </c>
      <c r="M17" s="3" t="inlineStr">
        <is>
          <t>Custom Exploding Soccer Ball Comforter Set, Machine Washable</t>
        </is>
      </c>
      <c r="N17" s="3" t="inlineStr">
        <is>
          <t>SET</t>
        </is>
      </c>
      <c r="O17" s="3" t="inlineStr">
        <is>
          <t>Exploding soccer ball comforter with JACKSON 15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["seo_runs\\jeminise.com\\20260906_234129\\evidence\\images\\53_custom-exploding-soccer-ball-comforter-set-machine-washable-a10\\image_01_47833417121991.jpg;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"https://cdn.shopify.com/s/files/1/0792/5098/1063/files/25da0fbc3913b96e24dfa3f4379e828b035ada4a02f246ec000a760815423dad.jpg?v=1786610945"]</t>
        </is>
      </c>
      <c r="AA17" s="3" t="inlineStr">
        <is>
          <t>r3</t>
        </is>
      </c>
    </row>
    <row r="18" ht="66" customHeight="1">
      <c r="A18" s="2" t="inlineStr">
        <is>
          <t>jeminise.com+custom-exploding-soccer-ball-comforter-set-machine-washable-a10</t>
        </is>
      </c>
      <c r="B18" s="2" t="inlineStr">
        <is>
          <t>qaimg_50d6b8d96dfcc556</t>
        </is>
      </c>
      <c r="C18" s="4" t="inlineStr">
        <is>
          <t>https://cdn.shopify.com/s/files/1/0792/5098/1063/files/fda00b32bfb1f0f6b8cd7d08129f5a20672727be6a983732f50ce6de63121686.jpg?v=1786610945</t>
        </is>
      </c>
      <c r="D18" s="4" t="inlineStr">
        <is>
          <t>https://cdn.shopify.com/s/files/1/0792/5098/1063/files/fda00b32bfb1f0f6b8cd7d08129f5a20672727be6a983732f50ce6de63121686.jpg?v=1786610945</t>
        </is>
      </c>
      <c r="E18" s="2" t="inlineStr">
        <is>
          <t>38796226134215</t>
        </is>
      </c>
      <c r="F18" s="2" t="inlineStr">
        <is>
          <t>47833417154759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2026-09-08T09:03:24.605236+07:00</t>
        </is>
      </c>
      <c r="K18" s="2" t="inlineStr">
        <is>
          <t>Microfiber, 3D-print and soft/lightweight product-feature panel for the JACKSON soccer bedding.</t>
        </is>
      </c>
      <c r="L18" s="2" t="inlineStr">
        <is>
          <t>Microfiber feature panel showing exploding soccer bedding, 3D printed pattern, soft filling and breathable comfort.</t>
        </is>
      </c>
      <c r="M18" s="2" t="inlineStr">
        <is>
          <t>Custom Exploding Soccer Ball Comforter Set, Machine Washable</t>
        </is>
      </c>
      <c r="N18" s="2" t="inlineStr">
        <is>
          <t>SET</t>
        </is>
      </c>
      <c r="O18" s="2" t="inlineStr">
        <is>
          <t>Exploding soccer comforter microfiber panel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["seo_runs\\jeminise.com\\20260906_234129\\evidence\\images\\53_custom-exploding-soccer-ball-comforter-set-machine-washable-a10\\image_02_47833417154759.jpg;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"https://cdn.shopify.com/s/files/1/0792/5098/1063/files/fda00b32bfb1f0f6b8cd7d08129f5a20672727be6a983732f50ce6de63121686.jpg?v=1786610945"]</t>
        </is>
      </c>
      <c r="AA18" s="2" t="inlineStr">
        <is>
          <t>r3</t>
        </is>
      </c>
    </row>
    <row r="19" ht="66" customHeight="1">
      <c r="A19" s="3" t="inlineStr">
        <is>
          <t>jeminise.com+custom-exploding-soccer-ball-comforter-set-machine-washable-a10</t>
        </is>
      </c>
      <c r="B19" s="3" t="inlineStr">
        <is>
          <t>qaimg_c2d0f544f8daa9d7</t>
        </is>
      </c>
      <c r="C19" s="4" t="inlineStr">
        <is>
          <t>https://cdn.shopify.com/s/files/1/0792/5098/1063/files/582b042d72bf556232feaea473d58f3dc2874b1c369af5cf7826982fb833bc96.jpg?v=1786610945</t>
        </is>
      </c>
      <c r="D19" s="4" t="inlineStr">
        <is>
          <t>https://cdn.shopify.com/s/files/1/0792/5098/1063/files/582b042d72bf556232feaea473d58f3dc2874b1c369af5cf7826982fb833bc96.jpg?v=1786610945</t>
        </is>
      </c>
      <c r="E19" s="3" t="inlineStr">
        <is>
          <t>38796226166983</t>
        </is>
      </c>
      <c r="F19" s="3" t="inlineStr">
        <is>
          <t>47833417187527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2026-09-08T09:03:24.605236+07:00</t>
        </is>
      </c>
      <c r="K19" s="3" t="inlineStr">
        <is>
          <t>Alternate bedroom mockup of the JACKSON 15 exploding soccer-ball bedding.</t>
        </is>
      </c>
      <c r="L19" s="3" t="inlineStr">
        <is>
          <t>Bedroom mockup of exploding soccer ball comforter with JACKSON sample text and number 15 pillows.</t>
        </is>
      </c>
      <c r="M19" s="3" t="inlineStr">
        <is>
          <t>Custom Exploding Soccer Ball Comforter Set, Machine Washable</t>
        </is>
      </c>
      <c r="N19" s="3" t="inlineStr">
        <is>
          <t>SET</t>
        </is>
      </c>
      <c r="O19" s="3" t="inlineStr">
        <is>
          <t>Exploding soccer ball bedding room mockup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["seo_runs\\jeminise.com\\20260906_234129\\evidence\\images\\53_custom-exploding-soccer-ball-comforter-set-machine-washable-a10\\image_03_47833417187527.jpg;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"https://cdn.shopify.com/s/files/1/0792/5098/1063/files/582b042d72bf556232feaea473d58f3dc2874b1c369af5cf7826982fb833bc96.jpg?v=1786610945"]</t>
        </is>
      </c>
      <c r="AA19" s="3" t="inlineStr">
        <is>
          <t>r3</t>
        </is>
      </c>
    </row>
    <row r="20" ht="66" customHeight="1">
      <c r="A20" s="2" t="inlineStr">
        <is>
          <t>jeminise.com+custom-exploding-soccer-ball-comforter-set-machine-washable-a10</t>
        </is>
      </c>
      <c r="B20" s="2" t="inlineStr">
        <is>
          <t>qaimg_b58d872cc29e884b</t>
        </is>
      </c>
      <c r="C20" s="4" t="inlineStr">
        <is>
          <t>https://cdn.shopify.com/s/files/1/0792/5098/1063/files/0b1d1e19cab6d757366a36700f895ecca060303e705a8aece2f5fa486b6770da.jpg?v=1786610945</t>
        </is>
      </c>
      <c r="D20" s="4" t="inlineStr">
        <is>
          <t>https://cdn.shopify.com/s/files/1/0792/5098/1063/files/0b1d1e19cab6d757366a36700f895ecca060303e705a8aece2f5fa486b6770da.jpg?v=1786610945</t>
        </is>
      </c>
      <c r="E20" s="2" t="inlineStr">
        <is>
          <t>38796226199751</t>
        </is>
      </c>
      <c r="F20" s="2" t="inlineStr">
        <is>
          <t>47833417220295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2026-09-08T09:03:24.605236+07:00</t>
        </is>
      </c>
      <c r="K20" s="2" t="inlineStr">
        <is>
          <t>Duvet-cover versus comforter product-type comparison.</t>
        </is>
      </c>
      <c r="L20" s="2" t="inlineStr">
        <is>
          <t>Bedding type comparison panel showing duvet cover set and comforter set options.</t>
        </is>
      </c>
      <c r="M20" s="2" t="inlineStr">
        <is>
          <t>Custom Exploding Soccer Ball Comforter Set, Machine Washable</t>
        </is>
      </c>
      <c r="N20" s="2" t="inlineStr">
        <is>
          <t>SET</t>
        </is>
      </c>
      <c r="O20" s="2" t="inlineStr">
        <is>
          <t>Exploding soccer comforter bedding type panel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["seo_runs\\jeminise.com\\20260906_234129\\evidence\\images\\53_custom-exploding-soccer-ball-comforter-set-machine-washable-a10\\image_04_47833417220295.jpg;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"https://cdn.shopify.com/s/files/1/0792/5098/1063/files/0b1d1e19cab6d757366a36700f895ecca060303e705a8aece2f5fa486b6770da.jpg?v=1786610945"]</t>
        </is>
      </c>
      <c r="AA20" s="2" t="inlineStr">
        <is>
          <t>r3</t>
        </is>
      </c>
    </row>
    <row r="21" ht="66" customHeight="1">
      <c r="A21" s="3" t="inlineStr">
        <is>
          <t>jeminise.com+custom-exploding-soccer-ball-comforter-set-machine-washable-a10</t>
        </is>
      </c>
      <c r="B21" s="3" t="inlineStr">
        <is>
          <t>qaimg_604ef00ff61ebacc</t>
        </is>
      </c>
      <c r="C21" s="4" t="inlineStr">
        <is>
          <t>https://cdn.shopify.com/s/files/1/0792/5098/1063/files/8d826046337227bb116db8d2bc71f03f760486575e643a9219515f8f443f53aa.jpg?v=1786610945</t>
        </is>
      </c>
      <c r="D21" s="4" t="inlineStr">
        <is>
          <t>https://cdn.shopify.com/s/files/1/0792/5098/1063/files/8d826046337227bb116db8d2bc71f03f760486575e643a9219515f8f443f53aa.jpg?v=1786610945</t>
        </is>
      </c>
      <c r="E21" s="3" t="inlineStr">
        <is>
          <t>38796226232519</t>
        </is>
      </c>
      <c r="F21" s="3" t="inlineStr">
        <is>
          <t>47833417253063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2026-09-08T09:03:24.605236+07:00</t>
        </is>
      </c>
      <c r="K21" s="3" t="inlineStr">
        <is>
          <t>Fluffy microfiber filling and fabric close-up.</t>
        </is>
      </c>
      <c r="L21" s="3" t="inlineStr">
        <is>
          <t>Close-up fabric panel showing white underside, soccer ball print and fluffy microfiber filling callout.</t>
        </is>
      </c>
      <c r="M21" s="3" t="inlineStr">
        <is>
          <t>Custom Exploding Soccer Ball Comforter Set, Machine Washable</t>
        </is>
      </c>
      <c r="N21" s="3" t="inlineStr">
        <is>
          <t>SET</t>
        </is>
      </c>
      <c r="O21" s="3" t="inlineStr">
        <is>
          <t>Exploding soccer comforter filling close-up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["seo_runs\\jeminise.com\\20260906_234129\\evidence\\images\\53_custom-exploding-soccer-ball-comforter-set-machine-washable-a10\\image_05_47833417253063.jpg;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"https://cdn.shopify.com/s/files/1/0792/5098/1063/files/8d826046337227bb116db8d2bc71f03f760486575e643a9219515f8f443f53aa.jpg?v=1786610945"]</t>
        </is>
      </c>
      <c r="AA21" s="3" t="inlineStr">
        <is>
          <t>r3</t>
        </is>
      </c>
    </row>
    <row r="22" ht="66" customHeight="1">
      <c r="A22" s="2" t="inlineStr">
        <is>
          <t>jeminise.com+custom-exploding-soccer-ball-comforter-set-machine-washable-a10</t>
        </is>
      </c>
      <c r="B22" s="2" t="inlineStr">
        <is>
          <t>qaimg_628e6be0dd14c792</t>
        </is>
      </c>
      <c r="C22" s="4" t="inlineStr">
        <is>
          <t>https://cdn.shopify.com/s/files/1/0792/5098/1063/files/f3390a3244de5fb4bcd359962db27187cfb1130a6590c3e92b8b5ab6e248e076.jpg?v=1786610944</t>
        </is>
      </c>
      <c r="D22" s="4" t="inlineStr">
        <is>
          <t>https://cdn.shopify.com/s/files/1/0792/5098/1063/files/f3390a3244de5fb4bcd359962db27187cfb1130a6590c3e92b8b5ab6e248e076.jpg?v=1786610944</t>
        </is>
      </c>
      <c r="E22" s="2" t="inlineStr">
        <is>
          <t>38796226265287</t>
        </is>
      </c>
      <c r="F22" s="2" t="inlineStr">
        <is>
          <t>47833417285831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2026-09-08T09:03:24.605236+07:00</t>
        </is>
      </c>
      <c r="K22" s="2" t="inlineStr">
        <is>
          <t>Soccer bedding feature panel marked soft, lightweight, durable and breathable.</t>
        </is>
      </c>
      <c r="L22" s="2" t="inlineStr">
        <is>
          <t>Feature icon panel on exploding soccer comforter showing soft, lightweight, durable and breathable notes.</t>
        </is>
      </c>
      <c r="M22" s="2" t="inlineStr">
        <is>
          <t>Custom Exploding Soccer Ball Comforter Set, Machine Washable</t>
        </is>
      </c>
      <c r="N22" s="2" t="inlineStr">
        <is>
          <t>SET</t>
        </is>
      </c>
      <c r="O22" s="2" t="inlineStr">
        <is>
          <t>Exploding soccer comforter feature icons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["seo_runs\\jeminise.com\\20260906_234129\\evidence\\images\\53_custom-exploding-soccer-ball-comforter-set-machine-washable-a10\\image_06_47833417285831.jpg;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"https://cdn.shopify.com/s/files/1/0792/5098/1063/files/f3390a3244de5fb4bcd359962db27187cfb1130a6590c3e92b8b5ab6e248e076.jpg?v=1786610944"]</t>
        </is>
      </c>
      <c r="AA22" s="2" t="inlineStr">
        <is>
          <t>r3</t>
        </is>
      </c>
    </row>
    <row r="23" ht="66" customHeight="1">
      <c r="A23" s="3" t="inlineStr">
        <is>
          <t>jeminise.com+custom-exploding-soccer-ball-comforter-set-machine-washable-a10</t>
        </is>
      </c>
      <c r="B23" s="3" t="inlineStr">
        <is>
          <t>qaimg_6cd87cc4c72ea0f2</t>
        </is>
      </c>
      <c r="C23" s="4" t="inlineStr">
        <is>
          <t>https://cdn.shopify.com/s/files/1/0792/5098/1063/files/d761ea3ae4f4c0b26b7473177b21a616c5199552823ec637c64fe7b0d6b0f12f.jpg?v=1786610945</t>
        </is>
      </c>
      <c r="D23" s="4" t="inlineStr">
        <is>
          <t>https://cdn.shopify.com/s/files/1/0792/5098/1063/files/d761ea3ae4f4c0b26b7473177b21a616c5199552823ec637c64fe7b0d6b0f12f.jpg?v=1786610945</t>
        </is>
      </c>
      <c r="E23" s="3" t="inlineStr">
        <is>
          <t>38796226298055</t>
        </is>
      </c>
      <c r="F23" s="3" t="inlineStr">
        <is>
          <t>47833417318599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2026-09-08T09:03:24.605236+07:00</t>
        </is>
      </c>
      <c r="K23" s="3" t="inlineStr">
        <is>
          <t>Comforter size-dimension chart for Twin, Full, Queen and King.</t>
        </is>
      </c>
      <c r="L23" s="3" t="inlineStr">
        <is>
          <t>Size dimension panel showing Twin, Full, Queen and King bedding dimensions.</t>
        </is>
      </c>
      <c r="M23" s="3" t="inlineStr">
        <is>
          <t>Custom Exploding Soccer Ball Comforter Set, Machine Washable</t>
        </is>
      </c>
      <c r="N23" s="3" t="inlineStr">
        <is>
          <t>SET</t>
        </is>
      </c>
      <c r="O23" s="3" t="inlineStr">
        <is>
          <t>Exploding soccer comforter size chart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["seo_runs\\jeminise.com\\20260906_234129\\evidence\\images\\53_custom-exploding-soccer-ball-comforter-set-machine-washable-a10\\image_07_47833417318599.jpg;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"https://cdn.shopify.com/s/files/1/0792/5098/1063/files/d761ea3ae4f4c0b26b7473177b21a616c5199552823ec637c64fe7b0d6b0f12f.jpg?v=1786610945"]</t>
        </is>
      </c>
      <c r="AA23" s="3" t="inlineStr">
        <is>
          <t>r3</t>
        </is>
      </c>
    </row>
    <row r="24" ht="66" customHeight="1">
      <c r="A24" s="2" t="inlineStr">
        <is>
          <t>jeminise.com+custom-exploding-soccer-ball-comforter-set-machine-washable-a10</t>
        </is>
      </c>
      <c r="B24" s="2" t="inlineStr">
        <is>
          <t>qaimg_6e17b559f552a762</t>
        </is>
      </c>
      <c r="C24" s="4" t="inlineStr">
        <is>
          <t>https://cdn.shopify.com/s/files/1/0792/5098/1063/files/dd6b2f75d5d331064be3e2ace151f6872c3f1f67675d8c1c7fa00f207341180b.jpg?v=1786610945</t>
        </is>
      </c>
      <c r="D24" s="4" t="inlineStr">
        <is>
          <t>https://cdn.shopify.com/s/files/1/0792/5098/1063/files/dd6b2f75d5d331064be3e2ace151f6872c3f1f67675d8c1c7fa00f207341180b.jpg?v=1786610945</t>
        </is>
      </c>
      <c r="E24" s="2" t="inlineStr">
        <is>
          <t>38796226330823</t>
        </is>
      </c>
      <c r="F24" s="2" t="inlineStr">
        <is>
          <t>47833417351367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2026-09-08T09:03:24.605236+07:00</t>
        </is>
      </c>
      <c r="K24" s="2" t="inlineStr">
        <is>
          <t>Easy-care panel marked wrinkle-free, stain-proof, anti-pilling and wash fade resistant.</t>
        </is>
      </c>
      <c r="L24" s="2" t="inlineStr">
        <is>
          <t>Stress-free easy care panel with wrinkle-free, stain-proof, anti-pilling and color-care notes.</t>
        </is>
      </c>
      <c r="M24" s="2" t="inlineStr">
        <is>
          <t>Custom Exploding Soccer Ball Comforter Set, Machine Washable</t>
        </is>
      </c>
      <c r="N24" s="2" t="inlineStr">
        <is>
          <t>SET</t>
        </is>
      </c>
      <c r="O24" s="2" t="inlineStr">
        <is>
          <t>Exploding soccer comforter easy care panel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["seo_runs\\jeminise.com\\20260906_234129\\evidence\\images\\53_custom-exploding-soccer-ball-comforter-set-machine-washable-a10\\image_08_47833417351367.jpg; seo_runs\\jeminise.com\\20260906_234129\\evidence\\contact_sheets\\53_custom-exploding-soccer-ball-comforter-set-machine-washable-a10.jpg", "https://jeminise.com/products/custom-exploding-soccer-ball-comforter-set-machine-washable-a10", "https://cdn.shopify.com/s/files/1/0792/5098/1063/files/dd6b2f75d5d331064be3e2ace151f6872c3f1f67675d8c1c7fa00f207341180b.jpg?v=1786610945"]</t>
        </is>
      </c>
      <c r="AA24" s="2" t="inlineStr">
        <is>
          <t>r3</t>
        </is>
      </c>
    </row>
    <row r="25" ht="66" customHeight="1">
      <c r="A25" s="3" t="inlineStr">
        <is>
          <t>jeminise.com+custom-fiery-soccer-ball-custom-name-comforter-set-machin-design-5</t>
        </is>
      </c>
      <c r="B25" s="3" t="inlineStr">
        <is>
          <t>qaimg_60eb42d68aa4166a</t>
        </is>
      </c>
      <c r="C25" s="4" t="inlineStr">
        <is>
          <t>https://cdn.shopify.com/s/files/1/0792/5098/1063/files/aeb1f1bd9597eeeb3493ff3a126b43bf0243adc8c650c453d23f5bbb65329de7.jpg?v=1786611050</t>
        </is>
      </c>
      <c r="D25" s="4" t="inlineStr">
        <is>
          <t>https://cdn.shopify.com/s/files/1/0792/5098/1063/files/aeb1f1bd9597eeeb3493ff3a126b43bf0243adc8c650c453d23f5bbb65329de7.jpg?v=1786611050</t>
        </is>
      </c>
      <c r="E25" s="3" t="inlineStr">
        <is>
          <t>38796252381383</t>
        </is>
      </c>
      <c r="F25" s="3" t="inlineStr">
        <is>
          <t>47833444909255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2026-09-08T09:03:24.605236+07:00</t>
        </is>
      </c>
      <c r="K25" s="3" t="inlineStr">
        <is>
          <t>Front bedroom mockup of a dark-red flaming soccer-ball comforter with sample name KENZO.</t>
        </is>
      </c>
      <c r="L25" s="3" t="inlineStr">
        <is>
          <t>Fiery soccer ball comforter bed mockup with orange flames, KENZO sample text and matching pillows.</t>
        </is>
      </c>
      <c r="M25" s="3" t="inlineStr">
        <is>
          <t>Custom Fiery Soccer Ball, Custom Name Comforter Set, Machin - Design 5</t>
        </is>
      </c>
      <c r="N25" s="3" t="inlineStr">
        <is>
          <t>SET</t>
        </is>
      </c>
      <c r="O25" s="3" t="inlineStr">
        <is>
          <t>Fiery soccer ball comforter with KENZO text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["seo_runs\\jeminise.com\\20260906_234129\\evidence\\images\\54_custom-fiery-soccer-ball-custom-name-comforter-set-machin-design-5\\image_01_47833444909255.jpg;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"https://cdn.shopify.com/s/files/1/0792/5098/1063/files/aeb1f1bd9597eeeb3493ff3a126b43bf0243adc8c650c453d23f5bbb65329de7.jpg?v=1786611050"]</t>
        </is>
      </c>
      <c r="AA25" s="3" t="inlineStr">
        <is>
          <t>r3</t>
        </is>
      </c>
    </row>
    <row r="26" ht="66" customHeight="1">
      <c r="A26" s="2" t="inlineStr">
        <is>
          <t>jeminise.com+custom-fiery-soccer-ball-custom-name-comforter-set-machin-design-5</t>
        </is>
      </c>
      <c r="B26" s="2" t="inlineStr">
        <is>
          <t>qaimg_faec2136f8f01f05</t>
        </is>
      </c>
      <c r="C26" s="4" t="inlineStr">
        <is>
          <t>https://cdn.shopify.com/s/files/1/0792/5098/1063/files/15783a9b72566ee839de08d817d4c4ae542366426a617c752a2a2ec56795a839.jpg?v=1786611050</t>
        </is>
      </c>
      <c r="D26" s="4" t="inlineStr">
        <is>
          <t>https://cdn.shopify.com/s/files/1/0792/5098/1063/files/15783a9b72566ee839de08d817d4c4ae542366426a617c752a2a2ec56795a839.jpg?v=1786611050</t>
        </is>
      </c>
      <c r="E26" s="2" t="inlineStr">
        <is>
          <t>38796252414151</t>
        </is>
      </c>
      <c r="F26" s="2" t="inlineStr">
        <is>
          <t>47833444942023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2026-09-08T09:03:24.605236+07:00</t>
        </is>
      </c>
      <c r="K26" s="2" t="inlineStr">
        <is>
          <t>Microfiber, 3D-print and soft/lightweight feature panel for the KENZO bedding.</t>
        </is>
      </c>
      <c r="L26" s="2" t="inlineStr">
        <is>
          <t>Microfiber feature panel showing fiery soccer bedding, 3D printed pattern, soft filling and breathable comfort.</t>
        </is>
      </c>
      <c r="M26" s="2" t="inlineStr">
        <is>
          <t>Custom Fiery Soccer Ball, Custom Name Comforter Set, Machin - Design 5</t>
        </is>
      </c>
      <c r="N26" s="2" t="inlineStr">
        <is>
          <t>SET</t>
        </is>
      </c>
      <c r="O26" s="2" t="inlineStr">
        <is>
          <t>Fiery soccer comforter microfiber panel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["seo_runs\\jeminise.com\\20260906_234129\\evidence\\images\\54_custom-fiery-soccer-ball-custom-name-comforter-set-machin-design-5\\image_02_47833444942023.jpg;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"https://cdn.shopify.com/s/files/1/0792/5098/1063/files/15783a9b72566ee839de08d817d4c4ae542366426a617c752a2a2ec56795a839.jpg?v=1786611050"]</t>
        </is>
      </c>
      <c r="AA26" s="2" t="inlineStr">
        <is>
          <t>r3</t>
        </is>
      </c>
    </row>
    <row r="27" ht="66" customHeight="1">
      <c r="A27" s="3" t="inlineStr">
        <is>
          <t>jeminise.com+custom-fiery-soccer-ball-custom-name-comforter-set-machin-design-5</t>
        </is>
      </c>
      <c r="B27" s="3" t="inlineStr">
        <is>
          <t>qaimg_3ae3311c7ea48c79</t>
        </is>
      </c>
      <c r="C27" s="4" t="inlineStr">
        <is>
          <t>https://cdn.shopify.com/s/files/1/0792/5098/1063/files/108156a85e5ed8e0f89e87c5a0afbaf1ca703e27351914d449d30dbcd85190de.jpg?v=1786611050</t>
        </is>
      </c>
      <c r="D27" s="4" t="inlineStr">
        <is>
          <t>https://cdn.shopify.com/s/files/1/0792/5098/1063/files/108156a85e5ed8e0f89e87c5a0afbaf1ca703e27351914d449d30dbcd85190de.jpg?v=1786611050</t>
        </is>
      </c>
      <c r="E27" s="3" t="inlineStr">
        <is>
          <t>38796252446919</t>
        </is>
      </c>
      <c r="F27" s="3" t="inlineStr">
        <is>
          <t>47833444974791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2026-09-08T09:03:24.605236+07:00</t>
        </is>
      </c>
      <c r="K27" s="3" t="inlineStr">
        <is>
          <t>Close bedroom view of two KENZO flaming soccer-ball pillow shams.</t>
        </is>
      </c>
      <c r="L27" s="3" t="inlineStr">
        <is>
          <t>Pillow sham mockup showing fiery soccer ball artwork and KENZO sample text on red pillows.</t>
        </is>
      </c>
      <c r="M27" s="3" t="inlineStr">
        <is>
          <t>Custom Fiery Soccer Ball, Custom Name Comforter Set, Machin - Design 5</t>
        </is>
      </c>
      <c r="N27" s="3" t="inlineStr">
        <is>
          <t>SET</t>
        </is>
      </c>
      <c r="O27" s="3" t="inlineStr">
        <is>
          <t>Fiery soccer KENZO pillow sham mockup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["seo_runs\\jeminise.com\\20260906_234129\\evidence\\images\\54_custom-fiery-soccer-ball-custom-name-comforter-set-machin-design-5\\image_03_47833444974791.jpg;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"https://cdn.shopify.com/s/files/1/0792/5098/1063/files/108156a85e5ed8e0f89e87c5a0afbaf1ca703e27351914d449d30dbcd85190de.jpg?v=1786611050"]</t>
        </is>
      </c>
      <c r="AA27" s="3" t="inlineStr">
        <is>
          <t>r3</t>
        </is>
      </c>
    </row>
    <row r="28" ht="66" customHeight="1">
      <c r="A28" s="2" t="inlineStr">
        <is>
          <t>jeminise.com+custom-fiery-soccer-ball-custom-name-comforter-set-machin-design-5</t>
        </is>
      </c>
      <c r="B28" s="2" t="inlineStr">
        <is>
          <t>qaimg_58eed9d675c18008</t>
        </is>
      </c>
      <c r="C28" s="4" t="inlineStr">
        <is>
          <t>https://cdn.shopify.com/s/files/1/0792/5098/1063/files/0b1d1e19cab6d757366a36700f895ecca060303e705a8aece2f5fa486b6770da_64b5d257-8ea5-49cb-a401-ed867ecd84ae.jpg?v=1786611050</t>
        </is>
      </c>
      <c r="D28" s="4" t="inlineStr">
        <is>
          <t>https://cdn.shopify.com/s/files/1/0792/5098/1063/files/0b1d1e19cab6d757366a36700f895ecca060303e705a8aece2f5fa486b6770da_64b5d257-8ea5-49cb-a401-ed867ecd84ae.jpg?v=1786611050</t>
        </is>
      </c>
      <c r="E28" s="2" t="inlineStr">
        <is>
          <t>38796252479687</t>
        </is>
      </c>
      <c r="F28" s="2" t="inlineStr">
        <is>
          <t>47833445007559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2026-09-08T09:03:24.605236+07:00</t>
        </is>
      </c>
      <c r="K28" s="2" t="inlineStr">
        <is>
          <t>Duvet-cover versus comforter product-type comparison.</t>
        </is>
      </c>
      <c r="L28" s="2" t="inlineStr">
        <is>
          <t>Bedding type comparison panel showing duvet cover set and comforter set options.</t>
        </is>
      </c>
      <c r="M28" s="2" t="inlineStr">
        <is>
          <t>Custom Fiery Soccer Ball, Custom Name Comforter Set, Machin - Design 5</t>
        </is>
      </c>
      <c r="N28" s="2" t="inlineStr">
        <is>
          <t>SET</t>
        </is>
      </c>
      <c r="O28" s="2" t="inlineStr">
        <is>
          <t>Fiery soccer comforter bedding type panel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["seo_runs\\jeminise.com\\20260906_234129\\evidence\\images\\54_custom-fiery-soccer-ball-custom-name-comforter-set-machin-design-5\\image_04_47833445007559.jpg;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"https://cdn.shopify.com/s/files/1/0792/5098/1063/files/0b1d1e19cab6d757366a36700f895ecca060303e705a8aece2f5fa486b6770da_64b5d257-8ea5-49cb-a401-ed867ecd84ae.jpg?v=1786611050"]</t>
        </is>
      </c>
      <c r="AA28" s="2" t="inlineStr">
        <is>
          <t>r3</t>
        </is>
      </c>
    </row>
    <row r="29" ht="66" customHeight="1">
      <c r="A29" s="3" t="inlineStr">
        <is>
          <t>jeminise.com+custom-fiery-soccer-ball-custom-name-comforter-set-machin-design-5</t>
        </is>
      </c>
      <c r="B29" s="3" t="inlineStr">
        <is>
          <t>qaimg_47cf37d3a0519737</t>
        </is>
      </c>
      <c r="C29" s="4" t="inlineStr">
        <is>
          <t>https://cdn.shopify.com/s/files/1/0792/5098/1063/files/599e8755b60848885d33718bf5b398d605840c8d487d71e87c022c5564dfaed5.jpg?v=1786611050</t>
        </is>
      </c>
      <c r="D29" s="4" t="inlineStr">
        <is>
          <t>https://cdn.shopify.com/s/files/1/0792/5098/1063/files/599e8755b60848885d33718bf5b398d605840c8d487d71e87c022c5564dfaed5.jpg?v=1786611050</t>
        </is>
      </c>
      <c r="E29" s="3" t="inlineStr">
        <is>
          <t>38796252512455</t>
        </is>
      </c>
      <c r="F29" s="3" t="inlineStr">
        <is>
          <t>47833445040327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2026-09-08T09:03:24.605236+07:00</t>
        </is>
      </c>
      <c r="K29" s="3" t="inlineStr">
        <is>
          <t>KENZO bedding feature panel marked soft, lightweight, durable and breathable.</t>
        </is>
      </c>
      <c r="L29" s="3" t="inlineStr">
        <is>
          <t>Feature icon panel on fiery soccer comforter showing soft, lightweight, durable and breathable notes.</t>
        </is>
      </c>
      <c r="M29" s="3" t="inlineStr">
        <is>
          <t>Custom Fiery Soccer Ball, Custom Name Comforter Set, Machin - Design 5</t>
        </is>
      </c>
      <c r="N29" s="3" t="inlineStr">
        <is>
          <t>SET</t>
        </is>
      </c>
      <c r="O29" s="3" t="inlineStr">
        <is>
          <t>Fiery soccer comforter feature icons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["seo_runs\\jeminise.com\\20260906_234129\\evidence\\images\\54_custom-fiery-soccer-ball-custom-name-comforter-set-machin-design-5\\image_05_47833445040327.jpg;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"https://cdn.shopify.com/s/files/1/0792/5098/1063/files/599e8755b60848885d33718bf5b398d605840c8d487d71e87c022c5564dfaed5.jpg?v=1786611050"]</t>
        </is>
      </c>
      <c r="AA29" s="3" t="inlineStr">
        <is>
          <t>r3</t>
        </is>
      </c>
    </row>
    <row r="30" ht="66" customHeight="1">
      <c r="A30" s="2" t="inlineStr">
        <is>
          <t>jeminise.com+custom-fiery-soccer-ball-custom-name-comforter-set-machin-design-5</t>
        </is>
      </c>
      <c r="B30" s="2" t="inlineStr">
        <is>
          <t>qaimg_1b352777858aab78</t>
        </is>
      </c>
      <c r="C30" s="4" t="inlineStr">
        <is>
          <t>https://cdn.shopify.com/s/files/1/0792/5098/1063/files/4c5cc9e2c66f88cdde3b7e6fd0952987f1dca5ac52876a538b6310d316350bf2.jpg?v=1786611050</t>
        </is>
      </c>
      <c r="D30" s="4" t="inlineStr">
        <is>
          <t>https://cdn.shopify.com/s/files/1/0792/5098/1063/files/4c5cc9e2c66f88cdde3b7e6fd0952987f1dca5ac52876a538b6310d316350bf2.jpg?v=1786611050</t>
        </is>
      </c>
      <c r="E30" s="2" t="inlineStr">
        <is>
          <t>38796252545223</t>
        </is>
      </c>
      <c r="F30" s="2" t="inlineStr">
        <is>
          <t>47833445073095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2026-09-08T09:03:24.605236+07:00</t>
        </is>
      </c>
      <c r="K30" s="2" t="inlineStr">
        <is>
          <t>Alternate bedroom mockup of the KENZO flaming soccer-ball bedding.</t>
        </is>
      </c>
      <c r="L30" s="2" t="inlineStr">
        <is>
          <t>Bedroom mockup showing fiery soccer ball comforter with KENZO sample text.</t>
        </is>
      </c>
      <c r="M30" s="2" t="inlineStr">
        <is>
          <t>Custom Fiery Soccer Ball, Custom Name Comforter Set, Machin - Design 5</t>
        </is>
      </c>
      <c r="N30" s="2" t="inlineStr">
        <is>
          <t>SET</t>
        </is>
      </c>
      <c r="O30" s="2" t="inlineStr">
        <is>
          <t>Fiery soccer ball comforter room mockup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["seo_runs\\jeminise.com\\20260906_234129\\evidence\\images\\54_custom-fiery-soccer-ball-custom-name-comforter-set-machin-design-5\\image_06_47833445073095.jpg;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"https://cdn.shopify.com/s/files/1/0792/5098/1063/files/4c5cc9e2c66f88cdde3b7e6fd0952987f1dca5ac52876a538b6310d316350bf2.jpg?v=1786611050"]</t>
        </is>
      </c>
      <c r="AA30" s="2" t="inlineStr">
        <is>
          <t>r3</t>
        </is>
      </c>
    </row>
    <row r="31" ht="66" customHeight="1">
      <c r="A31" s="3" t="inlineStr">
        <is>
          <t>jeminise.com+custom-fiery-soccer-ball-custom-name-comforter-set-machin-design-5</t>
        </is>
      </c>
      <c r="B31" s="3" t="inlineStr">
        <is>
          <t>qaimg_e1e00bd62ea3adc2</t>
        </is>
      </c>
      <c r="C31" s="4" t="inlineStr">
        <is>
          <t>https://cdn.shopify.com/s/files/1/0792/5098/1063/files/dd6b2f75d5d331064be3e2ace151f6872c3f1f67675d8c1c7fa00f207341180b_bff19a79-92d6-4271-a1ed-900a991b0a6f.jpg?v=1786611050</t>
        </is>
      </c>
      <c r="D31" s="4" t="inlineStr">
        <is>
          <t>https://cdn.shopify.com/s/files/1/0792/5098/1063/files/dd6b2f75d5d331064be3e2ace151f6872c3f1f67675d8c1c7fa00f207341180b_bff19a79-92d6-4271-a1ed-900a991b0a6f.jpg?v=1786611050</t>
        </is>
      </c>
      <c r="E31" s="3" t="inlineStr">
        <is>
          <t>38796252577991</t>
        </is>
      </c>
      <c r="F31" s="3" t="inlineStr">
        <is>
          <t>47833445105863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2026-09-08T09:03:24.605236+07:00</t>
        </is>
      </c>
      <c r="K31" s="3" t="inlineStr">
        <is>
          <t>Easy-care panel marked wrinkle-free, stain-proof, anti-pilling and wash fade resistant.</t>
        </is>
      </c>
      <c r="L31" s="3" t="inlineStr">
        <is>
          <t>Stress-free easy care panel with wrinkle-free, stain-proof, anti-pilling and color-care notes.</t>
        </is>
      </c>
      <c r="M31" s="3" t="inlineStr">
        <is>
          <t>Custom Fiery Soccer Ball, Custom Name Comforter Set, Machin - Design 5</t>
        </is>
      </c>
      <c r="N31" s="3" t="inlineStr">
        <is>
          <t>SET</t>
        </is>
      </c>
      <c r="O31" s="3" t="inlineStr">
        <is>
          <t>Fiery soccer comforter easy care panel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["seo_runs\\jeminise.com\\20260906_234129\\evidence\\images\\54_custom-fiery-soccer-ball-custom-name-comforter-set-machin-design-5\\image_07_47833445105863.jpg; seo_runs\\jeminise.com\\20260906_234129\\evidence\\contact_sheets\\54_custom-fiery-soccer-ball-custom-name-comforter-set-machin-design-5.jpg", "https://jeminise.com/products/custom-fiery-soccer-ball-custom-name-comforter-set-machin-design-5", "https://cdn.shopify.com/s/files/1/0792/5098/1063/files/dd6b2f75d5d331064be3e2ace151f6872c3f1f67675d8c1c7fa00f207341180b_bff19a79-92d6-4271-a1ed-900a991b0a6f.jpg?v=1786611050"]</t>
        </is>
      </c>
      <c r="AA31" s="3" t="inlineStr">
        <is>
          <t>r3</t>
        </is>
      </c>
    </row>
    <row r="32" ht="66" customHeight="1">
      <c r="A32" s="2" t="inlineStr">
        <is>
          <t>jeminise.com+custom-flaming-soccer-ball-with-custom-name-comforter-set-a12</t>
        </is>
      </c>
      <c r="B32" s="2" t="inlineStr">
        <is>
          <t>qaimg_244860c073b22ee3</t>
        </is>
      </c>
      <c r="C32" s="4" t="inlineStr">
        <is>
          <t>https://cdn.shopify.com/s/files/1/0792/5098/1063/files/6d780fd2bd1485daf0f8dd70e68878d90adefc90340848da9af8ecf4a3230a83.jpg?v=1786611006</t>
        </is>
      </c>
      <c r="D32" s="4" t="inlineStr">
        <is>
          <t>https://cdn.shopify.com/s/files/1/0792/5098/1063/files/6d780fd2bd1485daf0f8dd70e68878d90adefc90340848da9af8ecf4a3230a83.jpg?v=1786611006</t>
        </is>
      </c>
      <c r="E32" s="2" t="inlineStr">
        <is>
          <t>38796242911431</t>
        </is>
      </c>
      <c r="F32" s="2" t="inlineStr">
        <is>
          <t>47833434849479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2026-09-08T09:03:24.605236+07:00</t>
        </is>
      </c>
      <c r="K32" s="2" t="inlineStr">
        <is>
          <t>Front bedroom mockup of a red flaming soccer-ball comforter with sample name Michael and number 07.</t>
        </is>
      </c>
      <c r="L32" s="2" t="inlineStr">
        <is>
          <t>Red flaming soccer ball comforter bed mockup with 07 sample number, Michael script name and matching pillows.</t>
        </is>
      </c>
      <c r="M32" s="2" t="inlineStr">
        <is>
          <t>Custom Flaming Soccer Ball with Custom Name Comforter Set</t>
        </is>
      </c>
      <c r="N32" s="2" t="inlineStr">
        <is>
          <t>SET</t>
        </is>
      </c>
      <c r="O32" s="2" t="inlineStr">
        <is>
          <t>Red flaming soccer comforter with Michael 07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["seo_runs\\jeminise.com\\20260906_234129\\evidence\\images\\55_custom-flaming-soccer-ball-with-custom-name-comforter-set-a12\\image_01_47833434849479.jpg;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"https://cdn.shopify.com/s/files/1/0792/5098/1063/files/6d780fd2bd1485daf0f8dd70e68878d90adefc90340848da9af8ecf4a3230a83.jpg?v=1786611006"]</t>
        </is>
      </c>
      <c r="AA32" s="2" t="inlineStr">
        <is>
          <t>r3</t>
        </is>
      </c>
    </row>
    <row r="33" ht="66" customHeight="1">
      <c r="A33" s="3" t="inlineStr">
        <is>
          <t>jeminise.com+custom-flaming-soccer-ball-with-custom-name-comforter-set-a12</t>
        </is>
      </c>
      <c r="B33" s="3" t="inlineStr">
        <is>
          <t>qaimg_64d45241f68222f9</t>
        </is>
      </c>
      <c r="C33" s="4" t="inlineStr">
        <is>
          <t>https://cdn.shopify.com/s/files/1/0792/5098/1063/files/1eb56ecd83f16a1b486faa5f948f85e2ce8be491db0b7164e9a4a95a6443f9fa.jpg?v=1786611006</t>
        </is>
      </c>
      <c r="D33" s="4" t="inlineStr">
        <is>
          <t>https://cdn.shopify.com/s/files/1/0792/5098/1063/files/1eb56ecd83f16a1b486faa5f948f85e2ce8be491db0b7164e9a4a95a6443f9fa.jpg?v=1786611006</t>
        </is>
      </c>
      <c r="E33" s="3" t="inlineStr">
        <is>
          <t>38796242944199</t>
        </is>
      </c>
      <c r="F33" s="3" t="inlineStr">
        <is>
          <t>47833434882247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2026-09-08T09:03:24.605236+07:00</t>
        </is>
      </c>
      <c r="K33" s="3" t="inlineStr">
        <is>
          <t>Microfiber, 3D-print and soft/lightweight feature panel for the Michael 07 bedding.</t>
        </is>
      </c>
      <c r="L33" s="3" t="inlineStr">
        <is>
          <t>Microfiber feature panel showing red flaming soccer bedding, 3D printed pattern, soft filling and breathable comfort.</t>
        </is>
      </c>
      <c r="M33" s="3" t="inlineStr">
        <is>
          <t>Custom Flaming Soccer Ball with Custom Name Comforter Set</t>
        </is>
      </c>
      <c r="N33" s="3" t="inlineStr">
        <is>
          <t>SET</t>
        </is>
      </c>
      <c r="O33" s="3" t="inlineStr">
        <is>
          <t>Red flaming soccer comforter microfiber panel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["seo_runs\\jeminise.com\\20260906_234129\\evidence\\images\\55_custom-flaming-soccer-ball-with-custom-name-comforter-set-a12\\image_02_47833434882247.jpg;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"https://cdn.shopify.com/s/files/1/0792/5098/1063/files/1eb56ecd83f16a1b486faa5f948f85e2ce8be491db0b7164e9a4a95a6443f9fa.jpg?v=1786611006"]</t>
        </is>
      </c>
      <c r="AA33" s="3" t="inlineStr">
        <is>
          <t>r3</t>
        </is>
      </c>
    </row>
    <row r="34" ht="66" customHeight="1">
      <c r="A34" s="2" t="inlineStr">
        <is>
          <t>jeminise.com+custom-flaming-soccer-ball-with-custom-name-comforter-set-a12</t>
        </is>
      </c>
      <c r="B34" s="2" t="inlineStr">
        <is>
          <t>qaimg_1eba07eccca0bb13</t>
        </is>
      </c>
      <c r="C34" s="4" t="inlineStr">
        <is>
          <t>https://cdn.shopify.com/s/files/1/0792/5098/1063/files/212eb0529b543882b770a709780a04d8591438420c86396e40be579a1140763c.jpg?v=1786611006</t>
        </is>
      </c>
      <c r="D34" s="4" t="inlineStr">
        <is>
          <t>https://cdn.shopify.com/s/files/1/0792/5098/1063/files/212eb0529b543882b770a709780a04d8591438420c86396e40be579a1140763c.jpg?v=1786611006</t>
        </is>
      </c>
      <c r="E34" s="2" t="inlineStr">
        <is>
          <t>38796242976967</t>
        </is>
      </c>
      <c r="F34" s="2" t="inlineStr">
        <is>
          <t>47833434915015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2026-09-08T09:03:24.605236+07:00</t>
        </is>
      </c>
      <c r="K34" s="2" t="inlineStr">
        <is>
          <t>Close angled bedroom view of the Michael 07 soccer bedding.</t>
        </is>
      </c>
      <c r="L34" s="2" t="inlineStr">
        <is>
          <t>Feature icon panel on red flaming soccer comforter showing soft, lightweight, durable and breathable notes.</t>
        </is>
      </c>
      <c r="M34" s="2" t="inlineStr">
        <is>
          <t>Custom Flaming Soccer Ball with Custom Name Comforter Set</t>
        </is>
      </c>
      <c r="N34" s="2" t="inlineStr">
        <is>
          <t>SET</t>
        </is>
      </c>
      <c r="O34" s="2" t="inlineStr">
        <is>
          <t>Red flaming soccer comforter feature icons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["seo_runs\\jeminise.com\\20260906_234129\\evidence\\images\\55_custom-flaming-soccer-ball-with-custom-name-comforter-set-a12\\image_03_47833434915015.jpg;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"https://cdn.shopify.com/s/files/1/0792/5098/1063/files/212eb0529b543882b770a709780a04d8591438420c86396e40be579a1140763c.jpg?v=1786611006"]</t>
        </is>
      </c>
      <c r="AA34" s="2" t="inlineStr">
        <is>
          <t>r3</t>
        </is>
      </c>
    </row>
    <row r="35" ht="66" customHeight="1">
      <c r="A35" s="3" t="inlineStr">
        <is>
          <t>jeminise.com+custom-flaming-soccer-ball-with-custom-name-comforter-set-a12</t>
        </is>
      </c>
      <c r="B35" s="3" t="inlineStr">
        <is>
          <t>qaimg_09989b374b879650</t>
        </is>
      </c>
      <c r="C35" s="4" t="inlineStr">
        <is>
          <t>https://cdn.shopify.com/s/files/1/0792/5098/1063/files/396828b59fd53a9241601bb0cad4e9cffbbfd7f7c4237dfcb13e671c90b3f204_3a0944ca-a874-48f5-9d46-2506f3d9921a.jpg?v=1786611006</t>
        </is>
      </c>
      <c r="D35" s="4" t="inlineStr">
        <is>
          <t>https://cdn.shopify.com/s/files/1/0792/5098/1063/files/396828b59fd53a9241601bb0cad4e9cffbbfd7f7c4237dfcb13e671c90b3f204_3a0944ca-a874-48f5-9d46-2506f3d9921a.jpg?v=1786611006</t>
        </is>
      </c>
      <c r="E35" s="3" t="inlineStr">
        <is>
          <t>38796243009735</t>
        </is>
      </c>
      <c r="F35" s="3" t="inlineStr">
        <is>
          <t>47833434947783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2026-09-08T09:03:24.605236+07:00</t>
        </is>
      </c>
      <c r="K35" s="3" t="inlineStr">
        <is>
          <t>Close view of two soccer-ball pillow shams with sample number 07.</t>
        </is>
      </c>
      <c r="L35" s="3" t="inlineStr">
        <is>
          <t>Pillow sham mockup showing flaming soccer ball artwork with 07 sample number.</t>
        </is>
      </c>
      <c r="M35" s="3" t="inlineStr">
        <is>
          <t>Custom Flaming Soccer Ball with Custom Name Comforter Set</t>
        </is>
      </c>
      <c r="N35" s="3" t="inlineStr">
        <is>
          <t>SET</t>
        </is>
      </c>
      <c r="O35" s="3" t="inlineStr">
        <is>
          <t>Red flaming soccer pillow sham mockup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["seo_runs\\jeminise.com\\20260906_234129\\evidence\\images\\55_custom-flaming-soccer-ball-with-custom-name-comforter-set-a12\\image_04_47833434947783.jpg;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"https://cdn.shopify.com/s/files/1/0792/5098/1063/files/396828b59fd53a9241601bb0cad4e9cffbbfd7f7c4237dfcb13e671c90b3f204_3a0944ca-a874-48f5-9d46-2506f3d9921a.jpg?v=1786611006"]</t>
        </is>
      </c>
      <c r="AA35" s="3" t="inlineStr">
        <is>
          <t>r3</t>
        </is>
      </c>
    </row>
    <row r="36" ht="66" customHeight="1">
      <c r="A36" s="2" t="inlineStr">
        <is>
          <t>jeminise.com+custom-flaming-soccer-ball-with-custom-name-comforter-set-a12</t>
        </is>
      </c>
      <c r="B36" s="2" t="inlineStr">
        <is>
          <t>qaimg_295004ea40097ce9</t>
        </is>
      </c>
      <c r="C36" s="4" t="inlineStr">
        <is>
          <t>https://cdn.shopify.com/s/files/1/0792/5098/1063/files/0b1d1e19cab6d757366a36700f895ecca060303e705a8aece2f5fa486b6770da_82f2a957-1f09-4c71-8d62-717fadde4fa3.jpg?v=1786611006</t>
        </is>
      </c>
      <c r="D36" s="4" t="inlineStr">
        <is>
          <t>https://cdn.shopify.com/s/files/1/0792/5098/1063/files/0b1d1e19cab6d757366a36700f895ecca060303e705a8aece2f5fa486b6770da_82f2a957-1f09-4c71-8d62-717fadde4fa3.jpg?v=1786611006</t>
        </is>
      </c>
      <c r="E36" s="2" t="inlineStr">
        <is>
          <t>38796243042503</t>
        </is>
      </c>
      <c r="F36" s="2" t="inlineStr">
        <is>
          <t>47833434980551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2026-09-08T09:03:24.605236+07:00</t>
        </is>
      </c>
      <c r="K36" s="2" t="inlineStr">
        <is>
          <t>Duvet-cover versus comforter product-type comparison.</t>
        </is>
      </c>
      <c r="L36" s="2" t="inlineStr">
        <is>
          <t>Bedding type comparison panel showing duvet cover set and comforter set options.</t>
        </is>
      </c>
      <c r="M36" s="2" t="inlineStr">
        <is>
          <t>Custom Flaming Soccer Ball with Custom Name Comforter Set</t>
        </is>
      </c>
      <c r="N36" s="2" t="inlineStr">
        <is>
          <t>SET</t>
        </is>
      </c>
      <c r="O36" s="2" t="inlineStr">
        <is>
          <t>Red flaming soccer comforter bedding type panel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["seo_runs\\jeminise.com\\20260906_234129\\evidence\\images\\55_custom-flaming-soccer-ball-with-custom-name-comforter-set-a12\\image_05_47833434980551.jpg;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"https://cdn.shopify.com/s/files/1/0792/5098/1063/files/0b1d1e19cab6d757366a36700f895ecca060303e705a8aece2f5fa486b6770da_82f2a957-1f09-4c71-8d62-717fadde4fa3.jpg?v=1786611006"]</t>
        </is>
      </c>
      <c r="AA36" s="2" t="inlineStr">
        <is>
          <t>r3</t>
        </is>
      </c>
    </row>
    <row r="37" ht="66" customHeight="1">
      <c r="A37" s="3" t="inlineStr">
        <is>
          <t>jeminise.com+custom-flaming-soccer-ball-with-custom-name-comforter-set-a12</t>
        </is>
      </c>
      <c r="B37" s="3" t="inlineStr">
        <is>
          <t>qaimg_3c1eeda1bf21bbe8</t>
        </is>
      </c>
      <c r="C37" s="4" t="inlineStr">
        <is>
          <t>https://cdn.shopify.com/s/files/1/0792/5098/1063/files/d69c64abffcb16656c216f686764cc115bec8c445623c065690d8b65417d6aa1.jpg?v=1786611006</t>
        </is>
      </c>
      <c r="D37" s="4" t="inlineStr">
        <is>
          <t>https://cdn.shopify.com/s/files/1/0792/5098/1063/files/d69c64abffcb16656c216f686764cc115bec8c445623c065690d8b65417d6aa1.jpg?v=1786611006</t>
        </is>
      </c>
      <c r="E37" s="3" t="inlineStr">
        <is>
          <t>38796243075271</t>
        </is>
      </c>
      <c r="F37" s="3" t="inlineStr">
        <is>
          <t>47833435013319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2026-09-08T09:03:24.605236+07:00</t>
        </is>
      </c>
      <c r="K37" s="3" t="inlineStr">
        <is>
          <t>Close-up of the printed red fabric and white underside.</t>
        </is>
      </c>
      <c r="L37" s="3" t="inlineStr">
        <is>
          <t>Close-up fabric panel showing white underside over red soccer artwork and Michael sample text.</t>
        </is>
      </c>
      <c r="M37" s="3" t="inlineStr">
        <is>
          <t>Custom Flaming Soccer Ball with Custom Name Comforter Set</t>
        </is>
      </c>
      <c r="N37" s="3" t="inlineStr">
        <is>
          <t>SET</t>
        </is>
      </c>
      <c r="O37" s="3" t="inlineStr">
        <is>
          <t>Red flaming soccer comforter fabric close-up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["seo_runs\\jeminise.com\\20260906_234129\\evidence\\images\\55_custom-flaming-soccer-ball-with-custom-name-comforter-set-a12\\image_06_47833435013319.jpg;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"https://cdn.shopify.com/s/files/1/0792/5098/1063/files/d69c64abffcb16656c216f686764cc115bec8c445623c065690d8b65417d6aa1.jpg?v=1786611006"]</t>
        </is>
      </c>
      <c r="AA37" s="3" t="inlineStr">
        <is>
          <t>r3</t>
        </is>
      </c>
    </row>
    <row r="38" ht="66" customHeight="1">
      <c r="A38" s="2" t="inlineStr">
        <is>
          <t>jeminise.com+custom-flaming-soccer-ball-with-custom-name-comforter-set-a12</t>
        </is>
      </c>
      <c r="B38" s="2" t="inlineStr">
        <is>
          <t>qaimg_5c66c8a6a4a6fe06</t>
        </is>
      </c>
      <c r="C38" s="4" t="inlineStr">
        <is>
          <t>https://cdn.shopify.com/s/files/1/0792/5098/1063/files/f2d46460f3ab65a197a873e1c48899e5b5ee30da98a418af6121a8d7c8106e32.jpg?v=1786611006</t>
        </is>
      </c>
      <c r="D38" s="4" t="inlineStr">
        <is>
          <t>https://cdn.shopify.com/s/files/1/0792/5098/1063/files/f2d46460f3ab65a197a873e1c48899e5b5ee30da98a418af6121a8d7c8106e32.jpg?v=1786611006</t>
        </is>
      </c>
      <c r="E38" s="2" t="inlineStr">
        <is>
          <t>38796243108039</t>
        </is>
      </c>
      <c r="F38" s="2" t="inlineStr">
        <is>
          <t>47833435046087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2026-09-08T09:03:24.605236+07:00</t>
        </is>
      </c>
      <c r="K38" s="2" t="inlineStr">
        <is>
          <t>Alternate bedroom mockup of the Michael 07 flaming soccer-ball bedding.</t>
        </is>
      </c>
      <c r="L38" s="2" t="inlineStr">
        <is>
          <t>Bedroom mockup of red flaming soccer ball comforter with Michael script sample name.</t>
        </is>
      </c>
      <c r="M38" s="2" t="inlineStr">
        <is>
          <t>Custom Flaming Soccer Ball with Custom Name Comforter Set</t>
        </is>
      </c>
      <c r="N38" s="2" t="inlineStr">
        <is>
          <t>SET</t>
        </is>
      </c>
      <c r="O38" s="2" t="inlineStr">
        <is>
          <t>Red flaming soccer comforter room mockup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["seo_runs\\jeminise.com\\20260906_234129\\evidence\\images\\55_custom-flaming-soccer-ball-with-custom-name-comforter-set-a12\\image_07_47833435046087.jpg;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"https://cdn.shopify.com/s/files/1/0792/5098/1063/files/f2d46460f3ab65a197a873e1c48899e5b5ee30da98a418af6121a8d7c8106e32.jpg?v=1786611006"]</t>
        </is>
      </c>
      <c r="AA38" s="2" t="inlineStr">
        <is>
          <t>r3</t>
        </is>
      </c>
    </row>
    <row r="39" ht="66" customHeight="1">
      <c r="A39" s="3" t="inlineStr">
        <is>
          <t>jeminise.com+custom-flaming-soccer-ball-with-custom-name-comforter-set-a12</t>
        </is>
      </c>
      <c r="B39" s="3" t="inlineStr">
        <is>
          <t>qaimg_631608132f2a539e</t>
        </is>
      </c>
      <c r="C39" s="4" t="inlineStr">
        <is>
          <t>https://cdn.shopify.com/s/files/1/0792/5098/1063/files/d761ea3ae4f4c0b26b7473177b21a616c5199552823ec637c64fe7b0d6b0f12f_efa2fec9-9120-468f-a978-bf436a0a95d3.jpg?v=1786611006</t>
        </is>
      </c>
      <c r="D39" s="4" t="inlineStr">
        <is>
          <t>https://cdn.shopify.com/s/files/1/0792/5098/1063/files/d761ea3ae4f4c0b26b7473177b21a616c5199552823ec637c64fe7b0d6b0f12f_efa2fec9-9120-468f-a978-bf436a0a95d3.jpg?v=1786611006</t>
        </is>
      </c>
      <c r="E39" s="3" t="inlineStr">
        <is>
          <t>38796243140807</t>
        </is>
      </c>
      <c r="F39" s="3" t="inlineStr">
        <is>
          <t>47833435078855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2026-09-08T09:03:24.605236+07:00</t>
        </is>
      </c>
      <c r="K39" s="3" t="inlineStr">
        <is>
          <t>Comforter size-dimension chart for Twin, Full, Queen and King.</t>
        </is>
      </c>
      <c r="L39" s="3" t="inlineStr">
        <is>
          <t>Size dimension panel showing Twin, Full, Queen and King bedding dimensions.</t>
        </is>
      </c>
      <c r="M39" s="3" t="inlineStr">
        <is>
          <t>Custom Flaming Soccer Ball with Custom Name Comforter Set</t>
        </is>
      </c>
      <c r="N39" s="3" t="inlineStr">
        <is>
          <t>SET</t>
        </is>
      </c>
      <c r="O39" s="3" t="inlineStr">
        <is>
          <t>Red flaming soccer comforter size chart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["seo_runs\\jeminise.com\\20260906_234129\\evidence\\images\\55_custom-flaming-soccer-ball-with-custom-name-comforter-set-a12\\image_08_47833435078855.jpg; seo_runs\\jeminise.com\\20260906_234129\\evidence\\contact_sheets\\55_custom-flaming-soccer-ball-with-custom-name-comforter-set-a12.jpg", "https://jeminise.com/products/custom-flaming-soccer-ball-with-custom-name-comforter-set-a12", "https://cdn.shopify.com/s/files/1/0792/5098/1063/files/d761ea3ae4f4c0b26b7473177b21a616c5199552823ec637c64fe7b0d6b0f12f_efa2fec9-9120-468f-a978-bf436a0a95d3.jpg?v=1786611006"]</t>
        </is>
      </c>
      <c r="AA39" s="3" t="inlineStr">
        <is>
          <t>r3</t>
        </is>
      </c>
    </row>
    <row r="40" ht="66" customHeight="1">
      <c r="A40" s="2" t="inlineStr">
        <is>
          <t>jeminise.com+custom-flaming-soccer-ball-with-name-comforter-set-machine-washable</t>
        </is>
      </c>
      <c r="B40" s="2" t="inlineStr">
        <is>
          <t>qaimg_2b84b4c593f41b84</t>
        </is>
      </c>
      <c r="C40" s="4" t="inlineStr">
        <is>
          <t>https://cdn.shopify.com/s/files/1/0792/5098/1063/files/f841a76d7426fae3bb23d0a8a59fe3fcadc00e404912a6b93baa3f5a7b3a6d2d.jpg?v=1786610967</t>
        </is>
      </c>
      <c r="D40" s="4" t="inlineStr">
        <is>
          <t>https://cdn.shopify.com/s/files/1/0792/5098/1063/files/f841a76d7426fae3bb23d0a8a59fe3fcadc00e404912a6b93baa3f5a7b3a6d2d.jpg?v=1786610967</t>
        </is>
      </c>
      <c r="E40" s="2" t="inlineStr">
        <is>
          <t>38796232556743</t>
        </is>
      </c>
      <c r="F40" s="2" t="inlineStr">
        <is>
          <t>47833424003271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2026-09-08T09:03:24.605236+07:00</t>
        </is>
      </c>
      <c r="K40" s="2" t="inlineStr">
        <is>
          <t>Front bedroom mockup of a red motion-streak soccer-ball comforter with sample name MICHAEL and number 07.</t>
        </is>
      </c>
      <c r="L40" s="2" t="inlineStr">
        <is>
          <t>Flaming soccer bedding bed mockup with MICHAEL block-style sample name, 07 number and matching pillows.</t>
        </is>
      </c>
      <c r="M40" s="2" t="inlineStr">
        <is>
          <t>Custom Flaming Soccer Ball with Name Comforter Set, Machine Washable</t>
        </is>
      </c>
      <c r="N40" s="2" t="inlineStr">
        <is>
          <t>SET</t>
        </is>
      </c>
      <c r="O40" s="2" t="inlineStr">
        <is>
          <t>MICHAEL 07 flaming soccer bedding set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["seo_runs\\jeminise.com\\20260906_234129\\evidence\\images\\56_custom-flaming-soccer-ball-with-name-comforter-set-machine-washable\\image_01_47833424003271.jpg;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"https://cdn.shopify.com/s/files/1/0792/5098/1063/files/f841a76d7426fae3bb23d0a8a59fe3fcadc00e404912a6b93baa3f5a7b3a6d2d.jpg?v=1786610967"]</t>
        </is>
      </c>
      <c r="AA40" s="2" t="inlineStr">
        <is>
          <t>r3</t>
        </is>
      </c>
    </row>
    <row r="41" ht="66" customHeight="1">
      <c r="A41" s="3" t="inlineStr">
        <is>
          <t>jeminise.com+custom-flaming-soccer-ball-with-name-comforter-set-machine-washable</t>
        </is>
      </c>
      <c r="B41" s="3" t="inlineStr">
        <is>
          <t>qaimg_d87a73f7437525d6</t>
        </is>
      </c>
      <c r="C41" s="4" t="inlineStr">
        <is>
          <t>https://cdn.shopify.com/s/files/1/0792/5098/1063/files/3813f8c0ac9df910e2e4d8668cfc08c226f6d7481a56d5b1b4ea646d6c145d6d.jpg?v=1786610967</t>
        </is>
      </c>
      <c r="D41" s="4" t="inlineStr">
        <is>
          <t>https://cdn.shopify.com/s/files/1/0792/5098/1063/files/3813f8c0ac9df910e2e4d8668cfc08c226f6d7481a56d5b1b4ea646d6c145d6d.jpg?v=1786610967</t>
        </is>
      </c>
      <c r="E41" s="3" t="inlineStr">
        <is>
          <t>38796232589511</t>
        </is>
      </c>
      <c r="F41" s="3" t="inlineStr">
        <is>
          <t>47833424036039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2026-09-08T09:03:24.605236+07:00</t>
        </is>
      </c>
      <c r="K41" s="3" t="inlineStr">
        <is>
          <t>Microfiber, 3D-print and soft/lightweight feature panel for the MICHAEL 07 bedding.</t>
        </is>
      </c>
      <c r="L41" s="3" t="inlineStr">
        <is>
          <t>Microfiber feature panel showing flaming soccer bedding, 3D printed pattern, soft filling and breathable comfort.</t>
        </is>
      </c>
      <c r="M41" s="3" t="inlineStr">
        <is>
          <t>Custom Flaming Soccer Ball with Name Comforter Set, Machine Washable</t>
        </is>
      </c>
      <c r="N41" s="3" t="inlineStr">
        <is>
          <t>SET</t>
        </is>
      </c>
      <c r="O41" s="3" t="inlineStr">
        <is>
          <t>MICHAEL 07 soccer bedding microfiber panel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["seo_runs\\jeminise.com\\20260906_234129\\evidence\\images\\56_custom-flaming-soccer-ball-with-name-comforter-set-machine-washable\\image_02_47833424036039.jpg;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"https://cdn.shopify.com/s/files/1/0792/5098/1063/files/3813f8c0ac9df910e2e4d8668cfc08c226f6d7481a56d5b1b4ea646d6c145d6d.jpg?v=1786610967"]</t>
        </is>
      </c>
      <c r="AA41" s="3" t="inlineStr">
        <is>
          <t>r3</t>
        </is>
      </c>
    </row>
    <row r="42" ht="66" customHeight="1">
      <c r="A42" s="2" t="inlineStr">
        <is>
          <t>jeminise.com+custom-flaming-soccer-ball-with-name-comforter-set-machine-washable</t>
        </is>
      </c>
      <c r="B42" s="2" t="inlineStr">
        <is>
          <t>qaimg_38a54936bae0db86</t>
        </is>
      </c>
      <c r="C42" s="4" t="inlineStr">
        <is>
          <t>https://cdn.shopify.com/s/files/1/0792/5098/1063/files/573e8ec1b6fd48c4923442e47065a390b1812505c68979c51558d0642f76a14e.jpg?v=1786610967</t>
        </is>
      </c>
      <c r="D42" s="4" t="inlineStr">
        <is>
          <t>https://cdn.shopify.com/s/files/1/0792/5098/1063/files/573e8ec1b6fd48c4923442e47065a390b1812505c68979c51558d0642f76a14e.jpg?v=1786610967</t>
        </is>
      </c>
      <c r="E42" s="2" t="inlineStr">
        <is>
          <t>38796232622279</t>
        </is>
      </c>
      <c r="F42" s="2" t="inlineStr">
        <is>
          <t>47833424068807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2026-09-08T09:03:24.605236+07:00</t>
        </is>
      </c>
      <c r="K42" s="2" t="inlineStr">
        <is>
          <t>Fluffy microfiber filling and printed fabric close-up.</t>
        </is>
      </c>
      <c r="L42" s="2" t="inlineStr">
        <is>
          <t>Close-up fabric panel showing white underside over flaming soccer print and fluffy microfiber filling callout.</t>
        </is>
      </c>
      <c r="M42" s="2" t="inlineStr">
        <is>
          <t>Custom Flaming Soccer Ball with Name Comforter Set, Machine Washable</t>
        </is>
      </c>
      <c r="N42" s="2" t="inlineStr">
        <is>
          <t>SET</t>
        </is>
      </c>
      <c r="O42" s="2" t="inlineStr">
        <is>
          <t>MICHAEL 07 soccer comforter filling close-up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["seo_runs\\jeminise.com\\20260906_234129\\evidence\\images\\56_custom-flaming-soccer-ball-with-name-comforter-set-machine-washable\\image_03_47833424068807.jpg;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"https://cdn.shopify.com/s/files/1/0792/5098/1063/files/573e8ec1b6fd48c4923442e47065a390b1812505c68979c51558d0642f76a14e.jpg?v=1786610967"]</t>
        </is>
      </c>
      <c r="AA42" s="2" t="inlineStr">
        <is>
          <t>r3</t>
        </is>
      </c>
    </row>
    <row r="43" ht="66" customHeight="1">
      <c r="A43" s="3" t="inlineStr">
        <is>
          <t>jeminise.com+custom-flaming-soccer-ball-with-name-comforter-set-machine-washable</t>
        </is>
      </c>
      <c r="B43" s="3" t="inlineStr">
        <is>
          <t>qaimg_7c518cbed1aef565</t>
        </is>
      </c>
      <c r="C43" s="4" t="inlineStr">
        <is>
          <t>https://cdn.shopify.com/s/files/1/0792/5098/1063/files/396828b59fd53a9241601bb0cad4e9cffbbfd7f7c4237dfcb13e671c90b3f204.jpg?v=1786610967</t>
        </is>
      </c>
      <c r="D43" s="4" t="inlineStr">
        <is>
          <t>https://cdn.shopify.com/s/files/1/0792/5098/1063/files/396828b59fd53a9241601bb0cad4e9cffbbfd7f7c4237dfcb13e671c90b3f204.jpg?v=1786610967</t>
        </is>
      </c>
      <c r="E43" s="3" t="inlineStr">
        <is>
          <t>38796232655047</t>
        </is>
      </c>
      <c r="F43" s="3" t="inlineStr">
        <is>
          <t>47833424101575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2026-09-08T09:03:24.605236+07:00</t>
        </is>
      </c>
      <c r="K43" s="3" t="inlineStr">
        <is>
          <t>Close view of two soccer-ball pillow shams with sample number 07.</t>
        </is>
      </c>
      <c r="L43" s="3" t="inlineStr">
        <is>
          <t>Pillow sham mockup showing flaming soccer ball artwork with 07 sample number.</t>
        </is>
      </c>
      <c r="M43" s="3" t="inlineStr">
        <is>
          <t>Custom Flaming Soccer Ball with Name Comforter Set, Machine Washable</t>
        </is>
      </c>
      <c r="N43" s="3" t="inlineStr">
        <is>
          <t>SET</t>
        </is>
      </c>
      <c r="O43" s="3" t="inlineStr">
        <is>
          <t>MICHAEL 07 soccer pillow sham mockup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["seo_runs\\jeminise.com\\20260906_234129\\evidence\\images\\56_custom-flaming-soccer-ball-with-name-comforter-set-machine-washable\\image_04_47833424101575.jpg;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"https://cdn.shopify.com/s/files/1/0792/5098/1063/files/396828b59fd53a9241601bb0cad4e9cffbbfd7f7c4237dfcb13e671c90b3f204.jpg?v=1786610967"]</t>
        </is>
      </c>
      <c r="AA43" s="3" t="inlineStr">
        <is>
          <t>r3</t>
        </is>
      </c>
    </row>
    <row r="44" ht="66" customHeight="1">
      <c r="A44" s="2" t="inlineStr">
        <is>
          <t>jeminise.com+custom-flaming-soccer-ball-with-name-comforter-set-machine-washable</t>
        </is>
      </c>
      <c r="B44" s="2" t="inlineStr">
        <is>
          <t>qaimg_7056747da94a7587</t>
        </is>
      </c>
      <c r="C44" s="4" t="inlineStr">
        <is>
          <t>https://cdn.shopify.com/s/files/1/0792/5098/1063/files/0b1d1e19cab6d757366a36700f895ecca060303e705a8aece2f5fa486b6770da_9e358fbb-be3f-43b4-a914-017455b6e226.jpg?v=1786610967</t>
        </is>
      </c>
      <c r="D44" s="4" t="inlineStr">
        <is>
          <t>https://cdn.shopify.com/s/files/1/0792/5098/1063/files/0b1d1e19cab6d757366a36700f895ecca060303e705a8aece2f5fa486b6770da_9e358fbb-be3f-43b4-a914-017455b6e226.jpg?v=1786610967</t>
        </is>
      </c>
      <c r="E44" s="2" t="inlineStr">
        <is>
          <t>38796232687815</t>
        </is>
      </c>
      <c r="F44" s="2" t="inlineStr">
        <is>
          <t>47833424134343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2026-09-08T09:03:24.605236+07:00</t>
        </is>
      </c>
      <c r="K44" s="2" t="inlineStr">
        <is>
          <t>Duvet-cover versus comforter product-type comparison.</t>
        </is>
      </c>
      <c r="L44" s="2" t="inlineStr">
        <is>
          <t>Bedding type comparison panel showing duvet cover set and comforter set options.</t>
        </is>
      </c>
      <c r="M44" s="2" t="inlineStr">
        <is>
          <t>Custom Flaming Soccer Ball with Name Comforter Set, Machine Washable</t>
        </is>
      </c>
      <c r="N44" s="2" t="inlineStr">
        <is>
          <t>SET</t>
        </is>
      </c>
      <c r="O44" s="2" t="inlineStr">
        <is>
          <t>MICHAEL 07 soccer bedding type panel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["seo_runs\\jeminise.com\\20260906_234129\\evidence\\images\\56_custom-flaming-soccer-ball-with-name-comforter-set-machine-washable\\image_05_47833424134343.jpg;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"https://cdn.shopify.com/s/files/1/0792/5098/1063/files/0b1d1e19cab6d757366a36700f895ecca060303e705a8aece2f5fa486b6770da_9e358fbb-be3f-43b4-a914-017455b6e226.jpg?v=1786610967"]</t>
        </is>
      </c>
      <c r="AA44" s="2" t="inlineStr">
        <is>
          <t>r3</t>
        </is>
      </c>
    </row>
    <row r="45" ht="66" customHeight="1">
      <c r="A45" s="3" t="inlineStr">
        <is>
          <t>jeminise.com+custom-flaming-soccer-ball-with-name-comforter-set-machine-washable</t>
        </is>
      </c>
      <c r="B45" s="3" t="inlineStr">
        <is>
          <t>qaimg_67f94164dfcd4963</t>
        </is>
      </c>
      <c r="C45" s="4" t="inlineStr">
        <is>
          <t>https://cdn.shopify.com/s/files/1/0792/5098/1063/files/a9822f49fb2659387abd7a7535d5701b1a37102e53679a13cd13a160a7bb04d3.jpg?v=1786610967</t>
        </is>
      </c>
      <c r="D45" s="4" t="inlineStr">
        <is>
          <t>https://cdn.shopify.com/s/files/1/0792/5098/1063/files/a9822f49fb2659387abd7a7535d5701b1a37102e53679a13cd13a160a7bb04d3.jpg?v=1786610967</t>
        </is>
      </c>
      <c r="E45" s="3" t="inlineStr">
        <is>
          <t>38796232720583</t>
        </is>
      </c>
      <c r="F45" s="3" t="inlineStr">
        <is>
          <t>47833424167111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2026-09-08T09:03:24.605236+07:00</t>
        </is>
      </c>
      <c r="K45" s="3" t="inlineStr">
        <is>
          <t>Alternate bedroom mockup of the MICHAEL 07 soccer bedding.</t>
        </is>
      </c>
      <c r="L45" s="3" t="inlineStr">
        <is>
          <t>Bedroom mockup of flaming soccer bedding with MICHAEL block-style sample name and 07 pillows.</t>
        </is>
      </c>
      <c r="M45" s="3" t="inlineStr">
        <is>
          <t>Custom Flaming Soccer Ball with Name Comforter Set, Machine Washable</t>
        </is>
      </c>
      <c r="N45" s="3" t="inlineStr">
        <is>
          <t>SET</t>
        </is>
      </c>
      <c r="O45" s="3" t="inlineStr">
        <is>
          <t>MICHAEL 07 soccer bedding room mockup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["seo_runs\\jeminise.com\\20260906_234129\\evidence\\images\\56_custom-flaming-soccer-ball-with-name-comforter-set-machine-washable\\image_06_47833424167111.jpg;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"https://cdn.shopify.com/s/files/1/0792/5098/1063/files/a9822f49fb2659387abd7a7535d5701b1a37102e53679a13cd13a160a7bb04d3.jpg?v=1786610967"]</t>
        </is>
      </c>
      <c r="AA45" s="3" t="inlineStr">
        <is>
          <t>r3</t>
        </is>
      </c>
    </row>
    <row r="46" ht="66" customHeight="1">
      <c r="A46" s="2" t="inlineStr">
        <is>
          <t>jeminise.com+custom-flaming-soccer-ball-with-name-comforter-set-machine-washable</t>
        </is>
      </c>
      <c r="B46" s="2" t="inlineStr">
        <is>
          <t>qaimg_13db2f34df2fd8db</t>
        </is>
      </c>
      <c r="C46" s="4" t="inlineStr">
        <is>
          <t>https://cdn.shopify.com/s/files/1/0792/5098/1063/files/c12a629ab2e208881c638fd6b75264afcd9525d164bbc35fc0d0579fd4c4f854.jpg?v=1786610967</t>
        </is>
      </c>
      <c r="D46" s="4" t="inlineStr">
        <is>
          <t>https://cdn.shopify.com/s/files/1/0792/5098/1063/files/c12a629ab2e208881c638fd6b75264afcd9525d164bbc35fc0d0579fd4c4f854.jpg?v=1786610967</t>
        </is>
      </c>
      <c r="E46" s="2" t="inlineStr">
        <is>
          <t>38796232753351</t>
        </is>
      </c>
      <c r="F46" s="2" t="inlineStr">
        <is>
          <t>47833424199879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2026-09-08T09:03:24.605236+07:00</t>
        </is>
      </c>
      <c r="K46" s="2" t="inlineStr">
        <is>
          <t>Soccer bedding feature panel marked soft, lightweight, durable and breathable.</t>
        </is>
      </c>
      <c r="L46" s="2" t="inlineStr">
        <is>
          <t>Feature icon panel on flaming soccer bedding showing soft, lightweight, durable and breathable notes.</t>
        </is>
      </c>
      <c r="M46" s="2" t="inlineStr">
        <is>
          <t>Custom Flaming Soccer Ball with Name Comforter Set, Machine Washable</t>
        </is>
      </c>
      <c r="N46" s="2" t="inlineStr">
        <is>
          <t>SET</t>
        </is>
      </c>
      <c r="O46" s="2" t="inlineStr">
        <is>
          <t>MICHAEL 07 soccer bedding feature icons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["seo_runs\\jeminise.com\\20260906_234129\\evidence\\images\\56_custom-flaming-soccer-ball-with-name-comforter-set-machine-washable\\image_07_47833424199879.jpg;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"https://cdn.shopify.com/s/files/1/0792/5098/1063/files/c12a629ab2e208881c638fd6b75264afcd9525d164bbc35fc0d0579fd4c4f854.jpg?v=1786610967"]</t>
        </is>
      </c>
      <c r="AA46" s="2" t="inlineStr">
        <is>
          <t>r3</t>
        </is>
      </c>
    </row>
    <row r="47" ht="66" customHeight="1">
      <c r="A47" s="3" t="inlineStr">
        <is>
          <t>jeminise.com+custom-flaming-soccer-ball-with-name-comforter-set-machine-washable</t>
        </is>
      </c>
      <c r="B47" s="3" t="inlineStr">
        <is>
          <t>qaimg_5c9727cac9231bed</t>
        </is>
      </c>
      <c r="C47" s="4" t="inlineStr">
        <is>
          <t>https://cdn.shopify.com/s/files/1/0792/5098/1063/files/d761ea3ae4f4c0b26b7473177b21a616c5199552823ec637c64fe7b0d6b0f12f_e0f1a0f2-8f9d-46e6-8b76-93ec1ddb8090.jpg?v=1786610967</t>
        </is>
      </c>
      <c r="D47" s="4" t="inlineStr">
        <is>
          <t>https://cdn.shopify.com/s/files/1/0792/5098/1063/files/d761ea3ae4f4c0b26b7473177b21a616c5199552823ec637c64fe7b0d6b0f12f_e0f1a0f2-8f9d-46e6-8b76-93ec1ddb8090.jpg?v=1786610967</t>
        </is>
      </c>
      <c r="E47" s="3" t="inlineStr">
        <is>
          <t>38796232786119</t>
        </is>
      </c>
      <c r="F47" s="3" t="inlineStr">
        <is>
          <t>47833424232647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2026-09-08T09:03:24.605236+07:00</t>
        </is>
      </c>
      <c r="K47" s="3" t="inlineStr">
        <is>
          <t>Comforter size-dimension chart for Twin, Full, Queen and King.</t>
        </is>
      </c>
      <c r="L47" s="3" t="inlineStr">
        <is>
          <t>Size dimension panel showing Twin, Full, Queen and King bedding dimensions.</t>
        </is>
      </c>
      <c r="M47" s="3" t="inlineStr">
        <is>
          <t>Custom Flaming Soccer Ball with Name Comforter Set, Machine Washable</t>
        </is>
      </c>
      <c r="N47" s="3" t="inlineStr">
        <is>
          <t>SET</t>
        </is>
      </c>
      <c r="O47" s="3" t="inlineStr">
        <is>
          <t>MICHAEL 07 soccer bedding size chart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["seo_runs\\jeminise.com\\20260906_234129\\evidence\\images\\56_custom-flaming-soccer-ball-with-name-comforter-set-machine-washable\\image_08_47833424232647.jpg; seo_runs\\jeminise.com\\20260906_234129\\evidence\\contact_sheets\\56_custom-flaming-soccer-ball-with-name-comforter-set-machine-washable.jpg", "https://jeminise.com/products/custom-flaming-soccer-ball-with-name-comforter-set-machine-washable", "https://cdn.shopify.com/s/files/1/0792/5098/1063/files/d761ea3ae4f4c0b26b7473177b21a616c5199552823ec637c64fe7b0d6b0f12f_e0f1a0f2-8f9d-46e6-8b76-93ec1ddb8090.jpg?v=1786610967"]</t>
        </is>
      </c>
      <c r="AA47" s="3" t="inlineStr">
        <is>
          <t>r3</t>
        </is>
      </c>
    </row>
    <row r="48" ht="66" customHeight="1">
      <c r="A48" s="2" t="inlineStr">
        <is>
          <t>jeminise.com+custom-floral-butterfly-inspirational-blanket-machine-wash-design-8</t>
        </is>
      </c>
      <c r="B48" s="2" t="inlineStr">
        <is>
          <t>qaimg_24826a3711bea3e7</t>
        </is>
      </c>
      <c r="C48" s="4" t="inlineStr">
        <is>
          <t>https://cdn.shopify.com/s/files/1/0792/5098/1063/files/e60a7f0c7875d9a23678ce107f7cc49276a08524f855f1c8123e8371efdc3ca1.jpg?v=1786596773</t>
        </is>
      </c>
      <c r="D48" s="4" t="inlineStr">
        <is>
          <t>https://cdn.shopify.com/s/files/1/0792/5098/1063/files/e60a7f0c7875d9a23678ce107f7cc49276a08524f855f1c8123e8371efdc3ca1.jpg?v=1786596773</t>
        </is>
      </c>
      <c r="E48" s="2" t="inlineStr">
        <is>
          <t>38793464086727</t>
        </is>
      </c>
      <c r="F48" s="2" t="inlineStr">
        <is>
          <t>47830590030023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2026-09-08T09:03:24.605236+07:00</t>
        </is>
      </c>
      <c r="K48" s="2" t="inlineStr">
        <is>
          <t>Woman holding a white floral blanket with sample name SOPHIA, monarch butterfly and Proverbs 31:25 text.</t>
        </is>
      </c>
      <c r="L48" s="2" t="inlineStr">
        <is>
          <t>Person holding Proverbs 31 floral butterfly blanket with SOPHIA sample name, peach flowers and gold corner border.</t>
        </is>
      </c>
      <c r="M48" s="2" t="inlineStr">
        <is>
          <t>Custom Floral Butterfly Inspirational Blanket, Machine Wash - Design 8</t>
        </is>
      </c>
      <c r="N48" s="2" t="inlineStr">
        <is>
          <t>SET</t>
        </is>
      </c>
      <c r="O48" s="2" t="inlineStr">
        <is>
          <t>Proverbs 31 floral butterfly blanket SOPHIA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["seo_runs\\jeminise.com\\20260906_234129\\evidence\\images\\57_custom-floral-butterfly-inspirational-blanket-machine-wash-design-8\\image_01_47830590030023.jpg;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"https://cdn.shopify.com/s/files/1/0792/5098/1063/files/e60a7f0c7875d9a23678ce107f7cc49276a08524f855f1c8123e8371efdc3ca1.jpg?v=1786596773"]</t>
        </is>
      </c>
      <c r="AA48" s="2" t="inlineStr">
        <is>
          <t>r3</t>
        </is>
      </c>
    </row>
    <row r="49" ht="66" customHeight="1">
      <c r="A49" s="3" t="inlineStr">
        <is>
          <t>jeminise.com+custom-floral-butterfly-inspirational-blanket-machine-wash-design-8</t>
        </is>
      </c>
      <c r="B49" s="3" t="inlineStr">
        <is>
          <t>qaimg_d861241527c2f1fb</t>
        </is>
      </c>
      <c r="C49" s="4" t="inlineStr">
        <is>
          <t>https://cdn.shopify.com/s/files/1/0792/5098/1063/files/ff8aa8b6f045be0fe67b76ae37f27d84f0ad0143e37095b88b29e63dee8d7eef.jpg?v=1786596773</t>
        </is>
      </c>
      <c r="D49" s="4" t="inlineStr">
        <is>
          <t>https://cdn.shopify.com/s/files/1/0792/5098/1063/files/ff8aa8b6f045be0fe67b76ae37f27d84f0ad0143e37095b88b29e63dee8d7eef.jpg?v=1786596773</t>
        </is>
      </c>
      <c r="E49" s="3" t="inlineStr">
        <is>
          <t>38793464119495</t>
        </is>
      </c>
      <c r="F49" s="3" t="inlineStr">
        <is>
          <t>47830590062791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2026-09-08T09:03:24.605236+07:00</t>
        </is>
      </c>
      <c r="K49" s="3" t="inlineStr">
        <is>
          <t>Isolated mockup of the SOPHIA Proverbs 31:25 floral butterfly blanket.</t>
        </is>
      </c>
      <c r="L49" s="3" t="inlineStr">
        <is>
          <t>Flat view of SOPHIA Proverbs 31 blanket with peach flowers, monarch butterfly and gold border.</t>
        </is>
      </c>
      <c r="M49" s="3" t="inlineStr">
        <is>
          <t>Custom Floral Butterfly Inspirational Blanket, Machine Wash - Design 8</t>
        </is>
      </c>
      <c r="N49" s="3" t="inlineStr">
        <is>
          <t>SET</t>
        </is>
      </c>
      <c r="O49" s="3" t="inlineStr">
        <is>
          <t>SOPHIA Proverbs 31 blanket flat view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["seo_runs\\jeminise.com\\20260906_234129\\evidence\\images\\57_custom-floral-butterfly-inspirational-blanket-machine-wash-design-8\\image_02_47830590062791.jpg;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"https://cdn.shopify.com/s/files/1/0792/5098/1063/files/ff8aa8b6f045be0fe67b76ae37f27d84f0ad0143e37095b88b29e63dee8d7eef.jpg?v=1786596773"]</t>
        </is>
      </c>
      <c r="AA49" s="3" t="inlineStr">
        <is>
          <t>r3</t>
        </is>
      </c>
    </row>
    <row r="50" ht="66" customHeight="1">
      <c r="A50" s="2" t="inlineStr">
        <is>
          <t>jeminise.com+custom-floral-butterfly-inspirational-blanket-machine-wash-design-8</t>
        </is>
      </c>
      <c r="B50" s="2" t="inlineStr">
        <is>
          <t>qaimg_c6537f696c58965a</t>
        </is>
      </c>
      <c r="C50" s="4" t="inlineStr">
        <is>
          <t>https://cdn.shopify.com/s/files/1/0792/5098/1063/files/a9a78fdf2c0420fd947c5f3e5cecd65b237be422aaaa98280fb5ebac60bef361.jpg?v=1786596773</t>
        </is>
      </c>
      <c r="D50" s="4" t="inlineStr">
        <is>
          <t>https://cdn.shopify.com/s/files/1/0792/5098/1063/files/a9a78fdf2c0420fd947c5f3e5cecd65b237be422aaaa98280fb5ebac60bef361.jpg?v=1786596773</t>
        </is>
      </c>
      <c r="E50" s="2" t="inlineStr">
        <is>
          <t>38793464152263</t>
        </is>
      </c>
      <c r="F50" s="2" t="inlineStr">
        <is>
          <t>47830590095559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2026-09-08T09:03:24.605236+07:00</t>
        </is>
      </c>
      <c r="K50" s="2" t="inlineStr">
        <is>
          <t>Father and child reading under the SOPHIA Proverbs 31:25 blanket.</t>
        </is>
      </c>
      <c r="L50" s="2" t="inlineStr">
        <is>
          <t>Lifestyle reading scene with floral butterfly blanket, SOPHIA sample name and Proverbs 31:25 text.</t>
        </is>
      </c>
      <c r="M50" s="2" t="inlineStr">
        <is>
          <t>Custom Floral Butterfly Inspirational Blanket, Machine Wash - Design 8</t>
        </is>
      </c>
      <c r="N50" s="2" t="inlineStr">
        <is>
          <t>SET</t>
        </is>
      </c>
      <c r="O50" s="2" t="inlineStr">
        <is>
          <t>SOPHIA floral butterfly blanket reading scene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["seo_runs\\jeminise.com\\20260906_234129\\evidence\\images\\57_custom-floral-butterfly-inspirational-blanket-machine-wash-design-8\\image_03_47830590095559.jpg;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"https://cdn.shopify.com/s/files/1/0792/5098/1063/files/a9a78fdf2c0420fd947c5f3e5cecd65b237be422aaaa98280fb5ebac60bef361.jpg?v=1786596773"]</t>
        </is>
      </c>
      <c r="AA50" s="2" t="inlineStr">
        <is>
          <t>r3</t>
        </is>
      </c>
    </row>
    <row r="51" ht="66" customHeight="1">
      <c r="A51" s="3" t="inlineStr">
        <is>
          <t>jeminise.com+custom-floral-butterfly-inspirational-blanket-machine-wash-design-8</t>
        </is>
      </c>
      <c r="B51" s="3" t="inlineStr">
        <is>
          <t>qaimg_3272e0448024d5ab</t>
        </is>
      </c>
      <c r="C51" s="4" t="inlineStr">
        <is>
          <t>https://cdn.shopify.com/s/files/1/0792/5098/1063/files/305ae64e6952f9d9ff873f8a9c20017e4cb2b2f4331cd02060333804b4f23d24.jpg?v=1786596773</t>
        </is>
      </c>
      <c r="D51" s="4" t="inlineStr">
        <is>
          <t>https://cdn.shopify.com/s/files/1/0792/5098/1063/files/305ae64e6952f9d9ff873f8a9c20017e4cb2b2f4331cd02060333804b4f23d24.jpg?v=1786596773</t>
        </is>
      </c>
      <c r="E51" s="3" t="inlineStr">
        <is>
          <t>38793464185031</t>
        </is>
      </c>
      <c r="F51" s="3" t="inlineStr">
        <is>
          <t>47830590128327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2026-09-08T09:03:24.605236+07:00</t>
        </is>
      </c>
      <c r="K51" s="3" t="inlineStr">
        <is>
          <t>Four-size blanket chart for 40x30, 50x40, 60x50 and 80x60 inches.</t>
        </is>
      </c>
      <c r="L51" s="3" t="inlineStr">
        <is>
          <t>Blanket size chart showing PET, BOY/GIRL, ADULTS and BED dimensions.</t>
        </is>
      </c>
      <c r="M51" s="3" t="inlineStr">
        <is>
          <t>Custom Floral Butterfly Inspirational Blanket, Machine Wash - Design 8</t>
        </is>
      </c>
      <c r="N51" s="3" t="inlineStr">
        <is>
          <t>SET</t>
        </is>
      </c>
      <c r="O51" s="3" t="inlineStr">
        <is>
          <t>Proverbs 31 floral butterfly blanket size chart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["seo_runs\\jeminise.com\\20260906_234129\\evidence\\images\\57_custom-floral-butterfly-inspirational-blanket-machine-wash-design-8\\image_04_47830590128327.jpg;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"https://cdn.shopify.com/s/files/1/0792/5098/1063/files/305ae64e6952f9d9ff873f8a9c20017e4cb2b2f4331cd02060333804b4f23d24.jpg?v=1786596773"]</t>
        </is>
      </c>
      <c r="AA51" s="3" t="inlineStr">
        <is>
          <t>r3</t>
        </is>
      </c>
    </row>
    <row r="52" ht="66" customHeight="1">
      <c r="A52" s="2" t="inlineStr">
        <is>
          <t>jeminise.com+custom-floral-butterfly-inspirational-blanket-machine-wash-design-8</t>
        </is>
      </c>
      <c r="B52" s="2" t="inlineStr">
        <is>
          <t>qaimg_de7ad82705efdf1d</t>
        </is>
      </c>
      <c r="C52" s="4" t="inlineStr">
        <is>
          <t>https://cdn.shopify.com/s/files/1/0792/5098/1063/files/5462259bf9f3c043578a523c3535ddff2364152d3563cdfd384d3c6187e6bd9e.jpg?v=1786596773</t>
        </is>
      </c>
      <c r="D52" s="4" t="inlineStr">
        <is>
          <t>https://cdn.shopify.com/s/files/1/0792/5098/1063/files/5462259bf9f3c043578a523c3535ddff2364152d3563cdfd384d3c6187e6bd9e.jpg?v=1786596773</t>
        </is>
      </c>
      <c r="E52" s="2" t="inlineStr">
        <is>
          <t>38793464217799</t>
        </is>
      </c>
      <c r="F52" s="2" t="inlineStr">
        <is>
          <t>47830590161095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2026-09-08T09:03:24.605236+07:00</t>
        </is>
      </c>
      <c r="K52" s="2" t="inlineStr">
        <is>
          <t>Blanket feature panel marked fluffy and soft, high quality, no pilling, no shedding, gentle and smooth.</t>
        </is>
      </c>
      <c r="L52" s="2" t="inlineStr">
        <is>
          <t>Blanket material panel showing fluffy soft texture, high quality, no pilling, no shedding and smooth feel.</t>
        </is>
      </c>
      <c r="M52" s="2" t="inlineStr">
        <is>
          <t>Custom Floral Butterfly Inspirational Blanket, Machine Wash - Design 8</t>
        </is>
      </c>
      <c r="N52" s="2" t="inlineStr">
        <is>
          <t>SET</t>
        </is>
      </c>
      <c r="O52" s="2" t="inlineStr">
        <is>
          <t>Proverbs 31 blanket soft material panel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["seo_runs\\jeminise.com\\20260906_234129\\evidence\\images\\57_custom-floral-butterfly-inspirational-blanket-machine-wash-design-8\\image_05_47830590161095.jpg;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"https://cdn.shopify.com/s/files/1/0792/5098/1063/files/5462259bf9f3c043578a523c3535ddff2364152d3563cdfd384d3c6187e6bd9e.jpg?v=1786596773"]</t>
        </is>
      </c>
      <c r="AA52" s="2" t="inlineStr">
        <is>
          <t>r3</t>
        </is>
      </c>
    </row>
    <row r="53" ht="66" customHeight="1">
      <c r="A53" s="3" t="inlineStr">
        <is>
          <t>jeminise.com+custom-floral-butterfly-inspirational-blanket-machine-wash-design-8</t>
        </is>
      </c>
      <c r="B53" s="3" t="inlineStr">
        <is>
          <t>qaimg_fb7526f56e77c905</t>
        </is>
      </c>
      <c r="C53" s="4" t="inlineStr">
        <is>
          <t>https://cdn.shopify.com/s/files/1/0792/5098/1063/files/2bad5058c746820e47f34d322a765767629d4fe60088c852a465d71609a1d184.jpg?v=1786596773</t>
        </is>
      </c>
      <c r="D53" s="4" t="inlineStr">
        <is>
          <t>https://cdn.shopify.com/s/files/1/0792/5098/1063/files/2bad5058c746820e47f34d322a765767629d4fe60088c852a465d71609a1d184.jpg?v=1786596773</t>
        </is>
      </c>
      <c r="E53" s="3" t="inlineStr">
        <is>
          <t>38793464250567</t>
        </is>
      </c>
      <c r="F53" s="3" t="inlineStr">
        <is>
          <t>47830590193863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2026-09-08T09:03:24.605236+07:00</t>
        </is>
      </c>
      <c r="K53" s="3" t="inlineStr">
        <is>
          <t>Fabric and print-detail collage for the floral butterfly blanket.</t>
        </is>
      </c>
      <c r="L53" s="3" t="inlineStr">
        <is>
          <t>Detail collage showing fleece folds, butterfly artwork, printed floral design and soft white backing.</t>
        </is>
      </c>
      <c r="M53" s="3" t="inlineStr">
        <is>
          <t>Custom Floral Butterfly Inspirational Blanket, Machine Wash - Design 8</t>
        </is>
      </c>
      <c r="N53" s="3" t="inlineStr">
        <is>
          <t>SET</t>
        </is>
      </c>
      <c r="O53" s="3" t="inlineStr">
        <is>
          <t>Proverbs 31 blanket texture detail collage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["seo_runs\\jeminise.com\\20260906_234129\\evidence\\images\\57_custom-floral-butterfly-inspirational-blanket-machine-wash-design-8\\image_06_47830590193863.jpg;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"https://cdn.shopify.com/s/files/1/0792/5098/1063/files/2bad5058c746820e47f34d322a765767629d4fe60088c852a465d71609a1d184.jpg?v=1786596773"]</t>
        </is>
      </c>
      <c r="AA53" s="3" t="inlineStr">
        <is>
          <t>r3</t>
        </is>
      </c>
    </row>
    <row r="54" ht="66" customHeight="1">
      <c r="A54" s="2" t="inlineStr">
        <is>
          <t>jeminise.com+custom-floral-butterfly-inspirational-blanket-machine-wash-design-8</t>
        </is>
      </c>
      <c r="B54" s="2" t="inlineStr">
        <is>
          <t>qaimg_0dda398d4b56a38f</t>
        </is>
      </c>
      <c r="C54" s="4" t="inlineStr">
        <is>
          <t>https://cdn.shopify.com/s/files/1/0792/5098/1063/files/bd2bdbc27d07a38dabe5b11feab835f5ac81fa7e9b596bc91e42123273183b6a.jpg?v=1786596773</t>
        </is>
      </c>
      <c r="D54" s="4" t="inlineStr">
        <is>
          <t>https://cdn.shopify.com/s/files/1/0792/5098/1063/files/bd2bdbc27d07a38dabe5b11feab835f5ac81fa7e9b596bc91e42123273183b6a.jpg?v=1786596773</t>
        </is>
      </c>
      <c r="E54" s="2" t="inlineStr">
        <is>
          <t>38793464283335</t>
        </is>
      </c>
      <c r="F54" s="2" t="inlineStr">
        <is>
          <t>47830590226631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2026-09-08T09:03:24.605236+07:00</t>
        </is>
      </c>
      <c r="K54" s="2" t="inlineStr">
        <is>
          <t>SOPHIA Proverbs 31:25 blanket draped over a tan sofa.</t>
        </is>
      </c>
      <c r="L54" s="2" t="inlineStr">
        <is>
          <t>Floral butterfly blanket draped on couch with SOPHIA sample name and Proverbs 31:25 text.</t>
        </is>
      </c>
      <c r="M54" s="2" t="inlineStr">
        <is>
          <t>Custom Floral Butterfly Inspirational Blanket, Machine Wash - Design 8</t>
        </is>
      </c>
      <c r="N54" s="2" t="inlineStr">
        <is>
          <t>SET</t>
        </is>
      </c>
      <c r="O54" s="2" t="inlineStr">
        <is>
          <t>SOPHIA floral butterfly blanket couch mockup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["seo_runs\\jeminise.com\\20260906_234129\\evidence\\images\\57_custom-floral-butterfly-inspirational-blanket-machine-wash-design-8\\image_07_47830590226631.jpg;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"https://cdn.shopify.com/s/files/1/0792/5098/1063/files/bd2bdbc27d07a38dabe5b11feab835f5ac81fa7e9b596bc91e42123273183b6a.jpg?v=1786596773"]</t>
        </is>
      </c>
      <c r="AA54" s="2" t="inlineStr">
        <is>
          <t>r3</t>
        </is>
      </c>
    </row>
    <row r="55" ht="66" customHeight="1">
      <c r="A55" s="3" t="inlineStr">
        <is>
          <t>jeminise.com+custom-floral-butterfly-inspirational-blanket-machine-wash-design-8</t>
        </is>
      </c>
      <c r="B55" s="3" t="inlineStr">
        <is>
          <t>qaimg_1a7c30353c555a08</t>
        </is>
      </c>
      <c r="C55" s="4" t="inlineStr">
        <is>
          <t>https://cdn.shopify.com/s/files/1/0792/5098/1063/files/7ea7887dbaa70e9fa2d52cc786f39814763d527191156ef97bf0d23afbdcc4d3.jpg?v=1786596773</t>
        </is>
      </c>
      <c r="D55" s="4" t="inlineStr">
        <is>
          <t>https://cdn.shopify.com/s/files/1/0792/5098/1063/files/7ea7887dbaa70e9fa2d52cc786f39814763d527191156ef97bf0d23afbdcc4d3.jpg?v=1786596773</t>
        </is>
      </c>
      <c r="E55" s="3" t="inlineStr">
        <is>
          <t>38793464316103</t>
        </is>
      </c>
      <c r="F55" s="3" t="inlineStr">
        <is>
          <t>47830590259399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2026-09-08T09:03:24.605236+07:00</t>
        </is>
      </c>
      <c r="K55" s="3" t="inlineStr">
        <is>
          <t>Second sofa lifestyle view of the SOPHIA floral butterfly blanket.</t>
        </is>
      </c>
      <c r="L55" s="3" t="inlineStr">
        <is>
          <t>SOPHIA floral butterfly blanket spread on sofa with peach flower artwork and gold border.</t>
        </is>
      </c>
      <c r="M55" s="3" t="inlineStr">
        <is>
          <t>Custom Floral Butterfly Inspirational Blanket, Machine Wash - Design 8</t>
        </is>
      </c>
      <c r="N55" s="3" t="inlineStr">
        <is>
          <t>SET</t>
        </is>
      </c>
      <c r="O55" s="3" t="inlineStr">
        <is>
          <t>Proverbs 31 floral butterfly blanket sofa mockup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["seo_runs\\jeminise.com\\20260906_234129\\evidence\\images\\57_custom-floral-butterfly-inspirational-blanket-machine-wash-design-8\\image_08_47830590259399.jpg; seo_runs\\jeminise.com\\20260906_234129\\evidence\\contact_sheets\\57_custom-floral-butterfly-inspirational-blanket-machine-wash-design-8.jpg", "https://jeminise.com/products/custom-floral-butterfly-inspirational-blanket-machine-wash-design-8", "https://cdn.shopify.com/s/files/1/0792/5098/1063/files/7ea7887dbaa70e9fa2d52cc786f39814763d527191156ef97bf0d23afbdcc4d3.jpg?v=1786596773"]</t>
        </is>
      </c>
      <c r="AA55" s="3" t="inlineStr">
        <is>
          <t>r3</t>
        </is>
      </c>
    </row>
    <row r="56" ht="66" customHeight="1">
      <c r="A56" s="2" t="inlineStr">
        <is>
          <t>jeminise.com+custom-floral-butterfly-inspirational-blanket-machine-washable-d3</t>
        </is>
      </c>
      <c r="B56" s="2" t="inlineStr">
        <is>
          <t>qaimg_087d1e1ecfba2db2</t>
        </is>
      </c>
      <c r="C56" s="4" t="inlineStr">
        <is>
          <t>https://cdn.shopify.com/s/files/1/0792/5098/1063/files/7b2d759cc3474f8b380ea9f9ef6d4b141461fb49275363500310123df95ebadf.jpg?v=1786596316</t>
        </is>
      </c>
      <c r="D56" s="4" t="inlineStr">
        <is>
          <t>https://cdn.shopify.com/s/files/1/0792/5098/1063/files/7b2d759cc3474f8b380ea9f9ef6d4b141461fb49275363500310123df95ebadf.jpg?v=1786596316</t>
        </is>
      </c>
      <c r="E56" s="2" t="inlineStr">
        <is>
          <t>38793335537863</t>
        </is>
      </c>
      <c r="F56" s="2" t="inlineStr">
        <is>
          <t>47830460498119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2026-09-08T09:03:24.605236+07:00</t>
        </is>
      </c>
      <c r="K56" s="2" t="inlineStr">
        <is>
          <t>Woman holding a pale floral and butterfly Bible-affirmation blanket with sample name SARA.</t>
        </is>
      </c>
      <c r="L56" s="2" t="inlineStr">
        <is>
          <t>Person holding SARA floral Bible verse blanket with leaf border and scripture affirmation list.</t>
        </is>
      </c>
      <c r="M56" s="2" t="inlineStr">
        <is>
          <t>Custom Floral Butterfly Inspirational Blanket, Machine Washable</t>
        </is>
      </c>
      <c r="N56" s="2" t="inlineStr">
        <is>
          <t>SET</t>
        </is>
      </c>
      <c r="O56" s="2" t="inlineStr">
        <is>
          <t>SARA floral Bible verse blanket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["seo_runs\\jeminise.com\\20260906_234129\\evidence\\images\\58_custom-floral-butterfly-inspirational-blanket-machine-washable-d3\\image_01_47830460498119.jpg;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"https://cdn.shopify.com/s/files/1/0792/5098/1063/files/7b2d759cc3474f8b380ea9f9ef6d4b141461fb49275363500310123df95ebadf.jpg?v=1786596316"]</t>
        </is>
      </c>
      <c r="AA56" s="2" t="inlineStr">
        <is>
          <t>r3</t>
        </is>
      </c>
    </row>
    <row r="57" ht="66" customHeight="1">
      <c r="A57" s="3" t="inlineStr">
        <is>
          <t>jeminise.com+custom-floral-butterfly-inspirational-blanket-machine-washable-d3</t>
        </is>
      </c>
      <c r="B57" s="3" t="inlineStr">
        <is>
          <t>qaimg_634811655d274075</t>
        </is>
      </c>
      <c r="C57" s="4" t="inlineStr">
        <is>
          <t>https://cdn.shopify.com/s/files/1/0792/5098/1063/files/2ce553ac0d114236f4d8b3e23520aaa409b8dca49927efd5843df78f67260cd9.jpg?v=1786596316</t>
        </is>
      </c>
      <c r="D57" s="4" t="inlineStr">
        <is>
          <t>https://cdn.shopify.com/s/files/1/0792/5098/1063/files/2ce553ac0d114236f4d8b3e23520aaa409b8dca49927efd5843df78f67260cd9.jpg?v=1786596316</t>
        </is>
      </c>
      <c r="E57" s="3" t="inlineStr">
        <is>
          <t>38793335570631</t>
        </is>
      </c>
      <c r="F57" s="3" t="inlineStr">
        <is>
          <t>47830460530887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2026-09-08T09:03:24.605236+07:00</t>
        </is>
      </c>
      <c r="K57" s="3" t="inlineStr">
        <is>
          <t>SARA Bible-affirmation blanket draped over a beige sofa.</t>
        </is>
      </c>
      <c r="L57" s="3" t="inlineStr">
        <is>
          <t>SARA floral Bible verse blanket draped on couch with scripture list and pale floral border.</t>
        </is>
      </c>
      <c r="M57" s="3" t="inlineStr">
        <is>
          <t>Custom Floral Butterfly Inspirational Blanket, Machine Washable</t>
        </is>
      </c>
      <c r="N57" s="3" t="inlineStr">
        <is>
          <t>SET</t>
        </is>
      </c>
      <c r="O57" s="3" t="inlineStr">
        <is>
          <t>SARA Bible verse blanket couch mockup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["seo_runs\\jeminise.com\\20260906_234129\\evidence\\images\\58_custom-floral-butterfly-inspirational-blanket-machine-washable-d3\\image_02_47830460530887.jpg;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"https://cdn.shopify.com/s/files/1/0792/5098/1063/files/2ce553ac0d114236f4d8b3e23520aaa409b8dca49927efd5843df78f67260cd9.jpg?v=1786596316"]</t>
        </is>
      </c>
      <c r="AA57" s="3" t="inlineStr">
        <is>
          <t>r3</t>
        </is>
      </c>
    </row>
    <row r="58" ht="66" customHeight="1">
      <c r="A58" s="2" t="inlineStr">
        <is>
          <t>jeminise.com+custom-floral-butterfly-inspirational-blanket-machine-washable-d3</t>
        </is>
      </c>
      <c r="B58" s="2" t="inlineStr">
        <is>
          <t>qaimg_bf2fb8881b7dd081</t>
        </is>
      </c>
      <c r="C58" s="4" t="inlineStr">
        <is>
          <t>https://cdn.shopify.com/s/files/1/0792/5098/1063/files/703198759b702616a3500a475ce654b547c5fed941e5f8dadfccb45437948bef.jpg?v=1786596316</t>
        </is>
      </c>
      <c r="D58" s="4" t="inlineStr">
        <is>
          <t>https://cdn.shopify.com/s/files/1/0792/5098/1063/files/703198759b702616a3500a475ce654b547c5fed941e5f8dadfccb45437948bef.jpg?v=1786596316</t>
        </is>
      </c>
      <c r="E58" s="2" t="inlineStr">
        <is>
          <t>38793335603399</t>
        </is>
      </c>
      <c r="F58" s="2" t="inlineStr">
        <is>
          <t>47830460563655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2026-09-08T09:03:24.605236+07:00</t>
        </is>
      </c>
      <c r="K58" s="2" t="inlineStr">
        <is>
          <t>60-inch blanket use and personalization diagram for sofa, office, bed and travel.</t>
        </is>
      </c>
      <c r="L58" s="2" t="inlineStr">
        <is>
          <t>Blanket use panel showing 80 by 60 inch example, personalization callout and sofa, office, bed and travel icons.</t>
        </is>
      </c>
      <c r="M58" s="2" t="inlineStr">
        <is>
          <t>Custom Floral Butterfly Inspirational Blanket, Machine Washable</t>
        </is>
      </c>
      <c r="N58" s="2" t="inlineStr">
        <is>
          <t>SET</t>
        </is>
      </c>
      <c r="O58" s="2" t="inlineStr">
        <is>
          <t>SARA Bible verse blanket size and use panel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["seo_runs\\jeminise.com\\20260906_234129\\evidence\\images\\58_custom-floral-butterfly-inspirational-blanket-machine-washable-d3\\image_03_47830460563655.jpg;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"https://cdn.shopify.com/s/files/1/0792/5098/1063/files/703198759b702616a3500a475ce654b547c5fed941e5f8dadfccb45437948bef.jpg?v=1786596316"]</t>
        </is>
      </c>
      <c r="AA58" s="2" t="inlineStr">
        <is>
          <t>r3</t>
        </is>
      </c>
    </row>
    <row r="59" ht="66" customHeight="1">
      <c r="A59" s="3" t="inlineStr">
        <is>
          <t>jeminise.com+custom-floral-butterfly-inspirational-blanket-machine-washable-d3</t>
        </is>
      </c>
      <c r="B59" s="3" t="inlineStr">
        <is>
          <t>qaimg_2d067aded9cd2714</t>
        </is>
      </c>
      <c r="C59" s="4" t="inlineStr">
        <is>
          <t>https://cdn.shopify.com/s/files/1/0792/5098/1063/files/5c3b5891d03eb13448d493becfaf9a384d04fa42c641a138fbbb13e85fd762e9.jpg?v=1786596316</t>
        </is>
      </c>
      <c r="D59" s="4" t="inlineStr">
        <is>
          <t>https://cdn.shopify.com/s/files/1/0792/5098/1063/files/5c3b5891d03eb13448d493becfaf9a384d04fa42c641a138fbbb13e85fd762e9.jpg?v=1786596316</t>
        </is>
      </c>
      <c r="E59" s="3" t="inlineStr">
        <is>
          <t>38793335636167</t>
        </is>
      </c>
      <c r="F59" s="3" t="inlineStr">
        <is>
          <t>47830460596423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2026-09-08T09:03:24.605236+07:00</t>
        </is>
      </c>
      <c r="K59" s="3" t="inlineStr">
        <is>
          <t>Fabric and print-detail collage for the SARA Bible-affirmation blanket.</t>
        </is>
      </c>
      <c r="L59" s="3" t="inlineStr">
        <is>
          <t>Detail collage showing fleece folds, scripture print, floral artwork and soft white backing.</t>
        </is>
      </c>
      <c r="M59" s="3" t="inlineStr">
        <is>
          <t>Custom Floral Butterfly Inspirational Blanket, Machine Washable</t>
        </is>
      </c>
      <c r="N59" s="3" t="inlineStr">
        <is>
          <t>SET</t>
        </is>
      </c>
      <c r="O59" s="3" t="inlineStr">
        <is>
          <t>SARA Bible verse blanket texture detail collage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["seo_runs\\jeminise.com\\20260906_234129\\evidence\\images\\58_custom-floral-butterfly-inspirational-blanket-machine-washable-d3\\image_04_47830460596423.jpg;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"https://cdn.shopify.com/s/files/1/0792/5098/1063/files/5c3b5891d03eb13448d493becfaf9a384d04fa42c641a138fbbb13e85fd762e9.jpg?v=1786596316"]</t>
        </is>
      </c>
      <c r="AA59" s="3" t="inlineStr">
        <is>
          <t>r3</t>
        </is>
      </c>
    </row>
    <row r="60" ht="66" customHeight="1">
      <c r="A60" s="2" t="inlineStr">
        <is>
          <t>jeminise.com+custom-floral-butterfly-inspirational-blanket-machine-washable-d3</t>
        </is>
      </c>
      <c r="B60" s="2" t="inlineStr">
        <is>
          <t>qaimg_fbf642d5200db475</t>
        </is>
      </c>
      <c r="C60" s="4" t="inlineStr">
        <is>
          <t>https://cdn.shopify.com/s/files/1/0792/5098/1063/files/c8a4d26fcd3d1ff5ed61b0a5c1d2b9d98969aa11bacf519f8d76e18208fe489f.jpg?v=1786596316</t>
        </is>
      </c>
      <c r="D60" s="4" t="inlineStr">
        <is>
          <t>https://cdn.shopify.com/s/files/1/0792/5098/1063/files/c8a4d26fcd3d1ff5ed61b0a5c1d2b9d98969aa11bacf519f8d76e18208fe489f.jpg?v=1786596316</t>
        </is>
      </c>
      <c r="E60" s="2" t="inlineStr">
        <is>
          <t>38793335668935</t>
        </is>
      </c>
      <c r="F60" s="2" t="inlineStr">
        <is>
          <t>47830460629191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2026-09-08T09:03:24.605236+07:00</t>
        </is>
      </c>
      <c r="K60" s="2" t="inlineStr">
        <is>
          <t>Feature panel marked machine washable, soft and warm, dense stitching and 260 GSM fleece.</t>
        </is>
      </c>
      <c r="L60" s="2" t="inlineStr">
        <is>
          <t>Fleece material panel listing machine washable care, soft warmth, dense stitching and 260GSM fleece.</t>
        </is>
      </c>
      <c r="M60" s="2" t="inlineStr">
        <is>
          <t>Custom Floral Butterfly Inspirational Blanket, Machine Washable</t>
        </is>
      </c>
      <c r="N60" s="2" t="inlineStr">
        <is>
          <t>SET</t>
        </is>
      </c>
      <c r="O60" s="2" t="inlineStr">
        <is>
          <t>SARA Bible verse blanket fleece material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["seo_runs\\jeminise.com\\20260906_234129\\evidence\\images\\58_custom-floral-butterfly-inspirational-blanket-machine-washable-d3\\image_05_47830460629191.jpg;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"https://cdn.shopify.com/s/files/1/0792/5098/1063/files/c8a4d26fcd3d1ff5ed61b0a5c1d2b9d98969aa11bacf519f8d76e18208fe489f.jpg?v=1786596316"]</t>
        </is>
      </c>
      <c r="AA60" s="2" t="inlineStr">
        <is>
          <t>r3</t>
        </is>
      </c>
    </row>
    <row r="61" ht="66" customHeight="1">
      <c r="A61" s="3" t="inlineStr">
        <is>
          <t>jeminise.com+custom-floral-butterfly-inspirational-blanket-machine-washable-d3</t>
        </is>
      </c>
      <c r="B61" s="3" t="inlineStr">
        <is>
          <t>qaimg_58a8d1c5c7c92e7b</t>
        </is>
      </c>
      <c r="C61" s="4" t="inlineStr">
        <is>
          <t>https://cdn.shopify.com/s/files/1/0792/5098/1063/files/2075703484a2851c9831b41fa7c93b7f2c1a14581fdd42005886499bead2d034.jpg?v=1786596316</t>
        </is>
      </c>
      <c r="D61" s="4" t="inlineStr">
        <is>
          <t>https://cdn.shopify.com/s/files/1/0792/5098/1063/files/2075703484a2851c9831b41fa7c93b7f2c1a14581fdd42005886499bead2d034.jpg?v=1786596316</t>
        </is>
      </c>
      <c r="E61" s="3" t="inlineStr">
        <is>
          <t>38793335701703</t>
        </is>
      </c>
      <c r="F61" s="3" t="inlineStr">
        <is>
          <t>47830460661959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2026-09-08T09:03:24.605236+07:00</t>
        </is>
      </c>
      <c r="K61" s="3" t="inlineStr">
        <is>
          <t>Bed-and-reading lifestyle scene with the SARA blanket and a dog.</t>
        </is>
      </c>
      <c r="L61" s="3" t="inlineStr">
        <is>
          <t>Lifestyle bed reading scene with SARA floral blanket, open book and small dog.</t>
        </is>
      </c>
      <c r="M61" s="3" t="inlineStr">
        <is>
          <t>Custom Floral Butterfly Inspirational Blanket, Machine Washable</t>
        </is>
      </c>
      <c r="N61" s="3" t="inlineStr">
        <is>
          <t>SET</t>
        </is>
      </c>
      <c r="O61" s="3" t="inlineStr">
        <is>
          <t>SARA Bible verse blanket reading lifestyle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["seo_runs\\jeminise.com\\20260906_234129\\evidence\\images\\58_custom-floral-butterfly-inspirational-blanket-machine-washable-d3\\image_06_47830460661959.jpg;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"https://cdn.shopify.com/s/files/1/0792/5098/1063/files/2075703484a2851c9831b41fa7c93b7f2c1a14581fdd42005886499bead2d034.jpg?v=1786596316"]</t>
        </is>
      </c>
      <c r="AA61" s="3" t="inlineStr">
        <is>
          <t>r3</t>
        </is>
      </c>
    </row>
    <row r="62" ht="66" customHeight="1">
      <c r="A62" s="2" t="inlineStr">
        <is>
          <t>jeminise.com+custom-floral-butterfly-inspirational-blanket-machine-washable-d3</t>
        </is>
      </c>
      <c r="B62" s="2" t="inlineStr">
        <is>
          <t>qaimg_36052c07581f4884</t>
        </is>
      </c>
      <c r="C62" s="4" t="inlineStr">
        <is>
          <t>https://cdn.shopify.com/s/files/1/0792/5098/1063/files/dbaa1b9e2e9e88c8253a504824d6d6586ba526051890b872b7c52fe128a52757.jpg?v=1786596316</t>
        </is>
      </c>
      <c r="D62" s="4" t="inlineStr">
        <is>
          <t>https://cdn.shopify.com/s/files/1/0792/5098/1063/files/dbaa1b9e2e9e88c8253a504824d6d6586ba526051890b872b7c52fe128a52757.jpg?v=1786596316</t>
        </is>
      </c>
      <c r="E62" s="2" t="inlineStr">
        <is>
          <t>38793335734471</t>
        </is>
      </c>
      <c r="F62" s="2" t="inlineStr">
        <is>
          <t>47830460694727</t>
        </is>
      </c>
      <c r="G62" s="2" t="inlineStr"/>
      <c r="H62" s="2" t="inlineStr">
        <is>
          <t>GALLERY</t>
        </is>
      </c>
      <c r="I62" s="2" t="inlineStr">
        <is>
          <t>DIRECT_ORIGINAL_IMAGE</t>
        </is>
      </c>
      <c r="J62" s="2" t="inlineStr">
        <is>
          <t>2026-09-08T09:03:24.605236+07:00</t>
        </is>
      </c>
      <c r="K62" s="2" t="inlineStr">
        <is>
          <t>SARA Bible-affirmation blanket displayed on a sofa with books.</t>
        </is>
      </c>
      <c r="L62" s="2" t="inlineStr">
        <is>
          <t>SARA floral Bible verse blanket draped on armchair beside books and mug.</t>
        </is>
      </c>
      <c r="M62" s="2" t="inlineStr">
        <is>
          <t>Custom Floral Butterfly Inspirational Blanket, Machine Washable</t>
        </is>
      </c>
      <c r="N62" s="2" t="inlineStr">
        <is>
          <t>SET</t>
        </is>
      </c>
      <c r="O62" s="2" t="inlineStr">
        <is>
          <t>SARA Bible verse blanket armchair mockup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["seo_runs\\jeminise.com\\20260906_234129\\evidence\\images\\58_custom-floral-butterfly-inspirational-blanket-machine-washable-d3\\image_07_47830460694727.jpg;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"https://cdn.shopify.com/s/files/1/0792/5098/1063/files/dbaa1b9e2e9e88c8253a504824d6d6586ba526051890b872b7c52fe128a52757.jpg?v=1786596316"]</t>
        </is>
      </c>
      <c r="AA62" s="2" t="inlineStr">
        <is>
          <t>r3</t>
        </is>
      </c>
    </row>
    <row r="63" ht="66" customHeight="1">
      <c r="A63" s="3" t="inlineStr">
        <is>
          <t>jeminise.com+custom-floral-butterfly-inspirational-blanket-machine-washable-d3</t>
        </is>
      </c>
      <c r="B63" s="3" t="inlineStr">
        <is>
          <t>qaimg_eddbbfe4cdcfe91e</t>
        </is>
      </c>
      <c r="C63" s="4" t="inlineStr">
        <is>
          <t>https://cdn.shopify.com/s/files/1/0792/5098/1063/files/139d0ca45b7480145218d55302ce28a8914b4044980407dc05e579b785dace61.jpg?v=1786596316</t>
        </is>
      </c>
      <c r="D63" s="4" t="inlineStr">
        <is>
          <t>https://cdn.shopify.com/s/files/1/0792/5098/1063/files/139d0ca45b7480145218d55302ce28a8914b4044980407dc05e579b785dace61.jpg?v=1786596316</t>
        </is>
      </c>
      <c r="E63" s="3" t="inlineStr">
        <is>
          <t>38793335767239</t>
        </is>
      </c>
      <c r="F63" s="3" t="inlineStr">
        <is>
          <t>47830460727495</t>
        </is>
      </c>
      <c r="G63" s="3" t="inlineStr"/>
      <c r="H63" s="3" t="inlineStr">
        <is>
          <t>GALLERY</t>
        </is>
      </c>
      <c r="I63" s="3" t="inlineStr">
        <is>
          <t>DIRECT_ORIGINAL_IMAGE</t>
        </is>
      </c>
      <c r="J63" s="3" t="inlineStr">
        <is>
          <t>2026-09-08T09:03:24.605236+07:00</t>
        </is>
      </c>
      <c r="K63" s="3" t="inlineStr">
        <is>
          <t>Close reading lifestyle scene with the SARA Bible-affirmation blanket.</t>
        </is>
      </c>
      <c r="L63" s="3" t="inlineStr">
        <is>
          <t>Close-up reading lifestyle view with SARA floral scripture blanket and mug.</t>
        </is>
      </c>
      <c r="M63" s="3" t="inlineStr">
        <is>
          <t>Custom Floral Butterfly Inspirational Blanket, Machine Washable</t>
        </is>
      </c>
      <c r="N63" s="3" t="inlineStr">
        <is>
          <t>SET</t>
        </is>
      </c>
      <c r="O63" s="3" t="inlineStr">
        <is>
          <t>SARA Bible verse blanket close-up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["seo_runs\\jeminise.com\\20260906_234129\\evidence\\images\\58_custom-floral-butterfly-inspirational-blanket-machine-washable-d3\\image_08_47830460727495.jpg; seo_runs\\jeminise.com\\20260906_234129\\evidence\\contact_sheets\\58_custom-floral-butterfly-inspirational-blanket-machine-washable-d3.jpg", "https://jeminise.com/products/custom-floral-butterfly-inspirational-blanket-machine-washable-d3", "https://cdn.shopify.com/s/files/1/0792/5098/1063/files/139d0ca45b7480145218d55302ce28a8914b4044980407dc05e579b785dace61.jpg?v=1786596316"]</t>
        </is>
      </c>
      <c r="AA63" s="3" t="inlineStr">
        <is>
          <t>r3</t>
        </is>
      </c>
    </row>
    <row r="64" ht="66" customHeight="1">
      <c r="A64" s="2" t="inlineStr">
        <is>
          <t>jeminise.com+custom-floral-cross-bible-verse-blanket-machine-washable-d13</t>
        </is>
      </c>
      <c r="B64" s="2" t="inlineStr">
        <is>
          <t>qaimg_765cf64377e5f915</t>
        </is>
      </c>
      <c r="C64" s="4" t="inlineStr">
        <is>
          <t>https://cdn.shopify.com/s/files/1/0792/5098/1063/files/9567025a041eead65c74e386ef5aa307e42a36b4156ebbad9a2346c965ea1380.jpg?v=1786596333</t>
        </is>
      </c>
      <c r="D64" s="4" t="inlineStr">
        <is>
          <t>https://cdn.shopify.com/s/files/1/0792/5098/1063/files/9567025a041eead65c74e386ef5aa307e42a36b4156ebbad9a2346c965ea1380.jpg?v=1786596333</t>
        </is>
      </c>
      <c r="E64" s="2" t="inlineStr">
        <is>
          <t>38793339207879</t>
        </is>
      </c>
      <c r="F64" s="2" t="inlineStr">
        <is>
          <t>47830464135367</t>
        </is>
      </c>
      <c r="G64" s="2" t="inlineStr"/>
      <c r="H64" s="2" t="inlineStr">
        <is>
          <t>GALLERY</t>
        </is>
      </c>
      <c r="I64" s="2" t="inlineStr">
        <is>
          <t>DIRECT_ORIGINAL_IMAGE</t>
        </is>
      </c>
      <c r="J64" s="2" t="inlineStr">
        <is>
          <t>2026-09-08T09:03:24.605236+07:00</t>
        </is>
      </c>
      <c r="K64" s="2" t="inlineStr">
        <is>
          <t>Person holding a purple floral-cross blanket with butterflies, sample name Isabella and the phrase But the Lord stood with me and gave me strength.</t>
        </is>
      </c>
      <c r="L64" s="2" t="inlineStr">
        <is>
          <t>Person holding purple floral cross blanket with Lord stood with me verse text and Isabella sample name.</t>
        </is>
      </c>
      <c r="M64" s="2" t="inlineStr">
        <is>
          <t>Custom Floral Cross Bible Verse Blanket, Machine Washable</t>
        </is>
      </c>
      <c r="N64" s="2" t="inlineStr">
        <is>
          <t>SET</t>
        </is>
      </c>
      <c r="O64" s="2" t="inlineStr">
        <is>
          <t>Purple floral cross blanket Isabella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[]</t>
        </is>
      </c>
      <c r="Z64" s="2" t="inlineStr">
        <is>
          <t>["seo_runs\\jeminise.com\\20260906_234129\\evidence\\images\\59_custom-floral-cross-bible-verse-blanket-machine-washable-d13\\image_01_47830464135367.jpg;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"https://cdn.shopify.com/s/files/1/0792/5098/1063/files/9567025a041eead65c74e386ef5aa307e42a36b4156ebbad9a2346c965ea1380.jpg?v=1786596333"]</t>
        </is>
      </c>
      <c r="AA64" s="2" t="inlineStr">
        <is>
          <t>r3</t>
        </is>
      </c>
    </row>
    <row r="65" ht="66" customHeight="1">
      <c r="A65" s="3" t="inlineStr">
        <is>
          <t>jeminise.com+custom-floral-cross-bible-verse-blanket-machine-washable-d13</t>
        </is>
      </c>
      <c r="B65" s="3" t="inlineStr">
        <is>
          <t>qaimg_5e4feda827f2ad88</t>
        </is>
      </c>
      <c r="C65" s="4" t="inlineStr">
        <is>
          <t>https://cdn.shopify.com/s/files/1/0792/5098/1063/files/810e40d16ff4bd13a758dbb0fff23faeedc6c4d91d4680fd59553b075b001a0a.jpg?v=1786596333</t>
        </is>
      </c>
      <c r="D65" s="4" t="inlineStr">
        <is>
          <t>https://cdn.shopify.com/s/files/1/0792/5098/1063/files/810e40d16ff4bd13a758dbb0fff23faeedc6c4d91d4680fd59553b075b001a0a.jpg?v=1786596333</t>
        </is>
      </c>
      <c r="E65" s="3" t="inlineStr">
        <is>
          <t>38793339240647</t>
        </is>
      </c>
      <c r="F65" s="3" t="inlineStr">
        <is>
          <t>47830464168135</t>
        </is>
      </c>
      <c r="G65" s="3" t="inlineStr"/>
      <c r="H65" s="3" t="inlineStr">
        <is>
          <t>GALLERY</t>
        </is>
      </c>
      <c r="I65" s="3" t="inlineStr">
        <is>
          <t>DIRECT_ORIGINAL_IMAGE</t>
        </is>
      </c>
      <c r="J65" s="3" t="inlineStr">
        <is>
          <t>2026-09-08T09:03:24.605236+07:00</t>
        </is>
      </c>
      <c r="K65" s="3" t="inlineStr">
        <is>
          <t>Bedroom mockup of the Isabella purple floral-cross scripture blanket.</t>
        </is>
      </c>
      <c r="L65" s="3" t="inlineStr">
        <is>
          <t>Purple floral cross blanket spread on bed with Lord stood with me verse text and Isabella sample name.</t>
        </is>
      </c>
      <c r="M65" s="3" t="inlineStr">
        <is>
          <t>Custom Floral Cross Bible Verse Blanket, Machine Washable</t>
        </is>
      </c>
      <c r="N65" s="3" t="inlineStr">
        <is>
          <t>SET</t>
        </is>
      </c>
      <c r="O65" s="3" t="inlineStr">
        <is>
          <t>Purple floral cross blanket bed mockup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["seo_runs\\jeminise.com\\20260906_234129\\evidence\\images\\59_custom-floral-cross-bible-verse-blanket-machine-washable-d13\\image_02_47830464168135.jpg;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"https://cdn.shopify.com/s/files/1/0792/5098/1063/files/810e40d16ff4bd13a758dbb0fff23faeedc6c4d91d4680fd59553b075b001a0a.jpg?v=1786596333"]</t>
        </is>
      </c>
      <c r="AA65" s="3" t="inlineStr">
        <is>
          <t>r3</t>
        </is>
      </c>
    </row>
    <row r="66" ht="66" customHeight="1">
      <c r="A66" s="2" t="inlineStr">
        <is>
          <t>jeminise.com+custom-floral-cross-bible-verse-blanket-machine-washable-d13</t>
        </is>
      </c>
      <c r="B66" s="2" t="inlineStr">
        <is>
          <t>qaimg_8e8e424e11160cf3</t>
        </is>
      </c>
      <c r="C66" s="4" t="inlineStr">
        <is>
          <t>https://cdn.shopify.com/s/files/1/0792/5098/1063/files/734ea47441dca730cb74184d1f9a5a8df4dc473db392a9d94030798181e723c7.jpg?v=1786596333</t>
        </is>
      </c>
      <c r="D66" s="4" t="inlineStr">
        <is>
          <t>https://cdn.shopify.com/s/files/1/0792/5098/1063/files/734ea47441dca730cb74184d1f9a5a8df4dc473db392a9d94030798181e723c7.jpg?v=1786596333</t>
        </is>
      </c>
      <c r="E66" s="2" t="inlineStr">
        <is>
          <t>38793339273415</t>
        </is>
      </c>
      <c r="F66" s="2" t="inlineStr">
        <is>
          <t>47830464200903</t>
        </is>
      </c>
      <c r="G66" s="2" t="inlineStr"/>
      <c r="H66" s="2" t="inlineStr">
        <is>
          <t>GALLERY</t>
        </is>
      </c>
      <c r="I66" s="2" t="inlineStr">
        <is>
          <t>DIRECT_ORIGINAL_IMAGE</t>
        </is>
      </c>
      <c r="J66" s="2" t="inlineStr">
        <is>
          <t>2026-09-08T09:03:24.605236+07:00</t>
        </is>
      </c>
      <c r="K66" s="2" t="inlineStr">
        <is>
          <t>Isabella floral-cross scripture blanket draped over a white sofa.</t>
        </is>
      </c>
      <c r="L66" s="2" t="inlineStr">
        <is>
          <t>Purple floral cross blanket draped on couch with lilies, cross artwork and Isabella sample name.</t>
        </is>
      </c>
      <c r="M66" s="2" t="inlineStr">
        <is>
          <t>Custom Floral Cross Bible Verse Blanket, Machine Washable</t>
        </is>
      </c>
      <c r="N66" s="2" t="inlineStr">
        <is>
          <t>SET</t>
        </is>
      </c>
      <c r="O66" s="2" t="inlineStr">
        <is>
          <t>Purple floral cross blanket couch mockup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FULL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[]</t>
        </is>
      </c>
      <c r="Z66" s="2" t="inlineStr">
        <is>
          <t>["seo_runs\\jeminise.com\\20260906_234129\\evidence\\images\\59_custom-floral-cross-bible-verse-blanket-machine-washable-d13\\image_03_47830464200903.jpg;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"https://cdn.shopify.com/s/files/1/0792/5098/1063/files/734ea47441dca730cb74184d1f9a5a8df4dc473db392a9d94030798181e723c7.jpg?v=1786596333"]</t>
        </is>
      </c>
      <c r="AA66" s="2" t="inlineStr">
        <is>
          <t>r3</t>
        </is>
      </c>
    </row>
    <row r="67" ht="66" customHeight="1">
      <c r="A67" s="3" t="inlineStr">
        <is>
          <t>jeminise.com+custom-floral-cross-bible-verse-blanket-machine-washable-d13</t>
        </is>
      </c>
      <c r="B67" s="3" t="inlineStr">
        <is>
          <t>qaimg_fb9658e36e8e3364</t>
        </is>
      </c>
      <c r="C67" s="4" t="inlineStr">
        <is>
          <t>https://cdn.shopify.com/s/files/1/0792/5098/1063/files/9164e46c99988932b76d547d0088a1a3f0fb74fffaae86bf7b2bb4d0885e2bce.jpg?v=1786596333</t>
        </is>
      </c>
      <c r="D67" s="4" t="inlineStr">
        <is>
          <t>https://cdn.shopify.com/s/files/1/0792/5098/1063/files/9164e46c99988932b76d547d0088a1a3f0fb74fffaae86bf7b2bb4d0885e2bce.jpg?v=1786596333</t>
        </is>
      </c>
      <c r="E67" s="3" t="inlineStr">
        <is>
          <t>38793339306183</t>
        </is>
      </c>
      <c r="F67" s="3" t="inlineStr">
        <is>
          <t>47830464233671</t>
        </is>
      </c>
      <c r="G67" s="3" t="inlineStr"/>
      <c r="H67" s="3" t="inlineStr">
        <is>
          <t>GALLERY</t>
        </is>
      </c>
      <c r="I67" s="3" t="inlineStr">
        <is>
          <t>DIRECT_ORIGINAL_IMAGE</t>
        </is>
      </c>
      <c r="J67" s="3" t="inlineStr">
        <is>
          <t>2026-09-08T09:03:24.605236+07:00</t>
        </is>
      </c>
      <c r="K67" s="3" t="inlineStr">
        <is>
          <t>Close reading lifestyle scene with the purple floral-cross blanket.</t>
        </is>
      </c>
      <c r="L67" s="3" t="inlineStr">
        <is>
          <t>Close-up reading lifestyle view with purple floral cross blanket, book and mug.</t>
        </is>
      </c>
      <c r="M67" s="3" t="inlineStr">
        <is>
          <t>Custom Floral Cross Bible Verse Blanket, Machine Washable</t>
        </is>
      </c>
      <c r="N67" s="3" t="inlineStr">
        <is>
          <t>SET</t>
        </is>
      </c>
      <c r="O67" s="3" t="inlineStr">
        <is>
          <t>Purple floral cross blanket reading close-up</t>
        </is>
      </c>
      <c r="P67" s="3" t="inlineStr">
        <is>
          <t>FULL</t>
        </is>
      </c>
      <c r="Q67" s="3" t="inlineStr">
        <is>
          <t>FULL</t>
        </is>
      </c>
      <c r="R67" s="3" t="inlineStr">
        <is>
          <t>FULL</t>
        </is>
      </c>
      <c r="S67" s="3" t="inlineStr">
        <is>
          <t>FULL</t>
        </is>
      </c>
      <c r="T67" s="7">
        <f>IF(P67="FULL",40,IF(P67="PARTIAL",40/2,0))+IF(Q67="FULL",30,IF(Q67="PARTIAL",30/2,0))+IF(R67="FULL",20,IF(R67="PARTIAL",20/2,0))+IF(S67="FULL",10,IF(S67="PARTIAL",10/2,0))</f>
        <v/>
      </c>
      <c r="U67" s="7">
        <f>IF(P67="NOT_CHECKED",0,40)+IF(Q67="NOT_CHECKED",0,30)+IF(R67="NOT_CHECKED",0,20)+IF(S67="NOT_CHECKED",0,10)</f>
        <v/>
      </c>
      <c r="V67" s="7">
        <f>IF(U67=100,T67,"")</f>
        <v/>
      </c>
      <c r="W67" s="7">
        <f>T67</f>
        <v/>
      </c>
      <c r="X67" s="7">
        <f>T67+(100-U67)</f>
        <v/>
      </c>
      <c r="Y67" s="3" t="inlineStr">
        <is>
          <t>[]</t>
        </is>
      </c>
      <c r="Z67" s="3" t="inlineStr">
        <is>
          <t>["seo_runs\\jeminise.com\\20260906_234129\\evidence\\images\\59_custom-floral-cross-bible-verse-blanket-machine-washable-d13\\image_04_47830464233671.jpg;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"https://cdn.shopify.com/s/files/1/0792/5098/1063/files/9164e46c99988932b76d547d0088a1a3f0fb74fffaae86bf7b2bb4d0885e2bce.jpg?v=1786596333"]</t>
        </is>
      </c>
      <c r="AA67" s="3" t="inlineStr">
        <is>
          <t>r3</t>
        </is>
      </c>
    </row>
    <row r="68" ht="66" customHeight="1">
      <c r="A68" s="2" t="inlineStr">
        <is>
          <t>jeminise.com+custom-floral-cross-bible-verse-blanket-machine-washable-d13</t>
        </is>
      </c>
      <c r="B68" s="2" t="inlineStr">
        <is>
          <t>qaimg_4271e00c1591a763</t>
        </is>
      </c>
      <c r="C68" s="4" t="inlineStr">
        <is>
          <t>https://cdn.shopify.com/s/files/1/0792/5098/1063/files/044df06284c8807b67c3965bc174cb1dd2c20798b334a995dde92efb0a4ac33d.jpg?v=1786596333</t>
        </is>
      </c>
      <c r="D68" s="4" t="inlineStr">
        <is>
          <t>https://cdn.shopify.com/s/files/1/0792/5098/1063/files/044df06284c8807b67c3965bc174cb1dd2c20798b334a995dde92efb0a4ac33d.jpg?v=1786596333</t>
        </is>
      </c>
      <c r="E68" s="2" t="inlineStr">
        <is>
          <t>38793339338951</t>
        </is>
      </c>
      <c r="F68" s="2" t="inlineStr">
        <is>
          <t>47830464266439</t>
        </is>
      </c>
      <c r="G68" s="2" t="inlineStr"/>
      <c r="H68" s="2" t="inlineStr">
        <is>
          <t>GALLERY</t>
        </is>
      </c>
      <c r="I68" s="2" t="inlineStr">
        <is>
          <t>DIRECT_ORIGINAL_IMAGE</t>
        </is>
      </c>
      <c r="J68" s="2" t="inlineStr">
        <is>
          <t>2026-09-08T09:03:24.605236+07:00</t>
        </is>
      </c>
      <c r="K68" s="2" t="inlineStr">
        <is>
          <t>Bed-and-reading lifestyle scene with the purple floral-cross blanket and a dog.</t>
        </is>
      </c>
      <c r="L68" s="2" t="inlineStr">
        <is>
          <t>Lifestyle bed reading scene with purple floral cross blanket, open book and small dog.</t>
        </is>
      </c>
      <c r="M68" s="2" t="inlineStr">
        <is>
          <t>Custom Floral Cross Bible Verse Blanket, Machine Washable</t>
        </is>
      </c>
      <c r="N68" s="2" t="inlineStr">
        <is>
          <t>SET</t>
        </is>
      </c>
      <c r="O68" s="2" t="inlineStr">
        <is>
          <t>Purple floral cross blanket reading lifestyle</t>
        </is>
      </c>
      <c r="P68" s="2" t="inlineStr">
        <is>
          <t>FULL</t>
        </is>
      </c>
      <c r="Q68" s="2" t="inlineStr">
        <is>
          <t>FULL</t>
        </is>
      </c>
      <c r="R68" s="2" t="inlineStr">
        <is>
          <t>FULL</t>
        </is>
      </c>
      <c r="S68" s="2" t="inlineStr">
        <is>
          <t>FULL</t>
        </is>
      </c>
      <c r="T68" s="5">
        <f>IF(P68="FULL",40,IF(P68="PARTIAL",40/2,0))+IF(Q68="FULL",30,IF(Q68="PARTIAL",30/2,0))+IF(R68="FULL",20,IF(R68="PARTIAL",20/2,0))+IF(S68="FULL",10,IF(S68="PARTIAL",10/2,0))</f>
        <v/>
      </c>
      <c r="U68" s="5">
        <f>IF(P68="NOT_CHECKED",0,40)+IF(Q68="NOT_CHECKED",0,30)+IF(R68="NOT_CHECKED",0,20)+IF(S68="NOT_CHECKED",0,10)</f>
        <v/>
      </c>
      <c r="V68" s="5">
        <f>IF(U68=100,T68,"")</f>
        <v/>
      </c>
      <c r="W68" s="5">
        <f>T68</f>
        <v/>
      </c>
      <c r="X68" s="5">
        <f>T68+(100-U68)</f>
        <v/>
      </c>
      <c r="Y68" s="2" t="inlineStr">
        <is>
          <t>[]</t>
        </is>
      </c>
      <c r="Z68" s="2" t="inlineStr">
        <is>
          <t>["seo_runs\\jeminise.com\\20260906_234129\\evidence\\images\\59_custom-floral-cross-bible-verse-blanket-machine-washable-d13\\image_05_47830464266439.jpg;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"https://cdn.shopify.com/s/files/1/0792/5098/1063/files/044df06284c8807b67c3965bc174cb1dd2c20798b334a995dde92efb0a4ac33d.jpg?v=1786596333"]</t>
        </is>
      </c>
      <c r="AA68" s="2" t="inlineStr">
        <is>
          <t>r3</t>
        </is>
      </c>
    </row>
    <row r="69" ht="66" customHeight="1">
      <c r="A69" s="3" t="inlineStr">
        <is>
          <t>jeminise.com+custom-floral-cross-bible-verse-blanket-machine-washable-d13</t>
        </is>
      </c>
      <c r="B69" s="3" t="inlineStr">
        <is>
          <t>qaimg_770d79127f9ad43f</t>
        </is>
      </c>
      <c r="C69" s="4" t="inlineStr">
        <is>
          <t>https://cdn.shopify.com/s/files/1/0792/5098/1063/files/684c046d236e48781d83021ed18e97f71edc975eba7241d547167c78d46c42d1.jpg?v=1786596333</t>
        </is>
      </c>
      <c r="D69" s="4" t="inlineStr">
        <is>
          <t>https://cdn.shopify.com/s/files/1/0792/5098/1063/files/684c046d236e48781d83021ed18e97f71edc975eba7241d547167c78d46c42d1.jpg?v=1786596333</t>
        </is>
      </c>
      <c r="E69" s="3" t="inlineStr">
        <is>
          <t>38793339371719</t>
        </is>
      </c>
      <c r="F69" s="3" t="inlineStr">
        <is>
          <t>47830464299207</t>
        </is>
      </c>
      <c r="G69" s="3" t="inlineStr"/>
      <c r="H69" s="3" t="inlineStr">
        <is>
          <t>GALLERY</t>
        </is>
      </c>
      <c r="I69" s="3" t="inlineStr">
        <is>
          <t>DIRECT_ORIGINAL_IMAGE</t>
        </is>
      </c>
      <c r="J69" s="3" t="inlineStr">
        <is>
          <t>2026-09-08T09:03:24.605236+07:00</t>
        </is>
      </c>
      <c r="K69" s="3" t="inlineStr">
        <is>
          <t>60-inch blanket use and size diagram for sofa, office, bed and travel.</t>
        </is>
      </c>
      <c r="L69" s="3" t="inlineStr">
        <is>
          <t>Blanket use panel showing 80 by 60 inch example and sofa, office, bed, travel, reading and camping icons.</t>
        </is>
      </c>
      <c r="M69" s="3" t="inlineStr">
        <is>
          <t>Custom Floral Cross Bible Verse Blanket, Machine Washable</t>
        </is>
      </c>
      <c r="N69" s="3" t="inlineStr">
        <is>
          <t>SET</t>
        </is>
      </c>
      <c r="O69" s="3" t="inlineStr">
        <is>
          <t>Purple floral cross blanket size and use panel</t>
        </is>
      </c>
      <c r="P69" s="3" t="inlineStr">
        <is>
          <t>FULL</t>
        </is>
      </c>
      <c r="Q69" s="3" t="inlineStr">
        <is>
          <t>FULL</t>
        </is>
      </c>
      <c r="R69" s="3" t="inlineStr">
        <is>
          <t>FULL</t>
        </is>
      </c>
      <c r="S69" s="3" t="inlineStr">
        <is>
          <t>FULL</t>
        </is>
      </c>
      <c r="T69" s="7">
        <f>IF(P69="FULL",40,IF(P69="PARTIAL",40/2,0))+IF(Q69="FULL",30,IF(Q69="PARTIAL",30/2,0))+IF(R69="FULL",20,IF(R69="PARTIAL",20/2,0))+IF(S69="FULL",10,IF(S69="PARTIAL",10/2,0))</f>
        <v/>
      </c>
      <c r="U69" s="7">
        <f>IF(P69="NOT_CHECKED",0,40)+IF(Q69="NOT_CHECKED",0,30)+IF(R69="NOT_CHECKED",0,20)+IF(S69="NOT_CHECKED",0,10)</f>
        <v/>
      </c>
      <c r="V69" s="7">
        <f>IF(U69=100,T69,"")</f>
        <v/>
      </c>
      <c r="W69" s="7">
        <f>T69</f>
        <v/>
      </c>
      <c r="X69" s="7">
        <f>T69+(100-U69)</f>
        <v/>
      </c>
      <c r="Y69" s="3" t="inlineStr">
        <is>
          <t>[]</t>
        </is>
      </c>
      <c r="Z69" s="3" t="inlineStr">
        <is>
          <t>["seo_runs\\jeminise.com\\20260906_234129\\evidence\\images\\59_custom-floral-cross-bible-verse-blanket-machine-washable-d13\\image_06_47830464299207.jpg;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"https://cdn.shopify.com/s/files/1/0792/5098/1063/files/684c046d236e48781d83021ed18e97f71edc975eba7241d547167c78d46c42d1.jpg?v=1786596333"]</t>
        </is>
      </c>
      <c r="AA69" s="3" t="inlineStr">
        <is>
          <t>r3</t>
        </is>
      </c>
    </row>
    <row r="70" ht="66" customHeight="1">
      <c r="A70" s="2" t="inlineStr">
        <is>
          <t>jeminise.com+custom-floral-cross-bible-verse-blanket-machine-washable-d13</t>
        </is>
      </c>
      <c r="B70" s="2" t="inlineStr">
        <is>
          <t>qaimg_39955161de7847f2</t>
        </is>
      </c>
      <c r="C70" s="4" t="inlineStr">
        <is>
          <t>https://cdn.shopify.com/s/files/1/0792/5098/1063/files/76ac7df588ae004752bb4dbe5045fb3f03b5d78d355167e47889373a8d15384a.jpg?v=1786596333</t>
        </is>
      </c>
      <c r="D70" s="4" t="inlineStr">
        <is>
          <t>https://cdn.shopify.com/s/files/1/0792/5098/1063/files/76ac7df588ae004752bb4dbe5045fb3f03b5d78d355167e47889373a8d15384a.jpg?v=1786596333</t>
        </is>
      </c>
      <c r="E70" s="2" t="inlineStr">
        <is>
          <t>38793339404487</t>
        </is>
      </c>
      <c r="F70" s="2" t="inlineStr">
        <is>
          <t>47830464331975</t>
        </is>
      </c>
      <c r="G70" s="2" t="inlineStr"/>
      <c r="H70" s="2" t="inlineStr">
        <is>
          <t>GALLERY</t>
        </is>
      </c>
      <c r="I70" s="2" t="inlineStr">
        <is>
          <t>DIRECT_ORIGINAL_IMAGE</t>
        </is>
      </c>
      <c r="J70" s="2" t="inlineStr">
        <is>
          <t>2026-09-08T09:03:24.605236+07:00</t>
        </is>
      </c>
      <c r="K70" s="2" t="inlineStr">
        <is>
          <t>Feature panel marked machine washable, soft and warm, dense stitching and 260 GSM fleece.</t>
        </is>
      </c>
      <c r="L70" s="2" t="inlineStr">
        <is>
          <t>Fleece material panel listing machine washable care, soft warmth, dense stitching and 260GSM fleece.</t>
        </is>
      </c>
      <c r="M70" s="2" t="inlineStr">
        <is>
          <t>Custom Floral Cross Bible Verse Blanket, Machine Washable</t>
        </is>
      </c>
      <c r="N70" s="2" t="inlineStr">
        <is>
          <t>SET</t>
        </is>
      </c>
      <c r="O70" s="2" t="inlineStr">
        <is>
          <t>Purple floral cross blanket fleece material</t>
        </is>
      </c>
      <c r="P70" s="2" t="inlineStr">
        <is>
          <t>FULL</t>
        </is>
      </c>
      <c r="Q70" s="2" t="inlineStr">
        <is>
          <t>FULL</t>
        </is>
      </c>
      <c r="R70" s="2" t="inlineStr">
        <is>
          <t>FULL</t>
        </is>
      </c>
      <c r="S70" s="2" t="inlineStr">
        <is>
          <t>FULL</t>
        </is>
      </c>
      <c r="T70" s="5">
        <f>IF(P70="FULL",40,IF(P70="PARTIAL",40/2,0))+IF(Q70="FULL",30,IF(Q70="PARTIAL",30/2,0))+IF(R70="FULL",20,IF(R70="PARTIAL",20/2,0))+IF(S70="FULL",10,IF(S70="PARTIAL",10/2,0))</f>
        <v/>
      </c>
      <c r="U70" s="5">
        <f>IF(P70="NOT_CHECKED",0,40)+IF(Q70="NOT_CHECKED",0,30)+IF(R70="NOT_CHECKED",0,20)+IF(S70="NOT_CHECKED",0,10)</f>
        <v/>
      </c>
      <c r="V70" s="5">
        <f>IF(U70=100,T70,"")</f>
        <v/>
      </c>
      <c r="W70" s="5">
        <f>T70</f>
        <v/>
      </c>
      <c r="X70" s="5">
        <f>T70+(100-U70)</f>
        <v/>
      </c>
      <c r="Y70" s="2" t="inlineStr">
        <is>
          <t>[]</t>
        </is>
      </c>
      <c r="Z70" s="2" t="inlineStr">
        <is>
          <t>["seo_runs\\jeminise.com\\20260906_234129\\evidence\\images\\59_custom-floral-cross-bible-verse-blanket-machine-washable-d13\\image_07_47830464331975.jpg;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"https://cdn.shopify.com/s/files/1/0792/5098/1063/files/76ac7df588ae004752bb4dbe5045fb3f03b5d78d355167e47889373a8d15384a.jpg?v=1786596333"]</t>
        </is>
      </c>
      <c r="AA70" s="2" t="inlineStr">
        <is>
          <t>r3</t>
        </is>
      </c>
    </row>
    <row r="71" ht="66" customHeight="1">
      <c r="A71" s="3" t="inlineStr">
        <is>
          <t>jeminise.com+custom-floral-cross-bible-verse-blanket-machine-washable-d13</t>
        </is>
      </c>
      <c r="B71" s="3" t="inlineStr">
        <is>
          <t>qaimg_668632dd07652c04</t>
        </is>
      </c>
      <c r="C71" s="4" t="inlineStr">
        <is>
          <t>https://cdn.shopify.com/s/files/1/0792/5098/1063/files/f780832f6c709aefd1624020cbaf7826dff370d3398bcc5ea9dcf8cb2410ca76.jpg?v=1786596333</t>
        </is>
      </c>
      <c r="D71" s="4" t="inlineStr">
        <is>
          <t>https://cdn.shopify.com/s/files/1/0792/5098/1063/files/f780832f6c709aefd1624020cbaf7826dff370d3398bcc5ea9dcf8cb2410ca76.jpg?v=1786596333</t>
        </is>
      </c>
      <c r="E71" s="3" t="inlineStr">
        <is>
          <t>38793339437255</t>
        </is>
      </c>
      <c r="F71" s="3" t="inlineStr">
        <is>
          <t>47830464364743</t>
        </is>
      </c>
      <c r="G71" s="3" t="inlineStr"/>
      <c r="H71" s="3" t="inlineStr">
        <is>
          <t>GALLERY</t>
        </is>
      </c>
      <c r="I71" s="3" t="inlineStr">
        <is>
          <t>DIRECT_ORIGINAL_IMAGE</t>
        </is>
      </c>
      <c r="J71" s="3" t="inlineStr">
        <is>
          <t>2026-09-08T09:03:24.605236+07:00</t>
        </is>
      </c>
      <c r="K71" s="3" t="inlineStr">
        <is>
          <t>Fabric and print-detail collage for the purple floral-cross blanket.</t>
        </is>
      </c>
      <c r="L71" s="3" t="inlineStr">
        <is>
          <t>Detail collage showing fleece folds, purple lily artwork, cross print and soft white backing.</t>
        </is>
      </c>
      <c r="M71" s="3" t="inlineStr">
        <is>
          <t>Custom Floral Cross Bible Verse Blanket, Machine Washable</t>
        </is>
      </c>
      <c r="N71" s="3" t="inlineStr">
        <is>
          <t>SET</t>
        </is>
      </c>
      <c r="O71" s="3" t="inlineStr">
        <is>
          <t>Purple floral cross blanket texture detail collage</t>
        </is>
      </c>
      <c r="P71" s="3" t="inlineStr">
        <is>
          <t>FULL</t>
        </is>
      </c>
      <c r="Q71" s="3" t="inlineStr">
        <is>
          <t>FULL</t>
        </is>
      </c>
      <c r="R71" s="3" t="inlineStr">
        <is>
          <t>FULL</t>
        </is>
      </c>
      <c r="S71" s="3" t="inlineStr">
        <is>
          <t>FULL</t>
        </is>
      </c>
      <c r="T71" s="7">
        <f>IF(P71="FULL",40,IF(P71="PARTIAL",40/2,0))+IF(Q71="FULL",30,IF(Q71="PARTIAL",30/2,0))+IF(R71="FULL",20,IF(R71="PARTIAL",20/2,0))+IF(S71="FULL",10,IF(S71="PARTIAL",10/2,0))</f>
        <v/>
      </c>
      <c r="U71" s="7">
        <f>IF(P71="NOT_CHECKED",0,40)+IF(Q71="NOT_CHECKED",0,30)+IF(R71="NOT_CHECKED",0,20)+IF(S71="NOT_CHECKED",0,10)</f>
        <v/>
      </c>
      <c r="V71" s="7">
        <f>IF(U71=100,T71,"")</f>
        <v/>
      </c>
      <c r="W71" s="7">
        <f>T71</f>
        <v/>
      </c>
      <c r="X71" s="7">
        <f>T71+(100-U71)</f>
        <v/>
      </c>
      <c r="Y71" s="3" t="inlineStr">
        <is>
          <t>[]</t>
        </is>
      </c>
      <c r="Z71" s="3" t="inlineStr">
        <is>
          <t>["seo_runs\\jeminise.com\\20260906_234129\\evidence\\images\\59_custom-floral-cross-bible-verse-blanket-machine-washable-d13\\image_08_47830464364743.jpg; seo_runs\\jeminise.com\\20260906_234129\\evidence\\contact_sheets\\59_custom-floral-cross-bible-verse-blanket-machine-washable-d13.jpg", "https://jeminise.com/products/custom-floral-cross-bible-verse-blanket-machine-washable-d13", "https://cdn.shopify.com/s/files/1/0792/5098/1063/files/f780832f6c709aefd1624020cbaf7826dff370d3398bcc5ea9dcf8cb2410ca76.jpg?v=1786596333"]</t>
        </is>
      </c>
      <c r="AA71" s="3" t="inlineStr">
        <is>
          <t>r3</t>
        </is>
      </c>
    </row>
    <row r="72" ht="66" customHeight="1">
      <c r="A72" s="2" t="inlineStr">
        <is>
          <t>jeminise.com+custom-floral-cross-with-butterflies-blanket-machine-washable-d6</t>
        </is>
      </c>
      <c r="B72" s="2" t="inlineStr">
        <is>
          <t>qaimg_a18d2fd96be76876</t>
        </is>
      </c>
      <c r="C72" s="4" t="inlineStr">
        <is>
          <t>https://cdn.shopify.com/s/files/1/0792/5098/1063/files/fa4c87e3ad89fcb17154c6d08d008fe811e3ada64703d98c1fca09128ccb3a83.jpg?v=1786596475</t>
        </is>
      </c>
      <c r="D72" s="4" t="inlineStr">
        <is>
          <t>https://cdn.shopify.com/s/files/1/0792/5098/1063/files/fa4c87e3ad89fcb17154c6d08d008fe811e3ada64703d98c1fca09128ccb3a83.jpg?v=1786596475</t>
        </is>
      </c>
      <c r="E72" s="2" t="inlineStr">
        <is>
          <t>38793401499847</t>
        </is>
      </c>
      <c r="F72" s="2" t="inlineStr">
        <is>
          <t>47830527377607</t>
        </is>
      </c>
      <c r="G72" s="2" t="inlineStr"/>
      <c r="H72" s="2" t="inlineStr">
        <is>
          <t>GALLERY</t>
        </is>
      </c>
      <c r="I72" s="2" t="inlineStr">
        <is>
          <t>DIRECT_ORIGINAL_IMAGE</t>
        </is>
      </c>
      <c r="J72" s="2" t="inlineStr">
        <is>
          <t>2026-09-08T09:03:24.605236+07:00</t>
        </is>
      </c>
      <c r="K72" s="2" t="inlineStr">
        <is>
          <t>Woman holding a white blanket with pink roses, gold butterflies, floral cross, Bible affirmations and sample name Sabrina.</t>
        </is>
      </c>
      <c r="L72" s="2" t="inlineStr">
        <is>
          <t>Person holding floral cross butterfly blanket with gold butterflies, pink floral border and Sophia sample name.</t>
        </is>
      </c>
      <c r="M72" s="2" t="inlineStr">
        <is>
          <t>Custom Floral Cross with Butterflies Blanket, Machine Washable</t>
        </is>
      </c>
      <c r="N72" s="2" t="inlineStr">
        <is>
          <t>SET</t>
        </is>
      </c>
      <c r="O72" s="2" t="inlineStr">
        <is>
          <t>Floral cross butterfly blanket Sophia</t>
        </is>
      </c>
      <c r="P72" s="2" t="inlineStr">
        <is>
          <t>FULL</t>
        </is>
      </c>
      <c r="Q72" s="2" t="inlineStr">
        <is>
          <t>FULL</t>
        </is>
      </c>
      <c r="R72" s="2" t="inlineStr">
        <is>
          <t>FULL</t>
        </is>
      </c>
      <c r="S72" s="2" t="inlineStr">
        <is>
          <t>FULL</t>
        </is>
      </c>
      <c r="T72" s="5">
        <f>IF(P72="FULL",40,IF(P72="PARTIAL",40/2,0))+IF(Q72="FULL",30,IF(Q72="PARTIAL",30/2,0))+IF(R72="FULL",20,IF(R72="PARTIAL",20/2,0))+IF(S72="FULL",10,IF(S72="PARTIAL",10/2,0))</f>
        <v/>
      </c>
      <c r="U72" s="5">
        <f>IF(P72="NOT_CHECKED",0,40)+IF(Q72="NOT_CHECKED",0,30)+IF(R72="NOT_CHECKED",0,20)+IF(S72="NOT_CHECKED",0,10)</f>
        <v/>
      </c>
      <c r="V72" s="5">
        <f>IF(U72=100,T72,"")</f>
        <v/>
      </c>
      <c r="W72" s="5">
        <f>T72</f>
        <v/>
      </c>
      <c r="X72" s="5">
        <f>T72+(100-U72)</f>
        <v/>
      </c>
      <c r="Y72" s="2" t="inlineStr">
        <is>
          <t>[]</t>
        </is>
      </c>
      <c r="Z72" s="2" t="inlineStr">
        <is>
          <t>["seo_runs\\jeminise.com\\20260906_234129\\evidence\\images\\60_custom-floral-cross-with-butterflies-blanket-machine-washable-d6\\image_01_47830527377607.jpg;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"https://cdn.shopify.com/s/files/1/0792/5098/1063/files/fa4c87e3ad89fcb17154c6d08d008fe811e3ada64703d98c1fca09128ccb3a83.jpg?v=1786596475"]</t>
        </is>
      </c>
      <c r="AA72" s="2" t="inlineStr">
        <is>
          <t>r3</t>
        </is>
      </c>
    </row>
    <row r="73" ht="66" customHeight="1">
      <c r="A73" s="3" t="inlineStr">
        <is>
          <t>jeminise.com+custom-floral-cross-with-butterflies-blanket-machine-washable-d6</t>
        </is>
      </c>
      <c r="B73" s="3" t="inlineStr">
        <is>
          <t>qaimg_dcf71ce84a0d975d</t>
        </is>
      </c>
      <c r="C73" s="4" t="inlineStr">
        <is>
          <t>https://cdn.shopify.com/s/files/1/0792/5098/1063/files/d4e9a8539470072d5c5baf2c1e66d73f9ffc956ee3053533ff34bdaea36bc129.jpg?v=1786596475</t>
        </is>
      </c>
      <c r="D73" s="4" t="inlineStr">
        <is>
          <t>https://cdn.shopify.com/s/files/1/0792/5098/1063/files/d4e9a8539470072d5c5baf2c1e66d73f9ffc956ee3053533ff34bdaea36bc129.jpg?v=1786596475</t>
        </is>
      </c>
      <c r="E73" s="3" t="inlineStr">
        <is>
          <t>38793401532615</t>
        </is>
      </c>
      <c r="F73" s="3" t="inlineStr">
        <is>
          <t>47830527410375</t>
        </is>
      </c>
      <c r="G73" s="3" t="inlineStr"/>
      <c r="H73" s="3" t="inlineStr">
        <is>
          <t>GALLERY</t>
        </is>
      </c>
      <c r="I73" s="3" t="inlineStr">
        <is>
          <t>DIRECT_ORIGINAL_IMAGE</t>
        </is>
      </c>
      <c r="J73" s="3" t="inlineStr">
        <is>
          <t>2026-09-08T09:03:24.605236+07:00</t>
        </is>
      </c>
      <c r="K73" s="3" t="inlineStr">
        <is>
          <t>Isolated mockup of the Sabrina floral-cross butterfly blanket.</t>
        </is>
      </c>
      <c r="L73" s="3" t="inlineStr">
        <is>
          <t>Flat view of floral cross butterfly blanket with rose bouquet, gold butterflies and Sophia sample name.</t>
        </is>
      </c>
      <c r="M73" s="3" t="inlineStr">
        <is>
          <t>Custom Floral Cross with Butterflies Blanket, Machine Washable</t>
        </is>
      </c>
      <c r="N73" s="3" t="inlineStr">
        <is>
          <t>SET</t>
        </is>
      </c>
      <c r="O73" s="3" t="inlineStr">
        <is>
          <t>Floral cross butterfly blanket flat view</t>
        </is>
      </c>
      <c r="P73" s="3" t="inlineStr">
        <is>
          <t>FULL</t>
        </is>
      </c>
      <c r="Q73" s="3" t="inlineStr">
        <is>
          <t>FULL</t>
        </is>
      </c>
      <c r="R73" s="3" t="inlineStr">
        <is>
          <t>FULL</t>
        </is>
      </c>
      <c r="S73" s="3" t="inlineStr">
        <is>
          <t>FULL</t>
        </is>
      </c>
      <c r="T73" s="7">
        <f>IF(P73="FULL",40,IF(P73="PARTIAL",40/2,0))+IF(Q73="FULL",30,IF(Q73="PARTIAL",30/2,0))+IF(R73="FULL",20,IF(R73="PARTIAL",20/2,0))+IF(S73="FULL",10,IF(S73="PARTIAL",10/2,0))</f>
        <v/>
      </c>
      <c r="U73" s="7">
        <f>IF(P73="NOT_CHECKED",0,40)+IF(Q73="NOT_CHECKED",0,30)+IF(R73="NOT_CHECKED",0,20)+IF(S73="NOT_CHECKED",0,10)</f>
        <v/>
      </c>
      <c r="V73" s="7">
        <f>IF(U73=100,T73,"")</f>
        <v/>
      </c>
      <c r="W73" s="7">
        <f>T73</f>
        <v/>
      </c>
      <c r="X73" s="7">
        <f>T73+(100-U73)</f>
        <v/>
      </c>
      <c r="Y73" s="3" t="inlineStr">
        <is>
          <t>[]</t>
        </is>
      </c>
      <c r="Z73" s="3" t="inlineStr">
        <is>
          <t>["seo_runs\\jeminise.com\\20260906_234129\\evidence\\images\\60_custom-floral-cross-with-butterflies-blanket-machine-washable-d6\\image_02_47830527410375.jpg;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"https://cdn.shopify.com/s/files/1/0792/5098/1063/files/d4e9a8539470072d5c5baf2c1e66d73f9ffc956ee3053533ff34bdaea36bc129.jpg?v=1786596475"]</t>
        </is>
      </c>
      <c r="AA73" s="3" t="inlineStr">
        <is>
          <t>r3</t>
        </is>
      </c>
    </row>
    <row r="74" ht="66" customHeight="1">
      <c r="A74" s="2" t="inlineStr">
        <is>
          <t>jeminise.com+custom-floral-cross-with-butterflies-blanket-machine-washable-d6</t>
        </is>
      </c>
      <c r="B74" s="2" t="inlineStr">
        <is>
          <t>qaimg_0ac359175207a7a8</t>
        </is>
      </c>
      <c r="C74" s="4" t="inlineStr">
        <is>
          <t>https://cdn.shopify.com/s/files/1/0792/5098/1063/files/759490c85c946c6771dab94f8a1364e1b84653ade2cb0950a374f68092d3199c.jpg?v=1786596478</t>
        </is>
      </c>
      <c r="D74" s="4" t="inlineStr">
        <is>
          <t>https://cdn.shopify.com/s/files/1/0792/5098/1063/files/759490c85c946c6771dab94f8a1364e1b84653ade2cb0950a374f68092d3199c.jpg?v=1786596478</t>
        </is>
      </c>
      <c r="E74" s="2" t="inlineStr">
        <is>
          <t>38793401565383</t>
        </is>
      </c>
      <c r="F74" s="2" t="inlineStr">
        <is>
          <t>47830527443143</t>
        </is>
      </c>
      <c r="G74" s="2" t="inlineStr"/>
      <c r="H74" s="2" t="inlineStr">
        <is>
          <t>GALLERY</t>
        </is>
      </c>
      <c r="I74" s="2" t="inlineStr">
        <is>
          <t>DIRECT_ORIGINAL_IMAGE</t>
        </is>
      </c>
      <c r="J74" s="2" t="inlineStr">
        <is>
          <t>2026-09-08T09:03:24.605236+07:00</t>
        </is>
      </c>
      <c r="K74" s="2" t="inlineStr">
        <is>
          <t>Father and child reading under the Sabrina floral-cross blanket.</t>
        </is>
      </c>
      <c r="L74" s="2" t="inlineStr">
        <is>
          <t>Lifestyle reading scene with floral cross butterfly blanket and rose artwork visible.</t>
        </is>
      </c>
      <c r="M74" s="2" t="inlineStr">
        <is>
          <t>Custom Floral Cross with Butterflies Blanket, Machine Washable</t>
        </is>
      </c>
      <c r="N74" s="2" t="inlineStr">
        <is>
          <t>SET</t>
        </is>
      </c>
      <c r="O74" s="2" t="inlineStr">
        <is>
          <t>Floral cross butterfly blanket reading scene</t>
        </is>
      </c>
      <c r="P74" s="2" t="inlineStr">
        <is>
          <t>FULL</t>
        </is>
      </c>
      <c r="Q74" s="2" t="inlineStr">
        <is>
          <t>FULL</t>
        </is>
      </c>
      <c r="R74" s="2" t="inlineStr">
        <is>
          <t>FULL</t>
        </is>
      </c>
      <c r="S74" s="2" t="inlineStr">
        <is>
          <t>FULL</t>
        </is>
      </c>
      <c r="T74" s="5">
        <f>IF(P74="FULL",40,IF(P74="PARTIAL",40/2,0))+IF(Q74="FULL",30,IF(Q74="PARTIAL",30/2,0))+IF(R74="FULL",20,IF(R74="PARTIAL",20/2,0))+IF(S74="FULL",10,IF(S74="PARTIAL",10/2,0))</f>
        <v/>
      </c>
      <c r="U74" s="5">
        <f>IF(P74="NOT_CHECKED",0,40)+IF(Q74="NOT_CHECKED",0,30)+IF(R74="NOT_CHECKED",0,20)+IF(S74="NOT_CHECKED",0,10)</f>
        <v/>
      </c>
      <c r="V74" s="5">
        <f>IF(U74=100,T74,"")</f>
        <v/>
      </c>
      <c r="W74" s="5">
        <f>T74</f>
        <v/>
      </c>
      <c r="X74" s="5">
        <f>T74+(100-U74)</f>
        <v/>
      </c>
      <c r="Y74" s="2" t="inlineStr">
        <is>
          <t>[]</t>
        </is>
      </c>
      <c r="Z74" s="2" t="inlineStr">
        <is>
          <t>["seo_runs\\jeminise.com\\20260906_234129\\evidence\\images\\60_custom-floral-cross-with-butterflies-blanket-machine-washable-d6\\image_03_47830527443143.jpg;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"https://cdn.shopify.com/s/files/1/0792/5098/1063/files/759490c85c946c6771dab94f8a1364e1b84653ade2cb0950a374f68092d3199c.jpg?v=1786596478"]</t>
        </is>
      </c>
      <c r="AA74" s="2" t="inlineStr">
        <is>
          <t>r3</t>
        </is>
      </c>
    </row>
    <row r="75" ht="66" customHeight="1">
      <c r="A75" s="3" t="inlineStr">
        <is>
          <t>jeminise.com+custom-floral-cross-with-butterflies-blanket-machine-washable-d6</t>
        </is>
      </c>
      <c r="B75" s="3" t="inlineStr">
        <is>
          <t>qaimg_c8707cb41c5e3dc1</t>
        </is>
      </c>
      <c r="C75" s="4" t="inlineStr">
        <is>
          <t>https://cdn.shopify.com/s/files/1/0792/5098/1063/files/bab294486e3013fbc619bbb3e71230eca4b927ab5f8abb1a8fb3c6d2e28d9193.jpg?v=1786596475</t>
        </is>
      </c>
      <c r="D75" s="4" t="inlineStr">
        <is>
          <t>https://cdn.shopify.com/s/files/1/0792/5098/1063/files/bab294486e3013fbc619bbb3e71230eca4b927ab5f8abb1a8fb3c6d2e28d9193.jpg?v=1786596475</t>
        </is>
      </c>
      <c r="E75" s="3" t="inlineStr">
        <is>
          <t>38793401598151</t>
        </is>
      </c>
      <c r="F75" s="3" t="inlineStr">
        <is>
          <t>47830527475911</t>
        </is>
      </c>
      <c r="G75" s="3" t="inlineStr"/>
      <c r="H75" s="3" t="inlineStr">
        <is>
          <t>GALLERY</t>
        </is>
      </c>
      <c r="I75" s="3" t="inlineStr">
        <is>
          <t>DIRECT_ORIGINAL_IMAGE</t>
        </is>
      </c>
      <c r="J75" s="3" t="inlineStr">
        <is>
          <t>2026-09-08T09:03:24.605236+07:00</t>
        </is>
      </c>
      <c r="K75" s="3" t="inlineStr">
        <is>
          <t>Four-size blanket chart for 40x30, 50x40, 60x50 and 80x60 inches.</t>
        </is>
      </c>
      <c r="L75" s="3" t="inlineStr">
        <is>
          <t>Blanket size chart showing PET, BOY/GIRL, ADULTS and BED dimensions.</t>
        </is>
      </c>
      <c r="M75" s="3" t="inlineStr">
        <is>
          <t>Custom Floral Cross with Butterflies Blanket, Machine Washable</t>
        </is>
      </c>
      <c r="N75" s="3" t="inlineStr">
        <is>
          <t>SET</t>
        </is>
      </c>
      <c r="O75" s="3" t="inlineStr">
        <is>
          <t>Floral cross butterfly blanket size chart</t>
        </is>
      </c>
      <c r="P75" s="3" t="inlineStr">
        <is>
          <t>FULL</t>
        </is>
      </c>
      <c r="Q75" s="3" t="inlineStr">
        <is>
          <t>FULL</t>
        </is>
      </c>
      <c r="R75" s="3" t="inlineStr">
        <is>
          <t>FULL</t>
        </is>
      </c>
      <c r="S75" s="3" t="inlineStr">
        <is>
          <t>FULL</t>
        </is>
      </c>
      <c r="T75" s="7">
        <f>IF(P75="FULL",40,IF(P75="PARTIAL",40/2,0))+IF(Q75="FULL",30,IF(Q75="PARTIAL",30/2,0))+IF(R75="FULL",20,IF(R75="PARTIAL",20/2,0))+IF(S75="FULL",10,IF(S75="PARTIAL",10/2,0))</f>
        <v/>
      </c>
      <c r="U75" s="7">
        <f>IF(P75="NOT_CHECKED",0,40)+IF(Q75="NOT_CHECKED",0,30)+IF(R75="NOT_CHECKED",0,20)+IF(S75="NOT_CHECKED",0,10)</f>
        <v/>
      </c>
      <c r="V75" s="7">
        <f>IF(U75=100,T75,"")</f>
        <v/>
      </c>
      <c r="W75" s="7">
        <f>T75</f>
        <v/>
      </c>
      <c r="X75" s="7">
        <f>T75+(100-U75)</f>
        <v/>
      </c>
      <c r="Y75" s="3" t="inlineStr">
        <is>
          <t>[]</t>
        </is>
      </c>
      <c r="Z75" s="3" t="inlineStr">
        <is>
          <t>["seo_runs\\jeminise.com\\20260906_234129\\evidence\\images\\60_custom-floral-cross-with-butterflies-blanket-machine-washable-d6\\image_04_47830527475911.jpg;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"https://cdn.shopify.com/s/files/1/0792/5098/1063/files/bab294486e3013fbc619bbb3e71230eca4b927ab5f8abb1a8fb3c6d2e28d9193.jpg?v=1786596475"]</t>
        </is>
      </c>
      <c r="AA75" s="3" t="inlineStr">
        <is>
          <t>r3</t>
        </is>
      </c>
    </row>
    <row r="76" ht="66" customHeight="1">
      <c r="A76" s="2" t="inlineStr">
        <is>
          <t>jeminise.com+custom-floral-cross-with-butterflies-blanket-machine-washable-d6</t>
        </is>
      </c>
      <c r="B76" s="2" t="inlineStr">
        <is>
          <t>qaimg_74f7647fe805fa81</t>
        </is>
      </c>
      <c r="C76" s="4" t="inlineStr">
        <is>
          <t>https://cdn.shopify.com/s/files/1/0792/5098/1063/files/0416735fb823a111c841d5d285553bea73d30b765a5545afa4086717e3e2c7d3.jpg?v=1786596475</t>
        </is>
      </c>
      <c r="D76" s="4" t="inlineStr">
        <is>
          <t>https://cdn.shopify.com/s/files/1/0792/5098/1063/files/0416735fb823a111c841d5d285553bea73d30b765a5545afa4086717e3e2c7d3.jpg?v=1786596475</t>
        </is>
      </c>
      <c r="E76" s="2" t="inlineStr">
        <is>
          <t>38793401630919</t>
        </is>
      </c>
      <c r="F76" s="2" t="inlineStr">
        <is>
          <t>47830527508679</t>
        </is>
      </c>
      <c r="G76" s="2" t="inlineStr"/>
      <c r="H76" s="2" t="inlineStr">
        <is>
          <t>GALLERY</t>
        </is>
      </c>
      <c r="I76" s="2" t="inlineStr">
        <is>
          <t>DIRECT_ORIGINAL_IMAGE</t>
        </is>
      </c>
      <c r="J76" s="2" t="inlineStr">
        <is>
          <t>2026-09-08T09:03:24.605236+07:00</t>
        </is>
      </c>
      <c r="K76" s="2" t="inlineStr">
        <is>
          <t>Fabric and print-detail collage for the Sabrina floral-cross blanket.</t>
        </is>
      </c>
      <c r="L76" s="2" t="inlineStr">
        <is>
          <t>Detail collage showing fleece folds, gold butterfly print, floral artwork and soft white backing.</t>
        </is>
      </c>
      <c r="M76" s="2" t="inlineStr">
        <is>
          <t>Custom Floral Cross with Butterflies Blanket, Machine Washable</t>
        </is>
      </c>
      <c r="N76" s="2" t="inlineStr">
        <is>
          <t>SET</t>
        </is>
      </c>
      <c r="O76" s="2" t="inlineStr">
        <is>
          <t>Floral cross butterfly blanket texture details</t>
        </is>
      </c>
      <c r="P76" s="2" t="inlineStr">
        <is>
          <t>FULL</t>
        </is>
      </c>
      <c r="Q76" s="2" t="inlineStr">
        <is>
          <t>FULL</t>
        </is>
      </c>
      <c r="R76" s="2" t="inlineStr">
        <is>
          <t>FULL</t>
        </is>
      </c>
      <c r="S76" s="2" t="inlineStr">
        <is>
          <t>FULL</t>
        </is>
      </c>
      <c r="T76" s="5">
        <f>IF(P76="FULL",40,IF(P76="PARTIAL",40/2,0))+IF(Q76="FULL",30,IF(Q76="PARTIAL",30/2,0))+IF(R76="FULL",20,IF(R76="PARTIAL",20/2,0))+IF(S76="FULL",10,IF(S76="PARTIAL",10/2,0))</f>
        <v/>
      </c>
      <c r="U76" s="5">
        <f>IF(P76="NOT_CHECKED",0,40)+IF(Q76="NOT_CHECKED",0,30)+IF(R76="NOT_CHECKED",0,20)+IF(S76="NOT_CHECKED",0,10)</f>
        <v/>
      </c>
      <c r="V76" s="5">
        <f>IF(U76=100,T76,"")</f>
        <v/>
      </c>
      <c r="W76" s="5">
        <f>T76</f>
        <v/>
      </c>
      <c r="X76" s="5">
        <f>T76+(100-U76)</f>
        <v/>
      </c>
      <c r="Y76" s="2" t="inlineStr">
        <is>
          <t>[]</t>
        </is>
      </c>
      <c r="Z76" s="2" t="inlineStr">
        <is>
          <t>["seo_runs\\jeminise.com\\20260906_234129\\evidence\\images\\60_custom-floral-cross-with-butterflies-blanket-machine-washable-d6\\image_05_47830527508679.jpg;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"https://cdn.shopify.com/s/files/1/0792/5098/1063/files/0416735fb823a111c841d5d285553bea73d30b765a5545afa4086717e3e2c7d3.jpg?v=1786596475"]</t>
        </is>
      </c>
      <c r="AA76" s="2" t="inlineStr">
        <is>
          <t>r3</t>
        </is>
      </c>
    </row>
    <row r="77" ht="66" customHeight="1">
      <c r="A77" s="3" t="inlineStr">
        <is>
          <t>jeminise.com+custom-floral-cross-with-butterflies-blanket-machine-washable-d6</t>
        </is>
      </c>
      <c r="B77" s="3" t="inlineStr">
        <is>
          <t>qaimg_a179ecbf54f4b9ae</t>
        </is>
      </c>
      <c r="C77" s="4" t="inlineStr">
        <is>
          <t>https://cdn.shopify.com/s/files/1/0792/5098/1063/files/e576d43eb2b191f065506be3fac0e45ce427db1e42efc5852ccc760dafb39887.jpg?v=1786596475</t>
        </is>
      </c>
      <c r="D77" s="4" t="inlineStr">
        <is>
          <t>https://cdn.shopify.com/s/files/1/0792/5098/1063/files/e576d43eb2b191f065506be3fac0e45ce427db1e42efc5852ccc760dafb39887.jpg?v=1786596475</t>
        </is>
      </c>
      <c r="E77" s="3" t="inlineStr">
        <is>
          <t>38793401663687</t>
        </is>
      </c>
      <c r="F77" s="3" t="inlineStr">
        <is>
          <t>47830527541447</t>
        </is>
      </c>
      <c r="G77" s="3" t="inlineStr"/>
      <c r="H77" s="3" t="inlineStr">
        <is>
          <t>GALLERY</t>
        </is>
      </c>
      <c r="I77" s="3" t="inlineStr">
        <is>
          <t>DIRECT_ORIGINAL_IMAGE</t>
        </is>
      </c>
      <c r="J77" s="3" t="inlineStr">
        <is>
          <t>2026-09-08T09:03:24.605236+07:00</t>
        </is>
      </c>
      <c r="K77" s="3" t="inlineStr">
        <is>
          <t>Blanket feature panel marked fluffy and soft, high quality, no pilling, no shedding, gentle and smooth.</t>
        </is>
      </c>
      <c r="L77" s="3" t="inlineStr">
        <is>
          <t>Blanket material panel showing fluffy soft texture, high quality, no pilling, no shedding and smooth feel.</t>
        </is>
      </c>
      <c r="M77" s="3" t="inlineStr">
        <is>
          <t>Custom Floral Cross with Butterflies Blanket, Machine Washable</t>
        </is>
      </c>
      <c r="N77" s="3" t="inlineStr">
        <is>
          <t>SET</t>
        </is>
      </c>
      <c r="O77" s="3" t="inlineStr">
        <is>
          <t>Floral cross butterfly blanket material panel</t>
        </is>
      </c>
      <c r="P77" s="3" t="inlineStr">
        <is>
          <t>FULL</t>
        </is>
      </c>
      <c r="Q77" s="3" t="inlineStr">
        <is>
          <t>FULL</t>
        </is>
      </c>
      <c r="R77" s="3" t="inlineStr">
        <is>
          <t>FULL</t>
        </is>
      </c>
      <c r="S77" s="3" t="inlineStr">
        <is>
          <t>FULL</t>
        </is>
      </c>
      <c r="T77" s="7">
        <f>IF(P77="FULL",40,IF(P77="PARTIAL",40/2,0))+IF(Q77="FULL",30,IF(Q77="PARTIAL",30/2,0))+IF(R77="FULL",20,IF(R77="PARTIAL",20/2,0))+IF(S77="FULL",10,IF(S77="PARTIAL",10/2,0))</f>
        <v/>
      </c>
      <c r="U77" s="7">
        <f>IF(P77="NOT_CHECKED",0,40)+IF(Q77="NOT_CHECKED",0,30)+IF(R77="NOT_CHECKED",0,20)+IF(S77="NOT_CHECKED",0,10)</f>
        <v/>
      </c>
      <c r="V77" s="7">
        <f>IF(U77=100,T77,"")</f>
        <v/>
      </c>
      <c r="W77" s="7">
        <f>T77</f>
        <v/>
      </c>
      <c r="X77" s="7">
        <f>T77+(100-U77)</f>
        <v/>
      </c>
      <c r="Y77" s="3" t="inlineStr">
        <is>
          <t>[]</t>
        </is>
      </c>
      <c r="Z77" s="3" t="inlineStr">
        <is>
          <t>["seo_runs\\jeminise.com\\20260906_234129\\evidence\\images\\60_custom-floral-cross-with-butterflies-blanket-machine-washable-d6\\image_06_47830527541447.jpg;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"https://cdn.shopify.com/s/files/1/0792/5098/1063/files/e576d43eb2b191f065506be3fac0e45ce427db1e42efc5852ccc760dafb39887.jpg?v=1786596475"]</t>
        </is>
      </c>
      <c r="AA77" s="3" t="inlineStr">
        <is>
          <t>r3</t>
        </is>
      </c>
    </row>
    <row r="78" ht="66" customHeight="1">
      <c r="A78" s="2" t="inlineStr">
        <is>
          <t>jeminise.com+custom-floral-cross-with-butterflies-blanket-machine-washable-d6</t>
        </is>
      </c>
      <c r="B78" s="2" t="inlineStr">
        <is>
          <t>qaimg_1498647e352ab214</t>
        </is>
      </c>
      <c r="C78" s="4" t="inlineStr">
        <is>
          <t>https://cdn.shopify.com/s/files/1/0792/5098/1063/files/7c29bc231473be38367a39696043dc9046e2ad0b9b02b847aba65a535c3d5c67.jpg?v=1786596475</t>
        </is>
      </c>
      <c r="D78" s="4" t="inlineStr">
        <is>
          <t>https://cdn.shopify.com/s/files/1/0792/5098/1063/files/7c29bc231473be38367a39696043dc9046e2ad0b9b02b847aba65a535c3d5c67.jpg?v=1786596475</t>
        </is>
      </c>
      <c r="E78" s="2" t="inlineStr">
        <is>
          <t>38793401696455</t>
        </is>
      </c>
      <c r="F78" s="2" t="inlineStr">
        <is>
          <t>47830527574215</t>
        </is>
      </c>
      <c r="G78" s="2" t="inlineStr"/>
      <c r="H78" s="2" t="inlineStr">
        <is>
          <t>GALLERY</t>
        </is>
      </c>
      <c r="I78" s="2" t="inlineStr">
        <is>
          <t>DIRECT_ORIGINAL_IMAGE</t>
        </is>
      </c>
      <c r="J78" s="2" t="inlineStr">
        <is>
          <t>2026-09-08T09:03:24.605236+07:00</t>
        </is>
      </c>
      <c r="K78" s="2" t="inlineStr">
        <is>
          <t>Sabrina floral-cross blanket draped over a white sofa.</t>
        </is>
      </c>
      <c r="L78" s="2" t="inlineStr">
        <is>
          <t>Floral cross butterfly blanket draped on couch with Sophia sample name and rose border.</t>
        </is>
      </c>
      <c r="M78" s="2" t="inlineStr">
        <is>
          <t>Custom Floral Cross with Butterflies Blanket, Machine Washable</t>
        </is>
      </c>
      <c r="N78" s="2" t="inlineStr">
        <is>
          <t>SET</t>
        </is>
      </c>
      <c r="O78" s="2" t="inlineStr">
        <is>
          <t>Floral cross butterfly blanket couch mockup</t>
        </is>
      </c>
      <c r="P78" s="2" t="inlineStr">
        <is>
          <t>FULL</t>
        </is>
      </c>
      <c r="Q78" s="2" t="inlineStr">
        <is>
          <t>FULL</t>
        </is>
      </c>
      <c r="R78" s="2" t="inlineStr">
        <is>
          <t>FULL</t>
        </is>
      </c>
      <c r="S78" s="2" t="inlineStr">
        <is>
          <t>FULL</t>
        </is>
      </c>
      <c r="T78" s="5">
        <f>IF(P78="FULL",40,IF(P78="PARTIAL",40/2,0))+IF(Q78="FULL",30,IF(Q78="PARTIAL",30/2,0))+IF(R78="FULL",20,IF(R78="PARTIAL",20/2,0))+IF(S78="FULL",10,IF(S78="PARTIAL",10/2,0))</f>
        <v/>
      </c>
      <c r="U78" s="5">
        <f>IF(P78="NOT_CHECKED",0,40)+IF(Q78="NOT_CHECKED",0,30)+IF(R78="NOT_CHECKED",0,20)+IF(S78="NOT_CHECKED",0,10)</f>
        <v/>
      </c>
      <c r="V78" s="5">
        <f>IF(U78=100,T78,"")</f>
        <v/>
      </c>
      <c r="W78" s="5">
        <f>T78</f>
        <v/>
      </c>
      <c r="X78" s="5">
        <f>T78+(100-U78)</f>
        <v/>
      </c>
      <c r="Y78" s="2" t="inlineStr">
        <is>
          <t>[]</t>
        </is>
      </c>
      <c r="Z78" s="2" t="inlineStr">
        <is>
          <t>["seo_runs\\jeminise.com\\20260906_234129\\evidence\\images\\60_custom-floral-cross-with-butterflies-blanket-machine-washable-d6\\image_07_47830527574215.jpg;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"https://cdn.shopify.com/s/files/1/0792/5098/1063/files/7c29bc231473be38367a39696043dc9046e2ad0b9b02b847aba65a535c3d5c67.jpg?v=1786596475"]</t>
        </is>
      </c>
      <c r="AA78" s="2" t="inlineStr">
        <is>
          <t>r3</t>
        </is>
      </c>
    </row>
    <row r="79" ht="66" customHeight="1">
      <c r="A79" s="3" t="inlineStr">
        <is>
          <t>jeminise.com+custom-floral-cross-with-butterflies-blanket-machine-washable-d6</t>
        </is>
      </c>
      <c r="B79" s="3" t="inlineStr">
        <is>
          <t>qaimg_3becbb4c0c6ca046</t>
        </is>
      </c>
      <c r="C79" s="4" t="inlineStr">
        <is>
          <t>https://cdn.shopify.com/s/files/1/0792/5098/1063/files/03f1b1a7f237ec569ecd0df3e08ba9cf8b2d785c0925b3382d0ee3993ce0180b.jpg?v=1786596476</t>
        </is>
      </c>
      <c r="D79" s="4" t="inlineStr">
        <is>
          <t>https://cdn.shopify.com/s/files/1/0792/5098/1063/files/03f1b1a7f237ec569ecd0df3e08ba9cf8b2d785c0925b3382d0ee3993ce0180b.jpg?v=1786596476</t>
        </is>
      </c>
      <c r="E79" s="3" t="inlineStr">
        <is>
          <t>38793401729223</t>
        </is>
      </c>
      <c r="F79" s="3" t="inlineStr">
        <is>
          <t>47830527606983</t>
        </is>
      </c>
      <c r="G79" s="3" t="inlineStr"/>
      <c r="H79" s="3" t="inlineStr">
        <is>
          <t>GALLERY</t>
        </is>
      </c>
      <c r="I79" s="3" t="inlineStr">
        <is>
          <t>DIRECT_ORIGINAL_IMAGE</t>
        </is>
      </c>
      <c r="J79" s="3" t="inlineStr">
        <is>
          <t>2026-09-08T09:03:24.605236+07:00</t>
        </is>
      </c>
      <c r="K79" s="3" t="inlineStr">
        <is>
          <t>Sabrina floral-cross blanket draped over a tan sofa.</t>
        </is>
      </c>
      <c r="L79" s="3" t="inlineStr">
        <is>
          <t>Floral cross butterfly blanket spread on sofa with gold butterflies and pink flower border.</t>
        </is>
      </c>
      <c r="M79" s="3" t="inlineStr">
        <is>
          <t>Custom Floral Cross with Butterflies Blanket, Machine Washable</t>
        </is>
      </c>
      <c r="N79" s="3" t="inlineStr">
        <is>
          <t>SET</t>
        </is>
      </c>
      <c r="O79" s="3" t="inlineStr">
        <is>
          <t>Floral cross butterfly blanket sofa mockup</t>
        </is>
      </c>
      <c r="P79" s="3" t="inlineStr">
        <is>
          <t>FULL</t>
        </is>
      </c>
      <c r="Q79" s="3" t="inlineStr">
        <is>
          <t>FULL</t>
        </is>
      </c>
      <c r="R79" s="3" t="inlineStr">
        <is>
          <t>FULL</t>
        </is>
      </c>
      <c r="S79" s="3" t="inlineStr">
        <is>
          <t>FULL</t>
        </is>
      </c>
      <c r="T79" s="7">
        <f>IF(P79="FULL",40,IF(P79="PARTIAL",40/2,0))+IF(Q79="FULL",30,IF(Q79="PARTIAL",30/2,0))+IF(R79="FULL",20,IF(R79="PARTIAL",20/2,0))+IF(S79="FULL",10,IF(S79="PARTIAL",10/2,0))</f>
        <v/>
      </c>
      <c r="U79" s="7">
        <f>IF(P79="NOT_CHECKED",0,40)+IF(Q79="NOT_CHECKED",0,30)+IF(R79="NOT_CHECKED",0,20)+IF(S79="NOT_CHECKED",0,10)</f>
        <v/>
      </c>
      <c r="V79" s="7">
        <f>IF(U79=100,T79,"")</f>
        <v/>
      </c>
      <c r="W79" s="7">
        <f>T79</f>
        <v/>
      </c>
      <c r="X79" s="7">
        <f>T79+(100-U79)</f>
        <v/>
      </c>
      <c r="Y79" s="3" t="inlineStr">
        <is>
          <t>[]</t>
        </is>
      </c>
      <c r="Z79" s="3" t="inlineStr">
        <is>
          <t>["seo_runs\\jeminise.com\\20260906_234129\\evidence\\images\\60_custom-floral-cross-with-butterflies-blanket-machine-washable-d6\\image_08_47830527606983.jpg; seo_runs\\jeminise.com\\20260906_234129\\evidence\\contact_sheets\\60_custom-floral-cross-with-butterflies-blanket-machine-washable-d6.jpg", "https://jeminise.com/products/custom-floral-cross-with-butterflies-blanket-machine-washable-d6", "https://cdn.shopify.com/s/files/1/0792/5098/1063/files/03f1b1a7f237ec569ecd0df3e08ba9cf8b2d785c0925b3382d0ee3993ce0180b.jpg?v=1786596476"]</t>
        </is>
      </c>
      <c r="AA79" s="3" t="inlineStr">
        <is>
          <t>r3</t>
        </is>
      </c>
    </row>
  </sheetData>
  <autoFilter ref="A1:AA7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R2-ISS-GLOBAL-ADMIN</t>
        </is>
      </c>
      <c r="B2" s="2" t="inlineStr"/>
      <c r="C2" s="2" t="inlineStr"/>
      <c r="D2" s="2" t="inlineStr">
        <is>
          <t>LIMITATION</t>
        </is>
      </c>
      <c r="E2" s="2" t="inlineStr">
        <is>
          <t>current admin SEO fields/current admin alt</t>
        </is>
      </c>
      <c r="F2" s="2" t="inlineStr">
        <is>
          <t>Not supplied</t>
        </is>
      </c>
      <c r="G2" s="2" t="inlineStr">
        <is>
          <t>Storefront metadata and product.js media alt were readable, but no Shopify admin export was provided.</t>
        </is>
      </c>
      <c r="H2" s="2" t="inlineStr">
        <is>
          <t>Storefront values cannot prove admin fields or future import mapping.</t>
        </is>
      </c>
      <c r="I2" s="2" t="inlineStr">
        <is>
          <t>Provide a frozen Shopify admin/export snapshot before deployment approval.</t>
        </is>
      </c>
      <c r="J2" s="2" t="inlineStr">
        <is>
          <t>D:\Shopify_Workspace\jeminise_seo\resutls\jeminise.com\20260906_234129\revisions\qa_batch_006_r4\SEO_Product_Optimization_qa_batch_006_r4.xlsx</t>
        </is>
      </c>
      <c r="K2" s="2" t="inlineStr">
        <is>
          <t>Admin export revision and hash are frozen and compared.</t>
        </is>
      </c>
    </row>
    <row r="3" ht="84" customHeight="1">
      <c r="A3" s="3" t="inlineStr">
        <is>
          <t>R2-ISS-GLOBAL-SNAPSHOT-HTML</t>
        </is>
      </c>
      <c r="B3" s="3" t="inlineStr"/>
      <c r="C3" s="3" t="inlineStr"/>
      <c r="D3" s="3" t="inlineStr">
        <is>
          <t>LIMITATION</t>
        </is>
      </c>
      <c r="E3" s="3" t="inlineStr">
        <is>
          <t>phase-1 HTML snapshot</t>
        </is>
      </c>
      <c r="F3" s="3" t="inlineStr">
        <is>
          <t>Phase-1 HTML fetch returned HTTP 403.</t>
        </is>
      </c>
      <c r="G3" s="3" t="inlineStr">
        <is>
          <t>Frozen product JSON/body/options/gallery URLs match live, but old rendered metadata cannot be compared directly.</t>
        </is>
      </c>
      <c r="H3" s="3" t="inlineStr">
        <is>
          <t>An unavailable old HTML snapshot is not evidence of drift.</t>
        </is>
      </c>
      <c r="I3" s="3" t="inlineStr">
        <is>
          <t>Capture a fresh immutable HTML snapshot for the next revision.</t>
        </is>
      </c>
      <c r="J3" s="3" t="inlineStr">
        <is>
          <t>D:\Shopify_Workspace\jeminise_seo\seo_runs\jeminise.com\20260906_234129\qa\20260908_006000\live_source_comparison.json</t>
        </is>
      </c>
      <c r="K3" s="3" t="inlineStr">
        <is>
          <t>Both old and new readable HTML snapshots are available with hashes.</t>
        </is>
      </c>
    </row>
  </sheetData>
  <autoFilter ref="A1:K3"/>
  <conditionalFormatting sqref="D2:D3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2026-09-08T02:03:24Z</dcterms:created>
  <dcterms:modified xmlns:dcterms="http://purl.org/dc/terms/" xmlns:xsi="http://www.w3.org/2001/XMLSchema-instance" xsi:type="dcterms:W3CDTF">2026-09-08T02:03:25Z</dcterms:modified>
</cp:coreProperties>
</file>