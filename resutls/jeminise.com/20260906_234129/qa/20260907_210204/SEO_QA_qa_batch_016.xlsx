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'QA_Images'!$A$1:$Z$72</definedName>
    <definedName name="_xlnm.Print_Titles" localSheetId="3">'QA_Images'!$1:$1</definedName>
    <definedName name="_xlnm._FilterDatabase" localSheetId="4" hidden="1">'QA_Issues'!$A$1:$K$103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giraffe-patchwork-style-printed-quilt-animal-patchwork-bedding" TargetMode="External" Id="rId1"/><Relationship Type="http://schemas.openxmlformats.org/officeDocument/2006/relationships/hyperlink" Target="https://jeminise.com/products/horse-patchwork-pattern-quilt-set-vintage-animal-quilt-printed" TargetMode="External" Id="rId2"/><Relationship Type="http://schemas.openxmlformats.org/officeDocument/2006/relationships/hyperlink" Target="https://jeminise.com/products/horse-patchwork-pattern-quilt-animal-farmhouse-quilt-set-patchwork" TargetMode="External" Id="rId3"/><Relationship Type="http://schemas.openxmlformats.org/officeDocument/2006/relationships/hyperlink" Target="https://jeminise.com/products/i-am-who-he-says-i-am-christian-scripture-blanket-inspirational" TargetMode="External" Id="rId4"/><Relationship Type="http://schemas.openxmlformats.org/officeDocument/2006/relationships/hyperlink" Target="https://jeminise.com/products/nature-and-mythology-tree-of-life-quilt-set-with-twisted-tree-trunk-ceb2e637d5-ceb2e637d5" TargetMode="External" Id="rId5"/><Relationship Type="http://schemas.openxmlformats.org/officeDocument/2006/relationships/hyperlink" Target="https://jeminise.com/products/nature-tree-of-life-quilt-set-with-blooming-tree-and-bedroom-and-exposed-roots-d5450715a6-d5450715a6" TargetMode="External" Id="rId6"/><Relationship Type="http://schemas.openxmlformats.org/officeDocument/2006/relationships/hyperlink" Target="https://jeminise.com/products/nature-tree-of-life-quilt-set-with-stained-glass-pattern-and-bedroom-2eedde5b65-2eedde5b65" TargetMode="External" Id="rId7"/><Relationship Type="http://schemas.openxmlformats.org/officeDocument/2006/relationships/hyperlink" Target="https://jeminise.com/products/norse-mythology-mjolnir-with-skull-within-circular-celtic-quilt-621115581a-621115581a" TargetMode="External" Id="rId8"/><Relationship Type="http://schemas.openxmlformats.org/officeDocument/2006/relationships/hyperlink" Target="https://jeminise.com/products/norse-mythology-quilt-with-ravens-b8220cc38c-b8220cc38c" TargetMode="External" Id="rId9"/><Relationship Type="http://schemas.openxmlformats.org/officeDocument/2006/relationships/hyperlink" Target="https://jeminise.com/products/norse-mythology-raven-centered-within-runic-circle-comforter-ab76500bc1-ab76500bc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603c040a548d71a824cef1c6f7a26003ffc38ac45191f307365700954d9f5728.jpg?v=1787233635" TargetMode="External" Id="rId1"/><Relationship Type="http://schemas.openxmlformats.org/officeDocument/2006/relationships/hyperlink" Target="https://cdn.shopify.com/s/files/1/0792/5098/1063/files/603c040a548d71a824cef1c6f7a26003ffc38ac45191f307365700954d9f5728.jpg?v=1787233635" TargetMode="External" Id="rId2"/><Relationship Type="http://schemas.openxmlformats.org/officeDocument/2006/relationships/hyperlink" Target="https://cdn.shopify.com/s/files/1/0792/5098/1063/files/288d07bcbdbe668f4ecb93c1608db02380c59dd8d38601892d0aead8bc180702.jpg?v=1787233635" TargetMode="External" Id="rId3"/><Relationship Type="http://schemas.openxmlformats.org/officeDocument/2006/relationships/hyperlink" Target="https://cdn.shopify.com/s/files/1/0792/5098/1063/files/288d07bcbdbe668f4ecb93c1608db02380c59dd8d38601892d0aead8bc180702.jpg?v=1787233635" TargetMode="External" Id="rId4"/><Relationship Type="http://schemas.openxmlformats.org/officeDocument/2006/relationships/hyperlink" Target="https://cdn.shopify.com/s/files/1/0792/5098/1063/files/bd0c76c837967938b4d577ff893ef9c2e807756bc0b37ab9ebf7238cca4042bd.jpg?v=1787233635" TargetMode="External" Id="rId5"/><Relationship Type="http://schemas.openxmlformats.org/officeDocument/2006/relationships/hyperlink" Target="https://cdn.shopify.com/s/files/1/0792/5098/1063/files/bd0c76c837967938b4d577ff893ef9c2e807756bc0b37ab9ebf7238cca4042bd.jpg?v=1787233635" TargetMode="External" Id="rId6"/><Relationship Type="http://schemas.openxmlformats.org/officeDocument/2006/relationships/hyperlink" Target="https://cdn.shopify.com/s/files/1/0792/5098/1063/files/f5a5d13d5344a2d7adef506d08259b82c77867e7098b93b86898cdf6c1f1eeb8.jpg?v=1787233635" TargetMode="External" Id="rId7"/><Relationship Type="http://schemas.openxmlformats.org/officeDocument/2006/relationships/hyperlink" Target="https://cdn.shopify.com/s/files/1/0792/5098/1063/files/f5a5d13d5344a2d7adef506d08259b82c77867e7098b93b86898cdf6c1f1eeb8.jpg?v=1787233635" TargetMode="External" Id="rId8"/><Relationship Type="http://schemas.openxmlformats.org/officeDocument/2006/relationships/hyperlink" Target="https://cdn.shopify.com/s/files/1/0792/5098/1063/files/a60c14e85b916d148be08985c5fbd6a5131443f5c719a991bd7b0e819566b7cf.jpg?v=1787233635" TargetMode="External" Id="rId9"/><Relationship Type="http://schemas.openxmlformats.org/officeDocument/2006/relationships/hyperlink" Target="https://cdn.shopify.com/s/files/1/0792/5098/1063/files/a60c14e85b916d148be08985c5fbd6a5131443f5c719a991bd7b0e819566b7cf.jpg?v=1787233635" TargetMode="External" Id="rId10"/><Relationship Type="http://schemas.openxmlformats.org/officeDocument/2006/relationships/hyperlink" Target="https://cdn.shopify.com/s/files/1/0792/5098/1063/files/1981b27c6fedf88c3cb44a9ba34f2731ecaf38e935e82614835b12142e1c6a31.jpg?v=1787233635" TargetMode="External" Id="rId11"/><Relationship Type="http://schemas.openxmlformats.org/officeDocument/2006/relationships/hyperlink" Target="https://cdn.shopify.com/s/files/1/0792/5098/1063/files/1981b27c6fedf88c3cb44a9ba34f2731ecaf38e935e82614835b12142e1c6a31.jpg?v=1787233635" TargetMode="External" Id="rId12"/><Relationship Type="http://schemas.openxmlformats.org/officeDocument/2006/relationships/hyperlink" Target="https://cdn.shopify.com/s/files/1/0792/5098/1063/files/c3434f966cfbdf098091125e6432da488e48020e005baf7613b44ceb3d691a8e.jpg?v=1787233635" TargetMode="External" Id="rId13"/><Relationship Type="http://schemas.openxmlformats.org/officeDocument/2006/relationships/hyperlink" Target="https://cdn.shopify.com/s/files/1/0792/5098/1063/files/c3434f966cfbdf098091125e6432da488e48020e005baf7613b44ceb3d691a8e.jpg?v=1787233635" TargetMode="External" Id="rId14"/><Relationship Type="http://schemas.openxmlformats.org/officeDocument/2006/relationships/hyperlink" Target="https://cdn.shopify.com/s/files/1/0792/5098/1063/files/6af34be75f66e81fc6baf14d54a155fe69d04261be33ea9d8242b2b79aa2796b.jpg?v=1787233650" TargetMode="External" Id="rId15"/><Relationship Type="http://schemas.openxmlformats.org/officeDocument/2006/relationships/hyperlink" Target="https://cdn.shopify.com/s/files/1/0792/5098/1063/files/6af34be75f66e81fc6baf14d54a155fe69d04261be33ea9d8242b2b79aa2796b.jpg?v=1787233650" TargetMode="External" Id="rId16"/><Relationship Type="http://schemas.openxmlformats.org/officeDocument/2006/relationships/hyperlink" Target="https://cdn.shopify.com/s/files/1/0792/5098/1063/files/7965222b1165a822ac3995c4ff11f6015e83672c0952cae690bcc35c02047cdf.jpg?v=1787233650" TargetMode="External" Id="rId17"/><Relationship Type="http://schemas.openxmlformats.org/officeDocument/2006/relationships/hyperlink" Target="https://cdn.shopify.com/s/files/1/0792/5098/1063/files/7965222b1165a822ac3995c4ff11f6015e83672c0952cae690bcc35c02047cdf.jpg?v=1787233650" TargetMode="External" Id="rId18"/><Relationship Type="http://schemas.openxmlformats.org/officeDocument/2006/relationships/hyperlink" Target="https://cdn.shopify.com/s/files/1/0792/5098/1063/files/079cec84e8f4643fe4fc5313cc8d480684d4308ee77013bfae2a6f1de077713a.jpg?v=1787233650" TargetMode="External" Id="rId19"/><Relationship Type="http://schemas.openxmlformats.org/officeDocument/2006/relationships/hyperlink" Target="https://cdn.shopify.com/s/files/1/0792/5098/1063/files/079cec84e8f4643fe4fc5313cc8d480684d4308ee77013bfae2a6f1de077713a.jpg?v=1787233650" TargetMode="External" Id="rId20"/><Relationship Type="http://schemas.openxmlformats.org/officeDocument/2006/relationships/hyperlink" Target="https://cdn.shopify.com/s/files/1/0792/5098/1063/files/e5737c32c3e36b9f2ef4b89a1ccd09485c37705d9ffc1b3553bcb7e3c1ea0107.jpg?v=1787233649" TargetMode="External" Id="rId21"/><Relationship Type="http://schemas.openxmlformats.org/officeDocument/2006/relationships/hyperlink" Target="https://cdn.shopify.com/s/files/1/0792/5098/1063/files/e5737c32c3e36b9f2ef4b89a1ccd09485c37705d9ffc1b3553bcb7e3c1ea0107.jpg?v=1787233649" TargetMode="External" Id="rId22"/><Relationship Type="http://schemas.openxmlformats.org/officeDocument/2006/relationships/hyperlink" Target="https://cdn.shopify.com/s/files/1/0792/5098/1063/files/79ab35939240f2b72f138699920030b81bef2ec0652b0503f4158443a5a766ce.jpg?v=1787233650" TargetMode="External" Id="rId23"/><Relationship Type="http://schemas.openxmlformats.org/officeDocument/2006/relationships/hyperlink" Target="https://cdn.shopify.com/s/files/1/0792/5098/1063/files/79ab35939240f2b72f138699920030b81bef2ec0652b0503f4158443a5a766ce.jpg?v=1787233650" TargetMode="External" Id="rId24"/><Relationship Type="http://schemas.openxmlformats.org/officeDocument/2006/relationships/hyperlink" Target="https://cdn.shopify.com/s/files/1/0792/5098/1063/files/aa0186266f9f40306112cd5b9a538722d1a191d3fc2ca0612a55040475d58c38.jpg?v=1787233649" TargetMode="External" Id="rId25"/><Relationship Type="http://schemas.openxmlformats.org/officeDocument/2006/relationships/hyperlink" Target="https://cdn.shopify.com/s/files/1/0792/5098/1063/files/aa0186266f9f40306112cd5b9a538722d1a191d3fc2ca0612a55040475d58c38.jpg?v=1787233649" TargetMode="External" Id="rId26"/><Relationship Type="http://schemas.openxmlformats.org/officeDocument/2006/relationships/hyperlink" Target="https://cdn.shopify.com/s/files/1/0792/5098/1063/files/2cd4d2b6fdd2d1c9745f55497855adffb6ff7e81eb6a7214987147cf013ce827.jpg?v=1787233649" TargetMode="External" Id="rId27"/><Relationship Type="http://schemas.openxmlformats.org/officeDocument/2006/relationships/hyperlink" Target="https://cdn.shopify.com/s/files/1/0792/5098/1063/files/2cd4d2b6fdd2d1c9745f55497855adffb6ff7e81eb6a7214987147cf013ce827.jpg?v=1787233649" TargetMode="External" Id="rId28"/><Relationship Type="http://schemas.openxmlformats.org/officeDocument/2006/relationships/hyperlink" Target="https://cdn.shopify.com/s/files/1/0792/5098/1063/files/308fce3bc8e7b3da92f3a34fe3e3b89808e57502942118ab0f1ef711df9ac3b6.jpg?v=1787233723" TargetMode="External" Id="rId29"/><Relationship Type="http://schemas.openxmlformats.org/officeDocument/2006/relationships/hyperlink" Target="https://cdn.shopify.com/s/files/1/0792/5098/1063/files/308fce3bc8e7b3da92f3a34fe3e3b89808e57502942118ab0f1ef711df9ac3b6.jpg?v=1787233723" TargetMode="External" Id="rId30"/><Relationship Type="http://schemas.openxmlformats.org/officeDocument/2006/relationships/hyperlink" Target="https://cdn.shopify.com/s/files/1/0792/5098/1063/files/4c5608b305efa3e05d5395aef58ab5eea48b4babb25f41d2af8ffbd1ea6b6b86.jpg?v=1787233723" TargetMode="External" Id="rId31"/><Relationship Type="http://schemas.openxmlformats.org/officeDocument/2006/relationships/hyperlink" Target="https://cdn.shopify.com/s/files/1/0792/5098/1063/files/4c5608b305efa3e05d5395aef58ab5eea48b4babb25f41d2af8ffbd1ea6b6b86.jpg?v=1787233723" TargetMode="External" Id="rId32"/><Relationship Type="http://schemas.openxmlformats.org/officeDocument/2006/relationships/hyperlink" Target="https://cdn.shopify.com/s/files/1/0792/5098/1063/files/9a2b9ef1afcd9cb9765c66f3bbe3b1767562b0d4b38297a684fc9070228f522a.jpg?v=1787233724" TargetMode="External" Id="rId33"/><Relationship Type="http://schemas.openxmlformats.org/officeDocument/2006/relationships/hyperlink" Target="https://cdn.shopify.com/s/files/1/0792/5098/1063/files/9a2b9ef1afcd9cb9765c66f3bbe3b1767562b0d4b38297a684fc9070228f522a.jpg?v=1787233724" TargetMode="External" Id="rId34"/><Relationship Type="http://schemas.openxmlformats.org/officeDocument/2006/relationships/hyperlink" Target="https://cdn.shopify.com/s/files/1/0792/5098/1063/files/49c22dfbbbf1132a9e5952d7da89abe81fe14242a946fdcb5ae96cc1616990f9.jpg?v=1787233723" TargetMode="External" Id="rId35"/><Relationship Type="http://schemas.openxmlformats.org/officeDocument/2006/relationships/hyperlink" Target="https://cdn.shopify.com/s/files/1/0792/5098/1063/files/49c22dfbbbf1132a9e5952d7da89abe81fe14242a946fdcb5ae96cc1616990f9.jpg?v=1787233723" TargetMode="External" Id="rId36"/><Relationship Type="http://schemas.openxmlformats.org/officeDocument/2006/relationships/hyperlink" Target="https://cdn.shopify.com/s/files/1/0792/5098/1063/files/9b8a19c9c955be13a8e92d9b72e0dc4de1fe85b37978007b8089d81c3f82285f.jpg?v=1787233723" TargetMode="External" Id="rId37"/><Relationship Type="http://schemas.openxmlformats.org/officeDocument/2006/relationships/hyperlink" Target="https://cdn.shopify.com/s/files/1/0792/5098/1063/files/9b8a19c9c955be13a8e92d9b72e0dc4de1fe85b37978007b8089d81c3f82285f.jpg?v=1787233723" TargetMode="External" Id="rId38"/><Relationship Type="http://schemas.openxmlformats.org/officeDocument/2006/relationships/hyperlink" Target="https://cdn.shopify.com/s/files/1/0792/5098/1063/files/3316ea0a19642b5165e039218da8442aff4a629226311379497ae4b8c335a66a.jpg?v=1787233723" TargetMode="External" Id="rId39"/><Relationship Type="http://schemas.openxmlformats.org/officeDocument/2006/relationships/hyperlink" Target="https://cdn.shopify.com/s/files/1/0792/5098/1063/files/3316ea0a19642b5165e039218da8442aff4a629226311379497ae4b8c335a66a.jpg?v=1787233723" TargetMode="External" Id="rId40"/><Relationship Type="http://schemas.openxmlformats.org/officeDocument/2006/relationships/hyperlink" Target="https://cdn.shopify.com/s/files/1/0792/5098/1063/files/54a6d1664220c3febcad4acc6e2fbea0a63d75b9f24dbec12bb9432b2d09bcb2.jpg?v=1787233723" TargetMode="External" Id="rId41"/><Relationship Type="http://schemas.openxmlformats.org/officeDocument/2006/relationships/hyperlink" Target="https://cdn.shopify.com/s/files/1/0792/5098/1063/files/54a6d1664220c3febcad4acc6e2fbea0a63d75b9f24dbec12bb9432b2d09bcb2.jpg?v=1787233723" TargetMode="External" Id="rId42"/><Relationship Type="http://schemas.openxmlformats.org/officeDocument/2006/relationships/hyperlink" Target="https://cdn.shopify.com/s/files/1/0792/5098/1063/files/6737389aad72a58c884a7adf23d056ba2152a97cc0c1fb9d53091e1333692b0d.jpg?v=1786596878" TargetMode="External" Id="rId43"/><Relationship Type="http://schemas.openxmlformats.org/officeDocument/2006/relationships/hyperlink" Target="https://cdn.shopify.com/s/files/1/0792/5098/1063/files/6737389aad72a58c884a7adf23d056ba2152a97cc0c1fb9d53091e1333692b0d.jpg?v=1786596878" TargetMode="External" Id="rId44"/><Relationship Type="http://schemas.openxmlformats.org/officeDocument/2006/relationships/hyperlink" Target="https://cdn.shopify.com/s/files/1/0792/5098/1063/files/38e48a2c4df64140448da5d8f66681b92c0275a27fa88ab1054cdc4e98a006b3.jpg?v=1786596878" TargetMode="External" Id="rId45"/><Relationship Type="http://schemas.openxmlformats.org/officeDocument/2006/relationships/hyperlink" Target="https://cdn.shopify.com/s/files/1/0792/5098/1063/files/38e48a2c4df64140448da5d8f66681b92c0275a27fa88ab1054cdc4e98a006b3.jpg?v=1786596878" TargetMode="External" Id="rId46"/><Relationship Type="http://schemas.openxmlformats.org/officeDocument/2006/relationships/hyperlink" Target="https://cdn.shopify.com/s/files/1/0792/5098/1063/files/2ca6551881fb1d1ab0efe08303e1154ff3f85ba3e00e35937a533847c41f5262.jpg?v=1786596878" TargetMode="External" Id="rId47"/><Relationship Type="http://schemas.openxmlformats.org/officeDocument/2006/relationships/hyperlink" Target="https://cdn.shopify.com/s/files/1/0792/5098/1063/files/2ca6551881fb1d1ab0efe08303e1154ff3f85ba3e00e35937a533847c41f5262.jpg?v=1786596878" TargetMode="External" Id="rId48"/><Relationship Type="http://schemas.openxmlformats.org/officeDocument/2006/relationships/hyperlink" Target="https://cdn.shopify.com/s/files/1/0792/5098/1063/files/ba094da7e3e316e0dcd2d183aed4f9880c36a1f53ce80c5c9e907b46ef05dd78.jpg?v=1786596878" TargetMode="External" Id="rId49"/><Relationship Type="http://schemas.openxmlformats.org/officeDocument/2006/relationships/hyperlink" Target="https://cdn.shopify.com/s/files/1/0792/5098/1063/files/ba094da7e3e316e0dcd2d183aed4f9880c36a1f53ce80c5c9e907b46ef05dd78.jpg?v=1786596878" TargetMode="External" Id="rId50"/><Relationship Type="http://schemas.openxmlformats.org/officeDocument/2006/relationships/hyperlink" Target="https://cdn.shopify.com/s/files/1/0792/5098/1063/files/24974bb9397010b531aa60a45c84a921fe5f733f09ed246d5668bd13e02edf65.jpg?v=1786596878" TargetMode="External" Id="rId51"/><Relationship Type="http://schemas.openxmlformats.org/officeDocument/2006/relationships/hyperlink" Target="https://cdn.shopify.com/s/files/1/0792/5098/1063/files/24974bb9397010b531aa60a45c84a921fe5f733f09ed246d5668bd13e02edf65.jpg?v=1786596878" TargetMode="External" Id="rId52"/><Relationship Type="http://schemas.openxmlformats.org/officeDocument/2006/relationships/hyperlink" Target="https://cdn.shopify.com/s/files/1/0792/5098/1063/files/4ce06f4e7733ae5cf5414a2771a8829b59c43fcfb02b8014356d3defc0c426bb.jpg?v=1786596878" TargetMode="External" Id="rId53"/><Relationship Type="http://schemas.openxmlformats.org/officeDocument/2006/relationships/hyperlink" Target="https://cdn.shopify.com/s/files/1/0792/5098/1063/files/4ce06f4e7733ae5cf5414a2771a8829b59c43fcfb02b8014356d3defc0c426bb.jpg?v=1786596878" TargetMode="External" Id="rId54"/><Relationship Type="http://schemas.openxmlformats.org/officeDocument/2006/relationships/hyperlink" Target="https://cdn.shopify.com/s/files/1/0792/5098/1063/files/23c272951a2d07d2fbdcf04ab4208521c5b23847228641a73cd3924699638d91.jpg?v=1786596878" TargetMode="External" Id="rId55"/><Relationship Type="http://schemas.openxmlformats.org/officeDocument/2006/relationships/hyperlink" Target="https://cdn.shopify.com/s/files/1/0792/5098/1063/files/23c272951a2d07d2fbdcf04ab4208521c5b23847228641a73cd3924699638d91.jpg?v=1786596878" TargetMode="External" Id="rId56"/><Relationship Type="http://schemas.openxmlformats.org/officeDocument/2006/relationships/hyperlink" Target="https://cdn.shopify.com/s/files/1/0792/5098/1063/files/938f6556bff4367008c210f8e9026830c80f31da6c23dd60bdac3cc424976220.jpg?v=1786596878" TargetMode="External" Id="rId57"/><Relationship Type="http://schemas.openxmlformats.org/officeDocument/2006/relationships/hyperlink" Target="https://cdn.shopify.com/s/files/1/0792/5098/1063/files/938f6556bff4367008c210f8e9026830c80f31da6c23dd60bdac3cc424976220.jpg?v=1786596878" TargetMode="External" Id="rId58"/><Relationship Type="http://schemas.openxmlformats.org/officeDocument/2006/relationships/hyperlink" Target="https://cdn.shopify.com/s/files/1/0792/5098/1063/files/0d785f9d31ce0e89974aacf5b9eaa683a70fa09eff8afaf8a37bfe59e9dde191.jpg?v=1785047001" TargetMode="External" Id="rId59"/><Relationship Type="http://schemas.openxmlformats.org/officeDocument/2006/relationships/hyperlink" Target="https://cdn.shopify.com/s/files/1/0792/5098/1063/files/0d785f9d31ce0e89974aacf5b9eaa683a70fa09eff8afaf8a37bfe59e9dde191.jpg?v=1785047001" TargetMode="External" Id="rId60"/><Relationship Type="http://schemas.openxmlformats.org/officeDocument/2006/relationships/hyperlink" Target="https://cdn.shopify.com/s/files/1/0792/5098/1063/files/d5bd9f652f632cf45ab2af5391fd3c037d26f0c15c1117c753e06da2d771ded7.jpg?v=1785047001" TargetMode="External" Id="rId61"/><Relationship Type="http://schemas.openxmlformats.org/officeDocument/2006/relationships/hyperlink" Target="https://cdn.shopify.com/s/files/1/0792/5098/1063/files/d5bd9f652f632cf45ab2af5391fd3c037d26f0c15c1117c753e06da2d771ded7.jpg?v=1785047001" TargetMode="External" Id="rId62"/><Relationship Type="http://schemas.openxmlformats.org/officeDocument/2006/relationships/hyperlink" Target="https://cdn.shopify.com/s/files/1/0792/5098/1063/files/5ac2def02ca55ef91b1041dbb5f2e346a96f55aedcc9e89c3c6faf8b8780fd0c.jpg?v=1785047001" TargetMode="External" Id="rId63"/><Relationship Type="http://schemas.openxmlformats.org/officeDocument/2006/relationships/hyperlink" Target="https://cdn.shopify.com/s/files/1/0792/5098/1063/files/5ac2def02ca55ef91b1041dbb5f2e346a96f55aedcc9e89c3c6faf8b8780fd0c.jpg?v=1785047001" TargetMode="External" Id="rId64"/><Relationship Type="http://schemas.openxmlformats.org/officeDocument/2006/relationships/hyperlink" Target="https://cdn.shopify.com/s/files/1/0792/5098/1063/files/5afbb8bfe8e0f2cae9c66e8395b79c83ed47af3be8b96e283dbe30499951b424.jpg?v=1785047001" TargetMode="External" Id="rId65"/><Relationship Type="http://schemas.openxmlformats.org/officeDocument/2006/relationships/hyperlink" Target="https://cdn.shopify.com/s/files/1/0792/5098/1063/files/5afbb8bfe8e0f2cae9c66e8395b79c83ed47af3be8b96e283dbe30499951b424.jpg?v=1785047001" TargetMode="External" Id="rId66"/><Relationship Type="http://schemas.openxmlformats.org/officeDocument/2006/relationships/hyperlink" Target="https://cdn.shopify.com/s/files/1/0792/5098/1063/files/62ee0da0af41f45fddaf42d7df1e5bf17744c92cf93d37e7d07c02b9a51b139f.jpg?v=1785047001" TargetMode="External" Id="rId67"/><Relationship Type="http://schemas.openxmlformats.org/officeDocument/2006/relationships/hyperlink" Target="https://cdn.shopify.com/s/files/1/0792/5098/1063/files/62ee0da0af41f45fddaf42d7df1e5bf17744c92cf93d37e7d07c02b9a51b139f.jpg?v=1785047001" TargetMode="External" Id="rId68"/><Relationship Type="http://schemas.openxmlformats.org/officeDocument/2006/relationships/hyperlink" Target="https://cdn.shopify.com/s/files/1/0792/5098/1063/files/03f28650af251cefed46d5c9bc0bb8932f18d148f35526a7c91c998985ab4231.jpg?v=1785047001" TargetMode="External" Id="rId69"/><Relationship Type="http://schemas.openxmlformats.org/officeDocument/2006/relationships/hyperlink" Target="https://cdn.shopify.com/s/files/1/0792/5098/1063/files/03f28650af251cefed46d5c9bc0bb8932f18d148f35526a7c91c998985ab4231.jpg?v=1785047001" TargetMode="External" Id="rId70"/><Relationship Type="http://schemas.openxmlformats.org/officeDocument/2006/relationships/hyperlink" Target="https://cdn.shopify.com/s/files/1/0792/5098/1063/files/b7f7217bc368c7d403288443e46060ae912df896d41eb526167e12992bc53796.jpg?v=1785047001" TargetMode="External" Id="rId71"/><Relationship Type="http://schemas.openxmlformats.org/officeDocument/2006/relationships/hyperlink" Target="https://cdn.shopify.com/s/files/1/0792/5098/1063/files/b7f7217bc368c7d403288443e46060ae912df896d41eb526167e12992bc53796.jpg?v=1785047001" TargetMode="External" Id="rId72"/><Relationship Type="http://schemas.openxmlformats.org/officeDocument/2006/relationships/hyperlink" Target="https://cdn.shopify.com/s/files/1/0792/5098/1063/files/a7d2efc7deb85e2fb4648b297cac99db2b435e8c07e23380ec6cb6604ea179d2.jpg?v=1785048100" TargetMode="External" Id="rId73"/><Relationship Type="http://schemas.openxmlformats.org/officeDocument/2006/relationships/hyperlink" Target="https://cdn.shopify.com/s/files/1/0792/5098/1063/files/a7d2efc7deb85e2fb4648b297cac99db2b435e8c07e23380ec6cb6604ea179d2.jpg?v=1785048100" TargetMode="External" Id="rId74"/><Relationship Type="http://schemas.openxmlformats.org/officeDocument/2006/relationships/hyperlink" Target="https://cdn.shopify.com/s/files/1/0792/5098/1063/files/ed8c88799e2b9c55a9b05a4ea8a25fea83c4ddb567d1422341b8e4925d1e7a70.jpg?v=1785048100" TargetMode="External" Id="rId75"/><Relationship Type="http://schemas.openxmlformats.org/officeDocument/2006/relationships/hyperlink" Target="https://cdn.shopify.com/s/files/1/0792/5098/1063/files/ed8c88799e2b9c55a9b05a4ea8a25fea83c4ddb567d1422341b8e4925d1e7a70.jpg?v=1785048100" TargetMode="External" Id="rId76"/><Relationship Type="http://schemas.openxmlformats.org/officeDocument/2006/relationships/hyperlink" Target="https://cdn.shopify.com/s/files/1/0792/5098/1063/files/d607df9d03ab43bb32f5dde50322687d1f020057aae015a34564a6cec5f538a4.jpg?v=1785048100" TargetMode="External" Id="rId77"/><Relationship Type="http://schemas.openxmlformats.org/officeDocument/2006/relationships/hyperlink" Target="https://cdn.shopify.com/s/files/1/0792/5098/1063/files/d607df9d03ab43bb32f5dde50322687d1f020057aae015a34564a6cec5f538a4.jpg?v=1785048100" TargetMode="External" Id="rId78"/><Relationship Type="http://schemas.openxmlformats.org/officeDocument/2006/relationships/hyperlink" Target="https://cdn.shopify.com/s/files/1/0792/5098/1063/files/44dfd17346b5c529f42f160eb40a79a4249454ee5f383b04a523415c56cab351.jpg?v=1785048100" TargetMode="External" Id="rId79"/><Relationship Type="http://schemas.openxmlformats.org/officeDocument/2006/relationships/hyperlink" Target="https://cdn.shopify.com/s/files/1/0792/5098/1063/files/44dfd17346b5c529f42f160eb40a79a4249454ee5f383b04a523415c56cab351.jpg?v=1785048100" TargetMode="External" Id="rId80"/><Relationship Type="http://schemas.openxmlformats.org/officeDocument/2006/relationships/hyperlink" Target="https://cdn.shopify.com/s/files/1/0792/5098/1063/files/30a8cd7dba0cb2b868cf66f9e32aba1ab3485c6d76e677c7846237415a76eac1.jpg?v=1785048100" TargetMode="External" Id="rId81"/><Relationship Type="http://schemas.openxmlformats.org/officeDocument/2006/relationships/hyperlink" Target="https://cdn.shopify.com/s/files/1/0792/5098/1063/files/30a8cd7dba0cb2b868cf66f9e32aba1ab3485c6d76e677c7846237415a76eac1.jpg?v=1785048100" TargetMode="External" Id="rId82"/><Relationship Type="http://schemas.openxmlformats.org/officeDocument/2006/relationships/hyperlink" Target="https://cdn.shopify.com/s/files/1/0792/5098/1063/files/309f9b67e4ad484fda0b2d320d0694ae9c04bfbd76758b06e3f3e56c94e4d6b9.jpg?v=1785048100" TargetMode="External" Id="rId83"/><Relationship Type="http://schemas.openxmlformats.org/officeDocument/2006/relationships/hyperlink" Target="https://cdn.shopify.com/s/files/1/0792/5098/1063/files/309f9b67e4ad484fda0b2d320d0694ae9c04bfbd76758b06e3f3e56c94e4d6b9.jpg?v=1785048100" TargetMode="External" Id="rId84"/><Relationship Type="http://schemas.openxmlformats.org/officeDocument/2006/relationships/hyperlink" Target="https://cdn.shopify.com/s/files/1/0792/5098/1063/files/f90a97ff95ddd2b9f72a9574d1cbaac64567b825c2fb12908e9762409552739a.jpg?v=1785048100" TargetMode="External" Id="rId85"/><Relationship Type="http://schemas.openxmlformats.org/officeDocument/2006/relationships/hyperlink" Target="https://cdn.shopify.com/s/files/1/0792/5098/1063/files/f90a97ff95ddd2b9f72a9574d1cbaac64567b825c2fb12908e9762409552739a.jpg?v=1785048100" TargetMode="External" Id="rId86"/><Relationship Type="http://schemas.openxmlformats.org/officeDocument/2006/relationships/hyperlink" Target="https://cdn.shopify.com/s/files/1/0792/5098/1063/files/798a81c889e1d749b31d13edf96aca3d142c5bf614c87ef95bf3200858f8f476.jpg?v=1785048200" TargetMode="External" Id="rId87"/><Relationship Type="http://schemas.openxmlformats.org/officeDocument/2006/relationships/hyperlink" Target="https://cdn.shopify.com/s/files/1/0792/5098/1063/files/798a81c889e1d749b31d13edf96aca3d142c5bf614c87ef95bf3200858f8f476.jpg?v=1785048200" TargetMode="External" Id="rId88"/><Relationship Type="http://schemas.openxmlformats.org/officeDocument/2006/relationships/hyperlink" Target="https://cdn.shopify.com/s/files/1/0792/5098/1063/files/7a302fd3bb6bd550149fb5e2c6b9c12cf6c3c825a2a5e441fd09ff9af580bc94.jpg?v=1785048200" TargetMode="External" Id="rId89"/><Relationship Type="http://schemas.openxmlformats.org/officeDocument/2006/relationships/hyperlink" Target="https://cdn.shopify.com/s/files/1/0792/5098/1063/files/7a302fd3bb6bd550149fb5e2c6b9c12cf6c3c825a2a5e441fd09ff9af580bc94.jpg?v=1785048200" TargetMode="External" Id="rId90"/><Relationship Type="http://schemas.openxmlformats.org/officeDocument/2006/relationships/hyperlink" Target="https://cdn.shopify.com/s/files/1/0792/5098/1063/files/e119e7d83c961b5ec27390d9ce5990d4b3b995f047f68bf20d0bca7cb65fa083.jpg?v=1785048200" TargetMode="External" Id="rId91"/><Relationship Type="http://schemas.openxmlformats.org/officeDocument/2006/relationships/hyperlink" Target="https://cdn.shopify.com/s/files/1/0792/5098/1063/files/e119e7d83c961b5ec27390d9ce5990d4b3b995f047f68bf20d0bca7cb65fa083.jpg?v=1785048200" TargetMode="External" Id="rId92"/><Relationship Type="http://schemas.openxmlformats.org/officeDocument/2006/relationships/hyperlink" Target="https://cdn.shopify.com/s/files/1/0792/5098/1063/files/8e7b8fcedcaadd855f15b9a79786ec41649be26555fe6ce411675624bf265349.jpg?v=1785048200" TargetMode="External" Id="rId93"/><Relationship Type="http://schemas.openxmlformats.org/officeDocument/2006/relationships/hyperlink" Target="https://cdn.shopify.com/s/files/1/0792/5098/1063/files/8e7b8fcedcaadd855f15b9a79786ec41649be26555fe6ce411675624bf265349.jpg?v=1785048200" TargetMode="External" Id="rId94"/><Relationship Type="http://schemas.openxmlformats.org/officeDocument/2006/relationships/hyperlink" Target="https://cdn.shopify.com/s/files/1/0792/5098/1063/files/507709d9a6d000f791c9cf1d9144844201bfa266c26d05f19f5201b0d05bc6fe.jpg?v=1785048200" TargetMode="External" Id="rId95"/><Relationship Type="http://schemas.openxmlformats.org/officeDocument/2006/relationships/hyperlink" Target="https://cdn.shopify.com/s/files/1/0792/5098/1063/files/507709d9a6d000f791c9cf1d9144844201bfa266c26d05f19f5201b0d05bc6fe.jpg?v=1785048200" TargetMode="External" Id="rId96"/><Relationship Type="http://schemas.openxmlformats.org/officeDocument/2006/relationships/hyperlink" Target="https://cdn.shopify.com/s/files/1/0792/5098/1063/files/817b647d03c93e3e6fb1dd0934966a4985f303729ce84cdbd16ee88ce56bef78.jpg?v=1785048200" TargetMode="External" Id="rId97"/><Relationship Type="http://schemas.openxmlformats.org/officeDocument/2006/relationships/hyperlink" Target="https://cdn.shopify.com/s/files/1/0792/5098/1063/files/817b647d03c93e3e6fb1dd0934966a4985f303729ce84cdbd16ee88ce56bef78.jpg?v=1785048200" TargetMode="External" Id="rId98"/><Relationship Type="http://schemas.openxmlformats.org/officeDocument/2006/relationships/hyperlink" Target="https://cdn.shopify.com/s/files/1/0792/5098/1063/files/f3ed1109477d53115fa4621f093e5714a932ab7c571fc4bbe5f7edb2915a0e7f.jpg?v=1785048200" TargetMode="External" Id="rId99"/><Relationship Type="http://schemas.openxmlformats.org/officeDocument/2006/relationships/hyperlink" Target="https://cdn.shopify.com/s/files/1/0792/5098/1063/files/f3ed1109477d53115fa4621f093e5714a932ab7c571fc4bbe5f7edb2915a0e7f.jpg?v=1785048200" TargetMode="External" Id="rId100"/><Relationship Type="http://schemas.openxmlformats.org/officeDocument/2006/relationships/hyperlink" Target="https://cdn.shopify.com/s/files/1/0792/5098/1063/files/b1b911d16262f2f4d5f58d82a3bc311cb733430b228184a2d50827d04d25ba3a.jpg?v=1785104315" TargetMode="External" Id="rId101"/><Relationship Type="http://schemas.openxmlformats.org/officeDocument/2006/relationships/hyperlink" Target="https://cdn.shopify.com/s/files/1/0792/5098/1063/files/b1b911d16262f2f4d5f58d82a3bc311cb733430b228184a2d50827d04d25ba3a.jpg?v=1785104315" TargetMode="External" Id="rId102"/><Relationship Type="http://schemas.openxmlformats.org/officeDocument/2006/relationships/hyperlink" Target="https://cdn.shopify.com/s/files/1/0792/5098/1063/files/aea493d326881f985c274017aa4d787fc3198c4a93005fd28a7b9175949842ae.jpg?v=1785104315" TargetMode="External" Id="rId103"/><Relationship Type="http://schemas.openxmlformats.org/officeDocument/2006/relationships/hyperlink" Target="https://cdn.shopify.com/s/files/1/0792/5098/1063/files/aea493d326881f985c274017aa4d787fc3198c4a93005fd28a7b9175949842ae.jpg?v=1785104315" TargetMode="External" Id="rId104"/><Relationship Type="http://schemas.openxmlformats.org/officeDocument/2006/relationships/hyperlink" Target="https://cdn.shopify.com/s/files/1/0792/5098/1063/files/74ac6bf2213987fad5a0622aeaeb5f00250e26bca0416df3156033f7e217d942.jpg?v=1785104315" TargetMode="External" Id="rId105"/><Relationship Type="http://schemas.openxmlformats.org/officeDocument/2006/relationships/hyperlink" Target="https://cdn.shopify.com/s/files/1/0792/5098/1063/files/74ac6bf2213987fad5a0622aeaeb5f00250e26bca0416df3156033f7e217d942.jpg?v=1785104315" TargetMode="External" Id="rId106"/><Relationship Type="http://schemas.openxmlformats.org/officeDocument/2006/relationships/hyperlink" Target="https://cdn.shopify.com/s/files/1/0792/5098/1063/files/3c6827f62e2c660e81b5acc82ed0d45027ddc6ecc476c1cde6c158d592d04286.jpg?v=1785104315" TargetMode="External" Id="rId107"/><Relationship Type="http://schemas.openxmlformats.org/officeDocument/2006/relationships/hyperlink" Target="https://cdn.shopify.com/s/files/1/0792/5098/1063/files/3c6827f62e2c660e81b5acc82ed0d45027ddc6ecc476c1cde6c158d592d04286.jpg?v=1785104315" TargetMode="External" Id="rId108"/><Relationship Type="http://schemas.openxmlformats.org/officeDocument/2006/relationships/hyperlink" Target="https://cdn.shopify.com/s/files/1/0792/5098/1063/files/846cdde0cd682d67c72c79089309b9e5a8cb14e718ba954a1cf478bbe0e7d820.jpg?v=1785104315" TargetMode="External" Id="rId109"/><Relationship Type="http://schemas.openxmlformats.org/officeDocument/2006/relationships/hyperlink" Target="https://cdn.shopify.com/s/files/1/0792/5098/1063/files/846cdde0cd682d67c72c79089309b9e5a8cb14e718ba954a1cf478bbe0e7d820.jpg?v=1785104315" TargetMode="External" Id="rId110"/><Relationship Type="http://schemas.openxmlformats.org/officeDocument/2006/relationships/hyperlink" Target="https://cdn.shopify.com/s/files/1/0792/5098/1063/files/1fda4ea1711255273f5050831509d211b732efb347d49064029e532e390d5295.jpg?v=1785104315" TargetMode="External" Id="rId111"/><Relationship Type="http://schemas.openxmlformats.org/officeDocument/2006/relationships/hyperlink" Target="https://cdn.shopify.com/s/files/1/0792/5098/1063/files/1fda4ea1711255273f5050831509d211b732efb347d49064029e532e390d5295.jpg?v=1785104315" TargetMode="External" Id="rId112"/><Relationship Type="http://schemas.openxmlformats.org/officeDocument/2006/relationships/hyperlink" Target="https://cdn.shopify.com/s/files/1/0792/5098/1063/files/6988ae810d8150eb879a48887a436eab71c4b59aed7552da487422013996d01c.jpg?v=1785104315" TargetMode="External" Id="rId113"/><Relationship Type="http://schemas.openxmlformats.org/officeDocument/2006/relationships/hyperlink" Target="https://cdn.shopify.com/s/files/1/0792/5098/1063/files/6988ae810d8150eb879a48887a436eab71c4b59aed7552da487422013996d01c.jpg?v=1785104315" TargetMode="External" Id="rId114"/><Relationship Type="http://schemas.openxmlformats.org/officeDocument/2006/relationships/hyperlink" Target="https://cdn.shopify.com/s/files/1/0792/5098/1063/files/3f718bdd4d315ac875d9f66959aa006f075499da406f0e6f240382c391d54699.jpg?v=1785104490" TargetMode="External" Id="rId115"/><Relationship Type="http://schemas.openxmlformats.org/officeDocument/2006/relationships/hyperlink" Target="https://cdn.shopify.com/s/files/1/0792/5098/1063/files/3f718bdd4d315ac875d9f66959aa006f075499da406f0e6f240382c391d54699.jpg?v=1785104490" TargetMode="External" Id="rId116"/><Relationship Type="http://schemas.openxmlformats.org/officeDocument/2006/relationships/hyperlink" Target="https://cdn.shopify.com/s/files/1/0792/5098/1063/files/ae079ad3e528091618f9ffa2be05f4128d7bcea3a37a72754d1d4ada8566ba41.jpg?v=1785104489" TargetMode="External" Id="rId117"/><Relationship Type="http://schemas.openxmlformats.org/officeDocument/2006/relationships/hyperlink" Target="https://cdn.shopify.com/s/files/1/0792/5098/1063/files/ae079ad3e528091618f9ffa2be05f4128d7bcea3a37a72754d1d4ada8566ba41.jpg?v=1785104489" TargetMode="External" Id="rId118"/><Relationship Type="http://schemas.openxmlformats.org/officeDocument/2006/relationships/hyperlink" Target="https://cdn.shopify.com/s/files/1/0792/5098/1063/files/f5c9b9fda7e835ec5bfddf2cec5fb9153b091b79c93395b7c3696750d1d33e3a.jpg?v=1785104490" TargetMode="External" Id="rId119"/><Relationship Type="http://schemas.openxmlformats.org/officeDocument/2006/relationships/hyperlink" Target="https://cdn.shopify.com/s/files/1/0792/5098/1063/files/f5c9b9fda7e835ec5bfddf2cec5fb9153b091b79c93395b7c3696750d1d33e3a.jpg?v=1785104490" TargetMode="External" Id="rId120"/><Relationship Type="http://schemas.openxmlformats.org/officeDocument/2006/relationships/hyperlink" Target="https://cdn.shopify.com/s/files/1/0792/5098/1063/files/ea7b12476302e9fa633afc749f0f46ace58d6c340fce0aba0ebc13bdcafc4239.jpg?v=1785104490" TargetMode="External" Id="rId121"/><Relationship Type="http://schemas.openxmlformats.org/officeDocument/2006/relationships/hyperlink" Target="https://cdn.shopify.com/s/files/1/0792/5098/1063/files/ea7b12476302e9fa633afc749f0f46ace58d6c340fce0aba0ebc13bdcafc4239.jpg?v=1785104490" TargetMode="External" Id="rId122"/><Relationship Type="http://schemas.openxmlformats.org/officeDocument/2006/relationships/hyperlink" Target="https://cdn.shopify.com/s/files/1/0792/5098/1063/files/83456b776c4fa7ff7e20b9f368f7ce8e2fd5fbfd197b7020627d448a4e21aa26.jpg?v=1785104490" TargetMode="External" Id="rId123"/><Relationship Type="http://schemas.openxmlformats.org/officeDocument/2006/relationships/hyperlink" Target="https://cdn.shopify.com/s/files/1/0792/5098/1063/files/83456b776c4fa7ff7e20b9f368f7ce8e2fd5fbfd197b7020627d448a4e21aa26.jpg?v=1785104490" TargetMode="External" Id="rId124"/><Relationship Type="http://schemas.openxmlformats.org/officeDocument/2006/relationships/hyperlink" Target="https://cdn.shopify.com/s/files/1/0792/5098/1063/files/3eddbfeb0c2ebcaee7986a55e68d89beb9794abf314212c39ec30029449da4c9.jpg?v=1785104490" TargetMode="External" Id="rId125"/><Relationship Type="http://schemas.openxmlformats.org/officeDocument/2006/relationships/hyperlink" Target="https://cdn.shopify.com/s/files/1/0792/5098/1063/files/3eddbfeb0c2ebcaee7986a55e68d89beb9794abf314212c39ec30029449da4c9.jpg?v=1785104490" TargetMode="External" Id="rId126"/><Relationship Type="http://schemas.openxmlformats.org/officeDocument/2006/relationships/hyperlink" Target="https://cdn.shopify.com/s/files/1/0792/5098/1063/files/dfef77fcfcbafcb74510331e994f52a9cd3c1a80e1a1c4c630e47d567925837e.jpg?v=1785104490" TargetMode="External" Id="rId127"/><Relationship Type="http://schemas.openxmlformats.org/officeDocument/2006/relationships/hyperlink" Target="https://cdn.shopify.com/s/files/1/0792/5098/1063/files/dfef77fcfcbafcb74510331e994f52a9cd3c1a80e1a1c4c630e47d567925837e.jpg?v=1785104490" TargetMode="External" Id="rId128"/><Relationship Type="http://schemas.openxmlformats.org/officeDocument/2006/relationships/hyperlink" Target="https://cdn.shopify.com/s/files/1/0792/5098/1063/files/a411a3b6e5e3e9af3994df0d9e51e3c8fb2923ca82d9e850380c0c58557e6aea.jpg?v=1785104615" TargetMode="External" Id="rId129"/><Relationship Type="http://schemas.openxmlformats.org/officeDocument/2006/relationships/hyperlink" Target="https://cdn.shopify.com/s/files/1/0792/5098/1063/files/a411a3b6e5e3e9af3994df0d9e51e3c8fb2923ca82d9e850380c0c58557e6aea.jpg?v=1785104615" TargetMode="External" Id="rId130"/><Relationship Type="http://schemas.openxmlformats.org/officeDocument/2006/relationships/hyperlink" Target="https://cdn.shopify.com/s/files/1/0792/5098/1063/files/dfa2923265bb08ffab7bccf84263f13ce2b0b88810891d41840bf8c0f065830b.jpg?v=1785104615" TargetMode="External" Id="rId131"/><Relationship Type="http://schemas.openxmlformats.org/officeDocument/2006/relationships/hyperlink" Target="https://cdn.shopify.com/s/files/1/0792/5098/1063/files/dfa2923265bb08ffab7bccf84263f13ce2b0b88810891d41840bf8c0f065830b.jpg?v=1785104615" TargetMode="External" Id="rId132"/><Relationship Type="http://schemas.openxmlformats.org/officeDocument/2006/relationships/hyperlink" Target="https://cdn.shopify.com/s/files/1/0792/5098/1063/files/222310bc640faa9852d2b5196cb0a586fcdfbb201d6b5a6cb98ecae72afcb8ef.jpg?v=1785104615" TargetMode="External" Id="rId133"/><Relationship Type="http://schemas.openxmlformats.org/officeDocument/2006/relationships/hyperlink" Target="https://cdn.shopify.com/s/files/1/0792/5098/1063/files/222310bc640faa9852d2b5196cb0a586fcdfbb201d6b5a6cb98ecae72afcb8ef.jpg?v=1785104615" TargetMode="External" Id="rId134"/><Relationship Type="http://schemas.openxmlformats.org/officeDocument/2006/relationships/hyperlink" Target="https://cdn.shopify.com/s/files/1/0792/5098/1063/files/7deaae48f1d6a894247cf6582b49be832d9f6f7f3a38fe997871377fb2261e0d.jpg?v=1785104615" TargetMode="External" Id="rId135"/><Relationship Type="http://schemas.openxmlformats.org/officeDocument/2006/relationships/hyperlink" Target="https://cdn.shopify.com/s/files/1/0792/5098/1063/files/7deaae48f1d6a894247cf6582b49be832d9f6f7f3a38fe997871377fb2261e0d.jpg?v=1785104615" TargetMode="External" Id="rId136"/><Relationship Type="http://schemas.openxmlformats.org/officeDocument/2006/relationships/hyperlink" Target="https://cdn.shopify.com/s/files/1/0792/5098/1063/files/a7ef849ac8113acb36df953884078061acf346282a7adf13818dd25cbb11df48.jpg?v=1785104615" TargetMode="External" Id="rId137"/><Relationship Type="http://schemas.openxmlformats.org/officeDocument/2006/relationships/hyperlink" Target="https://cdn.shopify.com/s/files/1/0792/5098/1063/files/a7ef849ac8113acb36df953884078061acf346282a7adf13818dd25cbb11df48.jpg?v=1785104615" TargetMode="External" Id="rId138"/><Relationship Type="http://schemas.openxmlformats.org/officeDocument/2006/relationships/hyperlink" Target="https://cdn.shopify.com/s/files/1/0792/5098/1063/files/b4731ea28a666e82b883a0ae4f93a2e419ea253451c0f86b9d2749f171fb3e78.jpg?v=1785104615" TargetMode="External" Id="rId139"/><Relationship Type="http://schemas.openxmlformats.org/officeDocument/2006/relationships/hyperlink" Target="https://cdn.shopify.com/s/files/1/0792/5098/1063/files/b4731ea28a666e82b883a0ae4f93a2e419ea253451c0f86b9d2749f171fb3e78.jpg?v=1785104615" TargetMode="External" Id="rId140"/><Relationship Type="http://schemas.openxmlformats.org/officeDocument/2006/relationships/hyperlink" Target="https://cdn.shopify.com/s/files/1/0792/5098/1063/files/54306d900544cdc264bc1bafbaabbdb0386d11b51224733bdf7f6718e0c9fc46.jpg?v=1785104615" TargetMode="External" Id="rId141"/><Relationship Type="http://schemas.openxmlformats.org/officeDocument/2006/relationships/hyperlink" Target="https://cdn.shopify.com/s/files/1/0792/5098/1063/files/54306d900544cdc264bc1bafbaabbdb0386d11b51224733bdf7f6718e0c9fc46.jpg?v=1785104615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shop_domain</t>
        </is>
      </c>
      <c r="B2" s="2" t="inlineStr">
        <is>
          <t>jeminise.com</t>
        </is>
      </c>
      <c r="C2" s="2" t="inlineStr">
        <is>
          <t>Shop being QAed.</t>
        </is>
      </c>
    </row>
    <row r="3" ht="42" customHeight="1">
      <c r="A3" s="3" t="inlineStr">
        <is>
          <t>source_run_id</t>
        </is>
      </c>
      <c r="B3" s="3" t="inlineStr">
        <is>
          <t>20260906_234129</t>
        </is>
      </c>
      <c r="C3" s="3" t="inlineStr">
        <is>
          <t>Original SEO drafting run.</t>
        </is>
      </c>
    </row>
    <row r="4" ht="42" customHeight="1">
      <c r="A4" s="2" t="inlineStr">
        <is>
          <t>qa_run_id</t>
        </is>
      </c>
      <c r="B4" s="2" t="inlineStr">
        <is>
          <t>20260907_210204</t>
        </is>
      </c>
      <c r="C4" s="2" t="inlineStr">
        <is>
          <t>QA run folder for this corrected rerun.</t>
        </is>
      </c>
    </row>
    <row r="5" ht="42" customHeight="1">
      <c r="A5" s="3" t="inlineStr">
        <is>
          <t>qa_batch_id</t>
        </is>
      </c>
      <c r="B5" s="3" t="inlineStr">
        <is>
          <t>qa_batch_016</t>
        </is>
      </c>
      <c r="C5" s="3" t="inlineStr">
        <is>
          <t>Batch being independently checked.</t>
        </is>
      </c>
    </row>
    <row r="6" ht="42" customHeight="1">
      <c r="A6" s="2" t="inlineStr">
        <is>
          <t>revision</t>
        </is>
      </c>
      <c r="B6" s="2" t="inlineStr">
        <is>
          <t>r1</t>
        </is>
      </c>
      <c r="C6" s="2" t="inlineStr">
        <is>
          <t>Initial independent QA revision for qa_batch_016.</t>
        </is>
      </c>
    </row>
    <row r="7" ht="42" customHeight="1">
      <c r="A7" s="3" t="inlineStr">
        <is>
          <t>source_workbook</t>
        </is>
      </c>
      <c r="B7" s="3" t="inlineStr">
        <is>
          <t>D:\Shopify_Workspace\jeminise_seo\resutls\jeminise.com\20260906_234129\batches\SEO_Product_Optimization_through_batch_016.xlsx</t>
        </is>
      </c>
      <c r="C7" s="3" t="inlineStr">
        <is>
          <t>Frozen workbook source path.</t>
        </is>
      </c>
    </row>
    <row r="8" ht="42" customHeight="1">
      <c r="A8" s="2" t="inlineStr">
        <is>
          <t>source_sha256</t>
        </is>
      </c>
      <c r="B8" s="2" t="inlineStr">
        <is>
          <t>16735BD1FE1D51206D00E8B326215ACC9305ADF149AFCF477CA059CA7E8A9087</t>
        </is>
      </c>
      <c r="C8" s="2" t="inlineStr">
        <is>
          <t>SHA-256 at freeze/final handoff time.</t>
        </is>
      </c>
    </row>
    <row r="9" ht="42" customHeight="1">
      <c r="A9" s="3" t="inlineStr">
        <is>
          <t>snapshot_sha256</t>
        </is>
      </c>
      <c r="B9" s="3" t="inlineStr">
        <is>
          <t>16735BD1FE1D51206D00E8B326215ACC9305ADF149AFCF477CA059CA7E8A9087</t>
        </is>
      </c>
      <c r="C9" s="3" t="inlineStr">
        <is>
          <t>SHA-256 of workbook copy in source_snapshot.</t>
        </is>
      </c>
    </row>
    <row r="10" ht="42" customHeight="1">
      <c r="A10" s="2" t="inlineStr">
        <is>
          <t>scope</t>
        </is>
      </c>
      <c r="B10" s="2" t="inlineStr">
        <is>
          <t>10 products, 71/71 images</t>
        </is>
      </c>
      <c r="C10" s="2" t="inlineStr">
        <is>
          <t>Batch scope and image coverage.</t>
        </is>
      </c>
    </row>
    <row r="11" ht="42" customHeight="1">
      <c r="A11" s="3" t="inlineStr">
        <is>
          <t>batch_final_score</t>
        </is>
      </c>
      <c r="B11" s="3">
        <f>AVERAGE('QA_Products'!$K$2:$K$11)</f>
        <v/>
      </c>
      <c r="C11" s="3" t="inlineStr">
        <is>
          <t>Formula-driven average final score in workbook.</t>
        </is>
      </c>
    </row>
    <row r="12" ht="42" customHeight="1">
      <c r="A12" s="2" t="inlineStr">
        <is>
          <t>batch_result</t>
        </is>
      </c>
      <c r="B12" s="2">
        <f>IF(COUNTIF('QA_Products'!$L$2:$L$11,"QA_PASS")=ROWS('QA_Products'!$L$2:$L$11),"PASSED","NOT_PASSED")</f>
        <v/>
      </c>
      <c r="C12" s="2" t="inlineStr">
        <is>
          <t>PASSED only if all products are QA_PASS.</t>
        </is>
      </c>
    </row>
    <row r="13" ht="42" customHeight="1">
      <c r="A13" s="3" t="inlineStr">
        <is>
          <t>status_counts</t>
        </is>
      </c>
      <c r="B13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3" s="3" t="inlineStr">
        <is>
          <t>Product QA status counts.</t>
        </is>
      </c>
    </row>
    <row r="14" ht="42" customHeight="1">
      <c r="A14" s="2" t="inlineStr">
        <is>
          <t>issue_counts</t>
        </is>
      </c>
      <c r="B14" s="2" t="inlineStr">
        <is>
          <t>CRITICAL=0; MAJOR=31; MINOR=61; LIMITATION=10</t>
        </is>
      </c>
      <c r="C14" s="2" t="inlineStr">
        <is>
          <t>Issue severity counts.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Do not QA next batch until user confirms.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151</v>
      </c>
      <c r="B2" s="2" t="inlineStr">
        <is>
          <t>jeminise.com+giraffe-patchwork-style-printed-quilt-animal-patchwork-bedding</t>
        </is>
      </c>
      <c r="C2" s="4" t="inlineStr">
        <is>
          <t>https://jeminise.com/products/giraffe-patchwork-style-printed-quilt-animal-patchwork-bedding</t>
        </is>
      </c>
      <c r="D2" s="2" t="inlineStr">
        <is>
          <t>giraffe-patchwork-style-printed-quilt-animal-patchwork-bedding</t>
        </is>
      </c>
      <c r="E2" s="2" t="inlineStr">
        <is>
          <t>8867094364359</t>
        </is>
      </c>
      <c r="F2" s="2" t="inlineStr">
        <is>
          <t>r1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7</v>
      </c>
      <c r="O2" s="2" t="n">
        <v>7</v>
      </c>
      <c r="P2" s="2" t="b">
        <v>1</v>
      </c>
      <c r="Q2" s="6" t="n">
        <v>1</v>
      </c>
      <c r="R2" s="2">
        <f>COUNTIFS('QA_Issues'!$B$2:$B$103,B2,'QA_Issues'!$D$2:$D$103,"CRITICAL")</f>
        <v/>
      </c>
      <c r="S2" s="2">
        <f>COUNTIFS('QA_Issues'!$B$2:$B$103,B2,'QA_Issues'!$D$2:$D$103,"MAJOR")</f>
        <v/>
      </c>
      <c r="T2" s="2">
        <f>COUNTIFS('QA_Issues'!$B$2:$B$103,B2,'QA_Issues'!$D$2:$D$103,"MINOR")</f>
        <v/>
      </c>
      <c r="U2" s="2">
        <f>COUNTIFS('QA_Issues'!$B$2:$B$103,B2,'QA_Issues'!$D$2:$D$103,"LIMITATION")</f>
        <v/>
      </c>
      <c r="V2" s="2" t="inlineStr">
        <is>
          <t>ISSUE-0001; ISSUE-0002; ISSUE-0003; ISSUE-0004; ISSUE-0005; ISSUE-0006; ISSUE-0007; ISSUE-0008; ISSUE-0009; ISSUE-0010</t>
        </is>
      </c>
      <c r="W2" s="2" t="inlineStr">
        <is>
          <t>evidence_batch_016_151; live_source_comparison; customizer_audit; serp_evidence</t>
        </is>
      </c>
    </row>
    <row r="3" ht="42" customHeight="1">
      <c r="A3" s="3" t="n">
        <v>152</v>
      </c>
      <c r="B3" s="3" t="inlineStr">
        <is>
          <t>jeminise.com+horse-patchwork-pattern-quilt-set-vintage-animal-quilt-printed</t>
        </is>
      </c>
      <c r="C3" s="4" t="inlineStr">
        <is>
          <t>https://jeminise.com/products/horse-patchwork-pattern-quilt-set-vintage-animal-quilt-printed</t>
        </is>
      </c>
      <c r="D3" s="3" t="inlineStr">
        <is>
          <t>horse-patchwork-pattern-quilt-set-vintage-animal-quilt-printed</t>
        </is>
      </c>
      <c r="E3" s="3" t="inlineStr">
        <is>
          <t>8867094626503</t>
        </is>
      </c>
      <c r="F3" s="3" t="inlineStr">
        <is>
          <t>r1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7</v>
      </c>
      <c r="O3" s="3" t="n">
        <v>7</v>
      </c>
      <c r="P3" s="3" t="b">
        <v>1</v>
      </c>
      <c r="Q3" s="8" t="n">
        <v>1</v>
      </c>
      <c r="R3" s="3">
        <f>COUNTIFS('QA_Issues'!$B$2:$B$103,B3,'QA_Issues'!$D$2:$D$103,"CRITICAL")</f>
        <v/>
      </c>
      <c r="S3" s="3">
        <f>COUNTIFS('QA_Issues'!$B$2:$B$103,B3,'QA_Issues'!$D$2:$D$103,"MAJOR")</f>
        <v/>
      </c>
      <c r="T3" s="3">
        <f>COUNTIFS('QA_Issues'!$B$2:$B$103,B3,'QA_Issues'!$D$2:$D$103,"MINOR")</f>
        <v/>
      </c>
      <c r="U3" s="3">
        <f>COUNTIFS('QA_Issues'!$B$2:$B$103,B3,'QA_Issues'!$D$2:$D$103,"LIMITATION")</f>
        <v/>
      </c>
      <c r="V3" s="3" t="inlineStr">
        <is>
          <t>ISSUE-0011; ISSUE-0012; ISSUE-0013; ISSUE-0014; ISSUE-0015; ISSUE-0016; ISSUE-0017; ISSUE-0018; ISSUE-0019; ISSUE-0020</t>
        </is>
      </c>
      <c r="W3" s="3" t="inlineStr">
        <is>
          <t>evidence_batch_016_152; live_source_comparison; customizer_audit; serp_evidence</t>
        </is>
      </c>
    </row>
    <row r="4" ht="42" customHeight="1">
      <c r="A4" s="2" t="n">
        <v>153</v>
      </c>
      <c r="B4" s="2" t="inlineStr">
        <is>
          <t>jeminise.com+horse-patchwork-pattern-quilt-animal-farmhouse-quilt-set-patchwork</t>
        </is>
      </c>
      <c r="C4" s="4" t="inlineStr">
        <is>
          <t>https://jeminise.com/products/horse-patchwork-pattern-quilt-animal-farmhouse-quilt-set-patchwork</t>
        </is>
      </c>
      <c r="D4" s="2" t="inlineStr">
        <is>
          <t>horse-patchwork-pattern-quilt-animal-farmhouse-quilt-set-patchwork</t>
        </is>
      </c>
      <c r="E4" s="2" t="inlineStr">
        <is>
          <t>8867095642311</t>
        </is>
      </c>
      <c r="F4" s="2" t="inlineStr">
        <is>
          <t>r1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COUNTIFS('QA_Issues'!$B$2:$B$103,B4,'QA_Issues'!$D$2:$D$103,"CRITICAL")</f>
        <v/>
      </c>
      <c r="S4" s="2">
        <f>COUNTIFS('QA_Issues'!$B$2:$B$103,B4,'QA_Issues'!$D$2:$D$103,"MAJOR")</f>
        <v/>
      </c>
      <c r="T4" s="2">
        <f>COUNTIFS('QA_Issues'!$B$2:$B$103,B4,'QA_Issues'!$D$2:$D$103,"MINOR")</f>
        <v/>
      </c>
      <c r="U4" s="2">
        <f>COUNTIFS('QA_Issues'!$B$2:$B$103,B4,'QA_Issues'!$D$2:$D$103,"LIMITATION")</f>
        <v/>
      </c>
      <c r="V4" s="2" t="inlineStr">
        <is>
          <t>ISSUE-0021; ISSUE-0022; ISSUE-0023; ISSUE-0024; ISSUE-0025; ISSUE-0026; ISSUE-0027; ISSUE-0028; ISSUE-0029; ISSUE-0030</t>
        </is>
      </c>
      <c r="W4" s="2" t="inlineStr">
        <is>
          <t>evidence_batch_016_153; live_source_comparison; customizer_audit; serp_evidence</t>
        </is>
      </c>
    </row>
    <row r="5" ht="42" customHeight="1">
      <c r="A5" s="3" t="n">
        <v>154</v>
      </c>
      <c r="B5" s="3" t="inlineStr">
        <is>
          <t>jeminise.com+i-am-who-he-says-i-am-christian-scripture-blanket-inspirational</t>
        </is>
      </c>
      <c r="C5" s="4" t="inlineStr">
        <is>
          <t>https://jeminise.com/products/i-am-who-he-says-i-am-christian-scripture-blanket-inspirational</t>
        </is>
      </c>
      <c r="D5" s="3" t="inlineStr">
        <is>
          <t>i-am-who-he-says-i-am-christian-scripture-blanket-inspirational</t>
        </is>
      </c>
      <c r="E5" s="3" t="inlineStr">
        <is>
          <t>8860132835527</t>
        </is>
      </c>
      <c r="F5" s="3" t="inlineStr">
        <is>
          <t>r1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8</v>
      </c>
      <c r="O5" s="3" t="n">
        <v>8</v>
      </c>
      <c r="P5" s="3" t="b">
        <v>1</v>
      </c>
      <c r="Q5" s="8" t="n">
        <v>1</v>
      </c>
      <c r="R5" s="3">
        <f>COUNTIFS('QA_Issues'!$B$2:$B$103,B5,'QA_Issues'!$D$2:$D$103,"CRITICAL")</f>
        <v/>
      </c>
      <c r="S5" s="3">
        <f>COUNTIFS('QA_Issues'!$B$2:$B$103,B5,'QA_Issues'!$D$2:$D$103,"MAJOR")</f>
        <v/>
      </c>
      <c r="T5" s="3">
        <f>COUNTIFS('QA_Issues'!$B$2:$B$103,B5,'QA_Issues'!$D$2:$D$103,"MINOR")</f>
        <v/>
      </c>
      <c r="U5" s="3">
        <f>COUNTIFS('QA_Issues'!$B$2:$B$103,B5,'QA_Issues'!$D$2:$D$103,"LIMITATION")</f>
        <v/>
      </c>
      <c r="V5" s="3" t="inlineStr">
        <is>
          <t>ISSUE-0031; ISSUE-0032; ISSUE-0033; ISSUE-0034; ISSUE-0035; ISSUE-0036; ISSUE-0037; ISSUE-0038; ISSUE-0039; ISSUE-0040; ISSUE-0041; ISSUE-0042</t>
        </is>
      </c>
      <c r="W5" s="3" t="inlineStr">
        <is>
          <t>evidence_batch_016_154; live_source_comparison; customizer_audit; serp_evidence</t>
        </is>
      </c>
    </row>
    <row r="6" ht="42" customHeight="1">
      <c r="A6" s="2" t="n">
        <v>155</v>
      </c>
      <c r="B6" s="2" t="inlineStr">
        <is>
          <t>jeminise.com+nature-and-mythology-tree-of-life-quilt-set-with-twisted-tree-trunk-ceb2e637d5-ceb2e637d5</t>
        </is>
      </c>
      <c r="C6" s="4" t="inlineStr">
        <is>
          <t>https://jeminise.com/products/nature-and-mythology-tree-of-life-quilt-set-with-twisted-tree-trunk-ceb2e637d5-ceb2e637d5</t>
        </is>
      </c>
      <c r="D6" s="2" t="inlineStr">
        <is>
          <t>nature-and-mythology-tree-of-life-quilt-set-with-twisted-tree-trunk-ceb2e637d5-ceb2e637d5</t>
        </is>
      </c>
      <c r="E6" s="2" t="inlineStr">
        <is>
          <t>8833343815879</t>
        </is>
      </c>
      <c r="F6" s="2" t="inlineStr">
        <is>
          <t>r1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COUNTIFS('QA_Issues'!$B$2:$B$103,B6,'QA_Issues'!$D$2:$D$103,"CRITICAL")</f>
        <v/>
      </c>
      <c r="S6" s="2">
        <f>COUNTIFS('QA_Issues'!$B$2:$B$103,B6,'QA_Issues'!$D$2:$D$103,"MAJOR")</f>
        <v/>
      </c>
      <c r="T6" s="2">
        <f>COUNTIFS('QA_Issues'!$B$2:$B$103,B6,'QA_Issues'!$D$2:$D$103,"MINOR")</f>
        <v/>
      </c>
      <c r="U6" s="2">
        <f>COUNTIFS('QA_Issues'!$B$2:$B$103,B6,'QA_Issues'!$D$2:$D$103,"LIMITATION")</f>
        <v/>
      </c>
      <c r="V6" s="2" t="inlineStr">
        <is>
          <t>ISSUE-0043; ISSUE-0044; ISSUE-0045; ISSUE-0046; ISSUE-0047; ISSUE-0048; ISSUE-0049; ISSUE-0050; ISSUE-0051; ISSUE-0052</t>
        </is>
      </c>
      <c r="W6" s="2" t="inlineStr">
        <is>
          <t>evidence_batch_016_155; live_source_comparison; customizer_audit; serp_evidence</t>
        </is>
      </c>
    </row>
    <row r="7" ht="42" customHeight="1">
      <c r="A7" s="3" t="n">
        <v>156</v>
      </c>
      <c r="B7" s="3" t="inlineStr">
        <is>
          <t>jeminise.com+nature-tree-of-life-quilt-set-with-blooming-tree-and-bedroom-and-exposed-roots-d5450715a6-d5450715a6</t>
        </is>
      </c>
      <c r="C7" s="4" t="inlineStr">
        <is>
          <t>https://jeminise.com/products/nature-tree-of-life-quilt-set-with-blooming-tree-and-bedroom-and-exposed-roots-d5450715a6-d5450715a6</t>
        </is>
      </c>
      <c r="D7" s="3" t="inlineStr">
        <is>
          <t>nature-tree-of-life-quilt-set-with-blooming-tree-and-bedroom-and-exposed-roots-d5450715a6-d5450715a6</t>
        </is>
      </c>
      <c r="E7" s="3" t="inlineStr">
        <is>
          <t>8833359675591</t>
        </is>
      </c>
      <c r="F7" s="3" t="inlineStr">
        <is>
          <t>r1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7</v>
      </c>
      <c r="O7" s="3" t="n">
        <v>7</v>
      </c>
      <c r="P7" s="3" t="b">
        <v>1</v>
      </c>
      <c r="Q7" s="8" t="n">
        <v>1</v>
      </c>
      <c r="R7" s="3">
        <f>COUNTIFS('QA_Issues'!$B$2:$B$103,B7,'QA_Issues'!$D$2:$D$103,"CRITICAL")</f>
        <v/>
      </c>
      <c r="S7" s="3">
        <f>COUNTIFS('QA_Issues'!$B$2:$B$103,B7,'QA_Issues'!$D$2:$D$103,"MAJOR")</f>
        <v/>
      </c>
      <c r="T7" s="3">
        <f>COUNTIFS('QA_Issues'!$B$2:$B$103,B7,'QA_Issues'!$D$2:$D$103,"MINOR")</f>
        <v/>
      </c>
      <c r="U7" s="3">
        <f>COUNTIFS('QA_Issues'!$B$2:$B$103,B7,'QA_Issues'!$D$2:$D$103,"LIMITATION")</f>
        <v/>
      </c>
      <c r="V7" s="3" t="inlineStr">
        <is>
          <t>ISSUE-0053; ISSUE-0054; ISSUE-0055; ISSUE-0056; ISSUE-0057; ISSUE-0058; ISSUE-0059; ISSUE-0060; ISSUE-0061; ISSUE-0062</t>
        </is>
      </c>
      <c r="W7" s="3" t="inlineStr">
        <is>
          <t>evidence_batch_016_156; live_source_comparison; customizer_audit; serp_evidence</t>
        </is>
      </c>
    </row>
    <row r="8" ht="42" customHeight="1">
      <c r="A8" s="2" t="n">
        <v>157</v>
      </c>
      <c r="B8" s="2" t="inlineStr">
        <is>
          <t>jeminise.com+nature-tree-of-life-quilt-set-with-stained-glass-pattern-and-bedroom-2eedde5b65-2eedde5b65</t>
        </is>
      </c>
      <c r="C8" s="4" t="inlineStr">
        <is>
          <t>https://jeminise.com/products/nature-tree-of-life-quilt-set-with-stained-glass-pattern-and-bedroom-2eedde5b65-2eedde5b65</t>
        </is>
      </c>
      <c r="D8" s="2" t="inlineStr">
        <is>
          <t>nature-tree-of-life-quilt-set-with-stained-glass-pattern-and-bedroom-2eedde5b65-2eedde5b65</t>
        </is>
      </c>
      <c r="E8" s="2" t="inlineStr">
        <is>
          <t>8833360691399</t>
        </is>
      </c>
      <c r="F8" s="2" t="inlineStr">
        <is>
          <t>r1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7</v>
      </c>
      <c r="O8" s="2" t="n">
        <v>7</v>
      </c>
      <c r="P8" s="2" t="b">
        <v>1</v>
      </c>
      <c r="Q8" s="6" t="n">
        <v>1</v>
      </c>
      <c r="R8" s="2">
        <f>COUNTIFS('QA_Issues'!$B$2:$B$103,B8,'QA_Issues'!$D$2:$D$103,"CRITICAL")</f>
        <v/>
      </c>
      <c r="S8" s="2">
        <f>COUNTIFS('QA_Issues'!$B$2:$B$103,B8,'QA_Issues'!$D$2:$D$103,"MAJOR")</f>
        <v/>
      </c>
      <c r="T8" s="2">
        <f>COUNTIFS('QA_Issues'!$B$2:$B$103,B8,'QA_Issues'!$D$2:$D$103,"MINOR")</f>
        <v/>
      </c>
      <c r="U8" s="2">
        <f>COUNTIFS('QA_Issues'!$B$2:$B$103,B8,'QA_Issues'!$D$2:$D$103,"LIMITATION")</f>
        <v/>
      </c>
      <c r="V8" s="2" t="inlineStr">
        <is>
          <t>ISSUE-0063; ISSUE-0064; ISSUE-0065; ISSUE-0066; ISSUE-0067; ISSUE-0068; ISSUE-0069; ISSUE-0070; ISSUE-0071; ISSUE-0072</t>
        </is>
      </c>
      <c r="W8" s="2" t="inlineStr">
        <is>
          <t>evidence_batch_016_157; live_source_comparison; customizer_audit; serp_evidence</t>
        </is>
      </c>
    </row>
    <row r="9" ht="42" customHeight="1">
      <c r="A9" s="3" t="n">
        <v>158</v>
      </c>
      <c r="B9" s="3" t="inlineStr">
        <is>
          <t>jeminise.com+norse-mythology-mjolnir-with-skull-within-circular-celtic-quilt-621115581a-621115581a</t>
        </is>
      </c>
      <c r="C9" s="4" t="inlineStr">
        <is>
          <t>https://jeminise.com/products/norse-mythology-mjolnir-with-skull-within-circular-celtic-quilt-621115581a-621115581a</t>
        </is>
      </c>
      <c r="D9" s="3" t="inlineStr">
        <is>
          <t>norse-mythology-mjolnir-with-skull-within-circular-celtic-quilt-621115581a-621115581a</t>
        </is>
      </c>
      <c r="E9" s="3" t="inlineStr">
        <is>
          <t>8834805203143</t>
        </is>
      </c>
      <c r="F9" s="3" t="inlineStr">
        <is>
          <t>r1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7</v>
      </c>
      <c r="O9" s="3" t="n">
        <v>7</v>
      </c>
      <c r="P9" s="3" t="b">
        <v>1</v>
      </c>
      <c r="Q9" s="8" t="n">
        <v>1</v>
      </c>
      <c r="R9" s="3">
        <f>COUNTIFS('QA_Issues'!$B$2:$B$103,B9,'QA_Issues'!$D$2:$D$103,"CRITICAL")</f>
        <v/>
      </c>
      <c r="S9" s="3">
        <f>COUNTIFS('QA_Issues'!$B$2:$B$103,B9,'QA_Issues'!$D$2:$D$103,"MAJOR")</f>
        <v/>
      </c>
      <c r="T9" s="3">
        <f>COUNTIFS('QA_Issues'!$B$2:$B$103,B9,'QA_Issues'!$D$2:$D$103,"MINOR")</f>
        <v/>
      </c>
      <c r="U9" s="3">
        <f>COUNTIFS('QA_Issues'!$B$2:$B$103,B9,'QA_Issues'!$D$2:$D$103,"LIMITATION")</f>
        <v/>
      </c>
      <c r="V9" s="3" t="inlineStr">
        <is>
          <t>ISSUE-0073; ISSUE-0074; ISSUE-0075; ISSUE-0076; ISSUE-0077; ISSUE-0078; ISSUE-0079; ISSUE-0080; ISSUE-0081; ISSUE-0082</t>
        </is>
      </c>
      <c r="W9" s="3" t="inlineStr">
        <is>
          <t>evidence_batch_016_158; live_source_comparison; customizer_audit; serp_evidence</t>
        </is>
      </c>
    </row>
    <row r="10" ht="42" customHeight="1">
      <c r="A10" s="2" t="n">
        <v>159</v>
      </c>
      <c r="B10" s="2" t="inlineStr">
        <is>
          <t>jeminise.com+norse-mythology-quilt-with-ravens-b8220cc38c-b8220cc38c</t>
        </is>
      </c>
      <c r="C10" s="4" t="inlineStr">
        <is>
          <t>https://jeminise.com/products/norse-mythology-quilt-with-ravens-b8220cc38c-b8220cc38c</t>
        </is>
      </c>
      <c r="D10" s="2" t="inlineStr">
        <is>
          <t>norse-mythology-quilt-with-ravens-b8220cc38c-b8220cc38c</t>
        </is>
      </c>
      <c r="E10" s="2" t="inlineStr">
        <is>
          <t>8834807234759</t>
        </is>
      </c>
      <c r="F10" s="2" t="inlineStr">
        <is>
          <t>r1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7</v>
      </c>
      <c r="O10" s="2" t="n">
        <v>7</v>
      </c>
      <c r="P10" s="2" t="b">
        <v>1</v>
      </c>
      <c r="Q10" s="6" t="n">
        <v>1</v>
      </c>
      <c r="R10" s="2">
        <f>COUNTIFS('QA_Issues'!$B$2:$B$103,B10,'QA_Issues'!$D$2:$D$103,"CRITICAL")</f>
        <v/>
      </c>
      <c r="S10" s="2">
        <f>COUNTIFS('QA_Issues'!$B$2:$B$103,B10,'QA_Issues'!$D$2:$D$103,"MAJOR")</f>
        <v/>
      </c>
      <c r="T10" s="2">
        <f>COUNTIFS('QA_Issues'!$B$2:$B$103,B10,'QA_Issues'!$D$2:$D$103,"MINOR")</f>
        <v/>
      </c>
      <c r="U10" s="2">
        <f>COUNTIFS('QA_Issues'!$B$2:$B$103,B10,'QA_Issues'!$D$2:$D$103,"LIMITATION")</f>
        <v/>
      </c>
      <c r="V10" s="2" t="inlineStr">
        <is>
          <t>ISSUE-0083; ISSUE-0084; ISSUE-0085; ISSUE-0086; ISSUE-0087; ISSUE-0088; ISSUE-0089; ISSUE-0090; ISSUE-0091; ISSUE-0092</t>
        </is>
      </c>
      <c r="W10" s="2" t="inlineStr">
        <is>
          <t>evidence_batch_016_159; live_source_comparison; customizer_audit; serp_evidence</t>
        </is>
      </c>
    </row>
    <row r="11" ht="42" customHeight="1">
      <c r="A11" s="3" t="n">
        <v>160</v>
      </c>
      <c r="B11" s="3" t="inlineStr">
        <is>
          <t>jeminise.com+norse-mythology-raven-centered-within-runic-circle-comforter-ab76500bc1-ab76500bc1</t>
        </is>
      </c>
      <c r="C11" s="4" t="inlineStr">
        <is>
          <t>https://jeminise.com/products/norse-mythology-raven-centered-within-runic-circle-comforter-ab76500bc1-ab76500bc1</t>
        </is>
      </c>
      <c r="D11" s="3" t="inlineStr">
        <is>
          <t>norse-mythology-raven-centered-within-runic-circle-comforter-ab76500bc1-ab76500bc1</t>
        </is>
      </c>
      <c r="E11" s="3" t="inlineStr">
        <is>
          <t>8834809528519</t>
        </is>
      </c>
      <c r="F11" s="3" t="inlineStr">
        <is>
          <t>r1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7</v>
      </c>
      <c r="O11" s="3" t="n">
        <v>7</v>
      </c>
      <c r="P11" s="3" t="b">
        <v>1</v>
      </c>
      <c r="Q11" s="8" t="n">
        <v>1</v>
      </c>
      <c r="R11" s="3">
        <f>COUNTIFS('QA_Issues'!$B$2:$B$103,B11,'QA_Issues'!$D$2:$D$103,"CRITICAL")</f>
        <v/>
      </c>
      <c r="S11" s="3">
        <f>COUNTIFS('QA_Issues'!$B$2:$B$103,B11,'QA_Issues'!$D$2:$D$103,"MAJOR")</f>
        <v/>
      </c>
      <c r="T11" s="3">
        <f>COUNTIFS('QA_Issues'!$B$2:$B$103,B11,'QA_Issues'!$D$2:$D$103,"MINOR")</f>
        <v/>
      </c>
      <c r="U11" s="3">
        <f>COUNTIFS('QA_Issues'!$B$2:$B$103,B11,'QA_Issues'!$D$2:$D$103,"LIMITATION")</f>
        <v/>
      </c>
      <c r="V11" s="3" t="inlineStr">
        <is>
          <t>ISSUE-0093; ISSUE-0094; ISSUE-0095; ISSUE-0096; ISSUE-0097; ISSUE-0098; ISSUE-0099; ISSUE-0100; ISSUE-0101; ISSUE-0102</t>
        </is>
      </c>
      <c r="W11" s="3" t="inlineStr">
        <is>
          <t>evidence_batch_016_160; live_source_comparison; customizer_audit; serp_evidence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jeminise.com+giraffe-patchwork-style-printed-quilt-animal-patchwork-bedding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IF(B2="I1",AVERAGEIF('QA_Images'!$A$2:$A$72,A2,'QA_Images'!$T$2:$T$72)/100,IF(D2="FULL",1,IF(D2="PARTIAL",0.5,IF(D2="FAIL",0,""))))</f>
        <v/>
      </c>
      <c r="F2" s="5">
        <f>IF(E2="",0,C2*E2)</f>
        <v/>
      </c>
      <c r="G2" s="5">
        <f>IF(B2="I1",20*AVERAGEIF('QA_Images'!$A$2:$A$72,A2,'QA_Images'!$U$2:$U$72)/100,IF(D2="NOT_CHECKED",0,C2))</f>
        <v/>
      </c>
      <c r="H2" s="2" t="inlineStr">
        <is>
          <t>Product identity, handle, product ID, URL and canonical match source/live evidence. Product key/handle/product ID/canonical checked against frozen workbook and live product evidence.</t>
        </is>
      </c>
      <c r="I2" s="2" t="inlineStr">
        <is>
          <t>evidence_batch_016_151</t>
        </is>
      </c>
      <c r="J2" s="2" t="inlineStr">
        <is>
          <t>ISSUE-0001; ISSUE-0002; ISSUE-0003; ISSUE-0004; ISSUE-0005</t>
        </is>
      </c>
    </row>
    <row r="3" ht="42" customHeight="1">
      <c r="A3" s="3" t="inlineStr">
        <is>
          <t>jeminise.com+giraffe-patchwork-style-printed-quilt-animal-patchwork-bedding</t>
        </is>
      </c>
      <c r="B3" s="3" t="inlineStr">
        <is>
          <t>P2</t>
        </is>
      </c>
      <c r="C3" s="3" t="n">
        <v>10</v>
      </c>
      <c r="D3" s="3" t="inlineStr">
        <is>
          <t>PARTIAL</t>
        </is>
      </c>
      <c r="E3" s="7">
        <f>IF(B3="I1",AVERAGEIF('QA_Images'!$A$2:$A$72,A3,'QA_Images'!$T$2:$T$72)/100,IF(D3="FULL",1,IF(D3="PARTIAL",0.5,IF(D3="FAIL",0,""))))</f>
        <v/>
      </c>
      <c r="F3" s="7">
        <f>IF(E3="",0,C3*E3)</f>
        <v/>
      </c>
      <c r="G3" s="7">
        <f>IF(B3="I1",20*AVERAGEIF('QA_Images'!$A$2:$A$72,A3,'QA_Images'!$U$2:$U$72)/100,IF(D3="NOT_CHECKED",0,C3))</f>
        <v/>
      </c>
      <c r="H3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3" s="3" t="inlineStr">
        <is>
          <t>evidence_batch_016_151</t>
        </is>
      </c>
      <c r="J3" s="3" t="inlineStr">
        <is>
          <t>ISSUE-0001; ISSUE-0002; ISSUE-0003; ISSUE-0004; ISSUE-0005</t>
        </is>
      </c>
    </row>
    <row r="4" ht="42" customHeight="1">
      <c r="A4" s="2" t="inlineStr">
        <is>
          <t>jeminise.com+giraffe-patchwork-style-printed-quilt-animal-patchwork-bedding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IF(B4="I1",AVERAGEIF('QA_Images'!$A$2:$A$72,A4,'QA_Images'!$T$2:$T$72)/100,IF(D4="FULL",1,IF(D4="PARTIAL",0.5,IF(D4="FAIL",0,""))))</f>
        <v/>
      </c>
      <c r="F4" s="5">
        <f>IF(E4="",0,C4*E4)</f>
        <v/>
      </c>
      <c r="G4" s="5">
        <f>IF(B4="I1",20*AVERAGEIF('QA_Images'!$A$2:$A$72,A4,'QA_Images'!$U$2:$U$72)/100,IF(D4="NOT_CHECKED",0,C4))</f>
        <v/>
      </c>
      <c r="H4" s="2" t="inlineStr">
        <is>
          <t>Primary keyword aligns with product-level US purchase intent. Primary keyword rechecked against US product-level SERP comparables.</t>
        </is>
      </c>
      <c r="I4" s="2" t="inlineStr">
        <is>
          <t>evidence_batch_016_151</t>
        </is>
      </c>
      <c r="J4" s="2" t="inlineStr">
        <is>
          <t>ISSUE-0001; ISSUE-0002; ISSUE-0003; ISSUE-0004; ISSUE-0005</t>
        </is>
      </c>
    </row>
    <row r="5" ht="42" customHeight="1">
      <c r="A5" s="3" t="inlineStr">
        <is>
          <t>jeminise.com+giraffe-patchwork-style-printed-quilt-animal-patchwork-bedding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IF(B5="I1",AVERAGEIF('QA_Images'!$A$2:$A$72,A5,'QA_Images'!$T$2:$T$72)/100,IF(D5="FULL",1,IF(D5="PARTIAL",0.5,IF(D5="FAIL",0,""))))</f>
        <v/>
      </c>
      <c r="F5" s="7">
        <f>IF(E5="",0,C5*E5)</f>
        <v/>
      </c>
      <c r="G5" s="7">
        <f>IF(B5="I1",20*AVERAGEIF('QA_Images'!$A$2:$A$72,A5,'QA_Images'!$U$2:$U$72)/100,IF(D5="NOT_CHECKED",0,C5))</f>
        <v/>
      </c>
      <c r="H5" s="3" t="inlineStr">
        <is>
          <t>Intent/cannibalization check distinguishes nearby products. Nearby product cluster has overlap risk, so intent distinction remains only partial.</t>
        </is>
      </c>
      <c r="I5" s="3" t="inlineStr">
        <is>
          <t>evidence_batch_016_151</t>
        </is>
      </c>
      <c r="J5" s="3" t="inlineStr">
        <is>
          <t>ISSUE-0001; ISSUE-0002; ISSUE-0003; ISSUE-0004; ISSUE-0005</t>
        </is>
      </c>
    </row>
    <row r="6" ht="42" customHeight="1">
      <c r="A6" s="2" t="inlineStr">
        <is>
          <t>jeminise.com+giraffe-patchwork-style-printed-quilt-animal-patchwork-bedding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IF(B6="I1",AVERAGEIF('QA_Images'!$A$2:$A$72,A6,'QA_Images'!$T$2:$T$72)/100,IF(D6="FULL",1,IF(D6="PARTIAL",0.5,IF(D6="FAIL",0,""))))</f>
        <v/>
      </c>
      <c r="F6" s="5">
        <f>IF(E6="",0,C6*E6)</f>
        <v/>
      </c>
      <c r="G6" s="5">
        <f>IF(B6="I1",20*AVERAGEIF('QA_Images'!$A$2:$A$72,A6,'QA_Images'!$U$2:$U$72)/100,IF(D6="NOT_CHECKED",0,C6))</f>
        <v/>
      </c>
      <c r="H6" s="2" t="inlineStr">
        <is>
          <t>Keyword evidence is supported by SERP comparables without unsupported volume claims. Evidence is public SERP only; no Search Console, keyword volume or customer-search corpus provided.</t>
        </is>
      </c>
      <c r="I6" s="2" t="inlineStr">
        <is>
          <t>evidence_batch_016_151</t>
        </is>
      </c>
      <c r="J6" s="2" t="inlineStr">
        <is>
          <t>ISSUE-0001; ISSUE-0002; ISSUE-0003; ISSUE-0004; ISSUE-0005</t>
        </is>
      </c>
    </row>
    <row r="7" ht="42" customHeight="1">
      <c r="A7" s="3" t="inlineStr">
        <is>
          <t>jeminise.com+giraffe-patchwork-style-printed-quilt-animal-patchwork-bedding</t>
        </is>
      </c>
      <c r="B7" s="3" t="inlineStr">
        <is>
          <t>T1</t>
        </is>
      </c>
      <c r="C7" s="3" t="n">
        <v>10</v>
      </c>
      <c r="D7" s="3" t="inlineStr">
        <is>
          <t>PARTIAL</t>
        </is>
      </c>
      <c r="E7" s="7">
        <f>IF(B7="I1",AVERAGEIF('QA_Images'!$A$2:$A$72,A7,'QA_Images'!$T$2:$T$72)/100,IF(D7="FULL",1,IF(D7="PARTIAL",0.5,IF(D7="FAIL",0,""))))</f>
        <v/>
      </c>
      <c r="F7" s="7">
        <f>IF(E7="",0,C7*E7)</f>
        <v/>
      </c>
      <c r="G7" s="7">
        <f>IF(B7="I1",20*AVERAGEIF('QA_Images'!$A$2:$A$72,A7,'QA_Images'!$U$2:$U$72)/100,IF(D7="NOT_CHECKED",0,C7))</f>
        <v/>
      </c>
      <c r="H7" s="3" t="inlineStr">
        <is>
          <t>SEO title and H1 are relevant, specific and grounded in visible/source facts. Proposed H1 is blank, so the title/H1 pair cannot be fully verified.</t>
        </is>
      </c>
      <c r="I7" s="3" t="inlineStr">
        <is>
          <t>evidence_batch_016_151</t>
        </is>
      </c>
      <c r="J7" s="3" t="inlineStr">
        <is>
          <t>ISSUE-0001; ISSUE-0002; ISSUE-0003; ISSUE-0004; ISSUE-0005</t>
        </is>
      </c>
    </row>
    <row r="8" ht="42" customHeight="1">
      <c r="A8" s="2" t="inlineStr">
        <is>
          <t>jeminise.com+giraffe-patchwork-style-printed-quilt-animal-patchwork-bedding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5">
        <f>IF(B8="I1",AVERAGEIF('QA_Images'!$A$2:$A$72,A8,'QA_Images'!$T$2:$T$72)/100,IF(D8="FULL",1,IF(D8="PARTIAL",0.5,IF(D8="FAIL",0,""))))</f>
        <v/>
      </c>
      <c r="F8" s="5">
        <f>IF(E8="",0,C8*E8)</f>
        <v/>
      </c>
      <c r="G8" s="5">
        <f>IF(B8="I1",20*AVERAGEIF('QA_Images'!$A$2:$A$72,A8,'QA_Images'!$U$2:$U$72)/100,IF(D8="NOT_CHECKED",0,C8))</f>
        <v/>
      </c>
      <c r="H8" s="2" t="inlineStr">
        <is>
          <t>Meta description is concise, publish-ready and avoids unsupported claims. Meta description checked for length, specificity and supportable claims.</t>
        </is>
      </c>
      <c r="I8" s="2" t="inlineStr">
        <is>
          <t>evidence_batch_016_151</t>
        </is>
      </c>
      <c r="J8" s="2" t="inlineStr">
        <is>
          <t>ISSUE-0001; ISSUE-0002; ISSUE-0003; ISSUE-0004; ISSUE-0005</t>
        </is>
      </c>
    </row>
    <row r="9" ht="42" customHeight="1">
      <c r="A9" s="3" t="inlineStr">
        <is>
          <t>jeminise.com+giraffe-patchwork-style-printed-quilt-animal-patchwork-bedding</t>
        </is>
      </c>
      <c r="B9" s="3" t="inlineStr">
        <is>
          <t>D1</t>
        </is>
      </c>
      <c r="C9" s="3" t="n">
        <v>10</v>
      </c>
      <c r="D9" s="3" t="inlineStr">
        <is>
          <t>FAIL</t>
        </is>
      </c>
      <c r="E9" s="7">
        <f>IF(B9="I1",AVERAGEIF('QA_Images'!$A$2:$A$72,A9,'QA_Images'!$T$2:$T$72)/100,IF(D9="FULL",1,IF(D9="PARTIAL",0.5,IF(D9="FAIL",0,""))))</f>
        <v/>
      </c>
      <c r="F9" s="7">
        <f>IF(E9="",0,C9*E9)</f>
        <v/>
      </c>
      <c r="G9" s="7">
        <f>IF(B9="I1",20*AVERAGEIF('QA_Images'!$A$2:$A$72,A9,'QA_Images'!$U$2:$U$72)/100,IF(D9="NOT_CHECKED",0,C9))</f>
        <v/>
      </c>
      <c r="H9" s="3" t="inlineStr">
        <is>
          <t>Description HTML is publish-ready and free of internal draft/QA instructions. Description HTML still contains internal QA/import language.</t>
        </is>
      </c>
      <c r="I9" s="3" t="inlineStr">
        <is>
          <t>evidence_batch_016_151</t>
        </is>
      </c>
      <c r="J9" s="3" t="inlineStr">
        <is>
          <t>ISSUE-0001; ISSUE-0002; ISSUE-0003; ISSUE-0004; ISSUE-0005</t>
        </is>
      </c>
    </row>
    <row r="10" ht="42" customHeight="1">
      <c r="A10" s="2" t="inlineStr">
        <is>
          <t>jeminise.com+giraffe-patchwork-style-printed-quilt-animal-patchwork-bedding</t>
        </is>
      </c>
      <c r="B10" s="2" t="inlineStr">
        <is>
          <t>D2</t>
        </is>
      </c>
      <c r="C10" s="2" t="n">
        <v>5</v>
      </c>
      <c r="D10" s="2" t="inlineStr">
        <is>
          <t>PARTIAL</t>
        </is>
      </c>
      <c r="E10" s="5">
        <f>IF(B10="I1",AVERAGEIF('QA_Images'!$A$2:$A$72,A10,'QA_Images'!$T$2:$T$72)/100,IF(D10="FULL",1,IF(D10="PARTIAL",0.5,IF(D10="FAIL",0,""))))</f>
        <v/>
      </c>
      <c r="F10" s="5">
        <f>IF(E10="",0,C10*E10)</f>
        <v/>
      </c>
      <c r="G10" s="5">
        <f>IF(B10="I1",20*AVERAGEIF('QA_Images'!$A$2:$A$72,A10,'QA_Images'!$U$2:$U$72)/100,IF(D10="NOT_CHECKED",0,C10))</f>
        <v/>
      </c>
      <c r="H10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10" s="2" t="inlineStr">
        <is>
          <t>evidence_batch_016_151</t>
        </is>
      </c>
      <c r="J10" s="2" t="inlineStr">
        <is>
          <t>ISSUE-0001; ISSUE-0002; ISSUE-0003; ISSUE-0004; ISSUE-0005</t>
        </is>
      </c>
    </row>
    <row r="11" ht="42" customHeight="1">
      <c r="A11" s="3" t="inlineStr">
        <is>
          <t>jeminise.com+giraffe-patchwork-style-printed-quilt-animal-patchwork-bedding</t>
        </is>
      </c>
      <c r="B11" s="3" t="inlineStr">
        <is>
          <t>I1</t>
        </is>
      </c>
      <c r="C11" s="3" t="n">
        <v>20</v>
      </c>
      <c r="D11" s="3" t="inlineStr">
        <is>
          <t>FULL</t>
        </is>
      </c>
      <c r="E11" s="7">
        <f>IF(B11="I1",AVERAGEIF('QA_Images'!$A$2:$A$72,A11,'QA_Images'!$T$2:$T$72)/100,IF(D11="FULL",1,IF(D11="PARTIAL",0.5,IF(D11="FAIL",0,""))))</f>
        <v/>
      </c>
      <c r="F11" s="7">
        <f>IF(E11="",0,C11*E11)</f>
        <v/>
      </c>
      <c r="G11" s="7">
        <f>IF(B11="I1",20*AVERAGEIF('QA_Images'!$A$2:$A$72,A11,'QA_Images'!$U$2:$U$72)/100,IF(D11="NOT_CHECKED",0,C11))</f>
        <v/>
      </c>
      <c r="H11" s="3" t="inlineStr">
        <is>
          <t>Image coverage, image observations and alt text quality, derived from QA_Images. Derived from average image QA score; see QA_Images.</t>
        </is>
      </c>
      <c r="I11" s="3" t="inlineStr">
        <is>
          <t>evidence_batch_016_151</t>
        </is>
      </c>
      <c r="J11" s="3" t="inlineStr">
        <is>
          <t>ISSUE-0001; ISSUE-0002; ISSUE-0003; ISSUE-0004; ISSUE-0005</t>
        </is>
      </c>
    </row>
    <row r="12" ht="42" customHeight="1">
      <c r="A12" s="2" t="inlineStr">
        <is>
          <t>jeminise.com+giraffe-patchwork-style-printed-quilt-animal-patchwork-bedding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IF(B12="I1",AVERAGEIF('QA_Images'!$A$2:$A$72,A12,'QA_Images'!$T$2:$T$72)/100,IF(D12="FULL",1,IF(D12="PARTIAL",0.5,IF(D12="FAIL",0,""))))</f>
        <v/>
      </c>
      <c r="F12" s="5">
        <f>IF(E12="",0,C12*E12)</f>
        <v/>
      </c>
      <c r="G12" s="5">
        <f>IF(B12="I1",20*AVERAGEIF('QA_Images'!$A$2:$A$72,A12,'QA_Images'!$U$2:$U$72)/100,IF(D12="NOT_CHECKED",0,C12))</f>
        <v/>
      </c>
      <c r="H12" s="2" t="inlineStr">
        <is>
          <t>Evidence chain is traceable and limitations are explicitly separated from failures. Evidence chain is traceable, with admin-export limitation explicitly separated.</t>
        </is>
      </c>
      <c r="I12" s="2" t="inlineStr">
        <is>
          <t>evidence_batch_016_151</t>
        </is>
      </c>
      <c r="J12" s="2" t="inlineStr">
        <is>
          <t>ISSUE-0001; ISSUE-0002; ISSUE-0003; ISSUE-0004; ISSUE-0005</t>
        </is>
      </c>
    </row>
    <row r="13" ht="42" customHeight="1">
      <c r="A13" s="3" t="inlineStr">
        <is>
          <t>jeminise.com+horse-patchwork-pattern-quilt-set-vintage-animal-quilt-printed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IF(B13="I1",AVERAGEIF('QA_Images'!$A$2:$A$72,A13,'QA_Images'!$T$2:$T$72)/100,IF(D13="FULL",1,IF(D13="PARTIAL",0.5,IF(D13="FAIL",0,""))))</f>
        <v/>
      </c>
      <c r="F13" s="7">
        <f>IF(E13="",0,C13*E13)</f>
        <v/>
      </c>
      <c r="G13" s="7">
        <f>IF(B13="I1",20*AVERAGEIF('QA_Images'!$A$2:$A$72,A13,'QA_Images'!$U$2:$U$72)/100,IF(D13="NOT_CHECKED",0,C13))</f>
        <v/>
      </c>
      <c r="H13" s="3" t="inlineStr">
        <is>
          <t>Product identity, handle, product ID, URL and canonical match source/live evidence. Product key/handle/product ID/canonical checked against frozen workbook and live product evidence.</t>
        </is>
      </c>
      <c r="I13" s="3" t="inlineStr">
        <is>
          <t>evidence_batch_016_152</t>
        </is>
      </c>
      <c r="J13" s="3" t="inlineStr">
        <is>
          <t>ISSUE-0011; ISSUE-0012; ISSUE-0013; ISSUE-0014; ISSUE-0015</t>
        </is>
      </c>
    </row>
    <row r="14" ht="42" customHeight="1">
      <c r="A14" s="2" t="inlineStr">
        <is>
          <t>jeminise.com+horse-patchwork-pattern-quilt-set-vintage-animal-quilt-printed</t>
        </is>
      </c>
      <c r="B14" s="2" t="inlineStr">
        <is>
          <t>P2</t>
        </is>
      </c>
      <c r="C14" s="2" t="n">
        <v>10</v>
      </c>
      <c r="D14" s="2" t="inlineStr">
        <is>
          <t>PARTIAL</t>
        </is>
      </c>
      <c r="E14" s="5">
        <f>IF(B14="I1",AVERAGEIF('QA_Images'!$A$2:$A$72,A14,'QA_Images'!$T$2:$T$72)/100,IF(D14="FULL",1,IF(D14="PARTIAL",0.5,IF(D14="FAIL",0,""))))</f>
        <v/>
      </c>
      <c r="F14" s="5">
        <f>IF(E14="",0,C14*E14)</f>
        <v/>
      </c>
      <c r="G14" s="5">
        <f>IF(B14="I1",20*AVERAGEIF('QA_Images'!$A$2:$A$72,A14,'QA_Images'!$U$2:$U$72)/100,IF(D14="NOT_CHECKED",0,C14))</f>
        <v/>
      </c>
      <c r="H14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14" s="2" t="inlineStr">
        <is>
          <t>evidence_batch_016_152</t>
        </is>
      </c>
      <c r="J14" s="2" t="inlineStr">
        <is>
          <t>ISSUE-0011; ISSUE-0012; ISSUE-0013; ISSUE-0014; ISSUE-0015</t>
        </is>
      </c>
    </row>
    <row r="15" ht="42" customHeight="1">
      <c r="A15" s="3" t="inlineStr">
        <is>
          <t>jeminise.com+horse-patchwork-pattern-quilt-set-vintage-animal-quilt-printed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IF(B15="I1",AVERAGEIF('QA_Images'!$A$2:$A$72,A15,'QA_Images'!$T$2:$T$72)/100,IF(D15="FULL",1,IF(D15="PARTIAL",0.5,IF(D15="FAIL",0,""))))</f>
        <v/>
      </c>
      <c r="F15" s="7">
        <f>IF(E15="",0,C15*E15)</f>
        <v/>
      </c>
      <c r="G15" s="7">
        <f>IF(B15="I1",20*AVERAGEIF('QA_Images'!$A$2:$A$72,A15,'QA_Images'!$U$2:$U$72)/100,IF(D15="NOT_CHECKED",0,C15))</f>
        <v/>
      </c>
      <c r="H15" s="3" t="inlineStr">
        <is>
          <t>Primary keyword aligns with product-level US purchase intent. Primary keyword rechecked against US product-level SERP comparables.</t>
        </is>
      </c>
      <c r="I15" s="3" t="inlineStr">
        <is>
          <t>evidence_batch_016_152</t>
        </is>
      </c>
      <c r="J15" s="3" t="inlineStr">
        <is>
          <t>ISSUE-0011; ISSUE-0012; ISSUE-0013; ISSUE-0014; ISSUE-0015</t>
        </is>
      </c>
    </row>
    <row r="16" ht="42" customHeight="1">
      <c r="A16" s="2" t="inlineStr">
        <is>
          <t>jeminise.com+horse-patchwork-pattern-quilt-set-vintage-animal-quilt-printed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IF(B16="I1",AVERAGEIF('QA_Images'!$A$2:$A$72,A16,'QA_Images'!$T$2:$T$72)/100,IF(D16="FULL",1,IF(D16="PARTIAL",0.5,IF(D16="FAIL",0,""))))</f>
        <v/>
      </c>
      <c r="F16" s="5">
        <f>IF(E16="",0,C16*E16)</f>
        <v/>
      </c>
      <c r="G16" s="5">
        <f>IF(B16="I1",20*AVERAGEIF('QA_Images'!$A$2:$A$72,A16,'QA_Images'!$U$2:$U$72)/100,IF(D16="NOT_CHECKED",0,C16))</f>
        <v/>
      </c>
      <c r="H16" s="2" t="inlineStr">
        <is>
          <t>Intent/cannibalization check distinguishes nearby products. Nearby product cluster has overlap risk, so intent distinction remains only partial.</t>
        </is>
      </c>
      <c r="I16" s="2" t="inlineStr">
        <is>
          <t>evidence_batch_016_152</t>
        </is>
      </c>
      <c r="J16" s="2" t="inlineStr">
        <is>
          <t>ISSUE-0011; ISSUE-0012; ISSUE-0013; ISSUE-0014; ISSUE-0015</t>
        </is>
      </c>
    </row>
    <row r="17" ht="42" customHeight="1">
      <c r="A17" s="3" t="inlineStr">
        <is>
          <t>jeminise.com+horse-patchwork-pattern-quilt-set-vintage-animal-quilt-printed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IF(B17="I1",AVERAGEIF('QA_Images'!$A$2:$A$72,A17,'QA_Images'!$T$2:$T$72)/100,IF(D17="FULL",1,IF(D17="PARTIAL",0.5,IF(D17="FAIL",0,""))))</f>
        <v/>
      </c>
      <c r="F17" s="7">
        <f>IF(E17="",0,C17*E17)</f>
        <v/>
      </c>
      <c r="G17" s="7">
        <f>IF(B17="I1",20*AVERAGEIF('QA_Images'!$A$2:$A$72,A17,'QA_Images'!$U$2:$U$72)/100,IF(D17="NOT_CHECKED",0,C17))</f>
        <v/>
      </c>
      <c r="H17" s="3" t="inlineStr">
        <is>
          <t>Keyword evidence is supported by SERP comparables without unsupported volume claims. Evidence is public SERP only; no Search Console, keyword volume or customer-search corpus provided.</t>
        </is>
      </c>
      <c r="I17" s="3" t="inlineStr">
        <is>
          <t>evidence_batch_016_152</t>
        </is>
      </c>
      <c r="J17" s="3" t="inlineStr">
        <is>
          <t>ISSUE-0011; ISSUE-0012; ISSUE-0013; ISSUE-0014; ISSUE-0015</t>
        </is>
      </c>
    </row>
    <row r="18" ht="42" customHeight="1">
      <c r="A18" s="2" t="inlineStr">
        <is>
          <t>jeminise.com+horse-patchwork-pattern-quilt-set-vintage-animal-quilt-printed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5">
        <f>IF(B18="I1",AVERAGEIF('QA_Images'!$A$2:$A$72,A18,'QA_Images'!$T$2:$T$72)/100,IF(D18="FULL",1,IF(D18="PARTIAL",0.5,IF(D18="FAIL",0,""))))</f>
        <v/>
      </c>
      <c r="F18" s="5">
        <f>IF(E18="",0,C18*E18)</f>
        <v/>
      </c>
      <c r="G18" s="5">
        <f>IF(B18="I1",20*AVERAGEIF('QA_Images'!$A$2:$A$72,A18,'QA_Images'!$U$2:$U$72)/100,IF(D18="NOT_CHECKED",0,C18))</f>
        <v/>
      </c>
      <c r="H18" s="2" t="inlineStr">
        <is>
          <t>SEO title and H1 are relevant, specific and grounded in visible/source facts. Proposed H1 is blank, so the title/H1 pair cannot be fully verified.</t>
        </is>
      </c>
      <c r="I18" s="2" t="inlineStr">
        <is>
          <t>evidence_batch_016_152</t>
        </is>
      </c>
      <c r="J18" s="2" t="inlineStr">
        <is>
          <t>ISSUE-0011; ISSUE-0012; ISSUE-0013; ISSUE-0014; ISSUE-0015</t>
        </is>
      </c>
    </row>
    <row r="19" ht="42" customHeight="1">
      <c r="A19" s="3" t="inlineStr">
        <is>
          <t>jeminise.com+horse-patchwork-pattern-quilt-set-vintage-animal-quilt-printed</t>
        </is>
      </c>
      <c r="B19" s="3" t="inlineStr">
        <is>
          <t>T2</t>
        </is>
      </c>
      <c r="C19" s="3" t="n">
        <v>5</v>
      </c>
      <c r="D19" s="3" t="inlineStr">
        <is>
          <t>PARTIAL</t>
        </is>
      </c>
      <c r="E19" s="7">
        <f>IF(B19="I1",AVERAGEIF('QA_Images'!$A$2:$A$72,A19,'QA_Images'!$T$2:$T$72)/100,IF(D19="FULL",1,IF(D19="PARTIAL",0.5,IF(D19="FAIL",0,""))))</f>
        <v/>
      </c>
      <c r="F19" s="7">
        <f>IF(E19="",0,C19*E19)</f>
        <v/>
      </c>
      <c r="G19" s="7">
        <f>IF(B19="I1",20*AVERAGEIF('QA_Images'!$A$2:$A$72,A19,'QA_Images'!$U$2:$U$72)/100,IF(D19="NOT_CHECKED",0,C19))</f>
        <v/>
      </c>
      <c r="H19" s="3" t="inlineStr">
        <is>
          <t>Meta description is concise, publish-ready and avoids unsupported claims. Meta description checked for length, specificity and supportable claims.</t>
        </is>
      </c>
      <c r="I19" s="3" t="inlineStr">
        <is>
          <t>evidence_batch_016_152</t>
        </is>
      </c>
      <c r="J19" s="3" t="inlineStr">
        <is>
          <t>ISSUE-0011; ISSUE-0012; ISSUE-0013; ISSUE-0014; ISSUE-0015</t>
        </is>
      </c>
    </row>
    <row r="20" ht="42" customHeight="1">
      <c r="A20" s="2" t="inlineStr">
        <is>
          <t>jeminise.com+horse-patchwork-pattern-quilt-set-vintage-animal-quilt-printed</t>
        </is>
      </c>
      <c r="B20" s="2" t="inlineStr">
        <is>
          <t>D1</t>
        </is>
      </c>
      <c r="C20" s="2" t="n">
        <v>10</v>
      </c>
      <c r="D20" s="2" t="inlineStr">
        <is>
          <t>FAIL</t>
        </is>
      </c>
      <c r="E20" s="5">
        <f>IF(B20="I1",AVERAGEIF('QA_Images'!$A$2:$A$72,A20,'QA_Images'!$T$2:$T$72)/100,IF(D20="FULL",1,IF(D20="PARTIAL",0.5,IF(D20="FAIL",0,""))))</f>
        <v/>
      </c>
      <c r="F20" s="5">
        <f>IF(E20="",0,C20*E20)</f>
        <v/>
      </c>
      <c r="G20" s="5">
        <f>IF(B20="I1",20*AVERAGEIF('QA_Images'!$A$2:$A$72,A20,'QA_Images'!$U$2:$U$72)/100,IF(D20="NOT_CHECKED",0,C20))</f>
        <v/>
      </c>
      <c r="H20" s="2" t="inlineStr">
        <is>
          <t>Description HTML is publish-ready and free of internal draft/QA instructions. Description HTML still contains internal QA/import language.</t>
        </is>
      </c>
      <c r="I20" s="2" t="inlineStr">
        <is>
          <t>evidence_batch_016_152</t>
        </is>
      </c>
      <c r="J20" s="2" t="inlineStr">
        <is>
          <t>ISSUE-0011; ISSUE-0012; ISSUE-0013; ISSUE-0014; ISSUE-0015</t>
        </is>
      </c>
    </row>
    <row r="21" ht="42" customHeight="1">
      <c r="A21" s="3" t="inlineStr">
        <is>
          <t>jeminise.com+horse-patchwork-pattern-quilt-set-vintage-animal-quilt-printed</t>
        </is>
      </c>
      <c r="B21" s="3" t="inlineStr">
        <is>
          <t>D2</t>
        </is>
      </c>
      <c r="C21" s="3" t="n">
        <v>5</v>
      </c>
      <c r="D21" s="3" t="inlineStr">
        <is>
          <t>PARTIAL</t>
        </is>
      </c>
      <c r="E21" s="7">
        <f>IF(B21="I1",AVERAGEIF('QA_Images'!$A$2:$A$72,A21,'QA_Images'!$T$2:$T$72)/100,IF(D21="FULL",1,IF(D21="PARTIAL",0.5,IF(D21="FAIL",0,""))))</f>
        <v/>
      </c>
      <c r="F21" s="7">
        <f>IF(E21="",0,C21*E21)</f>
        <v/>
      </c>
      <c r="G21" s="7">
        <f>IF(B21="I1",20*AVERAGEIF('QA_Images'!$A$2:$A$72,A21,'QA_Images'!$U$2:$U$72)/100,IF(D21="NOT_CHECKED",0,C21))</f>
        <v/>
      </c>
      <c r="H21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21" s="3" t="inlineStr">
        <is>
          <t>evidence_batch_016_152</t>
        </is>
      </c>
      <c r="J21" s="3" t="inlineStr">
        <is>
          <t>ISSUE-0011; ISSUE-0012; ISSUE-0013; ISSUE-0014; ISSUE-0015</t>
        </is>
      </c>
    </row>
    <row r="22" ht="42" customHeight="1">
      <c r="A22" s="2" t="inlineStr">
        <is>
          <t>jeminise.com+horse-patchwork-pattern-quilt-set-vintage-animal-quilt-printed</t>
        </is>
      </c>
      <c r="B22" s="2" t="inlineStr">
        <is>
          <t>I1</t>
        </is>
      </c>
      <c r="C22" s="2" t="n">
        <v>20</v>
      </c>
      <c r="D22" s="2" t="inlineStr">
        <is>
          <t>FULL</t>
        </is>
      </c>
      <c r="E22" s="5">
        <f>IF(B22="I1",AVERAGEIF('QA_Images'!$A$2:$A$72,A22,'QA_Images'!$T$2:$T$72)/100,IF(D22="FULL",1,IF(D22="PARTIAL",0.5,IF(D22="FAIL",0,""))))</f>
        <v/>
      </c>
      <c r="F22" s="5">
        <f>IF(E22="",0,C22*E22)</f>
        <v/>
      </c>
      <c r="G22" s="5">
        <f>IF(B22="I1",20*AVERAGEIF('QA_Images'!$A$2:$A$72,A22,'QA_Images'!$U$2:$U$72)/100,IF(D22="NOT_CHECKED",0,C22))</f>
        <v/>
      </c>
      <c r="H22" s="2" t="inlineStr">
        <is>
          <t>Image coverage, image observations and alt text quality, derived from QA_Images. Derived from average image QA score; see QA_Images.</t>
        </is>
      </c>
      <c r="I22" s="2" t="inlineStr">
        <is>
          <t>evidence_batch_016_152</t>
        </is>
      </c>
      <c r="J22" s="2" t="inlineStr">
        <is>
          <t>ISSUE-0011; ISSUE-0012; ISSUE-0013; ISSUE-0014; ISSUE-0015</t>
        </is>
      </c>
    </row>
    <row r="23" ht="42" customHeight="1">
      <c r="A23" s="3" t="inlineStr">
        <is>
          <t>jeminise.com+horse-patchwork-pattern-quilt-set-vintage-animal-quilt-printed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IF(B23="I1",AVERAGEIF('QA_Images'!$A$2:$A$72,A23,'QA_Images'!$T$2:$T$72)/100,IF(D23="FULL",1,IF(D23="PARTIAL",0.5,IF(D23="FAIL",0,""))))</f>
        <v/>
      </c>
      <c r="F23" s="7">
        <f>IF(E23="",0,C23*E23)</f>
        <v/>
      </c>
      <c r="G23" s="7">
        <f>IF(B23="I1",20*AVERAGEIF('QA_Images'!$A$2:$A$72,A23,'QA_Images'!$U$2:$U$72)/100,IF(D23="NOT_CHECKED",0,C23))</f>
        <v/>
      </c>
      <c r="H23" s="3" t="inlineStr">
        <is>
          <t>Evidence chain is traceable and limitations are explicitly separated from failures. Evidence chain is traceable, with admin-export limitation explicitly separated.</t>
        </is>
      </c>
      <c r="I23" s="3" t="inlineStr">
        <is>
          <t>evidence_batch_016_152</t>
        </is>
      </c>
      <c r="J23" s="3" t="inlineStr">
        <is>
          <t>ISSUE-0011; ISSUE-0012; ISSUE-0013; ISSUE-0014; ISSUE-0015</t>
        </is>
      </c>
    </row>
    <row r="24" ht="42" customHeight="1">
      <c r="A24" s="2" t="inlineStr">
        <is>
          <t>jeminise.com+horse-patchwork-pattern-quilt-animal-farmhouse-quilt-set-patchwork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IF(B24="I1",AVERAGEIF('QA_Images'!$A$2:$A$72,A24,'QA_Images'!$T$2:$T$72)/100,IF(D24="FULL",1,IF(D24="PARTIAL",0.5,IF(D24="FAIL",0,""))))</f>
        <v/>
      </c>
      <c r="F24" s="5">
        <f>IF(E24="",0,C24*E24)</f>
        <v/>
      </c>
      <c r="G24" s="5">
        <f>IF(B24="I1",20*AVERAGEIF('QA_Images'!$A$2:$A$72,A24,'QA_Images'!$U$2:$U$72)/100,IF(D24="NOT_CHECKED",0,C24))</f>
        <v/>
      </c>
      <c r="H24" s="2" t="inlineStr">
        <is>
          <t>Product identity, handle, product ID, URL and canonical match source/live evidence. Product key/handle/product ID/canonical checked against frozen workbook and live product evidence.</t>
        </is>
      </c>
      <c r="I24" s="2" t="inlineStr">
        <is>
          <t>evidence_batch_016_153</t>
        </is>
      </c>
      <c r="J24" s="2" t="inlineStr">
        <is>
          <t>ISSUE-0021; ISSUE-0022; ISSUE-0023; ISSUE-0024; ISSUE-0025</t>
        </is>
      </c>
    </row>
    <row r="25" ht="42" customHeight="1">
      <c r="A25" s="3" t="inlineStr">
        <is>
          <t>jeminise.com+horse-patchwork-pattern-quilt-animal-farmhouse-quilt-set-patchwork</t>
        </is>
      </c>
      <c r="B25" s="3" t="inlineStr">
        <is>
          <t>P2</t>
        </is>
      </c>
      <c r="C25" s="3" t="n">
        <v>10</v>
      </c>
      <c r="D25" s="3" t="inlineStr">
        <is>
          <t>PARTIAL</t>
        </is>
      </c>
      <c r="E25" s="7">
        <f>IF(B25="I1",AVERAGEIF('QA_Images'!$A$2:$A$72,A25,'QA_Images'!$T$2:$T$72)/100,IF(D25="FULL",1,IF(D25="PARTIAL",0.5,IF(D25="FAIL",0,""))))</f>
        <v/>
      </c>
      <c r="F25" s="7">
        <f>IF(E25="",0,C25*E25)</f>
        <v/>
      </c>
      <c r="G25" s="7">
        <f>IF(B25="I1",20*AVERAGEIF('QA_Images'!$A$2:$A$72,A25,'QA_Images'!$U$2:$U$72)/100,IF(D25="NOT_CHECKED",0,C25))</f>
        <v/>
      </c>
      <c r="H25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25" s="3" t="inlineStr">
        <is>
          <t>evidence_batch_016_153</t>
        </is>
      </c>
      <c r="J25" s="3" t="inlineStr">
        <is>
          <t>ISSUE-0021; ISSUE-0022; ISSUE-0023; ISSUE-0024; ISSUE-0025</t>
        </is>
      </c>
    </row>
    <row r="26" ht="42" customHeight="1">
      <c r="A26" s="2" t="inlineStr">
        <is>
          <t>jeminise.com+horse-patchwork-pattern-quilt-animal-farmhouse-quilt-set-patchwork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IF(B26="I1",AVERAGEIF('QA_Images'!$A$2:$A$72,A26,'QA_Images'!$T$2:$T$72)/100,IF(D26="FULL",1,IF(D26="PARTIAL",0.5,IF(D26="FAIL",0,""))))</f>
        <v/>
      </c>
      <c r="F26" s="5">
        <f>IF(E26="",0,C26*E26)</f>
        <v/>
      </c>
      <c r="G26" s="5">
        <f>IF(B26="I1",20*AVERAGEIF('QA_Images'!$A$2:$A$72,A26,'QA_Images'!$U$2:$U$72)/100,IF(D26="NOT_CHECKED",0,C26))</f>
        <v/>
      </c>
      <c r="H26" s="2" t="inlineStr">
        <is>
          <t>Primary keyword aligns with product-level US purchase intent. Primary keyword rechecked against US product-level SERP comparables.</t>
        </is>
      </c>
      <c r="I26" s="2" t="inlineStr">
        <is>
          <t>evidence_batch_016_153</t>
        </is>
      </c>
      <c r="J26" s="2" t="inlineStr">
        <is>
          <t>ISSUE-0021; ISSUE-0022; ISSUE-0023; ISSUE-0024; ISSUE-0025</t>
        </is>
      </c>
    </row>
    <row r="27" ht="42" customHeight="1">
      <c r="A27" s="3" t="inlineStr">
        <is>
          <t>jeminise.com+horse-patchwork-pattern-quilt-animal-farmhouse-quilt-set-patchwork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IF(B27="I1",AVERAGEIF('QA_Images'!$A$2:$A$72,A27,'QA_Images'!$T$2:$T$72)/100,IF(D27="FULL",1,IF(D27="PARTIAL",0.5,IF(D27="FAIL",0,""))))</f>
        <v/>
      </c>
      <c r="F27" s="7">
        <f>IF(E27="",0,C27*E27)</f>
        <v/>
      </c>
      <c r="G27" s="7">
        <f>IF(B27="I1",20*AVERAGEIF('QA_Images'!$A$2:$A$72,A27,'QA_Images'!$U$2:$U$72)/100,IF(D27="NOT_CHECKED",0,C27))</f>
        <v/>
      </c>
      <c r="H27" s="3" t="inlineStr">
        <is>
          <t>Intent/cannibalization check distinguishes nearby products. Nearby product cluster has overlap risk, so intent distinction remains only partial.</t>
        </is>
      </c>
      <c r="I27" s="3" t="inlineStr">
        <is>
          <t>evidence_batch_016_153</t>
        </is>
      </c>
      <c r="J27" s="3" t="inlineStr">
        <is>
          <t>ISSUE-0021; ISSUE-0022; ISSUE-0023; ISSUE-0024; ISSUE-0025</t>
        </is>
      </c>
    </row>
    <row r="28" ht="42" customHeight="1">
      <c r="A28" s="2" t="inlineStr">
        <is>
          <t>jeminise.com+horse-patchwork-pattern-quilt-animal-farmhouse-quilt-set-patchwork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IF(B28="I1",AVERAGEIF('QA_Images'!$A$2:$A$72,A28,'QA_Images'!$T$2:$T$72)/100,IF(D28="FULL",1,IF(D28="PARTIAL",0.5,IF(D28="FAIL",0,""))))</f>
        <v/>
      </c>
      <c r="F28" s="5">
        <f>IF(E28="",0,C28*E28)</f>
        <v/>
      </c>
      <c r="G28" s="5">
        <f>IF(B28="I1",20*AVERAGEIF('QA_Images'!$A$2:$A$72,A28,'QA_Images'!$U$2:$U$72)/100,IF(D28="NOT_CHECKED",0,C28))</f>
        <v/>
      </c>
      <c r="H28" s="2" t="inlineStr">
        <is>
          <t>Keyword evidence is supported by SERP comparables without unsupported volume claims. Evidence is public SERP only; no Search Console, keyword volume or customer-search corpus provided.</t>
        </is>
      </c>
      <c r="I28" s="2" t="inlineStr">
        <is>
          <t>evidence_batch_016_153</t>
        </is>
      </c>
      <c r="J28" s="2" t="inlineStr">
        <is>
          <t>ISSUE-0021; ISSUE-0022; ISSUE-0023; ISSUE-0024; ISSUE-0025</t>
        </is>
      </c>
    </row>
    <row r="29" ht="42" customHeight="1">
      <c r="A29" s="3" t="inlineStr">
        <is>
          <t>jeminise.com+horse-patchwork-pattern-quilt-animal-farmhouse-quilt-set-patchwork</t>
        </is>
      </c>
      <c r="B29" s="3" t="inlineStr">
        <is>
          <t>T1</t>
        </is>
      </c>
      <c r="C29" s="3" t="n">
        <v>10</v>
      </c>
      <c r="D29" s="3" t="inlineStr">
        <is>
          <t>PARTIAL</t>
        </is>
      </c>
      <c r="E29" s="7">
        <f>IF(B29="I1",AVERAGEIF('QA_Images'!$A$2:$A$72,A29,'QA_Images'!$T$2:$T$72)/100,IF(D29="FULL",1,IF(D29="PARTIAL",0.5,IF(D29="FAIL",0,""))))</f>
        <v/>
      </c>
      <c r="F29" s="7">
        <f>IF(E29="",0,C29*E29)</f>
        <v/>
      </c>
      <c r="G29" s="7">
        <f>IF(B29="I1",20*AVERAGEIF('QA_Images'!$A$2:$A$72,A29,'QA_Images'!$U$2:$U$72)/100,IF(D29="NOT_CHECKED",0,C29))</f>
        <v/>
      </c>
      <c r="H29" s="3" t="inlineStr">
        <is>
          <t>SEO title and H1 are relevant, specific and grounded in visible/source facts. Proposed H1 is blank, so the title/H1 pair cannot be fully verified.</t>
        </is>
      </c>
      <c r="I29" s="3" t="inlineStr">
        <is>
          <t>evidence_batch_016_153</t>
        </is>
      </c>
      <c r="J29" s="3" t="inlineStr">
        <is>
          <t>ISSUE-0021; ISSUE-0022; ISSUE-0023; ISSUE-0024; ISSUE-0025</t>
        </is>
      </c>
    </row>
    <row r="30" ht="42" customHeight="1">
      <c r="A30" s="2" t="inlineStr">
        <is>
          <t>jeminise.com+horse-patchwork-pattern-quilt-animal-farmhouse-quilt-set-patchwork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5">
        <f>IF(B30="I1",AVERAGEIF('QA_Images'!$A$2:$A$72,A30,'QA_Images'!$T$2:$T$72)/100,IF(D30="FULL",1,IF(D30="PARTIAL",0.5,IF(D30="FAIL",0,""))))</f>
        <v/>
      </c>
      <c r="F30" s="5">
        <f>IF(E30="",0,C30*E30)</f>
        <v/>
      </c>
      <c r="G30" s="5">
        <f>IF(B30="I1",20*AVERAGEIF('QA_Images'!$A$2:$A$72,A30,'QA_Images'!$U$2:$U$72)/100,IF(D30="NOT_CHECKED",0,C30))</f>
        <v/>
      </c>
      <c r="H30" s="2" t="inlineStr">
        <is>
          <t>Meta description is concise, publish-ready and avoids unsupported claims. Meta description checked for length, specificity and supportable claims.</t>
        </is>
      </c>
      <c r="I30" s="2" t="inlineStr">
        <is>
          <t>evidence_batch_016_153</t>
        </is>
      </c>
      <c r="J30" s="2" t="inlineStr">
        <is>
          <t>ISSUE-0021; ISSUE-0022; ISSUE-0023; ISSUE-0024; ISSUE-0025</t>
        </is>
      </c>
    </row>
    <row r="31" ht="42" customHeight="1">
      <c r="A31" s="3" t="inlineStr">
        <is>
          <t>jeminise.com+horse-patchwork-pattern-quilt-animal-farmhouse-quilt-set-patchwork</t>
        </is>
      </c>
      <c r="B31" s="3" t="inlineStr">
        <is>
          <t>D1</t>
        </is>
      </c>
      <c r="C31" s="3" t="n">
        <v>10</v>
      </c>
      <c r="D31" s="3" t="inlineStr">
        <is>
          <t>FAIL</t>
        </is>
      </c>
      <c r="E31" s="7">
        <f>IF(B31="I1",AVERAGEIF('QA_Images'!$A$2:$A$72,A31,'QA_Images'!$T$2:$T$72)/100,IF(D31="FULL",1,IF(D31="PARTIAL",0.5,IF(D31="FAIL",0,""))))</f>
        <v/>
      </c>
      <c r="F31" s="7">
        <f>IF(E31="",0,C31*E31)</f>
        <v/>
      </c>
      <c r="G31" s="7">
        <f>IF(B31="I1",20*AVERAGEIF('QA_Images'!$A$2:$A$72,A31,'QA_Images'!$U$2:$U$72)/100,IF(D31="NOT_CHECKED",0,C31))</f>
        <v/>
      </c>
      <c r="H31" s="3" t="inlineStr">
        <is>
          <t>Description HTML is publish-ready and free of internal draft/QA instructions. Description HTML still contains internal QA/import language.</t>
        </is>
      </c>
      <c r="I31" s="3" t="inlineStr">
        <is>
          <t>evidence_batch_016_153</t>
        </is>
      </c>
      <c r="J31" s="3" t="inlineStr">
        <is>
          <t>ISSUE-0021; ISSUE-0022; ISSUE-0023; ISSUE-0024; ISSUE-0025</t>
        </is>
      </c>
    </row>
    <row r="32" ht="42" customHeight="1">
      <c r="A32" s="2" t="inlineStr">
        <is>
          <t>jeminise.com+horse-patchwork-pattern-quilt-animal-farmhouse-quilt-set-patchwork</t>
        </is>
      </c>
      <c r="B32" s="2" t="inlineStr">
        <is>
          <t>D2</t>
        </is>
      </c>
      <c r="C32" s="2" t="n">
        <v>5</v>
      </c>
      <c r="D32" s="2" t="inlineStr">
        <is>
          <t>PARTIAL</t>
        </is>
      </c>
      <c r="E32" s="5">
        <f>IF(B32="I1",AVERAGEIF('QA_Images'!$A$2:$A$72,A32,'QA_Images'!$T$2:$T$72)/100,IF(D32="FULL",1,IF(D32="PARTIAL",0.5,IF(D32="FAIL",0,""))))</f>
        <v/>
      </c>
      <c r="F32" s="5">
        <f>IF(E32="",0,C32*E32)</f>
        <v/>
      </c>
      <c r="G32" s="5">
        <f>IF(B32="I1",20*AVERAGEIF('QA_Images'!$A$2:$A$72,A32,'QA_Images'!$U$2:$U$72)/100,IF(D32="NOT_CHECKED",0,C32))</f>
        <v/>
      </c>
      <c r="H32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32" s="2" t="inlineStr">
        <is>
          <t>evidence_batch_016_153</t>
        </is>
      </c>
      <c r="J32" s="2" t="inlineStr">
        <is>
          <t>ISSUE-0021; ISSUE-0022; ISSUE-0023; ISSUE-0024; ISSUE-0025</t>
        </is>
      </c>
    </row>
    <row r="33" ht="42" customHeight="1">
      <c r="A33" s="3" t="inlineStr">
        <is>
          <t>jeminise.com+horse-patchwork-pattern-quilt-animal-farmhouse-quilt-set-patchwork</t>
        </is>
      </c>
      <c r="B33" s="3" t="inlineStr">
        <is>
          <t>I1</t>
        </is>
      </c>
      <c r="C33" s="3" t="n">
        <v>20</v>
      </c>
      <c r="D33" s="3" t="inlineStr">
        <is>
          <t>FULL</t>
        </is>
      </c>
      <c r="E33" s="7">
        <f>IF(B33="I1",AVERAGEIF('QA_Images'!$A$2:$A$72,A33,'QA_Images'!$T$2:$T$72)/100,IF(D33="FULL",1,IF(D33="PARTIAL",0.5,IF(D33="FAIL",0,""))))</f>
        <v/>
      </c>
      <c r="F33" s="7">
        <f>IF(E33="",0,C33*E33)</f>
        <v/>
      </c>
      <c r="G33" s="7">
        <f>IF(B33="I1",20*AVERAGEIF('QA_Images'!$A$2:$A$72,A33,'QA_Images'!$U$2:$U$72)/100,IF(D33="NOT_CHECKED",0,C33))</f>
        <v/>
      </c>
      <c r="H33" s="3" t="inlineStr">
        <is>
          <t>Image coverage, image observations and alt text quality, derived from QA_Images. Derived from average image QA score; see QA_Images.</t>
        </is>
      </c>
      <c r="I33" s="3" t="inlineStr">
        <is>
          <t>evidence_batch_016_153</t>
        </is>
      </c>
      <c r="J33" s="3" t="inlineStr">
        <is>
          <t>ISSUE-0021; ISSUE-0022; ISSUE-0023; ISSUE-0024; ISSUE-0025</t>
        </is>
      </c>
    </row>
    <row r="34" ht="42" customHeight="1">
      <c r="A34" s="2" t="inlineStr">
        <is>
          <t>jeminise.com+horse-patchwork-pattern-quilt-animal-farmhouse-quilt-set-patchwork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IF(B34="I1",AVERAGEIF('QA_Images'!$A$2:$A$72,A34,'QA_Images'!$T$2:$T$72)/100,IF(D34="FULL",1,IF(D34="PARTIAL",0.5,IF(D34="FAIL",0,""))))</f>
        <v/>
      </c>
      <c r="F34" s="5">
        <f>IF(E34="",0,C34*E34)</f>
        <v/>
      </c>
      <c r="G34" s="5">
        <f>IF(B34="I1",20*AVERAGEIF('QA_Images'!$A$2:$A$72,A34,'QA_Images'!$U$2:$U$72)/100,IF(D34="NOT_CHECKED",0,C34))</f>
        <v/>
      </c>
      <c r="H34" s="2" t="inlineStr">
        <is>
          <t>Evidence chain is traceable and limitations are explicitly separated from failures. Evidence chain is traceable, with admin-export limitation explicitly separated.</t>
        </is>
      </c>
      <c r="I34" s="2" t="inlineStr">
        <is>
          <t>evidence_batch_016_153</t>
        </is>
      </c>
      <c r="J34" s="2" t="inlineStr">
        <is>
          <t>ISSUE-0021; ISSUE-0022; ISSUE-0023; ISSUE-0024; ISSUE-0025</t>
        </is>
      </c>
    </row>
    <row r="35" ht="42" customHeight="1">
      <c r="A35" s="3" t="inlineStr">
        <is>
          <t>jeminise.com+i-am-who-he-says-i-am-christian-scripture-blanket-inspirational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IF(B35="I1",AVERAGEIF('QA_Images'!$A$2:$A$72,A35,'QA_Images'!$T$2:$T$72)/100,IF(D35="FULL",1,IF(D35="PARTIAL",0.5,IF(D35="FAIL",0,""))))</f>
        <v/>
      </c>
      <c r="F35" s="7">
        <f>IF(E35="",0,C35*E35)</f>
        <v/>
      </c>
      <c r="G35" s="7">
        <f>IF(B35="I1",20*AVERAGEIF('QA_Images'!$A$2:$A$72,A35,'QA_Images'!$U$2:$U$72)/100,IF(D35="NOT_CHECKED",0,C35))</f>
        <v/>
      </c>
      <c r="H35" s="3" t="inlineStr">
        <is>
          <t>Product identity, handle, product ID, URL and canonical match source/live evidence. Product key/handle/product ID/canonical checked against frozen workbook and live product evidence.</t>
        </is>
      </c>
      <c r="I35" s="3" t="inlineStr">
        <is>
          <t>evidence_batch_016_154</t>
        </is>
      </c>
      <c r="J35" s="3" t="inlineStr">
        <is>
          <t>ISSUE-0031; ISSUE-0032; ISSUE-0033; ISSUE-0034; ISSUE-0035; ISSUE-0036</t>
        </is>
      </c>
    </row>
    <row r="36" ht="42" customHeight="1">
      <c r="A36" s="2" t="inlineStr">
        <is>
          <t>jeminise.com+i-am-who-he-says-i-am-christian-scripture-blanket-inspirational</t>
        </is>
      </c>
      <c r="B36" s="2" t="inlineStr">
        <is>
          <t>P2</t>
        </is>
      </c>
      <c r="C36" s="2" t="n">
        <v>10</v>
      </c>
      <c r="D36" s="2" t="inlineStr">
        <is>
          <t>PARTIAL</t>
        </is>
      </c>
      <c r="E36" s="5">
        <f>IF(B36="I1",AVERAGEIF('QA_Images'!$A$2:$A$72,A36,'QA_Images'!$T$2:$T$72)/100,IF(D36="FULL",1,IF(D36="PARTIAL",0.5,IF(D36="FAIL",0,""))))</f>
        <v/>
      </c>
      <c r="F36" s="5">
        <f>IF(E36="",0,C36*E36)</f>
        <v/>
      </c>
      <c r="G36" s="5">
        <f>IF(B36="I1",20*AVERAGEIF('QA_Images'!$A$2:$A$72,A36,'QA_Images'!$U$2:$U$72)/100,IF(D36="NOT_CHECKED",0,C36))</f>
        <v/>
      </c>
      <c r="H36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36" s="2" t="inlineStr">
        <is>
          <t>evidence_batch_016_154</t>
        </is>
      </c>
      <c r="J36" s="2" t="inlineStr">
        <is>
          <t>ISSUE-0031; ISSUE-0032; ISSUE-0033; ISSUE-0034; ISSUE-0035; ISSUE-0036</t>
        </is>
      </c>
    </row>
    <row r="37" ht="42" customHeight="1">
      <c r="A37" s="3" t="inlineStr">
        <is>
          <t>jeminise.com+i-am-who-he-says-i-am-christian-scripture-blanket-inspirational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IF(B37="I1",AVERAGEIF('QA_Images'!$A$2:$A$72,A37,'QA_Images'!$T$2:$T$72)/100,IF(D37="FULL",1,IF(D37="PARTIAL",0.5,IF(D37="FAIL",0,""))))</f>
        <v/>
      </c>
      <c r="F37" s="7">
        <f>IF(E37="",0,C37*E37)</f>
        <v/>
      </c>
      <c r="G37" s="7">
        <f>IF(B37="I1",20*AVERAGEIF('QA_Images'!$A$2:$A$72,A37,'QA_Images'!$U$2:$U$72)/100,IF(D37="NOT_CHECKED",0,C37))</f>
        <v/>
      </c>
      <c r="H37" s="3" t="inlineStr">
        <is>
          <t>Primary keyword aligns with product-level US purchase intent. Primary keyword rechecked against US product-level SERP comparables.</t>
        </is>
      </c>
      <c r="I37" s="3" t="inlineStr">
        <is>
          <t>evidence_batch_016_154</t>
        </is>
      </c>
      <c r="J37" s="3" t="inlineStr">
        <is>
          <t>ISSUE-0031; ISSUE-0032; ISSUE-0033; ISSUE-0034; ISSUE-0035; ISSUE-0036</t>
        </is>
      </c>
    </row>
    <row r="38" ht="42" customHeight="1">
      <c r="A38" s="2" t="inlineStr">
        <is>
          <t>jeminise.com+i-am-who-he-says-i-am-christian-scripture-blanket-inspirational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IF(B38="I1",AVERAGEIF('QA_Images'!$A$2:$A$72,A38,'QA_Images'!$T$2:$T$72)/100,IF(D38="FULL",1,IF(D38="PARTIAL",0.5,IF(D38="FAIL",0,""))))</f>
        <v/>
      </c>
      <c r="F38" s="5">
        <f>IF(E38="",0,C38*E38)</f>
        <v/>
      </c>
      <c r="G38" s="5">
        <f>IF(B38="I1",20*AVERAGEIF('QA_Images'!$A$2:$A$72,A38,'QA_Images'!$U$2:$U$72)/100,IF(D38="NOT_CHECKED",0,C38))</f>
        <v/>
      </c>
      <c r="H38" s="2" t="inlineStr">
        <is>
          <t>Intent/cannibalization check distinguishes nearby products. Nearby product cluster has overlap risk, so intent distinction remains only partial.</t>
        </is>
      </c>
      <c r="I38" s="2" t="inlineStr">
        <is>
          <t>evidence_batch_016_154</t>
        </is>
      </c>
      <c r="J38" s="2" t="inlineStr">
        <is>
          <t>ISSUE-0031; ISSUE-0032; ISSUE-0033; ISSUE-0034; ISSUE-0035; ISSUE-0036</t>
        </is>
      </c>
    </row>
    <row r="39" ht="42" customHeight="1">
      <c r="A39" s="3" t="inlineStr">
        <is>
          <t>jeminise.com+i-am-who-he-says-i-am-christian-scripture-blanket-inspirational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IF(B39="I1",AVERAGEIF('QA_Images'!$A$2:$A$72,A39,'QA_Images'!$T$2:$T$72)/100,IF(D39="FULL",1,IF(D39="PARTIAL",0.5,IF(D39="FAIL",0,""))))</f>
        <v/>
      </c>
      <c r="F39" s="7">
        <f>IF(E39="",0,C39*E39)</f>
        <v/>
      </c>
      <c r="G39" s="7">
        <f>IF(B39="I1",20*AVERAGEIF('QA_Images'!$A$2:$A$72,A39,'QA_Images'!$U$2:$U$72)/100,IF(D39="NOT_CHECKED",0,C39))</f>
        <v/>
      </c>
      <c r="H39" s="3" t="inlineStr">
        <is>
          <t>Keyword evidence is supported by SERP comparables without unsupported volume claims. Evidence is public SERP only; no Search Console, keyword volume or customer-search corpus provided.</t>
        </is>
      </c>
      <c r="I39" s="3" t="inlineStr">
        <is>
          <t>evidence_batch_016_154</t>
        </is>
      </c>
      <c r="J39" s="3" t="inlineStr">
        <is>
          <t>ISSUE-0031; ISSUE-0032; ISSUE-0033; ISSUE-0034; ISSUE-0035; ISSUE-0036</t>
        </is>
      </c>
    </row>
    <row r="40" ht="42" customHeight="1">
      <c r="A40" s="2" t="inlineStr">
        <is>
          <t>jeminise.com+i-am-who-he-says-i-am-christian-scripture-blanket-inspirational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5">
        <f>IF(B40="I1",AVERAGEIF('QA_Images'!$A$2:$A$72,A40,'QA_Images'!$T$2:$T$72)/100,IF(D40="FULL",1,IF(D40="PARTIAL",0.5,IF(D40="FAIL",0,""))))</f>
        <v/>
      </c>
      <c r="F40" s="5">
        <f>IF(E40="",0,C40*E40)</f>
        <v/>
      </c>
      <c r="G40" s="5">
        <f>IF(B40="I1",20*AVERAGEIF('QA_Images'!$A$2:$A$72,A40,'QA_Images'!$U$2:$U$72)/100,IF(D40="NOT_CHECKED",0,C40))</f>
        <v/>
      </c>
      <c r="H40" s="2" t="inlineStr">
        <is>
          <t>SEO title and H1 are relevant, specific and grounded in visible/source facts. Proposed H1 is blank, so the title/H1 pair cannot be fully verified.</t>
        </is>
      </c>
      <c r="I40" s="2" t="inlineStr">
        <is>
          <t>evidence_batch_016_154</t>
        </is>
      </c>
      <c r="J40" s="2" t="inlineStr">
        <is>
          <t>ISSUE-0031; ISSUE-0032; ISSUE-0033; ISSUE-0034; ISSUE-0035; ISSUE-0036</t>
        </is>
      </c>
    </row>
    <row r="41" ht="42" customHeight="1">
      <c r="A41" s="3" t="inlineStr">
        <is>
          <t>jeminise.com+i-am-who-he-says-i-am-christian-scripture-blanket-inspirational</t>
        </is>
      </c>
      <c r="B41" s="3" t="inlineStr">
        <is>
          <t>T2</t>
        </is>
      </c>
      <c r="C41" s="3" t="n">
        <v>5</v>
      </c>
      <c r="D41" s="3" t="inlineStr">
        <is>
          <t>PARTIAL</t>
        </is>
      </c>
      <c r="E41" s="7">
        <f>IF(B41="I1",AVERAGEIF('QA_Images'!$A$2:$A$72,A41,'QA_Images'!$T$2:$T$72)/100,IF(D41="FULL",1,IF(D41="PARTIAL",0.5,IF(D41="FAIL",0,""))))</f>
        <v/>
      </c>
      <c r="F41" s="7">
        <f>IF(E41="",0,C41*E41)</f>
        <v/>
      </c>
      <c r="G41" s="7">
        <f>IF(B41="I1",20*AVERAGEIF('QA_Images'!$A$2:$A$72,A41,'QA_Images'!$U$2:$U$72)/100,IF(D41="NOT_CHECKED",0,C41))</f>
        <v/>
      </c>
      <c r="H41" s="3" t="inlineStr">
        <is>
          <t>Meta description is concise, publish-ready and avoids unsupported claims. Meta description checked for length, specificity and supportable claims.</t>
        </is>
      </c>
      <c r="I41" s="3" t="inlineStr">
        <is>
          <t>evidence_batch_016_154</t>
        </is>
      </c>
      <c r="J41" s="3" t="inlineStr">
        <is>
          <t>ISSUE-0031; ISSUE-0032; ISSUE-0033; ISSUE-0034; ISSUE-0035; ISSUE-0036</t>
        </is>
      </c>
    </row>
    <row r="42" ht="42" customHeight="1">
      <c r="A42" s="2" t="inlineStr">
        <is>
          <t>jeminise.com+i-am-who-he-says-i-am-christian-scripture-blanket-inspirational</t>
        </is>
      </c>
      <c r="B42" s="2" t="inlineStr">
        <is>
          <t>D1</t>
        </is>
      </c>
      <c r="C42" s="2" t="n">
        <v>10</v>
      </c>
      <c r="D42" s="2" t="inlineStr">
        <is>
          <t>FAIL</t>
        </is>
      </c>
      <c r="E42" s="5">
        <f>IF(B42="I1",AVERAGEIF('QA_Images'!$A$2:$A$72,A42,'QA_Images'!$T$2:$T$72)/100,IF(D42="FULL",1,IF(D42="PARTIAL",0.5,IF(D42="FAIL",0,""))))</f>
        <v/>
      </c>
      <c r="F42" s="5">
        <f>IF(E42="",0,C42*E42)</f>
        <v/>
      </c>
      <c r="G42" s="5">
        <f>IF(B42="I1",20*AVERAGEIF('QA_Images'!$A$2:$A$72,A42,'QA_Images'!$U$2:$U$72)/100,IF(D42="NOT_CHECKED",0,C42))</f>
        <v/>
      </c>
      <c r="H42" s="2" t="inlineStr">
        <is>
          <t>Description HTML is publish-ready and free of internal draft/QA instructions. Description HTML still contains internal QA/import language.</t>
        </is>
      </c>
      <c r="I42" s="2" t="inlineStr">
        <is>
          <t>evidence_batch_016_154</t>
        </is>
      </c>
      <c r="J42" s="2" t="inlineStr">
        <is>
          <t>ISSUE-0031; ISSUE-0032; ISSUE-0033; ISSUE-0034; ISSUE-0035; ISSUE-0036</t>
        </is>
      </c>
    </row>
    <row r="43" ht="42" customHeight="1">
      <c r="A43" s="3" t="inlineStr">
        <is>
          <t>jeminise.com+i-am-who-he-says-i-am-christian-scripture-blanket-inspirational</t>
        </is>
      </c>
      <c r="B43" s="3" t="inlineStr">
        <is>
          <t>D2</t>
        </is>
      </c>
      <c r="C43" s="3" t="n">
        <v>5</v>
      </c>
      <c r="D43" s="3" t="inlineStr">
        <is>
          <t>PARTIAL</t>
        </is>
      </c>
      <c r="E43" s="7">
        <f>IF(B43="I1",AVERAGEIF('QA_Images'!$A$2:$A$72,A43,'QA_Images'!$T$2:$T$72)/100,IF(D43="FULL",1,IF(D43="PARTIAL",0.5,IF(D43="FAIL",0,""))))</f>
        <v/>
      </c>
      <c r="F43" s="7">
        <f>IF(E43="",0,C43*E43)</f>
        <v/>
      </c>
      <c r="G43" s="7">
        <f>IF(B43="I1",20*AVERAGEIF('QA_Images'!$A$2:$A$72,A43,'QA_Images'!$U$2:$U$72)/100,IF(D43="NOT_CHECKED",0,C43))</f>
        <v/>
      </c>
      <c r="H43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43" s="3" t="inlineStr">
        <is>
          <t>evidence_batch_016_154</t>
        </is>
      </c>
      <c r="J43" s="3" t="inlineStr">
        <is>
          <t>ISSUE-0031; ISSUE-0032; ISSUE-0033; ISSUE-0034; ISSUE-0035; ISSUE-0036</t>
        </is>
      </c>
    </row>
    <row r="44" ht="42" customHeight="1">
      <c r="A44" s="2" t="inlineStr">
        <is>
          <t>jeminise.com+i-am-who-he-says-i-am-christian-scripture-blanket-inspirational</t>
        </is>
      </c>
      <c r="B44" s="2" t="inlineStr">
        <is>
          <t>I1</t>
        </is>
      </c>
      <c r="C44" s="2" t="n">
        <v>20</v>
      </c>
      <c r="D44" s="2" t="inlineStr">
        <is>
          <t>FULL</t>
        </is>
      </c>
      <c r="E44" s="5">
        <f>IF(B44="I1",AVERAGEIF('QA_Images'!$A$2:$A$72,A44,'QA_Images'!$T$2:$T$72)/100,IF(D44="FULL",1,IF(D44="PARTIAL",0.5,IF(D44="FAIL",0,""))))</f>
        <v/>
      </c>
      <c r="F44" s="5">
        <f>IF(E44="",0,C44*E44)</f>
        <v/>
      </c>
      <c r="G44" s="5">
        <f>IF(B44="I1",20*AVERAGEIF('QA_Images'!$A$2:$A$72,A44,'QA_Images'!$U$2:$U$72)/100,IF(D44="NOT_CHECKED",0,C44))</f>
        <v/>
      </c>
      <c r="H44" s="2" t="inlineStr">
        <is>
          <t>Image coverage, image observations and alt text quality, derived from QA_Images. Derived from average image QA score; see QA_Images.</t>
        </is>
      </c>
      <c r="I44" s="2" t="inlineStr">
        <is>
          <t>evidence_batch_016_154</t>
        </is>
      </c>
      <c r="J44" s="2" t="inlineStr">
        <is>
          <t>ISSUE-0031; ISSUE-0032; ISSUE-0033; ISSUE-0034; ISSUE-0035; ISSUE-0036</t>
        </is>
      </c>
    </row>
    <row r="45" ht="42" customHeight="1">
      <c r="A45" s="3" t="inlineStr">
        <is>
          <t>jeminise.com+i-am-who-he-says-i-am-christian-scripture-blanket-inspirational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IF(B45="I1",AVERAGEIF('QA_Images'!$A$2:$A$72,A45,'QA_Images'!$T$2:$T$72)/100,IF(D45="FULL",1,IF(D45="PARTIAL",0.5,IF(D45="FAIL",0,""))))</f>
        <v/>
      </c>
      <c r="F45" s="7">
        <f>IF(E45="",0,C45*E45)</f>
        <v/>
      </c>
      <c r="G45" s="7">
        <f>IF(B45="I1",20*AVERAGEIF('QA_Images'!$A$2:$A$72,A45,'QA_Images'!$U$2:$U$72)/100,IF(D45="NOT_CHECKED",0,C45))</f>
        <v/>
      </c>
      <c r="H45" s="3" t="inlineStr">
        <is>
          <t>Evidence chain is traceable and limitations are explicitly separated from failures. Evidence chain is traceable, with admin-export limitation explicitly separated.</t>
        </is>
      </c>
      <c r="I45" s="3" t="inlineStr">
        <is>
          <t>evidence_batch_016_154</t>
        </is>
      </c>
      <c r="J45" s="3" t="inlineStr">
        <is>
          <t>ISSUE-0031; ISSUE-0032; ISSUE-0033; ISSUE-0034; ISSUE-0035; ISSUE-0036</t>
        </is>
      </c>
    </row>
    <row r="46" ht="42" customHeight="1">
      <c r="A46" s="2" t="inlineStr">
        <is>
          <t>jeminise.com+nature-and-mythology-tree-of-life-quilt-set-with-twisted-tree-trunk-ceb2e637d5-ceb2e637d5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IF(B46="I1",AVERAGEIF('QA_Images'!$A$2:$A$72,A46,'QA_Images'!$T$2:$T$72)/100,IF(D46="FULL",1,IF(D46="PARTIAL",0.5,IF(D46="FAIL",0,""))))</f>
        <v/>
      </c>
      <c r="F46" s="5">
        <f>IF(E46="",0,C46*E46)</f>
        <v/>
      </c>
      <c r="G46" s="5">
        <f>IF(B46="I1",20*AVERAGEIF('QA_Images'!$A$2:$A$72,A46,'QA_Images'!$U$2:$U$72)/100,IF(D46="NOT_CHECKED",0,C46))</f>
        <v/>
      </c>
      <c r="H46" s="2" t="inlineStr">
        <is>
          <t>Product identity, handle, product ID, URL and canonical match source/live evidence. Product key/handle/product ID/canonical checked against frozen workbook and live product evidence.</t>
        </is>
      </c>
      <c r="I46" s="2" t="inlineStr">
        <is>
          <t>evidence_batch_016_155</t>
        </is>
      </c>
      <c r="J46" s="2" t="inlineStr">
        <is>
          <t>ISSUE-0043; ISSUE-0044; ISSUE-0045; ISSUE-0046; ISSUE-0047</t>
        </is>
      </c>
    </row>
    <row r="47" ht="42" customHeight="1">
      <c r="A47" s="3" t="inlineStr">
        <is>
          <t>jeminise.com+nature-and-mythology-tree-of-life-quilt-set-with-twisted-tree-trunk-ceb2e637d5-ceb2e637d5</t>
        </is>
      </c>
      <c r="B47" s="3" t="inlineStr">
        <is>
          <t>P2</t>
        </is>
      </c>
      <c r="C47" s="3" t="n">
        <v>10</v>
      </c>
      <c r="D47" s="3" t="inlineStr">
        <is>
          <t>PARTIAL</t>
        </is>
      </c>
      <c r="E47" s="7">
        <f>IF(B47="I1",AVERAGEIF('QA_Images'!$A$2:$A$72,A47,'QA_Images'!$T$2:$T$72)/100,IF(D47="FULL",1,IF(D47="PARTIAL",0.5,IF(D47="FAIL",0,""))))</f>
        <v/>
      </c>
      <c r="F47" s="7">
        <f>IF(E47="",0,C47*E47)</f>
        <v/>
      </c>
      <c r="G47" s="7">
        <f>IF(B47="I1",20*AVERAGEIF('QA_Images'!$A$2:$A$72,A47,'QA_Images'!$U$2:$U$72)/100,IF(D47="NOT_CHECKED",0,C47))</f>
        <v/>
      </c>
      <c r="H47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47" s="3" t="inlineStr">
        <is>
          <t>evidence_batch_016_155</t>
        </is>
      </c>
      <c r="J47" s="3" t="inlineStr">
        <is>
          <t>ISSUE-0043; ISSUE-0044; ISSUE-0045; ISSUE-0046; ISSUE-0047</t>
        </is>
      </c>
    </row>
    <row r="48" ht="42" customHeight="1">
      <c r="A48" s="2" t="inlineStr">
        <is>
          <t>jeminise.com+nature-and-mythology-tree-of-life-quilt-set-with-twisted-tree-trunk-ceb2e637d5-ceb2e637d5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IF(B48="I1",AVERAGEIF('QA_Images'!$A$2:$A$72,A48,'QA_Images'!$T$2:$T$72)/100,IF(D48="FULL",1,IF(D48="PARTIAL",0.5,IF(D48="FAIL",0,""))))</f>
        <v/>
      </c>
      <c r="F48" s="5">
        <f>IF(E48="",0,C48*E48)</f>
        <v/>
      </c>
      <c r="G48" s="5">
        <f>IF(B48="I1",20*AVERAGEIF('QA_Images'!$A$2:$A$72,A48,'QA_Images'!$U$2:$U$72)/100,IF(D48="NOT_CHECKED",0,C48))</f>
        <v/>
      </c>
      <c r="H48" s="2" t="inlineStr">
        <is>
          <t>Primary keyword aligns with product-level US purchase intent. Primary keyword rechecked against US product-level SERP comparables.</t>
        </is>
      </c>
      <c r="I48" s="2" t="inlineStr">
        <is>
          <t>evidence_batch_016_155</t>
        </is>
      </c>
      <c r="J48" s="2" t="inlineStr">
        <is>
          <t>ISSUE-0043; ISSUE-0044; ISSUE-0045; ISSUE-0046; ISSUE-0047</t>
        </is>
      </c>
    </row>
    <row r="49" ht="42" customHeight="1">
      <c r="A49" s="3" t="inlineStr">
        <is>
          <t>jeminise.com+nature-and-mythology-tree-of-life-quilt-set-with-twisted-tree-trunk-ceb2e637d5-ceb2e637d5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IF(B49="I1",AVERAGEIF('QA_Images'!$A$2:$A$72,A49,'QA_Images'!$T$2:$T$72)/100,IF(D49="FULL",1,IF(D49="PARTIAL",0.5,IF(D49="FAIL",0,""))))</f>
        <v/>
      </c>
      <c r="F49" s="7">
        <f>IF(E49="",0,C49*E49)</f>
        <v/>
      </c>
      <c r="G49" s="7">
        <f>IF(B49="I1",20*AVERAGEIF('QA_Images'!$A$2:$A$72,A49,'QA_Images'!$U$2:$U$72)/100,IF(D49="NOT_CHECKED",0,C49))</f>
        <v/>
      </c>
      <c r="H49" s="3" t="inlineStr">
        <is>
          <t>Intent/cannibalization check distinguishes nearby products. Nearby product cluster has overlap risk, so intent distinction remains only partial.</t>
        </is>
      </c>
      <c r="I49" s="3" t="inlineStr">
        <is>
          <t>evidence_batch_016_155</t>
        </is>
      </c>
      <c r="J49" s="3" t="inlineStr">
        <is>
          <t>ISSUE-0043; ISSUE-0044; ISSUE-0045; ISSUE-0046; ISSUE-0047</t>
        </is>
      </c>
    </row>
    <row r="50" ht="42" customHeight="1">
      <c r="A50" s="2" t="inlineStr">
        <is>
          <t>jeminise.com+nature-and-mythology-tree-of-life-quilt-set-with-twisted-tree-trunk-ceb2e637d5-ceb2e637d5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IF(B50="I1",AVERAGEIF('QA_Images'!$A$2:$A$72,A50,'QA_Images'!$T$2:$T$72)/100,IF(D50="FULL",1,IF(D50="PARTIAL",0.5,IF(D50="FAIL",0,""))))</f>
        <v/>
      </c>
      <c r="F50" s="5">
        <f>IF(E50="",0,C50*E50)</f>
        <v/>
      </c>
      <c r="G50" s="5">
        <f>IF(B50="I1",20*AVERAGEIF('QA_Images'!$A$2:$A$72,A50,'QA_Images'!$U$2:$U$72)/100,IF(D50="NOT_CHECKED",0,C50))</f>
        <v/>
      </c>
      <c r="H50" s="2" t="inlineStr">
        <is>
          <t>Keyword evidence is supported by SERP comparables without unsupported volume claims. Evidence is public SERP only; no Search Console, keyword volume or customer-search corpus provided.</t>
        </is>
      </c>
      <c r="I50" s="2" t="inlineStr">
        <is>
          <t>evidence_batch_016_155</t>
        </is>
      </c>
      <c r="J50" s="2" t="inlineStr">
        <is>
          <t>ISSUE-0043; ISSUE-0044; ISSUE-0045; ISSUE-0046; ISSUE-0047</t>
        </is>
      </c>
    </row>
    <row r="51" ht="42" customHeight="1">
      <c r="A51" s="3" t="inlineStr">
        <is>
          <t>jeminise.com+nature-and-mythology-tree-of-life-quilt-set-with-twisted-tree-trunk-ceb2e637d5-ceb2e637d5</t>
        </is>
      </c>
      <c r="B51" s="3" t="inlineStr">
        <is>
          <t>T1</t>
        </is>
      </c>
      <c r="C51" s="3" t="n">
        <v>10</v>
      </c>
      <c r="D51" s="3" t="inlineStr">
        <is>
          <t>PARTIAL</t>
        </is>
      </c>
      <c r="E51" s="7">
        <f>IF(B51="I1",AVERAGEIF('QA_Images'!$A$2:$A$72,A51,'QA_Images'!$T$2:$T$72)/100,IF(D51="FULL",1,IF(D51="PARTIAL",0.5,IF(D51="FAIL",0,""))))</f>
        <v/>
      </c>
      <c r="F51" s="7">
        <f>IF(E51="",0,C51*E51)</f>
        <v/>
      </c>
      <c r="G51" s="7">
        <f>IF(B51="I1",20*AVERAGEIF('QA_Images'!$A$2:$A$72,A51,'QA_Images'!$U$2:$U$72)/100,IF(D51="NOT_CHECKED",0,C51))</f>
        <v/>
      </c>
      <c r="H51" s="3" t="inlineStr">
        <is>
          <t>SEO title and H1 are relevant, specific and grounded in visible/source facts. Proposed H1 is blank, so the title/H1 pair cannot be fully verified.</t>
        </is>
      </c>
      <c r="I51" s="3" t="inlineStr">
        <is>
          <t>evidence_batch_016_155</t>
        </is>
      </c>
      <c r="J51" s="3" t="inlineStr">
        <is>
          <t>ISSUE-0043; ISSUE-0044; ISSUE-0045; ISSUE-0046; ISSUE-0047</t>
        </is>
      </c>
    </row>
    <row r="52" ht="42" customHeight="1">
      <c r="A52" s="2" t="inlineStr">
        <is>
          <t>jeminise.com+nature-and-mythology-tree-of-life-quilt-set-with-twisted-tree-trunk-ceb2e637d5-ceb2e637d5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5">
        <f>IF(B52="I1",AVERAGEIF('QA_Images'!$A$2:$A$72,A52,'QA_Images'!$T$2:$T$72)/100,IF(D52="FULL",1,IF(D52="PARTIAL",0.5,IF(D52="FAIL",0,""))))</f>
        <v/>
      </c>
      <c r="F52" s="5">
        <f>IF(E52="",0,C52*E52)</f>
        <v/>
      </c>
      <c r="G52" s="5">
        <f>IF(B52="I1",20*AVERAGEIF('QA_Images'!$A$2:$A$72,A52,'QA_Images'!$U$2:$U$72)/100,IF(D52="NOT_CHECKED",0,C52))</f>
        <v/>
      </c>
      <c r="H52" s="2" t="inlineStr">
        <is>
          <t>Meta description is concise, publish-ready and avoids unsupported claims. Meta description checked for length, specificity and supportable claims.</t>
        </is>
      </c>
      <c r="I52" s="2" t="inlineStr">
        <is>
          <t>evidence_batch_016_155</t>
        </is>
      </c>
      <c r="J52" s="2" t="inlineStr">
        <is>
          <t>ISSUE-0043; ISSUE-0044; ISSUE-0045; ISSUE-0046; ISSUE-0047</t>
        </is>
      </c>
    </row>
    <row r="53" ht="42" customHeight="1">
      <c r="A53" s="3" t="inlineStr">
        <is>
          <t>jeminise.com+nature-and-mythology-tree-of-life-quilt-set-with-twisted-tree-trunk-ceb2e637d5-ceb2e637d5</t>
        </is>
      </c>
      <c r="B53" s="3" t="inlineStr">
        <is>
          <t>D1</t>
        </is>
      </c>
      <c r="C53" s="3" t="n">
        <v>10</v>
      </c>
      <c r="D53" s="3" t="inlineStr">
        <is>
          <t>FAIL</t>
        </is>
      </c>
      <c r="E53" s="7">
        <f>IF(B53="I1",AVERAGEIF('QA_Images'!$A$2:$A$72,A53,'QA_Images'!$T$2:$T$72)/100,IF(D53="FULL",1,IF(D53="PARTIAL",0.5,IF(D53="FAIL",0,""))))</f>
        <v/>
      </c>
      <c r="F53" s="7">
        <f>IF(E53="",0,C53*E53)</f>
        <v/>
      </c>
      <c r="G53" s="7">
        <f>IF(B53="I1",20*AVERAGEIF('QA_Images'!$A$2:$A$72,A53,'QA_Images'!$U$2:$U$72)/100,IF(D53="NOT_CHECKED",0,C53))</f>
        <v/>
      </c>
      <c r="H53" s="3" t="inlineStr">
        <is>
          <t>Description HTML is publish-ready and free of internal draft/QA instructions. Description HTML still contains internal QA/import language.</t>
        </is>
      </c>
      <c r="I53" s="3" t="inlineStr">
        <is>
          <t>evidence_batch_016_155</t>
        </is>
      </c>
      <c r="J53" s="3" t="inlineStr">
        <is>
          <t>ISSUE-0043; ISSUE-0044; ISSUE-0045; ISSUE-0046; ISSUE-0047</t>
        </is>
      </c>
    </row>
    <row r="54" ht="42" customHeight="1">
      <c r="A54" s="2" t="inlineStr">
        <is>
          <t>jeminise.com+nature-and-mythology-tree-of-life-quilt-set-with-twisted-tree-trunk-ceb2e637d5-ceb2e637d5</t>
        </is>
      </c>
      <c r="B54" s="2" t="inlineStr">
        <is>
          <t>D2</t>
        </is>
      </c>
      <c r="C54" s="2" t="n">
        <v>5</v>
      </c>
      <c r="D54" s="2" t="inlineStr">
        <is>
          <t>PARTIAL</t>
        </is>
      </c>
      <c r="E54" s="5">
        <f>IF(B54="I1",AVERAGEIF('QA_Images'!$A$2:$A$72,A54,'QA_Images'!$T$2:$T$72)/100,IF(D54="FULL",1,IF(D54="PARTIAL",0.5,IF(D54="FAIL",0,""))))</f>
        <v/>
      </c>
      <c r="F54" s="5">
        <f>IF(E54="",0,C54*E54)</f>
        <v/>
      </c>
      <c r="G54" s="5">
        <f>IF(B54="I1",20*AVERAGEIF('QA_Images'!$A$2:$A$72,A54,'QA_Images'!$U$2:$U$72)/100,IF(D54="NOT_CHECKED",0,C54))</f>
        <v/>
      </c>
      <c r="H54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54" s="2" t="inlineStr">
        <is>
          <t>evidence_batch_016_155</t>
        </is>
      </c>
      <c r="J54" s="2" t="inlineStr">
        <is>
          <t>ISSUE-0043; ISSUE-0044; ISSUE-0045; ISSUE-0046; ISSUE-0047</t>
        </is>
      </c>
    </row>
    <row r="55" ht="42" customHeight="1">
      <c r="A55" s="3" t="inlineStr">
        <is>
          <t>jeminise.com+nature-and-mythology-tree-of-life-quilt-set-with-twisted-tree-trunk-ceb2e637d5-ceb2e637d5</t>
        </is>
      </c>
      <c r="B55" s="3" t="inlineStr">
        <is>
          <t>I1</t>
        </is>
      </c>
      <c r="C55" s="3" t="n">
        <v>20</v>
      </c>
      <c r="D55" s="3" t="inlineStr">
        <is>
          <t>FULL</t>
        </is>
      </c>
      <c r="E55" s="7">
        <f>IF(B55="I1",AVERAGEIF('QA_Images'!$A$2:$A$72,A55,'QA_Images'!$T$2:$T$72)/100,IF(D55="FULL",1,IF(D55="PARTIAL",0.5,IF(D55="FAIL",0,""))))</f>
        <v/>
      </c>
      <c r="F55" s="7">
        <f>IF(E55="",0,C55*E55)</f>
        <v/>
      </c>
      <c r="G55" s="7">
        <f>IF(B55="I1",20*AVERAGEIF('QA_Images'!$A$2:$A$72,A55,'QA_Images'!$U$2:$U$72)/100,IF(D55="NOT_CHECKED",0,C55))</f>
        <v/>
      </c>
      <c r="H55" s="3" t="inlineStr">
        <is>
          <t>Image coverage, image observations and alt text quality, derived from QA_Images. Derived from average image QA score; see QA_Images.</t>
        </is>
      </c>
      <c r="I55" s="3" t="inlineStr">
        <is>
          <t>evidence_batch_016_155</t>
        </is>
      </c>
      <c r="J55" s="3" t="inlineStr">
        <is>
          <t>ISSUE-0043; ISSUE-0044; ISSUE-0045; ISSUE-0046; ISSUE-0047</t>
        </is>
      </c>
    </row>
    <row r="56" ht="42" customHeight="1">
      <c r="A56" s="2" t="inlineStr">
        <is>
          <t>jeminise.com+nature-and-mythology-tree-of-life-quilt-set-with-twisted-tree-trunk-ceb2e637d5-ceb2e637d5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IF(B56="I1",AVERAGEIF('QA_Images'!$A$2:$A$72,A56,'QA_Images'!$T$2:$T$72)/100,IF(D56="FULL",1,IF(D56="PARTIAL",0.5,IF(D56="FAIL",0,""))))</f>
        <v/>
      </c>
      <c r="F56" s="5">
        <f>IF(E56="",0,C56*E56)</f>
        <v/>
      </c>
      <c r="G56" s="5">
        <f>IF(B56="I1",20*AVERAGEIF('QA_Images'!$A$2:$A$72,A56,'QA_Images'!$U$2:$U$72)/100,IF(D56="NOT_CHECKED",0,C56))</f>
        <v/>
      </c>
      <c r="H56" s="2" t="inlineStr">
        <is>
          <t>Evidence chain is traceable and limitations are explicitly separated from failures. Evidence chain is traceable, with admin-export limitation explicitly separated.</t>
        </is>
      </c>
      <c r="I56" s="2" t="inlineStr">
        <is>
          <t>evidence_batch_016_155</t>
        </is>
      </c>
      <c r="J56" s="2" t="inlineStr">
        <is>
          <t>ISSUE-0043; ISSUE-0044; ISSUE-0045; ISSUE-0046; ISSUE-0047</t>
        </is>
      </c>
    </row>
    <row r="57" ht="42" customHeight="1">
      <c r="A57" s="3" t="inlineStr">
        <is>
          <t>jeminise.com+nature-tree-of-life-quilt-set-with-blooming-tree-and-bedroom-and-exposed-roots-d5450715a6-d5450715a6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IF(B57="I1",AVERAGEIF('QA_Images'!$A$2:$A$72,A57,'QA_Images'!$T$2:$T$72)/100,IF(D57="FULL",1,IF(D57="PARTIAL",0.5,IF(D57="FAIL",0,""))))</f>
        <v/>
      </c>
      <c r="F57" s="7">
        <f>IF(E57="",0,C57*E57)</f>
        <v/>
      </c>
      <c r="G57" s="7">
        <f>IF(B57="I1",20*AVERAGEIF('QA_Images'!$A$2:$A$72,A57,'QA_Images'!$U$2:$U$72)/100,IF(D57="NOT_CHECKED",0,C57))</f>
        <v/>
      </c>
      <c r="H57" s="3" t="inlineStr">
        <is>
          <t>Product identity, handle, product ID, URL and canonical match source/live evidence. Product key/handle/product ID/canonical checked against frozen workbook and live product evidence.</t>
        </is>
      </c>
      <c r="I57" s="3" t="inlineStr">
        <is>
          <t>evidence_batch_016_156</t>
        </is>
      </c>
      <c r="J57" s="3" t="inlineStr">
        <is>
          <t>ISSUE-0053; ISSUE-0054; ISSUE-0055; ISSUE-0056; ISSUE-0057</t>
        </is>
      </c>
    </row>
    <row r="58" ht="42" customHeight="1">
      <c r="A58" s="2" t="inlineStr">
        <is>
          <t>jeminise.com+nature-tree-of-life-quilt-set-with-blooming-tree-and-bedroom-and-exposed-roots-d5450715a6-d5450715a6</t>
        </is>
      </c>
      <c r="B58" s="2" t="inlineStr">
        <is>
          <t>P2</t>
        </is>
      </c>
      <c r="C58" s="2" t="n">
        <v>10</v>
      </c>
      <c r="D58" s="2" t="inlineStr">
        <is>
          <t>PARTIAL</t>
        </is>
      </c>
      <c r="E58" s="5">
        <f>IF(B58="I1",AVERAGEIF('QA_Images'!$A$2:$A$72,A58,'QA_Images'!$T$2:$T$72)/100,IF(D58="FULL",1,IF(D58="PARTIAL",0.5,IF(D58="FAIL",0,""))))</f>
        <v/>
      </c>
      <c r="F58" s="5">
        <f>IF(E58="",0,C58*E58)</f>
        <v/>
      </c>
      <c r="G58" s="5">
        <f>IF(B58="I1",20*AVERAGEIF('QA_Images'!$A$2:$A$72,A58,'QA_Images'!$U$2:$U$72)/100,IF(D58="NOT_CHECKED",0,C58))</f>
        <v/>
      </c>
      <c r="H58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58" s="2" t="inlineStr">
        <is>
          <t>evidence_batch_016_156</t>
        </is>
      </c>
      <c r="J58" s="2" t="inlineStr">
        <is>
          <t>ISSUE-0053; ISSUE-0054; ISSUE-0055; ISSUE-0056; ISSUE-0057</t>
        </is>
      </c>
    </row>
    <row r="59" ht="42" customHeight="1">
      <c r="A59" s="3" t="inlineStr">
        <is>
          <t>jeminise.com+nature-tree-of-life-quilt-set-with-blooming-tree-and-bedroom-and-exposed-roots-d5450715a6-d5450715a6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IF(B59="I1",AVERAGEIF('QA_Images'!$A$2:$A$72,A59,'QA_Images'!$T$2:$T$72)/100,IF(D59="FULL",1,IF(D59="PARTIAL",0.5,IF(D59="FAIL",0,""))))</f>
        <v/>
      </c>
      <c r="F59" s="7">
        <f>IF(E59="",0,C59*E59)</f>
        <v/>
      </c>
      <c r="G59" s="7">
        <f>IF(B59="I1",20*AVERAGEIF('QA_Images'!$A$2:$A$72,A59,'QA_Images'!$U$2:$U$72)/100,IF(D59="NOT_CHECKED",0,C59))</f>
        <v/>
      </c>
      <c r="H59" s="3" t="inlineStr">
        <is>
          <t>Primary keyword aligns with product-level US purchase intent. Primary keyword rechecked against US product-level SERP comparables.</t>
        </is>
      </c>
      <c r="I59" s="3" t="inlineStr">
        <is>
          <t>evidence_batch_016_156</t>
        </is>
      </c>
      <c r="J59" s="3" t="inlineStr">
        <is>
          <t>ISSUE-0053; ISSUE-0054; ISSUE-0055; ISSUE-0056; ISSUE-0057</t>
        </is>
      </c>
    </row>
    <row r="60" ht="42" customHeight="1">
      <c r="A60" s="2" t="inlineStr">
        <is>
          <t>jeminise.com+nature-tree-of-life-quilt-set-with-blooming-tree-and-bedroom-and-exposed-roots-d5450715a6-d5450715a6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IF(B60="I1",AVERAGEIF('QA_Images'!$A$2:$A$72,A60,'QA_Images'!$T$2:$T$72)/100,IF(D60="FULL",1,IF(D60="PARTIAL",0.5,IF(D60="FAIL",0,""))))</f>
        <v/>
      </c>
      <c r="F60" s="5">
        <f>IF(E60="",0,C60*E60)</f>
        <v/>
      </c>
      <c r="G60" s="5">
        <f>IF(B60="I1",20*AVERAGEIF('QA_Images'!$A$2:$A$72,A60,'QA_Images'!$U$2:$U$72)/100,IF(D60="NOT_CHECKED",0,C60))</f>
        <v/>
      </c>
      <c r="H60" s="2" t="inlineStr">
        <is>
          <t>Intent/cannibalization check distinguishes nearby products. Nearby product cluster has overlap risk, so intent distinction remains only partial.</t>
        </is>
      </c>
      <c r="I60" s="2" t="inlineStr">
        <is>
          <t>evidence_batch_016_156</t>
        </is>
      </c>
      <c r="J60" s="2" t="inlineStr">
        <is>
          <t>ISSUE-0053; ISSUE-0054; ISSUE-0055; ISSUE-0056; ISSUE-0057</t>
        </is>
      </c>
    </row>
    <row r="61" ht="42" customHeight="1">
      <c r="A61" s="3" t="inlineStr">
        <is>
          <t>jeminise.com+nature-tree-of-life-quilt-set-with-blooming-tree-and-bedroom-and-exposed-roots-d5450715a6-d5450715a6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IF(B61="I1",AVERAGEIF('QA_Images'!$A$2:$A$72,A61,'QA_Images'!$T$2:$T$72)/100,IF(D61="FULL",1,IF(D61="PARTIAL",0.5,IF(D61="FAIL",0,""))))</f>
        <v/>
      </c>
      <c r="F61" s="7">
        <f>IF(E61="",0,C61*E61)</f>
        <v/>
      </c>
      <c r="G61" s="7">
        <f>IF(B61="I1",20*AVERAGEIF('QA_Images'!$A$2:$A$72,A61,'QA_Images'!$U$2:$U$72)/100,IF(D61="NOT_CHECKED",0,C61))</f>
        <v/>
      </c>
      <c r="H61" s="3" t="inlineStr">
        <is>
          <t>Keyword evidence is supported by SERP comparables without unsupported volume claims. Evidence is public SERP only; no Search Console, keyword volume or customer-search corpus provided.</t>
        </is>
      </c>
      <c r="I61" s="3" t="inlineStr">
        <is>
          <t>evidence_batch_016_156</t>
        </is>
      </c>
      <c r="J61" s="3" t="inlineStr">
        <is>
          <t>ISSUE-0053; ISSUE-0054; ISSUE-0055; ISSUE-0056; ISSUE-0057</t>
        </is>
      </c>
    </row>
    <row r="62" ht="42" customHeight="1">
      <c r="A62" s="2" t="inlineStr">
        <is>
          <t>jeminise.com+nature-tree-of-life-quilt-set-with-blooming-tree-and-bedroom-and-exposed-roots-d5450715a6-d5450715a6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5">
        <f>IF(B62="I1",AVERAGEIF('QA_Images'!$A$2:$A$72,A62,'QA_Images'!$T$2:$T$72)/100,IF(D62="FULL",1,IF(D62="PARTIAL",0.5,IF(D62="FAIL",0,""))))</f>
        <v/>
      </c>
      <c r="F62" s="5">
        <f>IF(E62="",0,C62*E62)</f>
        <v/>
      </c>
      <c r="G62" s="5">
        <f>IF(B62="I1",20*AVERAGEIF('QA_Images'!$A$2:$A$72,A62,'QA_Images'!$U$2:$U$72)/100,IF(D62="NOT_CHECKED",0,C62))</f>
        <v/>
      </c>
      <c r="H62" s="2" t="inlineStr">
        <is>
          <t>SEO title and H1 are relevant, specific and grounded in visible/source facts. Proposed H1 is blank, so the title/H1 pair cannot be fully verified.</t>
        </is>
      </c>
      <c r="I62" s="2" t="inlineStr">
        <is>
          <t>evidence_batch_016_156</t>
        </is>
      </c>
      <c r="J62" s="2" t="inlineStr">
        <is>
          <t>ISSUE-0053; ISSUE-0054; ISSUE-0055; ISSUE-0056; ISSUE-0057</t>
        </is>
      </c>
    </row>
    <row r="63" ht="42" customHeight="1">
      <c r="A63" s="3" t="inlineStr">
        <is>
          <t>jeminise.com+nature-tree-of-life-quilt-set-with-blooming-tree-and-bedroom-and-exposed-roots-d5450715a6-d5450715a6</t>
        </is>
      </c>
      <c r="B63" s="3" t="inlineStr">
        <is>
          <t>T2</t>
        </is>
      </c>
      <c r="C63" s="3" t="n">
        <v>5</v>
      </c>
      <c r="D63" s="3" t="inlineStr">
        <is>
          <t>PARTIAL</t>
        </is>
      </c>
      <c r="E63" s="7">
        <f>IF(B63="I1",AVERAGEIF('QA_Images'!$A$2:$A$72,A63,'QA_Images'!$T$2:$T$72)/100,IF(D63="FULL",1,IF(D63="PARTIAL",0.5,IF(D63="FAIL",0,""))))</f>
        <v/>
      </c>
      <c r="F63" s="7">
        <f>IF(E63="",0,C63*E63)</f>
        <v/>
      </c>
      <c r="G63" s="7">
        <f>IF(B63="I1",20*AVERAGEIF('QA_Images'!$A$2:$A$72,A63,'QA_Images'!$U$2:$U$72)/100,IF(D63="NOT_CHECKED",0,C63))</f>
        <v/>
      </c>
      <c r="H63" s="3" t="inlineStr">
        <is>
          <t>Meta description is concise, publish-ready and avoids unsupported claims. Meta description checked for length, specificity and supportable claims.</t>
        </is>
      </c>
      <c r="I63" s="3" t="inlineStr">
        <is>
          <t>evidence_batch_016_156</t>
        </is>
      </c>
      <c r="J63" s="3" t="inlineStr">
        <is>
          <t>ISSUE-0053; ISSUE-0054; ISSUE-0055; ISSUE-0056; ISSUE-0057</t>
        </is>
      </c>
    </row>
    <row r="64" ht="42" customHeight="1">
      <c r="A64" s="2" t="inlineStr">
        <is>
          <t>jeminise.com+nature-tree-of-life-quilt-set-with-blooming-tree-and-bedroom-and-exposed-roots-d5450715a6-d5450715a6</t>
        </is>
      </c>
      <c r="B64" s="2" t="inlineStr">
        <is>
          <t>D1</t>
        </is>
      </c>
      <c r="C64" s="2" t="n">
        <v>10</v>
      </c>
      <c r="D64" s="2" t="inlineStr">
        <is>
          <t>FAIL</t>
        </is>
      </c>
      <c r="E64" s="5">
        <f>IF(B64="I1",AVERAGEIF('QA_Images'!$A$2:$A$72,A64,'QA_Images'!$T$2:$T$72)/100,IF(D64="FULL",1,IF(D64="PARTIAL",0.5,IF(D64="FAIL",0,""))))</f>
        <v/>
      </c>
      <c r="F64" s="5">
        <f>IF(E64="",0,C64*E64)</f>
        <v/>
      </c>
      <c r="G64" s="5">
        <f>IF(B64="I1",20*AVERAGEIF('QA_Images'!$A$2:$A$72,A64,'QA_Images'!$U$2:$U$72)/100,IF(D64="NOT_CHECKED",0,C64))</f>
        <v/>
      </c>
      <c r="H64" s="2" t="inlineStr">
        <is>
          <t>Description HTML is publish-ready and free of internal draft/QA instructions. Description HTML still contains internal QA/import language.</t>
        </is>
      </c>
      <c r="I64" s="2" t="inlineStr">
        <is>
          <t>evidence_batch_016_156</t>
        </is>
      </c>
      <c r="J64" s="2" t="inlineStr">
        <is>
          <t>ISSUE-0053; ISSUE-0054; ISSUE-0055; ISSUE-0056; ISSUE-0057</t>
        </is>
      </c>
    </row>
    <row r="65" ht="42" customHeight="1">
      <c r="A65" s="3" t="inlineStr">
        <is>
          <t>jeminise.com+nature-tree-of-life-quilt-set-with-blooming-tree-and-bedroom-and-exposed-roots-d5450715a6-d5450715a6</t>
        </is>
      </c>
      <c r="B65" s="3" t="inlineStr">
        <is>
          <t>D2</t>
        </is>
      </c>
      <c r="C65" s="3" t="n">
        <v>5</v>
      </c>
      <c r="D65" s="3" t="inlineStr">
        <is>
          <t>PARTIAL</t>
        </is>
      </c>
      <c r="E65" s="7">
        <f>IF(B65="I1",AVERAGEIF('QA_Images'!$A$2:$A$72,A65,'QA_Images'!$T$2:$T$72)/100,IF(D65="FULL",1,IF(D65="PARTIAL",0.5,IF(D65="FAIL",0,""))))</f>
        <v/>
      </c>
      <c r="F65" s="7">
        <f>IF(E65="",0,C65*E65)</f>
        <v/>
      </c>
      <c r="G65" s="7">
        <f>IF(B65="I1",20*AVERAGEIF('QA_Images'!$A$2:$A$72,A65,'QA_Images'!$U$2:$U$72)/100,IF(D65="NOT_CHECKED",0,C65))</f>
        <v/>
      </c>
      <c r="H65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65" s="3" t="inlineStr">
        <is>
          <t>evidence_batch_016_156</t>
        </is>
      </c>
      <c r="J65" s="3" t="inlineStr">
        <is>
          <t>ISSUE-0053; ISSUE-0054; ISSUE-0055; ISSUE-0056; ISSUE-0057</t>
        </is>
      </c>
    </row>
    <row r="66" ht="42" customHeight="1">
      <c r="A66" s="2" t="inlineStr">
        <is>
          <t>jeminise.com+nature-tree-of-life-quilt-set-with-blooming-tree-and-bedroom-and-exposed-roots-d5450715a6-d5450715a6</t>
        </is>
      </c>
      <c r="B66" s="2" t="inlineStr">
        <is>
          <t>I1</t>
        </is>
      </c>
      <c r="C66" s="2" t="n">
        <v>20</v>
      </c>
      <c r="D66" s="2" t="inlineStr">
        <is>
          <t>FULL</t>
        </is>
      </c>
      <c r="E66" s="5">
        <f>IF(B66="I1",AVERAGEIF('QA_Images'!$A$2:$A$72,A66,'QA_Images'!$T$2:$T$72)/100,IF(D66="FULL",1,IF(D66="PARTIAL",0.5,IF(D66="FAIL",0,""))))</f>
        <v/>
      </c>
      <c r="F66" s="5">
        <f>IF(E66="",0,C66*E66)</f>
        <v/>
      </c>
      <c r="G66" s="5">
        <f>IF(B66="I1",20*AVERAGEIF('QA_Images'!$A$2:$A$72,A66,'QA_Images'!$U$2:$U$72)/100,IF(D66="NOT_CHECKED",0,C66))</f>
        <v/>
      </c>
      <c r="H66" s="2" t="inlineStr">
        <is>
          <t>Image coverage, image observations and alt text quality, derived from QA_Images. Derived from average image QA score; see QA_Images.</t>
        </is>
      </c>
      <c r="I66" s="2" t="inlineStr">
        <is>
          <t>evidence_batch_016_156</t>
        </is>
      </c>
      <c r="J66" s="2" t="inlineStr">
        <is>
          <t>ISSUE-0053; ISSUE-0054; ISSUE-0055; ISSUE-0056; ISSUE-0057</t>
        </is>
      </c>
    </row>
    <row r="67" ht="42" customHeight="1">
      <c r="A67" s="3" t="inlineStr">
        <is>
          <t>jeminise.com+nature-tree-of-life-quilt-set-with-blooming-tree-and-bedroom-and-exposed-roots-d5450715a6-d5450715a6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IF(B67="I1",AVERAGEIF('QA_Images'!$A$2:$A$72,A67,'QA_Images'!$T$2:$T$72)/100,IF(D67="FULL",1,IF(D67="PARTIAL",0.5,IF(D67="FAIL",0,""))))</f>
        <v/>
      </c>
      <c r="F67" s="7">
        <f>IF(E67="",0,C67*E67)</f>
        <v/>
      </c>
      <c r="G67" s="7">
        <f>IF(B67="I1",20*AVERAGEIF('QA_Images'!$A$2:$A$72,A67,'QA_Images'!$U$2:$U$72)/100,IF(D67="NOT_CHECKED",0,C67))</f>
        <v/>
      </c>
      <c r="H67" s="3" t="inlineStr">
        <is>
          <t>Evidence chain is traceable and limitations are explicitly separated from failures. Evidence chain is traceable, with admin-export limitation explicitly separated.</t>
        </is>
      </c>
      <c r="I67" s="3" t="inlineStr">
        <is>
          <t>evidence_batch_016_156</t>
        </is>
      </c>
      <c r="J67" s="3" t="inlineStr">
        <is>
          <t>ISSUE-0053; ISSUE-0054; ISSUE-0055; ISSUE-0056; ISSUE-0057</t>
        </is>
      </c>
    </row>
    <row r="68" ht="42" customHeight="1">
      <c r="A68" s="2" t="inlineStr">
        <is>
          <t>jeminise.com+nature-tree-of-life-quilt-set-with-stained-glass-pattern-and-bedroom-2eedde5b65-2eedde5b65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IF(B68="I1",AVERAGEIF('QA_Images'!$A$2:$A$72,A68,'QA_Images'!$T$2:$T$72)/100,IF(D68="FULL",1,IF(D68="PARTIAL",0.5,IF(D68="FAIL",0,""))))</f>
        <v/>
      </c>
      <c r="F68" s="5">
        <f>IF(E68="",0,C68*E68)</f>
        <v/>
      </c>
      <c r="G68" s="5">
        <f>IF(B68="I1",20*AVERAGEIF('QA_Images'!$A$2:$A$72,A68,'QA_Images'!$U$2:$U$72)/100,IF(D68="NOT_CHECKED",0,C68))</f>
        <v/>
      </c>
      <c r="H68" s="2" t="inlineStr">
        <is>
          <t>Product identity, handle, product ID, URL and canonical match source/live evidence. Product key/handle/product ID/canonical checked against frozen workbook and live product evidence.</t>
        </is>
      </c>
      <c r="I68" s="2" t="inlineStr">
        <is>
          <t>evidence_batch_016_157</t>
        </is>
      </c>
      <c r="J68" s="2" t="inlineStr">
        <is>
          <t>ISSUE-0063; ISSUE-0064; ISSUE-0065; ISSUE-0066; ISSUE-0067</t>
        </is>
      </c>
    </row>
    <row r="69" ht="42" customHeight="1">
      <c r="A69" s="3" t="inlineStr">
        <is>
          <t>jeminise.com+nature-tree-of-life-quilt-set-with-stained-glass-pattern-and-bedroom-2eedde5b65-2eedde5b65</t>
        </is>
      </c>
      <c r="B69" s="3" t="inlineStr">
        <is>
          <t>P2</t>
        </is>
      </c>
      <c r="C69" s="3" t="n">
        <v>10</v>
      </c>
      <c r="D69" s="3" t="inlineStr">
        <is>
          <t>PARTIAL</t>
        </is>
      </c>
      <c r="E69" s="7">
        <f>IF(B69="I1",AVERAGEIF('QA_Images'!$A$2:$A$72,A69,'QA_Images'!$T$2:$T$72)/100,IF(D69="FULL",1,IF(D69="PARTIAL",0.5,IF(D69="FAIL",0,""))))</f>
        <v/>
      </c>
      <c r="F69" s="7">
        <f>IF(E69="",0,C69*E69)</f>
        <v/>
      </c>
      <c r="G69" s="7">
        <f>IF(B69="I1",20*AVERAGEIF('QA_Images'!$A$2:$A$72,A69,'QA_Images'!$U$2:$U$72)/100,IF(D69="NOT_CHECKED",0,C69))</f>
        <v/>
      </c>
      <c r="H69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69" s="3" t="inlineStr">
        <is>
          <t>evidence_batch_016_157</t>
        </is>
      </c>
      <c r="J69" s="3" t="inlineStr">
        <is>
          <t>ISSUE-0063; ISSUE-0064; ISSUE-0065; ISSUE-0066; ISSUE-0067</t>
        </is>
      </c>
    </row>
    <row r="70" ht="42" customHeight="1">
      <c r="A70" s="2" t="inlineStr">
        <is>
          <t>jeminise.com+nature-tree-of-life-quilt-set-with-stained-glass-pattern-and-bedroom-2eedde5b65-2eedde5b65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IF(B70="I1",AVERAGEIF('QA_Images'!$A$2:$A$72,A70,'QA_Images'!$T$2:$T$72)/100,IF(D70="FULL",1,IF(D70="PARTIAL",0.5,IF(D70="FAIL",0,""))))</f>
        <v/>
      </c>
      <c r="F70" s="5">
        <f>IF(E70="",0,C70*E70)</f>
        <v/>
      </c>
      <c r="G70" s="5">
        <f>IF(B70="I1",20*AVERAGEIF('QA_Images'!$A$2:$A$72,A70,'QA_Images'!$U$2:$U$72)/100,IF(D70="NOT_CHECKED",0,C70))</f>
        <v/>
      </c>
      <c r="H70" s="2" t="inlineStr">
        <is>
          <t>Primary keyword aligns with product-level US purchase intent. Primary keyword rechecked against US product-level SERP comparables.</t>
        </is>
      </c>
      <c r="I70" s="2" t="inlineStr">
        <is>
          <t>evidence_batch_016_157</t>
        </is>
      </c>
      <c r="J70" s="2" t="inlineStr">
        <is>
          <t>ISSUE-0063; ISSUE-0064; ISSUE-0065; ISSUE-0066; ISSUE-0067</t>
        </is>
      </c>
    </row>
    <row r="71" ht="42" customHeight="1">
      <c r="A71" s="3" t="inlineStr">
        <is>
          <t>jeminise.com+nature-tree-of-life-quilt-set-with-stained-glass-pattern-and-bedroom-2eedde5b65-2eedde5b65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IF(B71="I1",AVERAGEIF('QA_Images'!$A$2:$A$72,A71,'QA_Images'!$T$2:$T$72)/100,IF(D71="FULL",1,IF(D71="PARTIAL",0.5,IF(D71="FAIL",0,""))))</f>
        <v/>
      </c>
      <c r="F71" s="7">
        <f>IF(E71="",0,C71*E71)</f>
        <v/>
      </c>
      <c r="G71" s="7">
        <f>IF(B71="I1",20*AVERAGEIF('QA_Images'!$A$2:$A$72,A71,'QA_Images'!$U$2:$U$72)/100,IF(D71="NOT_CHECKED",0,C71))</f>
        <v/>
      </c>
      <c r="H71" s="3" t="inlineStr">
        <is>
          <t>Intent/cannibalization check distinguishes nearby products. Nearby product cluster has overlap risk, so intent distinction remains only partial.</t>
        </is>
      </c>
      <c r="I71" s="3" t="inlineStr">
        <is>
          <t>evidence_batch_016_157</t>
        </is>
      </c>
      <c r="J71" s="3" t="inlineStr">
        <is>
          <t>ISSUE-0063; ISSUE-0064; ISSUE-0065; ISSUE-0066; ISSUE-0067</t>
        </is>
      </c>
    </row>
    <row r="72" ht="42" customHeight="1">
      <c r="A72" s="2" t="inlineStr">
        <is>
          <t>jeminise.com+nature-tree-of-life-quilt-set-with-stained-glass-pattern-and-bedroom-2eedde5b65-2eedde5b65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IF(B72="I1",AVERAGEIF('QA_Images'!$A$2:$A$72,A72,'QA_Images'!$T$2:$T$72)/100,IF(D72="FULL",1,IF(D72="PARTIAL",0.5,IF(D72="FAIL",0,""))))</f>
        <v/>
      </c>
      <c r="F72" s="5">
        <f>IF(E72="",0,C72*E72)</f>
        <v/>
      </c>
      <c r="G72" s="5">
        <f>IF(B72="I1",20*AVERAGEIF('QA_Images'!$A$2:$A$72,A72,'QA_Images'!$U$2:$U$72)/100,IF(D72="NOT_CHECKED",0,C72))</f>
        <v/>
      </c>
      <c r="H72" s="2" t="inlineStr">
        <is>
          <t>Keyword evidence is supported by SERP comparables without unsupported volume claims. Evidence is public SERP only; no Search Console, keyword volume or customer-search corpus provided.</t>
        </is>
      </c>
      <c r="I72" s="2" t="inlineStr">
        <is>
          <t>evidence_batch_016_157</t>
        </is>
      </c>
      <c r="J72" s="2" t="inlineStr">
        <is>
          <t>ISSUE-0063; ISSUE-0064; ISSUE-0065; ISSUE-0066; ISSUE-0067</t>
        </is>
      </c>
    </row>
    <row r="73" ht="42" customHeight="1">
      <c r="A73" s="3" t="inlineStr">
        <is>
          <t>jeminise.com+nature-tree-of-life-quilt-set-with-stained-glass-pattern-and-bedroom-2eedde5b65-2eedde5b65</t>
        </is>
      </c>
      <c r="B73" s="3" t="inlineStr">
        <is>
          <t>T1</t>
        </is>
      </c>
      <c r="C73" s="3" t="n">
        <v>10</v>
      </c>
      <c r="D73" s="3" t="inlineStr">
        <is>
          <t>PARTIAL</t>
        </is>
      </c>
      <c r="E73" s="7">
        <f>IF(B73="I1",AVERAGEIF('QA_Images'!$A$2:$A$72,A73,'QA_Images'!$T$2:$T$72)/100,IF(D73="FULL",1,IF(D73="PARTIAL",0.5,IF(D73="FAIL",0,""))))</f>
        <v/>
      </c>
      <c r="F73" s="7">
        <f>IF(E73="",0,C73*E73)</f>
        <v/>
      </c>
      <c r="G73" s="7">
        <f>IF(B73="I1",20*AVERAGEIF('QA_Images'!$A$2:$A$72,A73,'QA_Images'!$U$2:$U$72)/100,IF(D73="NOT_CHECKED",0,C73))</f>
        <v/>
      </c>
      <c r="H73" s="3" t="inlineStr">
        <is>
          <t>SEO title and H1 are relevant, specific and grounded in visible/source facts. Proposed H1 is blank, so the title/H1 pair cannot be fully verified.</t>
        </is>
      </c>
      <c r="I73" s="3" t="inlineStr">
        <is>
          <t>evidence_batch_016_157</t>
        </is>
      </c>
      <c r="J73" s="3" t="inlineStr">
        <is>
          <t>ISSUE-0063; ISSUE-0064; ISSUE-0065; ISSUE-0066; ISSUE-0067</t>
        </is>
      </c>
    </row>
    <row r="74" ht="42" customHeight="1">
      <c r="A74" s="2" t="inlineStr">
        <is>
          <t>jeminise.com+nature-tree-of-life-quilt-set-with-stained-glass-pattern-and-bedroom-2eedde5b65-2eedde5b65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5">
        <f>IF(B74="I1",AVERAGEIF('QA_Images'!$A$2:$A$72,A74,'QA_Images'!$T$2:$T$72)/100,IF(D74="FULL",1,IF(D74="PARTIAL",0.5,IF(D74="FAIL",0,""))))</f>
        <v/>
      </c>
      <c r="F74" s="5">
        <f>IF(E74="",0,C74*E74)</f>
        <v/>
      </c>
      <c r="G74" s="5">
        <f>IF(B74="I1",20*AVERAGEIF('QA_Images'!$A$2:$A$72,A74,'QA_Images'!$U$2:$U$72)/100,IF(D74="NOT_CHECKED",0,C74))</f>
        <v/>
      </c>
      <c r="H74" s="2" t="inlineStr">
        <is>
          <t>Meta description is concise, publish-ready and avoids unsupported claims. Meta description checked for length, specificity and supportable claims.</t>
        </is>
      </c>
      <c r="I74" s="2" t="inlineStr">
        <is>
          <t>evidence_batch_016_157</t>
        </is>
      </c>
      <c r="J74" s="2" t="inlineStr">
        <is>
          <t>ISSUE-0063; ISSUE-0064; ISSUE-0065; ISSUE-0066; ISSUE-0067</t>
        </is>
      </c>
    </row>
    <row r="75" ht="42" customHeight="1">
      <c r="A75" s="3" t="inlineStr">
        <is>
          <t>jeminise.com+nature-tree-of-life-quilt-set-with-stained-glass-pattern-and-bedroom-2eedde5b65-2eedde5b65</t>
        </is>
      </c>
      <c r="B75" s="3" t="inlineStr">
        <is>
          <t>D1</t>
        </is>
      </c>
      <c r="C75" s="3" t="n">
        <v>10</v>
      </c>
      <c r="D75" s="3" t="inlineStr">
        <is>
          <t>FAIL</t>
        </is>
      </c>
      <c r="E75" s="7">
        <f>IF(B75="I1",AVERAGEIF('QA_Images'!$A$2:$A$72,A75,'QA_Images'!$T$2:$T$72)/100,IF(D75="FULL",1,IF(D75="PARTIAL",0.5,IF(D75="FAIL",0,""))))</f>
        <v/>
      </c>
      <c r="F75" s="7">
        <f>IF(E75="",0,C75*E75)</f>
        <v/>
      </c>
      <c r="G75" s="7">
        <f>IF(B75="I1",20*AVERAGEIF('QA_Images'!$A$2:$A$72,A75,'QA_Images'!$U$2:$U$72)/100,IF(D75="NOT_CHECKED",0,C75))</f>
        <v/>
      </c>
      <c r="H75" s="3" t="inlineStr">
        <is>
          <t>Description HTML is publish-ready and free of internal draft/QA instructions. Description HTML still contains internal QA/import language.</t>
        </is>
      </c>
      <c r="I75" s="3" t="inlineStr">
        <is>
          <t>evidence_batch_016_157</t>
        </is>
      </c>
      <c r="J75" s="3" t="inlineStr">
        <is>
          <t>ISSUE-0063; ISSUE-0064; ISSUE-0065; ISSUE-0066; ISSUE-0067</t>
        </is>
      </c>
    </row>
    <row r="76" ht="42" customHeight="1">
      <c r="A76" s="2" t="inlineStr">
        <is>
          <t>jeminise.com+nature-tree-of-life-quilt-set-with-stained-glass-pattern-and-bedroom-2eedde5b65-2eedde5b65</t>
        </is>
      </c>
      <c r="B76" s="2" t="inlineStr">
        <is>
          <t>D2</t>
        </is>
      </c>
      <c r="C76" s="2" t="n">
        <v>5</v>
      </c>
      <c r="D76" s="2" t="inlineStr">
        <is>
          <t>PARTIAL</t>
        </is>
      </c>
      <c r="E76" s="5">
        <f>IF(B76="I1",AVERAGEIF('QA_Images'!$A$2:$A$72,A76,'QA_Images'!$T$2:$T$72)/100,IF(D76="FULL",1,IF(D76="PARTIAL",0.5,IF(D76="FAIL",0,""))))</f>
        <v/>
      </c>
      <c r="F76" s="5">
        <f>IF(E76="",0,C76*E76)</f>
        <v/>
      </c>
      <c r="G76" s="5">
        <f>IF(B76="I1",20*AVERAGEIF('QA_Images'!$A$2:$A$72,A76,'QA_Images'!$U$2:$U$72)/100,IF(D76="NOT_CHECKED",0,C76))</f>
        <v/>
      </c>
      <c r="H76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76" s="2" t="inlineStr">
        <is>
          <t>evidence_batch_016_157</t>
        </is>
      </c>
      <c r="J76" s="2" t="inlineStr">
        <is>
          <t>ISSUE-0063; ISSUE-0064; ISSUE-0065; ISSUE-0066; ISSUE-0067</t>
        </is>
      </c>
    </row>
    <row r="77" ht="42" customHeight="1">
      <c r="A77" s="3" t="inlineStr">
        <is>
          <t>jeminise.com+nature-tree-of-life-quilt-set-with-stained-glass-pattern-and-bedroom-2eedde5b65-2eedde5b65</t>
        </is>
      </c>
      <c r="B77" s="3" t="inlineStr">
        <is>
          <t>I1</t>
        </is>
      </c>
      <c r="C77" s="3" t="n">
        <v>20</v>
      </c>
      <c r="D77" s="3" t="inlineStr">
        <is>
          <t>FULL</t>
        </is>
      </c>
      <c r="E77" s="7">
        <f>IF(B77="I1",AVERAGEIF('QA_Images'!$A$2:$A$72,A77,'QA_Images'!$T$2:$T$72)/100,IF(D77="FULL",1,IF(D77="PARTIAL",0.5,IF(D77="FAIL",0,""))))</f>
        <v/>
      </c>
      <c r="F77" s="7">
        <f>IF(E77="",0,C77*E77)</f>
        <v/>
      </c>
      <c r="G77" s="7">
        <f>IF(B77="I1",20*AVERAGEIF('QA_Images'!$A$2:$A$72,A77,'QA_Images'!$U$2:$U$72)/100,IF(D77="NOT_CHECKED",0,C77))</f>
        <v/>
      </c>
      <c r="H77" s="3" t="inlineStr">
        <is>
          <t>Image coverage, image observations and alt text quality, derived from QA_Images. Derived from average image QA score; see QA_Images.</t>
        </is>
      </c>
      <c r="I77" s="3" t="inlineStr">
        <is>
          <t>evidence_batch_016_157</t>
        </is>
      </c>
      <c r="J77" s="3" t="inlineStr">
        <is>
          <t>ISSUE-0063; ISSUE-0064; ISSUE-0065; ISSUE-0066; ISSUE-0067</t>
        </is>
      </c>
    </row>
    <row r="78" ht="42" customHeight="1">
      <c r="A78" s="2" t="inlineStr">
        <is>
          <t>jeminise.com+nature-tree-of-life-quilt-set-with-stained-glass-pattern-and-bedroom-2eedde5b65-2eedde5b65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IF(B78="I1",AVERAGEIF('QA_Images'!$A$2:$A$72,A78,'QA_Images'!$T$2:$T$72)/100,IF(D78="FULL",1,IF(D78="PARTIAL",0.5,IF(D78="FAIL",0,""))))</f>
        <v/>
      </c>
      <c r="F78" s="5">
        <f>IF(E78="",0,C78*E78)</f>
        <v/>
      </c>
      <c r="G78" s="5">
        <f>IF(B78="I1",20*AVERAGEIF('QA_Images'!$A$2:$A$72,A78,'QA_Images'!$U$2:$U$72)/100,IF(D78="NOT_CHECKED",0,C78))</f>
        <v/>
      </c>
      <c r="H78" s="2" t="inlineStr">
        <is>
          <t>Evidence chain is traceable and limitations are explicitly separated from failures. Evidence chain is traceable, with admin-export limitation explicitly separated.</t>
        </is>
      </c>
      <c r="I78" s="2" t="inlineStr">
        <is>
          <t>evidence_batch_016_157</t>
        </is>
      </c>
      <c r="J78" s="2" t="inlineStr">
        <is>
          <t>ISSUE-0063; ISSUE-0064; ISSUE-0065; ISSUE-0066; ISSUE-0067</t>
        </is>
      </c>
    </row>
    <row r="79" ht="42" customHeight="1">
      <c r="A79" s="3" t="inlineStr">
        <is>
          <t>jeminise.com+norse-mythology-mjolnir-with-skull-within-circular-celtic-quilt-621115581a-621115581a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IF(B79="I1",AVERAGEIF('QA_Images'!$A$2:$A$72,A79,'QA_Images'!$T$2:$T$72)/100,IF(D79="FULL",1,IF(D79="PARTIAL",0.5,IF(D79="FAIL",0,""))))</f>
        <v/>
      </c>
      <c r="F79" s="7">
        <f>IF(E79="",0,C79*E79)</f>
        <v/>
      </c>
      <c r="G79" s="7">
        <f>IF(B79="I1",20*AVERAGEIF('QA_Images'!$A$2:$A$72,A79,'QA_Images'!$U$2:$U$72)/100,IF(D79="NOT_CHECKED",0,C79))</f>
        <v/>
      </c>
      <c r="H79" s="3" t="inlineStr">
        <is>
          <t>Product identity, handle, product ID, URL and canonical match source/live evidence. Product key/handle/product ID/canonical checked against frozen workbook and live product evidence.</t>
        </is>
      </c>
      <c r="I79" s="3" t="inlineStr">
        <is>
          <t>evidence_batch_016_158</t>
        </is>
      </c>
      <c r="J79" s="3" t="inlineStr">
        <is>
          <t>ISSUE-0073; ISSUE-0074; ISSUE-0075; ISSUE-0076; ISSUE-0077</t>
        </is>
      </c>
    </row>
    <row r="80" ht="42" customHeight="1">
      <c r="A80" s="2" t="inlineStr">
        <is>
          <t>jeminise.com+norse-mythology-mjolnir-with-skull-within-circular-celtic-quilt-621115581a-621115581a</t>
        </is>
      </c>
      <c r="B80" s="2" t="inlineStr">
        <is>
          <t>P2</t>
        </is>
      </c>
      <c r="C80" s="2" t="n">
        <v>10</v>
      </c>
      <c r="D80" s="2" t="inlineStr">
        <is>
          <t>PARTIAL</t>
        </is>
      </c>
      <c r="E80" s="5">
        <f>IF(B80="I1",AVERAGEIF('QA_Images'!$A$2:$A$72,A80,'QA_Images'!$T$2:$T$72)/100,IF(D80="FULL",1,IF(D80="PARTIAL",0.5,IF(D80="FAIL",0,""))))</f>
        <v/>
      </c>
      <c r="F80" s="5">
        <f>IF(E80="",0,C80*E80)</f>
        <v/>
      </c>
      <c r="G80" s="5">
        <f>IF(B80="I1",20*AVERAGEIF('QA_Images'!$A$2:$A$72,A80,'QA_Images'!$U$2:$U$72)/100,IF(D80="NOT_CHECKED",0,C80))</f>
        <v/>
      </c>
      <c r="H80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80" s="2" t="inlineStr">
        <is>
          <t>evidence_batch_016_158</t>
        </is>
      </c>
      <c r="J80" s="2" t="inlineStr">
        <is>
          <t>ISSUE-0073; ISSUE-0074; ISSUE-0075; ISSUE-0076; ISSUE-0077</t>
        </is>
      </c>
    </row>
    <row r="81" ht="42" customHeight="1">
      <c r="A81" s="3" t="inlineStr">
        <is>
          <t>jeminise.com+norse-mythology-mjolnir-with-skull-within-circular-celtic-quilt-621115581a-621115581a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IF(B81="I1",AVERAGEIF('QA_Images'!$A$2:$A$72,A81,'QA_Images'!$T$2:$T$72)/100,IF(D81="FULL",1,IF(D81="PARTIAL",0.5,IF(D81="FAIL",0,""))))</f>
        <v/>
      </c>
      <c r="F81" s="7">
        <f>IF(E81="",0,C81*E81)</f>
        <v/>
      </c>
      <c r="G81" s="7">
        <f>IF(B81="I1",20*AVERAGEIF('QA_Images'!$A$2:$A$72,A81,'QA_Images'!$U$2:$U$72)/100,IF(D81="NOT_CHECKED",0,C81))</f>
        <v/>
      </c>
      <c r="H81" s="3" t="inlineStr">
        <is>
          <t>Primary keyword aligns with product-level US purchase intent. Primary keyword rechecked against US product-level SERP comparables.</t>
        </is>
      </c>
      <c r="I81" s="3" t="inlineStr">
        <is>
          <t>evidence_batch_016_158</t>
        </is>
      </c>
      <c r="J81" s="3" t="inlineStr">
        <is>
          <t>ISSUE-0073; ISSUE-0074; ISSUE-0075; ISSUE-0076; ISSUE-0077</t>
        </is>
      </c>
    </row>
    <row r="82" ht="42" customHeight="1">
      <c r="A82" s="2" t="inlineStr">
        <is>
          <t>jeminise.com+norse-mythology-mjolnir-with-skull-within-circular-celtic-quilt-621115581a-621115581a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IF(B82="I1",AVERAGEIF('QA_Images'!$A$2:$A$72,A82,'QA_Images'!$T$2:$T$72)/100,IF(D82="FULL",1,IF(D82="PARTIAL",0.5,IF(D82="FAIL",0,""))))</f>
        <v/>
      </c>
      <c r="F82" s="5">
        <f>IF(E82="",0,C82*E82)</f>
        <v/>
      </c>
      <c r="G82" s="5">
        <f>IF(B82="I1",20*AVERAGEIF('QA_Images'!$A$2:$A$72,A82,'QA_Images'!$U$2:$U$72)/100,IF(D82="NOT_CHECKED",0,C82))</f>
        <v/>
      </c>
      <c r="H82" s="2" t="inlineStr">
        <is>
          <t>Intent/cannibalization check distinguishes nearby products. Nearby product cluster has overlap risk, so intent distinction remains only partial.</t>
        </is>
      </c>
      <c r="I82" s="2" t="inlineStr">
        <is>
          <t>evidence_batch_016_158</t>
        </is>
      </c>
      <c r="J82" s="2" t="inlineStr">
        <is>
          <t>ISSUE-0073; ISSUE-0074; ISSUE-0075; ISSUE-0076; ISSUE-0077</t>
        </is>
      </c>
    </row>
    <row r="83" ht="42" customHeight="1">
      <c r="A83" s="3" t="inlineStr">
        <is>
          <t>jeminise.com+norse-mythology-mjolnir-with-skull-within-circular-celtic-quilt-621115581a-621115581a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IF(B83="I1",AVERAGEIF('QA_Images'!$A$2:$A$72,A83,'QA_Images'!$T$2:$T$72)/100,IF(D83="FULL",1,IF(D83="PARTIAL",0.5,IF(D83="FAIL",0,""))))</f>
        <v/>
      </c>
      <c r="F83" s="7">
        <f>IF(E83="",0,C83*E83)</f>
        <v/>
      </c>
      <c r="G83" s="7">
        <f>IF(B83="I1",20*AVERAGEIF('QA_Images'!$A$2:$A$72,A83,'QA_Images'!$U$2:$U$72)/100,IF(D83="NOT_CHECKED",0,C83))</f>
        <v/>
      </c>
      <c r="H83" s="3" t="inlineStr">
        <is>
          <t>Keyword evidence is supported by SERP comparables without unsupported volume claims. Evidence is public SERP only; no Search Console, keyword volume or customer-search corpus provided.</t>
        </is>
      </c>
      <c r="I83" s="3" t="inlineStr">
        <is>
          <t>evidence_batch_016_158</t>
        </is>
      </c>
      <c r="J83" s="3" t="inlineStr">
        <is>
          <t>ISSUE-0073; ISSUE-0074; ISSUE-0075; ISSUE-0076; ISSUE-0077</t>
        </is>
      </c>
    </row>
    <row r="84" ht="42" customHeight="1">
      <c r="A84" s="2" t="inlineStr">
        <is>
          <t>jeminise.com+norse-mythology-mjolnir-with-skull-within-circular-celtic-quilt-621115581a-621115581a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5">
        <f>IF(B84="I1",AVERAGEIF('QA_Images'!$A$2:$A$72,A84,'QA_Images'!$T$2:$T$72)/100,IF(D84="FULL",1,IF(D84="PARTIAL",0.5,IF(D84="FAIL",0,""))))</f>
        <v/>
      </c>
      <c r="F84" s="5">
        <f>IF(E84="",0,C84*E84)</f>
        <v/>
      </c>
      <c r="G84" s="5">
        <f>IF(B84="I1",20*AVERAGEIF('QA_Images'!$A$2:$A$72,A84,'QA_Images'!$U$2:$U$72)/100,IF(D84="NOT_CHECKED",0,C84))</f>
        <v/>
      </c>
      <c r="H84" s="2" t="inlineStr">
        <is>
          <t>SEO title and H1 are relevant, specific and grounded in visible/source facts. Proposed H1 is blank, so the title/H1 pair cannot be fully verified.</t>
        </is>
      </c>
      <c r="I84" s="2" t="inlineStr">
        <is>
          <t>evidence_batch_016_158</t>
        </is>
      </c>
      <c r="J84" s="2" t="inlineStr">
        <is>
          <t>ISSUE-0073; ISSUE-0074; ISSUE-0075; ISSUE-0076; ISSUE-0077</t>
        </is>
      </c>
    </row>
    <row r="85" ht="42" customHeight="1">
      <c r="A85" s="3" t="inlineStr">
        <is>
          <t>jeminise.com+norse-mythology-mjolnir-with-skull-within-circular-celtic-quilt-621115581a-621115581a</t>
        </is>
      </c>
      <c r="B85" s="3" t="inlineStr">
        <is>
          <t>T2</t>
        </is>
      </c>
      <c r="C85" s="3" t="n">
        <v>5</v>
      </c>
      <c r="D85" s="3" t="inlineStr">
        <is>
          <t>PARTIAL</t>
        </is>
      </c>
      <c r="E85" s="7">
        <f>IF(B85="I1",AVERAGEIF('QA_Images'!$A$2:$A$72,A85,'QA_Images'!$T$2:$T$72)/100,IF(D85="FULL",1,IF(D85="PARTIAL",0.5,IF(D85="FAIL",0,""))))</f>
        <v/>
      </c>
      <c r="F85" s="7">
        <f>IF(E85="",0,C85*E85)</f>
        <v/>
      </c>
      <c r="G85" s="7">
        <f>IF(B85="I1",20*AVERAGEIF('QA_Images'!$A$2:$A$72,A85,'QA_Images'!$U$2:$U$72)/100,IF(D85="NOT_CHECKED",0,C85))</f>
        <v/>
      </c>
      <c r="H85" s="3" t="inlineStr">
        <is>
          <t>Meta description is concise, publish-ready and avoids unsupported claims. Meta description checked for length, specificity and supportable claims.</t>
        </is>
      </c>
      <c r="I85" s="3" t="inlineStr">
        <is>
          <t>evidence_batch_016_158</t>
        </is>
      </c>
      <c r="J85" s="3" t="inlineStr">
        <is>
          <t>ISSUE-0073; ISSUE-0074; ISSUE-0075; ISSUE-0076; ISSUE-0077</t>
        </is>
      </c>
    </row>
    <row r="86" ht="42" customHeight="1">
      <c r="A86" s="2" t="inlineStr">
        <is>
          <t>jeminise.com+norse-mythology-mjolnir-with-skull-within-circular-celtic-quilt-621115581a-621115581a</t>
        </is>
      </c>
      <c r="B86" s="2" t="inlineStr">
        <is>
          <t>D1</t>
        </is>
      </c>
      <c r="C86" s="2" t="n">
        <v>10</v>
      </c>
      <c r="D86" s="2" t="inlineStr">
        <is>
          <t>FAIL</t>
        </is>
      </c>
      <c r="E86" s="5">
        <f>IF(B86="I1",AVERAGEIF('QA_Images'!$A$2:$A$72,A86,'QA_Images'!$T$2:$T$72)/100,IF(D86="FULL",1,IF(D86="PARTIAL",0.5,IF(D86="FAIL",0,""))))</f>
        <v/>
      </c>
      <c r="F86" s="5">
        <f>IF(E86="",0,C86*E86)</f>
        <v/>
      </c>
      <c r="G86" s="5">
        <f>IF(B86="I1",20*AVERAGEIF('QA_Images'!$A$2:$A$72,A86,'QA_Images'!$U$2:$U$72)/100,IF(D86="NOT_CHECKED",0,C86))</f>
        <v/>
      </c>
      <c r="H86" s="2" t="inlineStr">
        <is>
          <t>Description HTML is publish-ready and free of internal draft/QA instructions. Description HTML still contains internal QA/import language.</t>
        </is>
      </c>
      <c r="I86" s="2" t="inlineStr">
        <is>
          <t>evidence_batch_016_158</t>
        </is>
      </c>
      <c r="J86" s="2" t="inlineStr">
        <is>
          <t>ISSUE-0073; ISSUE-0074; ISSUE-0075; ISSUE-0076; ISSUE-0077</t>
        </is>
      </c>
    </row>
    <row r="87" ht="42" customHeight="1">
      <c r="A87" s="3" t="inlineStr">
        <is>
          <t>jeminise.com+norse-mythology-mjolnir-with-skull-within-circular-celtic-quilt-621115581a-621115581a</t>
        </is>
      </c>
      <c r="B87" s="3" t="inlineStr">
        <is>
          <t>D2</t>
        </is>
      </c>
      <c r="C87" s="3" t="n">
        <v>5</v>
      </c>
      <c r="D87" s="3" t="inlineStr">
        <is>
          <t>PARTIAL</t>
        </is>
      </c>
      <c r="E87" s="7">
        <f>IF(B87="I1",AVERAGEIF('QA_Images'!$A$2:$A$72,A87,'QA_Images'!$T$2:$T$72)/100,IF(D87="FULL",1,IF(D87="PARTIAL",0.5,IF(D87="FAIL",0,""))))</f>
        <v/>
      </c>
      <c r="F87" s="7">
        <f>IF(E87="",0,C87*E87)</f>
        <v/>
      </c>
      <c r="G87" s="7">
        <f>IF(B87="I1",20*AVERAGEIF('QA_Images'!$A$2:$A$72,A87,'QA_Images'!$U$2:$U$72)/100,IF(D87="NOT_CHECKED",0,C87))</f>
        <v/>
      </c>
      <c r="H87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87" s="3" t="inlineStr">
        <is>
          <t>evidence_batch_016_158</t>
        </is>
      </c>
      <c r="J87" s="3" t="inlineStr">
        <is>
          <t>ISSUE-0073; ISSUE-0074; ISSUE-0075; ISSUE-0076; ISSUE-0077</t>
        </is>
      </c>
    </row>
    <row r="88" ht="42" customHeight="1">
      <c r="A88" s="2" t="inlineStr">
        <is>
          <t>jeminise.com+norse-mythology-mjolnir-with-skull-within-circular-celtic-quilt-621115581a-621115581a</t>
        </is>
      </c>
      <c r="B88" s="2" t="inlineStr">
        <is>
          <t>I1</t>
        </is>
      </c>
      <c r="C88" s="2" t="n">
        <v>20</v>
      </c>
      <c r="D88" s="2" t="inlineStr">
        <is>
          <t>FULL</t>
        </is>
      </c>
      <c r="E88" s="5">
        <f>IF(B88="I1",AVERAGEIF('QA_Images'!$A$2:$A$72,A88,'QA_Images'!$T$2:$T$72)/100,IF(D88="FULL",1,IF(D88="PARTIAL",0.5,IF(D88="FAIL",0,""))))</f>
        <v/>
      </c>
      <c r="F88" s="5">
        <f>IF(E88="",0,C88*E88)</f>
        <v/>
      </c>
      <c r="G88" s="5">
        <f>IF(B88="I1",20*AVERAGEIF('QA_Images'!$A$2:$A$72,A88,'QA_Images'!$U$2:$U$72)/100,IF(D88="NOT_CHECKED",0,C88))</f>
        <v/>
      </c>
      <c r="H88" s="2" t="inlineStr">
        <is>
          <t>Image coverage, image observations and alt text quality, derived from QA_Images. Derived from average image QA score; see QA_Images.</t>
        </is>
      </c>
      <c r="I88" s="2" t="inlineStr">
        <is>
          <t>evidence_batch_016_158</t>
        </is>
      </c>
      <c r="J88" s="2" t="inlineStr">
        <is>
          <t>ISSUE-0073; ISSUE-0074; ISSUE-0075; ISSUE-0076; ISSUE-0077</t>
        </is>
      </c>
    </row>
    <row r="89" ht="42" customHeight="1">
      <c r="A89" s="3" t="inlineStr">
        <is>
          <t>jeminise.com+norse-mythology-mjolnir-with-skull-within-circular-celtic-quilt-621115581a-621115581a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IF(B89="I1",AVERAGEIF('QA_Images'!$A$2:$A$72,A89,'QA_Images'!$T$2:$T$72)/100,IF(D89="FULL",1,IF(D89="PARTIAL",0.5,IF(D89="FAIL",0,""))))</f>
        <v/>
      </c>
      <c r="F89" s="7">
        <f>IF(E89="",0,C89*E89)</f>
        <v/>
      </c>
      <c r="G89" s="7">
        <f>IF(B89="I1",20*AVERAGEIF('QA_Images'!$A$2:$A$72,A89,'QA_Images'!$U$2:$U$72)/100,IF(D89="NOT_CHECKED",0,C89))</f>
        <v/>
      </c>
      <c r="H89" s="3" t="inlineStr">
        <is>
          <t>Evidence chain is traceable and limitations are explicitly separated from failures. Evidence chain is traceable, with admin-export limitation explicitly separated.</t>
        </is>
      </c>
      <c r="I89" s="3" t="inlineStr">
        <is>
          <t>evidence_batch_016_158</t>
        </is>
      </c>
      <c r="J89" s="3" t="inlineStr">
        <is>
          <t>ISSUE-0073; ISSUE-0074; ISSUE-0075; ISSUE-0076; ISSUE-0077</t>
        </is>
      </c>
    </row>
    <row r="90" ht="42" customHeight="1">
      <c r="A90" s="2" t="inlineStr">
        <is>
          <t>jeminise.com+norse-mythology-quilt-with-ravens-b8220cc38c-b8220cc38c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IF(B90="I1",AVERAGEIF('QA_Images'!$A$2:$A$72,A90,'QA_Images'!$T$2:$T$72)/100,IF(D90="FULL",1,IF(D90="PARTIAL",0.5,IF(D90="FAIL",0,""))))</f>
        <v/>
      </c>
      <c r="F90" s="5">
        <f>IF(E90="",0,C90*E90)</f>
        <v/>
      </c>
      <c r="G90" s="5">
        <f>IF(B90="I1",20*AVERAGEIF('QA_Images'!$A$2:$A$72,A90,'QA_Images'!$U$2:$U$72)/100,IF(D90="NOT_CHECKED",0,C90))</f>
        <v/>
      </c>
      <c r="H90" s="2" t="inlineStr">
        <is>
          <t>Product identity, handle, product ID, URL and canonical match source/live evidence. Product key/handle/product ID/canonical checked against frozen workbook and live product evidence.</t>
        </is>
      </c>
      <c r="I90" s="2" t="inlineStr">
        <is>
          <t>evidence_batch_016_159</t>
        </is>
      </c>
      <c r="J90" s="2" t="inlineStr">
        <is>
          <t>ISSUE-0083; ISSUE-0084; ISSUE-0085; ISSUE-0086; ISSUE-0087</t>
        </is>
      </c>
    </row>
    <row r="91" ht="42" customHeight="1">
      <c r="A91" s="3" t="inlineStr">
        <is>
          <t>jeminise.com+norse-mythology-quilt-with-ravens-b8220cc38c-b8220cc38c</t>
        </is>
      </c>
      <c r="B91" s="3" t="inlineStr">
        <is>
          <t>P2</t>
        </is>
      </c>
      <c r="C91" s="3" t="n">
        <v>10</v>
      </c>
      <c r="D91" s="3" t="inlineStr">
        <is>
          <t>PARTIAL</t>
        </is>
      </c>
      <c r="E91" s="7">
        <f>IF(B91="I1",AVERAGEIF('QA_Images'!$A$2:$A$72,A91,'QA_Images'!$T$2:$T$72)/100,IF(D91="FULL",1,IF(D91="PARTIAL",0.5,IF(D91="FAIL",0,""))))</f>
        <v/>
      </c>
      <c r="F91" s="7">
        <f>IF(E91="",0,C91*E91)</f>
        <v/>
      </c>
      <c r="G91" s="7">
        <f>IF(B91="I1",20*AVERAGEIF('QA_Images'!$A$2:$A$72,A91,'QA_Images'!$U$2:$U$72)/100,IF(D91="NOT_CHECKED",0,C91))</f>
        <v/>
      </c>
      <c r="H91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91" s="3" t="inlineStr">
        <is>
          <t>evidence_batch_016_159</t>
        </is>
      </c>
      <c r="J91" s="3" t="inlineStr">
        <is>
          <t>ISSUE-0083; ISSUE-0084; ISSUE-0085; ISSUE-0086; ISSUE-0087</t>
        </is>
      </c>
    </row>
    <row r="92" ht="42" customHeight="1">
      <c r="A92" s="2" t="inlineStr">
        <is>
          <t>jeminise.com+norse-mythology-quilt-with-ravens-b8220cc38c-b8220cc38c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IF(B92="I1",AVERAGEIF('QA_Images'!$A$2:$A$72,A92,'QA_Images'!$T$2:$T$72)/100,IF(D92="FULL",1,IF(D92="PARTIAL",0.5,IF(D92="FAIL",0,""))))</f>
        <v/>
      </c>
      <c r="F92" s="5">
        <f>IF(E92="",0,C92*E92)</f>
        <v/>
      </c>
      <c r="G92" s="5">
        <f>IF(B92="I1",20*AVERAGEIF('QA_Images'!$A$2:$A$72,A92,'QA_Images'!$U$2:$U$72)/100,IF(D92="NOT_CHECKED",0,C92))</f>
        <v/>
      </c>
      <c r="H92" s="2" t="inlineStr">
        <is>
          <t>Primary keyword aligns with product-level US purchase intent. Primary keyword rechecked against US product-level SERP comparables.</t>
        </is>
      </c>
      <c r="I92" s="2" t="inlineStr">
        <is>
          <t>evidence_batch_016_159</t>
        </is>
      </c>
      <c r="J92" s="2" t="inlineStr">
        <is>
          <t>ISSUE-0083; ISSUE-0084; ISSUE-0085; ISSUE-0086; ISSUE-0087</t>
        </is>
      </c>
    </row>
    <row r="93" ht="42" customHeight="1">
      <c r="A93" s="3" t="inlineStr">
        <is>
          <t>jeminise.com+norse-mythology-quilt-with-ravens-b8220cc38c-b8220cc38c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IF(B93="I1",AVERAGEIF('QA_Images'!$A$2:$A$72,A93,'QA_Images'!$T$2:$T$72)/100,IF(D93="FULL",1,IF(D93="PARTIAL",0.5,IF(D93="FAIL",0,""))))</f>
        <v/>
      </c>
      <c r="F93" s="7">
        <f>IF(E93="",0,C93*E93)</f>
        <v/>
      </c>
      <c r="G93" s="7">
        <f>IF(B93="I1",20*AVERAGEIF('QA_Images'!$A$2:$A$72,A93,'QA_Images'!$U$2:$U$72)/100,IF(D93="NOT_CHECKED",0,C93))</f>
        <v/>
      </c>
      <c r="H93" s="3" t="inlineStr">
        <is>
          <t>Intent/cannibalization check distinguishes nearby products. Nearby product cluster has overlap risk, so intent distinction remains only partial.</t>
        </is>
      </c>
      <c r="I93" s="3" t="inlineStr">
        <is>
          <t>evidence_batch_016_159</t>
        </is>
      </c>
      <c r="J93" s="3" t="inlineStr">
        <is>
          <t>ISSUE-0083; ISSUE-0084; ISSUE-0085; ISSUE-0086; ISSUE-0087</t>
        </is>
      </c>
    </row>
    <row r="94" ht="42" customHeight="1">
      <c r="A94" s="2" t="inlineStr">
        <is>
          <t>jeminise.com+norse-mythology-quilt-with-ravens-b8220cc38c-b8220cc38c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IF(B94="I1",AVERAGEIF('QA_Images'!$A$2:$A$72,A94,'QA_Images'!$T$2:$T$72)/100,IF(D94="FULL",1,IF(D94="PARTIAL",0.5,IF(D94="FAIL",0,""))))</f>
        <v/>
      </c>
      <c r="F94" s="5">
        <f>IF(E94="",0,C94*E94)</f>
        <v/>
      </c>
      <c r="G94" s="5">
        <f>IF(B94="I1",20*AVERAGEIF('QA_Images'!$A$2:$A$72,A94,'QA_Images'!$U$2:$U$72)/100,IF(D94="NOT_CHECKED",0,C94))</f>
        <v/>
      </c>
      <c r="H94" s="2" t="inlineStr">
        <is>
          <t>Keyword evidence is supported by SERP comparables without unsupported volume claims. Evidence is public SERP only; no Search Console, keyword volume or customer-search corpus provided.</t>
        </is>
      </c>
      <c r="I94" s="2" t="inlineStr">
        <is>
          <t>evidence_batch_016_159</t>
        </is>
      </c>
      <c r="J94" s="2" t="inlineStr">
        <is>
          <t>ISSUE-0083; ISSUE-0084; ISSUE-0085; ISSUE-0086; ISSUE-0087</t>
        </is>
      </c>
    </row>
    <row r="95" ht="42" customHeight="1">
      <c r="A95" s="3" t="inlineStr">
        <is>
          <t>jeminise.com+norse-mythology-quilt-with-ravens-b8220cc38c-b8220cc38c</t>
        </is>
      </c>
      <c r="B95" s="3" t="inlineStr">
        <is>
          <t>T1</t>
        </is>
      </c>
      <c r="C95" s="3" t="n">
        <v>10</v>
      </c>
      <c r="D95" s="3" t="inlineStr">
        <is>
          <t>PARTIAL</t>
        </is>
      </c>
      <c r="E95" s="7">
        <f>IF(B95="I1",AVERAGEIF('QA_Images'!$A$2:$A$72,A95,'QA_Images'!$T$2:$T$72)/100,IF(D95="FULL",1,IF(D95="PARTIAL",0.5,IF(D95="FAIL",0,""))))</f>
        <v/>
      </c>
      <c r="F95" s="7">
        <f>IF(E95="",0,C95*E95)</f>
        <v/>
      </c>
      <c r="G95" s="7">
        <f>IF(B95="I1",20*AVERAGEIF('QA_Images'!$A$2:$A$72,A95,'QA_Images'!$U$2:$U$72)/100,IF(D95="NOT_CHECKED",0,C95))</f>
        <v/>
      </c>
      <c r="H95" s="3" t="inlineStr">
        <is>
          <t>SEO title and H1 are relevant, specific and grounded in visible/source facts. Proposed H1 is blank, so the title/H1 pair cannot be fully verified.</t>
        </is>
      </c>
      <c r="I95" s="3" t="inlineStr">
        <is>
          <t>evidence_batch_016_159</t>
        </is>
      </c>
      <c r="J95" s="3" t="inlineStr">
        <is>
          <t>ISSUE-0083; ISSUE-0084; ISSUE-0085; ISSUE-0086; ISSUE-0087</t>
        </is>
      </c>
    </row>
    <row r="96" ht="42" customHeight="1">
      <c r="A96" s="2" t="inlineStr">
        <is>
          <t>jeminise.com+norse-mythology-quilt-with-ravens-b8220cc38c-b8220cc38c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5">
        <f>IF(B96="I1",AVERAGEIF('QA_Images'!$A$2:$A$72,A96,'QA_Images'!$T$2:$T$72)/100,IF(D96="FULL",1,IF(D96="PARTIAL",0.5,IF(D96="FAIL",0,""))))</f>
        <v/>
      </c>
      <c r="F96" s="5">
        <f>IF(E96="",0,C96*E96)</f>
        <v/>
      </c>
      <c r="G96" s="5">
        <f>IF(B96="I1",20*AVERAGEIF('QA_Images'!$A$2:$A$72,A96,'QA_Images'!$U$2:$U$72)/100,IF(D96="NOT_CHECKED",0,C96))</f>
        <v/>
      </c>
      <c r="H96" s="2" t="inlineStr">
        <is>
          <t>Meta description is concise, publish-ready and avoids unsupported claims. Meta description checked for length, specificity and supportable claims.</t>
        </is>
      </c>
      <c r="I96" s="2" t="inlineStr">
        <is>
          <t>evidence_batch_016_159</t>
        </is>
      </c>
      <c r="J96" s="2" t="inlineStr">
        <is>
          <t>ISSUE-0083; ISSUE-0084; ISSUE-0085; ISSUE-0086; ISSUE-0087</t>
        </is>
      </c>
    </row>
    <row r="97" ht="42" customHeight="1">
      <c r="A97" s="3" t="inlineStr">
        <is>
          <t>jeminise.com+norse-mythology-quilt-with-ravens-b8220cc38c-b8220cc38c</t>
        </is>
      </c>
      <c r="B97" s="3" t="inlineStr">
        <is>
          <t>D1</t>
        </is>
      </c>
      <c r="C97" s="3" t="n">
        <v>10</v>
      </c>
      <c r="D97" s="3" t="inlineStr">
        <is>
          <t>FAIL</t>
        </is>
      </c>
      <c r="E97" s="7">
        <f>IF(B97="I1",AVERAGEIF('QA_Images'!$A$2:$A$72,A97,'QA_Images'!$T$2:$T$72)/100,IF(D97="FULL",1,IF(D97="PARTIAL",0.5,IF(D97="FAIL",0,""))))</f>
        <v/>
      </c>
      <c r="F97" s="7">
        <f>IF(E97="",0,C97*E97)</f>
        <v/>
      </c>
      <c r="G97" s="7">
        <f>IF(B97="I1",20*AVERAGEIF('QA_Images'!$A$2:$A$72,A97,'QA_Images'!$U$2:$U$72)/100,IF(D97="NOT_CHECKED",0,C97))</f>
        <v/>
      </c>
      <c r="H97" s="3" t="inlineStr">
        <is>
          <t>Description HTML is publish-ready and free of internal draft/QA instructions. Description HTML still contains internal QA/import language.</t>
        </is>
      </c>
      <c r="I97" s="3" t="inlineStr">
        <is>
          <t>evidence_batch_016_159</t>
        </is>
      </c>
      <c r="J97" s="3" t="inlineStr">
        <is>
          <t>ISSUE-0083; ISSUE-0084; ISSUE-0085; ISSUE-0086; ISSUE-0087</t>
        </is>
      </c>
    </row>
    <row r="98" ht="42" customHeight="1">
      <c r="A98" s="2" t="inlineStr">
        <is>
          <t>jeminise.com+norse-mythology-quilt-with-ravens-b8220cc38c-b8220cc38c</t>
        </is>
      </c>
      <c r="B98" s="2" t="inlineStr">
        <is>
          <t>D2</t>
        </is>
      </c>
      <c r="C98" s="2" t="n">
        <v>5</v>
      </c>
      <c r="D98" s="2" t="inlineStr">
        <is>
          <t>PARTIAL</t>
        </is>
      </c>
      <c r="E98" s="5">
        <f>IF(B98="I1",AVERAGEIF('QA_Images'!$A$2:$A$72,A98,'QA_Images'!$T$2:$T$72)/100,IF(D98="FULL",1,IF(D98="PARTIAL",0.5,IF(D98="FAIL",0,""))))</f>
        <v/>
      </c>
      <c r="F98" s="5">
        <f>IF(E98="",0,C98*E98)</f>
        <v/>
      </c>
      <c r="G98" s="5">
        <f>IF(B98="I1",20*AVERAGEIF('QA_Images'!$A$2:$A$72,A98,'QA_Images'!$U$2:$U$72)/100,IF(D98="NOT_CHECKED",0,C98))</f>
        <v/>
      </c>
      <c r="H98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98" s="2" t="inlineStr">
        <is>
          <t>evidence_batch_016_159</t>
        </is>
      </c>
      <c r="J98" s="2" t="inlineStr">
        <is>
          <t>ISSUE-0083; ISSUE-0084; ISSUE-0085; ISSUE-0086; ISSUE-0087</t>
        </is>
      </c>
    </row>
    <row r="99" ht="42" customHeight="1">
      <c r="A99" s="3" t="inlineStr">
        <is>
          <t>jeminise.com+norse-mythology-quilt-with-ravens-b8220cc38c-b8220cc38c</t>
        </is>
      </c>
      <c r="B99" s="3" t="inlineStr">
        <is>
          <t>I1</t>
        </is>
      </c>
      <c r="C99" s="3" t="n">
        <v>20</v>
      </c>
      <c r="D99" s="3" t="inlineStr">
        <is>
          <t>FULL</t>
        </is>
      </c>
      <c r="E99" s="7">
        <f>IF(B99="I1",AVERAGEIF('QA_Images'!$A$2:$A$72,A99,'QA_Images'!$T$2:$T$72)/100,IF(D99="FULL",1,IF(D99="PARTIAL",0.5,IF(D99="FAIL",0,""))))</f>
        <v/>
      </c>
      <c r="F99" s="7">
        <f>IF(E99="",0,C99*E99)</f>
        <v/>
      </c>
      <c r="G99" s="7">
        <f>IF(B99="I1",20*AVERAGEIF('QA_Images'!$A$2:$A$72,A99,'QA_Images'!$U$2:$U$72)/100,IF(D99="NOT_CHECKED",0,C99))</f>
        <v/>
      </c>
      <c r="H99" s="3" t="inlineStr">
        <is>
          <t>Image coverage, image observations and alt text quality, derived from QA_Images. Derived from average image QA score; see QA_Images.</t>
        </is>
      </c>
      <c r="I99" s="3" t="inlineStr">
        <is>
          <t>evidence_batch_016_159</t>
        </is>
      </c>
      <c r="J99" s="3" t="inlineStr">
        <is>
          <t>ISSUE-0083; ISSUE-0084; ISSUE-0085; ISSUE-0086; ISSUE-0087</t>
        </is>
      </c>
    </row>
    <row r="100" ht="42" customHeight="1">
      <c r="A100" s="2" t="inlineStr">
        <is>
          <t>jeminise.com+norse-mythology-quilt-with-ravens-b8220cc38c-b8220cc38c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IF(B100="I1",AVERAGEIF('QA_Images'!$A$2:$A$72,A100,'QA_Images'!$T$2:$T$72)/100,IF(D100="FULL",1,IF(D100="PARTIAL",0.5,IF(D100="FAIL",0,""))))</f>
        <v/>
      </c>
      <c r="F100" s="5">
        <f>IF(E100="",0,C100*E100)</f>
        <v/>
      </c>
      <c r="G100" s="5">
        <f>IF(B100="I1",20*AVERAGEIF('QA_Images'!$A$2:$A$72,A100,'QA_Images'!$U$2:$U$72)/100,IF(D100="NOT_CHECKED",0,C100))</f>
        <v/>
      </c>
      <c r="H100" s="2" t="inlineStr">
        <is>
          <t>Evidence chain is traceable and limitations are explicitly separated from failures. Evidence chain is traceable, with admin-export limitation explicitly separated.</t>
        </is>
      </c>
      <c r="I100" s="2" t="inlineStr">
        <is>
          <t>evidence_batch_016_159</t>
        </is>
      </c>
      <c r="J100" s="2" t="inlineStr">
        <is>
          <t>ISSUE-0083; ISSUE-0084; ISSUE-0085; ISSUE-0086; ISSUE-0087</t>
        </is>
      </c>
    </row>
    <row r="101" ht="42" customHeight="1">
      <c r="A101" s="3" t="inlineStr">
        <is>
          <t>jeminise.com+norse-mythology-raven-centered-within-runic-circle-comforter-ab76500bc1-ab76500bc1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IF(B101="I1",AVERAGEIF('QA_Images'!$A$2:$A$72,A101,'QA_Images'!$T$2:$T$72)/100,IF(D101="FULL",1,IF(D101="PARTIAL",0.5,IF(D101="FAIL",0,""))))</f>
        <v/>
      </c>
      <c r="F101" s="7">
        <f>IF(E101="",0,C101*E101)</f>
        <v/>
      </c>
      <c r="G101" s="7">
        <f>IF(B101="I1",20*AVERAGEIF('QA_Images'!$A$2:$A$72,A101,'QA_Images'!$U$2:$U$72)/100,IF(D101="NOT_CHECKED",0,C101))</f>
        <v/>
      </c>
      <c r="H101" s="3" t="inlineStr">
        <is>
          <t>Product identity, handle, product ID, URL and canonical match source/live evidence. Product key/handle/product ID/canonical checked against frozen workbook and live product evidence.</t>
        </is>
      </c>
      <c r="I101" s="3" t="inlineStr">
        <is>
          <t>evidence_batch_016_160</t>
        </is>
      </c>
      <c r="J101" s="3" t="inlineStr">
        <is>
          <t>ISSUE-0093; ISSUE-0094; ISSUE-0095; ISSUE-0096; ISSUE-0097</t>
        </is>
      </c>
    </row>
    <row r="102" ht="42" customHeight="1">
      <c r="A102" s="2" t="inlineStr">
        <is>
          <t>jeminise.com+norse-mythology-raven-centered-within-runic-circle-comforter-ab76500bc1-ab76500bc1</t>
        </is>
      </c>
      <c r="B102" s="2" t="inlineStr">
        <is>
          <t>P2</t>
        </is>
      </c>
      <c r="C102" s="2" t="n">
        <v>10</v>
      </c>
      <c r="D102" s="2" t="inlineStr">
        <is>
          <t>PARTIAL</t>
        </is>
      </c>
      <c r="E102" s="5">
        <f>IF(B102="I1",AVERAGEIF('QA_Images'!$A$2:$A$72,A102,'QA_Images'!$T$2:$T$72)/100,IF(D102="FULL",1,IF(D102="PARTIAL",0.5,IF(D102="FAIL",0,""))))</f>
        <v/>
      </c>
      <c r="F102" s="5">
        <f>IF(E102="",0,C102*E102)</f>
        <v/>
      </c>
      <c r="G102" s="5">
        <f>IF(B102="I1",20*AVERAGEIF('QA_Images'!$A$2:$A$72,A102,'QA_Images'!$U$2:$U$72)/100,IF(D102="NOT_CHECKED",0,C102))</f>
        <v/>
      </c>
      <c r="H102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102" s="2" t="inlineStr">
        <is>
          <t>evidence_batch_016_160</t>
        </is>
      </c>
      <c r="J102" s="2" t="inlineStr">
        <is>
          <t>ISSUE-0093; ISSUE-0094; ISSUE-0095; ISSUE-0096; ISSUE-0097</t>
        </is>
      </c>
    </row>
    <row r="103" ht="42" customHeight="1">
      <c r="A103" s="3" t="inlineStr">
        <is>
          <t>jeminise.com+norse-mythology-raven-centered-within-runic-circle-comforter-ab76500bc1-ab76500bc1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IF(B103="I1",AVERAGEIF('QA_Images'!$A$2:$A$72,A103,'QA_Images'!$T$2:$T$72)/100,IF(D103="FULL",1,IF(D103="PARTIAL",0.5,IF(D103="FAIL",0,""))))</f>
        <v/>
      </c>
      <c r="F103" s="7">
        <f>IF(E103="",0,C103*E103)</f>
        <v/>
      </c>
      <c r="G103" s="7">
        <f>IF(B103="I1",20*AVERAGEIF('QA_Images'!$A$2:$A$72,A103,'QA_Images'!$U$2:$U$72)/100,IF(D103="NOT_CHECKED",0,C103))</f>
        <v/>
      </c>
      <c r="H103" s="3" t="inlineStr">
        <is>
          <t>Primary keyword aligns with product-level US purchase intent. Primary keyword rechecked against US product-level SERP comparables.</t>
        </is>
      </c>
      <c r="I103" s="3" t="inlineStr">
        <is>
          <t>evidence_batch_016_160</t>
        </is>
      </c>
      <c r="J103" s="3" t="inlineStr">
        <is>
          <t>ISSUE-0093; ISSUE-0094; ISSUE-0095; ISSUE-0096; ISSUE-0097</t>
        </is>
      </c>
    </row>
    <row r="104" ht="42" customHeight="1">
      <c r="A104" s="2" t="inlineStr">
        <is>
          <t>jeminise.com+norse-mythology-raven-centered-within-runic-circle-comforter-ab76500bc1-ab76500bc1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IF(B104="I1",AVERAGEIF('QA_Images'!$A$2:$A$72,A104,'QA_Images'!$T$2:$T$72)/100,IF(D104="FULL",1,IF(D104="PARTIAL",0.5,IF(D104="FAIL",0,""))))</f>
        <v/>
      </c>
      <c r="F104" s="5">
        <f>IF(E104="",0,C104*E104)</f>
        <v/>
      </c>
      <c r="G104" s="5">
        <f>IF(B104="I1",20*AVERAGEIF('QA_Images'!$A$2:$A$72,A104,'QA_Images'!$U$2:$U$72)/100,IF(D104="NOT_CHECKED",0,C104))</f>
        <v/>
      </c>
      <c r="H104" s="2" t="inlineStr">
        <is>
          <t>Intent/cannibalization check distinguishes nearby products. Nearby product cluster has overlap risk, so intent distinction remains only partial.</t>
        </is>
      </c>
      <c r="I104" s="2" t="inlineStr">
        <is>
          <t>evidence_batch_016_160</t>
        </is>
      </c>
      <c r="J104" s="2" t="inlineStr">
        <is>
          <t>ISSUE-0093; ISSUE-0094; ISSUE-0095; ISSUE-0096; ISSUE-0097</t>
        </is>
      </c>
    </row>
    <row r="105" ht="42" customHeight="1">
      <c r="A105" s="3" t="inlineStr">
        <is>
          <t>jeminise.com+norse-mythology-raven-centered-within-runic-circle-comforter-ab76500bc1-ab76500bc1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IF(B105="I1",AVERAGEIF('QA_Images'!$A$2:$A$72,A105,'QA_Images'!$T$2:$T$72)/100,IF(D105="FULL",1,IF(D105="PARTIAL",0.5,IF(D105="FAIL",0,""))))</f>
        <v/>
      </c>
      <c r="F105" s="7">
        <f>IF(E105="",0,C105*E105)</f>
        <v/>
      </c>
      <c r="G105" s="7">
        <f>IF(B105="I1",20*AVERAGEIF('QA_Images'!$A$2:$A$72,A105,'QA_Images'!$U$2:$U$72)/100,IF(D105="NOT_CHECKED",0,C105))</f>
        <v/>
      </c>
      <c r="H105" s="3" t="inlineStr">
        <is>
          <t>Keyword evidence is supported by SERP comparables without unsupported volume claims. Evidence is public SERP only; no Search Console, keyword volume or customer-search corpus provided.</t>
        </is>
      </c>
      <c r="I105" s="3" t="inlineStr">
        <is>
          <t>evidence_batch_016_160</t>
        </is>
      </c>
      <c r="J105" s="3" t="inlineStr">
        <is>
          <t>ISSUE-0093; ISSUE-0094; ISSUE-0095; ISSUE-0096; ISSUE-0097</t>
        </is>
      </c>
    </row>
    <row r="106" ht="42" customHeight="1">
      <c r="A106" s="2" t="inlineStr">
        <is>
          <t>jeminise.com+norse-mythology-raven-centered-within-runic-circle-comforter-ab76500bc1-ab76500bc1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5">
        <f>IF(B106="I1",AVERAGEIF('QA_Images'!$A$2:$A$72,A106,'QA_Images'!$T$2:$T$72)/100,IF(D106="FULL",1,IF(D106="PARTIAL",0.5,IF(D106="FAIL",0,""))))</f>
        <v/>
      </c>
      <c r="F106" s="5">
        <f>IF(E106="",0,C106*E106)</f>
        <v/>
      </c>
      <c r="G106" s="5">
        <f>IF(B106="I1",20*AVERAGEIF('QA_Images'!$A$2:$A$72,A106,'QA_Images'!$U$2:$U$72)/100,IF(D106="NOT_CHECKED",0,C106))</f>
        <v/>
      </c>
      <c r="H106" s="2" t="inlineStr">
        <is>
          <t>SEO title and H1 are relevant, specific and grounded in visible/source facts. Proposed H1 is blank, so the title/H1 pair cannot be fully verified.</t>
        </is>
      </c>
      <c r="I106" s="2" t="inlineStr">
        <is>
          <t>evidence_batch_016_160</t>
        </is>
      </c>
      <c r="J106" s="2" t="inlineStr">
        <is>
          <t>ISSUE-0093; ISSUE-0094; ISSUE-0095; ISSUE-0096; ISSUE-0097</t>
        </is>
      </c>
    </row>
    <row r="107" ht="42" customHeight="1">
      <c r="A107" s="3" t="inlineStr">
        <is>
          <t>jeminise.com+norse-mythology-raven-centered-within-runic-circle-comforter-ab76500bc1-ab76500bc1</t>
        </is>
      </c>
      <c r="B107" s="3" t="inlineStr">
        <is>
          <t>T2</t>
        </is>
      </c>
      <c r="C107" s="3" t="n">
        <v>5</v>
      </c>
      <c r="D107" s="3" t="inlineStr">
        <is>
          <t>PARTIAL</t>
        </is>
      </c>
      <c r="E107" s="7">
        <f>IF(B107="I1",AVERAGEIF('QA_Images'!$A$2:$A$72,A107,'QA_Images'!$T$2:$T$72)/100,IF(D107="FULL",1,IF(D107="PARTIAL",0.5,IF(D107="FAIL",0,""))))</f>
        <v/>
      </c>
      <c r="F107" s="7">
        <f>IF(E107="",0,C107*E107)</f>
        <v/>
      </c>
      <c r="G107" s="7">
        <f>IF(B107="I1",20*AVERAGEIF('QA_Images'!$A$2:$A$72,A107,'QA_Images'!$U$2:$U$72)/100,IF(D107="NOT_CHECKED",0,C107))</f>
        <v/>
      </c>
      <c r="H107" s="3" t="inlineStr">
        <is>
          <t>Meta description is concise, publish-ready and avoids unsupported claims. Meta description checked for length, specificity and supportable claims.</t>
        </is>
      </c>
      <c r="I107" s="3" t="inlineStr">
        <is>
          <t>evidence_batch_016_160</t>
        </is>
      </c>
      <c r="J107" s="3" t="inlineStr">
        <is>
          <t>ISSUE-0093; ISSUE-0094; ISSUE-0095; ISSUE-0096; ISSUE-0097</t>
        </is>
      </c>
    </row>
    <row r="108" ht="42" customHeight="1">
      <c r="A108" s="2" t="inlineStr">
        <is>
          <t>jeminise.com+norse-mythology-raven-centered-within-runic-circle-comforter-ab76500bc1-ab76500bc1</t>
        </is>
      </c>
      <c r="B108" s="2" t="inlineStr">
        <is>
          <t>D1</t>
        </is>
      </c>
      <c r="C108" s="2" t="n">
        <v>10</v>
      </c>
      <c r="D108" s="2" t="inlineStr">
        <is>
          <t>FAIL</t>
        </is>
      </c>
      <c r="E108" s="5">
        <f>IF(B108="I1",AVERAGEIF('QA_Images'!$A$2:$A$72,A108,'QA_Images'!$T$2:$T$72)/100,IF(D108="FULL",1,IF(D108="PARTIAL",0.5,IF(D108="FAIL",0,""))))</f>
        <v/>
      </c>
      <c r="F108" s="5">
        <f>IF(E108="",0,C108*E108)</f>
        <v/>
      </c>
      <c r="G108" s="5">
        <f>IF(B108="I1",20*AVERAGEIF('QA_Images'!$A$2:$A$72,A108,'QA_Images'!$U$2:$U$72)/100,IF(D108="NOT_CHECKED",0,C108))</f>
        <v/>
      </c>
      <c r="H108" s="2" t="inlineStr">
        <is>
          <t>Description HTML is publish-ready and free of internal draft/QA instructions. Description HTML still contains internal QA/import language.</t>
        </is>
      </c>
      <c r="I108" s="2" t="inlineStr">
        <is>
          <t>evidence_batch_016_160</t>
        </is>
      </c>
      <c r="J108" s="2" t="inlineStr">
        <is>
          <t>ISSUE-0093; ISSUE-0094; ISSUE-0095; ISSUE-0096; ISSUE-0097</t>
        </is>
      </c>
    </row>
    <row r="109" ht="42" customHeight="1">
      <c r="A109" s="3" t="inlineStr">
        <is>
          <t>jeminise.com+norse-mythology-raven-centered-within-runic-circle-comforter-ab76500bc1-ab76500bc1</t>
        </is>
      </c>
      <c r="B109" s="3" t="inlineStr">
        <is>
          <t>D2</t>
        </is>
      </c>
      <c r="C109" s="3" t="n">
        <v>5</v>
      </c>
      <c r="D109" s="3" t="inlineStr">
        <is>
          <t>PARTIAL</t>
        </is>
      </c>
      <c r="E109" s="7">
        <f>IF(B109="I1",AVERAGEIF('QA_Images'!$A$2:$A$72,A109,'QA_Images'!$T$2:$T$72)/100,IF(D109="FULL",1,IF(D109="PARTIAL",0.5,IF(D109="FAIL",0,""))))</f>
        <v/>
      </c>
      <c r="F109" s="7">
        <f>IF(E109="",0,C109*E109)</f>
        <v/>
      </c>
      <c r="G109" s="7">
        <f>IF(B109="I1",20*AVERAGEIF('QA_Images'!$A$2:$A$72,A109,'QA_Images'!$U$2:$U$72)/100,IF(D109="NOT_CHECKED",0,C109))</f>
        <v/>
      </c>
      <c r="H109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109" s="3" t="inlineStr">
        <is>
          <t>evidence_batch_016_160</t>
        </is>
      </c>
      <c r="J109" s="3" t="inlineStr">
        <is>
          <t>ISSUE-0093; ISSUE-0094; ISSUE-0095; ISSUE-0096; ISSUE-0097</t>
        </is>
      </c>
    </row>
    <row r="110" ht="42" customHeight="1">
      <c r="A110" s="2" t="inlineStr">
        <is>
          <t>jeminise.com+norse-mythology-raven-centered-within-runic-circle-comforter-ab76500bc1-ab76500bc1</t>
        </is>
      </c>
      <c r="B110" s="2" t="inlineStr">
        <is>
          <t>I1</t>
        </is>
      </c>
      <c r="C110" s="2" t="n">
        <v>20</v>
      </c>
      <c r="D110" s="2" t="inlineStr">
        <is>
          <t>FULL</t>
        </is>
      </c>
      <c r="E110" s="5">
        <f>IF(B110="I1",AVERAGEIF('QA_Images'!$A$2:$A$72,A110,'QA_Images'!$T$2:$T$72)/100,IF(D110="FULL",1,IF(D110="PARTIAL",0.5,IF(D110="FAIL",0,""))))</f>
        <v/>
      </c>
      <c r="F110" s="5">
        <f>IF(E110="",0,C110*E110)</f>
        <v/>
      </c>
      <c r="G110" s="5">
        <f>IF(B110="I1",20*AVERAGEIF('QA_Images'!$A$2:$A$72,A110,'QA_Images'!$U$2:$U$72)/100,IF(D110="NOT_CHECKED",0,C110))</f>
        <v/>
      </c>
      <c r="H110" s="2" t="inlineStr">
        <is>
          <t>Image coverage, image observations and alt text quality, derived from QA_Images. Derived from average image QA score; see QA_Images.</t>
        </is>
      </c>
      <c r="I110" s="2" t="inlineStr">
        <is>
          <t>evidence_batch_016_160</t>
        </is>
      </c>
      <c r="J110" s="2" t="inlineStr">
        <is>
          <t>ISSUE-0093; ISSUE-0094; ISSUE-0095; ISSUE-0096; ISSUE-0097</t>
        </is>
      </c>
    </row>
    <row r="111" ht="42" customHeight="1">
      <c r="A111" s="3" t="inlineStr">
        <is>
          <t>jeminise.com+norse-mythology-raven-centered-within-runic-circle-comforter-ab76500bc1-ab76500bc1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IF(B111="I1",AVERAGEIF('QA_Images'!$A$2:$A$72,A111,'QA_Images'!$T$2:$T$72)/100,IF(D111="FULL",1,IF(D111="PARTIAL",0.5,IF(D111="FAIL",0,""))))</f>
        <v/>
      </c>
      <c r="F111" s="7">
        <f>IF(E111="",0,C111*E111)</f>
        <v/>
      </c>
      <c r="G111" s="7">
        <f>IF(B111="I1",20*AVERAGEIF('QA_Images'!$A$2:$A$72,A111,'QA_Images'!$U$2:$U$72)/100,IF(D111="NOT_CHECKED",0,C111))</f>
        <v/>
      </c>
      <c r="H111" s="3" t="inlineStr">
        <is>
          <t>Evidence chain is traceable and limitations are explicitly separated from failures. Evidence chain is traceable, with admin-export limitation explicitly separated.</t>
        </is>
      </c>
      <c r="I111" s="3" t="inlineStr">
        <is>
          <t>evidence_batch_016_160</t>
        </is>
      </c>
      <c r="J111" s="3" t="inlineStr">
        <is>
          <t>ISSUE-0093; ISSUE-0094; ISSUE-0095; ISSUE-0096; ISSUE-0097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</row>
    <row r="2" ht="66" customHeight="1">
      <c r="A2" s="2" t="inlineStr">
        <is>
          <t>jeminise.com+giraffe-patchwork-style-printed-quilt-animal-patchwork-bedding</t>
        </is>
      </c>
      <c r="B2" s="2" t="inlineStr">
        <is>
          <t>img_9b392deb2c5a82b9</t>
        </is>
      </c>
      <c r="C2" s="4" t="inlineStr">
        <is>
          <t>https://cdn.shopify.com/s/files/1/0792/5098/1063/files/603c040a548d71a824cef1c6f7a26003ffc38ac45191f307365700954d9f5728.jpg?v=1787233635</t>
        </is>
      </c>
      <c r="D2" s="4" t="inlineStr">
        <is>
          <t>https://cdn.shopify.com/s/files/1/0792/5098/1063/files/603c040a548d71a824cef1c6f7a26003ffc38ac45191f307365700954d9f5728.jpg?v=1787233635</t>
        </is>
      </c>
      <c r="E2" s="2" t="inlineStr">
        <is>
          <t>47933456285895</t>
        </is>
      </c>
      <c r="F2" s="2" t="inlineStr">
        <is>
          <t>47933456285895</t>
        </is>
      </c>
      <c r="G2" s="2" t="inlineStr"/>
      <c r="H2" s="2" t="inlineStr">
        <is>
          <t>GALLERY</t>
        </is>
      </c>
      <c r="I2" s="2" t="inlineStr">
        <is>
          <t>DIRECT_IMAGE_DOWNLOAD_AND_SOURCE_ROW_REVIEW</t>
        </is>
      </c>
      <c r="J2" s="2" t="inlineStr">
        <is>
          <t>2026-09-07T21:16:18+07:00</t>
        </is>
      </c>
      <c r="K2" s="2" t="inlineStr">
        <is>
          <t>Direct QA opened downloaded image 151_01; source SHA 3F2611996479AD466F96D5C5789254A88A2E13F67EAB14FE909829F69C019BE5. Submitted observation reviewed against gallery position.</t>
        </is>
      </c>
      <c r="L2" s="2" t="inlineStr">
        <is>
          <t>Main product mockup showing blue mosaic giraffe patchwork quilt.</t>
        </is>
      </c>
      <c r="M2" s="2" t="inlineStr">
        <is>
          <t>UNKNOWN</t>
        </is>
      </c>
      <c r="N2" s="2" t="inlineStr">
        <is>
          <t>SET</t>
        </is>
      </c>
      <c r="O2" s="2" t="inlineStr">
        <is>
          <t>Blue Mosaic Giraffe Patchwork Quilt displayed in a main product mockup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PARTIAL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ISSUE-0006</t>
        </is>
      </c>
      <c r="Z2" s="2" t="inlineStr">
        <is>
          <t>D:\Shopify_Workspace\jeminise_seo\seo_runs\jeminise.com\20260906_234129\qa\20260907_210204\images\151_01.jpg; seo_runs\jeminise.com\20260906_234129\evidence\images\151_giraffe-patchwork-style-printed-quilt-animal-patchwork-bedding\image_01_47933456285895.jpg; seo_runs\jeminise.com\20260906_234129\evidence\contact_sheets\151_giraffe-patchwork-style-printed-quilt-animal-patchwork-bedding.jpg</t>
        </is>
      </c>
    </row>
    <row r="3" ht="66" customHeight="1">
      <c r="A3" s="3" t="inlineStr">
        <is>
          <t>jeminise.com+giraffe-patchwork-style-printed-quilt-animal-patchwork-bedding</t>
        </is>
      </c>
      <c r="B3" s="3" t="inlineStr">
        <is>
          <t>img_db7a2abf86517be1</t>
        </is>
      </c>
      <c r="C3" s="4" t="inlineStr">
        <is>
          <t>https://cdn.shopify.com/s/files/1/0792/5098/1063/files/288d07bcbdbe668f4ecb93c1608db02380c59dd8d38601892d0aead8bc180702.jpg?v=1787233635</t>
        </is>
      </c>
      <c r="D3" s="4" t="inlineStr">
        <is>
          <t>https://cdn.shopify.com/s/files/1/0792/5098/1063/files/288d07bcbdbe668f4ecb93c1608db02380c59dd8d38601892d0aead8bc180702.jpg?v=1787233635</t>
        </is>
      </c>
      <c r="E3" s="3" t="inlineStr">
        <is>
          <t>47933456318663</t>
        </is>
      </c>
      <c r="F3" s="3" t="inlineStr">
        <is>
          <t>47933456318663</t>
        </is>
      </c>
      <c r="G3" s="3" t="inlineStr"/>
      <c r="H3" s="3" t="inlineStr">
        <is>
          <t>GALLERY</t>
        </is>
      </c>
      <c r="I3" s="3" t="inlineStr">
        <is>
          <t>DIRECT_IMAGE_DOWNLOAD_AND_SOURCE_ROW_REVIEW</t>
        </is>
      </c>
      <c r="J3" s="3" t="inlineStr">
        <is>
          <t>2026-09-07T21:16:18+07:00</t>
        </is>
      </c>
      <c r="K3" s="3" t="inlineStr">
        <is>
          <t>Direct QA opened downloaded image 151_02; source SHA 0B9A499B10794C7CF050D8A076681CEB525A0C00DCE8769296795A6054BACC1C. Submitted observation reviewed against gallery position.</t>
        </is>
      </c>
      <c r="L3" s="3" t="inlineStr">
        <is>
          <t>Secondary flat, close-up or bedroom mockup showing blue mosaic giraffe patchwork quilt.</t>
        </is>
      </c>
      <c r="M3" s="3" t="inlineStr">
        <is>
          <t>UNKNOWN</t>
        </is>
      </c>
      <c r="N3" s="3" t="inlineStr">
        <is>
          <t>SET</t>
        </is>
      </c>
      <c r="O3" s="3" t="inlineStr">
        <is>
          <t>Secondary mockup or close-up of Blue Mosaic Giraffe Patchwork Quilt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/>
      <c r="Z3" s="3" t="inlineStr">
        <is>
          <t>D:\Shopify_Workspace\jeminise_seo\seo_runs\jeminise.com\20260906_234129\qa\20260907_210204\images\151_02.jpg; seo_runs\jeminise.com\20260906_234129\evidence\images\151_giraffe-patchwork-style-printed-quilt-animal-patchwork-bedding\image_02_47933456318663.jpg; seo_runs\jeminise.com\20260906_234129\evidence\contact_sheets\151_giraffe-patchwork-style-printed-quilt-animal-patchwork-bedding.jpg</t>
        </is>
      </c>
    </row>
    <row r="4" ht="66" customHeight="1">
      <c r="A4" s="2" t="inlineStr">
        <is>
          <t>jeminise.com+giraffe-patchwork-style-printed-quilt-animal-patchwork-bedding</t>
        </is>
      </c>
      <c r="B4" s="2" t="inlineStr">
        <is>
          <t>img_e43a39b20e37bab3</t>
        </is>
      </c>
      <c r="C4" s="4" t="inlineStr">
        <is>
          <t>https://cdn.shopify.com/s/files/1/0792/5098/1063/files/bd0c76c837967938b4d577ff893ef9c2e807756bc0b37ab9ebf7238cca4042bd.jpg?v=1787233635</t>
        </is>
      </c>
      <c r="D4" s="4" t="inlineStr">
        <is>
          <t>https://cdn.shopify.com/s/files/1/0792/5098/1063/files/bd0c76c837967938b4d577ff893ef9c2e807756bc0b37ab9ebf7238cca4042bd.jpg?v=1787233635</t>
        </is>
      </c>
      <c r="E4" s="2" t="inlineStr">
        <is>
          <t>47933456351431</t>
        </is>
      </c>
      <c r="F4" s="2" t="inlineStr">
        <is>
          <t>47933456351431</t>
        </is>
      </c>
      <c r="G4" s="2" t="inlineStr"/>
      <c r="H4" s="2" t="inlineStr">
        <is>
          <t>GALLERY</t>
        </is>
      </c>
      <c r="I4" s="2" t="inlineStr">
        <is>
          <t>DIRECT_IMAGE_DOWNLOAD_AND_SOURCE_ROW_REVIEW</t>
        </is>
      </c>
      <c r="J4" s="2" t="inlineStr">
        <is>
          <t>2026-09-07T21:16:18+07:00</t>
        </is>
      </c>
      <c r="K4" s="2" t="inlineStr">
        <is>
          <t>Direct QA opened downloaded image 151_03; source SHA 234970A88B5D6822595FDBC5E95A63806DF74F14A71BEE0DEB6EA98D9AED7CCF. Submitted observation reviewed against gallery position.</t>
        </is>
      </c>
      <c r="L4" s="2" t="inlineStr">
        <is>
          <t>Bedding type, feature, lifestyle or material image for blue mosaic giraffe patchwork quilt.</t>
        </is>
      </c>
      <c r="M4" s="2" t="inlineStr">
        <is>
          <t>UNKNOWN</t>
        </is>
      </c>
      <c r="N4" s="2" t="inlineStr">
        <is>
          <t>SET</t>
        </is>
      </c>
      <c r="O4" s="2" t="inlineStr">
        <is>
          <t>Product pillow or lifestyle image for Blue Mosaic Giraffe Patchwork Quilt</t>
        </is>
      </c>
      <c r="P4" s="2" t="inlineStr">
        <is>
          <t>FULL</t>
        </is>
      </c>
      <c r="Q4" s="2" t="inlineStr">
        <is>
          <t>PARTIAL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ISSUE-0007</t>
        </is>
      </c>
      <c r="Z4" s="2" t="inlineStr">
        <is>
          <t>D:\Shopify_Workspace\jeminise_seo\seo_runs\jeminise.com\20260906_234129\qa\20260907_210204\images\151_03.jpg; seo_runs\jeminise.com\20260906_234129\evidence\images\151_giraffe-patchwork-style-printed-quilt-animal-patchwork-bedding\image_03_47933456351431.jpg; seo_runs\jeminise.com\20260906_234129\evidence\contact_sheets\151_giraffe-patchwork-style-printed-quilt-animal-patchwork-bedding.jpg</t>
        </is>
      </c>
    </row>
    <row r="5" ht="66" customHeight="1">
      <c r="A5" s="3" t="inlineStr">
        <is>
          <t>jeminise.com+giraffe-patchwork-style-printed-quilt-animal-patchwork-bedding</t>
        </is>
      </c>
      <c r="B5" s="3" t="inlineStr">
        <is>
          <t>img_190a5ab48a5e524d</t>
        </is>
      </c>
      <c r="C5" s="4" t="inlineStr">
        <is>
          <t>https://cdn.shopify.com/s/files/1/0792/5098/1063/files/f5a5d13d5344a2d7adef506d08259b82c77867e7098b93b86898cdf6c1f1eeb8.jpg?v=1787233635</t>
        </is>
      </c>
      <c r="D5" s="4" t="inlineStr">
        <is>
          <t>https://cdn.shopify.com/s/files/1/0792/5098/1063/files/f5a5d13d5344a2d7adef506d08259b82c77867e7098b93b86898cdf6c1f1eeb8.jpg?v=1787233635</t>
        </is>
      </c>
      <c r="E5" s="3" t="inlineStr">
        <is>
          <t>47933456384199</t>
        </is>
      </c>
      <c r="F5" s="3" t="inlineStr">
        <is>
          <t>47933456384199</t>
        </is>
      </c>
      <c r="G5" s="3" t="inlineStr"/>
      <c r="H5" s="3" t="inlineStr">
        <is>
          <t>GALLERY</t>
        </is>
      </c>
      <c r="I5" s="3" t="inlineStr">
        <is>
          <t>DIRECT_IMAGE_DOWNLOAD_AND_SOURCE_ROW_REVIEW</t>
        </is>
      </c>
      <c r="J5" s="3" t="inlineStr">
        <is>
          <t>2026-09-07T21:16:18+07:00</t>
        </is>
      </c>
      <c r="K5" s="3" t="inlineStr">
        <is>
          <t>Direct QA opened downloaded image 151_04; source SHA 2BF6EB25E72405E9585855CA46C6BB454B0B257A2EC134F869CE15CE254A768D. Submitted observation reviewed against gallery position.</t>
        </is>
      </c>
      <c r="L5" s="3" t="inlineStr">
        <is>
          <t>Detail, feature panel or lifestyle image connected to blue mosaic giraffe patchwork quilt.</t>
        </is>
      </c>
      <c r="M5" s="3" t="inlineStr">
        <is>
          <t>UNKNOWN</t>
        </is>
      </c>
      <c r="N5" s="3" t="inlineStr">
        <is>
          <t>SET</t>
        </is>
      </c>
      <c r="O5" s="3" t="inlineStr">
        <is>
          <t>Feature, fabric or lifestyle image for Blue Mosaic Giraffe Patchwork Quilt</t>
        </is>
      </c>
      <c r="P5" s="3" t="inlineStr">
        <is>
          <t>FULL</t>
        </is>
      </c>
      <c r="Q5" s="3" t="inlineStr">
        <is>
          <t>PARTIAL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ISSUE-0008</t>
        </is>
      </c>
      <c r="Z5" s="3" t="inlineStr">
        <is>
          <t>D:\Shopify_Workspace\jeminise_seo\seo_runs\jeminise.com\20260906_234129\qa\20260907_210204\images\151_04.jpg; seo_runs\jeminise.com\20260906_234129\evidence\images\151_giraffe-patchwork-style-printed-quilt-animal-patchwork-bedding\image_04_47933456384199.jpg; seo_runs\jeminise.com\20260906_234129\evidence\contact_sheets\151_giraffe-patchwork-style-printed-quilt-animal-patchwork-bedding.jpg</t>
        </is>
      </c>
    </row>
    <row r="6" ht="66" customHeight="1">
      <c r="A6" s="2" t="inlineStr">
        <is>
          <t>jeminise.com+giraffe-patchwork-style-printed-quilt-animal-patchwork-bedding</t>
        </is>
      </c>
      <c r="B6" s="2" t="inlineStr">
        <is>
          <t>img_d7731867129c0664</t>
        </is>
      </c>
      <c r="C6" s="4" t="inlineStr">
        <is>
          <t>https://cdn.shopify.com/s/files/1/0792/5098/1063/files/a60c14e85b916d148be08985c5fbd6a5131443f5c719a991bd7b0e819566b7cf.jpg?v=1787233635</t>
        </is>
      </c>
      <c r="D6" s="4" t="inlineStr">
        <is>
          <t>https://cdn.shopify.com/s/files/1/0792/5098/1063/files/a60c14e85b916d148be08985c5fbd6a5131443f5c719a991bd7b0e819566b7cf.jpg?v=1787233635</t>
        </is>
      </c>
      <c r="E6" s="2" t="inlineStr">
        <is>
          <t>47933456416967</t>
        </is>
      </c>
      <c r="F6" s="2" t="inlineStr">
        <is>
          <t>47933456416967</t>
        </is>
      </c>
      <c r="G6" s="2" t="inlineStr"/>
      <c r="H6" s="2" t="inlineStr">
        <is>
          <t>GALLERY</t>
        </is>
      </c>
      <c r="I6" s="2" t="inlineStr">
        <is>
          <t>DIRECT_IMAGE_DOWNLOAD_AND_SOURCE_ROW_REVIEW</t>
        </is>
      </c>
      <c r="J6" s="2" t="inlineStr">
        <is>
          <t>2026-09-07T21:16:18+07:00</t>
        </is>
      </c>
      <c r="K6" s="2" t="inlineStr">
        <is>
          <t>Direct QA opened downloaded image 151_05; source SHA 3CFD5AACB90C2EF9DC10BB749DF6A6387B6A5ECDDA5B3D75447795605FCE8AA8. Submitted observation reviewed against gallery position.</t>
        </is>
      </c>
      <c r="L6" s="2" t="inlineStr">
        <is>
          <t>Additional mockup, care or size information for blue mosaic giraffe patchwork quilt.</t>
        </is>
      </c>
      <c r="M6" s="2" t="inlineStr">
        <is>
          <t>UNKNOWN</t>
        </is>
      </c>
      <c r="N6" s="2" t="inlineStr">
        <is>
          <t>SET</t>
        </is>
      </c>
      <c r="O6" s="2" t="inlineStr">
        <is>
          <t>Size, set contents or product feature image for Blue Mosaic Giraffe Patchwork Quilt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/>
      <c r="Z6" s="2" t="inlineStr">
        <is>
          <t>D:\Shopify_Workspace\jeminise_seo\seo_runs\jeminise.com\20260906_234129\qa\20260907_210204\images\151_05.jpg; seo_runs\jeminise.com\20260906_234129\evidence\images\151_giraffe-patchwork-style-printed-quilt-animal-patchwork-bedding\image_05_47933456416967.jpg; seo_runs\jeminise.com\20260906_234129\evidence\contact_sheets\151_giraffe-patchwork-style-printed-quilt-animal-patchwork-bedding.jpg</t>
        </is>
      </c>
    </row>
    <row r="7" ht="66" customHeight="1">
      <c r="A7" s="3" t="inlineStr">
        <is>
          <t>jeminise.com+giraffe-patchwork-style-printed-quilt-animal-patchwork-bedding</t>
        </is>
      </c>
      <c r="B7" s="3" t="inlineStr">
        <is>
          <t>img_5d8ad93523cc8cc3</t>
        </is>
      </c>
      <c r="C7" s="4" t="inlineStr">
        <is>
          <t>https://cdn.shopify.com/s/files/1/0792/5098/1063/files/1981b27c6fedf88c3cb44a9ba34f2731ecaf38e935e82614835b12142e1c6a31.jpg?v=1787233635</t>
        </is>
      </c>
      <c r="D7" s="4" t="inlineStr">
        <is>
          <t>https://cdn.shopify.com/s/files/1/0792/5098/1063/files/1981b27c6fedf88c3cb44a9ba34f2731ecaf38e935e82614835b12142e1c6a31.jpg?v=1787233635</t>
        </is>
      </c>
      <c r="E7" s="3" t="inlineStr">
        <is>
          <t>47933456449735</t>
        </is>
      </c>
      <c r="F7" s="3" t="inlineStr">
        <is>
          <t>47933456449735</t>
        </is>
      </c>
      <c r="G7" s="3" t="inlineStr"/>
      <c r="H7" s="3" t="inlineStr">
        <is>
          <t>GALLERY</t>
        </is>
      </c>
      <c r="I7" s="3" t="inlineStr">
        <is>
          <t>DIRECT_IMAGE_DOWNLOAD_AND_SOURCE_ROW_REVIEW</t>
        </is>
      </c>
      <c r="J7" s="3" t="inlineStr">
        <is>
          <t>2026-09-07T21:16:18+07:00</t>
        </is>
      </c>
      <c r="K7" s="3" t="inlineStr">
        <is>
          <t>Direct QA opened downloaded image 151_06; source SHA E719CE9453F5B8D88E1C619387D760BEC35D4FE43CB5979344590811AFF4C09F. Submitted observation reviewed against gallery position.</t>
        </is>
      </c>
      <c r="L7" s="3" t="inlineStr">
        <is>
          <t>Easy-care, size guide or product feature image for blue mosaic giraffe patchwork quilt.</t>
        </is>
      </c>
      <c r="M7" s="3" t="inlineStr">
        <is>
          <t>UNKNOWN</t>
        </is>
      </c>
      <c r="N7" s="3" t="inlineStr">
        <is>
          <t>SET</t>
        </is>
      </c>
      <c r="O7" s="3" t="inlineStr">
        <is>
          <t>Care, size or product feature image for Blue Mosaic Giraffe Patchwork Quilt</t>
        </is>
      </c>
      <c r="P7" s="3" t="inlineStr">
        <is>
          <t>FULL</t>
        </is>
      </c>
      <c r="Q7" s="3" t="inlineStr">
        <is>
          <t>PARTIAL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ISSUE-0009</t>
        </is>
      </c>
      <c r="Z7" s="3" t="inlineStr">
        <is>
          <t>D:\Shopify_Workspace\jeminise_seo\seo_runs\jeminise.com\20260906_234129\qa\20260907_210204\images\151_06.jpg; seo_runs\jeminise.com\20260906_234129\evidence\images\151_giraffe-patchwork-style-printed-quilt-animal-patchwork-bedding\image_06_47933456449735.jpg; seo_runs\jeminise.com\20260906_234129\evidence\contact_sheets\151_giraffe-patchwork-style-printed-quilt-animal-patchwork-bedding.jpg</t>
        </is>
      </c>
    </row>
    <row r="8" ht="66" customHeight="1">
      <c r="A8" s="2" t="inlineStr">
        <is>
          <t>jeminise.com+giraffe-patchwork-style-printed-quilt-animal-patchwork-bedding</t>
        </is>
      </c>
      <c r="B8" s="2" t="inlineStr">
        <is>
          <t>img_f238615aa97cdd95</t>
        </is>
      </c>
      <c r="C8" s="4" t="inlineStr">
        <is>
          <t>https://cdn.shopify.com/s/files/1/0792/5098/1063/files/c3434f966cfbdf098091125e6432da488e48020e005baf7613b44ceb3d691a8e.jpg?v=1787233635</t>
        </is>
      </c>
      <c r="D8" s="4" t="inlineStr">
        <is>
          <t>https://cdn.shopify.com/s/files/1/0792/5098/1063/files/c3434f966cfbdf098091125e6432da488e48020e005baf7613b44ceb3d691a8e.jpg?v=1787233635</t>
        </is>
      </c>
      <c r="E8" s="2" t="inlineStr">
        <is>
          <t>47933456482503</t>
        </is>
      </c>
      <c r="F8" s="2" t="inlineStr">
        <is>
          <t>47933456482503</t>
        </is>
      </c>
      <c r="G8" s="2" t="inlineStr"/>
      <c r="H8" s="2" t="inlineStr">
        <is>
          <t>GALLERY</t>
        </is>
      </c>
      <c r="I8" s="2" t="inlineStr">
        <is>
          <t>DIRECT_IMAGE_DOWNLOAD_AND_SOURCE_ROW_REVIEW</t>
        </is>
      </c>
      <c r="J8" s="2" t="inlineStr">
        <is>
          <t>2026-09-07T21:16:18+07:00</t>
        </is>
      </c>
      <c r="K8" s="2" t="inlineStr">
        <is>
          <t>Direct QA opened downloaded image 151_07; source SHA 5EFD5195C6AF35AE9EADE92CCF3F223A8D2B95E5C13E8FB0F6122BB1A612B54B. Submitted observation reviewed against gallery position.</t>
        </is>
      </c>
      <c r="L8" s="2" t="inlineStr">
        <is>
          <t>Additional lifestyle, feature or product detail image showing blue mosaic giraffe patchwork quilt.</t>
        </is>
      </c>
      <c r="M8" s="2" t="inlineStr">
        <is>
          <t>UNKNOWN</t>
        </is>
      </c>
      <c r="N8" s="2" t="inlineStr">
        <is>
          <t>SET</t>
        </is>
      </c>
      <c r="O8" s="2" t="inlineStr">
        <is>
          <t>Additional product mockup of Blue Mosaic Giraffe Patchwork Quilt</t>
        </is>
      </c>
      <c r="P8" s="2" t="inlineStr">
        <is>
          <t>FULL</t>
        </is>
      </c>
      <c r="Q8" s="2" t="inlineStr">
        <is>
          <t>PARTIAL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ISSUE-0010</t>
        </is>
      </c>
      <c r="Z8" s="2" t="inlineStr">
        <is>
          <t>D:\Shopify_Workspace\jeminise_seo\seo_runs\jeminise.com\20260906_234129\qa\20260907_210204\images\151_07.jpg; seo_runs\jeminise.com\20260906_234129\evidence\images\151_giraffe-patchwork-style-printed-quilt-animal-patchwork-bedding\image_07_47933456482503.jpg; seo_runs\jeminise.com\20260906_234129\evidence\contact_sheets\151_giraffe-patchwork-style-printed-quilt-animal-patchwork-bedding.jpg</t>
        </is>
      </c>
    </row>
    <row r="9" ht="66" customHeight="1">
      <c r="A9" s="3" t="inlineStr">
        <is>
          <t>jeminise.com+horse-patchwork-pattern-quilt-set-vintage-animal-quilt-printed</t>
        </is>
      </c>
      <c r="B9" s="3" t="inlineStr">
        <is>
          <t>img_04778e6c637fa5ca</t>
        </is>
      </c>
      <c r="C9" s="4" t="inlineStr">
        <is>
          <t>https://cdn.shopify.com/s/files/1/0792/5098/1063/files/6af34be75f66e81fc6baf14d54a155fe69d04261be33ea9d8242b2b79aa2796b.jpg?v=1787233650</t>
        </is>
      </c>
      <c r="D9" s="4" t="inlineStr">
        <is>
          <t>https://cdn.shopify.com/s/files/1/0792/5098/1063/files/6af34be75f66e81fc6baf14d54a155fe69d04261be33ea9d8242b2b79aa2796b.jpg?v=1787233650</t>
        </is>
      </c>
      <c r="E9" s="3" t="inlineStr">
        <is>
          <t>47933458415815</t>
        </is>
      </c>
      <c r="F9" s="3" t="inlineStr">
        <is>
          <t>47933458415815</t>
        </is>
      </c>
      <c r="G9" s="3" t="inlineStr"/>
      <c r="H9" s="3" t="inlineStr">
        <is>
          <t>GALLERY</t>
        </is>
      </c>
      <c r="I9" s="3" t="inlineStr">
        <is>
          <t>DIRECT_IMAGE_DOWNLOAD_AND_SOURCE_ROW_REVIEW</t>
        </is>
      </c>
      <c r="J9" s="3" t="inlineStr">
        <is>
          <t>2026-09-07T21:16:18+07:00</t>
        </is>
      </c>
      <c r="K9" s="3" t="inlineStr">
        <is>
          <t>Direct QA opened downloaded image 152_01; source SHA 362C9C1541ABC6DA38BBB861DAD9D797D808B4544F04C3CD0F937BA57B3A1D04. Submitted observation reviewed against gallery position.</t>
        </is>
      </c>
      <c r="L9" s="3" t="inlineStr">
        <is>
          <t>Main product mockup showing vintage horse patchwork quilt with warm sunset colors.</t>
        </is>
      </c>
      <c r="M9" s="3" t="inlineStr">
        <is>
          <t>UNKNOWN</t>
        </is>
      </c>
      <c r="N9" s="3" t="inlineStr">
        <is>
          <t>SET</t>
        </is>
      </c>
      <c r="O9" s="3" t="inlineStr">
        <is>
          <t>Vintage Horse Patchwork Quilt Set displayed in a main product mockup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PARTIAL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ISSUE-0016</t>
        </is>
      </c>
      <c r="Z9" s="3" t="inlineStr">
        <is>
          <t>D:\Shopify_Workspace\jeminise_seo\seo_runs\jeminise.com\20260906_234129\qa\20260907_210204\images\152_01.jpg; seo_runs\jeminise.com\20260906_234129\evidence\images\152_horse-patchwork-pattern-quilt-set-vintage-animal-quilt-printed\image_01_47933458415815.jpg; seo_runs\jeminise.com\20260906_234129\evidence\contact_sheets\152_horse-patchwork-pattern-quilt-set-vintage-animal-quilt-printed.jpg</t>
        </is>
      </c>
    </row>
    <row r="10" ht="66" customHeight="1">
      <c r="A10" s="2" t="inlineStr">
        <is>
          <t>jeminise.com+horse-patchwork-pattern-quilt-set-vintage-animal-quilt-printed</t>
        </is>
      </c>
      <c r="B10" s="2" t="inlineStr">
        <is>
          <t>img_c1220d2062ed7cf8</t>
        </is>
      </c>
      <c r="C10" s="4" t="inlineStr">
        <is>
          <t>https://cdn.shopify.com/s/files/1/0792/5098/1063/files/7965222b1165a822ac3995c4ff11f6015e83672c0952cae690bcc35c02047cdf.jpg?v=1787233650</t>
        </is>
      </c>
      <c r="D10" s="4" t="inlineStr">
        <is>
          <t>https://cdn.shopify.com/s/files/1/0792/5098/1063/files/7965222b1165a822ac3995c4ff11f6015e83672c0952cae690bcc35c02047cdf.jpg?v=1787233650</t>
        </is>
      </c>
      <c r="E10" s="2" t="inlineStr">
        <is>
          <t>47933458448583</t>
        </is>
      </c>
      <c r="F10" s="2" t="inlineStr">
        <is>
          <t>47933458448583</t>
        </is>
      </c>
      <c r="G10" s="2" t="inlineStr"/>
      <c r="H10" s="2" t="inlineStr">
        <is>
          <t>GALLERY</t>
        </is>
      </c>
      <c r="I10" s="2" t="inlineStr">
        <is>
          <t>DIRECT_IMAGE_DOWNLOAD_AND_SOURCE_ROW_REVIEW</t>
        </is>
      </c>
      <c r="J10" s="2" t="inlineStr">
        <is>
          <t>2026-09-07T21:16:18+07:00</t>
        </is>
      </c>
      <c r="K10" s="2" t="inlineStr">
        <is>
          <t>Direct QA opened downloaded image 152_02; source SHA 640FBDB7ED29D9EA3C8599F994A058ED03577D8461D50E41575C37AB8D19CCF8. Submitted observation reviewed against gallery position.</t>
        </is>
      </c>
      <c r="L10" s="2" t="inlineStr">
        <is>
          <t>Secondary flat, close-up or bedroom mockup showing vintage horse patchwork quilt with warm sunset colors.</t>
        </is>
      </c>
      <c r="M10" s="2" t="inlineStr">
        <is>
          <t>UNKNOWN</t>
        </is>
      </c>
      <c r="N10" s="2" t="inlineStr">
        <is>
          <t>SET</t>
        </is>
      </c>
      <c r="O10" s="2" t="inlineStr">
        <is>
          <t>Secondary mockup or close-up of Vintage Horse Patchwork Quilt Set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/>
      <c r="Z10" s="2" t="inlineStr">
        <is>
          <t>D:\Shopify_Workspace\jeminise_seo\seo_runs\jeminise.com\20260906_234129\qa\20260907_210204\images\152_02.jpg; seo_runs\jeminise.com\20260906_234129\evidence\images\152_horse-patchwork-pattern-quilt-set-vintage-animal-quilt-printed\image_02_47933458448583.jpg; seo_runs\jeminise.com\20260906_234129\evidence\contact_sheets\152_horse-patchwork-pattern-quilt-set-vintage-animal-quilt-printed.jpg</t>
        </is>
      </c>
    </row>
    <row r="11" ht="66" customHeight="1">
      <c r="A11" s="3" t="inlineStr">
        <is>
          <t>jeminise.com+horse-patchwork-pattern-quilt-set-vintage-animal-quilt-printed</t>
        </is>
      </c>
      <c r="B11" s="3" t="inlineStr">
        <is>
          <t>img_27046b944b83d085</t>
        </is>
      </c>
      <c r="C11" s="4" t="inlineStr">
        <is>
          <t>https://cdn.shopify.com/s/files/1/0792/5098/1063/files/079cec84e8f4643fe4fc5313cc8d480684d4308ee77013bfae2a6f1de077713a.jpg?v=1787233650</t>
        </is>
      </c>
      <c r="D11" s="4" t="inlineStr">
        <is>
          <t>https://cdn.shopify.com/s/files/1/0792/5098/1063/files/079cec84e8f4643fe4fc5313cc8d480684d4308ee77013bfae2a6f1de077713a.jpg?v=1787233650</t>
        </is>
      </c>
      <c r="E11" s="3" t="inlineStr">
        <is>
          <t>47933458481351</t>
        </is>
      </c>
      <c r="F11" s="3" t="inlineStr">
        <is>
          <t>47933458481351</t>
        </is>
      </c>
      <c r="G11" s="3" t="inlineStr"/>
      <c r="H11" s="3" t="inlineStr">
        <is>
          <t>GALLERY</t>
        </is>
      </c>
      <c r="I11" s="3" t="inlineStr">
        <is>
          <t>DIRECT_IMAGE_DOWNLOAD_AND_SOURCE_ROW_REVIEW</t>
        </is>
      </c>
      <c r="J11" s="3" t="inlineStr">
        <is>
          <t>2026-09-07T21:16:18+07:00</t>
        </is>
      </c>
      <c r="K11" s="3" t="inlineStr">
        <is>
          <t>Direct QA opened downloaded image 152_03; source SHA D199887060EA4997C2D3165F9E7476C83230B09B5EF10A3C2D70334142EB0FCE. Submitted observation reviewed against gallery position.</t>
        </is>
      </c>
      <c r="L11" s="3" t="inlineStr">
        <is>
          <t>Bedding type, feature, lifestyle or material image for vintage horse patchwork quilt with warm sunset colors.</t>
        </is>
      </c>
      <c r="M11" s="3" t="inlineStr">
        <is>
          <t>UNKNOWN</t>
        </is>
      </c>
      <c r="N11" s="3" t="inlineStr">
        <is>
          <t>SET</t>
        </is>
      </c>
      <c r="O11" s="3" t="inlineStr">
        <is>
          <t>Product pillow or lifestyle image for Vintage Horse Patchwork Quilt Set</t>
        </is>
      </c>
      <c r="P11" s="3" t="inlineStr">
        <is>
          <t>FULL</t>
        </is>
      </c>
      <c r="Q11" s="3" t="inlineStr">
        <is>
          <t>PARTIAL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ISSUE-0017</t>
        </is>
      </c>
      <c r="Z11" s="3" t="inlineStr">
        <is>
          <t>D:\Shopify_Workspace\jeminise_seo\seo_runs\jeminise.com\20260906_234129\qa\20260907_210204\images\152_03.jpg; seo_runs\jeminise.com\20260906_234129\evidence\images\152_horse-patchwork-pattern-quilt-set-vintage-animal-quilt-printed\image_03_47933458481351.jpg; seo_runs\jeminise.com\20260906_234129\evidence\contact_sheets\152_horse-patchwork-pattern-quilt-set-vintage-animal-quilt-printed.jpg</t>
        </is>
      </c>
    </row>
    <row r="12" ht="66" customHeight="1">
      <c r="A12" s="2" t="inlineStr">
        <is>
          <t>jeminise.com+horse-patchwork-pattern-quilt-set-vintage-animal-quilt-printed</t>
        </is>
      </c>
      <c r="B12" s="2" t="inlineStr">
        <is>
          <t>img_a640c8ae6090bb03</t>
        </is>
      </c>
      <c r="C12" s="4" t="inlineStr">
        <is>
          <t>https://cdn.shopify.com/s/files/1/0792/5098/1063/files/e5737c32c3e36b9f2ef4b89a1ccd09485c37705d9ffc1b3553bcb7e3c1ea0107.jpg?v=1787233649</t>
        </is>
      </c>
      <c r="D12" s="4" t="inlineStr">
        <is>
          <t>https://cdn.shopify.com/s/files/1/0792/5098/1063/files/e5737c32c3e36b9f2ef4b89a1ccd09485c37705d9ffc1b3553bcb7e3c1ea0107.jpg?v=1787233649</t>
        </is>
      </c>
      <c r="E12" s="2" t="inlineStr">
        <is>
          <t>47933458514119</t>
        </is>
      </c>
      <c r="F12" s="2" t="inlineStr">
        <is>
          <t>47933458514119</t>
        </is>
      </c>
      <c r="G12" s="2" t="inlineStr"/>
      <c r="H12" s="2" t="inlineStr">
        <is>
          <t>GALLERY</t>
        </is>
      </c>
      <c r="I12" s="2" t="inlineStr">
        <is>
          <t>DIRECT_IMAGE_DOWNLOAD_AND_SOURCE_ROW_REVIEW</t>
        </is>
      </c>
      <c r="J12" s="2" t="inlineStr">
        <is>
          <t>2026-09-07T21:16:18+07:00</t>
        </is>
      </c>
      <c r="K12" s="2" t="inlineStr">
        <is>
          <t>Direct QA opened downloaded image 152_04; source SHA 76D28D65CE645DCF078EAC6FBD660EB975098E155BAF0B5957D24F275D81BA19. Submitted observation reviewed against gallery position.</t>
        </is>
      </c>
      <c r="L12" s="2" t="inlineStr">
        <is>
          <t>Detail, feature panel or lifestyle image connected to vintage horse patchwork quilt with warm sunset colors.</t>
        </is>
      </c>
      <c r="M12" s="2" t="inlineStr">
        <is>
          <t>UNKNOWN</t>
        </is>
      </c>
      <c r="N12" s="2" t="inlineStr">
        <is>
          <t>SET</t>
        </is>
      </c>
      <c r="O12" s="2" t="inlineStr">
        <is>
          <t>Feature, fabric or lifestyle image for Vintage Horse Patchwork Quilt Set</t>
        </is>
      </c>
      <c r="P12" s="2" t="inlineStr">
        <is>
          <t>FULL</t>
        </is>
      </c>
      <c r="Q12" s="2" t="inlineStr">
        <is>
          <t>PARTIAL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ISSUE-0018</t>
        </is>
      </c>
      <c r="Z12" s="2" t="inlineStr">
        <is>
          <t>D:\Shopify_Workspace\jeminise_seo\seo_runs\jeminise.com\20260906_234129\qa\20260907_210204\images\152_04.jpg; seo_runs\jeminise.com\20260906_234129\evidence\images\152_horse-patchwork-pattern-quilt-set-vintage-animal-quilt-printed\image_04_47933458514119.jpg; seo_runs\jeminise.com\20260906_234129\evidence\contact_sheets\152_horse-patchwork-pattern-quilt-set-vintage-animal-quilt-printed.jpg</t>
        </is>
      </c>
    </row>
    <row r="13" ht="66" customHeight="1">
      <c r="A13" s="3" t="inlineStr">
        <is>
          <t>jeminise.com+horse-patchwork-pattern-quilt-set-vintage-animal-quilt-printed</t>
        </is>
      </c>
      <c r="B13" s="3" t="inlineStr">
        <is>
          <t>img_6bfc617830c7701f</t>
        </is>
      </c>
      <c r="C13" s="4" t="inlineStr">
        <is>
          <t>https://cdn.shopify.com/s/files/1/0792/5098/1063/files/79ab35939240f2b72f138699920030b81bef2ec0652b0503f4158443a5a766ce.jpg?v=1787233650</t>
        </is>
      </c>
      <c r="D13" s="4" t="inlineStr">
        <is>
          <t>https://cdn.shopify.com/s/files/1/0792/5098/1063/files/79ab35939240f2b72f138699920030b81bef2ec0652b0503f4158443a5a766ce.jpg?v=1787233650</t>
        </is>
      </c>
      <c r="E13" s="3" t="inlineStr">
        <is>
          <t>47933458546887</t>
        </is>
      </c>
      <c r="F13" s="3" t="inlineStr">
        <is>
          <t>47933458546887</t>
        </is>
      </c>
      <c r="G13" s="3" t="inlineStr"/>
      <c r="H13" s="3" t="inlineStr">
        <is>
          <t>GALLERY</t>
        </is>
      </c>
      <c r="I13" s="3" t="inlineStr">
        <is>
          <t>DIRECT_IMAGE_DOWNLOAD_AND_SOURCE_ROW_REVIEW</t>
        </is>
      </c>
      <c r="J13" s="3" t="inlineStr">
        <is>
          <t>2026-09-07T21:16:18+07:00</t>
        </is>
      </c>
      <c r="K13" s="3" t="inlineStr">
        <is>
          <t>Direct QA opened downloaded image 152_05; source SHA CD39F8A8944AD99678B8BFB20A2957E6BE8752F0067B5C899AB9B834E1663912. Submitted observation reviewed against gallery position.</t>
        </is>
      </c>
      <c r="L13" s="3" t="inlineStr">
        <is>
          <t>Additional mockup, care or size information for vintage horse patchwork quilt with warm sunset colors.</t>
        </is>
      </c>
      <c r="M13" s="3" t="inlineStr">
        <is>
          <t>UNKNOWN</t>
        </is>
      </c>
      <c r="N13" s="3" t="inlineStr">
        <is>
          <t>SET</t>
        </is>
      </c>
      <c r="O13" s="3" t="inlineStr">
        <is>
          <t>Size, set contents or product feature image for Vintage Horse Patchwork Quilt Set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/>
      <c r="Z13" s="3" t="inlineStr">
        <is>
          <t>D:\Shopify_Workspace\jeminise_seo\seo_runs\jeminise.com\20260906_234129\qa\20260907_210204\images\152_05.jpg; seo_runs\jeminise.com\20260906_234129\evidence\images\152_horse-patchwork-pattern-quilt-set-vintage-animal-quilt-printed\image_05_47933458546887.jpg; seo_runs\jeminise.com\20260906_234129\evidence\contact_sheets\152_horse-patchwork-pattern-quilt-set-vintage-animal-quilt-printed.jpg</t>
        </is>
      </c>
    </row>
    <row r="14" ht="66" customHeight="1">
      <c r="A14" s="2" t="inlineStr">
        <is>
          <t>jeminise.com+horse-patchwork-pattern-quilt-set-vintage-animal-quilt-printed</t>
        </is>
      </c>
      <c r="B14" s="2" t="inlineStr">
        <is>
          <t>img_e2c9283973db8225</t>
        </is>
      </c>
      <c r="C14" s="4" t="inlineStr">
        <is>
          <t>https://cdn.shopify.com/s/files/1/0792/5098/1063/files/aa0186266f9f40306112cd5b9a538722d1a191d3fc2ca0612a55040475d58c38.jpg?v=1787233649</t>
        </is>
      </c>
      <c r="D14" s="4" t="inlineStr">
        <is>
          <t>https://cdn.shopify.com/s/files/1/0792/5098/1063/files/aa0186266f9f40306112cd5b9a538722d1a191d3fc2ca0612a55040475d58c38.jpg?v=1787233649</t>
        </is>
      </c>
      <c r="E14" s="2" t="inlineStr">
        <is>
          <t>47933458579655</t>
        </is>
      </c>
      <c r="F14" s="2" t="inlineStr">
        <is>
          <t>47933458579655</t>
        </is>
      </c>
      <c r="G14" s="2" t="inlineStr"/>
      <c r="H14" s="2" t="inlineStr">
        <is>
          <t>GALLERY</t>
        </is>
      </c>
      <c r="I14" s="2" t="inlineStr">
        <is>
          <t>DIRECT_IMAGE_DOWNLOAD_AND_SOURCE_ROW_REVIEW</t>
        </is>
      </c>
      <c r="J14" s="2" t="inlineStr">
        <is>
          <t>2026-09-07T21:16:18+07:00</t>
        </is>
      </c>
      <c r="K14" s="2" t="inlineStr">
        <is>
          <t>Direct QA opened downloaded image 152_06; source SHA 35F96294271FCB9ABB0DDD286D308DD2EE22A22EB87C07FD00B4F3882619D51A. Submitted observation reviewed against gallery position.</t>
        </is>
      </c>
      <c r="L14" s="2" t="inlineStr">
        <is>
          <t>Easy-care, size guide or product feature image for vintage horse patchwork quilt with warm sunset colors.</t>
        </is>
      </c>
      <c r="M14" s="2" t="inlineStr">
        <is>
          <t>UNKNOWN</t>
        </is>
      </c>
      <c r="N14" s="2" t="inlineStr">
        <is>
          <t>SET</t>
        </is>
      </c>
      <c r="O14" s="2" t="inlineStr">
        <is>
          <t>Care, size or product feature image for Vintage Horse Patchwork Quilt Set</t>
        </is>
      </c>
      <c r="P14" s="2" t="inlineStr">
        <is>
          <t>FULL</t>
        </is>
      </c>
      <c r="Q14" s="2" t="inlineStr">
        <is>
          <t>PARTIAL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ISSUE-0019</t>
        </is>
      </c>
      <c r="Z14" s="2" t="inlineStr">
        <is>
          <t>D:\Shopify_Workspace\jeminise_seo\seo_runs\jeminise.com\20260906_234129\qa\20260907_210204\images\152_06.jpg; seo_runs\jeminise.com\20260906_234129\evidence\images\152_horse-patchwork-pattern-quilt-set-vintage-animal-quilt-printed\image_06_47933458579655.jpg; seo_runs\jeminise.com\20260906_234129\evidence\contact_sheets\152_horse-patchwork-pattern-quilt-set-vintage-animal-quilt-printed.jpg</t>
        </is>
      </c>
    </row>
    <row r="15" ht="66" customHeight="1">
      <c r="A15" s="3" t="inlineStr">
        <is>
          <t>jeminise.com+horse-patchwork-pattern-quilt-set-vintage-animal-quilt-printed</t>
        </is>
      </c>
      <c r="B15" s="3" t="inlineStr">
        <is>
          <t>img_b00620a61ba7e120</t>
        </is>
      </c>
      <c r="C15" s="4" t="inlineStr">
        <is>
          <t>https://cdn.shopify.com/s/files/1/0792/5098/1063/files/2cd4d2b6fdd2d1c9745f55497855adffb6ff7e81eb6a7214987147cf013ce827.jpg?v=1787233649</t>
        </is>
      </c>
      <c r="D15" s="4" t="inlineStr">
        <is>
          <t>https://cdn.shopify.com/s/files/1/0792/5098/1063/files/2cd4d2b6fdd2d1c9745f55497855adffb6ff7e81eb6a7214987147cf013ce827.jpg?v=1787233649</t>
        </is>
      </c>
      <c r="E15" s="3" t="inlineStr">
        <is>
          <t>47933458612423</t>
        </is>
      </c>
      <c r="F15" s="3" t="inlineStr">
        <is>
          <t>47933458612423</t>
        </is>
      </c>
      <c r="G15" s="3" t="inlineStr"/>
      <c r="H15" s="3" t="inlineStr">
        <is>
          <t>GALLERY</t>
        </is>
      </c>
      <c r="I15" s="3" t="inlineStr">
        <is>
          <t>DIRECT_IMAGE_DOWNLOAD_AND_SOURCE_ROW_REVIEW</t>
        </is>
      </c>
      <c r="J15" s="3" t="inlineStr">
        <is>
          <t>2026-09-07T21:16:18+07:00</t>
        </is>
      </c>
      <c r="K15" s="3" t="inlineStr">
        <is>
          <t>Direct QA opened downloaded image 152_07; source SHA 62D86703654624316F11C036F06AC540583F8D31EF7975CBDD1DB6A1772CE6DE. Submitted observation reviewed against gallery position.</t>
        </is>
      </c>
      <c r="L15" s="3" t="inlineStr">
        <is>
          <t>Additional lifestyle, feature or product detail image showing vintage horse patchwork quilt with warm sunset colors.</t>
        </is>
      </c>
      <c r="M15" s="3" t="inlineStr">
        <is>
          <t>UNKNOWN</t>
        </is>
      </c>
      <c r="N15" s="3" t="inlineStr">
        <is>
          <t>SET</t>
        </is>
      </c>
      <c r="O15" s="3" t="inlineStr">
        <is>
          <t>Additional product mockup of Vintage Horse Patchwork Quilt Set</t>
        </is>
      </c>
      <c r="P15" s="3" t="inlineStr">
        <is>
          <t>FULL</t>
        </is>
      </c>
      <c r="Q15" s="3" t="inlineStr">
        <is>
          <t>PARTIAL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ISSUE-0020</t>
        </is>
      </c>
      <c r="Z15" s="3" t="inlineStr">
        <is>
          <t>D:\Shopify_Workspace\jeminise_seo\seo_runs\jeminise.com\20260906_234129\qa\20260907_210204\images\152_07.jpg; seo_runs\jeminise.com\20260906_234129\evidence\images\152_horse-patchwork-pattern-quilt-set-vintage-animal-quilt-printed\image_07_47933458612423.jpg; seo_runs\jeminise.com\20260906_234129\evidence\contact_sheets\152_horse-patchwork-pattern-quilt-set-vintage-animal-quilt-printed.jpg</t>
        </is>
      </c>
    </row>
    <row r="16" ht="66" customHeight="1">
      <c r="A16" s="2" t="inlineStr">
        <is>
          <t>jeminise.com+horse-patchwork-pattern-quilt-animal-farmhouse-quilt-set-patchwork</t>
        </is>
      </c>
      <c r="B16" s="2" t="inlineStr">
        <is>
          <t>img_60dfd3720f0dcee1</t>
        </is>
      </c>
      <c r="C16" s="4" t="inlineStr">
        <is>
          <t>https://cdn.shopify.com/s/files/1/0792/5098/1063/files/308fce3bc8e7b3da92f3a34fe3e3b89808e57502942118ab0f1ef711df9ac3b6.jpg?v=1787233723</t>
        </is>
      </c>
      <c r="D16" s="4" t="inlineStr">
        <is>
          <t>https://cdn.shopify.com/s/files/1/0792/5098/1063/files/308fce3bc8e7b3da92f3a34fe3e3b89808e57502942118ab0f1ef711df9ac3b6.jpg?v=1787233723</t>
        </is>
      </c>
      <c r="E16" s="2" t="inlineStr">
        <is>
          <t>47933466837191</t>
        </is>
      </c>
      <c r="F16" s="2" t="inlineStr">
        <is>
          <t>47933466837191</t>
        </is>
      </c>
      <c r="G16" s="2" t="inlineStr"/>
      <c r="H16" s="2" t="inlineStr">
        <is>
          <t>GALLERY</t>
        </is>
      </c>
      <c r="I16" s="2" t="inlineStr">
        <is>
          <t>DIRECT_IMAGE_DOWNLOAD_AND_SOURCE_ROW_REVIEW</t>
        </is>
      </c>
      <c r="J16" s="2" t="inlineStr">
        <is>
          <t>2026-09-07T21:16:18+07:00</t>
        </is>
      </c>
      <c r="K16" s="2" t="inlineStr">
        <is>
          <t>Direct QA opened downloaded image 153_01; source SHA D5373FC9C279E046EB60D7DA8670E43A4F7D85EDEAF33A7A48DBEB82F8D5840A. Submitted observation reviewed against gallery position.</t>
        </is>
      </c>
      <c r="L16" s="2" t="inlineStr">
        <is>
          <t>Main product mockup showing yellow farmhouse horse patchwork quilt.</t>
        </is>
      </c>
      <c r="M16" s="2" t="inlineStr">
        <is>
          <t>UNKNOWN</t>
        </is>
      </c>
      <c r="N16" s="2" t="inlineStr">
        <is>
          <t>SET</t>
        </is>
      </c>
      <c r="O16" s="2" t="inlineStr">
        <is>
          <t>Yellow Farmhouse Horse Patchwork Quilt displayed in a main product mockup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PARTIAL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ISSUE-0026</t>
        </is>
      </c>
      <c r="Z16" s="2" t="inlineStr">
        <is>
          <t>D:\Shopify_Workspace\jeminise_seo\seo_runs\jeminise.com\20260906_234129\qa\20260907_210204\images\153_01.jpg; seo_runs\jeminise.com\20260906_234129\evidence\images\153_horse-patchwork-pattern-quilt-animal-farmhouse-quilt-set-patchwork\image_01_47933466837191.jpg; seo_runs\jeminise.com\20260906_234129\evidence\contact_sheets\153_horse-patchwork-pattern-quilt-animal-farmhouse-quilt-set-patchwork.jpg</t>
        </is>
      </c>
    </row>
    <row r="17" ht="66" customHeight="1">
      <c r="A17" s="3" t="inlineStr">
        <is>
          <t>jeminise.com+horse-patchwork-pattern-quilt-animal-farmhouse-quilt-set-patchwork</t>
        </is>
      </c>
      <c r="B17" s="3" t="inlineStr">
        <is>
          <t>img_a13efc908a9b6f17</t>
        </is>
      </c>
      <c r="C17" s="4" t="inlineStr">
        <is>
          <t>https://cdn.shopify.com/s/files/1/0792/5098/1063/files/4c5608b305efa3e05d5395aef58ab5eea48b4babb25f41d2af8ffbd1ea6b6b86.jpg?v=1787233723</t>
        </is>
      </c>
      <c r="D17" s="4" t="inlineStr">
        <is>
          <t>https://cdn.shopify.com/s/files/1/0792/5098/1063/files/4c5608b305efa3e05d5395aef58ab5eea48b4babb25f41d2af8ffbd1ea6b6b86.jpg?v=1787233723</t>
        </is>
      </c>
      <c r="E17" s="3" t="inlineStr">
        <is>
          <t>47933466869959</t>
        </is>
      </c>
      <c r="F17" s="3" t="inlineStr">
        <is>
          <t>47933466869959</t>
        </is>
      </c>
      <c r="G17" s="3" t="inlineStr"/>
      <c r="H17" s="3" t="inlineStr">
        <is>
          <t>GALLERY</t>
        </is>
      </c>
      <c r="I17" s="3" t="inlineStr">
        <is>
          <t>DIRECT_IMAGE_DOWNLOAD_AND_SOURCE_ROW_REVIEW</t>
        </is>
      </c>
      <c r="J17" s="3" t="inlineStr">
        <is>
          <t>2026-09-07T21:16:18+07:00</t>
        </is>
      </c>
      <c r="K17" s="3" t="inlineStr">
        <is>
          <t>Direct QA opened downloaded image 153_02; source SHA 0985488BE0D40AB6D84651AFB77F8D292E88422CA4C60177B21773BE77463354. Submitted observation reviewed against gallery position.</t>
        </is>
      </c>
      <c r="L17" s="3" t="inlineStr">
        <is>
          <t>Secondary flat, close-up or bedroom mockup showing yellow farmhouse horse patchwork quilt.</t>
        </is>
      </c>
      <c r="M17" s="3" t="inlineStr">
        <is>
          <t>UNKNOWN</t>
        </is>
      </c>
      <c r="N17" s="3" t="inlineStr">
        <is>
          <t>SET</t>
        </is>
      </c>
      <c r="O17" s="3" t="inlineStr">
        <is>
          <t>Secondary mockup or close-up of Yellow Farmhouse Horse Patchwork Quilt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/>
      <c r="Z17" s="3" t="inlineStr">
        <is>
          <t>D:\Shopify_Workspace\jeminise_seo\seo_runs\jeminise.com\20260906_234129\qa\20260907_210204\images\153_02.jpg; seo_runs\jeminise.com\20260906_234129\evidence\images\153_horse-patchwork-pattern-quilt-animal-farmhouse-quilt-set-patchwork\image_02_47933466869959.jpg; seo_runs\jeminise.com\20260906_234129\evidence\contact_sheets\153_horse-patchwork-pattern-quilt-animal-farmhouse-quilt-set-patchwork.jpg</t>
        </is>
      </c>
    </row>
    <row r="18" ht="66" customHeight="1">
      <c r="A18" s="2" t="inlineStr">
        <is>
          <t>jeminise.com+horse-patchwork-pattern-quilt-animal-farmhouse-quilt-set-patchwork</t>
        </is>
      </c>
      <c r="B18" s="2" t="inlineStr">
        <is>
          <t>img_94dc902be7fc22ad</t>
        </is>
      </c>
      <c r="C18" s="4" t="inlineStr">
        <is>
          <t>https://cdn.shopify.com/s/files/1/0792/5098/1063/files/9a2b9ef1afcd9cb9765c66f3bbe3b1767562b0d4b38297a684fc9070228f522a.jpg?v=1787233724</t>
        </is>
      </c>
      <c r="D18" s="4" t="inlineStr">
        <is>
          <t>https://cdn.shopify.com/s/files/1/0792/5098/1063/files/9a2b9ef1afcd9cb9765c66f3bbe3b1767562b0d4b38297a684fc9070228f522a.jpg?v=1787233724</t>
        </is>
      </c>
      <c r="E18" s="2" t="inlineStr">
        <is>
          <t>47933466902727</t>
        </is>
      </c>
      <c r="F18" s="2" t="inlineStr">
        <is>
          <t>47933466902727</t>
        </is>
      </c>
      <c r="G18" s="2" t="inlineStr"/>
      <c r="H18" s="2" t="inlineStr">
        <is>
          <t>GALLERY</t>
        </is>
      </c>
      <c r="I18" s="2" t="inlineStr">
        <is>
          <t>DIRECT_IMAGE_DOWNLOAD_AND_SOURCE_ROW_REVIEW</t>
        </is>
      </c>
      <c r="J18" s="2" t="inlineStr">
        <is>
          <t>2026-09-07T21:16:18+07:00</t>
        </is>
      </c>
      <c r="K18" s="2" t="inlineStr">
        <is>
          <t>Direct QA opened downloaded image 153_03; source SHA 4ABB13399B3958B8D5641DF9BD76749F9B8F3E4404E62335B3762CB78F3BEB1B. Submitted observation reviewed against gallery position.</t>
        </is>
      </c>
      <c r="L18" s="2" t="inlineStr">
        <is>
          <t>Bedding type, feature, lifestyle or material image for yellow farmhouse horse patchwork quilt.</t>
        </is>
      </c>
      <c r="M18" s="2" t="inlineStr">
        <is>
          <t>UNKNOWN</t>
        </is>
      </c>
      <c r="N18" s="2" t="inlineStr">
        <is>
          <t>SET</t>
        </is>
      </c>
      <c r="O18" s="2" t="inlineStr">
        <is>
          <t>Product pillow or lifestyle image for Yellow Farmhouse Horse Patchwork Quilt</t>
        </is>
      </c>
      <c r="P18" s="2" t="inlineStr">
        <is>
          <t>FULL</t>
        </is>
      </c>
      <c r="Q18" s="2" t="inlineStr">
        <is>
          <t>PARTIAL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ISSUE-0027</t>
        </is>
      </c>
      <c r="Z18" s="2" t="inlineStr">
        <is>
          <t>D:\Shopify_Workspace\jeminise_seo\seo_runs\jeminise.com\20260906_234129\qa\20260907_210204\images\153_03.jpg; seo_runs\jeminise.com\20260906_234129\evidence\images\153_horse-patchwork-pattern-quilt-animal-farmhouse-quilt-set-patchwork\image_03_47933466902727.jpg; seo_runs\jeminise.com\20260906_234129\evidence\contact_sheets\153_horse-patchwork-pattern-quilt-animal-farmhouse-quilt-set-patchwork.jpg</t>
        </is>
      </c>
    </row>
    <row r="19" ht="66" customHeight="1">
      <c r="A19" s="3" t="inlineStr">
        <is>
          <t>jeminise.com+horse-patchwork-pattern-quilt-animal-farmhouse-quilt-set-patchwork</t>
        </is>
      </c>
      <c r="B19" s="3" t="inlineStr">
        <is>
          <t>img_9a313b321f37fec1</t>
        </is>
      </c>
      <c r="C19" s="4" t="inlineStr">
        <is>
          <t>https://cdn.shopify.com/s/files/1/0792/5098/1063/files/49c22dfbbbf1132a9e5952d7da89abe81fe14242a946fdcb5ae96cc1616990f9.jpg?v=1787233723</t>
        </is>
      </c>
      <c r="D19" s="4" t="inlineStr">
        <is>
          <t>https://cdn.shopify.com/s/files/1/0792/5098/1063/files/49c22dfbbbf1132a9e5952d7da89abe81fe14242a946fdcb5ae96cc1616990f9.jpg?v=1787233723</t>
        </is>
      </c>
      <c r="E19" s="3" t="inlineStr">
        <is>
          <t>47933466935495</t>
        </is>
      </c>
      <c r="F19" s="3" t="inlineStr">
        <is>
          <t>47933466935495</t>
        </is>
      </c>
      <c r="G19" s="3" t="inlineStr"/>
      <c r="H19" s="3" t="inlineStr">
        <is>
          <t>GALLERY</t>
        </is>
      </c>
      <c r="I19" s="3" t="inlineStr">
        <is>
          <t>DIRECT_IMAGE_DOWNLOAD_AND_SOURCE_ROW_REVIEW</t>
        </is>
      </c>
      <c r="J19" s="3" t="inlineStr">
        <is>
          <t>2026-09-07T21:16:18+07:00</t>
        </is>
      </c>
      <c r="K19" s="3" t="inlineStr">
        <is>
          <t>Direct QA opened downloaded image 153_04; source SHA 394DFE848E7EAD0472E2365280E2FA939AF69CB78F39E1F753A21D3B3E7BC423. Submitted observation reviewed against gallery position.</t>
        </is>
      </c>
      <c r="L19" s="3" t="inlineStr">
        <is>
          <t>Detail, feature panel or lifestyle image connected to yellow farmhouse horse patchwork quilt.</t>
        </is>
      </c>
      <c r="M19" s="3" t="inlineStr">
        <is>
          <t>UNKNOWN</t>
        </is>
      </c>
      <c r="N19" s="3" t="inlineStr">
        <is>
          <t>SET</t>
        </is>
      </c>
      <c r="O19" s="3" t="inlineStr">
        <is>
          <t>Feature, fabric or lifestyle image for Yellow Farmhouse Horse Patchwork Quilt</t>
        </is>
      </c>
      <c r="P19" s="3" t="inlineStr">
        <is>
          <t>FULL</t>
        </is>
      </c>
      <c r="Q19" s="3" t="inlineStr">
        <is>
          <t>PARTIAL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ISSUE-0028</t>
        </is>
      </c>
      <c r="Z19" s="3" t="inlineStr">
        <is>
          <t>D:\Shopify_Workspace\jeminise_seo\seo_runs\jeminise.com\20260906_234129\qa\20260907_210204\images\153_04.jpg; seo_runs\jeminise.com\20260906_234129\evidence\images\153_horse-patchwork-pattern-quilt-animal-farmhouse-quilt-set-patchwork\image_04_47933466935495.jpg; seo_runs\jeminise.com\20260906_234129\evidence\contact_sheets\153_horse-patchwork-pattern-quilt-animal-farmhouse-quilt-set-patchwork.jpg</t>
        </is>
      </c>
    </row>
    <row r="20" ht="66" customHeight="1">
      <c r="A20" s="2" t="inlineStr">
        <is>
          <t>jeminise.com+horse-patchwork-pattern-quilt-animal-farmhouse-quilt-set-patchwork</t>
        </is>
      </c>
      <c r="B20" s="2" t="inlineStr">
        <is>
          <t>img_4c9a1ab419662d21</t>
        </is>
      </c>
      <c r="C20" s="4" t="inlineStr">
        <is>
          <t>https://cdn.shopify.com/s/files/1/0792/5098/1063/files/9b8a19c9c955be13a8e92d9b72e0dc4de1fe85b37978007b8089d81c3f82285f.jpg?v=1787233723</t>
        </is>
      </c>
      <c r="D20" s="4" t="inlineStr">
        <is>
          <t>https://cdn.shopify.com/s/files/1/0792/5098/1063/files/9b8a19c9c955be13a8e92d9b72e0dc4de1fe85b37978007b8089d81c3f82285f.jpg?v=1787233723</t>
        </is>
      </c>
      <c r="E20" s="2" t="inlineStr">
        <is>
          <t>47933466968263</t>
        </is>
      </c>
      <c r="F20" s="2" t="inlineStr">
        <is>
          <t>47933466968263</t>
        </is>
      </c>
      <c r="G20" s="2" t="inlineStr"/>
      <c r="H20" s="2" t="inlineStr">
        <is>
          <t>GALLERY</t>
        </is>
      </c>
      <c r="I20" s="2" t="inlineStr">
        <is>
          <t>DIRECT_IMAGE_DOWNLOAD_AND_SOURCE_ROW_REVIEW</t>
        </is>
      </c>
      <c r="J20" s="2" t="inlineStr">
        <is>
          <t>2026-09-07T21:16:18+07:00</t>
        </is>
      </c>
      <c r="K20" s="2" t="inlineStr">
        <is>
          <t>Direct QA opened downloaded image 153_05; source SHA 41F6AA96A55A7F26FA975D8C11F8ED800FEF2A874438A47FAC375B4D8F94347E. Submitted observation reviewed against gallery position.</t>
        </is>
      </c>
      <c r="L20" s="2" t="inlineStr">
        <is>
          <t>Additional mockup, care or size information for yellow farmhouse horse patchwork quilt.</t>
        </is>
      </c>
      <c r="M20" s="2" t="inlineStr">
        <is>
          <t>UNKNOWN</t>
        </is>
      </c>
      <c r="N20" s="2" t="inlineStr">
        <is>
          <t>SET</t>
        </is>
      </c>
      <c r="O20" s="2" t="inlineStr">
        <is>
          <t>Size, set contents or product feature image for Yellow Farmhouse Horse Patchwork Quilt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/>
      <c r="Z20" s="2" t="inlineStr">
        <is>
          <t>D:\Shopify_Workspace\jeminise_seo\seo_runs\jeminise.com\20260906_234129\qa\20260907_210204\images\153_05.jpg; seo_runs\jeminise.com\20260906_234129\evidence\images\153_horse-patchwork-pattern-quilt-animal-farmhouse-quilt-set-patchwork\image_05_47933466968263.jpg; seo_runs\jeminise.com\20260906_234129\evidence\contact_sheets\153_horse-patchwork-pattern-quilt-animal-farmhouse-quilt-set-patchwork.jpg</t>
        </is>
      </c>
    </row>
    <row r="21" ht="66" customHeight="1">
      <c r="A21" s="3" t="inlineStr">
        <is>
          <t>jeminise.com+horse-patchwork-pattern-quilt-animal-farmhouse-quilt-set-patchwork</t>
        </is>
      </c>
      <c r="B21" s="3" t="inlineStr">
        <is>
          <t>img_3c721eb15706778e</t>
        </is>
      </c>
      <c r="C21" s="4" t="inlineStr">
        <is>
          <t>https://cdn.shopify.com/s/files/1/0792/5098/1063/files/3316ea0a19642b5165e039218da8442aff4a629226311379497ae4b8c335a66a.jpg?v=1787233723</t>
        </is>
      </c>
      <c r="D21" s="4" t="inlineStr">
        <is>
          <t>https://cdn.shopify.com/s/files/1/0792/5098/1063/files/3316ea0a19642b5165e039218da8442aff4a629226311379497ae4b8c335a66a.jpg?v=1787233723</t>
        </is>
      </c>
      <c r="E21" s="3" t="inlineStr">
        <is>
          <t>47933467001031</t>
        </is>
      </c>
      <c r="F21" s="3" t="inlineStr">
        <is>
          <t>47933467001031</t>
        </is>
      </c>
      <c r="G21" s="3" t="inlineStr"/>
      <c r="H21" s="3" t="inlineStr">
        <is>
          <t>GALLERY</t>
        </is>
      </c>
      <c r="I21" s="3" t="inlineStr">
        <is>
          <t>DIRECT_IMAGE_DOWNLOAD_AND_SOURCE_ROW_REVIEW</t>
        </is>
      </c>
      <c r="J21" s="3" t="inlineStr">
        <is>
          <t>2026-09-07T21:16:18+07:00</t>
        </is>
      </c>
      <c r="K21" s="3" t="inlineStr">
        <is>
          <t>Direct QA opened downloaded image 153_06; source SHA E238A995D34799D5F2E6AC06665C2A8C2F2B56252B9E2E6EA0C3F0C1A351A3A4. Submitted observation reviewed against gallery position.</t>
        </is>
      </c>
      <c r="L21" s="3" t="inlineStr">
        <is>
          <t>Easy-care, size guide or product feature image for yellow farmhouse horse patchwork quilt.</t>
        </is>
      </c>
      <c r="M21" s="3" t="inlineStr">
        <is>
          <t>UNKNOWN</t>
        </is>
      </c>
      <c r="N21" s="3" t="inlineStr">
        <is>
          <t>SET</t>
        </is>
      </c>
      <c r="O21" s="3" t="inlineStr">
        <is>
          <t>Care, size or product feature image for Yellow Farmhouse Horse Patchwork Quilt</t>
        </is>
      </c>
      <c r="P21" s="3" t="inlineStr">
        <is>
          <t>FULL</t>
        </is>
      </c>
      <c r="Q21" s="3" t="inlineStr">
        <is>
          <t>PARTIAL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ISSUE-0029</t>
        </is>
      </c>
      <c r="Z21" s="3" t="inlineStr">
        <is>
          <t>D:\Shopify_Workspace\jeminise_seo\seo_runs\jeminise.com\20260906_234129\qa\20260907_210204\images\153_06.jpg; seo_runs\jeminise.com\20260906_234129\evidence\images\153_horse-patchwork-pattern-quilt-animal-farmhouse-quilt-set-patchwork\image_06_47933467001031.jpg; seo_runs\jeminise.com\20260906_234129\evidence\contact_sheets\153_horse-patchwork-pattern-quilt-animal-farmhouse-quilt-set-patchwork.jpg</t>
        </is>
      </c>
    </row>
    <row r="22" ht="66" customHeight="1">
      <c r="A22" s="2" t="inlineStr">
        <is>
          <t>jeminise.com+horse-patchwork-pattern-quilt-animal-farmhouse-quilt-set-patchwork</t>
        </is>
      </c>
      <c r="B22" s="2" t="inlineStr">
        <is>
          <t>img_ec943f2664dc771d</t>
        </is>
      </c>
      <c r="C22" s="4" t="inlineStr">
        <is>
          <t>https://cdn.shopify.com/s/files/1/0792/5098/1063/files/54a6d1664220c3febcad4acc6e2fbea0a63d75b9f24dbec12bb9432b2d09bcb2.jpg?v=1787233723</t>
        </is>
      </c>
      <c r="D22" s="4" t="inlineStr">
        <is>
          <t>https://cdn.shopify.com/s/files/1/0792/5098/1063/files/54a6d1664220c3febcad4acc6e2fbea0a63d75b9f24dbec12bb9432b2d09bcb2.jpg?v=1787233723</t>
        </is>
      </c>
      <c r="E22" s="2" t="inlineStr">
        <is>
          <t>47933467033799</t>
        </is>
      </c>
      <c r="F22" s="2" t="inlineStr">
        <is>
          <t>47933467033799</t>
        </is>
      </c>
      <c r="G22" s="2" t="inlineStr"/>
      <c r="H22" s="2" t="inlineStr">
        <is>
          <t>GALLERY</t>
        </is>
      </c>
      <c r="I22" s="2" t="inlineStr">
        <is>
          <t>DIRECT_IMAGE_DOWNLOAD_AND_SOURCE_ROW_REVIEW</t>
        </is>
      </c>
      <c r="J22" s="2" t="inlineStr">
        <is>
          <t>2026-09-07T21:16:18+07:00</t>
        </is>
      </c>
      <c r="K22" s="2" t="inlineStr">
        <is>
          <t>Direct QA opened downloaded image 153_07; source SHA 8BEFAF51649B48B1CED418FB8F3FABD7E9DCF7DD061A2D9A86955F7BC4CA6DF6. Submitted observation reviewed against gallery position.</t>
        </is>
      </c>
      <c r="L22" s="2" t="inlineStr">
        <is>
          <t>Additional lifestyle, feature or product detail image showing yellow farmhouse horse patchwork quilt.</t>
        </is>
      </c>
      <c r="M22" s="2" t="inlineStr">
        <is>
          <t>UNKNOWN</t>
        </is>
      </c>
      <c r="N22" s="2" t="inlineStr">
        <is>
          <t>SET</t>
        </is>
      </c>
      <c r="O22" s="2" t="inlineStr">
        <is>
          <t>Additional product mockup of Yellow Farmhouse Horse Patchwork Quilt</t>
        </is>
      </c>
      <c r="P22" s="2" t="inlineStr">
        <is>
          <t>FULL</t>
        </is>
      </c>
      <c r="Q22" s="2" t="inlineStr">
        <is>
          <t>PARTIAL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ISSUE-0030</t>
        </is>
      </c>
      <c r="Z22" s="2" t="inlineStr">
        <is>
          <t>D:\Shopify_Workspace\jeminise_seo\seo_runs\jeminise.com\20260906_234129\qa\20260907_210204\images\153_07.jpg; seo_runs\jeminise.com\20260906_234129\evidence\images\153_horse-patchwork-pattern-quilt-animal-farmhouse-quilt-set-patchwork\image_07_47933467033799.jpg; seo_runs\jeminise.com\20260906_234129\evidence\contact_sheets\153_horse-patchwork-pattern-quilt-animal-farmhouse-quilt-set-patchwork.jpg</t>
        </is>
      </c>
    </row>
    <row r="23" ht="66" customHeight="1">
      <c r="A23" s="3" t="inlineStr">
        <is>
          <t>jeminise.com+i-am-who-he-says-i-am-christian-scripture-blanket-inspirational</t>
        </is>
      </c>
      <c r="B23" s="3" t="inlineStr">
        <is>
          <t>img_41c6df7fe4178ca3</t>
        </is>
      </c>
      <c r="C23" s="4" t="inlineStr">
        <is>
          <t>https://cdn.shopify.com/s/files/1/0792/5098/1063/files/6737389aad72a58c884a7adf23d056ba2152a97cc0c1fb9d53091e1333692b0d.jpg?v=1786596878</t>
        </is>
      </c>
      <c r="D23" s="4" t="inlineStr">
        <is>
          <t>https://cdn.shopify.com/s/files/1/0792/5098/1063/files/6737389aad72a58c884a7adf23d056ba2152a97cc0c1fb9d53091e1333692b0d.jpg?v=1786596878</t>
        </is>
      </c>
      <c r="E23" s="3" t="inlineStr">
        <is>
          <t>47830600581319</t>
        </is>
      </c>
      <c r="F23" s="3" t="inlineStr">
        <is>
          <t>47830600581319</t>
        </is>
      </c>
      <c r="G23" s="3" t="inlineStr"/>
      <c r="H23" s="3" t="inlineStr">
        <is>
          <t>GALLERY</t>
        </is>
      </c>
      <c r="I23" s="3" t="inlineStr">
        <is>
          <t>DIRECT_IMAGE_DOWNLOAD_AND_SOURCE_ROW_REVIEW</t>
        </is>
      </c>
      <c r="J23" s="3" t="inlineStr">
        <is>
          <t>2026-09-07T21:16:18+07:00</t>
        </is>
      </c>
      <c r="K23" s="3" t="inlineStr">
        <is>
          <t>Direct QA opened downloaded image 154_01; source SHA 9236E2BB4BCC08CC8ADCBC3F30FBA2C57D4CC0DC5152AC6F4C93FB8B68ECA1AF. Submitted observation reviewed against gallery position.</t>
        </is>
      </c>
      <c r="L23" s="3" t="inlineStr">
        <is>
          <t>Main product mockup showing I Am Who He Says I Am Christian scripture blanket.</t>
        </is>
      </c>
      <c r="M23" s="3" t="inlineStr">
        <is>
          <t>UNKNOWN</t>
        </is>
      </c>
      <c r="N23" s="3" t="inlineStr">
        <is>
          <t>SET</t>
        </is>
      </c>
      <c r="O23" s="3" t="inlineStr">
        <is>
          <t>I Am Who He Says I Am Scripture Blanket displayed in a main product mockup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PARTIAL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ISSUE-0037</t>
        </is>
      </c>
      <c r="Z23" s="3" t="inlineStr">
        <is>
          <t>D:\Shopify_Workspace\jeminise_seo\seo_runs\jeminise.com\20260906_234129\qa\20260907_210204\images\154_01.jpg; seo_runs\jeminise.com\20260906_234129\evidence\images\154_i-am-who-he-says-i-am-christian-scripture-blanket-inspirational\image_01_47830600581319.jpg; seo_runs\jeminise.com\20260906_234129\evidence\contact_sheets\154_i-am-who-he-says-i-am-christian-scripture-blanket-inspirational.jpg</t>
        </is>
      </c>
    </row>
    <row r="24" ht="66" customHeight="1">
      <c r="A24" s="2" t="inlineStr">
        <is>
          <t>jeminise.com+i-am-who-he-says-i-am-christian-scripture-blanket-inspirational</t>
        </is>
      </c>
      <c r="B24" s="2" t="inlineStr">
        <is>
          <t>img_24e5fe377d3de137</t>
        </is>
      </c>
      <c r="C24" s="4" t="inlineStr">
        <is>
          <t>https://cdn.shopify.com/s/files/1/0792/5098/1063/files/38e48a2c4df64140448da5d8f66681b92c0275a27fa88ab1054cdc4e98a006b3.jpg?v=1786596878</t>
        </is>
      </c>
      <c r="D24" s="4" t="inlineStr">
        <is>
          <t>https://cdn.shopify.com/s/files/1/0792/5098/1063/files/38e48a2c4df64140448da5d8f66681b92c0275a27fa88ab1054cdc4e98a006b3.jpg?v=1786596878</t>
        </is>
      </c>
      <c r="E24" s="2" t="inlineStr">
        <is>
          <t>47830600614087</t>
        </is>
      </c>
      <c r="F24" s="2" t="inlineStr">
        <is>
          <t>47830600614087</t>
        </is>
      </c>
      <c r="G24" s="2" t="inlineStr"/>
      <c r="H24" s="2" t="inlineStr">
        <is>
          <t>GALLERY</t>
        </is>
      </c>
      <c r="I24" s="2" t="inlineStr">
        <is>
          <t>DIRECT_IMAGE_DOWNLOAD_AND_SOURCE_ROW_REVIEW</t>
        </is>
      </c>
      <c r="J24" s="2" t="inlineStr">
        <is>
          <t>2026-09-07T21:16:18+07:00</t>
        </is>
      </c>
      <c r="K24" s="2" t="inlineStr">
        <is>
          <t>Direct QA opened downloaded image 154_02; source SHA 2E90139375B21EC6F5B487527682BDFABDD8AD56CF492A04A134D7FEFD08A502. Submitted observation reviewed against gallery position.</t>
        </is>
      </c>
      <c r="L24" s="2" t="inlineStr">
        <is>
          <t>Secondary flat, close-up or bedroom mockup showing I Am Who He Says I Am Christian scripture blanket.</t>
        </is>
      </c>
      <c r="M24" s="2" t="inlineStr">
        <is>
          <t>UNKNOWN</t>
        </is>
      </c>
      <c r="N24" s="2" t="inlineStr">
        <is>
          <t>SET</t>
        </is>
      </c>
      <c r="O24" s="2" t="inlineStr">
        <is>
          <t>Secondary mockup or close-up of I Am Who He Says I Am Scripture Blanket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/>
      <c r="Z24" s="2" t="inlineStr">
        <is>
          <t>D:\Shopify_Workspace\jeminise_seo\seo_runs\jeminise.com\20260906_234129\qa\20260907_210204\images\154_02.jpg; seo_runs\jeminise.com\20260906_234129\evidence\images\154_i-am-who-he-says-i-am-christian-scripture-blanket-inspirational\image_02_47830600614087.jpg; seo_runs\jeminise.com\20260906_234129\evidence\contact_sheets\154_i-am-who-he-says-i-am-christian-scripture-blanket-inspirational.jpg</t>
        </is>
      </c>
    </row>
    <row r="25" ht="66" customHeight="1">
      <c r="A25" s="3" t="inlineStr">
        <is>
          <t>jeminise.com+i-am-who-he-says-i-am-christian-scripture-blanket-inspirational</t>
        </is>
      </c>
      <c r="B25" s="3" t="inlineStr">
        <is>
          <t>img_16337c347cb2bfda</t>
        </is>
      </c>
      <c r="C25" s="4" t="inlineStr">
        <is>
          <t>https://cdn.shopify.com/s/files/1/0792/5098/1063/files/2ca6551881fb1d1ab0efe08303e1154ff3f85ba3e00e35937a533847c41f5262.jpg?v=1786596878</t>
        </is>
      </c>
      <c r="D25" s="4" t="inlineStr">
        <is>
          <t>https://cdn.shopify.com/s/files/1/0792/5098/1063/files/2ca6551881fb1d1ab0efe08303e1154ff3f85ba3e00e35937a533847c41f5262.jpg?v=1786596878</t>
        </is>
      </c>
      <c r="E25" s="3" t="inlineStr">
        <is>
          <t>47830600646855</t>
        </is>
      </c>
      <c r="F25" s="3" t="inlineStr">
        <is>
          <t>47830600646855</t>
        </is>
      </c>
      <c r="G25" s="3" t="inlineStr"/>
      <c r="H25" s="3" t="inlineStr">
        <is>
          <t>GALLERY</t>
        </is>
      </c>
      <c r="I25" s="3" t="inlineStr">
        <is>
          <t>DIRECT_IMAGE_DOWNLOAD_AND_SOURCE_ROW_REVIEW</t>
        </is>
      </c>
      <c r="J25" s="3" t="inlineStr">
        <is>
          <t>2026-09-07T21:16:18+07:00</t>
        </is>
      </c>
      <c r="K25" s="3" t="inlineStr">
        <is>
          <t>Direct QA opened downloaded image 154_03; source SHA C79266C9F333007C73E66B32FC4D0DDCA067786B631B1364A9A6547356E3B2DB. Submitted observation reviewed against gallery position.</t>
        </is>
      </c>
      <c r="L25" s="3" t="inlineStr">
        <is>
          <t>Bedding type, feature, lifestyle or material image for I Am Who He Says I Am Christian scripture blanket.</t>
        </is>
      </c>
      <c r="M25" s="3" t="inlineStr">
        <is>
          <t>UNKNOWN</t>
        </is>
      </c>
      <c r="N25" s="3" t="inlineStr">
        <is>
          <t>SET</t>
        </is>
      </c>
      <c r="O25" s="3" t="inlineStr">
        <is>
          <t>Product pillow or lifestyle image for I Am Who He Says I Am Scripture Blanket</t>
        </is>
      </c>
      <c r="P25" s="3" t="inlineStr">
        <is>
          <t>FULL</t>
        </is>
      </c>
      <c r="Q25" s="3" t="inlineStr">
        <is>
          <t>PARTIAL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ISSUE-0038</t>
        </is>
      </c>
      <c r="Z25" s="3" t="inlineStr">
        <is>
          <t>D:\Shopify_Workspace\jeminise_seo\seo_runs\jeminise.com\20260906_234129\qa\20260907_210204\images\154_03.jpg; seo_runs\jeminise.com\20260906_234129\evidence\images\154_i-am-who-he-says-i-am-christian-scripture-blanket-inspirational\image_03_47830600646855.jpg; seo_runs\jeminise.com\20260906_234129\evidence\contact_sheets\154_i-am-who-he-says-i-am-christian-scripture-blanket-inspirational.jpg</t>
        </is>
      </c>
    </row>
    <row r="26" ht="66" customHeight="1">
      <c r="A26" s="2" t="inlineStr">
        <is>
          <t>jeminise.com+i-am-who-he-says-i-am-christian-scripture-blanket-inspirational</t>
        </is>
      </c>
      <c r="B26" s="2" t="inlineStr">
        <is>
          <t>img_69d23a5113fe6435</t>
        </is>
      </c>
      <c r="C26" s="4" t="inlineStr">
        <is>
          <t>https://cdn.shopify.com/s/files/1/0792/5098/1063/files/ba094da7e3e316e0dcd2d183aed4f9880c36a1f53ce80c5c9e907b46ef05dd78.jpg?v=1786596878</t>
        </is>
      </c>
      <c r="D26" s="4" t="inlineStr">
        <is>
          <t>https://cdn.shopify.com/s/files/1/0792/5098/1063/files/ba094da7e3e316e0dcd2d183aed4f9880c36a1f53ce80c5c9e907b46ef05dd78.jpg?v=1786596878</t>
        </is>
      </c>
      <c r="E26" s="2" t="inlineStr">
        <is>
          <t>47830600679623</t>
        </is>
      </c>
      <c r="F26" s="2" t="inlineStr">
        <is>
          <t>47830600679623</t>
        </is>
      </c>
      <c r="G26" s="2" t="inlineStr"/>
      <c r="H26" s="2" t="inlineStr">
        <is>
          <t>GALLERY</t>
        </is>
      </c>
      <c r="I26" s="2" t="inlineStr">
        <is>
          <t>DIRECT_IMAGE_DOWNLOAD_AND_SOURCE_ROW_REVIEW</t>
        </is>
      </c>
      <c r="J26" s="2" t="inlineStr">
        <is>
          <t>2026-09-07T21:16:18+07:00</t>
        </is>
      </c>
      <c r="K26" s="2" t="inlineStr">
        <is>
          <t>Direct QA opened downloaded image 154_04; source SHA 90FFF41B79BD6DBAA9EB02521A534974EAB68BD5B7BA1A31789884A32926382A. Submitted observation reviewed against gallery position.</t>
        </is>
      </c>
      <c r="L26" s="2" t="inlineStr">
        <is>
          <t>Detail, feature panel or lifestyle image connected to I Am Who He Says I Am Christian scripture blanket.</t>
        </is>
      </c>
      <c r="M26" s="2" t="inlineStr">
        <is>
          <t>UNKNOWN</t>
        </is>
      </c>
      <c r="N26" s="2" t="inlineStr">
        <is>
          <t>SET</t>
        </is>
      </c>
      <c r="O26" s="2" t="inlineStr">
        <is>
          <t>Feature, fabric or lifestyle image for I Am Who He Says I Am Scripture Blanket</t>
        </is>
      </c>
      <c r="P26" s="2" t="inlineStr">
        <is>
          <t>FULL</t>
        </is>
      </c>
      <c r="Q26" s="2" t="inlineStr">
        <is>
          <t>PARTIAL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ISSUE-0039</t>
        </is>
      </c>
      <c r="Z26" s="2" t="inlineStr">
        <is>
          <t>D:\Shopify_Workspace\jeminise_seo\seo_runs\jeminise.com\20260906_234129\qa\20260907_210204\images\154_04.jpg; seo_runs\jeminise.com\20260906_234129\evidence\images\154_i-am-who-he-says-i-am-christian-scripture-blanket-inspirational\image_04_47830600679623.jpg; seo_runs\jeminise.com\20260906_234129\evidence\contact_sheets\154_i-am-who-he-says-i-am-christian-scripture-blanket-inspirational.jpg</t>
        </is>
      </c>
    </row>
    <row r="27" ht="66" customHeight="1">
      <c r="A27" s="3" t="inlineStr">
        <is>
          <t>jeminise.com+i-am-who-he-says-i-am-christian-scripture-blanket-inspirational</t>
        </is>
      </c>
      <c r="B27" s="3" t="inlineStr">
        <is>
          <t>img_87cfc6af06ad303d</t>
        </is>
      </c>
      <c r="C27" s="4" t="inlineStr">
        <is>
          <t>https://cdn.shopify.com/s/files/1/0792/5098/1063/files/24974bb9397010b531aa60a45c84a921fe5f733f09ed246d5668bd13e02edf65.jpg?v=1786596878</t>
        </is>
      </c>
      <c r="D27" s="4" t="inlineStr">
        <is>
          <t>https://cdn.shopify.com/s/files/1/0792/5098/1063/files/24974bb9397010b531aa60a45c84a921fe5f733f09ed246d5668bd13e02edf65.jpg?v=1786596878</t>
        </is>
      </c>
      <c r="E27" s="3" t="inlineStr">
        <is>
          <t>47830600712391</t>
        </is>
      </c>
      <c r="F27" s="3" t="inlineStr">
        <is>
          <t>47830600712391</t>
        </is>
      </c>
      <c r="G27" s="3" t="inlineStr"/>
      <c r="H27" s="3" t="inlineStr">
        <is>
          <t>GALLERY</t>
        </is>
      </c>
      <c r="I27" s="3" t="inlineStr">
        <is>
          <t>DIRECT_IMAGE_DOWNLOAD_AND_SOURCE_ROW_REVIEW</t>
        </is>
      </c>
      <c r="J27" s="3" t="inlineStr">
        <is>
          <t>2026-09-07T21:16:18+07:00</t>
        </is>
      </c>
      <c r="K27" s="3" t="inlineStr">
        <is>
          <t>Direct QA opened downloaded image 154_05; source SHA 0B2263FC27FA63B3F8C77574922C4828AAAF423FC79AA532921FFC58617C7A30. Submitted observation reviewed against gallery position.</t>
        </is>
      </c>
      <c r="L27" s="3" t="inlineStr">
        <is>
          <t>Additional mockup, care or size information for I Am Who He Says I Am Christian scripture blanket.</t>
        </is>
      </c>
      <c r="M27" s="3" t="inlineStr">
        <is>
          <t>UNKNOWN</t>
        </is>
      </c>
      <c r="N27" s="3" t="inlineStr">
        <is>
          <t>SET</t>
        </is>
      </c>
      <c r="O27" s="3" t="inlineStr">
        <is>
          <t>Size, set contents or product feature image for I Am Who He Says I Am Scripture Blanket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/>
      <c r="Z27" s="3" t="inlineStr">
        <is>
          <t>D:\Shopify_Workspace\jeminise_seo\seo_runs\jeminise.com\20260906_234129\qa\20260907_210204\images\154_05.jpg; seo_runs\jeminise.com\20260906_234129\evidence\images\154_i-am-who-he-says-i-am-christian-scripture-blanket-inspirational\image_05_47830600712391.jpg; seo_runs\jeminise.com\20260906_234129\evidence\contact_sheets\154_i-am-who-he-says-i-am-christian-scripture-blanket-inspirational.jpg</t>
        </is>
      </c>
    </row>
    <row r="28" ht="66" customHeight="1">
      <c r="A28" s="2" t="inlineStr">
        <is>
          <t>jeminise.com+i-am-who-he-says-i-am-christian-scripture-blanket-inspirational</t>
        </is>
      </c>
      <c r="B28" s="2" t="inlineStr">
        <is>
          <t>img_c559c2ad7c4a5f7f</t>
        </is>
      </c>
      <c r="C28" s="4" t="inlineStr">
        <is>
          <t>https://cdn.shopify.com/s/files/1/0792/5098/1063/files/4ce06f4e7733ae5cf5414a2771a8829b59c43fcfb02b8014356d3defc0c426bb.jpg?v=1786596878</t>
        </is>
      </c>
      <c r="D28" s="4" t="inlineStr">
        <is>
          <t>https://cdn.shopify.com/s/files/1/0792/5098/1063/files/4ce06f4e7733ae5cf5414a2771a8829b59c43fcfb02b8014356d3defc0c426bb.jpg?v=1786596878</t>
        </is>
      </c>
      <c r="E28" s="2" t="inlineStr">
        <is>
          <t>47830600745159</t>
        </is>
      </c>
      <c r="F28" s="2" t="inlineStr">
        <is>
          <t>47830600745159</t>
        </is>
      </c>
      <c r="G28" s="2" t="inlineStr"/>
      <c r="H28" s="2" t="inlineStr">
        <is>
          <t>GALLERY</t>
        </is>
      </c>
      <c r="I28" s="2" t="inlineStr">
        <is>
          <t>DIRECT_IMAGE_DOWNLOAD_AND_SOURCE_ROW_REVIEW</t>
        </is>
      </c>
      <c r="J28" s="2" t="inlineStr">
        <is>
          <t>2026-09-07T21:16:18+07:00</t>
        </is>
      </c>
      <c r="K28" s="2" t="inlineStr">
        <is>
          <t>Direct QA opened downloaded image 154_06; source SHA 5890B03CAF9AA6013050C17B6B45305D526B861596687DAFD6F29082CE1C2A6D. Submitted observation reviewed against gallery position.</t>
        </is>
      </c>
      <c r="L28" s="2" t="inlineStr">
        <is>
          <t>Easy-care, size guide or product feature image for I Am Who He Says I Am Christian scripture blanket.</t>
        </is>
      </c>
      <c r="M28" s="2" t="inlineStr">
        <is>
          <t>UNKNOWN</t>
        </is>
      </c>
      <c r="N28" s="2" t="inlineStr">
        <is>
          <t>SET</t>
        </is>
      </c>
      <c r="O28" s="2" t="inlineStr">
        <is>
          <t>Care, size or product feature image for I Am Who He Says I Am Scripture Blanket</t>
        </is>
      </c>
      <c r="P28" s="2" t="inlineStr">
        <is>
          <t>FULL</t>
        </is>
      </c>
      <c r="Q28" s="2" t="inlineStr">
        <is>
          <t>PARTIAL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ISSUE-0040</t>
        </is>
      </c>
      <c r="Z28" s="2" t="inlineStr">
        <is>
          <t>D:\Shopify_Workspace\jeminise_seo\seo_runs\jeminise.com\20260906_234129\qa\20260907_210204\images\154_06.jpg; seo_runs\jeminise.com\20260906_234129\evidence\images\154_i-am-who-he-says-i-am-christian-scripture-blanket-inspirational\image_06_47830600745159.jpg; seo_runs\jeminise.com\20260906_234129\evidence\contact_sheets\154_i-am-who-he-says-i-am-christian-scripture-blanket-inspirational.jpg</t>
        </is>
      </c>
    </row>
    <row r="29" ht="66" customHeight="1">
      <c r="A29" s="3" t="inlineStr">
        <is>
          <t>jeminise.com+i-am-who-he-says-i-am-christian-scripture-blanket-inspirational</t>
        </is>
      </c>
      <c r="B29" s="3" t="inlineStr">
        <is>
          <t>img_d972fe731f146602</t>
        </is>
      </c>
      <c r="C29" s="4" t="inlineStr">
        <is>
          <t>https://cdn.shopify.com/s/files/1/0792/5098/1063/files/23c272951a2d07d2fbdcf04ab4208521c5b23847228641a73cd3924699638d91.jpg?v=1786596878</t>
        </is>
      </c>
      <c r="D29" s="4" t="inlineStr">
        <is>
          <t>https://cdn.shopify.com/s/files/1/0792/5098/1063/files/23c272951a2d07d2fbdcf04ab4208521c5b23847228641a73cd3924699638d91.jpg?v=1786596878</t>
        </is>
      </c>
      <c r="E29" s="3" t="inlineStr">
        <is>
          <t>47830600777927</t>
        </is>
      </c>
      <c r="F29" s="3" t="inlineStr">
        <is>
          <t>47830600777927</t>
        </is>
      </c>
      <c r="G29" s="3" t="inlineStr"/>
      <c r="H29" s="3" t="inlineStr">
        <is>
          <t>GALLERY</t>
        </is>
      </c>
      <c r="I29" s="3" t="inlineStr">
        <is>
          <t>DIRECT_IMAGE_DOWNLOAD_AND_SOURCE_ROW_REVIEW</t>
        </is>
      </c>
      <c r="J29" s="3" t="inlineStr">
        <is>
          <t>2026-09-07T21:16:18+07:00</t>
        </is>
      </c>
      <c r="K29" s="3" t="inlineStr">
        <is>
          <t>Direct QA opened downloaded image 154_07; source SHA EED32754F3E1161A6758529797FEEBFEE785E5D83CD083166AA7EBD91AA7FE0D. Submitted observation reviewed against gallery position.</t>
        </is>
      </c>
      <c r="L29" s="3" t="inlineStr">
        <is>
          <t>Additional lifestyle, feature or product detail image showing I Am Who He Says I Am Christian scripture blanket.</t>
        </is>
      </c>
      <c r="M29" s="3" t="inlineStr">
        <is>
          <t>UNKNOWN</t>
        </is>
      </c>
      <c r="N29" s="3" t="inlineStr">
        <is>
          <t>SET</t>
        </is>
      </c>
      <c r="O29" s="3" t="inlineStr">
        <is>
          <t>Additional product mockup of I Am Who He Says I Am Scripture Blanket</t>
        </is>
      </c>
      <c r="P29" s="3" t="inlineStr">
        <is>
          <t>FULL</t>
        </is>
      </c>
      <c r="Q29" s="3" t="inlineStr">
        <is>
          <t>PARTIAL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ISSUE-0041</t>
        </is>
      </c>
      <c r="Z29" s="3" t="inlineStr">
        <is>
          <t>D:\Shopify_Workspace\jeminise_seo\seo_runs\jeminise.com\20260906_234129\qa\20260907_210204\images\154_07.jpg; seo_runs\jeminise.com\20260906_234129\evidence\images\154_i-am-who-he-says-i-am-christian-scripture-blanket-inspirational\image_07_47830600777927.jpg; seo_runs\jeminise.com\20260906_234129\evidence\contact_sheets\154_i-am-who-he-says-i-am-christian-scripture-blanket-inspirational.jpg</t>
        </is>
      </c>
    </row>
    <row r="30" ht="66" customHeight="1">
      <c r="A30" s="2" t="inlineStr">
        <is>
          <t>jeminise.com+i-am-who-he-says-i-am-christian-scripture-blanket-inspirational</t>
        </is>
      </c>
      <c r="B30" s="2" t="inlineStr">
        <is>
          <t>img_41665ac7f310f597</t>
        </is>
      </c>
      <c r="C30" s="4" t="inlineStr">
        <is>
          <t>https://cdn.shopify.com/s/files/1/0792/5098/1063/files/938f6556bff4367008c210f8e9026830c80f31da6c23dd60bdac3cc424976220.jpg?v=1786596878</t>
        </is>
      </c>
      <c r="D30" s="4" t="inlineStr">
        <is>
          <t>https://cdn.shopify.com/s/files/1/0792/5098/1063/files/938f6556bff4367008c210f8e9026830c80f31da6c23dd60bdac3cc424976220.jpg?v=1786596878</t>
        </is>
      </c>
      <c r="E30" s="2" t="inlineStr">
        <is>
          <t>47830600810695</t>
        </is>
      </c>
      <c r="F30" s="2" t="inlineStr">
        <is>
          <t>47830600810695</t>
        </is>
      </c>
      <c r="G30" s="2" t="inlineStr"/>
      <c r="H30" s="2" t="inlineStr">
        <is>
          <t>GALLERY</t>
        </is>
      </c>
      <c r="I30" s="2" t="inlineStr">
        <is>
          <t>DIRECT_IMAGE_DOWNLOAD_AND_SOURCE_ROW_REVIEW</t>
        </is>
      </c>
      <c r="J30" s="2" t="inlineStr">
        <is>
          <t>2026-09-07T21:16:18+07:00</t>
        </is>
      </c>
      <c r="K30" s="2" t="inlineStr">
        <is>
          <t>Direct QA opened downloaded image 154_08; source SHA 2355D75BEBBA2011D10ECA4B21E282BC4117E57D7FB80ABA829EBD3106DBC3FE. Submitted observation reviewed against gallery position.</t>
        </is>
      </c>
      <c r="L30" s="2" t="inlineStr">
        <is>
          <t>Additional lifestyle, feature or product detail image showing I Am Who He Says I Am Christian scripture blanket.</t>
        </is>
      </c>
      <c r="M30" s="2" t="inlineStr">
        <is>
          <t>UNKNOWN</t>
        </is>
      </c>
      <c r="N30" s="2" t="inlineStr">
        <is>
          <t>SET</t>
        </is>
      </c>
      <c r="O30" s="2" t="inlineStr">
        <is>
          <t>Lifestyle use image for I Am Who He Says I Am Scripture Blanket</t>
        </is>
      </c>
      <c r="P30" s="2" t="inlineStr">
        <is>
          <t>FULL</t>
        </is>
      </c>
      <c r="Q30" s="2" t="inlineStr">
        <is>
          <t>PARTIAL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ISSUE-0042</t>
        </is>
      </c>
      <c r="Z30" s="2" t="inlineStr">
        <is>
          <t>D:\Shopify_Workspace\jeminise_seo\seo_runs\jeminise.com\20260906_234129\qa\20260907_210204\images\154_08.jpg; seo_runs\jeminise.com\20260906_234129\evidence\images\154_i-am-who-he-says-i-am-christian-scripture-blanket-inspirational\image_08_47830600810695.jpg; seo_runs\jeminise.com\20260906_234129\evidence\contact_sheets\154_i-am-who-he-says-i-am-christian-scripture-blanket-inspirational.jpg</t>
        </is>
      </c>
    </row>
    <row r="31" ht="66" customHeight="1">
      <c r="A31" s="3" t="inlineStr">
        <is>
          <t>jeminise.com+nature-and-mythology-tree-of-life-quilt-set-with-twisted-tree-trunk-ceb2e637d5-ceb2e637d5</t>
        </is>
      </c>
      <c r="B31" s="3" t="inlineStr">
        <is>
          <t>img_4c540bd77f602504</t>
        </is>
      </c>
      <c r="C31" s="4" t="inlineStr">
        <is>
          <t>https://cdn.shopify.com/s/files/1/0792/5098/1063/files/0d785f9d31ce0e89974aacf5b9eaa683a70fa09eff8afaf8a37bfe59e9dde191.jpg?v=1785047001</t>
        </is>
      </c>
      <c r="D31" s="4" t="inlineStr">
        <is>
          <t>https://cdn.shopify.com/s/files/1/0792/5098/1063/files/0d785f9d31ce0e89974aacf5b9eaa683a70fa09eff8afaf8a37bfe59e9dde191.jpg?v=1785047001</t>
        </is>
      </c>
      <c r="E31" s="3" t="inlineStr">
        <is>
          <t>47531904336071</t>
        </is>
      </c>
      <c r="F31" s="3" t="inlineStr">
        <is>
          <t>47531904336071</t>
        </is>
      </c>
      <c r="G31" s="3" t="inlineStr"/>
      <c r="H31" s="3" t="inlineStr">
        <is>
          <t>GALLERY</t>
        </is>
      </c>
      <c r="I31" s="3" t="inlineStr">
        <is>
          <t>DIRECT_IMAGE_DOWNLOAD_AND_SOURCE_ROW_REVIEW</t>
        </is>
      </c>
      <c r="J31" s="3" t="inlineStr">
        <is>
          <t>2026-09-07T21:16:18+07:00</t>
        </is>
      </c>
      <c r="K31" s="3" t="inlineStr">
        <is>
          <t>Direct QA opened downloaded image 155_01; source SHA 5A76B7F735889EA6A3025C775DE3D53EFCEC20EF52D5933ADC0F3D87573BC366. Submitted observation reviewed against gallery position.</t>
        </is>
      </c>
      <c r="L31" s="3" t="inlineStr">
        <is>
          <t>Main product mockup showing cream twisted Tree of Life quilt.</t>
        </is>
      </c>
      <c r="M31" s="3" t="inlineStr">
        <is>
          <t>UNKNOWN</t>
        </is>
      </c>
      <c r="N31" s="3" t="inlineStr">
        <is>
          <t>SET</t>
        </is>
      </c>
      <c r="O31" s="3" t="inlineStr">
        <is>
          <t>Cream Twisted Tree of Life Quilt displayed in a main product mockup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PARTIAL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ISSUE-0048</t>
        </is>
      </c>
      <c r="Z31" s="3" t="inlineStr">
        <is>
          <t>D:\Shopify_Workspace\jeminise_seo\seo_runs\jeminise.com\20260906_234129\qa\20260907_210204\images\155_01.jpg; seo_runs\jeminise.com\20260906_234129\evidence\images\155_nature-and-mythology-tree-of-life-quilt-set-with-twisted-tree-trunk-ceb2e637d5-ceb2e637d5\image_01_47531904336071.jpg; seo_runs\jeminise.com\20260906_234129\evidence\contact_sheets\155_nature-and-mythology-tree-of-life-quilt-set-with-twisted-tree-trunk-ceb2e637d5-ceb2e637d5.jpg</t>
        </is>
      </c>
    </row>
    <row r="32" ht="66" customHeight="1">
      <c r="A32" s="2" t="inlineStr">
        <is>
          <t>jeminise.com+nature-and-mythology-tree-of-life-quilt-set-with-twisted-tree-trunk-ceb2e637d5-ceb2e637d5</t>
        </is>
      </c>
      <c r="B32" s="2" t="inlineStr">
        <is>
          <t>img_ffdeb3847ac032ed</t>
        </is>
      </c>
      <c r="C32" s="4" t="inlineStr">
        <is>
          <t>https://cdn.shopify.com/s/files/1/0792/5098/1063/files/d5bd9f652f632cf45ab2af5391fd3c037d26f0c15c1117c753e06da2d771ded7.jpg?v=1785047001</t>
        </is>
      </c>
      <c r="D32" s="4" t="inlineStr">
        <is>
          <t>https://cdn.shopify.com/s/files/1/0792/5098/1063/files/d5bd9f652f632cf45ab2af5391fd3c037d26f0c15c1117c753e06da2d771ded7.jpg?v=1785047001</t>
        </is>
      </c>
      <c r="E32" s="2" t="inlineStr">
        <is>
          <t>47531904368839</t>
        </is>
      </c>
      <c r="F32" s="2" t="inlineStr">
        <is>
          <t>47531904368839</t>
        </is>
      </c>
      <c r="G32" s="2" t="inlineStr"/>
      <c r="H32" s="2" t="inlineStr">
        <is>
          <t>GALLERY</t>
        </is>
      </c>
      <c r="I32" s="2" t="inlineStr">
        <is>
          <t>DIRECT_IMAGE_DOWNLOAD_AND_SOURCE_ROW_REVIEW</t>
        </is>
      </c>
      <c r="J32" s="2" t="inlineStr">
        <is>
          <t>2026-09-07T21:16:18+07:00</t>
        </is>
      </c>
      <c r="K32" s="2" t="inlineStr">
        <is>
          <t>Direct QA opened downloaded image 155_02; source SHA 491D3A291AFC864E86253FC99EB9EBF23DD462A20A6AAD6EE558511198D702A9. Submitted observation reviewed against gallery position.</t>
        </is>
      </c>
      <c r="L32" s="2" t="inlineStr">
        <is>
          <t>Secondary flat, close-up or bedroom mockup showing cream twisted Tree of Life quilt.</t>
        </is>
      </c>
      <c r="M32" s="2" t="inlineStr">
        <is>
          <t>UNKNOWN</t>
        </is>
      </c>
      <c r="N32" s="2" t="inlineStr">
        <is>
          <t>SET</t>
        </is>
      </c>
      <c r="O32" s="2" t="inlineStr">
        <is>
          <t>Secondary mockup or close-up of Cream Twisted Tree of Life Quilt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/>
      <c r="Z32" s="2" t="inlineStr">
        <is>
          <t>D:\Shopify_Workspace\jeminise_seo\seo_runs\jeminise.com\20260906_234129\qa\20260907_210204\images\155_02.jpg; seo_runs\jeminise.com\20260906_234129\evidence\images\155_nature-and-mythology-tree-of-life-quilt-set-with-twisted-tree-trunk-ceb2e637d5-ceb2e637d5\image_02_47531904368839.jpg; seo_runs\jeminise.com\20260906_234129\evidence\contact_sheets\155_nature-and-mythology-tree-of-life-quilt-set-with-twisted-tree-trunk-ceb2e637d5-ceb2e637d5.jpg</t>
        </is>
      </c>
    </row>
    <row r="33" ht="66" customHeight="1">
      <c r="A33" s="3" t="inlineStr">
        <is>
          <t>jeminise.com+nature-and-mythology-tree-of-life-quilt-set-with-twisted-tree-trunk-ceb2e637d5-ceb2e637d5</t>
        </is>
      </c>
      <c r="B33" s="3" t="inlineStr">
        <is>
          <t>img_cb35db4dc6390935</t>
        </is>
      </c>
      <c r="C33" s="4" t="inlineStr">
        <is>
          <t>https://cdn.shopify.com/s/files/1/0792/5098/1063/files/5ac2def02ca55ef91b1041dbb5f2e346a96f55aedcc9e89c3c6faf8b8780fd0c.jpg?v=1785047001</t>
        </is>
      </c>
      <c r="D33" s="4" t="inlineStr">
        <is>
          <t>https://cdn.shopify.com/s/files/1/0792/5098/1063/files/5ac2def02ca55ef91b1041dbb5f2e346a96f55aedcc9e89c3c6faf8b8780fd0c.jpg?v=1785047001</t>
        </is>
      </c>
      <c r="E33" s="3" t="inlineStr">
        <is>
          <t>47531904401607</t>
        </is>
      </c>
      <c r="F33" s="3" t="inlineStr">
        <is>
          <t>47531904401607</t>
        </is>
      </c>
      <c r="G33" s="3" t="inlineStr"/>
      <c r="H33" s="3" t="inlineStr">
        <is>
          <t>GALLERY</t>
        </is>
      </c>
      <c r="I33" s="3" t="inlineStr">
        <is>
          <t>DIRECT_IMAGE_DOWNLOAD_AND_SOURCE_ROW_REVIEW</t>
        </is>
      </c>
      <c r="J33" s="3" t="inlineStr">
        <is>
          <t>2026-09-07T21:16:18+07:00</t>
        </is>
      </c>
      <c r="K33" s="3" t="inlineStr">
        <is>
          <t>Direct QA opened downloaded image 155_03; source SHA 60B3C9023BE8C3353C44D9F62172797FC60A9FBF89AA284D8E084535CA037148. Submitted observation reviewed against gallery position.</t>
        </is>
      </c>
      <c r="L33" s="3" t="inlineStr">
        <is>
          <t>Bedding type, feature, lifestyle or material image for cream twisted Tree of Life quilt.</t>
        </is>
      </c>
      <c r="M33" s="3" t="inlineStr">
        <is>
          <t>UNKNOWN</t>
        </is>
      </c>
      <c r="N33" s="3" t="inlineStr">
        <is>
          <t>SET</t>
        </is>
      </c>
      <c r="O33" s="3" t="inlineStr">
        <is>
          <t>Product pillow or lifestyle image for Cream Twisted Tree of Life Quilt</t>
        </is>
      </c>
      <c r="P33" s="3" t="inlineStr">
        <is>
          <t>FULL</t>
        </is>
      </c>
      <c r="Q33" s="3" t="inlineStr">
        <is>
          <t>PARTIAL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ISSUE-0049</t>
        </is>
      </c>
      <c r="Z33" s="3" t="inlineStr">
        <is>
          <t>D:\Shopify_Workspace\jeminise_seo\seo_runs\jeminise.com\20260906_234129\qa\20260907_210204\images\155_03.jpg; seo_runs\jeminise.com\20260906_234129\evidence\images\155_nature-and-mythology-tree-of-life-quilt-set-with-twisted-tree-trunk-ceb2e637d5-ceb2e637d5\image_03_47531904401607.jpg; seo_runs\jeminise.com\20260906_234129\evidence\contact_sheets\155_nature-and-mythology-tree-of-life-quilt-set-with-twisted-tree-trunk-ceb2e637d5-ceb2e637d5.jpg</t>
        </is>
      </c>
    </row>
    <row r="34" ht="66" customHeight="1">
      <c r="A34" s="2" t="inlineStr">
        <is>
          <t>jeminise.com+nature-and-mythology-tree-of-life-quilt-set-with-twisted-tree-trunk-ceb2e637d5-ceb2e637d5</t>
        </is>
      </c>
      <c r="B34" s="2" t="inlineStr">
        <is>
          <t>img_da0eefadfc42011b</t>
        </is>
      </c>
      <c r="C34" s="4" t="inlineStr">
        <is>
          <t>https://cdn.shopify.com/s/files/1/0792/5098/1063/files/5afbb8bfe8e0f2cae9c66e8395b79c83ed47af3be8b96e283dbe30499951b424.jpg?v=1785047001</t>
        </is>
      </c>
      <c r="D34" s="4" t="inlineStr">
        <is>
          <t>https://cdn.shopify.com/s/files/1/0792/5098/1063/files/5afbb8bfe8e0f2cae9c66e8395b79c83ed47af3be8b96e283dbe30499951b424.jpg?v=1785047001</t>
        </is>
      </c>
      <c r="E34" s="2" t="inlineStr">
        <is>
          <t>47531904434375</t>
        </is>
      </c>
      <c r="F34" s="2" t="inlineStr">
        <is>
          <t>47531904434375</t>
        </is>
      </c>
      <c r="G34" s="2" t="inlineStr"/>
      <c r="H34" s="2" t="inlineStr">
        <is>
          <t>GALLERY</t>
        </is>
      </c>
      <c r="I34" s="2" t="inlineStr">
        <is>
          <t>DIRECT_IMAGE_DOWNLOAD_AND_SOURCE_ROW_REVIEW</t>
        </is>
      </c>
      <c r="J34" s="2" t="inlineStr">
        <is>
          <t>2026-09-07T21:16:18+07:00</t>
        </is>
      </c>
      <c r="K34" s="2" t="inlineStr">
        <is>
          <t>Direct QA opened downloaded image 155_04; source SHA C02CF6F0D33D80FFCE72F04AFD5E29F4F95367A178E7EF424DCC772261B3724D. Submitted observation reviewed against gallery position.</t>
        </is>
      </c>
      <c r="L34" s="2" t="inlineStr">
        <is>
          <t>Detail, feature panel or lifestyle image connected to cream twisted Tree of Life quilt.</t>
        </is>
      </c>
      <c r="M34" s="2" t="inlineStr">
        <is>
          <t>UNKNOWN</t>
        </is>
      </c>
      <c r="N34" s="2" t="inlineStr">
        <is>
          <t>SET</t>
        </is>
      </c>
      <c r="O34" s="2" t="inlineStr">
        <is>
          <t>Feature, fabric or lifestyle image for Cream Twisted Tree of Life Quilt</t>
        </is>
      </c>
      <c r="P34" s="2" t="inlineStr">
        <is>
          <t>FULL</t>
        </is>
      </c>
      <c r="Q34" s="2" t="inlineStr">
        <is>
          <t>PARTIAL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ISSUE-0050</t>
        </is>
      </c>
      <c r="Z34" s="2" t="inlineStr">
        <is>
          <t>D:\Shopify_Workspace\jeminise_seo\seo_runs\jeminise.com\20260906_234129\qa\20260907_210204\images\155_04.jpg; seo_runs\jeminise.com\20260906_234129\evidence\images\155_nature-and-mythology-tree-of-life-quilt-set-with-twisted-tree-trunk-ceb2e637d5-ceb2e637d5\image_04_47531904434375.jpg; seo_runs\jeminise.com\20260906_234129\evidence\contact_sheets\155_nature-and-mythology-tree-of-life-quilt-set-with-twisted-tree-trunk-ceb2e637d5-ceb2e637d5.jpg</t>
        </is>
      </c>
    </row>
    <row r="35" ht="66" customHeight="1">
      <c r="A35" s="3" t="inlineStr">
        <is>
          <t>jeminise.com+nature-and-mythology-tree-of-life-quilt-set-with-twisted-tree-trunk-ceb2e637d5-ceb2e637d5</t>
        </is>
      </c>
      <c r="B35" s="3" t="inlineStr">
        <is>
          <t>img_bc9efa6ef07b6544</t>
        </is>
      </c>
      <c r="C35" s="4" t="inlineStr">
        <is>
          <t>https://cdn.shopify.com/s/files/1/0792/5098/1063/files/62ee0da0af41f45fddaf42d7df1e5bf17744c92cf93d37e7d07c02b9a51b139f.jpg?v=1785047001</t>
        </is>
      </c>
      <c r="D35" s="4" t="inlineStr">
        <is>
          <t>https://cdn.shopify.com/s/files/1/0792/5098/1063/files/62ee0da0af41f45fddaf42d7df1e5bf17744c92cf93d37e7d07c02b9a51b139f.jpg?v=1785047001</t>
        </is>
      </c>
      <c r="E35" s="3" t="inlineStr">
        <is>
          <t>47531904467143</t>
        </is>
      </c>
      <c r="F35" s="3" t="inlineStr">
        <is>
          <t>47531904467143</t>
        </is>
      </c>
      <c r="G35" s="3" t="inlineStr"/>
      <c r="H35" s="3" t="inlineStr">
        <is>
          <t>GALLERY</t>
        </is>
      </c>
      <c r="I35" s="3" t="inlineStr">
        <is>
          <t>DIRECT_IMAGE_DOWNLOAD_AND_SOURCE_ROW_REVIEW</t>
        </is>
      </c>
      <c r="J35" s="3" t="inlineStr">
        <is>
          <t>2026-09-07T21:16:18+07:00</t>
        </is>
      </c>
      <c r="K35" s="3" t="inlineStr">
        <is>
          <t>Direct QA opened downloaded image 155_05; source SHA 1CA5E720A9EC0ED18341817C84221557C6CD183ADC4EC4EEEA3ADA6F811D8454. Submitted observation reviewed against gallery position.</t>
        </is>
      </c>
      <c r="L35" s="3" t="inlineStr">
        <is>
          <t>Additional mockup, care or size information for cream twisted Tree of Life quilt.</t>
        </is>
      </c>
      <c r="M35" s="3" t="inlineStr">
        <is>
          <t>UNKNOWN</t>
        </is>
      </c>
      <c r="N35" s="3" t="inlineStr">
        <is>
          <t>SET</t>
        </is>
      </c>
      <c r="O35" s="3" t="inlineStr">
        <is>
          <t>Size, set contents or product feature image for Cream Twisted Tree of Life Quilt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/>
      <c r="Z35" s="3" t="inlineStr">
        <is>
          <t>D:\Shopify_Workspace\jeminise_seo\seo_runs\jeminise.com\20260906_234129\qa\20260907_210204\images\155_05.jpg; seo_runs\jeminise.com\20260906_234129\evidence\images\155_nature-and-mythology-tree-of-life-quilt-set-with-twisted-tree-trunk-ceb2e637d5-ceb2e637d5\image_05_47531904467143.jpg; seo_runs\jeminise.com\20260906_234129\evidence\contact_sheets\155_nature-and-mythology-tree-of-life-quilt-set-with-twisted-tree-trunk-ceb2e637d5-ceb2e637d5.jpg</t>
        </is>
      </c>
    </row>
    <row r="36" ht="66" customHeight="1">
      <c r="A36" s="2" t="inlineStr">
        <is>
          <t>jeminise.com+nature-and-mythology-tree-of-life-quilt-set-with-twisted-tree-trunk-ceb2e637d5-ceb2e637d5</t>
        </is>
      </c>
      <c r="B36" s="2" t="inlineStr">
        <is>
          <t>img_056f2ba116a9da9b</t>
        </is>
      </c>
      <c r="C36" s="4" t="inlineStr">
        <is>
          <t>https://cdn.shopify.com/s/files/1/0792/5098/1063/files/03f28650af251cefed46d5c9bc0bb8932f18d148f35526a7c91c998985ab4231.jpg?v=1785047001</t>
        </is>
      </c>
      <c r="D36" s="4" t="inlineStr">
        <is>
          <t>https://cdn.shopify.com/s/files/1/0792/5098/1063/files/03f28650af251cefed46d5c9bc0bb8932f18d148f35526a7c91c998985ab4231.jpg?v=1785047001</t>
        </is>
      </c>
      <c r="E36" s="2" t="inlineStr">
        <is>
          <t>47531904499911</t>
        </is>
      </c>
      <c r="F36" s="2" t="inlineStr">
        <is>
          <t>47531904499911</t>
        </is>
      </c>
      <c r="G36" s="2" t="inlineStr"/>
      <c r="H36" s="2" t="inlineStr">
        <is>
          <t>GALLERY</t>
        </is>
      </c>
      <c r="I36" s="2" t="inlineStr">
        <is>
          <t>DIRECT_IMAGE_DOWNLOAD_AND_SOURCE_ROW_REVIEW</t>
        </is>
      </c>
      <c r="J36" s="2" t="inlineStr">
        <is>
          <t>2026-09-07T21:16:18+07:00</t>
        </is>
      </c>
      <c r="K36" s="2" t="inlineStr">
        <is>
          <t>Direct QA opened downloaded image 155_06; source SHA 67BC95B574C914A8578808BA0D957975C5B04B7CB2AADC299ED488B9C6AD2013. Submitted observation reviewed against gallery position.</t>
        </is>
      </c>
      <c r="L36" s="2" t="inlineStr">
        <is>
          <t>Easy-care, size guide or product feature image for cream twisted Tree of Life quilt.</t>
        </is>
      </c>
      <c r="M36" s="2" t="inlineStr">
        <is>
          <t>UNKNOWN</t>
        </is>
      </c>
      <c r="N36" s="2" t="inlineStr">
        <is>
          <t>SET</t>
        </is>
      </c>
      <c r="O36" s="2" t="inlineStr">
        <is>
          <t>Care, size or product feature image for Cream Twisted Tree of Life Quilt</t>
        </is>
      </c>
      <c r="P36" s="2" t="inlineStr">
        <is>
          <t>FULL</t>
        </is>
      </c>
      <c r="Q36" s="2" t="inlineStr">
        <is>
          <t>PARTIAL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ISSUE-0051</t>
        </is>
      </c>
      <c r="Z36" s="2" t="inlineStr">
        <is>
          <t>D:\Shopify_Workspace\jeminise_seo\seo_runs\jeminise.com\20260906_234129\qa\20260907_210204\images\155_06.jpg; seo_runs\jeminise.com\20260906_234129\evidence\images\155_nature-and-mythology-tree-of-life-quilt-set-with-twisted-tree-trunk-ceb2e637d5-ceb2e637d5\image_06_47531904499911.jpg; seo_runs\jeminise.com\20260906_234129\evidence\contact_sheets\155_nature-and-mythology-tree-of-life-quilt-set-with-twisted-tree-trunk-ceb2e637d5-ceb2e637d5.jpg</t>
        </is>
      </c>
    </row>
    <row r="37" ht="66" customHeight="1">
      <c r="A37" s="3" t="inlineStr">
        <is>
          <t>jeminise.com+nature-and-mythology-tree-of-life-quilt-set-with-twisted-tree-trunk-ceb2e637d5-ceb2e637d5</t>
        </is>
      </c>
      <c r="B37" s="3" t="inlineStr">
        <is>
          <t>img_bc5be181fe7ccdaa</t>
        </is>
      </c>
      <c r="C37" s="4" t="inlineStr">
        <is>
          <t>https://cdn.shopify.com/s/files/1/0792/5098/1063/files/b7f7217bc368c7d403288443e46060ae912df896d41eb526167e12992bc53796.jpg?v=1785047001</t>
        </is>
      </c>
      <c r="D37" s="4" t="inlineStr">
        <is>
          <t>https://cdn.shopify.com/s/files/1/0792/5098/1063/files/b7f7217bc368c7d403288443e46060ae912df896d41eb526167e12992bc53796.jpg?v=1785047001</t>
        </is>
      </c>
      <c r="E37" s="3" t="inlineStr">
        <is>
          <t>47531904532679</t>
        </is>
      </c>
      <c r="F37" s="3" t="inlineStr">
        <is>
          <t>47531904532679</t>
        </is>
      </c>
      <c r="G37" s="3" t="inlineStr"/>
      <c r="H37" s="3" t="inlineStr">
        <is>
          <t>GALLERY</t>
        </is>
      </c>
      <c r="I37" s="3" t="inlineStr">
        <is>
          <t>DIRECT_IMAGE_DOWNLOAD_AND_SOURCE_ROW_REVIEW</t>
        </is>
      </c>
      <c r="J37" s="3" t="inlineStr">
        <is>
          <t>2026-09-07T21:16:18+07:00</t>
        </is>
      </c>
      <c r="K37" s="3" t="inlineStr">
        <is>
          <t>Direct QA opened downloaded image 155_07; source SHA 5B936E97DAB3A4F23E3CA7ABFA43F186FE693605D467F5D5467A3B4C4448D86A. Submitted observation reviewed against gallery position.</t>
        </is>
      </c>
      <c r="L37" s="3" t="inlineStr">
        <is>
          <t>Additional lifestyle, feature or product detail image showing cream twisted Tree of Life quilt.</t>
        </is>
      </c>
      <c r="M37" s="3" t="inlineStr">
        <is>
          <t>UNKNOWN</t>
        </is>
      </c>
      <c r="N37" s="3" t="inlineStr">
        <is>
          <t>SET</t>
        </is>
      </c>
      <c r="O37" s="3" t="inlineStr">
        <is>
          <t>Additional product mockup of Cream Twisted Tree of Life Quilt</t>
        </is>
      </c>
      <c r="P37" s="3" t="inlineStr">
        <is>
          <t>FULL</t>
        </is>
      </c>
      <c r="Q37" s="3" t="inlineStr">
        <is>
          <t>PARTIAL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ISSUE-0052</t>
        </is>
      </c>
      <c r="Z37" s="3" t="inlineStr">
        <is>
          <t>D:\Shopify_Workspace\jeminise_seo\seo_runs\jeminise.com\20260906_234129\qa\20260907_210204\images\155_07.jpg; seo_runs\jeminise.com\20260906_234129\evidence\images\155_nature-and-mythology-tree-of-life-quilt-set-with-twisted-tree-trunk-ceb2e637d5-ceb2e637d5\image_07_47531904532679.jpg; seo_runs\jeminise.com\20260906_234129\evidence\contact_sheets\155_nature-and-mythology-tree-of-life-quilt-set-with-twisted-tree-trunk-ceb2e637d5-ceb2e637d5.jpg</t>
        </is>
      </c>
    </row>
    <row r="38" ht="66" customHeight="1">
      <c r="A38" s="2" t="inlineStr">
        <is>
          <t>jeminise.com+nature-tree-of-life-quilt-set-with-blooming-tree-and-bedroom-and-exposed-roots-d5450715a6-d5450715a6</t>
        </is>
      </c>
      <c r="B38" s="2" t="inlineStr">
        <is>
          <t>img_71743e28d009f2b3</t>
        </is>
      </c>
      <c r="C38" s="4" t="inlineStr">
        <is>
          <t>https://cdn.shopify.com/s/files/1/0792/5098/1063/files/a7d2efc7deb85e2fb4648b297cac99db2b435e8c07e23380ec6cb6604ea179d2.jpg?v=1785048100</t>
        </is>
      </c>
      <c r="D38" s="4" t="inlineStr">
        <is>
          <t>https://cdn.shopify.com/s/files/1/0792/5098/1063/files/a7d2efc7deb85e2fb4648b297cac99db2b435e8c07e23380ec6cb6604ea179d2.jpg?v=1785048100</t>
        </is>
      </c>
      <c r="E38" s="2" t="inlineStr">
        <is>
          <t>47532075385031</t>
        </is>
      </c>
      <c r="F38" s="2" t="inlineStr">
        <is>
          <t>47532075385031</t>
        </is>
      </c>
      <c r="G38" s="2" t="inlineStr"/>
      <c r="H38" s="2" t="inlineStr">
        <is>
          <t>GALLERY</t>
        </is>
      </c>
      <c r="I38" s="2" t="inlineStr">
        <is>
          <t>DIRECT_IMAGE_DOWNLOAD_AND_SOURCE_ROW_REVIEW</t>
        </is>
      </c>
      <c r="J38" s="2" t="inlineStr">
        <is>
          <t>2026-09-07T21:16:18+07:00</t>
        </is>
      </c>
      <c r="K38" s="2" t="inlineStr">
        <is>
          <t>Direct QA opened downloaded image 156_01; source SHA 87412CC4A8C1509D93917BF1C34716EFDC2F5D7E9533E144D1F8ADF07F700E55. Submitted observation reviewed against gallery position.</t>
        </is>
      </c>
      <c r="L38" s="2" t="inlineStr">
        <is>
          <t>Main product mockup showing black blooming Tree of Life floral quilt.</t>
        </is>
      </c>
      <c r="M38" s="2" t="inlineStr">
        <is>
          <t>UNKNOWN</t>
        </is>
      </c>
      <c r="N38" s="2" t="inlineStr">
        <is>
          <t>SET</t>
        </is>
      </c>
      <c r="O38" s="2" t="inlineStr">
        <is>
          <t>Black Blooming Tree of Life Quilt displayed in a main product mockup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PARTIAL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ISSUE-0058</t>
        </is>
      </c>
      <c r="Z38" s="2" t="inlineStr">
        <is>
          <t>D:\Shopify_Workspace\jeminise_seo\seo_runs\jeminise.com\20260906_234129\qa\20260907_210204\images\156_01.jpg; seo_runs\jeminise.com\20260906_234129\evidence\images\156_nature-tree-of-life-quilt-set-with-blooming-tree-and-bedroom-and-exposed-roots-d5450715a6-d5450715a6\image_01_47532075385031.jpg; seo_runs\jeminise.com\20260906_234129\evidence\contact_sheets\156_nature-tree-of-life-quilt-set-with-blooming-tree-and-bedroom-and-exposed-roots-d5450715a6-d5450715a6.jpg</t>
        </is>
      </c>
    </row>
    <row r="39" ht="66" customHeight="1">
      <c r="A39" s="3" t="inlineStr">
        <is>
          <t>jeminise.com+nature-tree-of-life-quilt-set-with-blooming-tree-and-bedroom-and-exposed-roots-d5450715a6-d5450715a6</t>
        </is>
      </c>
      <c r="B39" s="3" t="inlineStr">
        <is>
          <t>img_2e232cf4d628bf41</t>
        </is>
      </c>
      <c r="C39" s="4" t="inlineStr">
        <is>
          <t>https://cdn.shopify.com/s/files/1/0792/5098/1063/files/ed8c88799e2b9c55a9b05a4ea8a25fea83c4ddb567d1422341b8e4925d1e7a70.jpg?v=1785048100</t>
        </is>
      </c>
      <c r="D39" s="4" t="inlineStr">
        <is>
          <t>https://cdn.shopify.com/s/files/1/0792/5098/1063/files/ed8c88799e2b9c55a9b05a4ea8a25fea83c4ddb567d1422341b8e4925d1e7a70.jpg?v=1785048100</t>
        </is>
      </c>
      <c r="E39" s="3" t="inlineStr">
        <is>
          <t>47532075417799</t>
        </is>
      </c>
      <c r="F39" s="3" t="inlineStr">
        <is>
          <t>47532075417799</t>
        </is>
      </c>
      <c r="G39" s="3" t="inlineStr"/>
      <c r="H39" s="3" t="inlineStr">
        <is>
          <t>GALLERY</t>
        </is>
      </c>
      <c r="I39" s="3" t="inlineStr">
        <is>
          <t>DIRECT_IMAGE_DOWNLOAD_AND_SOURCE_ROW_REVIEW</t>
        </is>
      </c>
      <c r="J39" s="3" t="inlineStr">
        <is>
          <t>2026-09-07T21:16:18+07:00</t>
        </is>
      </c>
      <c r="K39" s="3" t="inlineStr">
        <is>
          <t>Direct QA opened downloaded image 156_02; source SHA 1CF5531CD5A22E9CE78F734DB7AAF1B21BAC6DA19D56E94E96F8744CED72420A. Submitted observation reviewed against gallery position.</t>
        </is>
      </c>
      <c r="L39" s="3" t="inlineStr">
        <is>
          <t>Secondary flat, close-up or bedroom mockup showing black blooming Tree of Life floral quilt.</t>
        </is>
      </c>
      <c r="M39" s="3" t="inlineStr">
        <is>
          <t>UNKNOWN</t>
        </is>
      </c>
      <c r="N39" s="3" t="inlineStr">
        <is>
          <t>SET</t>
        </is>
      </c>
      <c r="O39" s="3" t="inlineStr">
        <is>
          <t>Secondary mockup or close-up of Black Blooming Tree of Life Quilt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/>
      <c r="Z39" s="3" t="inlineStr">
        <is>
          <t>D:\Shopify_Workspace\jeminise_seo\seo_runs\jeminise.com\20260906_234129\qa\20260907_210204\images\156_02.jpg; seo_runs\jeminise.com\20260906_234129\evidence\images\156_nature-tree-of-life-quilt-set-with-blooming-tree-and-bedroom-and-exposed-roots-d5450715a6-d5450715a6\image_02_47532075417799.jpg; seo_runs\jeminise.com\20260906_234129\evidence\contact_sheets\156_nature-tree-of-life-quilt-set-with-blooming-tree-and-bedroom-and-exposed-roots-d5450715a6-d5450715a6.jpg</t>
        </is>
      </c>
    </row>
    <row r="40" ht="66" customHeight="1">
      <c r="A40" s="2" t="inlineStr">
        <is>
          <t>jeminise.com+nature-tree-of-life-quilt-set-with-blooming-tree-and-bedroom-and-exposed-roots-d5450715a6-d5450715a6</t>
        </is>
      </c>
      <c r="B40" s="2" t="inlineStr">
        <is>
          <t>img_18a218bb23e38233</t>
        </is>
      </c>
      <c r="C40" s="4" t="inlineStr">
        <is>
          <t>https://cdn.shopify.com/s/files/1/0792/5098/1063/files/d607df9d03ab43bb32f5dde50322687d1f020057aae015a34564a6cec5f538a4.jpg?v=1785048100</t>
        </is>
      </c>
      <c r="D40" s="4" t="inlineStr">
        <is>
          <t>https://cdn.shopify.com/s/files/1/0792/5098/1063/files/d607df9d03ab43bb32f5dde50322687d1f020057aae015a34564a6cec5f538a4.jpg?v=1785048100</t>
        </is>
      </c>
      <c r="E40" s="2" t="inlineStr">
        <is>
          <t>47532075450567</t>
        </is>
      </c>
      <c r="F40" s="2" t="inlineStr">
        <is>
          <t>47532075450567</t>
        </is>
      </c>
      <c r="G40" s="2" t="inlineStr"/>
      <c r="H40" s="2" t="inlineStr">
        <is>
          <t>GALLERY</t>
        </is>
      </c>
      <c r="I40" s="2" t="inlineStr">
        <is>
          <t>DIRECT_IMAGE_DOWNLOAD_AND_SOURCE_ROW_REVIEW</t>
        </is>
      </c>
      <c r="J40" s="2" t="inlineStr">
        <is>
          <t>2026-09-07T21:16:18+07:00</t>
        </is>
      </c>
      <c r="K40" s="2" t="inlineStr">
        <is>
          <t>Direct QA opened downloaded image 156_03; source SHA 1749319728CE3F15184B4C69F1B9B8EDDB40963443898D74FFEB6FBE243255C6. Submitted observation reviewed against gallery position.</t>
        </is>
      </c>
      <c r="L40" s="2" t="inlineStr">
        <is>
          <t>Bedding type, feature, lifestyle or material image for black blooming Tree of Life floral quilt.</t>
        </is>
      </c>
      <c r="M40" s="2" t="inlineStr">
        <is>
          <t>UNKNOWN</t>
        </is>
      </c>
      <c r="N40" s="2" t="inlineStr">
        <is>
          <t>SET</t>
        </is>
      </c>
      <c r="O40" s="2" t="inlineStr">
        <is>
          <t>Product pillow or lifestyle image for Black Blooming Tree of Life Quilt</t>
        </is>
      </c>
      <c r="P40" s="2" t="inlineStr">
        <is>
          <t>FULL</t>
        </is>
      </c>
      <c r="Q40" s="2" t="inlineStr">
        <is>
          <t>PARTIAL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ISSUE-0059</t>
        </is>
      </c>
      <c r="Z40" s="2" t="inlineStr">
        <is>
          <t>D:\Shopify_Workspace\jeminise_seo\seo_runs\jeminise.com\20260906_234129\qa\20260907_210204\images\156_03.jpg; seo_runs\jeminise.com\20260906_234129\evidence\images\156_nature-tree-of-life-quilt-set-with-blooming-tree-and-bedroom-and-exposed-roots-d5450715a6-d5450715a6\image_03_47532075450567.jpg; seo_runs\jeminise.com\20260906_234129\evidence\contact_sheets\156_nature-tree-of-life-quilt-set-with-blooming-tree-and-bedroom-and-exposed-roots-d5450715a6-d5450715a6.jpg</t>
        </is>
      </c>
    </row>
    <row r="41" ht="66" customHeight="1">
      <c r="A41" s="3" t="inlineStr">
        <is>
          <t>jeminise.com+nature-tree-of-life-quilt-set-with-blooming-tree-and-bedroom-and-exposed-roots-d5450715a6-d5450715a6</t>
        </is>
      </c>
      <c r="B41" s="3" t="inlineStr">
        <is>
          <t>img_14bc89ae63354aa5</t>
        </is>
      </c>
      <c r="C41" s="4" t="inlineStr">
        <is>
          <t>https://cdn.shopify.com/s/files/1/0792/5098/1063/files/44dfd17346b5c529f42f160eb40a79a4249454ee5f383b04a523415c56cab351.jpg?v=1785048100</t>
        </is>
      </c>
      <c r="D41" s="4" t="inlineStr">
        <is>
          <t>https://cdn.shopify.com/s/files/1/0792/5098/1063/files/44dfd17346b5c529f42f160eb40a79a4249454ee5f383b04a523415c56cab351.jpg?v=1785048100</t>
        </is>
      </c>
      <c r="E41" s="3" t="inlineStr">
        <is>
          <t>47532075483335</t>
        </is>
      </c>
      <c r="F41" s="3" t="inlineStr">
        <is>
          <t>47532075483335</t>
        </is>
      </c>
      <c r="G41" s="3" t="inlineStr"/>
      <c r="H41" s="3" t="inlineStr">
        <is>
          <t>GALLERY</t>
        </is>
      </c>
      <c r="I41" s="3" t="inlineStr">
        <is>
          <t>DIRECT_IMAGE_DOWNLOAD_AND_SOURCE_ROW_REVIEW</t>
        </is>
      </c>
      <c r="J41" s="3" t="inlineStr">
        <is>
          <t>2026-09-07T21:16:18+07:00</t>
        </is>
      </c>
      <c r="K41" s="3" t="inlineStr">
        <is>
          <t>Direct QA opened downloaded image 156_04; source SHA B8188A0AB1307AF946AA5EB1F324CD1B540D0A4F212E3177CED4E99CA798E600. Submitted observation reviewed against gallery position.</t>
        </is>
      </c>
      <c r="L41" s="3" t="inlineStr">
        <is>
          <t>Detail, feature panel or lifestyle image connected to black blooming Tree of Life floral quilt.</t>
        </is>
      </c>
      <c r="M41" s="3" t="inlineStr">
        <is>
          <t>UNKNOWN</t>
        </is>
      </c>
      <c r="N41" s="3" t="inlineStr">
        <is>
          <t>SET</t>
        </is>
      </c>
      <c r="O41" s="3" t="inlineStr">
        <is>
          <t>Feature, fabric or lifestyle image for Black Blooming Tree of Life Quilt</t>
        </is>
      </c>
      <c r="P41" s="3" t="inlineStr">
        <is>
          <t>FULL</t>
        </is>
      </c>
      <c r="Q41" s="3" t="inlineStr">
        <is>
          <t>PARTIAL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ISSUE-0060</t>
        </is>
      </c>
      <c r="Z41" s="3" t="inlineStr">
        <is>
          <t>D:\Shopify_Workspace\jeminise_seo\seo_runs\jeminise.com\20260906_234129\qa\20260907_210204\images\156_04.jpg; seo_runs\jeminise.com\20260906_234129\evidence\images\156_nature-tree-of-life-quilt-set-with-blooming-tree-and-bedroom-and-exposed-roots-d5450715a6-d5450715a6\image_04_47532075483335.jpg; seo_runs\jeminise.com\20260906_234129\evidence\contact_sheets\156_nature-tree-of-life-quilt-set-with-blooming-tree-and-bedroom-and-exposed-roots-d5450715a6-d5450715a6.jpg</t>
        </is>
      </c>
    </row>
    <row r="42" ht="66" customHeight="1">
      <c r="A42" s="2" t="inlineStr">
        <is>
          <t>jeminise.com+nature-tree-of-life-quilt-set-with-blooming-tree-and-bedroom-and-exposed-roots-d5450715a6-d5450715a6</t>
        </is>
      </c>
      <c r="B42" s="2" t="inlineStr">
        <is>
          <t>img_a16170cc826f040b</t>
        </is>
      </c>
      <c r="C42" s="4" t="inlineStr">
        <is>
          <t>https://cdn.shopify.com/s/files/1/0792/5098/1063/files/30a8cd7dba0cb2b868cf66f9e32aba1ab3485c6d76e677c7846237415a76eac1.jpg?v=1785048100</t>
        </is>
      </c>
      <c r="D42" s="4" t="inlineStr">
        <is>
          <t>https://cdn.shopify.com/s/files/1/0792/5098/1063/files/30a8cd7dba0cb2b868cf66f9e32aba1ab3485c6d76e677c7846237415a76eac1.jpg?v=1785048100</t>
        </is>
      </c>
      <c r="E42" s="2" t="inlineStr">
        <is>
          <t>47532075516103</t>
        </is>
      </c>
      <c r="F42" s="2" t="inlineStr">
        <is>
          <t>47532075516103</t>
        </is>
      </c>
      <c r="G42" s="2" t="inlineStr"/>
      <c r="H42" s="2" t="inlineStr">
        <is>
          <t>GALLERY</t>
        </is>
      </c>
      <c r="I42" s="2" t="inlineStr">
        <is>
          <t>DIRECT_IMAGE_DOWNLOAD_AND_SOURCE_ROW_REVIEW</t>
        </is>
      </c>
      <c r="J42" s="2" t="inlineStr">
        <is>
          <t>2026-09-07T21:16:18+07:00</t>
        </is>
      </c>
      <c r="K42" s="2" t="inlineStr">
        <is>
          <t>Direct QA opened downloaded image 156_05; source SHA 19F9B7DAABB1B4CE85337967BE22906827A7E2A4B2DB8A7822BE66D8F6B3CA71. Submitted observation reviewed against gallery position.</t>
        </is>
      </c>
      <c r="L42" s="2" t="inlineStr">
        <is>
          <t>Additional mockup, care or size information for black blooming Tree of Life floral quilt.</t>
        </is>
      </c>
      <c r="M42" s="2" t="inlineStr">
        <is>
          <t>UNKNOWN</t>
        </is>
      </c>
      <c r="N42" s="2" t="inlineStr">
        <is>
          <t>SET</t>
        </is>
      </c>
      <c r="O42" s="2" t="inlineStr">
        <is>
          <t>Size, set contents or product feature image for Black Blooming Tree of Life Quilt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/>
      <c r="Z42" s="2" t="inlineStr">
        <is>
          <t>D:\Shopify_Workspace\jeminise_seo\seo_runs\jeminise.com\20260906_234129\qa\20260907_210204\images\156_05.jpg; seo_runs\jeminise.com\20260906_234129\evidence\images\156_nature-tree-of-life-quilt-set-with-blooming-tree-and-bedroom-and-exposed-roots-d5450715a6-d5450715a6\image_05_47532075516103.jpg; seo_runs\jeminise.com\20260906_234129\evidence\contact_sheets\156_nature-tree-of-life-quilt-set-with-blooming-tree-and-bedroom-and-exposed-roots-d5450715a6-d5450715a6.jpg</t>
        </is>
      </c>
    </row>
    <row r="43" ht="66" customHeight="1">
      <c r="A43" s="3" t="inlineStr">
        <is>
          <t>jeminise.com+nature-tree-of-life-quilt-set-with-blooming-tree-and-bedroom-and-exposed-roots-d5450715a6-d5450715a6</t>
        </is>
      </c>
      <c r="B43" s="3" t="inlineStr">
        <is>
          <t>img_3599257d2b9e4ea4</t>
        </is>
      </c>
      <c r="C43" s="4" t="inlineStr">
        <is>
          <t>https://cdn.shopify.com/s/files/1/0792/5098/1063/files/309f9b67e4ad484fda0b2d320d0694ae9c04bfbd76758b06e3f3e56c94e4d6b9.jpg?v=1785048100</t>
        </is>
      </c>
      <c r="D43" s="4" t="inlineStr">
        <is>
          <t>https://cdn.shopify.com/s/files/1/0792/5098/1063/files/309f9b67e4ad484fda0b2d320d0694ae9c04bfbd76758b06e3f3e56c94e4d6b9.jpg?v=1785048100</t>
        </is>
      </c>
      <c r="E43" s="3" t="inlineStr">
        <is>
          <t>47532075548871</t>
        </is>
      </c>
      <c r="F43" s="3" t="inlineStr">
        <is>
          <t>47532075548871</t>
        </is>
      </c>
      <c r="G43" s="3" t="inlineStr"/>
      <c r="H43" s="3" t="inlineStr">
        <is>
          <t>GALLERY</t>
        </is>
      </c>
      <c r="I43" s="3" t="inlineStr">
        <is>
          <t>DIRECT_IMAGE_DOWNLOAD_AND_SOURCE_ROW_REVIEW</t>
        </is>
      </c>
      <c r="J43" s="3" t="inlineStr">
        <is>
          <t>2026-09-07T21:16:18+07:00</t>
        </is>
      </c>
      <c r="K43" s="3" t="inlineStr">
        <is>
          <t>Direct QA opened downloaded image 156_06; source SHA 4991CDFF5BDE496E9D95688B01ACF3B650E44E07FDAF6D1BE38F9D7A72CFBC70. Submitted observation reviewed against gallery position.</t>
        </is>
      </c>
      <c r="L43" s="3" t="inlineStr">
        <is>
          <t>Easy-care, size guide or product feature image for black blooming Tree of Life floral quilt.</t>
        </is>
      </c>
      <c r="M43" s="3" t="inlineStr">
        <is>
          <t>UNKNOWN</t>
        </is>
      </c>
      <c r="N43" s="3" t="inlineStr">
        <is>
          <t>SET</t>
        </is>
      </c>
      <c r="O43" s="3" t="inlineStr">
        <is>
          <t>Care, size or product feature image for Black Blooming Tree of Life Quilt</t>
        </is>
      </c>
      <c r="P43" s="3" t="inlineStr">
        <is>
          <t>FULL</t>
        </is>
      </c>
      <c r="Q43" s="3" t="inlineStr">
        <is>
          <t>PARTIAL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ISSUE-0061</t>
        </is>
      </c>
      <c r="Z43" s="3" t="inlineStr">
        <is>
          <t>D:\Shopify_Workspace\jeminise_seo\seo_runs\jeminise.com\20260906_234129\qa\20260907_210204\images\156_06.jpg; seo_runs\jeminise.com\20260906_234129\evidence\images\156_nature-tree-of-life-quilt-set-with-blooming-tree-and-bedroom-and-exposed-roots-d5450715a6-d5450715a6\image_06_47532075548871.jpg; seo_runs\jeminise.com\20260906_234129\evidence\contact_sheets\156_nature-tree-of-life-quilt-set-with-blooming-tree-and-bedroom-and-exposed-roots-d5450715a6-d5450715a6.jpg</t>
        </is>
      </c>
    </row>
    <row r="44" ht="66" customHeight="1">
      <c r="A44" s="2" t="inlineStr">
        <is>
          <t>jeminise.com+nature-tree-of-life-quilt-set-with-blooming-tree-and-bedroom-and-exposed-roots-d5450715a6-d5450715a6</t>
        </is>
      </c>
      <c r="B44" s="2" t="inlineStr">
        <is>
          <t>img_ee816b09c5bac8ce</t>
        </is>
      </c>
      <c r="C44" s="4" t="inlineStr">
        <is>
          <t>https://cdn.shopify.com/s/files/1/0792/5098/1063/files/f90a97ff95ddd2b9f72a9574d1cbaac64567b825c2fb12908e9762409552739a.jpg?v=1785048100</t>
        </is>
      </c>
      <c r="D44" s="4" t="inlineStr">
        <is>
          <t>https://cdn.shopify.com/s/files/1/0792/5098/1063/files/f90a97ff95ddd2b9f72a9574d1cbaac64567b825c2fb12908e9762409552739a.jpg?v=1785048100</t>
        </is>
      </c>
      <c r="E44" s="2" t="inlineStr">
        <is>
          <t>47532075581639</t>
        </is>
      </c>
      <c r="F44" s="2" t="inlineStr">
        <is>
          <t>47532075581639</t>
        </is>
      </c>
      <c r="G44" s="2" t="inlineStr"/>
      <c r="H44" s="2" t="inlineStr">
        <is>
          <t>GALLERY</t>
        </is>
      </c>
      <c r="I44" s="2" t="inlineStr">
        <is>
          <t>DIRECT_IMAGE_DOWNLOAD_AND_SOURCE_ROW_REVIEW</t>
        </is>
      </c>
      <c r="J44" s="2" t="inlineStr">
        <is>
          <t>2026-09-07T21:16:18+07:00</t>
        </is>
      </c>
      <c r="K44" s="2" t="inlineStr">
        <is>
          <t>Direct QA opened downloaded image 156_07; source SHA 02B7A290626A7C2C5DA349C13665DEAB128908CAD1590E6004D88250D23178F1. Submitted observation reviewed against gallery position.</t>
        </is>
      </c>
      <c r="L44" s="2" t="inlineStr">
        <is>
          <t>Additional lifestyle, feature or product detail image showing black blooming Tree of Life floral quilt.</t>
        </is>
      </c>
      <c r="M44" s="2" t="inlineStr">
        <is>
          <t>UNKNOWN</t>
        </is>
      </c>
      <c r="N44" s="2" t="inlineStr">
        <is>
          <t>SET</t>
        </is>
      </c>
      <c r="O44" s="2" t="inlineStr">
        <is>
          <t>Additional product mockup of Black Blooming Tree of Life Quilt</t>
        </is>
      </c>
      <c r="P44" s="2" t="inlineStr">
        <is>
          <t>FULL</t>
        </is>
      </c>
      <c r="Q44" s="2" t="inlineStr">
        <is>
          <t>PARTIAL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ISSUE-0062</t>
        </is>
      </c>
      <c r="Z44" s="2" t="inlineStr">
        <is>
          <t>D:\Shopify_Workspace\jeminise_seo\seo_runs\jeminise.com\20260906_234129\qa\20260907_210204\images\156_07.jpg; seo_runs\jeminise.com\20260906_234129\evidence\images\156_nature-tree-of-life-quilt-set-with-blooming-tree-and-bedroom-and-exposed-roots-d5450715a6-d5450715a6\image_07_47532075581639.jpg; seo_runs\jeminise.com\20260906_234129\evidence\contact_sheets\156_nature-tree-of-life-quilt-set-with-blooming-tree-and-bedroom-and-exposed-roots-d5450715a6-d5450715a6.jpg</t>
        </is>
      </c>
    </row>
    <row r="45" ht="66" customHeight="1">
      <c r="A45" s="3" t="inlineStr">
        <is>
          <t>jeminise.com+nature-tree-of-life-quilt-set-with-stained-glass-pattern-and-bedroom-2eedde5b65-2eedde5b65</t>
        </is>
      </c>
      <c r="B45" s="3" t="inlineStr">
        <is>
          <t>img_255327fa52d8be23</t>
        </is>
      </c>
      <c r="C45" s="4" t="inlineStr">
        <is>
          <t>https://cdn.shopify.com/s/files/1/0792/5098/1063/files/798a81c889e1d749b31d13edf96aca3d142c5bf614c87ef95bf3200858f8f476.jpg?v=1785048200</t>
        </is>
      </c>
      <c r="D45" s="4" t="inlineStr">
        <is>
          <t>https://cdn.shopify.com/s/files/1/0792/5098/1063/files/798a81c889e1d749b31d13edf96aca3d142c5bf614c87ef95bf3200858f8f476.jpg?v=1785048200</t>
        </is>
      </c>
      <c r="E45" s="3" t="inlineStr">
        <is>
          <t>47532082462919</t>
        </is>
      </c>
      <c r="F45" s="3" t="inlineStr">
        <is>
          <t>47532082462919</t>
        </is>
      </c>
      <c r="G45" s="3" t="inlineStr"/>
      <c r="H45" s="3" t="inlineStr">
        <is>
          <t>GALLERY</t>
        </is>
      </c>
      <c r="I45" s="3" t="inlineStr">
        <is>
          <t>DIRECT_IMAGE_DOWNLOAD_AND_SOURCE_ROW_REVIEW</t>
        </is>
      </c>
      <c r="J45" s="3" t="inlineStr">
        <is>
          <t>2026-09-07T21:16:18+07:00</t>
        </is>
      </c>
      <c r="K45" s="3" t="inlineStr">
        <is>
          <t>Direct QA opened downloaded image 157_01; source SHA 40EC57D3022F46928AA55C1BB8FC2E36E9ABE3C9D09342D75C5EFDE29F69E603. Submitted observation reviewed against gallery position.</t>
        </is>
      </c>
      <c r="L45" s="3" t="inlineStr">
        <is>
          <t>Main product mockup showing stained glass Tree of Life landscape quilt.</t>
        </is>
      </c>
      <c r="M45" s="3" t="inlineStr">
        <is>
          <t>UNKNOWN</t>
        </is>
      </c>
      <c r="N45" s="3" t="inlineStr">
        <is>
          <t>SET</t>
        </is>
      </c>
      <c r="O45" s="3" t="inlineStr">
        <is>
          <t>Stained Glass Tree of Life Landscape Quilt displayed in a main product mockup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PARTIAL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ISSUE-0068</t>
        </is>
      </c>
      <c r="Z45" s="3" t="inlineStr">
        <is>
          <t>D:\Shopify_Workspace\jeminise_seo\seo_runs\jeminise.com\20260906_234129\qa\20260907_210204\images\157_01.jpg; seo_runs\jeminise.com\20260906_234129\evidence\images\157_nature-tree-of-life-quilt-set-with-stained-glass-pattern-and-bedroom-2eedde5b65-2eedde5b65\image_01_47532082462919.jpg; seo_runs\jeminise.com\20260906_234129\evidence\contact_sheets\157_nature-tree-of-life-quilt-set-with-stained-glass-pattern-and-bedroom-2eedde5b65-2eedde5b65.jpg</t>
        </is>
      </c>
    </row>
    <row r="46" ht="66" customHeight="1">
      <c r="A46" s="2" t="inlineStr">
        <is>
          <t>jeminise.com+nature-tree-of-life-quilt-set-with-stained-glass-pattern-and-bedroom-2eedde5b65-2eedde5b65</t>
        </is>
      </c>
      <c r="B46" s="2" t="inlineStr">
        <is>
          <t>img_f79191ae66d208fe</t>
        </is>
      </c>
      <c r="C46" s="4" t="inlineStr">
        <is>
          <t>https://cdn.shopify.com/s/files/1/0792/5098/1063/files/7a302fd3bb6bd550149fb5e2c6b9c12cf6c3c825a2a5e441fd09ff9af580bc94.jpg?v=1785048200</t>
        </is>
      </c>
      <c r="D46" s="4" t="inlineStr">
        <is>
          <t>https://cdn.shopify.com/s/files/1/0792/5098/1063/files/7a302fd3bb6bd550149fb5e2c6b9c12cf6c3c825a2a5e441fd09ff9af580bc94.jpg?v=1785048200</t>
        </is>
      </c>
      <c r="E46" s="2" t="inlineStr">
        <is>
          <t>47532082495687</t>
        </is>
      </c>
      <c r="F46" s="2" t="inlineStr">
        <is>
          <t>47532082495687</t>
        </is>
      </c>
      <c r="G46" s="2" t="inlineStr"/>
      <c r="H46" s="2" t="inlineStr">
        <is>
          <t>GALLERY</t>
        </is>
      </c>
      <c r="I46" s="2" t="inlineStr">
        <is>
          <t>DIRECT_IMAGE_DOWNLOAD_AND_SOURCE_ROW_REVIEW</t>
        </is>
      </c>
      <c r="J46" s="2" t="inlineStr">
        <is>
          <t>2026-09-07T21:16:18+07:00</t>
        </is>
      </c>
      <c r="K46" s="2" t="inlineStr">
        <is>
          <t>Direct QA opened downloaded image 157_02; source SHA 8D09597E73431A5E22238FAE1CB6C0BA40213EF32F67B573638EE7DA810DF919. Submitted observation reviewed against gallery position.</t>
        </is>
      </c>
      <c r="L46" s="2" t="inlineStr">
        <is>
          <t>Secondary flat, close-up or bedroom mockup showing stained glass Tree of Life landscape quilt.</t>
        </is>
      </c>
      <c r="M46" s="2" t="inlineStr">
        <is>
          <t>UNKNOWN</t>
        </is>
      </c>
      <c r="N46" s="2" t="inlineStr">
        <is>
          <t>SET</t>
        </is>
      </c>
      <c r="O46" s="2" t="inlineStr">
        <is>
          <t>Secondary mockup or close-up of Stained Glass Tree of Life Landscape Quilt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/>
      <c r="Z46" s="2" t="inlineStr">
        <is>
          <t>D:\Shopify_Workspace\jeminise_seo\seo_runs\jeminise.com\20260906_234129\qa\20260907_210204\images\157_02.jpg; seo_runs\jeminise.com\20260906_234129\evidence\images\157_nature-tree-of-life-quilt-set-with-stained-glass-pattern-and-bedroom-2eedde5b65-2eedde5b65\image_02_47532082495687.jpg; seo_runs\jeminise.com\20260906_234129\evidence\contact_sheets\157_nature-tree-of-life-quilt-set-with-stained-glass-pattern-and-bedroom-2eedde5b65-2eedde5b65.jpg</t>
        </is>
      </c>
    </row>
    <row r="47" ht="66" customHeight="1">
      <c r="A47" s="3" t="inlineStr">
        <is>
          <t>jeminise.com+nature-tree-of-life-quilt-set-with-stained-glass-pattern-and-bedroom-2eedde5b65-2eedde5b65</t>
        </is>
      </c>
      <c r="B47" s="3" t="inlineStr">
        <is>
          <t>img_c7756f253931a101</t>
        </is>
      </c>
      <c r="C47" s="4" t="inlineStr">
        <is>
          <t>https://cdn.shopify.com/s/files/1/0792/5098/1063/files/e119e7d83c961b5ec27390d9ce5990d4b3b995f047f68bf20d0bca7cb65fa083.jpg?v=1785048200</t>
        </is>
      </c>
      <c r="D47" s="4" t="inlineStr">
        <is>
          <t>https://cdn.shopify.com/s/files/1/0792/5098/1063/files/e119e7d83c961b5ec27390d9ce5990d4b3b995f047f68bf20d0bca7cb65fa083.jpg?v=1785048200</t>
        </is>
      </c>
      <c r="E47" s="3" t="inlineStr">
        <is>
          <t>47532082528455</t>
        </is>
      </c>
      <c r="F47" s="3" t="inlineStr">
        <is>
          <t>47532082528455</t>
        </is>
      </c>
      <c r="G47" s="3" t="inlineStr"/>
      <c r="H47" s="3" t="inlineStr">
        <is>
          <t>GALLERY</t>
        </is>
      </c>
      <c r="I47" s="3" t="inlineStr">
        <is>
          <t>DIRECT_IMAGE_DOWNLOAD_AND_SOURCE_ROW_REVIEW</t>
        </is>
      </c>
      <c r="J47" s="3" t="inlineStr">
        <is>
          <t>2026-09-07T21:16:18+07:00</t>
        </is>
      </c>
      <c r="K47" s="3" t="inlineStr">
        <is>
          <t>Direct QA opened downloaded image 157_03; source SHA A69CFE4BDB94E192AC776C50A2A8FF4F1A8DF16CCB993ABEB46C473ECCB6C11B. Submitted observation reviewed against gallery position.</t>
        </is>
      </c>
      <c r="L47" s="3" t="inlineStr">
        <is>
          <t>Bedding type, feature, lifestyle or material image for stained glass Tree of Life landscape quilt.</t>
        </is>
      </c>
      <c r="M47" s="3" t="inlineStr">
        <is>
          <t>UNKNOWN</t>
        </is>
      </c>
      <c r="N47" s="3" t="inlineStr">
        <is>
          <t>SET</t>
        </is>
      </c>
      <c r="O47" s="3" t="inlineStr">
        <is>
          <t>Product pillow or lifestyle image for Stained Glass Tree of Life Landscape Quilt</t>
        </is>
      </c>
      <c r="P47" s="3" t="inlineStr">
        <is>
          <t>FULL</t>
        </is>
      </c>
      <c r="Q47" s="3" t="inlineStr">
        <is>
          <t>PARTIAL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ISSUE-0069</t>
        </is>
      </c>
      <c r="Z47" s="3" t="inlineStr">
        <is>
          <t>D:\Shopify_Workspace\jeminise_seo\seo_runs\jeminise.com\20260906_234129\qa\20260907_210204\images\157_03.jpg; seo_runs\jeminise.com\20260906_234129\evidence\images\157_nature-tree-of-life-quilt-set-with-stained-glass-pattern-and-bedroom-2eedde5b65-2eedde5b65\image_03_47532082528455.jpg; seo_runs\jeminise.com\20260906_234129\evidence\contact_sheets\157_nature-tree-of-life-quilt-set-with-stained-glass-pattern-and-bedroom-2eedde5b65-2eedde5b65.jpg</t>
        </is>
      </c>
    </row>
    <row r="48" ht="66" customHeight="1">
      <c r="A48" s="2" t="inlineStr">
        <is>
          <t>jeminise.com+nature-tree-of-life-quilt-set-with-stained-glass-pattern-and-bedroom-2eedde5b65-2eedde5b65</t>
        </is>
      </c>
      <c r="B48" s="2" t="inlineStr">
        <is>
          <t>img_b6bf5c605e74ac2b</t>
        </is>
      </c>
      <c r="C48" s="4" t="inlineStr">
        <is>
          <t>https://cdn.shopify.com/s/files/1/0792/5098/1063/files/8e7b8fcedcaadd855f15b9a79786ec41649be26555fe6ce411675624bf265349.jpg?v=1785048200</t>
        </is>
      </c>
      <c r="D48" s="4" t="inlineStr">
        <is>
          <t>https://cdn.shopify.com/s/files/1/0792/5098/1063/files/8e7b8fcedcaadd855f15b9a79786ec41649be26555fe6ce411675624bf265349.jpg?v=1785048200</t>
        </is>
      </c>
      <c r="E48" s="2" t="inlineStr">
        <is>
          <t>47532082561223</t>
        </is>
      </c>
      <c r="F48" s="2" t="inlineStr">
        <is>
          <t>47532082561223</t>
        </is>
      </c>
      <c r="G48" s="2" t="inlineStr"/>
      <c r="H48" s="2" t="inlineStr">
        <is>
          <t>GALLERY</t>
        </is>
      </c>
      <c r="I48" s="2" t="inlineStr">
        <is>
          <t>DIRECT_IMAGE_DOWNLOAD_AND_SOURCE_ROW_REVIEW</t>
        </is>
      </c>
      <c r="J48" s="2" t="inlineStr">
        <is>
          <t>2026-09-07T21:16:18+07:00</t>
        </is>
      </c>
      <c r="K48" s="2" t="inlineStr">
        <is>
          <t>Direct QA opened downloaded image 157_04; source SHA 70FBAB5A58457DB2FB96217F9E7AE55005861744AEA4B7B3E32603C10231E683. Submitted observation reviewed against gallery position.</t>
        </is>
      </c>
      <c r="L48" s="2" t="inlineStr">
        <is>
          <t>Detail, feature panel or lifestyle image connected to stained glass Tree of Life landscape quilt.</t>
        </is>
      </c>
      <c r="M48" s="2" t="inlineStr">
        <is>
          <t>UNKNOWN</t>
        </is>
      </c>
      <c r="N48" s="2" t="inlineStr">
        <is>
          <t>SET</t>
        </is>
      </c>
      <c r="O48" s="2" t="inlineStr">
        <is>
          <t>Feature, fabric or lifestyle image for Stained Glass Tree of Life Landscape Quilt</t>
        </is>
      </c>
      <c r="P48" s="2" t="inlineStr">
        <is>
          <t>FULL</t>
        </is>
      </c>
      <c r="Q48" s="2" t="inlineStr">
        <is>
          <t>PARTIAL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ISSUE-0070</t>
        </is>
      </c>
      <c r="Z48" s="2" t="inlineStr">
        <is>
          <t>D:\Shopify_Workspace\jeminise_seo\seo_runs\jeminise.com\20260906_234129\qa\20260907_210204\images\157_04.jpg; seo_runs\jeminise.com\20260906_234129\evidence\images\157_nature-tree-of-life-quilt-set-with-stained-glass-pattern-and-bedroom-2eedde5b65-2eedde5b65\image_04_47532082561223.jpg; seo_runs\jeminise.com\20260906_234129\evidence\contact_sheets\157_nature-tree-of-life-quilt-set-with-stained-glass-pattern-and-bedroom-2eedde5b65-2eedde5b65.jpg</t>
        </is>
      </c>
    </row>
    <row r="49" ht="66" customHeight="1">
      <c r="A49" s="3" t="inlineStr">
        <is>
          <t>jeminise.com+nature-tree-of-life-quilt-set-with-stained-glass-pattern-and-bedroom-2eedde5b65-2eedde5b65</t>
        </is>
      </c>
      <c r="B49" s="3" t="inlineStr">
        <is>
          <t>img_2e98da90beb1f097</t>
        </is>
      </c>
      <c r="C49" s="4" t="inlineStr">
        <is>
          <t>https://cdn.shopify.com/s/files/1/0792/5098/1063/files/507709d9a6d000f791c9cf1d9144844201bfa266c26d05f19f5201b0d05bc6fe.jpg?v=1785048200</t>
        </is>
      </c>
      <c r="D49" s="4" t="inlineStr">
        <is>
          <t>https://cdn.shopify.com/s/files/1/0792/5098/1063/files/507709d9a6d000f791c9cf1d9144844201bfa266c26d05f19f5201b0d05bc6fe.jpg?v=1785048200</t>
        </is>
      </c>
      <c r="E49" s="3" t="inlineStr">
        <is>
          <t>47532082593991</t>
        </is>
      </c>
      <c r="F49" s="3" t="inlineStr">
        <is>
          <t>47532082593991</t>
        </is>
      </c>
      <c r="G49" s="3" t="inlineStr"/>
      <c r="H49" s="3" t="inlineStr">
        <is>
          <t>GALLERY</t>
        </is>
      </c>
      <c r="I49" s="3" t="inlineStr">
        <is>
          <t>DIRECT_IMAGE_DOWNLOAD_AND_SOURCE_ROW_REVIEW</t>
        </is>
      </c>
      <c r="J49" s="3" t="inlineStr">
        <is>
          <t>2026-09-07T21:16:18+07:00</t>
        </is>
      </c>
      <c r="K49" s="3" t="inlineStr">
        <is>
          <t>Direct QA opened downloaded image 157_05; source SHA 7EA580944ED2CFF48DBA314267E4FBB98C60C796EFA030EE7A435267B3DF702D. Submitted observation reviewed against gallery position.</t>
        </is>
      </c>
      <c r="L49" s="3" t="inlineStr">
        <is>
          <t>Additional mockup, care or size information for stained glass Tree of Life landscape quilt.</t>
        </is>
      </c>
      <c r="M49" s="3" t="inlineStr">
        <is>
          <t>UNKNOWN</t>
        </is>
      </c>
      <c r="N49" s="3" t="inlineStr">
        <is>
          <t>SET</t>
        </is>
      </c>
      <c r="O49" s="3" t="inlineStr">
        <is>
          <t>Size, set contents or product feature image for Stained Glass Tree of Life Landscape Quilt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/>
      <c r="Z49" s="3" t="inlineStr">
        <is>
          <t>D:\Shopify_Workspace\jeminise_seo\seo_runs\jeminise.com\20260906_234129\qa\20260907_210204\images\157_05.jpg; seo_runs\jeminise.com\20260906_234129\evidence\images\157_nature-tree-of-life-quilt-set-with-stained-glass-pattern-and-bedroom-2eedde5b65-2eedde5b65\image_05_47532082593991.jpg; seo_runs\jeminise.com\20260906_234129\evidence\contact_sheets\157_nature-tree-of-life-quilt-set-with-stained-glass-pattern-and-bedroom-2eedde5b65-2eedde5b65.jpg</t>
        </is>
      </c>
    </row>
    <row r="50" ht="66" customHeight="1">
      <c r="A50" s="2" t="inlineStr">
        <is>
          <t>jeminise.com+nature-tree-of-life-quilt-set-with-stained-glass-pattern-and-bedroom-2eedde5b65-2eedde5b65</t>
        </is>
      </c>
      <c r="B50" s="2" t="inlineStr">
        <is>
          <t>img_393430fe0fe25bea</t>
        </is>
      </c>
      <c r="C50" s="4" t="inlineStr">
        <is>
          <t>https://cdn.shopify.com/s/files/1/0792/5098/1063/files/817b647d03c93e3e6fb1dd0934966a4985f303729ce84cdbd16ee88ce56bef78.jpg?v=1785048200</t>
        </is>
      </c>
      <c r="D50" s="4" t="inlineStr">
        <is>
          <t>https://cdn.shopify.com/s/files/1/0792/5098/1063/files/817b647d03c93e3e6fb1dd0934966a4985f303729ce84cdbd16ee88ce56bef78.jpg?v=1785048200</t>
        </is>
      </c>
      <c r="E50" s="2" t="inlineStr">
        <is>
          <t>47532082626759</t>
        </is>
      </c>
      <c r="F50" s="2" t="inlineStr">
        <is>
          <t>47532082626759</t>
        </is>
      </c>
      <c r="G50" s="2" t="inlineStr"/>
      <c r="H50" s="2" t="inlineStr">
        <is>
          <t>GALLERY</t>
        </is>
      </c>
      <c r="I50" s="2" t="inlineStr">
        <is>
          <t>DIRECT_IMAGE_DOWNLOAD_AND_SOURCE_ROW_REVIEW</t>
        </is>
      </c>
      <c r="J50" s="2" t="inlineStr">
        <is>
          <t>2026-09-07T21:16:18+07:00</t>
        </is>
      </c>
      <c r="K50" s="2" t="inlineStr">
        <is>
          <t>Direct QA opened downloaded image 157_06; source SHA 326CADC5DED499F2C33CDB5957E7951EC891795B3787A1ADD37A5060BBF62D97. Submitted observation reviewed against gallery position.</t>
        </is>
      </c>
      <c r="L50" s="2" t="inlineStr">
        <is>
          <t>Easy-care, size guide or product feature image for stained glass Tree of Life landscape quilt.</t>
        </is>
      </c>
      <c r="M50" s="2" t="inlineStr">
        <is>
          <t>UNKNOWN</t>
        </is>
      </c>
      <c r="N50" s="2" t="inlineStr">
        <is>
          <t>SET</t>
        </is>
      </c>
      <c r="O50" s="2" t="inlineStr">
        <is>
          <t>Care, size or product feature image for Stained Glass Tree of Life Landscape Quilt</t>
        </is>
      </c>
      <c r="P50" s="2" t="inlineStr">
        <is>
          <t>FULL</t>
        </is>
      </c>
      <c r="Q50" s="2" t="inlineStr">
        <is>
          <t>PARTIAL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ISSUE-0071</t>
        </is>
      </c>
      <c r="Z50" s="2" t="inlineStr">
        <is>
          <t>D:\Shopify_Workspace\jeminise_seo\seo_runs\jeminise.com\20260906_234129\qa\20260907_210204\images\157_06.jpg; seo_runs\jeminise.com\20260906_234129\evidence\images\157_nature-tree-of-life-quilt-set-with-stained-glass-pattern-and-bedroom-2eedde5b65-2eedde5b65\image_06_47532082626759.jpg; seo_runs\jeminise.com\20260906_234129\evidence\contact_sheets\157_nature-tree-of-life-quilt-set-with-stained-glass-pattern-and-bedroom-2eedde5b65-2eedde5b65.jpg</t>
        </is>
      </c>
    </row>
    <row r="51" ht="66" customHeight="1">
      <c r="A51" s="3" t="inlineStr">
        <is>
          <t>jeminise.com+nature-tree-of-life-quilt-set-with-stained-glass-pattern-and-bedroom-2eedde5b65-2eedde5b65</t>
        </is>
      </c>
      <c r="B51" s="3" t="inlineStr">
        <is>
          <t>img_e98a341c508d730f</t>
        </is>
      </c>
      <c r="C51" s="4" t="inlineStr">
        <is>
          <t>https://cdn.shopify.com/s/files/1/0792/5098/1063/files/f3ed1109477d53115fa4621f093e5714a932ab7c571fc4bbe5f7edb2915a0e7f.jpg?v=1785048200</t>
        </is>
      </c>
      <c r="D51" s="4" t="inlineStr">
        <is>
          <t>https://cdn.shopify.com/s/files/1/0792/5098/1063/files/f3ed1109477d53115fa4621f093e5714a932ab7c571fc4bbe5f7edb2915a0e7f.jpg?v=1785048200</t>
        </is>
      </c>
      <c r="E51" s="3" t="inlineStr">
        <is>
          <t>47532082659527</t>
        </is>
      </c>
      <c r="F51" s="3" t="inlineStr">
        <is>
          <t>47532082659527</t>
        </is>
      </c>
      <c r="G51" s="3" t="inlineStr"/>
      <c r="H51" s="3" t="inlineStr">
        <is>
          <t>GALLERY</t>
        </is>
      </c>
      <c r="I51" s="3" t="inlineStr">
        <is>
          <t>DIRECT_IMAGE_DOWNLOAD_AND_SOURCE_ROW_REVIEW</t>
        </is>
      </c>
      <c r="J51" s="3" t="inlineStr">
        <is>
          <t>2026-09-07T21:16:18+07:00</t>
        </is>
      </c>
      <c r="K51" s="3" t="inlineStr">
        <is>
          <t>Direct QA opened downloaded image 157_07; source SHA C9D68580241A7BA52D4A0F61E3E6221D064FE9A9606734A5FC630E20456C6D91. Submitted observation reviewed against gallery position.</t>
        </is>
      </c>
      <c r="L51" s="3" t="inlineStr">
        <is>
          <t>Additional lifestyle, feature or product detail image showing stained glass Tree of Life landscape quilt.</t>
        </is>
      </c>
      <c r="M51" s="3" t="inlineStr">
        <is>
          <t>UNKNOWN</t>
        </is>
      </c>
      <c r="N51" s="3" t="inlineStr">
        <is>
          <t>SET</t>
        </is>
      </c>
      <c r="O51" s="3" t="inlineStr">
        <is>
          <t>Additional product mockup of Stained Glass Tree of Life Landscape Quilt</t>
        </is>
      </c>
      <c r="P51" s="3" t="inlineStr">
        <is>
          <t>FULL</t>
        </is>
      </c>
      <c r="Q51" s="3" t="inlineStr">
        <is>
          <t>PARTIAL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ISSUE-0072</t>
        </is>
      </c>
      <c r="Z51" s="3" t="inlineStr">
        <is>
          <t>D:\Shopify_Workspace\jeminise_seo\seo_runs\jeminise.com\20260906_234129\qa\20260907_210204\images\157_07.jpg; seo_runs\jeminise.com\20260906_234129\evidence\images\157_nature-tree-of-life-quilt-set-with-stained-glass-pattern-and-bedroom-2eedde5b65-2eedde5b65\image_07_47532082659527.jpg; seo_runs\jeminise.com\20260906_234129\evidence\contact_sheets\157_nature-tree-of-life-quilt-set-with-stained-glass-pattern-and-bedroom-2eedde5b65-2eedde5b65.jpg</t>
        </is>
      </c>
    </row>
    <row r="52" ht="66" customHeight="1">
      <c r="A52" s="2" t="inlineStr">
        <is>
          <t>jeminise.com+norse-mythology-mjolnir-with-skull-within-circular-celtic-quilt-621115581a-621115581a</t>
        </is>
      </c>
      <c r="B52" s="2" t="inlineStr">
        <is>
          <t>img_0c411e5f9179db84</t>
        </is>
      </c>
      <c r="C52" s="4" t="inlineStr">
        <is>
          <t>https://cdn.shopify.com/s/files/1/0792/5098/1063/files/b1b911d16262f2f4d5f58d82a3bc311cb733430b228184a2d50827d04d25ba3a.jpg?v=1785104315</t>
        </is>
      </c>
      <c r="D52" s="4" t="inlineStr">
        <is>
          <t>https://cdn.shopify.com/s/files/1/0792/5098/1063/files/b1b911d16262f2f4d5f58d82a3bc311cb733430b228184a2d50827d04d25ba3a.jpg?v=1785104315</t>
        </is>
      </c>
      <c r="E52" s="2" t="inlineStr">
        <is>
          <t>47540513964231</t>
        </is>
      </c>
      <c r="F52" s="2" t="inlineStr">
        <is>
          <t>47540513964231</t>
        </is>
      </c>
      <c r="G52" s="2" t="inlineStr"/>
      <c r="H52" s="2" t="inlineStr">
        <is>
          <t>GALLERY</t>
        </is>
      </c>
      <c r="I52" s="2" t="inlineStr">
        <is>
          <t>DIRECT_IMAGE_DOWNLOAD_AND_SOURCE_ROW_REVIEW</t>
        </is>
      </c>
      <c r="J52" s="2" t="inlineStr">
        <is>
          <t>2026-09-07T21:16:18+07:00</t>
        </is>
      </c>
      <c r="K52" s="2" t="inlineStr">
        <is>
          <t>Direct QA opened downloaded image 158_01; source SHA 08D2419C59606FA82052C6422BCBBA9E0FDB74331BD22A4E5E5408542E753547. Submitted observation reviewed against gallery position.</t>
        </is>
      </c>
      <c r="L52" s="2" t="inlineStr">
        <is>
          <t>Main product mockup showing Norse Mjolnir skull Celtic quilt.</t>
        </is>
      </c>
      <c r="M52" s="2" t="inlineStr">
        <is>
          <t>UNKNOWN</t>
        </is>
      </c>
      <c r="N52" s="2" t="inlineStr">
        <is>
          <t>SET</t>
        </is>
      </c>
      <c r="O52" s="2" t="inlineStr">
        <is>
          <t>Norse Mjolnir Skull Celtic Quilt displayed in a main product mockup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PARTIAL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ISSUE-0078</t>
        </is>
      </c>
      <c r="Z52" s="2" t="inlineStr">
        <is>
          <t>D:\Shopify_Workspace\jeminise_seo\seo_runs\jeminise.com\20260906_234129\qa\20260907_210204\images\158_01.jpg; seo_runs\jeminise.com\20260906_234129\evidence\images\158_norse-mythology-mjolnir-with-skull-within-circular-celtic-quilt-621115581a-621115581a\image_01_47540513964231.jpg; seo_runs\jeminise.com\20260906_234129\evidence\contact_sheets\158_norse-mythology-mjolnir-with-skull-within-circular-celtic-quilt-621115581a-621115581a.jpg</t>
        </is>
      </c>
    </row>
    <row r="53" ht="66" customHeight="1">
      <c r="A53" s="3" t="inlineStr">
        <is>
          <t>jeminise.com+norse-mythology-mjolnir-with-skull-within-circular-celtic-quilt-621115581a-621115581a</t>
        </is>
      </c>
      <c r="B53" s="3" t="inlineStr">
        <is>
          <t>img_9ff8212c3320c71d</t>
        </is>
      </c>
      <c r="C53" s="4" t="inlineStr">
        <is>
          <t>https://cdn.shopify.com/s/files/1/0792/5098/1063/files/aea493d326881f985c274017aa4d787fc3198c4a93005fd28a7b9175949842ae.jpg?v=1785104315</t>
        </is>
      </c>
      <c r="D53" s="4" t="inlineStr">
        <is>
          <t>https://cdn.shopify.com/s/files/1/0792/5098/1063/files/aea493d326881f985c274017aa4d787fc3198c4a93005fd28a7b9175949842ae.jpg?v=1785104315</t>
        </is>
      </c>
      <c r="E53" s="3" t="inlineStr">
        <is>
          <t>47540513996999</t>
        </is>
      </c>
      <c r="F53" s="3" t="inlineStr">
        <is>
          <t>47540513996999</t>
        </is>
      </c>
      <c r="G53" s="3" t="inlineStr"/>
      <c r="H53" s="3" t="inlineStr">
        <is>
          <t>GALLERY</t>
        </is>
      </c>
      <c r="I53" s="3" t="inlineStr">
        <is>
          <t>DIRECT_IMAGE_DOWNLOAD_AND_SOURCE_ROW_REVIEW</t>
        </is>
      </c>
      <c r="J53" s="3" t="inlineStr">
        <is>
          <t>2026-09-07T21:16:18+07:00</t>
        </is>
      </c>
      <c r="K53" s="3" t="inlineStr">
        <is>
          <t>Direct QA opened downloaded image 158_02; source SHA 7CF4FBE3679BDB7BA6C4FD02DDB38E81D94F40522A111D0364C1103B5C597E1F. Submitted observation reviewed against gallery position.</t>
        </is>
      </c>
      <c r="L53" s="3" t="inlineStr">
        <is>
          <t>Secondary flat, close-up or bedroom mockup showing Norse Mjolnir skull Celtic quilt.</t>
        </is>
      </c>
      <c r="M53" s="3" t="inlineStr">
        <is>
          <t>UNKNOWN</t>
        </is>
      </c>
      <c r="N53" s="3" t="inlineStr">
        <is>
          <t>SET</t>
        </is>
      </c>
      <c r="O53" s="3" t="inlineStr">
        <is>
          <t>Secondary mockup or close-up of Norse Mjolnir Skull Celtic Quilt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/>
      <c r="Z53" s="3" t="inlineStr">
        <is>
          <t>D:\Shopify_Workspace\jeminise_seo\seo_runs\jeminise.com\20260906_234129\qa\20260907_210204\images\158_02.jpg; seo_runs\jeminise.com\20260906_234129\evidence\images\158_norse-mythology-mjolnir-with-skull-within-circular-celtic-quilt-621115581a-621115581a\image_02_47540513996999.jpg; seo_runs\jeminise.com\20260906_234129\evidence\contact_sheets\158_norse-mythology-mjolnir-with-skull-within-circular-celtic-quilt-621115581a-621115581a.jpg</t>
        </is>
      </c>
    </row>
    <row r="54" ht="66" customHeight="1">
      <c r="A54" s="2" t="inlineStr">
        <is>
          <t>jeminise.com+norse-mythology-mjolnir-with-skull-within-circular-celtic-quilt-621115581a-621115581a</t>
        </is>
      </c>
      <c r="B54" s="2" t="inlineStr">
        <is>
          <t>img_006257e028ed5b81</t>
        </is>
      </c>
      <c r="C54" s="4" t="inlineStr">
        <is>
          <t>https://cdn.shopify.com/s/files/1/0792/5098/1063/files/74ac6bf2213987fad5a0622aeaeb5f00250e26bca0416df3156033f7e217d942.jpg?v=1785104315</t>
        </is>
      </c>
      <c r="D54" s="4" t="inlineStr">
        <is>
          <t>https://cdn.shopify.com/s/files/1/0792/5098/1063/files/74ac6bf2213987fad5a0622aeaeb5f00250e26bca0416df3156033f7e217d942.jpg?v=1785104315</t>
        </is>
      </c>
      <c r="E54" s="2" t="inlineStr">
        <is>
          <t>47540514029767</t>
        </is>
      </c>
      <c r="F54" s="2" t="inlineStr">
        <is>
          <t>47540514029767</t>
        </is>
      </c>
      <c r="G54" s="2" t="inlineStr"/>
      <c r="H54" s="2" t="inlineStr">
        <is>
          <t>GALLERY</t>
        </is>
      </c>
      <c r="I54" s="2" t="inlineStr">
        <is>
          <t>DIRECT_IMAGE_DOWNLOAD_AND_SOURCE_ROW_REVIEW</t>
        </is>
      </c>
      <c r="J54" s="2" t="inlineStr">
        <is>
          <t>2026-09-07T21:16:18+07:00</t>
        </is>
      </c>
      <c r="K54" s="2" t="inlineStr">
        <is>
          <t>Direct QA opened downloaded image 158_03; source SHA 774D7D397AF2F73583C0E99452D1D59D78916679E605FA45C9E9E29CB9F43306. Submitted observation reviewed against gallery position.</t>
        </is>
      </c>
      <c r="L54" s="2" t="inlineStr">
        <is>
          <t>Bedding type, feature, lifestyle or material image for Norse Mjolnir skull Celtic quilt.</t>
        </is>
      </c>
      <c r="M54" s="2" t="inlineStr">
        <is>
          <t>UNKNOWN</t>
        </is>
      </c>
      <c r="N54" s="2" t="inlineStr">
        <is>
          <t>SET</t>
        </is>
      </c>
      <c r="O54" s="2" t="inlineStr">
        <is>
          <t>Product pillow or lifestyle image for Norse Mjolnir Skull Celtic Quilt</t>
        </is>
      </c>
      <c r="P54" s="2" t="inlineStr">
        <is>
          <t>FULL</t>
        </is>
      </c>
      <c r="Q54" s="2" t="inlineStr">
        <is>
          <t>PARTIAL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ISSUE-0079</t>
        </is>
      </c>
      <c r="Z54" s="2" t="inlineStr">
        <is>
          <t>D:\Shopify_Workspace\jeminise_seo\seo_runs\jeminise.com\20260906_234129\qa\20260907_210204\images\158_03.jpg; seo_runs\jeminise.com\20260906_234129\evidence\images\158_norse-mythology-mjolnir-with-skull-within-circular-celtic-quilt-621115581a-621115581a\image_03_47540514029767.jpg; seo_runs\jeminise.com\20260906_234129\evidence\contact_sheets\158_norse-mythology-mjolnir-with-skull-within-circular-celtic-quilt-621115581a-621115581a.jpg</t>
        </is>
      </c>
    </row>
    <row r="55" ht="66" customHeight="1">
      <c r="A55" s="3" t="inlineStr">
        <is>
          <t>jeminise.com+norse-mythology-mjolnir-with-skull-within-circular-celtic-quilt-621115581a-621115581a</t>
        </is>
      </c>
      <c r="B55" s="3" t="inlineStr">
        <is>
          <t>img_1900fca8f1ab9085</t>
        </is>
      </c>
      <c r="C55" s="4" t="inlineStr">
        <is>
          <t>https://cdn.shopify.com/s/files/1/0792/5098/1063/files/3c6827f62e2c660e81b5acc82ed0d45027ddc6ecc476c1cde6c158d592d04286.jpg?v=1785104315</t>
        </is>
      </c>
      <c r="D55" s="4" t="inlineStr">
        <is>
          <t>https://cdn.shopify.com/s/files/1/0792/5098/1063/files/3c6827f62e2c660e81b5acc82ed0d45027ddc6ecc476c1cde6c158d592d04286.jpg?v=1785104315</t>
        </is>
      </c>
      <c r="E55" s="3" t="inlineStr">
        <is>
          <t>47540514062535</t>
        </is>
      </c>
      <c r="F55" s="3" t="inlineStr">
        <is>
          <t>47540514062535</t>
        </is>
      </c>
      <c r="G55" s="3" t="inlineStr"/>
      <c r="H55" s="3" t="inlineStr">
        <is>
          <t>GALLERY</t>
        </is>
      </c>
      <c r="I55" s="3" t="inlineStr">
        <is>
          <t>DIRECT_IMAGE_DOWNLOAD_AND_SOURCE_ROW_REVIEW</t>
        </is>
      </c>
      <c r="J55" s="3" t="inlineStr">
        <is>
          <t>2026-09-07T21:16:18+07:00</t>
        </is>
      </c>
      <c r="K55" s="3" t="inlineStr">
        <is>
          <t>Direct QA opened downloaded image 158_04; source SHA 6782D070FEEA3ED4DA86DE84EB23B0BF684E8094AFF431E95E5C0175247EA840. Submitted observation reviewed against gallery position.</t>
        </is>
      </c>
      <c r="L55" s="3" t="inlineStr">
        <is>
          <t>Detail, feature panel or lifestyle image connected to Norse Mjolnir skull Celtic quilt.</t>
        </is>
      </c>
      <c r="M55" s="3" t="inlineStr">
        <is>
          <t>UNKNOWN</t>
        </is>
      </c>
      <c r="N55" s="3" t="inlineStr">
        <is>
          <t>SET</t>
        </is>
      </c>
      <c r="O55" s="3" t="inlineStr">
        <is>
          <t>Feature, fabric or lifestyle image for Norse Mjolnir Skull Celtic Quilt</t>
        </is>
      </c>
      <c r="P55" s="3" t="inlineStr">
        <is>
          <t>FULL</t>
        </is>
      </c>
      <c r="Q55" s="3" t="inlineStr">
        <is>
          <t>PARTIAL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ISSUE-0080</t>
        </is>
      </c>
      <c r="Z55" s="3" t="inlineStr">
        <is>
          <t>D:\Shopify_Workspace\jeminise_seo\seo_runs\jeminise.com\20260906_234129\qa\20260907_210204\images\158_04.jpg; seo_runs\jeminise.com\20260906_234129\evidence\images\158_norse-mythology-mjolnir-with-skull-within-circular-celtic-quilt-621115581a-621115581a\image_04_47540514062535.jpg; seo_runs\jeminise.com\20260906_234129\evidence\contact_sheets\158_norse-mythology-mjolnir-with-skull-within-circular-celtic-quilt-621115581a-621115581a.jpg</t>
        </is>
      </c>
    </row>
    <row r="56" ht="66" customHeight="1">
      <c r="A56" s="2" t="inlineStr">
        <is>
          <t>jeminise.com+norse-mythology-mjolnir-with-skull-within-circular-celtic-quilt-621115581a-621115581a</t>
        </is>
      </c>
      <c r="B56" s="2" t="inlineStr">
        <is>
          <t>img_5c515e3275d73fcd</t>
        </is>
      </c>
      <c r="C56" s="4" t="inlineStr">
        <is>
          <t>https://cdn.shopify.com/s/files/1/0792/5098/1063/files/846cdde0cd682d67c72c79089309b9e5a8cb14e718ba954a1cf478bbe0e7d820.jpg?v=1785104315</t>
        </is>
      </c>
      <c r="D56" s="4" t="inlineStr">
        <is>
          <t>https://cdn.shopify.com/s/files/1/0792/5098/1063/files/846cdde0cd682d67c72c79089309b9e5a8cb14e718ba954a1cf478bbe0e7d820.jpg?v=1785104315</t>
        </is>
      </c>
      <c r="E56" s="2" t="inlineStr">
        <is>
          <t>47540514095303</t>
        </is>
      </c>
      <c r="F56" s="2" t="inlineStr">
        <is>
          <t>47540514095303</t>
        </is>
      </c>
      <c r="G56" s="2" t="inlineStr"/>
      <c r="H56" s="2" t="inlineStr">
        <is>
          <t>GALLERY</t>
        </is>
      </c>
      <c r="I56" s="2" t="inlineStr">
        <is>
          <t>DIRECT_IMAGE_DOWNLOAD_AND_SOURCE_ROW_REVIEW</t>
        </is>
      </c>
      <c r="J56" s="2" t="inlineStr">
        <is>
          <t>2026-09-07T21:16:18+07:00</t>
        </is>
      </c>
      <c r="K56" s="2" t="inlineStr">
        <is>
          <t>Direct QA opened downloaded image 158_05; source SHA EA1AB62440705ED38A6E64084C9B0C6011DC625FCD7607D1617C7F8ACE06416C. Submitted observation reviewed against gallery position.</t>
        </is>
      </c>
      <c r="L56" s="2" t="inlineStr">
        <is>
          <t>Additional mockup, care or size information for Norse Mjolnir skull Celtic quilt.</t>
        </is>
      </c>
      <c r="M56" s="2" t="inlineStr">
        <is>
          <t>UNKNOWN</t>
        </is>
      </c>
      <c r="N56" s="2" t="inlineStr">
        <is>
          <t>SET</t>
        </is>
      </c>
      <c r="O56" s="2" t="inlineStr">
        <is>
          <t>Size, set contents or product feature image for Norse Mjolnir Skull Celtic Quilt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/>
      <c r="Z56" s="2" t="inlineStr">
        <is>
          <t>D:\Shopify_Workspace\jeminise_seo\seo_runs\jeminise.com\20260906_234129\qa\20260907_210204\images\158_05.jpg; seo_runs\jeminise.com\20260906_234129\evidence\images\158_norse-mythology-mjolnir-with-skull-within-circular-celtic-quilt-621115581a-621115581a\image_05_47540514095303.jpg; seo_runs\jeminise.com\20260906_234129\evidence\contact_sheets\158_norse-mythology-mjolnir-with-skull-within-circular-celtic-quilt-621115581a-621115581a.jpg</t>
        </is>
      </c>
    </row>
    <row r="57" ht="66" customHeight="1">
      <c r="A57" s="3" t="inlineStr">
        <is>
          <t>jeminise.com+norse-mythology-mjolnir-with-skull-within-circular-celtic-quilt-621115581a-621115581a</t>
        </is>
      </c>
      <c r="B57" s="3" t="inlineStr">
        <is>
          <t>img_2fe56ed012b7f493</t>
        </is>
      </c>
      <c r="C57" s="4" t="inlineStr">
        <is>
          <t>https://cdn.shopify.com/s/files/1/0792/5098/1063/files/1fda4ea1711255273f5050831509d211b732efb347d49064029e532e390d5295.jpg?v=1785104315</t>
        </is>
      </c>
      <c r="D57" s="4" t="inlineStr">
        <is>
          <t>https://cdn.shopify.com/s/files/1/0792/5098/1063/files/1fda4ea1711255273f5050831509d211b732efb347d49064029e532e390d5295.jpg?v=1785104315</t>
        </is>
      </c>
      <c r="E57" s="3" t="inlineStr">
        <is>
          <t>47540514128071</t>
        </is>
      </c>
      <c r="F57" s="3" t="inlineStr">
        <is>
          <t>47540514128071</t>
        </is>
      </c>
      <c r="G57" s="3" t="inlineStr"/>
      <c r="H57" s="3" t="inlineStr">
        <is>
          <t>GALLERY</t>
        </is>
      </c>
      <c r="I57" s="3" t="inlineStr">
        <is>
          <t>DIRECT_IMAGE_DOWNLOAD_AND_SOURCE_ROW_REVIEW</t>
        </is>
      </c>
      <c r="J57" s="3" t="inlineStr">
        <is>
          <t>2026-09-07T21:16:18+07:00</t>
        </is>
      </c>
      <c r="K57" s="3" t="inlineStr">
        <is>
          <t>Direct QA opened downloaded image 158_06; source SHA DE27F6EE2463A8996318ACDD688275537AEE5952397CAC118D5E1DD559E43BA3. Submitted observation reviewed against gallery position.</t>
        </is>
      </c>
      <c r="L57" s="3" t="inlineStr">
        <is>
          <t>Easy-care, size guide or product feature image for Norse Mjolnir skull Celtic quilt.</t>
        </is>
      </c>
      <c r="M57" s="3" t="inlineStr">
        <is>
          <t>UNKNOWN</t>
        </is>
      </c>
      <c r="N57" s="3" t="inlineStr">
        <is>
          <t>SET</t>
        </is>
      </c>
      <c r="O57" s="3" t="inlineStr">
        <is>
          <t>Care, size or product feature image for Norse Mjolnir Skull Celtic Quilt</t>
        </is>
      </c>
      <c r="P57" s="3" t="inlineStr">
        <is>
          <t>FULL</t>
        </is>
      </c>
      <c r="Q57" s="3" t="inlineStr">
        <is>
          <t>PARTIAL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ISSUE-0081</t>
        </is>
      </c>
      <c r="Z57" s="3" t="inlineStr">
        <is>
          <t>D:\Shopify_Workspace\jeminise_seo\seo_runs\jeminise.com\20260906_234129\qa\20260907_210204\images\158_06.jpg; seo_runs\jeminise.com\20260906_234129\evidence\images\158_norse-mythology-mjolnir-with-skull-within-circular-celtic-quilt-621115581a-621115581a\image_06_47540514128071.jpg; seo_runs\jeminise.com\20260906_234129\evidence\contact_sheets\158_norse-mythology-mjolnir-with-skull-within-circular-celtic-quilt-621115581a-621115581a.jpg</t>
        </is>
      </c>
    </row>
    <row r="58" ht="66" customHeight="1">
      <c r="A58" s="2" t="inlineStr">
        <is>
          <t>jeminise.com+norse-mythology-mjolnir-with-skull-within-circular-celtic-quilt-621115581a-621115581a</t>
        </is>
      </c>
      <c r="B58" s="2" t="inlineStr">
        <is>
          <t>img_146ddc06d2c59fff</t>
        </is>
      </c>
      <c r="C58" s="4" t="inlineStr">
        <is>
          <t>https://cdn.shopify.com/s/files/1/0792/5098/1063/files/6988ae810d8150eb879a48887a436eab71c4b59aed7552da487422013996d01c.jpg?v=1785104315</t>
        </is>
      </c>
      <c r="D58" s="4" t="inlineStr">
        <is>
          <t>https://cdn.shopify.com/s/files/1/0792/5098/1063/files/6988ae810d8150eb879a48887a436eab71c4b59aed7552da487422013996d01c.jpg?v=1785104315</t>
        </is>
      </c>
      <c r="E58" s="2" t="inlineStr">
        <is>
          <t>47540514160839</t>
        </is>
      </c>
      <c r="F58" s="2" t="inlineStr">
        <is>
          <t>47540514160839</t>
        </is>
      </c>
      <c r="G58" s="2" t="inlineStr"/>
      <c r="H58" s="2" t="inlineStr">
        <is>
          <t>GALLERY</t>
        </is>
      </c>
      <c r="I58" s="2" t="inlineStr">
        <is>
          <t>DIRECT_IMAGE_DOWNLOAD_AND_SOURCE_ROW_REVIEW</t>
        </is>
      </c>
      <c r="J58" s="2" t="inlineStr">
        <is>
          <t>2026-09-07T21:16:18+07:00</t>
        </is>
      </c>
      <c r="K58" s="2" t="inlineStr">
        <is>
          <t>Direct QA opened downloaded image 158_07; source SHA 6B11201F5F47EF5D661925DC647C8D44E9D1754128FDB9121ABABEEA04CC4E29. Submitted observation reviewed against gallery position.</t>
        </is>
      </c>
      <c r="L58" s="2" t="inlineStr">
        <is>
          <t>Additional lifestyle, feature or product detail image showing Norse Mjolnir skull Celtic quilt.</t>
        </is>
      </c>
      <c r="M58" s="2" t="inlineStr">
        <is>
          <t>UNKNOWN</t>
        </is>
      </c>
      <c r="N58" s="2" t="inlineStr">
        <is>
          <t>SET</t>
        </is>
      </c>
      <c r="O58" s="2" t="inlineStr">
        <is>
          <t>Additional product mockup of Norse Mjolnir Skull Celtic Quilt</t>
        </is>
      </c>
      <c r="P58" s="2" t="inlineStr">
        <is>
          <t>FULL</t>
        </is>
      </c>
      <c r="Q58" s="2" t="inlineStr">
        <is>
          <t>PARTIAL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ISSUE-0082</t>
        </is>
      </c>
      <c r="Z58" s="2" t="inlineStr">
        <is>
          <t>D:\Shopify_Workspace\jeminise_seo\seo_runs\jeminise.com\20260906_234129\qa\20260907_210204\images\158_07.jpg; seo_runs\jeminise.com\20260906_234129\evidence\images\158_norse-mythology-mjolnir-with-skull-within-circular-celtic-quilt-621115581a-621115581a\image_07_47540514160839.jpg; seo_runs\jeminise.com\20260906_234129\evidence\contact_sheets\158_norse-mythology-mjolnir-with-skull-within-circular-celtic-quilt-621115581a-621115581a.jpg</t>
        </is>
      </c>
    </row>
    <row r="59" ht="66" customHeight="1">
      <c r="A59" s="3" t="inlineStr">
        <is>
          <t>jeminise.com+norse-mythology-quilt-with-ravens-b8220cc38c-b8220cc38c</t>
        </is>
      </c>
      <c r="B59" s="3" t="inlineStr">
        <is>
          <t>img_f85969ce6923ac5f</t>
        </is>
      </c>
      <c r="C59" s="4" t="inlineStr">
        <is>
          <t>https://cdn.shopify.com/s/files/1/0792/5098/1063/files/3f718bdd4d315ac875d9f66959aa006f075499da406f0e6f240382c391d54699.jpg?v=1785104490</t>
        </is>
      </c>
      <c r="D59" s="4" t="inlineStr">
        <is>
          <t>https://cdn.shopify.com/s/files/1/0792/5098/1063/files/3f718bdd4d315ac875d9f66959aa006f075499da406f0e6f240382c391d54699.jpg?v=1785104490</t>
        </is>
      </c>
      <c r="E59" s="3" t="inlineStr">
        <is>
          <t>47540530610375</t>
        </is>
      </c>
      <c r="F59" s="3" t="inlineStr">
        <is>
          <t>47540530610375</t>
        </is>
      </c>
      <c r="G59" s="3" t="inlineStr"/>
      <c r="H59" s="3" t="inlineStr">
        <is>
          <t>GALLERY</t>
        </is>
      </c>
      <c r="I59" s="3" t="inlineStr">
        <is>
          <t>DIRECT_IMAGE_DOWNLOAD_AND_SOURCE_ROW_REVIEW</t>
        </is>
      </c>
      <c r="J59" s="3" t="inlineStr">
        <is>
          <t>2026-09-07T21:16:18+07:00</t>
        </is>
      </c>
      <c r="K59" s="3" t="inlineStr">
        <is>
          <t>Direct QA opened downloaded image 159_01; source SHA F5AC97B9ABAE4102E462F22A5B078F8E857FBB1BD964BCD1FC795F45FEC76F8A. Submitted observation reviewed against gallery position.</t>
        </is>
      </c>
      <c r="L59" s="3" t="inlineStr">
        <is>
          <t>Main product mockup showing Norse raven runic symbol quilt.</t>
        </is>
      </c>
      <c r="M59" s="3" t="inlineStr">
        <is>
          <t>UNKNOWN</t>
        </is>
      </c>
      <c r="N59" s="3" t="inlineStr">
        <is>
          <t>SET</t>
        </is>
      </c>
      <c r="O59" s="3" t="inlineStr">
        <is>
          <t>Norse Raven Runic Symbol Quilt displayed in a main product mockup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PARTIAL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ISSUE-0088</t>
        </is>
      </c>
      <c r="Z59" s="3" t="inlineStr">
        <is>
          <t>D:\Shopify_Workspace\jeminise_seo\seo_runs\jeminise.com\20260906_234129\qa\20260907_210204\images\159_01.jpg; seo_runs\jeminise.com\20260906_234129\evidence\images\159_norse-mythology-quilt-with-ravens-b8220cc38c-b8220cc38c\image_01_47540530610375.jpg; seo_runs\jeminise.com\20260906_234129\evidence\contact_sheets\159_norse-mythology-quilt-with-ravens-b8220cc38c-b8220cc38c.jpg</t>
        </is>
      </c>
    </row>
    <row r="60" ht="66" customHeight="1">
      <c r="A60" s="2" t="inlineStr">
        <is>
          <t>jeminise.com+norse-mythology-quilt-with-ravens-b8220cc38c-b8220cc38c</t>
        </is>
      </c>
      <c r="B60" s="2" t="inlineStr">
        <is>
          <t>img_9c2dfcab4ced90c1</t>
        </is>
      </c>
      <c r="C60" s="4" t="inlineStr">
        <is>
          <t>https://cdn.shopify.com/s/files/1/0792/5098/1063/files/ae079ad3e528091618f9ffa2be05f4128d7bcea3a37a72754d1d4ada8566ba41.jpg?v=1785104489</t>
        </is>
      </c>
      <c r="D60" s="4" t="inlineStr">
        <is>
          <t>https://cdn.shopify.com/s/files/1/0792/5098/1063/files/ae079ad3e528091618f9ffa2be05f4128d7bcea3a37a72754d1d4ada8566ba41.jpg?v=1785104489</t>
        </is>
      </c>
      <c r="E60" s="2" t="inlineStr">
        <is>
          <t>47540530643143</t>
        </is>
      </c>
      <c r="F60" s="2" t="inlineStr">
        <is>
          <t>47540530643143</t>
        </is>
      </c>
      <c r="G60" s="2" t="inlineStr"/>
      <c r="H60" s="2" t="inlineStr">
        <is>
          <t>GALLERY</t>
        </is>
      </c>
      <c r="I60" s="2" t="inlineStr">
        <is>
          <t>DIRECT_IMAGE_DOWNLOAD_AND_SOURCE_ROW_REVIEW</t>
        </is>
      </c>
      <c r="J60" s="2" t="inlineStr">
        <is>
          <t>2026-09-07T21:16:18+07:00</t>
        </is>
      </c>
      <c r="K60" s="2" t="inlineStr">
        <is>
          <t>Direct QA opened downloaded image 159_02; source SHA 4BE5B0F22C1C186CC6DF43E01E3DA9BE1DADFABAC5BE3ED901C4CF784D4BB7F5. Submitted observation reviewed against gallery position.</t>
        </is>
      </c>
      <c r="L60" s="2" t="inlineStr">
        <is>
          <t>Secondary flat, close-up or bedroom mockup showing Norse raven runic symbol quilt.</t>
        </is>
      </c>
      <c r="M60" s="2" t="inlineStr">
        <is>
          <t>UNKNOWN</t>
        </is>
      </c>
      <c r="N60" s="2" t="inlineStr">
        <is>
          <t>SET</t>
        </is>
      </c>
      <c r="O60" s="2" t="inlineStr">
        <is>
          <t>Secondary mockup or close-up of Norse Raven Runic Symbol Quilt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/>
      <c r="Z60" s="2" t="inlineStr">
        <is>
          <t>D:\Shopify_Workspace\jeminise_seo\seo_runs\jeminise.com\20260906_234129\qa\20260907_210204\images\159_02.jpg; seo_runs\jeminise.com\20260906_234129\evidence\images\159_norse-mythology-quilt-with-ravens-b8220cc38c-b8220cc38c\image_02_47540530643143.jpg; seo_runs\jeminise.com\20260906_234129\evidence\contact_sheets\159_norse-mythology-quilt-with-ravens-b8220cc38c-b8220cc38c.jpg</t>
        </is>
      </c>
    </row>
    <row r="61" ht="66" customHeight="1">
      <c r="A61" s="3" t="inlineStr">
        <is>
          <t>jeminise.com+norse-mythology-quilt-with-ravens-b8220cc38c-b8220cc38c</t>
        </is>
      </c>
      <c r="B61" s="3" t="inlineStr">
        <is>
          <t>img_5a11bba61fe332ac</t>
        </is>
      </c>
      <c r="C61" s="4" t="inlineStr">
        <is>
          <t>https://cdn.shopify.com/s/files/1/0792/5098/1063/files/f5c9b9fda7e835ec5bfddf2cec5fb9153b091b79c93395b7c3696750d1d33e3a.jpg?v=1785104490</t>
        </is>
      </c>
      <c r="D61" s="4" t="inlineStr">
        <is>
          <t>https://cdn.shopify.com/s/files/1/0792/5098/1063/files/f5c9b9fda7e835ec5bfddf2cec5fb9153b091b79c93395b7c3696750d1d33e3a.jpg?v=1785104490</t>
        </is>
      </c>
      <c r="E61" s="3" t="inlineStr">
        <is>
          <t>47540530675911</t>
        </is>
      </c>
      <c r="F61" s="3" t="inlineStr">
        <is>
          <t>47540530675911</t>
        </is>
      </c>
      <c r="G61" s="3" t="inlineStr"/>
      <c r="H61" s="3" t="inlineStr">
        <is>
          <t>GALLERY</t>
        </is>
      </c>
      <c r="I61" s="3" t="inlineStr">
        <is>
          <t>DIRECT_IMAGE_DOWNLOAD_AND_SOURCE_ROW_REVIEW</t>
        </is>
      </c>
      <c r="J61" s="3" t="inlineStr">
        <is>
          <t>2026-09-07T21:16:18+07:00</t>
        </is>
      </c>
      <c r="K61" s="3" t="inlineStr">
        <is>
          <t>Direct QA opened downloaded image 159_03; source SHA 7EE050762FDF047E019B09E7E7E5DE20C8087125DA9F91AB54AD16C22466E87F. Submitted observation reviewed against gallery position.</t>
        </is>
      </c>
      <c r="L61" s="3" t="inlineStr">
        <is>
          <t>Bedding type, feature, lifestyle or material image for Norse raven runic symbol quilt.</t>
        </is>
      </c>
      <c r="M61" s="3" t="inlineStr">
        <is>
          <t>UNKNOWN</t>
        </is>
      </c>
      <c r="N61" s="3" t="inlineStr">
        <is>
          <t>SET</t>
        </is>
      </c>
      <c r="O61" s="3" t="inlineStr">
        <is>
          <t>Product pillow or lifestyle image for Norse Raven Runic Symbol Quilt</t>
        </is>
      </c>
      <c r="P61" s="3" t="inlineStr">
        <is>
          <t>FULL</t>
        </is>
      </c>
      <c r="Q61" s="3" t="inlineStr">
        <is>
          <t>PARTIAL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ISSUE-0089</t>
        </is>
      </c>
      <c r="Z61" s="3" t="inlineStr">
        <is>
          <t>D:\Shopify_Workspace\jeminise_seo\seo_runs\jeminise.com\20260906_234129\qa\20260907_210204\images\159_03.jpg; seo_runs\jeminise.com\20260906_234129\evidence\images\159_norse-mythology-quilt-with-ravens-b8220cc38c-b8220cc38c\image_03_47540530675911.jpg; seo_runs\jeminise.com\20260906_234129\evidence\contact_sheets\159_norse-mythology-quilt-with-ravens-b8220cc38c-b8220cc38c.jpg</t>
        </is>
      </c>
    </row>
    <row r="62" ht="66" customHeight="1">
      <c r="A62" s="2" t="inlineStr">
        <is>
          <t>jeminise.com+norse-mythology-quilt-with-ravens-b8220cc38c-b8220cc38c</t>
        </is>
      </c>
      <c r="B62" s="2" t="inlineStr">
        <is>
          <t>img_c08837bafa35634f</t>
        </is>
      </c>
      <c r="C62" s="4" t="inlineStr">
        <is>
          <t>https://cdn.shopify.com/s/files/1/0792/5098/1063/files/ea7b12476302e9fa633afc749f0f46ace58d6c340fce0aba0ebc13bdcafc4239.jpg?v=1785104490</t>
        </is>
      </c>
      <c r="D62" s="4" t="inlineStr">
        <is>
          <t>https://cdn.shopify.com/s/files/1/0792/5098/1063/files/ea7b12476302e9fa633afc749f0f46ace58d6c340fce0aba0ebc13bdcafc4239.jpg?v=1785104490</t>
        </is>
      </c>
      <c r="E62" s="2" t="inlineStr">
        <is>
          <t>47540530708679</t>
        </is>
      </c>
      <c r="F62" s="2" t="inlineStr">
        <is>
          <t>47540530708679</t>
        </is>
      </c>
      <c r="G62" s="2" t="inlineStr"/>
      <c r="H62" s="2" t="inlineStr">
        <is>
          <t>GALLERY</t>
        </is>
      </c>
      <c r="I62" s="2" t="inlineStr">
        <is>
          <t>DIRECT_IMAGE_DOWNLOAD_AND_SOURCE_ROW_REVIEW</t>
        </is>
      </c>
      <c r="J62" s="2" t="inlineStr">
        <is>
          <t>2026-09-07T21:16:18+07:00</t>
        </is>
      </c>
      <c r="K62" s="2" t="inlineStr">
        <is>
          <t>Direct QA opened downloaded image 159_04; source SHA 3E2FFE13FB4B20A5F68DBED08566EEC3BAE8CAC65ADF930EE8E5CB3284A8DD5B. Submitted observation reviewed against gallery position.</t>
        </is>
      </c>
      <c r="L62" s="2" t="inlineStr">
        <is>
          <t>Detail, feature panel or lifestyle image connected to Norse raven runic symbol quilt.</t>
        </is>
      </c>
      <c r="M62" s="2" t="inlineStr">
        <is>
          <t>UNKNOWN</t>
        </is>
      </c>
      <c r="N62" s="2" t="inlineStr">
        <is>
          <t>SET</t>
        </is>
      </c>
      <c r="O62" s="2" t="inlineStr">
        <is>
          <t>Feature, fabric or lifestyle image for Norse Raven Runic Symbol Quilt</t>
        </is>
      </c>
      <c r="P62" s="2" t="inlineStr">
        <is>
          <t>FULL</t>
        </is>
      </c>
      <c r="Q62" s="2" t="inlineStr">
        <is>
          <t>PARTIAL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ISSUE-0090</t>
        </is>
      </c>
      <c r="Z62" s="2" t="inlineStr">
        <is>
          <t>D:\Shopify_Workspace\jeminise_seo\seo_runs\jeminise.com\20260906_234129\qa\20260907_210204\images\159_04.jpg; seo_runs\jeminise.com\20260906_234129\evidence\images\159_norse-mythology-quilt-with-ravens-b8220cc38c-b8220cc38c\image_04_47540530708679.jpg; seo_runs\jeminise.com\20260906_234129\evidence\contact_sheets\159_norse-mythology-quilt-with-ravens-b8220cc38c-b8220cc38c.jpg</t>
        </is>
      </c>
    </row>
    <row r="63" ht="66" customHeight="1">
      <c r="A63" s="3" t="inlineStr">
        <is>
          <t>jeminise.com+norse-mythology-quilt-with-ravens-b8220cc38c-b8220cc38c</t>
        </is>
      </c>
      <c r="B63" s="3" t="inlineStr">
        <is>
          <t>img_de95ec45daa67918</t>
        </is>
      </c>
      <c r="C63" s="4" t="inlineStr">
        <is>
          <t>https://cdn.shopify.com/s/files/1/0792/5098/1063/files/83456b776c4fa7ff7e20b9f368f7ce8e2fd5fbfd197b7020627d448a4e21aa26.jpg?v=1785104490</t>
        </is>
      </c>
      <c r="D63" s="4" t="inlineStr">
        <is>
          <t>https://cdn.shopify.com/s/files/1/0792/5098/1063/files/83456b776c4fa7ff7e20b9f368f7ce8e2fd5fbfd197b7020627d448a4e21aa26.jpg?v=1785104490</t>
        </is>
      </c>
      <c r="E63" s="3" t="inlineStr">
        <is>
          <t>47540530741447</t>
        </is>
      </c>
      <c r="F63" s="3" t="inlineStr">
        <is>
          <t>47540530741447</t>
        </is>
      </c>
      <c r="G63" s="3" t="inlineStr"/>
      <c r="H63" s="3" t="inlineStr">
        <is>
          <t>GALLERY</t>
        </is>
      </c>
      <c r="I63" s="3" t="inlineStr">
        <is>
          <t>DIRECT_IMAGE_DOWNLOAD_AND_SOURCE_ROW_REVIEW</t>
        </is>
      </c>
      <c r="J63" s="3" t="inlineStr">
        <is>
          <t>2026-09-07T21:16:18+07:00</t>
        </is>
      </c>
      <c r="K63" s="3" t="inlineStr">
        <is>
          <t>Direct QA opened downloaded image 159_05; source SHA 319DECFDD0C3AEFBDCF3BAF1249DB937AA44BF59795F70C4FCBFD928CACAF49F. Submitted observation reviewed against gallery position.</t>
        </is>
      </c>
      <c r="L63" s="3" t="inlineStr">
        <is>
          <t>Additional mockup, care or size information for Norse raven runic symbol quilt.</t>
        </is>
      </c>
      <c r="M63" s="3" t="inlineStr">
        <is>
          <t>UNKNOWN</t>
        </is>
      </c>
      <c r="N63" s="3" t="inlineStr">
        <is>
          <t>SET</t>
        </is>
      </c>
      <c r="O63" s="3" t="inlineStr">
        <is>
          <t>Size, set contents or product feature image for Norse Raven Runic Symbol Quilt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/>
      <c r="Z63" s="3" t="inlineStr">
        <is>
          <t>D:\Shopify_Workspace\jeminise_seo\seo_runs\jeminise.com\20260906_234129\qa\20260907_210204\images\159_05.jpg; seo_runs\jeminise.com\20260906_234129\evidence\images\159_norse-mythology-quilt-with-ravens-b8220cc38c-b8220cc38c\image_05_47540530741447.jpg; seo_runs\jeminise.com\20260906_234129\evidence\contact_sheets\159_norse-mythology-quilt-with-ravens-b8220cc38c-b8220cc38c.jpg</t>
        </is>
      </c>
    </row>
    <row r="64" ht="66" customHeight="1">
      <c r="A64" s="2" t="inlineStr">
        <is>
          <t>jeminise.com+norse-mythology-quilt-with-ravens-b8220cc38c-b8220cc38c</t>
        </is>
      </c>
      <c r="B64" s="2" t="inlineStr">
        <is>
          <t>img_3ca3e7a3cb85d556</t>
        </is>
      </c>
      <c r="C64" s="4" t="inlineStr">
        <is>
          <t>https://cdn.shopify.com/s/files/1/0792/5098/1063/files/3eddbfeb0c2ebcaee7986a55e68d89beb9794abf314212c39ec30029449da4c9.jpg?v=1785104490</t>
        </is>
      </c>
      <c r="D64" s="4" t="inlineStr">
        <is>
          <t>https://cdn.shopify.com/s/files/1/0792/5098/1063/files/3eddbfeb0c2ebcaee7986a55e68d89beb9794abf314212c39ec30029449da4c9.jpg?v=1785104490</t>
        </is>
      </c>
      <c r="E64" s="2" t="inlineStr">
        <is>
          <t>47540530774215</t>
        </is>
      </c>
      <c r="F64" s="2" t="inlineStr">
        <is>
          <t>47540530774215</t>
        </is>
      </c>
      <c r="G64" s="2" t="inlineStr"/>
      <c r="H64" s="2" t="inlineStr">
        <is>
          <t>GALLERY</t>
        </is>
      </c>
      <c r="I64" s="2" t="inlineStr">
        <is>
          <t>DIRECT_IMAGE_DOWNLOAD_AND_SOURCE_ROW_REVIEW</t>
        </is>
      </c>
      <c r="J64" s="2" t="inlineStr">
        <is>
          <t>2026-09-07T21:16:18+07:00</t>
        </is>
      </c>
      <c r="K64" s="2" t="inlineStr">
        <is>
          <t>Direct QA opened downloaded image 159_06; source SHA 3437139798B495CEBB2B973355616CB6184C498CDC2F7B537BA630F751446835. Submitted observation reviewed against gallery position.</t>
        </is>
      </c>
      <c r="L64" s="2" t="inlineStr">
        <is>
          <t>Easy-care, size guide or product feature image for Norse raven runic symbol quilt.</t>
        </is>
      </c>
      <c r="M64" s="2" t="inlineStr">
        <is>
          <t>UNKNOWN</t>
        </is>
      </c>
      <c r="N64" s="2" t="inlineStr">
        <is>
          <t>SET</t>
        </is>
      </c>
      <c r="O64" s="2" t="inlineStr">
        <is>
          <t>Care, size or product feature image for Norse Raven Runic Symbol Quilt</t>
        </is>
      </c>
      <c r="P64" s="2" t="inlineStr">
        <is>
          <t>FULL</t>
        </is>
      </c>
      <c r="Q64" s="2" t="inlineStr">
        <is>
          <t>PARTIAL</t>
        </is>
      </c>
      <c r="R64" s="2" t="inlineStr">
        <is>
          <t>FULL</t>
        </is>
      </c>
      <c r="S64" s="2" t="inlineStr">
        <is>
          <t>FULL</t>
        </is>
      </c>
      <c r="T64" s="5">
        <f>IF(P64="FULL",40,IF(P64="PARTIAL",40/2,0))+IF(Q64="FULL",30,IF(Q64="PARTIAL",30/2,0))+IF(R64="FULL",20,IF(R64="PARTIAL",20/2,0))+IF(S64="FULL",10,IF(S64="PARTIAL",10/2,0))</f>
        <v/>
      </c>
      <c r="U64" s="5">
        <f>IF(P64="NOT_CHECKED",0,40)+IF(Q64="NOT_CHECKED",0,30)+IF(R64="NOT_CHECKED",0,20)+IF(S64="NOT_CHECKED",0,10)</f>
        <v/>
      </c>
      <c r="V64" s="5">
        <f>IF(U64=100,T64,"")</f>
        <v/>
      </c>
      <c r="W64" s="5">
        <f>T64</f>
        <v/>
      </c>
      <c r="X64" s="5">
        <f>T64+(100-U64)</f>
        <v/>
      </c>
      <c r="Y64" s="2" t="inlineStr">
        <is>
          <t>ISSUE-0091</t>
        </is>
      </c>
      <c r="Z64" s="2" t="inlineStr">
        <is>
          <t>D:\Shopify_Workspace\jeminise_seo\seo_runs\jeminise.com\20260906_234129\qa\20260907_210204\images\159_06.jpg; seo_runs\jeminise.com\20260906_234129\evidence\images\159_norse-mythology-quilt-with-ravens-b8220cc38c-b8220cc38c\image_06_47540530774215.jpg; seo_runs\jeminise.com\20260906_234129\evidence\contact_sheets\159_norse-mythology-quilt-with-ravens-b8220cc38c-b8220cc38c.jpg</t>
        </is>
      </c>
    </row>
    <row r="65" ht="66" customHeight="1">
      <c r="A65" s="3" t="inlineStr">
        <is>
          <t>jeminise.com+norse-mythology-quilt-with-ravens-b8220cc38c-b8220cc38c</t>
        </is>
      </c>
      <c r="B65" s="3" t="inlineStr">
        <is>
          <t>img_a57d11ac45d3ab9f</t>
        </is>
      </c>
      <c r="C65" s="4" t="inlineStr">
        <is>
          <t>https://cdn.shopify.com/s/files/1/0792/5098/1063/files/dfef77fcfcbafcb74510331e994f52a9cd3c1a80e1a1c4c630e47d567925837e.jpg?v=1785104490</t>
        </is>
      </c>
      <c r="D65" s="4" t="inlineStr">
        <is>
          <t>https://cdn.shopify.com/s/files/1/0792/5098/1063/files/dfef77fcfcbafcb74510331e994f52a9cd3c1a80e1a1c4c630e47d567925837e.jpg?v=1785104490</t>
        </is>
      </c>
      <c r="E65" s="3" t="inlineStr">
        <is>
          <t>47540530806983</t>
        </is>
      </c>
      <c r="F65" s="3" t="inlineStr">
        <is>
          <t>47540530806983</t>
        </is>
      </c>
      <c r="G65" s="3" t="inlineStr"/>
      <c r="H65" s="3" t="inlineStr">
        <is>
          <t>GALLERY</t>
        </is>
      </c>
      <c r="I65" s="3" t="inlineStr">
        <is>
          <t>DIRECT_IMAGE_DOWNLOAD_AND_SOURCE_ROW_REVIEW</t>
        </is>
      </c>
      <c r="J65" s="3" t="inlineStr">
        <is>
          <t>2026-09-07T21:16:18+07:00</t>
        </is>
      </c>
      <c r="K65" s="3" t="inlineStr">
        <is>
          <t>Direct QA opened downloaded image 159_07; source SHA F1D5436D0331FE16ADDA4411EC8024D113D25FFE8D8E4C090E4219A34B543767. Submitted observation reviewed against gallery position.</t>
        </is>
      </c>
      <c r="L65" s="3" t="inlineStr">
        <is>
          <t>Additional lifestyle, feature or product detail image showing Norse raven runic symbol quilt.</t>
        </is>
      </c>
      <c r="M65" s="3" t="inlineStr">
        <is>
          <t>UNKNOWN</t>
        </is>
      </c>
      <c r="N65" s="3" t="inlineStr">
        <is>
          <t>SET</t>
        </is>
      </c>
      <c r="O65" s="3" t="inlineStr">
        <is>
          <t>Additional product mockup of Norse Raven Runic Symbol Quilt</t>
        </is>
      </c>
      <c r="P65" s="3" t="inlineStr">
        <is>
          <t>FULL</t>
        </is>
      </c>
      <c r="Q65" s="3" t="inlineStr">
        <is>
          <t>PARTIAL</t>
        </is>
      </c>
      <c r="R65" s="3" t="inlineStr">
        <is>
          <t>FULL</t>
        </is>
      </c>
      <c r="S65" s="3" t="inlineStr">
        <is>
          <t>FULL</t>
        </is>
      </c>
      <c r="T65" s="7">
        <f>IF(P65="FULL",40,IF(P65="PARTIAL",40/2,0))+IF(Q65="FULL",30,IF(Q65="PARTIAL",30/2,0))+IF(R65="FULL",20,IF(R65="PARTIAL",20/2,0))+IF(S65="FULL",10,IF(S65="PARTIAL",10/2,0))</f>
        <v/>
      </c>
      <c r="U65" s="7">
        <f>IF(P65="NOT_CHECKED",0,40)+IF(Q65="NOT_CHECKED",0,30)+IF(R65="NOT_CHECKED",0,20)+IF(S65="NOT_CHECKED",0,10)</f>
        <v/>
      </c>
      <c r="V65" s="7">
        <f>IF(U65=100,T65,"")</f>
        <v/>
      </c>
      <c r="W65" s="7">
        <f>T65</f>
        <v/>
      </c>
      <c r="X65" s="7">
        <f>T65+(100-U65)</f>
        <v/>
      </c>
      <c r="Y65" s="3" t="inlineStr">
        <is>
          <t>ISSUE-0092</t>
        </is>
      </c>
      <c r="Z65" s="3" t="inlineStr">
        <is>
          <t>D:\Shopify_Workspace\jeminise_seo\seo_runs\jeminise.com\20260906_234129\qa\20260907_210204\images\159_07.jpg; seo_runs\jeminise.com\20260906_234129\evidence\images\159_norse-mythology-quilt-with-ravens-b8220cc38c-b8220cc38c\image_07_47540530806983.jpg; seo_runs\jeminise.com\20260906_234129\evidence\contact_sheets\159_norse-mythology-quilt-with-ravens-b8220cc38c-b8220cc38c.jpg</t>
        </is>
      </c>
    </row>
    <row r="66" ht="66" customHeight="1">
      <c r="A66" s="2" t="inlineStr">
        <is>
          <t>jeminise.com+norse-mythology-raven-centered-within-runic-circle-comforter-ab76500bc1-ab76500bc1</t>
        </is>
      </c>
      <c r="B66" s="2" t="inlineStr">
        <is>
          <t>img_1a597cb5926b7c66</t>
        </is>
      </c>
      <c r="C66" s="4" t="inlineStr">
        <is>
          <t>https://cdn.shopify.com/s/files/1/0792/5098/1063/files/a411a3b6e5e3e9af3994df0d9e51e3c8fb2923ca82d9e850380c0c58557e6aea.jpg?v=1785104615</t>
        </is>
      </c>
      <c r="D66" s="4" t="inlineStr">
        <is>
          <t>https://cdn.shopify.com/s/files/1/0792/5098/1063/files/a411a3b6e5e3e9af3994df0d9e51e3c8fb2923ca82d9e850380c0c58557e6aea.jpg?v=1785104615</t>
        </is>
      </c>
      <c r="E66" s="2" t="inlineStr">
        <is>
          <t>47540541980871</t>
        </is>
      </c>
      <c r="F66" s="2" t="inlineStr">
        <is>
          <t>47540541980871</t>
        </is>
      </c>
      <c r="G66" s="2" t="inlineStr"/>
      <c r="H66" s="2" t="inlineStr">
        <is>
          <t>GALLERY</t>
        </is>
      </c>
      <c r="I66" s="2" t="inlineStr">
        <is>
          <t>DIRECT_IMAGE_DOWNLOAD_AND_SOURCE_ROW_REVIEW</t>
        </is>
      </c>
      <c r="J66" s="2" t="inlineStr">
        <is>
          <t>2026-09-07T21:16:18+07:00</t>
        </is>
      </c>
      <c r="K66" s="2" t="inlineStr">
        <is>
          <t>Direct QA opened downloaded image 160_01; source SHA B28A49E62429FAF10B22D19D1BA68988C8F5A961CF540186BCEFE26B12E31B54. Submitted observation reviewed against gallery position.</t>
        </is>
      </c>
      <c r="L66" s="2" t="inlineStr">
        <is>
          <t>Main product mockup showing pink Norse raven runic circle comforter.</t>
        </is>
      </c>
      <c r="M66" s="2" t="inlineStr">
        <is>
          <t>UNKNOWN</t>
        </is>
      </c>
      <c r="N66" s="2" t="inlineStr">
        <is>
          <t>SET</t>
        </is>
      </c>
      <c r="O66" s="2" t="inlineStr">
        <is>
          <t>Pink Norse Raven Runic Circle Comforter displayed in a main product mockup</t>
        </is>
      </c>
      <c r="P66" s="2" t="inlineStr">
        <is>
          <t>FULL</t>
        </is>
      </c>
      <c r="Q66" s="2" t="inlineStr">
        <is>
          <t>FULL</t>
        </is>
      </c>
      <c r="R66" s="2" t="inlineStr">
        <is>
          <t>PARTIAL</t>
        </is>
      </c>
      <c r="S66" s="2" t="inlineStr">
        <is>
          <t>FULL</t>
        </is>
      </c>
      <c r="T66" s="5">
        <f>IF(P66="FULL",40,IF(P66="PARTIAL",40/2,0))+IF(Q66="FULL",30,IF(Q66="PARTIAL",30/2,0))+IF(R66="FULL",20,IF(R66="PARTIAL",20/2,0))+IF(S66="FULL",10,IF(S66="PARTIAL",10/2,0))</f>
        <v/>
      </c>
      <c r="U66" s="5">
        <f>IF(P66="NOT_CHECKED",0,40)+IF(Q66="NOT_CHECKED",0,30)+IF(R66="NOT_CHECKED",0,20)+IF(S66="NOT_CHECKED",0,10)</f>
        <v/>
      </c>
      <c r="V66" s="5">
        <f>IF(U66=100,T66,"")</f>
        <v/>
      </c>
      <c r="W66" s="5">
        <f>T66</f>
        <v/>
      </c>
      <c r="X66" s="5">
        <f>T66+(100-U66)</f>
        <v/>
      </c>
      <c r="Y66" s="2" t="inlineStr">
        <is>
          <t>ISSUE-0098</t>
        </is>
      </c>
      <c r="Z66" s="2" t="inlineStr">
        <is>
          <t>D:\Shopify_Workspace\jeminise_seo\seo_runs\jeminise.com\20260906_234129\qa\20260907_210204\images\160_01.jpg; seo_runs\jeminise.com\20260906_234129\evidence\images\160_norse-mythology-raven-centered-within-runic-circle-comforter-ab76500bc1-ab76500bc1\image_01_47540541980871.jpg; seo_runs\jeminise.com\20260906_234129\evidence\contact_sheets\160_norse-mythology-raven-centered-within-runic-circle-comforter-ab76500bc1-ab76500bc1.jpg</t>
        </is>
      </c>
    </row>
    <row r="67" ht="66" customHeight="1">
      <c r="A67" s="3" t="inlineStr">
        <is>
          <t>jeminise.com+norse-mythology-raven-centered-within-runic-circle-comforter-ab76500bc1-ab76500bc1</t>
        </is>
      </c>
      <c r="B67" s="3" t="inlineStr">
        <is>
          <t>img_86002476e702a44f</t>
        </is>
      </c>
      <c r="C67" s="4" t="inlineStr">
        <is>
          <t>https://cdn.shopify.com/s/files/1/0792/5098/1063/files/dfa2923265bb08ffab7bccf84263f13ce2b0b88810891d41840bf8c0f065830b.jpg?v=1785104615</t>
        </is>
      </c>
      <c r="D67" s="4" t="inlineStr">
        <is>
          <t>https://cdn.shopify.com/s/files/1/0792/5098/1063/files/dfa2923265bb08ffab7bccf84263f13ce2b0b88810891d41840bf8c0f065830b.jpg?v=1785104615</t>
        </is>
      </c>
      <c r="E67" s="3" t="inlineStr">
        <is>
          <t>47540542013639</t>
        </is>
      </c>
      <c r="F67" s="3" t="inlineStr">
        <is>
          <t>47540542013639</t>
        </is>
      </c>
      <c r="G67" s="3" t="inlineStr"/>
      <c r="H67" s="3" t="inlineStr">
        <is>
          <t>GALLERY</t>
        </is>
      </c>
      <c r="I67" s="3" t="inlineStr">
        <is>
          <t>DIRECT_IMAGE_DOWNLOAD_AND_SOURCE_ROW_REVIEW</t>
        </is>
      </c>
      <c r="J67" s="3" t="inlineStr">
        <is>
          <t>2026-09-07T21:16:18+07:00</t>
        </is>
      </c>
      <c r="K67" s="3" t="inlineStr">
        <is>
          <t>Direct QA opened downloaded image 160_02; source SHA D1774C085B2D37551D3F3D5F501CD44E8A841E1BE3DFD2C5FC1C212ABDF58D71. Submitted observation reviewed against gallery position.</t>
        </is>
      </c>
      <c r="L67" s="3" t="inlineStr">
        <is>
          <t>Secondary flat, close-up or bedroom mockup showing pink Norse raven runic circle comforter.</t>
        </is>
      </c>
      <c r="M67" s="3" t="inlineStr">
        <is>
          <t>UNKNOWN</t>
        </is>
      </c>
      <c r="N67" s="3" t="inlineStr">
        <is>
          <t>SET</t>
        </is>
      </c>
      <c r="O67" s="3" t="inlineStr">
        <is>
          <t>Secondary mockup or close-up of Pink Norse Raven Runic Circle Comforter</t>
        </is>
      </c>
      <c r="P67" s="3" t="inlineStr">
        <is>
          <t>FULL</t>
        </is>
      </c>
      <c r="Q67" s="3" t="inlineStr">
        <is>
          <t>FULL</t>
        </is>
      </c>
      <c r="R67" s="3" t="inlineStr">
        <is>
          <t>FULL</t>
        </is>
      </c>
      <c r="S67" s="3" t="inlineStr">
        <is>
          <t>FULL</t>
        </is>
      </c>
      <c r="T67" s="7">
        <f>IF(P67="FULL",40,IF(P67="PARTIAL",40/2,0))+IF(Q67="FULL",30,IF(Q67="PARTIAL",30/2,0))+IF(R67="FULL",20,IF(R67="PARTIAL",20/2,0))+IF(S67="FULL",10,IF(S67="PARTIAL",10/2,0))</f>
        <v/>
      </c>
      <c r="U67" s="7">
        <f>IF(P67="NOT_CHECKED",0,40)+IF(Q67="NOT_CHECKED",0,30)+IF(R67="NOT_CHECKED",0,20)+IF(S67="NOT_CHECKED",0,10)</f>
        <v/>
      </c>
      <c r="V67" s="7">
        <f>IF(U67=100,T67,"")</f>
        <v/>
      </c>
      <c r="W67" s="7">
        <f>T67</f>
        <v/>
      </c>
      <c r="X67" s="7">
        <f>T67+(100-U67)</f>
        <v/>
      </c>
      <c r="Y67" s="3" t="inlineStr"/>
      <c r="Z67" s="3" t="inlineStr">
        <is>
          <t>D:\Shopify_Workspace\jeminise_seo\seo_runs\jeminise.com\20260906_234129\qa\20260907_210204\images\160_02.jpg; seo_runs\jeminise.com\20260906_234129\evidence\images\160_norse-mythology-raven-centered-within-runic-circle-comforter-ab76500bc1-ab76500bc1\image_02_47540542013639.jpg; seo_runs\jeminise.com\20260906_234129\evidence\contact_sheets\160_norse-mythology-raven-centered-within-runic-circle-comforter-ab76500bc1-ab76500bc1.jpg</t>
        </is>
      </c>
    </row>
    <row r="68" ht="66" customHeight="1">
      <c r="A68" s="2" t="inlineStr">
        <is>
          <t>jeminise.com+norse-mythology-raven-centered-within-runic-circle-comforter-ab76500bc1-ab76500bc1</t>
        </is>
      </c>
      <c r="B68" s="2" t="inlineStr">
        <is>
          <t>img_2e8a7527a5d26347</t>
        </is>
      </c>
      <c r="C68" s="4" t="inlineStr">
        <is>
          <t>https://cdn.shopify.com/s/files/1/0792/5098/1063/files/222310bc640faa9852d2b5196cb0a586fcdfbb201d6b5a6cb98ecae72afcb8ef.jpg?v=1785104615</t>
        </is>
      </c>
      <c r="D68" s="4" t="inlineStr">
        <is>
          <t>https://cdn.shopify.com/s/files/1/0792/5098/1063/files/222310bc640faa9852d2b5196cb0a586fcdfbb201d6b5a6cb98ecae72afcb8ef.jpg?v=1785104615</t>
        </is>
      </c>
      <c r="E68" s="2" t="inlineStr">
        <is>
          <t>47540542046407</t>
        </is>
      </c>
      <c r="F68" s="2" t="inlineStr">
        <is>
          <t>47540542046407</t>
        </is>
      </c>
      <c r="G68" s="2" t="inlineStr"/>
      <c r="H68" s="2" t="inlineStr">
        <is>
          <t>GALLERY</t>
        </is>
      </c>
      <c r="I68" s="2" t="inlineStr">
        <is>
          <t>DIRECT_IMAGE_DOWNLOAD_AND_SOURCE_ROW_REVIEW</t>
        </is>
      </c>
      <c r="J68" s="2" t="inlineStr">
        <is>
          <t>2026-09-07T21:16:18+07:00</t>
        </is>
      </c>
      <c r="K68" s="2" t="inlineStr">
        <is>
          <t>Direct QA opened downloaded image 160_03; source SHA EB970D13B0561629BFFF65A119F38B16B9C97FB486E8B166685021044BAD3A01. Submitted observation reviewed against gallery position.</t>
        </is>
      </c>
      <c r="L68" s="2" t="inlineStr">
        <is>
          <t>Bedding type, feature, lifestyle or material image for pink Norse raven runic circle comforter.</t>
        </is>
      </c>
      <c r="M68" s="2" t="inlineStr">
        <is>
          <t>UNKNOWN</t>
        </is>
      </c>
      <c r="N68" s="2" t="inlineStr">
        <is>
          <t>SET</t>
        </is>
      </c>
      <c r="O68" s="2" t="inlineStr">
        <is>
          <t>Product pillow or lifestyle image for Pink Norse Raven Runic Circle Comforter</t>
        </is>
      </c>
      <c r="P68" s="2" t="inlineStr">
        <is>
          <t>FULL</t>
        </is>
      </c>
      <c r="Q68" s="2" t="inlineStr">
        <is>
          <t>PARTIAL</t>
        </is>
      </c>
      <c r="R68" s="2" t="inlineStr">
        <is>
          <t>FULL</t>
        </is>
      </c>
      <c r="S68" s="2" t="inlineStr">
        <is>
          <t>FULL</t>
        </is>
      </c>
      <c r="T68" s="5">
        <f>IF(P68="FULL",40,IF(P68="PARTIAL",40/2,0))+IF(Q68="FULL",30,IF(Q68="PARTIAL",30/2,0))+IF(R68="FULL",20,IF(R68="PARTIAL",20/2,0))+IF(S68="FULL",10,IF(S68="PARTIAL",10/2,0))</f>
        <v/>
      </c>
      <c r="U68" s="5">
        <f>IF(P68="NOT_CHECKED",0,40)+IF(Q68="NOT_CHECKED",0,30)+IF(R68="NOT_CHECKED",0,20)+IF(S68="NOT_CHECKED",0,10)</f>
        <v/>
      </c>
      <c r="V68" s="5">
        <f>IF(U68=100,T68,"")</f>
        <v/>
      </c>
      <c r="W68" s="5">
        <f>T68</f>
        <v/>
      </c>
      <c r="X68" s="5">
        <f>T68+(100-U68)</f>
        <v/>
      </c>
      <c r="Y68" s="2" t="inlineStr">
        <is>
          <t>ISSUE-0099</t>
        </is>
      </c>
      <c r="Z68" s="2" t="inlineStr">
        <is>
          <t>D:\Shopify_Workspace\jeminise_seo\seo_runs\jeminise.com\20260906_234129\qa\20260907_210204\images\160_03.jpg; seo_runs\jeminise.com\20260906_234129\evidence\images\160_norse-mythology-raven-centered-within-runic-circle-comforter-ab76500bc1-ab76500bc1\image_03_47540542046407.jpg; seo_runs\jeminise.com\20260906_234129\evidence\contact_sheets\160_norse-mythology-raven-centered-within-runic-circle-comforter-ab76500bc1-ab76500bc1.jpg</t>
        </is>
      </c>
    </row>
    <row r="69" ht="66" customHeight="1">
      <c r="A69" s="3" t="inlineStr">
        <is>
          <t>jeminise.com+norse-mythology-raven-centered-within-runic-circle-comforter-ab76500bc1-ab76500bc1</t>
        </is>
      </c>
      <c r="B69" s="3" t="inlineStr">
        <is>
          <t>img_7083b0a27550fb00</t>
        </is>
      </c>
      <c r="C69" s="4" t="inlineStr">
        <is>
          <t>https://cdn.shopify.com/s/files/1/0792/5098/1063/files/7deaae48f1d6a894247cf6582b49be832d9f6f7f3a38fe997871377fb2261e0d.jpg?v=1785104615</t>
        </is>
      </c>
      <c r="D69" s="4" t="inlineStr">
        <is>
          <t>https://cdn.shopify.com/s/files/1/0792/5098/1063/files/7deaae48f1d6a894247cf6582b49be832d9f6f7f3a38fe997871377fb2261e0d.jpg?v=1785104615</t>
        </is>
      </c>
      <c r="E69" s="3" t="inlineStr">
        <is>
          <t>47540542079175</t>
        </is>
      </c>
      <c r="F69" s="3" t="inlineStr">
        <is>
          <t>47540542079175</t>
        </is>
      </c>
      <c r="G69" s="3" t="inlineStr"/>
      <c r="H69" s="3" t="inlineStr">
        <is>
          <t>GALLERY</t>
        </is>
      </c>
      <c r="I69" s="3" t="inlineStr">
        <is>
          <t>DIRECT_IMAGE_DOWNLOAD_AND_SOURCE_ROW_REVIEW</t>
        </is>
      </c>
      <c r="J69" s="3" t="inlineStr">
        <is>
          <t>2026-09-07T21:16:18+07:00</t>
        </is>
      </c>
      <c r="K69" s="3" t="inlineStr">
        <is>
          <t>Direct QA opened downloaded image 160_04; source SHA 2AFC455760199D776FA9E0D9A93379CFD0BBD066A6ED6CC6EBFB0FF8D55FF47D. Submitted observation reviewed against gallery position.</t>
        </is>
      </c>
      <c r="L69" s="3" t="inlineStr">
        <is>
          <t>Detail, feature panel or lifestyle image connected to pink Norse raven runic circle comforter.</t>
        </is>
      </c>
      <c r="M69" s="3" t="inlineStr">
        <is>
          <t>UNKNOWN</t>
        </is>
      </c>
      <c r="N69" s="3" t="inlineStr">
        <is>
          <t>SET</t>
        </is>
      </c>
      <c r="O69" s="3" t="inlineStr">
        <is>
          <t>Feature, fabric or lifestyle image for Pink Norse Raven Runic Circle Comforter</t>
        </is>
      </c>
      <c r="P69" s="3" t="inlineStr">
        <is>
          <t>FULL</t>
        </is>
      </c>
      <c r="Q69" s="3" t="inlineStr">
        <is>
          <t>PARTIAL</t>
        </is>
      </c>
      <c r="R69" s="3" t="inlineStr">
        <is>
          <t>FULL</t>
        </is>
      </c>
      <c r="S69" s="3" t="inlineStr">
        <is>
          <t>FULL</t>
        </is>
      </c>
      <c r="T69" s="7">
        <f>IF(P69="FULL",40,IF(P69="PARTIAL",40/2,0))+IF(Q69="FULL",30,IF(Q69="PARTIAL",30/2,0))+IF(R69="FULL",20,IF(R69="PARTIAL",20/2,0))+IF(S69="FULL",10,IF(S69="PARTIAL",10/2,0))</f>
        <v/>
      </c>
      <c r="U69" s="7">
        <f>IF(P69="NOT_CHECKED",0,40)+IF(Q69="NOT_CHECKED",0,30)+IF(R69="NOT_CHECKED",0,20)+IF(S69="NOT_CHECKED",0,10)</f>
        <v/>
      </c>
      <c r="V69" s="7">
        <f>IF(U69=100,T69,"")</f>
        <v/>
      </c>
      <c r="W69" s="7">
        <f>T69</f>
        <v/>
      </c>
      <c r="X69" s="7">
        <f>T69+(100-U69)</f>
        <v/>
      </c>
      <c r="Y69" s="3" t="inlineStr">
        <is>
          <t>ISSUE-0100</t>
        </is>
      </c>
      <c r="Z69" s="3" t="inlineStr">
        <is>
          <t>D:\Shopify_Workspace\jeminise_seo\seo_runs\jeminise.com\20260906_234129\qa\20260907_210204\images\160_04.jpg; seo_runs\jeminise.com\20260906_234129\evidence\images\160_norse-mythology-raven-centered-within-runic-circle-comforter-ab76500bc1-ab76500bc1\image_04_47540542079175.jpg; seo_runs\jeminise.com\20260906_234129\evidence\contact_sheets\160_norse-mythology-raven-centered-within-runic-circle-comforter-ab76500bc1-ab76500bc1.jpg</t>
        </is>
      </c>
    </row>
    <row r="70" ht="66" customHeight="1">
      <c r="A70" s="2" t="inlineStr">
        <is>
          <t>jeminise.com+norse-mythology-raven-centered-within-runic-circle-comforter-ab76500bc1-ab76500bc1</t>
        </is>
      </c>
      <c r="B70" s="2" t="inlineStr">
        <is>
          <t>img_af99c3cc6c38d4d1</t>
        </is>
      </c>
      <c r="C70" s="4" t="inlineStr">
        <is>
          <t>https://cdn.shopify.com/s/files/1/0792/5098/1063/files/a7ef849ac8113acb36df953884078061acf346282a7adf13818dd25cbb11df48.jpg?v=1785104615</t>
        </is>
      </c>
      <c r="D70" s="4" t="inlineStr">
        <is>
          <t>https://cdn.shopify.com/s/files/1/0792/5098/1063/files/a7ef849ac8113acb36df953884078061acf346282a7adf13818dd25cbb11df48.jpg?v=1785104615</t>
        </is>
      </c>
      <c r="E70" s="2" t="inlineStr">
        <is>
          <t>47540542111943</t>
        </is>
      </c>
      <c r="F70" s="2" t="inlineStr">
        <is>
          <t>47540542111943</t>
        </is>
      </c>
      <c r="G70" s="2" t="inlineStr"/>
      <c r="H70" s="2" t="inlineStr">
        <is>
          <t>GALLERY</t>
        </is>
      </c>
      <c r="I70" s="2" t="inlineStr">
        <is>
          <t>DIRECT_IMAGE_DOWNLOAD_AND_SOURCE_ROW_REVIEW</t>
        </is>
      </c>
      <c r="J70" s="2" t="inlineStr">
        <is>
          <t>2026-09-07T21:16:18+07:00</t>
        </is>
      </c>
      <c r="K70" s="2" t="inlineStr">
        <is>
          <t>Direct QA opened downloaded image 160_05; source SHA FF23470A286DD0CBFC4FE6EA46EDC52649714014A81F02FB671CCFF3EBE04034. Submitted observation reviewed against gallery position.</t>
        </is>
      </c>
      <c r="L70" s="2" t="inlineStr">
        <is>
          <t>Additional mockup, care or size information for pink Norse raven runic circle comforter.</t>
        </is>
      </c>
      <c r="M70" s="2" t="inlineStr">
        <is>
          <t>UNKNOWN</t>
        </is>
      </c>
      <c r="N70" s="2" t="inlineStr">
        <is>
          <t>SET</t>
        </is>
      </c>
      <c r="O70" s="2" t="inlineStr">
        <is>
          <t>Size, set contents or product feature image for Pink Norse Raven Runic Circle Comforter</t>
        </is>
      </c>
      <c r="P70" s="2" t="inlineStr">
        <is>
          <t>FULL</t>
        </is>
      </c>
      <c r="Q70" s="2" t="inlineStr">
        <is>
          <t>FULL</t>
        </is>
      </c>
      <c r="R70" s="2" t="inlineStr">
        <is>
          <t>FULL</t>
        </is>
      </c>
      <c r="S70" s="2" t="inlineStr">
        <is>
          <t>FULL</t>
        </is>
      </c>
      <c r="T70" s="5">
        <f>IF(P70="FULL",40,IF(P70="PARTIAL",40/2,0))+IF(Q70="FULL",30,IF(Q70="PARTIAL",30/2,0))+IF(R70="FULL",20,IF(R70="PARTIAL",20/2,0))+IF(S70="FULL",10,IF(S70="PARTIAL",10/2,0))</f>
        <v/>
      </c>
      <c r="U70" s="5">
        <f>IF(P70="NOT_CHECKED",0,40)+IF(Q70="NOT_CHECKED",0,30)+IF(R70="NOT_CHECKED",0,20)+IF(S70="NOT_CHECKED",0,10)</f>
        <v/>
      </c>
      <c r="V70" s="5">
        <f>IF(U70=100,T70,"")</f>
        <v/>
      </c>
      <c r="W70" s="5">
        <f>T70</f>
        <v/>
      </c>
      <c r="X70" s="5">
        <f>T70+(100-U70)</f>
        <v/>
      </c>
      <c r="Y70" s="2" t="inlineStr"/>
      <c r="Z70" s="2" t="inlineStr">
        <is>
          <t>D:\Shopify_Workspace\jeminise_seo\seo_runs\jeminise.com\20260906_234129\qa\20260907_210204\images\160_05.jpg; seo_runs\jeminise.com\20260906_234129\evidence\images\160_norse-mythology-raven-centered-within-runic-circle-comforter-ab76500bc1-ab76500bc1\image_05_47540542111943.jpg; seo_runs\jeminise.com\20260906_234129\evidence\contact_sheets\160_norse-mythology-raven-centered-within-runic-circle-comforter-ab76500bc1-ab76500bc1.jpg</t>
        </is>
      </c>
    </row>
    <row r="71" ht="66" customHeight="1">
      <c r="A71" s="3" t="inlineStr">
        <is>
          <t>jeminise.com+norse-mythology-raven-centered-within-runic-circle-comforter-ab76500bc1-ab76500bc1</t>
        </is>
      </c>
      <c r="B71" s="3" t="inlineStr">
        <is>
          <t>img_33e13bfac305c482</t>
        </is>
      </c>
      <c r="C71" s="4" t="inlineStr">
        <is>
          <t>https://cdn.shopify.com/s/files/1/0792/5098/1063/files/b4731ea28a666e82b883a0ae4f93a2e419ea253451c0f86b9d2749f171fb3e78.jpg?v=1785104615</t>
        </is>
      </c>
      <c r="D71" s="4" t="inlineStr">
        <is>
          <t>https://cdn.shopify.com/s/files/1/0792/5098/1063/files/b4731ea28a666e82b883a0ae4f93a2e419ea253451c0f86b9d2749f171fb3e78.jpg?v=1785104615</t>
        </is>
      </c>
      <c r="E71" s="3" t="inlineStr">
        <is>
          <t>47540542144711</t>
        </is>
      </c>
      <c r="F71" s="3" t="inlineStr">
        <is>
          <t>47540542144711</t>
        </is>
      </c>
      <c r="G71" s="3" t="inlineStr"/>
      <c r="H71" s="3" t="inlineStr">
        <is>
          <t>GALLERY</t>
        </is>
      </c>
      <c r="I71" s="3" t="inlineStr">
        <is>
          <t>DIRECT_IMAGE_DOWNLOAD_AND_SOURCE_ROW_REVIEW</t>
        </is>
      </c>
      <c r="J71" s="3" t="inlineStr">
        <is>
          <t>2026-09-07T21:16:18+07:00</t>
        </is>
      </c>
      <c r="K71" s="3" t="inlineStr">
        <is>
          <t>Direct QA opened downloaded image 160_06; source SHA 8FD1ECC99AC79448A4FF4A34379B360FFF5C5351F6B783DC0EC6AC7652A3D116. Submitted observation reviewed against gallery position.</t>
        </is>
      </c>
      <c r="L71" s="3" t="inlineStr">
        <is>
          <t>Easy-care, size guide or product feature image for pink Norse raven runic circle comforter.</t>
        </is>
      </c>
      <c r="M71" s="3" t="inlineStr">
        <is>
          <t>UNKNOWN</t>
        </is>
      </c>
      <c r="N71" s="3" t="inlineStr">
        <is>
          <t>SET</t>
        </is>
      </c>
      <c r="O71" s="3" t="inlineStr">
        <is>
          <t>Care, size or product feature image for Pink Norse Raven Runic Circle Comforter</t>
        </is>
      </c>
      <c r="P71" s="3" t="inlineStr">
        <is>
          <t>FULL</t>
        </is>
      </c>
      <c r="Q71" s="3" t="inlineStr">
        <is>
          <t>PARTIAL</t>
        </is>
      </c>
      <c r="R71" s="3" t="inlineStr">
        <is>
          <t>FULL</t>
        </is>
      </c>
      <c r="S71" s="3" t="inlineStr">
        <is>
          <t>FULL</t>
        </is>
      </c>
      <c r="T71" s="7">
        <f>IF(P71="FULL",40,IF(P71="PARTIAL",40/2,0))+IF(Q71="FULL",30,IF(Q71="PARTIAL",30/2,0))+IF(R71="FULL",20,IF(R71="PARTIAL",20/2,0))+IF(S71="FULL",10,IF(S71="PARTIAL",10/2,0))</f>
        <v/>
      </c>
      <c r="U71" s="7">
        <f>IF(P71="NOT_CHECKED",0,40)+IF(Q71="NOT_CHECKED",0,30)+IF(R71="NOT_CHECKED",0,20)+IF(S71="NOT_CHECKED",0,10)</f>
        <v/>
      </c>
      <c r="V71" s="7">
        <f>IF(U71=100,T71,"")</f>
        <v/>
      </c>
      <c r="W71" s="7">
        <f>T71</f>
        <v/>
      </c>
      <c r="X71" s="7">
        <f>T71+(100-U71)</f>
        <v/>
      </c>
      <c r="Y71" s="3" t="inlineStr">
        <is>
          <t>ISSUE-0101</t>
        </is>
      </c>
      <c r="Z71" s="3" t="inlineStr">
        <is>
          <t>D:\Shopify_Workspace\jeminise_seo\seo_runs\jeminise.com\20260906_234129\qa\20260907_210204\images\160_06.jpg; seo_runs\jeminise.com\20260906_234129\evidence\images\160_norse-mythology-raven-centered-within-runic-circle-comforter-ab76500bc1-ab76500bc1\image_06_47540542144711.jpg; seo_runs\jeminise.com\20260906_234129\evidence\contact_sheets\160_norse-mythology-raven-centered-within-runic-circle-comforter-ab76500bc1-ab76500bc1.jpg</t>
        </is>
      </c>
    </row>
    <row r="72" ht="66" customHeight="1">
      <c r="A72" s="2" t="inlineStr">
        <is>
          <t>jeminise.com+norse-mythology-raven-centered-within-runic-circle-comforter-ab76500bc1-ab76500bc1</t>
        </is>
      </c>
      <c r="B72" s="2" t="inlineStr">
        <is>
          <t>img_d9d68e1a19ccae7d</t>
        </is>
      </c>
      <c r="C72" s="4" t="inlineStr">
        <is>
          <t>https://cdn.shopify.com/s/files/1/0792/5098/1063/files/54306d900544cdc264bc1bafbaabbdb0386d11b51224733bdf7f6718e0c9fc46.jpg?v=1785104615</t>
        </is>
      </c>
      <c r="D72" s="4" t="inlineStr">
        <is>
          <t>https://cdn.shopify.com/s/files/1/0792/5098/1063/files/54306d900544cdc264bc1bafbaabbdb0386d11b51224733bdf7f6718e0c9fc46.jpg?v=1785104615</t>
        </is>
      </c>
      <c r="E72" s="2" t="inlineStr">
        <is>
          <t>47540542177479</t>
        </is>
      </c>
      <c r="F72" s="2" t="inlineStr">
        <is>
          <t>47540542177479</t>
        </is>
      </c>
      <c r="G72" s="2" t="inlineStr"/>
      <c r="H72" s="2" t="inlineStr">
        <is>
          <t>GALLERY</t>
        </is>
      </c>
      <c r="I72" s="2" t="inlineStr">
        <is>
          <t>DIRECT_IMAGE_DOWNLOAD_AND_SOURCE_ROW_REVIEW</t>
        </is>
      </c>
      <c r="J72" s="2" t="inlineStr">
        <is>
          <t>2026-09-07T21:16:18+07:00</t>
        </is>
      </c>
      <c r="K72" s="2" t="inlineStr">
        <is>
          <t>Direct QA opened downloaded image 160_07; source SHA AED22B90FF382D2EB888DF189072BFFC8F928ED9EE91444C25A382E69803777A. Submitted observation reviewed against gallery position.</t>
        </is>
      </c>
      <c r="L72" s="2" t="inlineStr">
        <is>
          <t>Additional lifestyle, feature or product detail image showing pink Norse raven runic circle comforter.</t>
        </is>
      </c>
      <c r="M72" s="2" t="inlineStr">
        <is>
          <t>UNKNOWN</t>
        </is>
      </c>
      <c r="N72" s="2" t="inlineStr">
        <is>
          <t>SET</t>
        </is>
      </c>
      <c r="O72" s="2" t="inlineStr">
        <is>
          <t>Additional product mockup of Pink Norse Raven Runic Circle Comforter</t>
        </is>
      </c>
      <c r="P72" s="2" t="inlineStr">
        <is>
          <t>FULL</t>
        </is>
      </c>
      <c r="Q72" s="2" t="inlineStr">
        <is>
          <t>PARTIAL</t>
        </is>
      </c>
      <c r="R72" s="2" t="inlineStr">
        <is>
          <t>FULL</t>
        </is>
      </c>
      <c r="S72" s="2" t="inlineStr">
        <is>
          <t>FULL</t>
        </is>
      </c>
      <c r="T72" s="5">
        <f>IF(P72="FULL",40,IF(P72="PARTIAL",40/2,0))+IF(Q72="FULL",30,IF(Q72="PARTIAL",30/2,0))+IF(R72="FULL",20,IF(R72="PARTIAL",20/2,0))+IF(S72="FULL",10,IF(S72="PARTIAL",10/2,0))</f>
        <v/>
      </c>
      <c r="U72" s="5">
        <f>IF(P72="NOT_CHECKED",0,40)+IF(Q72="NOT_CHECKED",0,30)+IF(R72="NOT_CHECKED",0,20)+IF(S72="NOT_CHECKED",0,10)</f>
        <v/>
      </c>
      <c r="V72" s="5">
        <f>IF(U72=100,T72,"")</f>
        <v/>
      </c>
      <c r="W72" s="5">
        <f>T72</f>
        <v/>
      </c>
      <c r="X72" s="5">
        <f>T72+(100-U72)</f>
        <v/>
      </c>
      <c r="Y72" s="2" t="inlineStr">
        <is>
          <t>ISSUE-0102</t>
        </is>
      </c>
      <c r="Z72" s="2" t="inlineStr">
        <is>
          <t>D:\Shopify_Workspace\jeminise_seo\seo_runs\jeminise.com\20260906_234129\qa\20260907_210204\images\160_07.jpg; seo_runs\jeminise.com\20260906_234129\evidence\images\160_norse-mythology-raven-centered-within-runic-circle-comforter-ab76500bc1-ab76500bc1\image_07_47540542177479.jpg; seo_runs\jeminise.com\20260906_234129\evidence\contact_sheets\160_norse-mythology-raven-centered-within-runic-circle-comforter-ab76500bc1-ab76500bc1.jpg</t>
        </is>
      </c>
    </row>
  </sheetData>
  <autoFilter ref="A1:Z7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ISSUE-0001</t>
        </is>
      </c>
      <c r="B2" s="2" t="inlineStr">
        <is>
          <t>jeminise.com+giraffe-patchwork-style-printed-quilt-animal-patchwork-bedding</t>
        </is>
      </c>
      <c r="C2" s="2" t="inlineStr"/>
      <c r="D2" s="2" t="inlineStr">
        <is>
          <t>MAJOR</t>
        </is>
      </c>
      <c r="E2" s="2" t="inlineStr">
        <is>
          <t>description_proposed_html</t>
        </is>
      </c>
      <c r="F2" s="2" t="inlineStr">
        <is>
          <t>&lt;p&gt;This Jeminise quilt set features large giraffe portrait in blue, teal, orange and tan mosaic patchwork styling with matching shams, making it suited for animal rooms, faith gifts, nature-inspired decor or Viking-themed bedrooms.&lt;/p&gt;&lt;h3&gt;Design Details&lt;/h3&gt;&lt;ul&gt;&lt;li&gt;Visible artwork: large giraffe portrait in blue, teal, orange and tan mosaic patchwork styling with matching shams.&lt;/li&gt;&lt;li&gt;Source product details include: Brand: Jeminise; Product Ty…</t>
        </is>
      </c>
      <c r="G2" s="2" t="inlineStr">
        <is>
          <t>Draft contains SEO Use / QA approval wording.</t>
        </is>
      </c>
      <c r="H2" s="2" t="inlineStr">
        <is>
          <t>Internal workflow language is not publish-ready storefront copy.</t>
        </is>
      </c>
      <c r="I2" s="2" t="inlineStr">
        <is>
          <t>Remove internal QA/import block and replace with customer-facing verified copy.</t>
        </is>
      </c>
      <c r="J2" s="2" t="inlineStr">
        <is>
          <t>Draft contains SEO Use / QA approval wording.</t>
        </is>
      </c>
      <c r="K2" s="2" t="inlineStr">
        <is>
          <t>Description HTML no longer contains SEO Use, QA, approval, import or draft language.</t>
        </is>
      </c>
    </row>
    <row r="3" ht="84" customHeight="1">
      <c r="A3" s="3" t="inlineStr">
        <is>
          <t>ISSUE-0002</t>
        </is>
      </c>
      <c r="B3" s="3" t="inlineStr">
        <is>
          <t>jeminise.com+giraffe-patchwork-style-printed-quilt-animal-patchwork-bedding</t>
        </is>
      </c>
      <c r="C3" s="3" t="inlineStr"/>
      <c r="D3" s="3" t="inlineStr">
        <is>
          <t>MAJOR</t>
        </is>
      </c>
      <c r="E3" s="3" t="inlineStr">
        <is>
          <t>h1_proposed</t>
        </is>
      </c>
      <c r="F3" s="3" t="inlineStr"/>
      <c r="G3" s="3" t="inlineStr">
        <is>
          <t>The submitted workbook row has no proposed H1.</t>
        </is>
      </c>
      <c r="H3" s="3" t="inlineStr">
        <is>
          <t>A publishable SEO title/H1 pair is incomplete when the H1 field is blank.</t>
        </is>
      </c>
      <c r="I3" s="3" t="inlineStr">
        <is>
          <t>Write one English H1 that matches the verified product type and visible design; do not copy unsupported claims.</t>
        </is>
      </c>
      <c r="J3" s="3" t="inlineStr">
        <is>
          <t>The submitted workbook row has no proposed H1.</t>
        </is>
      </c>
      <c r="K3" s="3" t="inlineStr">
        <is>
          <t>Workbook contains a non-empty H1 and it is consistent with title, primary keyword and live product evidence.</t>
        </is>
      </c>
    </row>
    <row r="4" ht="84" customHeight="1">
      <c r="A4" s="2" t="inlineStr">
        <is>
          <t>ISSUE-0003</t>
        </is>
      </c>
      <c r="B4" s="2" t="inlineStr">
        <is>
          <t>jeminise.com+giraffe-patchwork-style-printed-quilt-animal-patchwork-bedding</t>
        </is>
      </c>
      <c r="C4" s="2" t="inlineStr"/>
      <c r="D4" s="2" t="inlineStr">
        <is>
          <t>MAJOR</t>
        </is>
      </c>
      <c r="E4" s="2" t="inlineStr">
        <is>
          <t>description_proposed_html</t>
        </is>
      </c>
      <c r="F4" s="2" t="inlineStr">
        <is>
          <t>&lt;p&gt;This Jeminise quilt set features large giraffe portrait in blue, teal, orange and tan mosaic patchwork styling with matching shams, making it suited for animal rooms, faith gifts, nature-inspired decor or Viking-themed bedrooms.&lt;/p&gt;&lt;h3&gt;Design Details&lt;/h3&gt;&lt;ul&gt;&lt;li&gt;Visible artwork: large giraffe portrait in blue, teal, orange and tan mosaic patchwork styling with matching shams.&lt;/li&gt;&lt;li&gt;Source product details include: Brand: Jeminise; Product Ty…</t>
        </is>
      </c>
      <c r="G4" s="2" t="inlineStr">
        <is>
          <t>The proposed description uses a repeated audience list (for example, animal rooms/faith gifts/nature-inspired decor) that is not specific to this product.</t>
        </is>
      </c>
      <c r="H4" s="2" t="inlineStr">
        <is>
          <t>Generic audience wording can be irrelevant or contradictory to the visible motif and is not evidence-led storefront copy.</t>
        </is>
      </c>
      <c r="I4" s="2" t="inlineStr">
        <is>
          <t>Replace it with concise English customer-facing copy tied only to the verified motif, product type, size/pillowcase choices and supported customizer control.</t>
        </is>
      </c>
      <c r="J4" s="2" t="inlineStr">
        <is>
          <t>The proposed description uses a repeated audience list (for example, animal rooms/faith gifts/nature-inspired decor) that is not specific to this product.</t>
        </is>
      </c>
      <c r="K4" s="2" t="inlineStr">
        <is>
          <t>Description contains no irrelevant template audience list and every remaining claim is supported by live/snapshot evidence.</t>
        </is>
      </c>
    </row>
    <row r="5" ht="84" customHeight="1">
      <c r="A5" s="3" t="inlineStr">
        <is>
          <t>ISSUE-0004</t>
        </is>
      </c>
      <c r="B5" s="3" t="inlineStr">
        <is>
          <t>jeminise.com+giraffe-patchwork-style-printed-quilt-animal-patchwork-bedding</t>
        </is>
      </c>
      <c r="C5" s="3" t="inlineStr"/>
      <c r="D5" s="3" t="inlineStr">
        <is>
          <t>MINOR</t>
        </is>
      </c>
      <c r="E5" s="3" t="inlineStr">
        <is>
          <t>meta_description_seo</t>
        </is>
      </c>
      <c r="F5" s="3" t="inlineStr">
        <is>
          <t>Shop a quilt set featuring large giraffe portrait in blue, teal, orange and tan mosaic patchwork styling with matching shams. Review size and personalization options before checkout.</t>
        </is>
      </c>
      <c r="G5" s="3" t="inlineStr">
        <is>
          <t>Meta description length is 182 characters.</t>
        </is>
      </c>
      <c r="H5" s="3" t="inlineStr">
        <is>
          <t>Likely to truncate in search results and repeats review/personality wording in several rows.</t>
        </is>
      </c>
      <c r="I5" s="3" t="inlineStr">
        <is>
          <t>Rewrite to roughly 145-155 characters while preserving verified design and product type.</t>
        </is>
      </c>
      <c r="J5" s="3" t="inlineStr">
        <is>
          <t>Meta description length is 182 characters.</t>
        </is>
      </c>
      <c r="K5" s="3" t="inlineStr">
        <is>
          <t>Length check &lt;=160 characters and no unsupported claim remains.</t>
        </is>
      </c>
    </row>
    <row r="6" ht="84" customHeight="1">
      <c r="A6" s="2" t="inlineStr">
        <is>
          <t>ISSUE-0005</t>
        </is>
      </c>
      <c r="B6" s="2" t="inlineStr">
        <is>
          <t>jeminise.com+giraffe-patchwork-style-printed-quilt-animal-patchwork-bedding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Only public SERP comparables are available.</t>
        </is>
      </c>
      <c r="H6" s="2" t="inlineStr">
        <is>
          <t>No Search Console, paid keyword volume or internal site search export was supplied.</t>
        </is>
      </c>
      <c r="I6" s="2" t="inlineStr">
        <is>
          <t>Keep demand statements qualitative; do not claim volume or ranking potential.</t>
        </is>
      </c>
      <c r="J6" s="2" t="inlineStr">
        <is>
          <t>Only public SERP comparables are available.</t>
        </is>
      </c>
      <c r="K6" s="2" t="inlineStr">
        <is>
          <t>Additional first-party or paid keyword evidence is attached, or limitation remains documented.</t>
        </is>
      </c>
    </row>
    <row r="7" ht="84" customHeight="1">
      <c r="A7" s="3" t="inlineStr">
        <is>
          <t>ISSUE-0006</t>
        </is>
      </c>
      <c r="B7" s="3" t="inlineStr">
        <is>
          <t>jeminise.com+giraffe-patchwork-style-printed-quilt-animal-patchwork-bedding</t>
        </is>
      </c>
      <c r="C7" s="3" t="inlineStr">
        <is>
          <t>img_9b392deb2c5a82b9</t>
        </is>
      </c>
      <c r="D7" s="3" t="inlineStr">
        <is>
          <t>MINOR</t>
        </is>
      </c>
      <c r="E7" s="3" t="inlineStr">
        <is>
          <t>alt text</t>
        </is>
      </c>
      <c r="F7" s="3" t="inlineStr">
        <is>
          <t>Blue Mosaic Giraffe Patchwork Quilt displayed in a main product mockup</t>
        </is>
      </c>
      <c r="G7" s="3" t="inlineStr">
        <is>
          <t>Fresh image file: D:\Shopify_Workspace\jeminise_seo\seo_runs\jeminise.com\20260906_234129\qa\20260907_210204\images\151_01.jpg; source URL: https://cdn.shopify.com/s/files/1/0792/5098/1063/files/603c040a548d71a824cef1c6f7a26003ffc38ac45191f307365700954d9f5728.jpg?v=1787233635</t>
        </is>
      </c>
      <c r="H7" s="3" t="inlineStr">
        <is>
          <t>Alt text is too generic or describes placement more than visible content.</t>
        </is>
      </c>
      <c r="I7" s="3" t="inlineStr">
        <is>
          <t>Rewrite observation/alt from the directly opened image, naming the visible motif and use context.</t>
        </is>
      </c>
      <c r="J7" s="3" t="inlineStr">
        <is>
          <t>Fresh image file: D:\Shopify_Workspace\jeminise_seo\seo_runs\jeminise.com\20260906_234129\qa\20260907_210204\images\151_01.jpg; source URL: https://cdn.shopify.com/s/files/1/0792/5098/1063/files/603c040a548d71a824cef1c6f7a26003ffc38ac45191f307365700954d9f5728.jpg?v=1787233635</t>
        </is>
      </c>
      <c r="K7" s="3" t="inlineStr">
        <is>
          <t>The image row accurately describes the actual media at this gallery position.</t>
        </is>
      </c>
    </row>
    <row r="8" ht="84" customHeight="1">
      <c r="A8" s="2" t="inlineStr">
        <is>
          <t>ISSUE-0007</t>
        </is>
      </c>
      <c r="B8" s="2" t="inlineStr">
        <is>
          <t>jeminise.com+giraffe-patchwork-style-printed-quilt-animal-patchwork-bedding</t>
        </is>
      </c>
      <c r="C8" s="2" t="inlineStr">
        <is>
          <t>img_e43a39b20e37bab3</t>
        </is>
      </c>
      <c r="D8" s="2" t="inlineStr">
        <is>
          <t>MINOR</t>
        </is>
      </c>
      <c r="E8" s="2" t="inlineStr">
        <is>
          <t>image observation</t>
        </is>
      </c>
      <c r="F8" s="2" t="inlineStr">
        <is>
          <t>Bedding type, feature, lifestyle or material image for blue mosaic giraffe patchwork quilt.</t>
        </is>
      </c>
      <c r="G8" s="2" t="inlineStr">
        <is>
          <t>Fresh image file: D:\Shopify_Workspace\jeminise_seo\seo_runs\jeminise.com\20260906_234129\qa\20260907_210204\images\151_03.jpg; source URL: https://cdn.shopify.com/s/files/1/0792/5098/1063/files/bd0c76c837967938b4d577ff893ef9c2e807756bc0b37ab9ebf7238cca4042bd.jpg?v=1787233635</t>
        </is>
      </c>
      <c r="H8" s="2" t="inlineStr">
        <is>
          <t>Observation is generic or position-based; rewrite from the actual image content.</t>
        </is>
      </c>
      <c r="I8" s="2" t="inlineStr">
        <is>
          <t>Rewrite observation/alt from the directly opened image, naming the visible motif and use context.</t>
        </is>
      </c>
      <c r="J8" s="2" t="inlineStr">
        <is>
          <t>Fresh image file: D:\Shopify_Workspace\jeminise_seo\seo_runs\jeminise.com\20260906_234129\qa\20260907_210204\images\151_03.jpg; source URL: https://cdn.shopify.com/s/files/1/0792/5098/1063/files/bd0c76c837967938b4d577ff893ef9c2e807756bc0b37ab9ebf7238cca4042bd.jpg?v=1787233635</t>
        </is>
      </c>
      <c r="K8" s="2" t="inlineStr">
        <is>
          <t>The image row accurately describes the actual media at this gallery position.</t>
        </is>
      </c>
    </row>
    <row r="9" ht="84" customHeight="1">
      <c r="A9" s="3" t="inlineStr">
        <is>
          <t>ISSUE-0008</t>
        </is>
      </c>
      <c r="B9" s="3" t="inlineStr">
        <is>
          <t>jeminise.com+giraffe-patchwork-style-printed-quilt-animal-patchwork-bedding</t>
        </is>
      </c>
      <c r="C9" s="3" t="inlineStr">
        <is>
          <t>img_190a5ab48a5e524d</t>
        </is>
      </c>
      <c r="D9" s="3" t="inlineStr">
        <is>
          <t>MINOR</t>
        </is>
      </c>
      <c r="E9" s="3" t="inlineStr">
        <is>
          <t>image observation</t>
        </is>
      </c>
      <c r="F9" s="3" t="inlineStr">
        <is>
          <t>Detail, feature panel or lifestyle image connected to blue mosaic giraffe patchwork quilt.</t>
        </is>
      </c>
      <c r="G9" s="3" t="inlineStr">
        <is>
          <t>Fresh image file: D:\Shopify_Workspace\jeminise_seo\seo_runs\jeminise.com\20260906_234129\qa\20260907_210204\images\151_04.jpg; source URL: https://cdn.shopify.com/s/files/1/0792/5098/1063/files/f5a5d13d5344a2d7adef506d08259b82c77867e7098b93b86898cdf6c1f1eeb8.jpg?v=1787233635</t>
        </is>
      </c>
      <c r="H9" s="3" t="inlineStr">
        <is>
          <t>Observation is generic or position-based; rewrite from the actual image content.</t>
        </is>
      </c>
      <c r="I9" s="3" t="inlineStr">
        <is>
          <t>Rewrite observation/alt from the directly opened image, naming the visible motif and use context.</t>
        </is>
      </c>
      <c r="J9" s="3" t="inlineStr">
        <is>
          <t>Fresh image file: D:\Shopify_Workspace\jeminise_seo\seo_runs\jeminise.com\20260906_234129\qa\20260907_210204\images\151_04.jpg; source URL: https://cdn.shopify.com/s/files/1/0792/5098/1063/files/f5a5d13d5344a2d7adef506d08259b82c77867e7098b93b86898cdf6c1f1eeb8.jpg?v=1787233635</t>
        </is>
      </c>
      <c r="K9" s="3" t="inlineStr">
        <is>
          <t>The image row accurately describes the actual media at this gallery position.</t>
        </is>
      </c>
    </row>
    <row r="10" ht="84" customHeight="1">
      <c r="A10" s="2" t="inlineStr">
        <is>
          <t>ISSUE-0009</t>
        </is>
      </c>
      <c r="B10" s="2" t="inlineStr">
        <is>
          <t>jeminise.com+giraffe-patchwork-style-printed-quilt-animal-patchwork-bedding</t>
        </is>
      </c>
      <c r="C10" s="2" t="inlineStr">
        <is>
          <t>img_5d8ad93523cc8cc3</t>
        </is>
      </c>
      <c r="D10" s="2" t="inlineStr">
        <is>
          <t>MINOR</t>
        </is>
      </c>
      <c r="E10" s="2" t="inlineStr">
        <is>
          <t>image observation</t>
        </is>
      </c>
      <c r="F10" s="2" t="inlineStr">
        <is>
          <t>Easy-care, size guide or product feature image for blue mosaic giraffe patchwork quilt.</t>
        </is>
      </c>
      <c r="G10" s="2" t="inlineStr">
        <is>
          <t>Fresh image file: D:\Shopify_Workspace\jeminise_seo\seo_runs\jeminise.com\20260906_234129\qa\20260907_210204\images\151_06.jpg; source URL: https://cdn.shopify.com/s/files/1/0792/5098/1063/files/1981b27c6fedf88c3cb44a9ba34f2731ecaf38e935e82614835b12142e1c6a31.jpg?v=1787233635</t>
        </is>
      </c>
      <c r="H10" s="2" t="inlineStr">
        <is>
          <t>Observation is generic or position-based; rewrite from the actual image content.</t>
        </is>
      </c>
      <c r="I10" s="2" t="inlineStr">
        <is>
          <t>Rewrite observation/alt from the directly opened image, naming the visible motif and use context.</t>
        </is>
      </c>
      <c r="J10" s="2" t="inlineStr">
        <is>
          <t>Fresh image file: D:\Shopify_Workspace\jeminise_seo\seo_runs\jeminise.com\20260906_234129\qa\20260907_210204\images\151_06.jpg; source URL: https://cdn.shopify.com/s/files/1/0792/5098/1063/files/1981b27c6fedf88c3cb44a9ba34f2731ecaf38e935e82614835b12142e1c6a31.jpg?v=1787233635</t>
        </is>
      </c>
      <c r="K10" s="2" t="inlineStr">
        <is>
          <t>The image row accurately describes the actual media at this gallery position.</t>
        </is>
      </c>
    </row>
    <row r="11" ht="84" customHeight="1">
      <c r="A11" s="3" t="inlineStr">
        <is>
          <t>ISSUE-0010</t>
        </is>
      </c>
      <c r="B11" s="3" t="inlineStr">
        <is>
          <t>jeminise.com+giraffe-patchwork-style-printed-quilt-animal-patchwork-bedding</t>
        </is>
      </c>
      <c r="C11" s="3" t="inlineStr">
        <is>
          <t>img_f238615aa97cdd95</t>
        </is>
      </c>
      <c r="D11" s="3" t="inlineStr">
        <is>
          <t>MINOR</t>
        </is>
      </c>
      <c r="E11" s="3" t="inlineStr">
        <is>
          <t>image observation</t>
        </is>
      </c>
      <c r="F11" s="3" t="inlineStr">
        <is>
          <t>Additional lifestyle, feature or product detail image showing blue mosaic giraffe patchwork quilt.</t>
        </is>
      </c>
      <c r="G11" s="3" t="inlineStr">
        <is>
          <t>Fresh image file: D:\Shopify_Workspace\jeminise_seo\seo_runs\jeminise.com\20260906_234129\qa\20260907_210204\images\151_07.jpg; source URL: https://cdn.shopify.com/s/files/1/0792/5098/1063/files/c3434f966cfbdf098091125e6432da488e48020e005baf7613b44ceb3d691a8e.jpg?v=1787233635</t>
        </is>
      </c>
      <c r="H11" s="3" t="inlineStr">
        <is>
          <t>Observation is generic or position-based; rewrite from the actual image content.</t>
        </is>
      </c>
      <c r="I11" s="3" t="inlineStr">
        <is>
          <t>Rewrite observation/alt from the directly opened image, naming the visible motif and use context.</t>
        </is>
      </c>
      <c r="J11" s="3" t="inlineStr">
        <is>
          <t>Fresh image file: D:\Shopify_Workspace\jeminise_seo\seo_runs\jeminise.com\20260906_234129\qa\20260907_210204\images\151_07.jpg; source URL: https://cdn.shopify.com/s/files/1/0792/5098/1063/files/c3434f966cfbdf098091125e6432da488e48020e005baf7613b44ceb3d691a8e.jpg?v=1787233635</t>
        </is>
      </c>
      <c r="K11" s="3" t="inlineStr">
        <is>
          <t>The image row accurately describes the actual media at this gallery position.</t>
        </is>
      </c>
    </row>
    <row r="12" ht="84" customHeight="1">
      <c r="A12" s="2" t="inlineStr">
        <is>
          <t>ISSUE-0011</t>
        </is>
      </c>
      <c r="B12" s="2" t="inlineStr">
        <is>
          <t>jeminise.com+horse-patchwork-pattern-quilt-set-vintage-animal-quilt-printed</t>
        </is>
      </c>
      <c r="C12" s="2" t="inlineStr"/>
      <c r="D12" s="2" t="inlineStr">
        <is>
          <t>MAJOR</t>
        </is>
      </c>
      <c r="E12" s="2" t="inlineStr">
        <is>
          <t>description_proposed_html</t>
        </is>
      </c>
      <c r="F12" s="2" t="inlineStr">
        <is>
          <t>&lt;p&gt;This Jeminise quilt set features horse portrait inside a circular warm orange, gold and black stained-glass style frame, making it suited for animal rooms, faith gifts, nature-inspired decor or Viking-themed bedrooms.&lt;/p&gt;&lt;h3&gt;Design Details&lt;/h3&gt;&lt;ul&gt;&lt;li&gt;Visible artwork: horse portrait inside a circular warm orange, gold and black stained-glass style frame.&lt;/li&gt;&lt;li&gt;Source product details include: Brand: Jeminise; Product Type: Quilt Set; Materia…</t>
        </is>
      </c>
      <c r="G12" s="2" t="inlineStr">
        <is>
          <t>Draft contains SEO Use / QA approval wording.</t>
        </is>
      </c>
      <c r="H12" s="2" t="inlineStr">
        <is>
          <t>Internal workflow language is not publish-ready storefront copy.</t>
        </is>
      </c>
      <c r="I12" s="2" t="inlineStr">
        <is>
          <t>Remove internal QA/import block and replace with customer-facing verified copy.</t>
        </is>
      </c>
      <c r="J12" s="2" t="inlineStr">
        <is>
          <t>Draft contains SEO Use / QA approval wording.</t>
        </is>
      </c>
      <c r="K12" s="2" t="inlineStr">
        <is>
          <t>Description HTML no longer contains SEO Use, QA, approval, import or draft language.</t>
        </is>
      </c>
    </row>
    <row r="13" ht="84" customHeight="1">
      <c r="A13" s="3" t="inlineStr">
        <is>
          <t>ISSUE-0012</t>
        </is>
      </c>
      <c r="B13" s="3" t="inlineStr">
        <is>
          <t>jeminise.com+horse-patchwork-pattern-quilt-set-vintage-animal-quilt-printed</t>
        </is>
      </c>
      <c r="C13" s="3" t="inlineStr"/>
      <c r="D13" s="3" t="inlineStr">
        <is>
          <t>MAJOR</t>
        </is>
      </c>
      <c r="E13" s="3" t="inlineStr">
        <is>
          <t>h1_proposed</t>
        </is>
      </c>
      <c r="F13" s="3" t="inlineStr"/>
      <c r="G13" s="3" t="inlineStr">
        <is>
          <t>The submitted workbook row has no proposed H1.</t>
        </is>
      </c>
      <c r="H13" s="3" t="inlineStr">
        <is>
          <t>A publishable SEO title/H1 pair is incomplete when the H1 field is blank.</t>
        </is>
      </c>
      <c r="I13" s="3" t="inlineStr">
        <is>
          <t>Write one English H1 that matches the verified product type and visible design; do not copy unsupported claims.</t>
        </is>
      </c>
      <c r="J13" s="3" t="inlineStr">
        <is>
          <t>The submitted workbook row has no proposed H1.</t>
        </is>
      </c>
      <c r="K13" s="3" t="inlineStr">
        <is>
          <t>Workbook contains a non-empty H1 and it is consistent with title, primary keyword and live product evidence.</t>
        </is>
      </c>
    </row>
    <row r="14" ht="84" customHeight="1">
      <c r="A14" s="2" t="inlineStr">
        <is>
          <t>ISSUE-0013</t>
        </is>
      </c>
      <c r="B14" s="2" t="inlineStr">
        <is>
          <t>jeminise.com+horse-patchwork-pattern-quilt-set-vintage-animal-quilt-printed</t>
        </is>
      </c>
      <c r="C14" s="2" t="inlineStr"/>
      <c r="D14" s="2" t="inlineStr">
        <is>
          <t>MAJOR</t>
        </is>
      </c>
      <c r="E14" s="2" t="inlineStr">
        <is>
          <t>description_proposed_html</t>
        </is>
      </c>
      <c r="F14" s="2" t="inlineStr">
        <is>
          <t>&lt;p&gt;This Jeminise quilt set features horse portrait inside a circular warm orange, gold and black stained-glass style frame, making it suited for animal rooms, faith gifts, nature-inspired decor or Viking-themed bedrooms.&lt;/p&gt;&lt;h3&gt;Design Details&lt;/h3&gt;&lt;ul&gt;&lt;li&gt;Visible artwork: horse portrait inside a circular warm orange, gold and black stained-glass style frame.&lt;/li&gt;&lt;li&gt;Source product details include: Brand: Jeminise; Product Type: Quilt Set; Materia…</t>
        </is>
      </c>
      <c r="G14" s="2" t="inlineStr">
        <is>
          <t>The proposed description uses a repeated audience list (for example, animal rooms/faith gifts/nature-inspired decor) that is not specific to this product.</t>
        </is>
      </c>
      <c r="H14" s="2" t="inlineStr">
        <is>
          <t>Generic audience wording can be irrelevant or contradictory to the visible motif and is not evidence-led storefront copy.</t>
        </is>
      </c>
      <c r="I14" s="2" t="inlineStr">
        <is>
          <t>Replace it with concise English customer-facing copy tied only to the verified motif, product type, size/pillowcase choices and supported customizer control.</t>
        </is>
      </c>
      <c r="J14" s="2" t="inlineStr">
        <is>
          <t>The proposed description uses a repeated audience list (for example, animal rooms/faith gifts/nature-inspired decor) that is not specific to this product.</t>
        </is>
      </c>
      <c r="K14" s="2" t="inlineStr">
        <is>
          <t>Description contains no irrelevant template audience list and every remaining claim is supported by live/snapshot evidence.</t>
        </is>
      </c>
    </row>
    <row r="15" ht="84" customHeight="1">
      <c r="A15" s="3" t="inlineStr">
        <is>
          <t>ISSUE-0014</t>
        </is>
      </c>
      <c r="B15" s="3" t="inlineStr">
        <is>
          <t>jeminise.com+horse-patchwork-pattern-quilt-set-vintage-animal-quilt-printed</t>
        </is>
      </c>
      <c r="C15" s="3" t="inlineStr"/>
      <c r="D15" s="3" t="inlineStr">
        <is>
          <t>MINOR</t>
        </is>
      </c>
      <c r="E15" s="3" t="inlineStr">
        <is>
          <t>meta_description_seo</t>
        </is>
      </c>
      <c r="F15" s="3" t="inlineStr">
        <is>
          <t>Shop a quilt set featuring horse portrait inside a circular warm orange, gold and black stained-glass style frame. Review size and personalization options before checkout.</t>
        </is>
      </c>
      <c r="G15" s="3" t="inlineStr">
        <is>
          <t>Meta description length is 171 characters.</t>
        </is>
      </c>
      <c r="H15" s="3" t="inlineStr">
        <is>
          <t>Likely to truncate in search results and repeats review/personality wording in several rows.</t>
        </is>
      </c>
      <c r="I15" s="3" t="inlineStr">
        <is>
          <t>Rewrite to roughly 145-155 characters while preserving verified design and product type.</t>
        </is>
      </c>
      <c r="J15" s="3" t="inlineStr">
        <is>
          <t>Meta description length is 171 characters.</t>
        </is>
      </c>
      <c r="K15" s="3" t="inlineStr">
        <is>
          <t>Length check &lt;=160 characters and no unsupported claim remains.</t>
        </is>
      </c>
    </row>
    <row r="16" ht="84" customHeight="1">
      <c r="A16" s="2" t="inlineStr">
        <is>
          <t>ISSUE-0015</t>
        </is>
      </c>
      <c r="B16" s="2" t="inlineStr">
        <is>
          <t>jeminise.com+horse-patchwork-pattern-quilt-set-vintage-animal-quilt-printed</t>
        </is>
      </c>
      <c r="C16" s="2" t="inlineStr"/>
      <c r="D16" s="2" t="inlineStr">
        <is>
          <t>LIMITATION</t>
        </is>
      </c>
      <c r="E16" s="2" t="inlineStr">
        <is>
          <t>keyword_evidence_level</t>
        </is>
      </c>
      <c r="F16" s="2" t="inlineStr">
        <is>
          <t>SERP_ONLY</t>
        </is>
      </c>
      <c r="G16" s="2" t="inlineStr">
        <is>
          <t>Only public SERP comparables are available.</t>
        </is>
      </c>
      <c r="H16" s="2" t="inlineStr">
        <is>
          <t>No Search Console, paid keyword volume or internal site search export was supplied.</t>
        </is>
      </c>
      <c r="I16" s="2" t="inlineStr">
        <is>
          <t>Keep demand statements qualitative; do not claim volume or ranking potential.</t>
        </is>
      </c>
      <c r="J16" s="2" t="inlineStr">
        <is>
          <t>Only public SERP comparables are available.</t>
        </is>
      </c>
      <c r="K16" s="2" t="inlineStr">
        <is>
          <t>Additional first-party or paid keyword evidence is attached, or limitation remains documented.</t>
        </is>
      </c>
    </row>
    <row r="17" ht="84" customHeight="1">
      <c r="A17" s="3" t="inlineStr">
        <is>
          <t>ISSUE-0016</t>
        </is>
      </c>
      <c r="B17" s="3" t="inlineStr">
        <is>
          <t>jeminise.com+horse-patchwork-pattern-quilt-set-vintage-animal-quilt-printed</t>
        </is>
      </c>
      <c r="C17" s="3" t="inlineStr">
        <is>
          <t>img_04778e6c637fa5ca</t>
        </is>
      </c>
      <c r="D17" s="3" t="inlineStr">
        <is>
          <t>MINOR</t>
        </is>
      </c>
      <c r="E17" s="3" t="inlineStr">
        <is>
          <t>alt text</t>
        </is>
      </c>
      <c r="F17" s="3" t="inlineStr">
        <is>
          <t>Vintage Horse Patchwork Quilt Set displayed in a main product mockup</t>
        </is>
      </c>
      <c r="G17" s="3" t="inlineStr">
        <is>
          <t>Fresh image file: D:\Shopify_Workspace\jeminise_seo\seo_runs\jeminise.com\20260906_234129\qa\20260907_210204\images\152_01.jpg; source URL: https://cdn.shopify.com/s/files/1/0792/5098/1063/files/6af34be75f66e81fc6baf14d54a155fe69d04261be33ea9d8242b2b79aa2796b.jpg?v=1787233650</t>
        </is>
      </c>
      <c r="H17" s="3" t="inlineStr">
        <is>
          <t>Alt text is too generic or describes placement more than visible content.</t>
        </is>
      </c>
      <c r="I17" s="3" t="inlineStr">
        <is>
          <t>Rewrite observation/alt from the directly opened image, naming the visible motif and use context.</t>
        </is>
      </c>
      <c r="J17" s="3" t="inlineStr">
        <is>
          <t>Fresh image file: D:\Shopify_Workspace\jeminise_seo\seo_runs\jeminise.com\20260906_234129\qa\20260907_210204\images\152_01.jpg; source URL: https://cdn.shopify.com/s/files/1/0792/5098/1063/files/6af34be75f66e81fc6baf14d54a155fe69d04261be33ea9d8242b2b79aa2796b.jpg?v=1787233650</t>
        </is>
      </c>
      <c r="K17" s="3" t="inlineStr">
        <is>
          <t>The image row accurately describes the actual media at this gallery position.</t>
        </is>
      </c>
    </row>
    <row r="18" ht="84" customHeight="1">
      <c r="A18" s="2" t="inlineStr">
        <is>
          <t>ISSUE-0017</t>
        </is>
      </c>
      <c r="B18" s="2" t="inlineStr">
        <is>
          <t>jeminise.com+horse-patchwork-pattern-quilt-set-vintage-animal-quilt-printed</t>
        </is>
      </c>
      <c r="C18" s="2" t="inlineStr">
        <is>
          <t>img_27046b944b83d085</t>
        </is>
      </c>
      <c r="D18" s="2" t="inlineStr">
        <is>
          <t>MINOR</t>
        </is>
      </c>
      <c r="E18" s="2" t="inlineStr">
        <is>
          <t>image observation</t>
        </is>
      </c>
      <c r="F18" s="2" t="inlineStr">
        <is>
          <t>Bedding type, feature, lifestyle or material image for vintage horse patchwork quilt with warm sunset colors.</t>
        </is>
      </c>
      <c r="G18" s="2" t="inlineStr">
        <is>
          <t>Fresh image file: D:\Shopify_Workspace\jeminise_seo\seo_runs\jeminise.com\20260906_234129\qa\20260907_210204\images\152_03.jpg; source URL: https://cdn.shopify.com/s/files/1/0792/5098/1063/files/079cec84e8f4643fe4fc5313cc8d480684d4308ee77013bfae2a6f1de077713a.jpg?v=1787233650</t>
        </is>
      </c>
      <c r="H18" s="2" t="inlineStr">
        <is>
          <t>Observation is generic or position-based; rewrite from the actual image content.</t>
        </is>
      </c>
      <c r="I18" s="2" t="inlineStr">
        <is>
          <t>Rewrite observation/alt from the directly opened image, naming the visible motif and use context.</t>
        </is>
      </c>
      <c r="J18" s="2" t="inlineStr">
        <is>
          <t>Fresh image file: D:\Shopify_Workspace\jeminise_seo\seo_runs\jeminise.com\20260906_234129\qa\20260907_210204\images\152_03.jpg; source URL: https://cdn.shopify.com/s/files/1/0792/5098/1063/files/079cec84e8f4643fe4fc5313cc8d480684d4308ee77013bfae2a6f1de077713a.jpg?v=1787233650</t>
        </is>
      </c>
      <c r="K18" s="2" t="inlineStr">
        <is>
          <t>The image row accurately describes the actual media at this gallery position.</t>
        </is>
      </c>
    </row>
    <row r="19" ht="84" customHeight="1">
      <c r="A19" s="3" t="inlineStr">
        <is>
          <t>ISSUE-0018</t>
        </is>
      </c>
      <c r="B19" s="3" t="inlineStr">
        <is>
          <t>jeminise.com+horse-patchwork-pattern-quilt-set-vintage-animal-quilt-printed</t>
        </is>
      </c>
      <c r="C19" s="3" t="inlineStr">
        <is>
          <t>img_a640c8ae6090bb03</t>
        </is>
      </c>
      <c r="D19" s="3" t="inlineStr">
        <is>
          <t>MINOR</t>
        </is>
      </c>
      <c r="E19" s="3" t="inlineStr">
        <is>
          <t>image observation</t>
        </is>
      </c>
      <c r="F19" s="3" t="inlineStr">
        <is>
          <t>Detail, feature panel or lifestyle image connected to vintage horse patchwork quilt with warm sunset colors.</t>
        </is>
      </c>
      <c r="G19" s="3" t="inlineStr">
        <is>
          <t>Fresh image file: D:\Shopify_Workspace\jeminise_seo\seo_runs\jeminise.com\20260906_234129\qa\20260907_210204\images\152_04.jpg; source URL: https://cdn.shopify.com/s/files/1/0792/5098/1063/files/e5737c32c3e36b9f2ef4b89a1ccd09485c37705d9ffc1b3553bcb7e3c1ea0107.jpg?v=1787233649</t>
        </is>
      </c>
      <c r="H19" s="3" t="inlineStr">
        <is>
          <t>Observation is generic or position-based; rewrite from the actual image content.</t>
        </is>
      </c>
      <c r="I19" s="3" t="inlineStr">
        <is>
          <t>Rewrite observation/alt from the directly opened image, naming the visible motif and use context.</t>
        </is>
      </c>
      <c r="J19" s="3" t="inlineStr">
        <is>
          <t>Fresh image file: D:\Shopify_Workspace\jeminise_seo\seo_runs\jeminise.com\20260906_234129\qa\20260907_210204\images\152_04.jpg; source URL: https://cdn.shopify.com/s/files/1/0792/5098/1063/files/e5737c32c3e36b9f2ef4b89a1ccd09485c37705d9ffc1b3553bcb7e3c1ea0107.jpg?v=1787233649</t>
        </is>
      </c>
      <c r="K19" s="3" t="inlineStr">
        <is>
          <t>The image row accurately describes the actual media at this gallery position.</t>
        </is>
      </c>
    </row>
    <row r="20" ht="84" customHeight="1">
      <c r="A20" s="2" t="inlineStr">
        <is>
          <t>ISSUE-0019</t>
        </is>
      </c>
      <c r="B20" s="2" t="inlineStr">
        <is>
          <t>jeminise.com+horse-patchwork-pattern-quilt-set-vintage-animal-quilt-printed</t>
        </is>
      </c>
      <c r="C20" s="2" t="inlineStr">
        <is>
          <t>img_e2c9283973db8225</t>
        </is>
      </c>
      <c r="D20" s="2" t="inlineStr">
        <is>
          <t>MINOR</t>
        </is>
      </c>
      <c r="E20" s="2" t="inlineStr">
        <is>
          <t>image observation</t>
        </is>
      </c>
      <c r="F20" s="2" t="inlineStr">
        <is>
          <t>Easy-care, size guide or product feature image for vintage horse patchwork quilt with warm sunset colors.</t>
        </is>
      </c>
      <c r="G20" s="2" t="inlineStr">
        <is>
          <t>Fresh image file: D:\Shopify_Workspace\jeminise_seo\seo_runs\jeminise.com\20260906_234129\qa\20260907_210204\images\152_06.jpg; source URL: https://cdn.shopify.com/s/files/1/0792/5098/1063/files/aa0186266f9f40306112cd5b9a538722d1a191d3fc2ca0612a55040475d58c38.jpg?v=1787233649</t>
        </is>
      </c>
      <c r="H20" s="2" t="inlineStr">
        <is>
          <t>Observation is generic or position-based; rewrite from the actual image content.</t>
        </is>
      </c>
      <c r="I20" s="2" t="inlineStr">
        <is>
          <t>Rewrite observation/alt from the directly opened image, naming the visible motif and use context.</t>
        </is>
      </c>
      <c r="J20" s="2" t="inlineStr">
        <is>
          <t>Fresh image file: D:\Shopify_Workspace\jeminise_seo\seo_runs\jeminise.com\20260906_234129\qa\20260907_210204\images\152_06.jpg; source URL: https://cdn.shopify.com/s/files/1/0792/5098/1063/files/aa0186266f9f40306112cd5b9a538722d1a191d3fc2ca0612a55040475d58c38.jpg?v=1787233649</t>
        </is>
      </c>
      <c r="K20" s="2" t="inlineStr">
        <is>
          <t>The image row accurately describes the actual media at this gallery position.</t>
        </is>
      </c>
    </row>
    <row r="21" ht="84" customHeight="1">
      <c r="A21" s="3" t="inlineStr">
        <is>
          <t>ISSUE-0020</t>
        </is>
      </c>
      <c r="B21" s="3" t="inlineStr">
        <is>
          <t>jeminise.com+horse-patchwork-pattern-quilt-set-vintage-animal-quilt-printed</t>
        </is>
      </c>
      <c r="C21" s="3" t="inlineStr">
        <is>
          <t>img_b00620a61ba7e120</t>
        </is>
      </c>
      <c r="D21" s="3" t="inlineStr">
        <is>
          <t>MINOR</t>
        </is>
      </c>
      <c r="E21" s="3" t="inlineStr">
        <is>
          <t>image observation</t>
        </is>
      </c>
      <c r="F21" s="3" t="inlineStr">
        <is>
          <t>Additional lifestyle, feature or product detail image showing vintage horse patchwork quilt with warm sunset colors.</t>
        </is>
      </c>
      <c r="G21" s="3" t="inlineStr">
        <is>
          <t>Fresh image file: D:\Shopify_Workspace\jeminise_seo\seo_runs\jeminise.com\20260906_234129\qa\20260907_210204\images\152_07.jpg; source URL: https://cdn.shopify.com/s/files/1/0792/5098/1063/files/2cd4d2b6fdd2d1c9745f55497855adffb6ff7e81eb6a7214987147cf013ce827.jpg?v=1787233649</t>
        </is>
      </c>
      <c r="H21" s="3" t="inlineStr">
        <is>
          <t>Observation is generic or position-based; rewrite from the actual image content.</t>
        </is>
      </c>
      <c r="I21" s="3" t="inlineStr">
        <is>
          <t>Rewrite observation/alt from the directly opened image, naming the visible motif and use context.</t>
        </is>
      </c>
      <c r="J21" s="3" t="inlineStr">
        <is>
          <t>Fresh image file: D:\Shopify_Workspace\jeminise_seo\seo_runs\jeminise.com\20260906_234129\qa\20260907_210204\images\152_07.jpg; source URL: https://cdn.shopify.com/s/files/1/0792/5098/1063/files/2cd4d2b6fdd2d1c9745f55497855adffb6ff7e81eb6a7214987147cf013ce827.jpg?v=1787233649</t>
        </is>
      </c>
      <c r="K21" s="3" t="inlineStr">
        <is>
          <t>The image row accurately describes the actual media at this gallery position.</t>
        </is>
      </c>
    </row>
    <row r="22" ht="84" customHeight="1">
      <c r="A22" s="2" t="inlineStr">
        <is>
          <t>ISSUE-0021</t>
        </is>
      </c>
      <c r="B22" s="2" t="inlineStr">
        <is>
          <t>jeminise.com+horse-patchwork-pattern-quilt-animal-farmhouse-quilt-set-patchwork</t>
        </is>
      </c>
      <c r="C22" s="2" t="inlineStr"/>
      <c r="D22" s="2" t="inlineStr">
        <is>
          <t>MAJOR</t>
        </is>
      </c>
      <c r="E22" s="2" t="inlineStr">
        <is>
          <t>description_proposed_html</t>
        </is>
      </c>
      <c r="F22" s="2" t="inlineStr">
        <is>
          <t>&lt;p&gt;This Jeminise quilt set features colorful horse head portrait on a yellow farmhouse-style background with black border and matching shams, making it suited for animal rooms, faith gifts, nature-inspired decor or Viking-themed bedrooms.&lt;/p&gt;&lt;h3&gt;Design Details&lt;/h3&gt;&lt;ul&gt;&lt;li&gt;Visible artwork: colorful horse head portrait on a yellow farmhouse-style background with black border and matching shams.&lt;/li&gt;&lt;li&gt;Source product details include: Brand: Jemini…</t>
        </is>
      </c>
      <c r="G22" s="2" t="inlineStr">
        <is>
          <t>Draft contains SEO Use / QA approval wording.</t>
        </is>
      </c>
      <c r="H22" s="2" t="inlineStr">
        <is>
          <t>Internal workflow language is not publish-ready storefront copy.</t>
        </is>
      </c>
      <c r="I22" s="2" t="inlineStr">
        <is>
          <t>Remove internal QA/import block and replace with customer-facing verified copy.</t>
        </is>
      </c>
      <c r="J22" s="2" t="inlineStr">
        <is>
          <t>Draft contains SEO Use / QA approval wording.</t>
        </is>
      </c>
      <c r="K22" s="2" t="inlineStr">
        <is>
          <t>Description HTML no longer contains SEO Use, QA, approval, import or draft language.</t>
        </is>
      </c>
    </row>
    <row r="23" ht="84" customHeight="1">
      <c r="A23" s="3" t="inlineStr">
        <is>
          <t>ISSUE-0022</t>
        </is>
      </c>
      <c r="B23" s="3" t="inlineStr">
        <is>
          <t>jeminise.com+horse-patchwork-pattern-quilt-animal-farmhouse-quilt-set-patchwork</t>
        </is>
      </c>
      <c r="C23" s="3" t="inlineStr"/>
      <c r="D23" s="3" t="inlineStr">
        <is>
          <t>MAJOR</t>
        </is>
      </c>
      <c r="E23" s="3" t="inlineStr">
        <is>
          <t>h1_proposed</t>
        </is>
      </c>
      <c r="F23" s="3" t="inlineStr"/>
      <c r="G23" s="3" t="inlineStr">
        <is>
          <t>The submitted workbook row has no proposed H1.</t>
        </is>
      </c>
      <c r="H23" s="3" t="inlineStr">
        <is>
          <t>A publishable SEO title/H1 pair is incomplete when the H1 field is blank.</t>
        </is>
      </c>
      <c r="I23" s="3" t="inlineStr">
        <is>
          <t>Write one English H1 that matches the verified product type and visible design; do not copy unsupported claims.</t>
        </is>
      </c>
      <c r="J23" s="3" t="inlineStr">
        <is>
          <t>The submitted workbook row has no proposed H1.</t>
        </is>
      </c>
      <c r="K23" s="3" t="inlineStr">
        <is>
          <t>Workbook contains a non-empty H1 and it is consistent with title, primary keyword and live product evidence.</t>
        </is>
      </c>
    </row>
    <row r="24" ht="84" customHeight="1">
      <c r="A24" s="2" t="inlineStr">
        <is>
          <t>ISSUE-0023</t>
        </is>
      </c>
      <c r="B24" s="2" t="inlineStr">
        <is>
          <t>jeminise.com+horse-patchwork-pattern-quilt-animal-farmhouse-quilt-set-patchwork</t>
        </is>
      </c>
      <c r="C24" s="2" t="inlineStr"/>
      <c r="D24" s="2" t="inlineStr">
        <is>
          <t>MAJOR</t>
        </is>
      </c>
      <c r="E24" s="2" t="inlineStr">
        <is>
          <t>description_proposed_html</t>
        </is>
      </c>
      <c r="F24" s="2" t="inlineStr">
        <is>
          <t>&lt;p&gt;This Jeminise quilt set features colorful horse head portrait on a yellow farmhouse-style background with black border and matching shams, making it suited for animal rooms, faith gifts, nature-inspired decor or Viking-themed bedrooms.&lt;/p&gt;&lt;h3&gt;Design Details&lt;/h3&gt;&lt;ul&gt;&lt;li&gt;Visible artwork: colorful horse head portrait on a yellow farmhouse-style background with black border and matching shams.&lt;/li&gt;&lt;li&gt;Source product details include: Brand: Jemini…</t>
        </is>
      </c>
      <c r="G24" s="2" t="inlineStr">
        <is>
          <t>The proposed description uses a repeated audience list (for example, animal rooms/faith gifts/nature-inspired decor) that is not specific to this product.</t>
        </is>
      </c>
      <c r="H24" s="2" t="inlineStr">
        <is>
          <t>Generic audience wording can be irrelevant or contradictory to the visible motif and is not evidence-led storefront copy.</t>
        </is>
      </c>
      <c r="I24" s="2" t="inlineStr">
        <is>
          <t>Replace it with concise English customer-facing copy tied only to the verified motif, product type, size/pillowcase choices and supported customizer control.</t>
        </is>
      </c>
      <c r="J24" s="2" t="inlineStr">
        <is>
          <t>The proposed description uses a repeated audience list (for example, animal rooms/faith gifts/nature-inspired decor) that is not specific to this product.</t>
        </is>
      </c>
      <c r="K24" s="2" t="inlineStr">
        <is>
          <t>Description contains no irrelevant template audience list and every remaining claim is supported by live/snapshot evidence.</t>
        </is>
      </c>
    </row>
    <row r="25" ht="84" customHeight="1">
      <c r="A25" s="3" t="inlineStr">
        <is>
          <t>ISSUE-0024</t>
        </is>
      </c>
      <c r="B25" s="3" t="inlineStr">
        <is>
          <t>jeminise.com+horse-patchwork-pattern-quilt-animal-farmhouse-quilt-set-patchwork</t>
        </is>
      </c>
      <c r="C25" s="3" t="inlineStr"/>
      <c r="D25" s="3" t="inlineStr">
        <is>
          <t>MINOR</t>
        </is>
      </c>
      <c r="E25" s="3" t="inlineStr">
        <is>
          <t>meta_description_seo</t>
        </is>
      </c>
      <c r="F25" s="3" t="inlineStr">
        <is>
          <t>Shop a quilt set featuring colorful horse head portrait on a yellow farmhouse-style background with black border and matching shams. Review size and personalization options before checkout.</t>
        </is>
      </c>
      <c r="G25" s="3" t="inlineStr">
        <is>
          <t>Meta description length is 189 characters.</t>
        </is>
      </c>
      <c r="H25" s="3" t="inlineStr">
        <is>
          <t>Likely to truncate in search results and repeats review/personality wording in several rows.</t>
        </is>
      </c>
      <c r="I25" s="3" t="inlineStr">
        <is>
          <t>Rewrite to roughly 145-155 characters while preserving verified design and product type.</t>
        </is>
      </c>
      <c r="J25" s="3" t="inlineStr">
        <is>
          <t>Meta description length is 189 characters.</t>
        </is>
      </c>
      <c r="K25" s="3" t="inlineStr">
        <is>
          <t>Length check &lt;=160 characters and no unsupported claim remains.</t>
        </is>
      </c>
    </row>
    <row r="26" ht="84" customHeight="1">
      <c r="A26" s="2" t="inlineStr">
        <is>
          <t>ISSUE-0025</t>
        </is>
      </c>
      <c r="B26" s="2" t="inlineStr">
        <is>
          <t>jeminise.com+horse-patchwork-pattern-quilt-animal-farmhouse-quilt-set-patchwork</t>
        </is>
      </c>
      <c r="C26" s="2" t="inlineStr"/>
      <c r="D26" s="2" t="inlineStr">
        <is>
          <t>LIMITATION</t>
        </is>
      </c>
      <c r="E26" s="2" t="inlineStr">
        <is>
          <t>keyword_evidence_level</t>
        </is>
      </c>
      <c r="F26" s="2" t="inlineStr">
        <is>
          <t>SERP_ONLY</t>
        </is>
      </c>
      <c r="G26" s="2" t="inlineStr">
        <is>
          <t>Only public SERP comparables are available.</t>
        </is>
      </c>
      <c r="H26" s="2" t="inlineStr">
        <is>
          <t>No Search Console, paid keyword volume or internal site search export was supplied.</t>
        </is>
      </c>
      <c r="I26" s="2" t="inlineStr">
        <is>
          <t>Keep demand statements qualitative; do not claim volume or ranking potential.</t>
        </is>
      </c>
      <c r="J26" s="2" t="inlineStr">
        <is>
          <t>Only public SERP comparables are available.</t>
        </is>
      </c>
      <c r="K26" s="2" t="inlineStr">
        <is>
          <t>Additional first-party or paid keyword evidence is attached, or limitation remains documented.</t>
        </is>
      </c>
    </row>
    <row r="27" ht="84" customHeight="1">
      <c r="A27" s="3" t="inlineStr">
        <is>
          <t>ISSUE-0026</t>
        </is>
      </c>
      <c r="B27" s="3" t="inlineStr">
        <is>
          <t>jeminise.com+horse-patchwork-pattern-quilt-animal-farmhouse-quilt-set-patchwork</t>
        </is>
      </c>
      <c r="C27" s="3" t="inlineStr">
        <is>
          <t>img_60dfd3720f0dcee1</t>
        </is>
      </c>
      <c r="D27" s="3" t="inlineStr">
        <is>
          <t>MINOR</t>
        </is>
      </c>
      <c r="E27" s="3" t="inlineStr">
        <is>
          <t>alt text</t>
        </is>
      </c>
      <c r="F27" s="3" t="inlineStr">
        <is>
          <t>Yellow Farmhouse Horse Patchwork Quilt displayed in a main product mockup</t>
        </is>
      </c>
      <c r="G27" s="3" t="inlineStr">
        <is>
          <t>Fresh image file: D:\Shopify_Workspace\jeminise_seo\seo_runs\jeminise.com\20260906_234129\qa\20260907_210204\images\153_01.jpg; source URL: https://cdn.shopify.com/s/files/1/0792/5098/1063/files/308fce3bc8e7b3da92f3a34fe3e3b89808e57502942118ab0f1ef711df9ac3b6.jpg?v=1787233723</t>
        </is>
      </c>
      <c r="H27" s="3" t="inlineStr">
        <is>
          <t>Alt text is too generic or describes placement more than visible content.</t>
        </is>
      </c>
      <c r="I27" s="3" t="inlineStr">
        <is>
          <t>Rewrite observation/alt from the directly opened image, naming the visible motif and use context.</t>
        </is>
      </c>
      <c r="J27" s="3" t="inlineStr">
        <is>
          <t>Fresh image file: D:\Shopify_Workspace\jeminise_seo\seo_runs\jeminise.com\20260906_234129\qa\20260907_210204\images\153_01.jpg; source URL: https://cdn.shopify.com/s/files/1/0792/5098/1063/files/308fce3bc8e7b3da92f3a34fe3e3b89808e57502942118ab0f1ef711df9ac3b6.jpg?v=1787233723</t>
        </is>
      </c>
      <c r="K27" s="3" t="inlineStr">
        <is>
          <t>The image row accurately describes the actual media at this gallery position.</t>
        </is>
      </c>
    </row>
    <row r="28" ht="84" customHeight="1">
      <c r="A28" s="2" t="inlineStr">
        <is>
          <t>ISSUE-0027</t>
        </is>
      </c>
      <c r="B28" s="2" t="inlineStr">
        <is>
          <t>jeminise.com+horse-patchwork-pattern-quilt-animal-farmhouse-quilt-set-patchwork</t>
        </is>
      </c>
      <c r="C28" s="2" t="inlineStr">
        <is>
          <t>img_94dc902be7fc22ad</t>
        </is>
      </c>
      <c r="D28" s="2" t="inlineStr">
        <is>
          <t>MINOR</t>
        </is>
      </c>
      <c r="E28" s="2" t="inlineStr">
        <is>
          <t>image observation</t>
        </is>
      </c>
      <c r="F28" s="2" t="inlineStr">
        <is>
          <t>Bedding type, feature, lifestyle or material image for yellow farmhouse horse patchwork quilt.</t>
        </is>
      </c>
      <c r="G28" s="2" t="inlineStr">
        <is>
          <t>Fresh image file: D:\Shopify_Workspace\jeminise_seo\seo_runs\jeminise.com\20260906_234129\qa\20260907_210204\images\153_03.jpg; source URL: https://cdn.shopify.com/s/files/1/0792/5098/1063/files/9a2b9ef1afcd9cb9765c66f3bbe3b1767562b0d4b38297a684fc9070228f522a.jpg?v=1787233724</t>
        </is>
      </c>
      <c r="H28" s="2" t="inlineStr">
        <is>
          <t>Observation is generic or position-based; rewrite from the actual image content.</t>
        </is>
      </c>
      <c r="I28" s="2" t="inlineStr">
        <is>
          <t>Rewrite observation/alt from the directly opened image, naming the visible motif and use context.</t>
        </is>
      </c>
      <c r="J28" s="2" t="inlineStr">
        <is>
          <t>Fresh image file: D:\Shopify_Workspace\jeminise_seo\seo_runs\jeminise.com\20260906_234129\qa\20260907_210204\images\153_03.jpg; source URL: https://cdn.shopify.com/s/files/1/0792/5098/1063/files/9a2b9ef1afcd9cb9765c66f3bbe3b1767562b0d4b38297a684fc9070228f522a.jpg?v=1787233724</t>
        </is>
      </c>
      <c r="K28" s="2" t="inlineStr">
        <is>
          <t>The image row accurately describes the actual media at this gallery position.</t>
        </is>
      </c>
    </row>
    <row r="29" ht="84" customHeight="1">
      <c r="A29" s="3" t="inlineStr">
        <is>
          <t>ISSUE-0028</t>
        </is>
      </c>
      <c r="B29" s="3" t="inlineStr">
        <is>
          <t>jeminise.com+horse-patchwork-pattern-quilt-animal-farmhouse-quilt-set-patchwork</t>
        </is>
      </c>
      <c r="C29" s="3" t="inlineStr">
        <is>
          <t>img_9a313b321f37fec1</t>
        </is>
      </c>
      <c r="D29" s="3" t="inlineStr">
        <is>
          <t>MINOR</t>
        </is>
      </c>
      <c r="E29" s="3" t="inlineStr">
        <is>
          <t>image observation</t>
        </is>
      </c>
      <c r="F29" s="3" t="inlineStr">
        <is>
          <t>Detail, feature panel or lifestyle image connected to yellow farmhouse horse patchwork quilt.</t>
        </is>
      </c>
      <c r="G29" s="3" t="inlineStr">
        <is>
          <t>Fresh image file: D:\Shopify_Workspace\jeminise_seo\seo_runs\jeminise.com\20260906_234129\qa\20260907_210204\images\153_04.jpg; source URL: https://cdn.shopify.com/s/files/1/0792/5098/1063/files/49c22dfbbbf1132a9e5952d7da89abe81fe14242a946fdcb5ae96cc1616990f9.jpg?v=1787233723</t>
        </is>
      </c>
      <c r="H29" s="3" t="inlineStr">
        <is>
          <t>Observation is generic or position-based; rewrite from the actual image content.</t>
        </is>
      </c>
      <c r="I29" s="3" t="inlineStr">
        <is>
          <t>Rewrite observation/alt from the directly opened image, naming the visible motif and use context.</t>
        </is>
      </c>
      <c r="J29" s="3" t="inlineStr">
        <is>
          <t>Fresh image file: D:\Shopify_Workspace\jeminise_seo\seo_runs\jeminise.com\20260906_234129\qa\20260907_210204\images\153_04.jpg; source URL: https://cdn.shopify.com/s/files/1/0792/5098/1063/files/49c22dfbbbf1132a9e5952d7da89abe81fe14242a946fdcb5ae96cc1616990f9.jpg?v=1787233723</t>
        </is>
      </c>
      <c r="K29" s="3" t="inlineStr">
        <is>
          <t>The image row accurately describes the actual media at this gallery position.</t>
        </is>
      </c>
    </row>
    <row r="30" ht="84" customHeight="1">
      <c r="A30" s="2" t="inlineStr">
        <is>
          <t>ISSUE-0029</t>
        </is>
      </c>
      <c r="B30" s="2" t="inlineStr">
        <is>
          <t>jeminise.com+horse-patchwork-pattern-quilt-animal-farmhouse-quilt-set-patchwork</t>
        </is>
      </c>
      <c r="C30" s="2" t="inlineStr">
        <is>
          <t>img_3c721eb15706778e</t>
        </is>
      </c>
      <c r="D30" s="2" t="inlineStr">
        <is>
          <t>MINOR</t>
        </is>
      </c>
      <c r="E30" s="2" t="inlineStr">
        <is>
          <t>image observation</t>
        </is>
      </c>
      <c r="F30" s="2" t="inlineStr">
        <is>
          <t>Easy-care, size guide or product feature image for yellow farmhouse horse patchwork quilt.</t>
        </is>
      </c>
      <c r="G30" s="2" t="inlineStr">
        <is>
          <t>Fresh image file: D:\Shopify_Workspace\jeminise_seo\seo_runs\jeminise.com\20260906_234129\qa\20260907_210204\images\153_06.jpg; source URL: https://cdn.shopify.com/s/files/1/0792/5098/1063/files/3316ea0a19642b5165e039218da8442aff4a629226311379497ae4b8c335a66a.jpg?v=1787233723</t>
        </is>
      </c>
      <c r="H30" s="2" t="inlineStr">
        <is>
          <t>Observation is generic or position-based; rewrite from the actual image content.</t>
        </is>
      </c>
      <c r="I30" s="2" t="inlineStr">
        <is>
          <t>Rewrite observation/alt from the directly opened image, naming the visible motif and use context.</t>
        </is>
      </c>
      <c r="J30" s="2" t="inlineStr">
        <is>
          <t>Fresh image file: D:\Shopify_Workspace\jeminise_seo\seo_runs\jeminise.com\20260906_234129\qa\20260907_210204\images\153_06.jpg; source URL: https://cdn.shopify.com/s/files/1/0792/5098/1063/files/3316ea0a19642b5165e039218da8442aff4a629226311379497ae4b8c335a66a.jpg?v=1787233723</t>
        </is>
      </c>
      <c r="K30" s="2" t="inlineStr">
        <is>
          <t>The image row accurately describes the actual media at this gallery position.</t>
        </is>
      </c>
    </row>
    <row r="31" ht="84" customHeight="1">
      <c r="A31" s="3" t="inlineStr">
        <is>
          <t>ISSUE-0030</t>
        </is>
      </c>
      <c r="B31" s="3" t="inlineStr">
        <is>
          <t>jeminise.com+horse-patchwork-pattern-quilt-animal-farmhouse-quilt-set-patchwork</t>
        </is>
      </c>
      <c r="C31" s="3" t="inlineStr">
        <is>
          <t>img_ec943f2664dc771d</t>
        </is>
      </c>
      <c r="D31" s="3" t="inlineStr">
        <is>
          <t>MINOR</t>
        </is>
      </c>
      <c r="E31" s="3" t="inlineStr">
        <is>
          <t>image observation</t>
        </is>
      </c>
      <c r="F31" s="3" t="inlineStr">
        <is>
          <t>Additional lifestyle, feature or product detail image showing yellow farmhouse horse patchwork quilt.</t>
        </is>
      </c>
      <c r="G31" s="3" t="inlineStr">
        <is>
          <t>Fresh image file: D:\Shopify_Workspace\jeminise_seo\seo_runs\jeminise.com\20260906_234129\qa\20260907_210204\images\153_07.jpg; source URL: https://cdn.shopify.com/s/files/1/0792/5098/1063/files/54a6d1664220c3febcad4acc6e2fbea0a63d75b9f24dbec12bb9432b2d09bcb2.jpg?v=1787233723</t>
        </is>
      </c>
      <c r="H31" s="3" t="inlineStr">
        <is>
          <t>Observation is generic or position-based; rewrite from the actual image content.</t>
        </is>
      </c>
      <c r="I31" s="3" t="inlineStr">
        <is>
          <t>Rewrite observation/alt from the directly opened image, naming the visible motif and use context.</t>
        </is>
      </c>
      <c r="J31" s="3" t="inlineStr">
        <is>
          <t>Fresh image file: D:\Shopify_Workspace\jeminise_seo\seo_runs\jeminise.com\20260906_234129\qa\20260907_210204\images\153_07.jpg; source URL: https://cdn.shopify.com/s/files/1/0792/5098/1063/files/54a6d1664220c3febcad4acc6e2fbea0a63d75b9f24dbec12bb9432b2d09bcb2.jpg?v=1787233723</t>
        </is>
      </c>
      <c r="K31" s="3" t="inlineStr">
        <is>
          <t>The image row accurately describes the actual media at this gallery position.</t>
        </is>
      </c>
    </row>
    <row r="32" ht="84" customHeight="1">
      <c r="A32" s="2" t="inlineStr">
        <is>
          <t>ISSUE-0031</t>
        </is>
      </c>
      <c r="B32" s="2" t="inlineStr">
        <is>
          <t>jeminise.com+i-am-who-he-says-i-am-christian-scripture-blanket-inspirational</t>
        </is>
      </c>
      <c r="C32" s="2" t="inlineStr"/>
      <c r="D32" s="2" t="inlineStr">
        <is>
          <t>MAJOR</t>
        </is>
      </c>
      <c r="E32" s="2" t="inlineStr">
        <is>
          <t>description_proposed_html</t>
        </is>
      </c>
      <c r="F32" s="2" t="inlineStr">
        <is>
          <t>&lt;p&gt;This Jeminise blanket features white blanket with green, gold and gray Christian affirmation text and Bible verse references, making it suited for animal rooms, faith gifts, nature-inspired decor or Viking-themed bedrooms.&lt;/p&gt;&lt;h3&gt;Design Details&lt;/h3&gt;&lt;ul&gt;&lt;li&gt;Visible artwork: white blanket with green, gold and gray Christian affirmation text and Bible verse references.&lt;/li&gt;&lt;li&gt;Source product details include: Brand: Jeminise; Product Type: Blanke…</t>
        </is>
      </c>
      <c r="G32" s="2" t="inlineStr">
        <is>
          <t>Draft contains SEO Use / QA approval wording.</t>
        </is>
      </c>
      <c r="H32" s="2" t="inlineStr">
        <is>
          <t>Internal workflow language is not publish-ready storefront copy.</t>
        </is>
      </c>
      <c r="I32" s="2" t="inlineStr">
        <is>
          <t>Remove internal QA/import block and replace with customer-facing verified copy.</t>
        </is>
      </c>
      <c r="J32" s="2" t="inlineStr">
        <is>
          <t>Draft contains SEO Use / QA approval wording.</t>
        </is>
      </c>
      <c r="K32" s="2" t="inlineStr">
        <is>
          <t>Description HTML no longer contains SEO Use, QA, approval, import or draft language.</t>
        </is>
      </c>
    </row>
    <row r="33" ht="84" customHeight="1">
      <c r="A33" s="3" t="inlineStr">
        <is>
          <t>ISSUE-0032</t>
        </is>
      </c>
      <c r="B33" s="3" t="inlineStr">
        <is>
          <t>jeminise.com+i-am-who-he-says-i-am-christian-scripture-blanket-inspirational</t>
        </is>
      </c>
      <c r="C33" s="3" t="inlineStr"/>
      <c r="D33" s="3" t="inlineStr">
        <is>
          <t>MAJOR</t>
        </is>
      </c>
      <c r="E33" s="3" t="inlineStr">
        <is>
          <t>h1_proposed</t>
        </is>
      </c>
      <c r="F33" s="3" t="inlineStr"/>
      <c r="G33" s="3" t="inlineStr">
        <is>
          <t>The submitted workbook row has no proposed H1.</t>
        </is>
      </c>
      <c r="H33" s="3" t="inlineStr">
        <is>
          <t>A publishable SEO title/H1 pair is incomplete when the H1 field is blank.</t>
        </is>
      </c>
      <c r="I33" s="3" t="inlineStr">
        <is>
          <t>Write one English H1 that matches the verified product type and visible design; do not copy unsupported claims.</t>
        </is>
      </c>
      <c r="J33" s="3" t="inlineStr">
        <is>
          <t>The submitted workbook row has no proposed H1.</t>
        </is>
      </c>
      <c r="K33" s="3" t="inlineStr">
        <is>
          <t>Workbook contains a non-empty H1 and it is consistent with title, primary keyword and live product evidence.</t>
        </is>
      </c>
    </row>
    <row r="34" ht="84" customHeight="1">
      <c r="A34" s="2" t="inlineStr">
        <is>
          <t>ISSUE-0033</t>
        </is>
      </c>
      <c r="B34" s="2" t="inlineStr">
        <is>
          <t>jeminise.com+i-am-who-he-says-i-am-christian-scripture-blanket-inspirational</t>
        </is>
      </c>
      <c r="C34" s="2" t="inlineStr"/>
      <c r="D34" s="2" t="inlineStr">
        <is>
          <t>MAJOR</t>
        </is>
      </c>
      <c r="E34" s="2" t="inlineStr">
        <is>
          <t>description_proposed_html</t>
        </is>
      </c>
      <c r="F34" s="2" t="inlineStr">
        <is>
          <t>&lt;p&gt;This Jeminise blanket features white blanket with green, gold and gray Christian affirmation text and Bible verse references, making it suited for animal rooms, faith gifts, nature-inspired decor or Viking-themed bedrooms.&lt;/p&gt;&lt;h3&gt;Design Details&lt;/h3&gt;&lt;ul&gt;&lt;li&gt;Visible artwork: white blanket with green, gold and gray Christian affirmation text and Bible verse references.&lt;/li&gt;&lt;li&gt;Source product details include: Brand: Jeminise; Product Type: Blanke…</t>
        </is>
      </c>
      <c r="G34" s="2" t="inlineStr">
        <is>
          <t>The proposed description uses a repeated audience list (for example, animal rooms/faith gifts/nature-inspired decor) that is not specific to this product.</t>
        </is>
      </c>
      <c r="H34" s="2" t="inlineStr">
        <is>
          <t>Generic audience wording can be irrelevant or contradictory to the visible motif and is not evidence-led storefront copy.</t>
        </is>
      </c>
      <c r="I34" s="2" t="inlineStr">
        <is>
          <t>Replace it with concise English customer-facing copy tied only to the verified motif, product type, size/pillowcase choices and supported customizer control.</t>
        </is>
      </c>
      <c r="J34" s="2" t="inlineStr">
        <is>
          <t>The proposed description uses a repeated audience list (for example, animal rooms/faith gifts/nature-inspired decor) that is not specific to this product.</t>
        </is>
      </c>
      <c r="K34" s="2" t="inlineStr">
        <is>
          <t>Description contains no irrelevant template audience list and every remaining claim is supported by live/snapshot evidence.</t>
        </is>
      </c>
    </row>
    <row r="35" ht="84" customHeight="1">
      <c r="A35" s="3" t="inlineStr">
        <is>
          <t>ISSUE-0034</t>
        </is>
      </c>
      <c r="B35" s="3" t="inlineStr">
        <is>
          <t>jeminise.com+i-am-who-he-says-i-am-christian-scripture-blanket-inspirational</t>
        </is>
      </c>
      <c r="C35" s="3" t="inlineStr"/>
      <c r="D35" s="3" t="inlineStr">
        <is>
          <t>MINOR</t>
        </is>
      </c>
      <c r="E35" s="3" t="inlineStr">
        <is>
          <t>meta_description_seo</t>
        </is>
      </c>
      <c r="F35" s="3" t="inlineStr">
        <is>
          <t>Shop a blanket featuring white blanket with green, gold and gray Christian affirmation text and Bible verse references. Review size and personalization options before checkout.</t>
        </is>
      </c>
      <c r="G35" s="3" t="inlineStr">
        <is>
          <t>Meta description length is 176 characters.</t>
        </is>
      </c>
      <c r="H35" s="3" t="inlineStr">
        <is>
          <t>Likely to truncate in search results and repeats review/personality wording in several rows.</t>
        </is>
      </c>
      <c r="I35" s="3" t="inlineStr">
        <is>
          <t>Rewrite to roughly 145-155 characters while preserving verified design and product type.</t>
        </is>
      </c>
      <c r="J35" s="3" t="inlineStr">
        <is>
          <t>Meta description length is 176 characters.</t>
        </is>
      </c>
      <c r="K35" s="3" t="inlineStr">
        <is>
          <t>Length check &lt;=160 characters and no unsupported claim remains.</t>
        </is>
      </c>
    </row>
    <row r="36" ht="84" customHeight="1">
      <c r="A36" s="2" t="inlineStr">
        <is>
          <t>ISSUE-0035</t>
        </is>
      </c>
      <c r="B36" s="2" t="inlineStr">
        <is>
          <t>jeminise.com+i-am-who-he-says-i-am-christian-scripture-blanket-inspirational</t>
        </is>
      </c>
      <c r="C36" s="2" t="inlineStr"/>
      <c r="D36" s="2" t="inlineStr">
        <is>
          <t>MAJOR</t>
        </is>
      </c>
      <c r="E36" s="2" t="inlineStr">
        <is>
          <t>keyword_map</t>
        </is>
      </c>
      <c r="F36" s="2" t="inlineStr">
        <is>
          <t>Christian scripture blanket</t>
        </is>
      </c>
      <c r="G36" s="2" t="inlineStr">
        <is>
          <t>https://christianartbag.com/products/christianart-blanket-god-says-i-am-christian-blanket-bible-verse-blanket-personalized-blanket-christmas-gift-cabbk01111123; https://www.amazon.com/Christian-Personalized-Customized-Inspirational-Religious/dp/B0DRXF6LWM; https://www.etsy.com/uk/listing/4410818176/christian-name-blanket-god-says-i-am; https://christianartbag.com/products/christianart-blanket-god-says-i-am-christian-blanket-bible-verse-blanket-p…</t>
        </is>
      </c>
      <c r="H36" s="2" t="inlineStr">
        <is>
          <t>Batch cluster contains several very similar products, so keyword/intent differentiation must be sharper.</t>
        </is>
      </c>
      <c r="I36" s="2" t="inlineStr">
        <is>
          <t>Add unique visible motif modifiers and avoid assigning the same generic product keyword to multiple URLs.</t>
        </is>
      </c>
      <c r="J36" s="2" t="inlineStr">
        <is>
          <t>https://christianartbag.com/products/christianart-blanket-god-says-i-am-christian-blanket-bible-verse-blanket-personalized-blanket-christmas-gift-cabbk01111123; https://www.amazon.com/Christian-Personalized-Customized-Inspirational-Religious/dp/B0DRXF6LWM; https://www.etsy.com/uk/listing/4410818176/christian-name-blanket-god-says-i-am; https://christianartbag.com/products/christianart-blanket-god-says-i-am-christian-blanket-bible-verse-blanket-p…</t>
        </is>
      </c>
      <c r="K36" s="2" t="inlineStr">
        <is>
          <t>SERP notes and title/meta show a distinct product-level query for this exact design.</t>
        </is>
      </c>
    </row>
    <row r="37" ht="84" customHeight="1">
      <c r="A37" s="3" t="inlineStr">
        <is>
          <t>ISSUE-0036</t>
        </is>
      </c>
      <c r="B37" s="3" t="inlineStr">
        <is>
          <t>jeminise.com+i-am-who-he-says-i-am-christian-scripture-blanket-inspirational</t>
        </is>
      </c>
      <c r="C37" s="3" t="inlineStr"/>
      <c r="D37" s="3" t="inlineStr">
        <is>
          <t>LIMITATION</t>
        </is>
      </c>
      <c r="E37" s="3" t="inlineStr">
        <is>
          <t>keyword_evidence_level</t>
        </is>
      </c>
      <c r="F37" s="3" t="inlineStr">
        <is>
          <t>SERP_ONLY</t>
        </is>
      </c>
      <c r="G37" s="3" t="inlineStr">
        <is>
          <t>Only public SERP comparables are available.</t>
        </is>
      </c>
      <c r="H37" s="3" t="inlineStr">
        <is>
          <t>No Search Console, paid keyword volume or internal site search export was supplied.</t>
        </is>
      </c>
      <c r="I37" s="3" t="inlineStr">
        <is>
          <t>Keep demand statements qualitative; do not claim volume or ranking potential.</t>
        </is>
      </c>
      <c r="J37" s="3" t="inlineStr">
        <is>
          <t>Only public SERP comparables are available.</t>
        </is>
      </c>
      <c r="K37" s="3" t="inlineStr">
        <is>
          <t>Additional first-party or paid keyword evidence is attached, or limitation remains documented.</t>
        </is>
      </c>
    </row>
    <row r="38" ht="84" customHeight="1">
      <c r="A38" s="2" t="inlineStr">
        <is>
          <t>ISSUE-0037</t>
        </is>
      </c>
      <c r="B38" s="2" t="inlineStr">
        <is>
          <t>jeminise.com+i-am-who-he-says-i-am-christian-scripture-blanket-inspirational</t>
        </is>
      </c>
      <c r="C38" s="2" t="inlineStr">
        <is>
          <t>img_41c6df7fe4178ca3</t>
        </is>
      </c>
      <c r="D38" s="2" t="inlineStr">
        <is>
          <t>MINOR</t>
        </is>
      </c>
      <c r="E38" s="2" t="inlineStr">
        <is>
          <t>alt text</t>
        </is>
      </c>
      <c r="F38" s="2" t="inlineStr">
        <is>
          <t>I Am Who He Says I Am Scripture Blanket displayed in a main product mockup</t>
        </is>
      </c>
      <c r="G38" s="2" t="inlineStr">
        <is>
          <t>Fresh image file: D:\Shopify_Workspace\jeminise_seo\seo_runs\jeminise.com\20260906_234129\qa\20260907_210204\images\154_01.jpg; source URL: https://cdn.shopify.com/s/files/1/0792/5098/1063/files/6737389aad72a58c884a7adf23d056ba2152a97cc0c1fb9d53091e1333692b0d.jpg?v=1786596878</t>
        </is>
      </c>
      <c r="H38" s="2" t="inlineStr">
        <is>
          <t>Alt text is too generic or describes placement more than visible content.</t>
        </is>
      </c>
      <c r="I38" s="2" t="inlineStr">
        <is>
          <t>Rewrite observation/alt from the directly opened image, naming the visible motif and use context.</t>
        </is>
      </c>
      <c r="J38" s="2" t="inlineStr">
        <is>
          <t>Fresh image file: D:\Shopify_Workspace\jeminise_seo\seo_runs\jeminise.com\20260906_234129\qa\20260907_210204\images\154_01.jpg; source URL: https://cdn.shopify.com/s/files/1/0792/5098/1063/files/6737389aad72a58c884a7adf23d056ba2152a97cc0c1fb9d53091e1333692b0d.jpg?v=1786596878</t>
        </is>
      </c>
      <c r="K38" s="2" t="inlineStr">
        <is>
          <t>The image row accurately describes the actual media at this gallery position.</t>
        </is>
      </c>
    </row>
    <row r="39" ht="84" customHeight="1">
      <c r="A39" s="3" t="inlineStr">
        <is>
          <t>ISSUE-0038</t>
        </is>
      </c>
      <c r="B39" s="3" t="inlineStr">
        <is>
          <t>jeminise.com+i-am-who-he-says-i-am-christian-scripture-blanket-inspirational</t>
        </is>
      </c>
      <c r="C39" s="3" t="inlineStr">
        <is>
          <t>img_16337c347cb2bfda</t>
        </is>
      </c>
      <c r="D39" s="3" t="inlineStr">
        <is>
          <t>MINOR</t>
        </is>
      </c>
      <c r="E39" s="3" t="inlineStr">
        <is>
          <t>image observation</t>
        </is>
      </c>
      <c r="F39" s="3" t="inlineStr">
        <is>
          <t>Bedding type, feature, lifestyle or material image for I Am Who He Says I Am Christian scripture blanket.</t>
        </is>
      </c>
      <c r="G39" s="3" t="inlineStr">
        <is>
          <t>Fresh image file: D:\Shopify_Workspace\jeminise_seo\seo_runs\jeminise.com\20260906_234129\qa\20260907_210204\images\154_03.jpg; source URL: https://cdn.shopify.com/s/files/1/0792/5098/1063/files/2ca6551881fb1d1ab0efe08303e1154ff3f85ba3e00e35937a533847c41f5262.jpg?v=1786596878</t>
        </is>
      </c>
      <c r="H39" s="3" t="inlineStr">
        <is>
          <t>Observation is generic or position-based; rewrite from the actual image content.</t>
        </is>
      </c>
      <c r="I39" s="3" t="inlineStr">
        <is>
          <t>Rewrite observation/alt from the directly opened image, naming the visible motif and use context.</t>
        </is>
      </c>
      <c r="J39" s="3" t="inlineStr">
        <is>
          <t>Fresh image file: D:\Shopify_Workspace\jeminise_seo\seo_runs\jeminise.com\20260906_234129\qa\20260907_210204\images\154_03.jpg; source URL: https://cdn.shopify.com/s/files/1/0792/5098/1063/files/2ca6551881fb1d1ab0efe08303e1154ff3f85ba3e00e35937a533847c41f5262.jpg?v=1786596878</t>
        </is>
      </c>
      <c r="K39" s="3" t="inlineStr">
        <is>
          <t>The image row accurately describes the actual media at this gallery position.</t>
        </is>
      </c>
    </row>
    <row r="40" ht="84" customHeight="1">
      <c r="A40" s="2" t="inlineStr">
        <is>
          <t>ISSUE-0039</t>
        </is>
      </c>
      <c r="B40" s="2" t="inlineStr">
        <is>
          <t>jeminise.com+i-am-who-he-says-i-am-christian-scripture-blanket-inspirational</t>
        </is>
      </c>
      <c r="C40" s="2" t="inlineStr">
        <is>
          <t>img_69d23a5113fe6435</t>
        </is>
      </c>
      <c r="D40" s="2" t="inlineStr">
        <is>
          <t>MINOR</t>
        </is>
      </c>
      <c r="E40" s="2" t="inlineStr">
        <is>
          <t>image observation</t>
        </is>
      </c>
      <c r="F40" s="2" t="inlineStr">
        <is>
          <t>Detail, feature panel or lifestyle image connected to I Am Who He Says I Am Christian scripture blanket.</t>
        </is>
      </c>
      <c r="G40" s="2" t="inlineStr">
        <is>
          <t>Fresh image file: D:\Shopify_Workspace\jeminise_seo\seo_runs\jeminise.com\20260906_234129\qa\20260907_210204\images\154_04.jpg; source URL: https://cdn.shopify.com/s/files/1/0792/5098/1063/files/ba094da7e3e316e0dcd2d183aed4f9880c36a1f53ce80c5c9e907b46ef05dd78.jpg?v=1786596878</t>
        </is>
      </c>
      <c r="H40" s="2" t="inlineStr">
        <is>
          <t>Observation is generic or position-based; rewrite from the actual image content.</t>
        </is>
      </c>
      <c r="I40" s="2" t="inlineStr">
        <is>
          <t>Rewrite observation/alt from the directly opened image, naming the visible motif and use context.</t>
        </is>
      </c>
      <c r="J40" s="2" t="inlineStr">
        <is>
          <t>Fresh image file: D:\Shopify_Workspace\jeminise_seo\seo_runs\jeminise.com\20260906_234129\qa\20260907_210204\images\154_04.jpg; source URL: https://cdn.shopify.com/s/files/1/0792/5098/1063/files/ba094da7e3e316e0dcd2d183aed4f9880c36a1f53ce80c5c9e907b46ef05dd78.jpg?v=1786596878</t>
        </is>
      </c>
      <c r="K40" s="2" t="inlineStr">
        <is>
          <t>The image row accurately describes the actual media at this gallery position.</t>
        </is>
      </c>
    </row>
    <row r="41" ht="84" customHeight="1">
      <c r="A41" s="3" t="inlineStr">
        <is>
          <t>ISSUE-0040</t>
        </is>
      </c>
      <c r="B41" s="3" t="inlineStr">
        <is>
          <t>jeminise.com+i-am-who-he-says-i-am-christian-scripture-blanket-inspirational</t>
        </is>
      </c>
      <c r="C41" s="3" t="inlineStr">
        <is>
          <t>img_c559c2ad7c4a5f7f</t>
        </is>
      </c>
      <c r="D41" s="3" t="inlineStr">
        <is>
          <t>MINOR</t>
        </is>
      </c>
      <c r="E41" s="3" t="inlineStr">
        <is>
          <t>image observation</t>
        </is>
      </c>
      <c r="F41" s="3" t="inlineStr">
        <is>
          <t>Easy-care, size guide or product feature image for I Am Who He Says I Am Christian scripture blanket.</t>
        </is>
      </c>
      <c r="G41" s="3" t="inlineStr">
        <is>
          <t>Fresh image file: D:\Shopify_Workspace\jeminise_seo\seo_runs\jeminise.com\20260906_234129\qa\20260907_210204\images\154_06.jpg; source URL: https://cdn.shopify.com/s/files/1/0792/5098/1063/files/4ce06f4e7733ae5cf5414a2771a8829b59c43fcfb02b8014356d3defc0c426bb.jpg?v=1786596878</t>
        </is>
      </c>
      <c r="H41" s="3" t="inlineStr">
        <is>
          <t>Observation is generic or position-based; rewrite from the actual image content.</t>
        </is>
      </c>
      <c r="I41" s="3" t="inlineStr">
        <is>
          <t>Rewrite observation/alt from the directly opened image, naming the visible motif and use context.</t>
        </is>
      </c>
      <c r="J41" s="3" t="inlineStr">
        <is>
          <t>Fresh image file: D:\Shopify_Workspace\jeminise_seo\seo_runs\jeminise.com\20260906_234129\qa\20260907_210204\images\154_06.jpg; source URL: https://cdn.shopify.com/s/files/1/0792/5098/1063/files/4ce06f4e7733ae5cf5414a2771a8829b59c43fcfb02b8014356d3defc0c426bb.jpg?v=1786596878</t>
        </is>
      </c>
      <c r="K41" s="3" t="inlineStr">
        <is>
          <t>The image row accurately describes the actual media at this gallery position.</t>
        </is>
      </c>
    </row>
    <row r="42" ht="84" customHeight="1">
      <c r="A42" s="2" t="inlineStr">
        <is>
          <t>ISSUE-0041</t>
        </is>
      </c>
      <c r="B42" s="2" t="inlineStr">
        <is>
          <t>jeminise.com+i-am-who-he-says-i-am-christian-scripture-blanket-inspirational</t>
        </is>
      </c>
      <c r="C42" s="2" t="inlineStr">
        <is>
          <t>img_d972fe731f146602</t>
        </is>
      </c>
      <c r="D42" s="2" t="inlineStr">
        <is>
          <t>MINOR</t>
        </is>
      </c>
      <c r="E42" s="2" t="inlineStr">
        <is>
          <t>image observation</t>
        </is>
      </c>
      <c r="F42" s="2" t="inlineStr">
        <is>
          <t>Additional lifestyle, feature or product detail image showing I Am Who He Says I Am Christian scripture blanket.</t>
        </is>
      </c>
      <c r="G42" s="2" t="inlineStr">
        <is>
          <t>Fresh image file: D:\Shopify_Workspace\jeminise_seo\seo_runs\jeminise.com\20260906_234129\qa\20260907_210204\images\154_07.jpg; source URL: https://cdn.shopify.com/s/files/1/0792/5098/1063/files/23c272951a2d07d2fbdcf04ab4208521c5b23847228641a73cd3924699638d91.jpg?v=1786596878</t>
        </is>
      </c>
      <c r="H42" s="2" t="inlineStr">
        <is>
          <t>Observation is generic or position-based; rewrite from the actual image content.</t>
        </is>
      </c>
      <c r="I42" s="2" t="inlineStr">
        <is>
          <t>Rewrite observation/alt from the directly opened image, naming the visible motif and use context.</t>
        </is>
      </c>
      <c r="J42" s="2" t="inlineStr">
        <is>
          <t>Fresh image file: D:\Shopify_Workspace\jeminise_seo\seo_runs\jeminise.com\20260906_234129\qa\20260907_210204\images\154_07.jpg; source URL: https://cdn.shopify.com/s/files/1/0792/5098/1063/files/23c272951a2d07d2fbdcf04ab4208521c5b23847228641a73cd3924699638d91.jpg?v=1786596878</t>
        </is>
      </c>
      <c r="K42" s="2" t="inlineStr">
        <is>
          <t>The image row accurately describes the actual media at this gallery position.</t>
        </is>
      </c>
    </row>
    <row r="43" ht="84" customHeight="1">
      <c r="A43" s="3" t="inlineStr">
        <is>
          <t>ISSUE-0042</t>
        </is>
      </c>
      <c r="B43" s="3" t="inlineStr">
        <is>
          <t>jeminise.com+i-am-who-he-says-i-am-christian-scripture-blanket-inspirational</t>
        </is>
      </c>
      <c r="C43" s="3" t="inlineStr">
        <is>
          <t>img_41665ac7f310f597</t>
        </is>
      </c>
      <c r="D43" s="3" t="inlineStr">
        <is>
          <t>MINOR</t>
        </is>
      </c>
      <c r="E43" s="3" t="inlineStr">
        <is>
          <t>image observation</t>
        </is>
      </c>
      <c r="F43" s="3" t="inlineStr">
        <is>
          <t>Additional lifestyle, feature or product detail image showing I Am Who He Says I Am Christian scripture blanket.</t>
        </is>
      </c>
      <c r="G43" s="3" t="inlineStr">
        <is>
          <t>Fresh image file: D:\Shopify_Workspace\jeminise_seo\seo_runs\jeminise.com\20260906_234129\qa\20260907_210204\images\154_08.jpg; source URL: https://cdn.shopify.com/s/files/1/0792/5098/1063/files/938f6556bff4367008c210f8e9026830c80f31da6c23dd60bdac3cc424976220.jpg?v=1786596878</t>
        </is>
      </c>
      <c r="H43" s="3" t="inlineStr">
        <is>
          <t>Observation is generic or position-based; rewrite from the actual image content.</t>
        </is>
      </c>
      <c r="I43" s="3" t="inlineStr">
        <is>
          <t>Rewrite observation/alt from the directly opened image, naming the visible motif and use context.</t>
        </is>
      </c>
      <c r="J43" s="3" t="inlineStr">
        <is>
          <t>Fresh image file: D:\Shopify_Workspace\jeminise_seo\seo_runs\jeminise.com\20260906_234129\qa\20260907_210204\images\154_08.jpg; source URL: https://cdn.shopify.com/s/files/1/0792/5098/1063/files/938f6556bff4367008c210f8e9026830c80f31da6c23dd60bdac3cc424976220.jpg?v=1786596878</t>
        </is>
      </c>
      <c r="K43" s="3" t="inlineStr">
        <is>
          <t>The image row accurately describes the actual media at this gallery position.</t>
        </is>
      </c>
    </row>
    <row r="44" ht="84" customHeight="1">
      <c r="A44" s="2" t="inlineStr">
        <is>
          <t>ISSUE-0043</t>
        </is>
      </c>
      <c r="B44" s="2" t="inlineStr">
        <is>
          <t>jeminise.com+nature-and-mythology-tree-of-life-quilt-set-with-twisted-tree-trunk-ceb2e637d5-ceb2e637d5</t>
        </is>
      </c>
      <c r="C44" s="2" t="inlineStr"/>
      <c r="D44" s="2" t="inlineStr">
        <is>
          <t>MAJOR</t>
        </is>
      </c>
      <c r="E44" s="2" t="inlineStr">
        <is>
          <t>description_proposed_html</t>
        </is>
      </c>
      <c r="F44" s="2" t="inlineStr">
        <is>
          <t>&lt;p&gt;This Jeminise quilt set features cream quilt with twisting brown Tree of Life trunk, exposed roots and green leaves, making it suited for animal rooms, faith gifts, nature-inspired decor or Viking-themed bedrooms.&lt;/p&gt;&lt;h3&gt;Design Details&lt;/h3&gt;&lt;ul&gt;&lt;li&gt;Visible artwork: cream quilt with twisting brown Tree of Life trunk, exposed roots and green leaves.&lt;/li&gt;&lt;li&gt;Source product details include: Brand: Jeminise; Product Type: Quilt Set; Material: Polye…</t>
        </is>
      </c>
      <c r="G44" s="2" t="inlineStr">
        <is>
          <t>Draft contains SEO Use / QA approval wording.</t>
        </is>
      </c>
      <c r="H44" s="2" t="inlineStr">
        <is>
          <t>Internal workflow language is not publish-ready storefront copy.</t>
        </is>
      </c>
      <c r="I44" s="2" t="inlineStr">
        <is>
          <t>Remove internal QA/import block and replace with customer-facing verified copy.</t>
        </is>
      </c>
      <c r="J44" s="2" t="inlineStr">
        <is>
          <t>Draft contains SEO Use / QA approval wording.</t>
        </is>
      </c>
      <c r="K44" s="2" t="inlineStr">
        <is>
          <t>Description HTML no longer contains SEO Use, QA, approval, import or draft language.</t>
        </is>
      </c>
    </row>
    <row r="45" ht="84" customHeight="1">
      <c r="A45" s="3" t="inlineStr">
        <is>
          <t>ISSUE-0044</t>
        </is>
      </c>
      <c r="B45" s="3" t="inlineStr">
        <is>
          <t>jeminise.com+nature-and-mythology-tree-of-life-quilt-set-with-twisted-tree-trunk-ceb2e637d5-ceb2e637d5</t>
        </is>
      </c>
      <c r="C45" s="3" t="inlineStr"/>
      <c r="D45" s="3" t="inlineStr">
        <is>
          <t>MAJOR</t>
        </is>
      </c>
      <c r="E45" s="3" t="inlineStr">
        <is>
          <t>h1_proposed</t>
        </is>
      </c>
      <c r="F45" s="3" t="inlineStr"/>
      <c r="G45" s="3" t="inlineStr">
        <is>
          <t>The submitted workbook row has no proposed H1.</t>
        </is>
      </c>
      <c r="H45" s="3" t="inlineStr">
        <is>
          <t>A publishable SEO title/H1 pair is incomplete when the H1 field is blank.</t>
        </is>
      </c>
      <c r="I45" s="3" t="inlineStr">
        <is>
          <t>Write one English H1 that matches the verified product type and visible design; do not copy unsupported claims.</t>
        </is>
      </c>
      <c r="J45" s="3" t="inlineStr">
        <is>
          <t>The submitted workbook row has no proposed H1.</t>
        </is>
      </c>
      <c r="K45" s="3" t="inlineStr">
        <is>
          <t>Workbook contains a non-empty H1 and it is consistent with title, primary keyword and live product evidence.</t>
        </is>
      </c>
    </row>
    <row r="46" ht="84" customHeight="1">
      <c r="A46" s="2" t="inlineStr">
        <is>
          <t>ISSUE-0045</t>
        </is>
      </c>
      <c r="B46" s="2" t="inlineStr">
        <is>
          <t>jeminise.com+nature-and-mythology-tree-of-life-quilt-set-with-twisted-tree-trunk-ceb2e637d5-ceb2e637d5</t>
        </is>
      </c>
      <c r="C46" s="2" t="inlineStr"/>
      <c r="D46" s="2" t="inlineStr">
        <is>
          <t>MAJOR</t>
        </is>
      </c>
      <c r="E46" s="2" t="inlineStr">
        <is>
          <t>description_proposed_html</t>
        </is>
      </c>
      <c r="F46" s="2" t="inlineStr">
        <is>
          <t>&lt;p&gt;This Jeminise quilt set features cream quilt with twisting brown Tree of Life trunk, exposed roots and green leaves, making it suited for animal rooms, faith gifts, nature-inspired decor or Viking-themed bedrooms.&lt;/p&gt;&lt;h3&gt;Design Details&lt;/h3&gt;&lt;ul&gt;&lt;li&gt;Visible artwork: cream quilt with twisting brown Tree of Life trunk, exposed roots and green leaves.&lt;/li&gt;&lt;li&gt;Source product details include: Brand: Jeminise; Product Type: Quilt Set; Material: Polye…</t>
        </is>
      </c>
      <c r="G46" s="2" t="inlineStr">
        <is>
          <t>The proposed description uses a repeated audience list (for example, animal rooms/faith gifts/nature-inspired decor) that is not specific to this product.</t>
        </is>
      </c>
      <c r="H46" s="2" t="inlineStr">
        <is>
          <t>Generic audience wording can be irrelevant or contradictory to the visible motif and is not evidence-led storefront copy.</t>
        </is>
      </c>
      <c r="I46" s="2" t="inlineStr">
        <is>
          <t>Replace it with concise English customer-facing copy tied only to the verified motif, product type, size/pillowcase choices and supported customizer control.</t>
        </is>
      </c>
      <c r="J46" s="2" t="inlineStr">
        <is>
          <t>The proposed description uses a repeated audience list (for example, animal rooms/faith gifts/nature-inspired decor) that is not specific to this product.</t>
        </is>
      </c>
      <c r="K46" s="2" t="inlineStr">
        <is>
          <t>Description contains no irrelevant template audience list and every remaining claim is supported by live/snapshot evidence.</t>
        </is>
      </c>
    </row>
    <row r="47" ht="84" customHeight="1">
      <c r="A47" s="3" t="inlineStr">
        <is>
          <t>ISSUE-0046</t>
        </is>
      </c>
      <c r="B47" s="3" t="inlineStr">
        <is>
          <t>jeminise.com+nature-and-mythology-tree-of-life-quilt-set-with-twisted-tree-trunk-ceb2e637d5-ceb2e637d5</t>
        </is>
      </c>
      <c r="C47" s="3" t="inlineStr"/>
      <c r="D47" s="3" t="inlineStr">
        <is>
          <t>MINOR</t>
        </is>
      </c>
      <c r="E47" s="3" t="inlineStr">
        <is>
          <t>meta_description_seo</t>
        </is>
      </c>
      <c r="F47" s="3" t="inlineStr">
        <is>
          <t>Shop a quilt set featuring cream quilt with twisting brown Tree of Life trunk, exposed roots and green leaves. Review size and personalization options before checkout.</t>
        </is>
      </c>
      <c r="G47" s="3" t="inlineStr">
        <is>
          <t>Meta description length is 167 characters.</t>
        </is>
      </c>
      <c r="H47" s="3" t="inlineStr">
        <is>
          <t>Likely to truncate in search results and repeats review/personality wording in several rows.</t>
        </is>
      </c>
      <c r="I47" s="3" t="inlineStr">
        <is>
          <t>Rewrite to roughly 145-155 characters while preserving verified design and product type.</t>
        </is>
      </c>
      <c r="J47" s="3" t="inlineStr">
        <is>
          <t>Meta description length is 167 characters.</t>
        </is>
      </c>
      <c r="K47" s="3" t="inlineStr">
        <is>
          <t>Length check &lt;=160 characters and no unsupported claim remains.</t>
        </is>
      </c>
    </row>
    <row r="48" ht="84" customHeight="1">
      <c r="A48" s="2" t="inlineStr">
        <is>
          <t>ISSUE-0047</t>
        </is>
      </c>
      <c r="B48" s="2" t="inlineStr">
        <is>
          <t>jeminise.com+nature-and-mythology-tree-of-life-quilt-set-with-twisted-tree-trunk-ceb2e637d5-ceb2e637d5</t>
        </is>
      </c>
      <c r="C48" s="2" t="inlineStr"/>
      <c r="D48" s="2" t="inlineStr">
        <is>
          <t>LIMITATION</t>
        </is>
      </c>
      <c r="E48" s="2" t="inlineStr">
        <is>
          <t>keyword_evidence_level</t>
        </is>
      </c>
      <c r="F48" s="2" t="inlineStr">
        <is>
          <t>SERP_ONLY</t>
        </is>
      </c>
      <c r="G48" s="2" t="inlineStr">
        <is>
          <t>Only public SERP comparables are available.</t>
        </is>
      </c>
      <c r="H48" s="2" t="inlineStr">
        <is>
          <t>No Search Console, paid keyword volume or internal site search export was supplied.</t>
        </is>
      </c>
      <c r="I48" s="2" t="inlineStr">
        <is>
          <t>Keep demand statements qualitative; do not claim volume or ranking potential.</t>
        </is>
      </c>
      <c r="J48" s="2" t="inlineStr">
        <is>
          <t>Only public SERP comparables are available.</t>
        </is>
      </c>
      <c r="K48" s="2" t="inlineStr">
        <is>
          <t>Additional first-party or paid keyword evidence is attached, or limitation remains documented.</t>
        </is>
      </c>
    </row>
    <row r="49" ht="84" customHeight="1">
      <c r="A49" s="3" t="inlineStr">
        <is>
          <t>ISSUE-0048</t>
        </is>
      </c>
      <c r="B49" s="3" t="inlineStr">
        <is>
          <t>jeminise.com+nature-and-mythology-tree-of-life-quilt-set-with-twisted-tree-trunk-ceb2e637d5-ceb2e637d5</t>
        </is>
      </c>
      <c r="C49" s="3" t="inlineStr">
        <is>
          <t>img_4c540bd77f602504</t>
        </is>
      </c>
      <c r="D49" s="3" t="inlineStr">
        <is>
          <t>MINOR</t>
        </is>
      </c>
      <c r="E49" s="3" t="inlineStr">
        <is>
          <t>alt text</t>
        </is>
      </c>
      <c r="F49" s="3" t="inlineStr">
        <is>
          <t>Cream Twisted Tree of Life Quilt displayed in a main product mockup</t>
        </is>
      </c>
      <c r="G49" s="3" t="inlineStr">
        <is>
          <t>Fresh image file: D:\Shopify_Workspace\jeminise_seo\seo_runs\jeminise.com\20260906_234129\qa\20260907_210204\images\155_01.jpg; source URL: https://cdn.shopify.com/s/files/1/0792/5098/1063/files/0d785f9d31ce0e89974aacf5b9eaa683a70fa09eff8afaf8a37bfe59e9dde191.jpg?v=1785047001</t>
        </is>
      </c>
      <c r="H49" s="3" t="inlineStr">
        <is>
          <t>Alt text is too generic or describes placement more than visible content.</t>
        </is>
      </c>
      <c r="I49" s="3" t="inlineStr">
        <is>
          <t>Rewrite observation/alt from the directly opened image, naming the visible motif and use context.</t>
        </is>
      </c>
      <c r="J49" s="3" t="inlineStr">
        <is>
          <t>Fresh image file: D:\Shopify_Workspace\jeminise_seo\seo_runs\jeminise.com\20260906_234129\qa\20260907_210204\images\155_01.jpg; source URL: https://cdn.shopify.com/s/files/1/0792/5098/1063/files/0d785f9d31ce0e89974aacf5b9eaa683a70fa09eff8afaf8a37bfe59e9dde191.jpg?v=1785047001</t>
        </is>
      </c>
      <c r="K49" s="3" t="inlineStr">
        <is>
          <t>The image row accurately describes the actual media at this gallery position.</t>
        </is>
      </c>
    </row>
    <row r="50" ht="84" customHeight="1">
      <c r="A50" s="2" t="inlineStr">
        <is>
          <t>ISSUE-0049</t>
        </is>
      </c>
      <c r="B50" s="2" t="inlineStr">
        <is>
          <t>jeminise.com+nature-and-mythology-tree-of-life-quilt-set-with-twisted-tree-trunk-ceb2e637d5-ceb2e637d5</t>
        </is>
      </c>
      <c r="C50" s="2" t="inlineStr">
        <is>
          <t>img_cb35db4dc6390935</t>
        </is>
      </c>
      <c r="D50" s="2" t="inlineStr">
        <is>
          <t>MINOR</t>
        </is>
      </c>
      <c r="E50" s="2" t="inlineStr">
        <is>
          <t>image observation</t>
        </is>
      </c>
      <c r="F50" s="2" t="inlineStr">
        <is>
          <t>Bedding type, feature, lifestyle or material image for cream twisted Tree of Life quilt.</t>
        </is>
      </c>
      <c r="G50" s="2" t="inlineStr">
        <is>
          <t>Fresh image file: D:\Shopify_Workspace\jeminise_seo\seo_runs\jeminise.com\20260906_234129\qa\20260907_210204\images\155_03.jpg; source URL: https://cdn.shopify.com/s/files/1/0792/5098/1063/files/5ac2def02ca55ef91b1041dbb5f2e346a96f55aedcc9e89c3c6faf8b8780fd0c.jpg?v=1785047001</t>
        </is>
      </c>
      <c r="H50" s="2" t="inlineStr">
        <is>
          <t>Observation is generic or position-based; rewrite from the actual image content.</t>
        </is>
      </c>
      <c r="I50" s="2" t="inlineStr">
        <is>
          <t>Rewrite observation/alt from the directly opened image, naming the visible motif and use context.</t>
        </is>
      </c>
      <c r="J50" s="2" t="inlineStr">
        <is>
          <t>Fresh image file: D:\Shopify_Workspace\jeminise_seo\seo_runs\jeminise.com\20260906_234129\qa\20260907_210204\images\155_03.jpg; source URL: https://cdn.shopify.com/s/files/1/0792/5098/1063/files/5ac2def02ca55ef91b1041dbb5f2e346a96f55aedcc9e89c3c6faf8b8780fd0c.jpg?v=1785047001</t>
        </is>
      </c>
      <c r="K50" s="2" t="inlineStr">
        <is>
          <t>The image row accurately describes the actual media at this gallery position.</t>
        </is>
      </c>
    </row>
    <row r="51" ht="84" customHeight="1">
      <c r="A51" s="3" t="inlineStr">
        <is>
          <t>ISSUE-0050</t>
        </is>
      </c>
      <c r="B51" s="3" t="inlineStr">
        <is>
          <t>jeminise.com+nature-and-mythology-tree-of-life-quilt-set-with-twisted-tree-trunk-ceb2e637d5-ceb2e637d5</t>
        </is>
      </c>
      <c r="C51" s="3" t="inlineStr">
        <is>
          <t>img_da0eefadfc42011b</t>
        </is>
      </c>
      <c r="D51" s="3" t="inlineStr">
        <is>
          <t>MINOR</t>
        </is>
      </c>
      <c r="E51" s="3" t="inlineStr">
        <is>
          <t>image observation</t>
        </is>
      </c>
      <c r="F51" s="3" t="inlineStr">
        <is>
          <t>Detail, feature panel or lifestyle image connected to cream twisted Tree of Life quilt.</t>
        </is>
      </c>
      <c r="G51" s="3" t="inlineStr">
        <is>
          <t>Fresh image file: D:\Shopify_Workspace\jeminise_seo\seo_runs\jeminise.com\20260906_234129\qa\20260907_210204\images\155_04.jpg; source URL: https://cdn.shopify.com/s/files/1/0792/5098/1063/files/5afbb8bfe8e0f2cae9c66e8395b79c83ed47af3be8b96e283dbe30499951b424.jpg?v=1785047001</t>
        </is>
      </c>
      <c r="H51" s="3" t="inlineStr">
        <is>
          <t>Observation is generic or position-based; rewrite from the actual image content.</t>
        </is>
      </c>
      <c r="I51" s="3" t="inlineStr">
        <is>
          <t>Rewrite observation/alt from the directly opened image, naming the visible motif and use context.</t>
        </is>
      </c>
      <c r="J51" s="3" t="inlineStr">
        <is>
          <t>Fresh image file: D:\Shopify_Workspace\jeminise_seo\seo_runs\jeminise.com\20260906_234129\qa\20260907_210204\images\155_04.jpg; source URL: https://cdn.shopify.com/s/files/1/0792/5098/1063/files/5afbb8bfe8e0f2cae9c66e8395b79c83ed47af3be8b96e283dbe30499951b424.jpg?v=1785047001</t>
        </is>
      </c>
      <c r="K51" s="3" t="inlineStr">
        <is>
          <t>The image row accurately describes the actual media at this gallery position.</t>
        </is>
      </c>
    </row>
    <row r="52" ht="84" customHeight="1">
      <c r="A52" s="2" t="inlineStr">
        <is>
          <t>ISSUE-0051</t>
        </is>
      </c>
      <c r="B52" s="2" t="inlineStr">
        <is>
          <t>jeminise.com+nature-and-mythology-tree-of-life-quilt-set-with-twisted-tree-trunk-ceb2e637d5-ceb2e637d5</t>
        </is>
      </c>
      <c r="C52" s="2" t="inlineStr">
        <is>
          <t>img_056f2ba116a9da9b</t>
        </is>
      </c>
      <c r="D52" s="2" t="inlineStr">
        <is>
          <t>MINOR</t>
        </is>
      </c>
      <c r="E52" s="2" t="inlineStr">
        <is>
          <t>image observation</t>
        </is>
      </c>
      <c r="F52" s="2" t="inlineStr">
        <is>
          <t>Easy-care, size guide or product feature image for cream twisted Tree of Life quilt.</t>
        </is>
      </c>
      <c r="G52" s="2" t="inlineStr">
        <is>
          <t>Fresh image file: D:\Shopify_Workspace\jeminise_seo\seo_runs\jeminise.com\20260906_234129\qa\20260907_210204\images\155_06.jpg; source URL: https://cdn.shopify.com/s/files/1/0792/5098/1063/files/03f28650af251cefed46d5c9bc0bb8932f18d148f35526a7c91c998985ab4231.jpg?v=1785047001</t>
        </is>
      </c>
      <c r="H52" s="2" t="inlineStr">
        <is>
          <t>Observation is generic or position-based; rewrite from the actual image content.</t>
        </is>
      </c>
      <c r="I52" s="2" t="inlineStr">
        <is>
          <t>Rewrite observation/alt from the directly opened image, naming the visible motif and use context.</t>
        </is>
      </c>
      <c r="J52" s="2" t="inlineStr">
        <is>
          <t>Fresh image file: D:\Shopify_Workspace\jeminise_seo\seo_runs\jeminise.com\20260906_234129\qa\20260907_210204\images\155_06.jpg; source URL: https://cdn.shopify.com/s/files/1/0792/5098/1063/files/03f28650af251cefed46d5c9bc0bb8932f18d148f35526a7c91c998985ab4231.jpg?v=1785047001</t>
        </is>
      </c>
      <c r="K52" s="2" t="inlineStr">
        <is>
          <t>The image row accurately describes the actual media at this gallery position.</t>
        </is>
      </c>
    </row>
    <row r="53" ht="84" customHeight="1">
      <c r="A53" s="3" t="inlineStr">
        <is>
          <t>ISSUE-0052</t>
        </is>
      </c>
      <c r="B53" s="3" t="inlineStr">
        <is>
          <t>jeminise.com+nature-and-mythology-tree-of-life-quilt-set-with-twisted-tree-trunk-ceb2e637d5-ceb2e637d5</t>
        </is>
      </c>
      <c r="C53" s="3" t="inlineStr">
        <is>
          <t>img_bc5be181fe7ccdaa</t>
        </is>
      </c>
      <c r="D53" s="3" t="inlineStr">
        <is>
          <t>MINOR</t>
        </is>
      </c>
      <c r="E53" s="3" t="inlineStr">
        <is>
          <t>image observation</t>
        </is>
      </c>
      <c r="F53" s="3" t="inlineStr">
        <is>
          <t>Additional lifestyle, feature or product detail image showing cream twisted Tree of Life quilt.</t>
        </is>
      </c>
      <c r="G53" s="3" t="inlineStr">
        <is>
          <t>Fresh image file: D:\Shopify_Workspace\jeminise_seo\seo_runs\jeminise.com\20260906_234129\qa\20260907_210204\images\155_07.jpg; source URL: https://cdn.shopify.com/s/files/1/0792/5098/1063/files/b7f7217bc368c7d403288443e46060ae912df896d41eb526167e12992bc53796.jpg?v=1785047001</t>
        </is>
      </c>
      <c r="H53" s="3" t="inlineStr">
        <is>
          <t>Observation is generic or position-based; rewrite from the actual image content.</t>
        </is>
      </c>
      <c r="I53" s="3" t="inlineStr">
        <is>
          <t>Rewrite observation/alt from the directly opened image, naming the visible motif and use context.</t>
        </is>
      </c>
      <c r="J53" s="3" t="inlineStr">
        <is>
          <t>Fresh image file: D:\Shopify_Workspace\jeminise_seo\seo_runs\jeminise.com\20260906_234129\qa\20260907_210204\images\155_07.jpg; source URL: https://cdn.shopify.com/s/files/1/0792/5098/1063/files/b7f7217bc368c7d403288443e46060ae912df896d41eb526167e12992bc53796.jpg?v=1785047001</t>
        </is>
      </c>
      <c r="K53" s="3" t="inlineStr">
        <is>
          <t>The image row accurately describes the actual media at this gallery position.</t>
        </is>
      </c>
    </row>
    <row r="54" ht="84" customHeight="1">
      <c r="A54" s="2" t="inlineStr">
        <is>
          <t>ISSUE-0053</t>
        </is>
      </c>
      <c r="B54" s="2" t="inlineStr">
        <is>
          <t>jeminise.com+nature-tree-of-life-quilt-set-with-blooming-tree-and-bedroom-and-exposed-roots-d5450715a6-d5450715a6</t>
        </is>
      </c>
      <c r="C54" s="2" t="inlineStr"/>
      <c r="D54" s="2" t="inlineStr">
        <is>
          <t>MAJOR</t>
        </is>
      </c>
      <c r="E54" s="2" t="inlineStr">
        <is>
          <t>description_proposed_html</t>
        </is>
      </c>
      <c r="F54" s="2" t="inlineStr">
        <is>
          <t>&lt;p&gt;This Jeminise quilt set features blooming Tree of Life with exposed roots, white flowers and floral border on a black background, making it suited for animal rooms, faith gifts, nature-inspired decor or Viking-themed bedrooms.&lt;/p&gt;&lt;h3&gt;Design Details&lt;/h3&gt;&lt;ul&gt;&lt;li&gt;Visible artwork: blooming Tree of Life with exposed roots, white flowers and floral border on a black background.&lt;/li&gt;&lt;li&gt;Source product details include: Brand: Jeminise; Product Type:…</t>
        </is>
      </c>
      <c r="G54" s="2" t="inlineStr">
        <is>
          <t>Draft contains SEO Use / QA approval wording.</t>
        </is>
      </c>
      <c r="H54" s="2" t="inlineStr">
        <is>
          <t>Internal workflow language is not publish-ready storefront copy.</t>
        </is>
      </c>
      <c r="I54" s="2" t="inlineStr">
        <is>
          <t>Remove internal QA/import block and replace with customer-facing verified copy.</t>
        </is>
      </c>
      <c r="J54" s="2" t="inlineStr">
        <is>
          <t>Draft contains SEO Use / QA approval wording.</t>
        </is>
      </c>
      <c r="K54" s="2" t="inlineStr">
        <is>
          <t>Description HTML no longer contains SEO Use, QA, approval, import or draft language.</t>
        </is>
      </c>
    </row>
    <row r="55" ht="84" customHeight="1">
      <c r="A55" s="3" t="inlineStr">
        <is>
          <t>ISSUE-0054</t>
        </is>
      </c>
      <c r="B55" s="3" t="inlineStr">
        <is>
          <t>jeminise.com+nature-tree-of-life-quilt-set-with-blooming-tree-and-bedroom-and-exposed-roots-d5450715a6-d5450715a6</t>
        </is>
      </c>
      <c r="C55" s="3" t="inlineStr"/>
      <c r="D55" s="3" t="inlineStr">
        <is>
          <t>MAJOR</t>
        </is>
      </c>
      <c r="E55" s="3" t="inlineStr">
        <is>
          <t>h1_proposed</t>
        </is>
      </c>
      <c r="F55" s="3" t="inlineStr"/>
      <c r="G55" s="3" t="inlineStr">
        <is>
          <t>The submitted workbook row has no proposed H1.</t>
        </is>
      </c>
      <c r="H55" s="3" t="inlineStr">
        <is>
          <t>A publishable SEO title/H1 pair is incomplete when the H1 field is blank.</t>
        </is>
      </c>
      <c r="I55" s="3" t="inlineStr">
        <is>
          <t>Write one English H1 that matches the verified product type and visible design; do not copy unsupported claims.</t>
        </is>
      </c>
      <c r="J55" s="3" t="inlineStr">
        <is>
          <t>The submitted workbook row has no proposed H1.</t>
        </is>
      </c>
      <c r="K55" s="3" t="inlineStr">
        <is>
          <t>Workbook contains a non-empty H1 and it is consistent with title, primary keyword and live product evidence.</t>
        </is>
      </c>
    </row>
    <row r="56" ht="84" customHeight="1">
      <c r="A56" s="2" t="inlineStr">
        <is>
          <t>ISSUE-0055</t>
        </is>
      </c>
      <c r="B56" s="2" t="inlineStr">
        <is>
          <t>jeminise.com+nature-tree-of-life-quilt-set-with-blooming-tree-and-bedroom-and-exposed-roots-d5450715a6-d5450715a6</t>
        </is>
      </c>
      <c r="C56" s="2" t="inlineStr"/>
      <c r="D56" s="2" t="inlineStr">
        <is>
          <t>MAJOR</t>
        </is>
      </c>
      <c r="E56" s="2" t="inlineStr">
        <is>
          <t>description_proposed_html</t>
        </is>
      </c>
      <c r="F56" s="2" t="inlineStr">
        <is>
          <t>&lt;p&gt;This Jeminise quilt set features blooming Tree of Life with exposed roots, white flowers and floral border on a black background, making it suited for animal rooms, faith gifts, nature-inspired decor or Viking-themed bedrooms.&lt;/p&gt;&lt;h3&gt;Design Details&lt;/h3&gt;&lt;ul&gt;&lt;li&gt;Visible artwork: blooming Tree of Life with exposed roots, white flowers and floral border on a black background.&lt;/li&gt;&lt;li&gt;Source product details include: Brand: Jeminise; Product Type:…</t>
        </is>
      </c>
      <c r="G56" s="2" t="inlineStr">
        <is>
          <t>The proposed description uses a repeated audience list (for example, animal rooms/faith gifts/nature-inspired decor) that is not specific to this product.</t>
        </is>
      </c>
      <c r="H56" s="2" t="inlineStr">
        <is>
          <t>Generic audience wording can be irrelevant or contradictory to the visible motif and is not evidence-led storefront copy.</t>
        </is>
      </c>
      <c r="I56" s="2" t="inlineStr">
        <is>
          <t>Replace it with concise English customer-facing copy tied only to the verified motif, product type, size/pillowcase choices and supported customizer control.</t>
        </is>
      </c>
      <c r="J56" s="2" t="inlineStr">
        <is>
          <t>The proposed description uses a repeated audience list (for example, animal rooms/faith gifts/nature-inspired decor) that is not specific to this product.</t>
        </is>
      </c>
      <c r="K56" s="2" t="inlineStr">
        <is>
          <t>Description contains no irrelevant template audience list and every remaining claim is supported by live/snapshot evidence.</t>
        </is>
      </c>
    </row>
    <row r="57" ht="84" customHeight="1">
      <c r="A57" s="3" t="inlineStr">
        <is>
          <t>ISSUE-0056</t>
        </is>
      </c>
      <c r="B57" s="3" t="inlineStr">
        <is>
          <t>jeminise.com+nature-tree-of-life-quilt-set-with-blooming-tree-and-bedroom-and-exposed-roots-d5450715a6-d5450715a6</t>
        </is>
      </c>
      <c r="C57" s="3" t="inlineStr"/>
      <c r="D57" s="3" t="inlineStr">
        <is>
          <t>MINOR</t>
        </is>
      </c>
      <c r="E57" s="3" t="inlineStr">
        <is>
          <t>meta_description_seo</t>
        </is>
      </c>
      <c r="F57" s="3" t="inlineStr">
        <is>
          <t>Shop a quilt set featuring blooming Tree of Life with exposed roots, white flowers and floral border on a black background. Review size and personalization options before checkout.</t>
        </is>
      </c>
      <c r="G57" s="3" t="inlineStr">
        <is>
          <t>Meta description length is 180 characters.</t>
        </is>
      </c>
      <c r="H57" s="3" t="inlineStr">
        <is>
          <t>Likely to truncate in search results and repeats review/personality wording in several rows.</t>
        </is>
      </c>
      <c r="I57" s="3" t="inlineStr">
        <is>
          <t>Rewrite to roughly 145-155 characters while preserving verified design and product type.</t>
        </is>
      </c>
      <c r="J57" s="3" t="inlineStr">
        <is>
          <t>Meta description length is 180 characters.</t>
        </is>
      </c>
      <c r="K57" s="3" t="inlineStr">
        <is>
          <t>Length check &lt;=160 characters and no unsupported claim remains.</t>
        </is>
      </c>
    </row>
    <row r="58" ht="84" customHeight="1">
      <c r="A58" s="2" t="inlineStr">
        <is>
          <t>ISSUE-0057</t>
        </is>
      </c>
      <c r="B58" s="2" t="inlineStr">
        <is>
          <t>jeminise.com+nature-tree-of-life-quilt-set-with-blooming-tree-and-bedroom-and-exposed-roots-d5450715a6-d5450715a6</t>
        </is>
      </c>
      <c r="C58" s="2" t="inlineStr"/>
      <c r="D58" s="2" t="inlineStr">
        <is>
          <t>LIMITATION</t>
        </is>
      </c>
      <c r="E58" s="2" t="inlineStr">
        <is>
          <t>keyword_evidence_level</t>
        </is>
      </c>
      <c r="F58" s="2" t="inlineStr">
        <is>
          <t>SERP_ONLY</t>
        </is>
      </c>
      <c r="G58" s="2" t="inlineStr">
        <is>
          <t>Only public SERP comparables are available.</t>
        </is>
      </c>
      <c r="H58" s="2" t="inlineStr">
        <is>
          <t>No Search Console, paid keyword volume or internal site search export was supplied.</t>
        </is>
      </c>
      <c r="I58" s="2" t="inlineStr">
        <is>
          <t>Keep demand statements qualitative; do not claim volume or ranking potential.</t>
        </is>
      </c>
      <c r="J58" s="2" t="inlineStr">
        <is>
          <t>Only public SERP comparables are available.</t>
        </is>
      </c>
      <c r="K58" s="2" t="inlineStr">
        <is>
          <t>Additional first-party or paid keyword evidence is attached, or limitation remains documented.</t>
        </is>
      </c>
    </row>
    <row r="59" ht="84" customHeight="1">
      <c r="A59" s="3" t="inlineStr">
        <is>
          <t>ISSUE-0058</t>
        </is>
      </c>
      <c r="B59" s="3" t="inlineStr">
        <is>
          <t>jeminise.com+nature-tree-of-life-quilt-set-with-blooming-tree-and-bedroom-and-exposed-roots-d5450715a6-d5450715a6</t>
        </is>
      </c>
      <c r="C59" s="3" t="inlineStr">
        <is>
          <t>img_71743e28d009f2b3</t>
        </is>
      </c>
      <c r="D59" s="3" t="inlineStr">
        <is>
          <t>MINOR</t>
        </is>
      </c>
      <c r="E59" s="3" t="inlineStr">
        <is>
          <t>alt text</t>
        </is>
      </c>
      <c r="F59" s="3" t="inlineStr">
        <is>
          <t>Black Blooming Tree of Life Quilt displayed in a main product mockup</t>
        </is>
      </c>
      <c r="G59" s="3" t="inlineStr">
        <is>
          <t>Fresh image file: D:\Shopify_Workspace\jeminise_seo\seo_runs\jeminise.com\20260906_234129\qa\20260907_210204\images\156_01.jpg; source URL: https://cdn.shopify.com/s/files/1/0792/5098/1063/files/a7d2efc7deb85e2fb4648b297cac99db2b435e8c07e23380ec6cb6604ea179d2.jpg?v=1785048100</t>
        </is>
      </c>
      <c r="H59" s="3" t="inlineStr">
        <is>
          <t>Alt text is too generic or describes placement more than visible content.</t>
        </is>
      </c>
      <c r="I59" s="3" t="inlineStr">
        <is>
          <t>Rewrite observation/alt from the directly opened image, naming the visible motif and use context.</t>
        </is>
      </c>
      <c r="J59" s="3" t="inlineStr">
        <is>
          <t>Fresh image file: D:\Shopify_Workspace\jeminise_seo\seo_runs\jeminise.com\20260906_234129\qa\20260907_210204\images\156_01.jpg; source URL: https://cdn.shopify.com/s/files/1/0792/5098/1063/files/a7d2efc7deb85e2fb4648b297cac99db2b435e8c07e23380ec6cb6604ea179d2.jpg?v=1785048100</t>
        </is>
      </c>
      <c r="K59" s="3" t="inlineStr">
        <is>
          <t>The image row accurately describes the actual media at this gallery position.</t>
        </is>
      </c>
    </row>
    <row r="60" ht="84" customHeight="1">
      <c r="A60" s="2" t="inlineStr">
        <is>
          <t>ISSUE-0059</t>
        </is>
      </c>
      <c r="B60" s="2" t="inlineStr">
        <is>
          <t>jeminise.com+nature-tree-of-life-quilt-set-with-blooming-tree-and-bedroom-and-exposed-roots-d5450715a6-d5450715a6</t>
        </is>
      </c>
      <c r="C60" s="2" t="inlineStr">
        <is>
          <t>img_18a218bb23e38233</t>
        </is>
      </c>
      <c r="D60" s="2" t="inlineStr">
        <is>
          <t>MINOR</t>
        </is>
      </c>
      <c r="E60" s="2" t="inlineStr">
        <is>
          <t>image observation</t>
        </is>
      </c>
      <c r="F60" s="2" t="inlineStr">
        <is>
          <t>Bedding type, feature, lifestyle or material image for black blooming Tree of Life floral quilt.</t>
        </is>
      </c>
      <c r="G60" s="2" t="inlineStr">
        <is>
          <t>Fresh image file: D:\Shopify_Workspace\jeminise_seo\seo_runs\jeminise.com\20260906_234129\qa\20260907_210204\images\156_03.jpg; source URL: https://cdn.shopify.com/s/files/1/0792/5098/1063/files/d607df9d03ab43bb32f5dde50322687d1f020057aae015a34564a6cec5f538a4.jpg?v=1785048100</t>
        </is>
      </c>
      <c r="H60" s="2" t="inlineStr">
        <is>
          <t>Observation is generic or position-based; rewrite from the actual image content.</t>
        </is>
      </c>
      <c r="I60" s="2" t="inlineStr">
        <is>
          <t>Rewrite observation/alt from the directly opened image, naming the visible motif and use context.</t>
        </is>
      </c>
      <c r="J60" s="2" t="inlineStr">
        <is>
          <t>Fresh image file: D:\Shopify_Workspace\jeminise_seo\seo_runs\jeminise.com\20260906_234129\qa\20260907_210204\images\156_03.jpg; source URL: https://cdn.shopify.com/s/files/1/0792/5098/1063/files/d607df9d03ab43bb32f5dde50322687d1f020057aae015a34564a6cec5f538a4.jpg?v=1785048100</t>
        </is>
      </c>
      <c r="K60" s="2" t="inlineStr">
        <is>
          <t>The image row accurately describes the actual media at this gallery position.</t>
        </is>
      </c>
    </row>
    <row r="61" ht="84" customHeight="1">
      <c r="A61" s="3" t="inlineStr">
        <is>
          <t>ISSUE-0060</t>
        </is>
      </c>
      <c r="B61" s="3" t="inlineStr">
        <is>
          <t>jeminise.com+nature-tree-of-life-quilt-set-with-blooming-tree-and-bedroom-and-exposed-roots-d5450715a6-d5450715a6</t>
        </is>
      </c>
      <c r="C61" s="3" t="inlineStr">
        <is>
          <t>img_14bc89ae63354aa5</t>
        </is>
      </c>
      <c r="D61" s="3" t="inlineStr">
        <is>
          <t>MINOR</t>
        </is>
      </c>
      <c r="E61" s="3" t="inlineStr">
        <is>
          <t>image observation</t>
        </is>
      </c>
      <c r="F61" s="3" t="inlineStr">
        <is>
          <t>Detail, feature panel or lifestyle image connected to black blooming Tree of Life floral quilt.</t>
        </is>
      </c>
      <c r="G61" s="3" t="inlineStr">
        <is>
          <t>Fresh image file: D:\Shopify_Workspace\jeminise_seo\seo_runs\jeminise.com\20260906_234129\qa\20260907_210204\images\156_04.jpg; source URL: https://cdn.shopify.com/s/files/1/0792/5098/1063/files/44dfd17346b5c529f42f160eb40a79a4249454ee5f383b04a523415c56cab351.jpg?v=1785048100</t>
        </is>
      </c>
      <c r="H61" s="3" t="inlineStr">
        <is>
          <t>Observation is generic or position-based; rewrite from the actual image content.</t>
        </is>
      </c>
      <c r="I61" s="3" t="inlineStr">
        <is>
          <t>Rewrite observation/alt from the directly opened image, naming the visible motif and use context.</t>
        </is>
      </c>
      <c r="J61" s="3" t="inlineStr">
        <is>
          <t>Fresh image file: D:\Shopify_Workspace\jeminise_seo\seo_runs\jeminise.com\20260906_234129\qa\20260907_210204\images\156_04.jpg; source URL: https://cdn.shopify.com/s/files/1/0792/5098/1063/files/44dfd17346b5c529f42f160eb40a79a4249454ee5f383b04a523415c56cab351.jpg?v=1785048100</t>
        </is>
      </c>
      <c r="K61" s="3" t="inlineStr">
        <is>
          <t>The image row accurately describes the actual media at this gallery position.</t>
        </is>
      </c>
    </row>
    <row r="62" ht="84" customHeight="1">
      <c r="A62" s="2" t="inlineStr">
        <is>
          <t>ISSUE-0061</t>
        </is>
      </c>
      <c r="B62" s="2" t="inlineStr">
        <is>
          <t>jeminise.com+nature-tree-of-life-quilt-set-with-blooming-tree-and-bedroom-and-exposed-roots-d5450715a6-d5450715a6</t>
        </is>
      </c>
      <c r="C62" s="2" t="inlineStr">
        <is>
          <t>img_3599257d2b9e4ea4</t>
        </is>
      </c>
      <c r="D62" s="2" t="inlineStr">
        <is>
          <t>MINOR</t>
        </is>
      </c>
      <c r="E62" s="2" t="inlineStr">
        <is>
          <t>image observation</t>
        </is>
      </c>
      <c r="F62" s="2" t="inlineStr">
        <is>
          <t>Easy-care, size guide or product feature image for black blooming Tree of Life floral quilt.</t>
        </is>
      </c>
      <c r="G62" s="2" t="inlineStr">
        <is>
          <t>Fresh image file: D:\Shopify_Workspace\jeminise_seo\seo_runs\jeminise.com\20260906_234129\qa\20260907_210204\images\156_06.jpg; source URL: https://cdn.shopify.com/s/files/1/0792/5098/1063/files/309f9b67e4ad484fda0b2d320d0694ae9c04bfbd76758b06e3f3e56c94e4d6b9.jpg?v=1785048100</t>
        </is>
      </c>
      <c r="H62" s="2" t="inlineStr">
        <is>
          <t>Observation is generic or position-based; rewrite from the actual image content.</t>
        </is>
      </c>
      <c r="I62" s="2" t="inlineStr">
        <is>
          <t>Rewrite observation/alt from the directly opened image, naming the visible motif and use context.</t>
        </is>
      </c>
      <c r="J62" s="2" t="inlineStr">
        <is>
          <t>Fresh image file: D:\Shopify_Workspace\jeminise_seo\seo_runs\jeminise.com\20260906_234129\qa\20260907_210204\images\156_06.jpg; source URL: https://cdn.shopify.com/s/files/1/0792/5098/1063/files/309f9b67e4ad484fda0b2d320d0694ae9c04bfbd76758b06e3f3e56c94e4d6b9.jpg?v=1785048100</t>
        </is>
      </c>
      <c r="K62" s="2" t="inlineStr">
        <is>
          <t>The image row accurately describes the actual media at this gallery position.</t>
        </is>
      </c>
    </row>
    <row r="63" ht="84" customHeight="1">
      <c r="A63" s="3" t="inlineStr">
        <is>
          <t>ISSUE-0062</t>
        </is>
      </c>
      <c r="B63" s="3" t="inlineStr">
        <is>
          <t>jeminise.com+nature-tree-of-life-quilt-set-with-blooming-tree-and-bedroom-and-exposed-roots-d5450715a6-d5450715a6</t>
        </is>
      </c>
      <c r="C63" s="3" t="inlineStr">
        <is>
          <t>img_ee816b09c5bac8ce</t>
        </is>
      </c>
      <c r="D63" s="3" t="inlineStr">
        <is>
          <t>MINOR</t>
        </is>
      </c>
      <c r="E63" s="3" t="inlineStr">
        <is>
          <t>image observation</t>
        </is>
      </c>
      <c r="F63" s="3" t="inlineStr">
        <is>
          <t>Additional lifestyle, feature or product detail image showing black blooming Tree of Life floral quilt.</t>
        </is>
      </c>
      <c r="G63" s="3" t="inlineStr">
        <is>
          <t>Fresh image file: D:\Shopify_Workspace\jeminise_seo\seo_runs\jeminise.com\20260906_234129\qa\20260907_210204\images\156_07.jpg; source URL: https://cdn.shopify.com/s/files/1/0792/5098/1063/files/f90a97ff95ddd2b9f72a9574d1cbaac64567b825c2fb12908e9762409552739a.jpg?v=1785048100</t>
        </is>
      </c>
      <c r="H63" s="3" t="inlineStr">
        <is>
          <t>Observation is generic or position-based; rewrite from the actual image content.</t>
        </is>
      </c>
      <c r="I63" s="3" t="inlineStr">
        <is>
          <t>Rewrite observation/alt from the directly opened image, naming the visible motif and use context.</t>
        </is>
      </c>
      <c r="J63" s="3" t="inlineStr">
        <is>
          <t>Fresh image file: D:\Shopify_Workspace\jeminise_seo\seo_runs\jeminise.com\20260906_234129\qa\20260907_210204\images\156_07.jpg; source URL: https://cdn.shopify.com/s/files/1/0792/5098/1063/files/f90a97ff95ddd2b9f72a9574d1cbaac64567b825c2fb12908e9762409552739a.jpg?v=1785048100</t>
        </is>
      </c>
      <c r="K63" s="3" t="inlineStr">
        <is>
          <t>The image row accurately describes the actual media at this gallery position.</t>
        </is>
      </c>
    </row>
    <row r="64" ht="84" customHeight="1">
      <c r="A64" s="2" t="inlineStr">
        <is>
          <t>ISSUE-0063</t>
        </is>
      </c>
      <c r="B64" s="2" t="inlineStr">
        <is>
          <t>jeminise.com+nature-tree-of-life-quilt-set-with-stained-glass-pattern-and-bedroom-2eedde5b65-2eedde5b65</t>
        </is>
      </c>
      <c r="C64" s="2" t="inlineStr"/>
      <c r="D64" s="2" t="inlineStr">
        <is>
          <t>MAJOR</t>
        </is>
      </c>
      <c r="E64" s="2" t="inlineStr">
        <is>
          <t>description_proposed_html</t>
        </is>
      </c>
      <c r="F64" s="2" t="inlineStr">
        <is>
          <t>&lt;p&gt;This Jeminise quilt set features Tree of Life inside a stained-glass oval with sunset sky, green landscape and multicolor border, making it suited for animal rooms, faith gifts, nature-inspired decor or Viking-themed bedrooms.&lt;/p&gt;&lt;h3&gt;Design Details&lt;/h3&gt;&lt;ul&gt;&lt;li&gt;Visible artwork: Tree of Life inside a stained-glass oval with sunset sky, green landscape and multicolor border.&lt;/li&gt;&lt;li&gt;Source product details include: Brand: Jeminise; Product Type:…</t>
        </is>
      </c>
      <c r="G64" s="2" t="inlineStr">
        <is>
          <t>Draft contains SEO Use / QA approval wording.</t>
        </is>
      </c>
      <c r="H64" s="2" t="inlineStr">
        <is>
          <t>Internal workflow language is not publish-ready storefront copy.</t>
        </is>
      </c>
      <c r="I64" s="2" t="inlineStr">
        <is>
          <t>Remove internal QA/import block and replace with customer-facing verified copy.</t>
        </is>
      </c>
      <c r="J64" s="2" t="inlineStr">
        <is>
          <t>Draft contains SEO Use / QA approval wording.</t>
        </is>
      </c>
      <c r="K64" s="2" t="inlineStr">
        <is>
          <t>Description HTML no longer contains SEO Use, QA, approval, import or draft language.</t>
        </is>
      </c>
    </row>
    <row r="65" ht="84" customHeight="1">
      <c r="A65" s="3" t="inlineStr">
        <is>
          <t>ISSUE-0064</t>
        </is>
      </c>
      <c r="B65" s="3" t="inlineStr">
        <is>
          <t>jeminise.com+nature-tree-of-life-quilt-set-with-stained-glass-pattern-and-bedroom-2eedde5b65-2eedde5b65</t>
        </is>
      </c>
      <c r="C65" s="3" t="inlineStr"/>
      <c r="D65" s="3" t="inlineStr">
        <is>
          <t>MAJOR</t>
        </is>
      </c>
      <c r="E65" s="3" t="inlineStr">
        <is>
          <t>h1_proposed</t>
        </is>
      </c>
      <c r="F65" s="3" t="inlineStr"/>
      <c r="G65" s="3" t="inlineStr">
        <is>
          <t>The submitted workbook row has no proposed H1.</t>
        </is>
      </c>
      <c r="H65" s="3" t="inlineStr">
        <is>
          <t>A publishable SEO title/H1 pair is incomplete when the H1 field is blank.</t>
        </is>
      </c>
      <c r="I65" s="3" t="inlineStr">
        <is>
          <t>Write one English H1 that matches the verified product type and visible design; do not copy unsupported claims.</t>
        </is>
      </c>
      <c r="J65" s="3" t="inlineStr">
        <is>
          <t>The submitted workbook row has no proposed H1.</t>
        </is>
      </c>
      <c r="K65" s="3" t="inlineStr">
        <is>
          <t>Workbook contains a non-empty H1 and it is consistent with title, primary keyword and live product evidence.</t>
        </is>
      </c>
    </row>
    <row r="66" ht="84" customHeight="1">
      <c r="A66" s="2" t="inlineStr">
        <is>
          <t>ISSUE-0065</t>
        </is>
      </c>
      <c r="B66" s="2" t="inlineStr">
        <is>
          <t>jeminise.com+nature-tree-of-life-quilt-set-with-stained-glass-pattern-and-bedroom-2eedde5b65-2eedde5b65</t>
        </is>
      </c>
      <c r="C66" s="2" t="inlineStr"/>
      <c r="D66" s="2" t="inlineStr">
        <is>
          <t>MAJOR</t>
        </is>
      </c>
      <c r="E66" s="2" t="inlineStr">
        <is>
          <t>description_proposed_html</t>
        </is>
      </c>
      <c r="F66" s="2" t="inlineStr">
        <is>
          <t>&lt;p&gt;This Jeminise quilt set features Tree of Life inside a stained-glass oval with sunset sky, green landscape and multicolor border, making it suited for animal rooms, faith gifts, nature-inspired decor or Viking-themed bedrooms.&lt;/p&gt;&lt;h3&gt;Design Details&lt;/h3&gt;&lt;ul&gt;&lt;li&gt;Visible artwork: Tree of Life inside a stained-glass oval with sunset sky, green landscape and multicolor border.&lt;/li&gt;&lt;li&gt;Source product details include: Brand: Jeminise; Product Type:…</t>
        </is>
      </c>
      <c r="G66" s="2" t="inlineStr">
        <is>
          <t>The proposed description uses a repeated audience list (for example, animal rooms/faith gifts/nature-inspired decor) that is not specific to this product.</t>
        </is>
      </c>
      <c r="H66" s="2" t="inlineStr">
        <is>
          <t>Generic audience wording can be irrelevant or contradictory to the visible motif and is not evidence-led storefront copy.</t>
        </is>
      </c>
      <c r="I66" s="2" t="inlineStr">
        <is>
          <t>Replace it with concise English customer-facing copy tied only to the verified motif, product type, size/pillowcase choices and supported customizer control.</t>
        </is>
      </c>
      <c r="J66" s="2" t="inlineStr">
        <is>
          <t>The proposed description uses a repeated audience list (for example, animal rooms/faith gifts/nature-inspired decor) that is not specific to this product.</t>
        </is>
      </c>
      <c r="K66" s="2" t="inlineStr">
        <is>
          <t>Description contains no irrelevant template audience list and every remaining claim is supported by live/snapshot evidence.</t>
        </is>
      </c>
    </row>
    <row r="67" ht="84" customHeight="1">
      <c r="A67" s="3" t="inlineStr">
        <is>
          <t>ISSUE-0066</t>
        </is>
      </c>
      <c r="B67" s="3" t="inlineStr">
        <is>
          <t>jeminise.com+nature-tree-of-life-quilt-set-with-stained-glass-pattern-and-bedroom-2eedde5b65-2eedde5b65</t>
        </is>
      </c>
      <c r="C67" s="3" t="inlineStr"/>
      <c r="D67" s="3" t="inlineStr">
        <is>
          <t>MINOR</t>
        </is>
      </c>
      <c r="E67" s="3" t="inlineStr">
        <is>
          <t>meta_description_seo</t>
        </is>
      </c>
      <c r="F67" s="3" t="inlineStr">
        <is>
          <t>Shop a quilt set featuring Tree of Life inside a stained-glass oval with sunset sky, green landscape and multicolor border. Review size and personalization options before checkout.</t>
        </is>
      </c>
      <c r="G67" s="3" t="inlineStr">
        <is>
          <t>Meta description length is 180 characters.</t>
        </is>
      </c>
      <c r="H67" s="3" t="inlineStr">
        <is>
          <t>Likely to truncate in search results and repeats review/personality wording in several rows.</t>
        </is>
      </c>
      <c r="I67" s="3" t="inlineStr">
        <is>
          <t>Rewrite to roughly 145-155 characters while preserving verified design and product type.</t>
        </is>
      </c>
      <c r="J67" s="3" t="inlineStr">
        <is>
          <t>Meta description length is 180 characters.</t>
        </is>
      </c>
      <c r="K67" s="3" t="inlineStr">
        <is>
          <t>Length check &lt;=160 characters and no unsupported claim remains.</t>
        </is>
      </c>
    </row>
    <row r="68" ht="84" customHeight="1">
      <c r="A68" s="2" t="inlineStr">
        <is>
          <t>ISSUE-0067</t>
        </is>
      </c>
      <c r="B68" s="2" t="inlineStr">
        <is>
          <t>jeminise.com+nature-tree-of-life-quilt-set-with-stained-glass-pattern-and-bedroom-2eedde5b65-2eedde5b65</t>
        </is>
      </c>
      <c r="C68" s="2" t="inlineStr"/>
      <c r="D68" s="2" t="inlineStr">
        <is>
          <t>LIMITATION</t>
        </is>
      </c>
      <c r="E68" s="2" t="inlineStr">
        <is>
          <t>keyword_evidence_level</t>
        </is>
      </c>
      <c r="F68" s="2" t="inlineStr">
        <is>
          <t>SERP_ONLY</t>
        </is>
      </c>
      <c r="G68" s="2" t="inlineStr">
        <is>
          <t>Only public SERP comparables are available.</t>
        </is>
      </c>
      <c r="H68" s="2" t="inlineStr">
        <is>
          <t>No Search Console, paid keyword volume or internal site search export was supplied.</t>
        </is>
      </c>
      <c r="I68" s="2" t="inlineStr">
        <is>
          <t>Keep demand statements qualitative; do not claim volume or ranking potential.</t>
        </is>
      </c>
      <c r="J68" s="2" t="inlineStr">
        <is>
          <t>Only public SERP comparables are available.</t>
        </is>
      </c>
      <c r="K68" s="2" t="inlineStr">
        <is>
          <t>Additional first-party or paid keyword evidence is attached, or limitation remains documented.</t>
        </is>
      </c>
    </row>
    <row r="69" ht="84" customHeight="1">
      <c r="A69" s="3" t="inlineStr">
        <is>
          <t>ISSUE-0068</t>
        </is>
      </c>
      <c r="B69" s="3" t="inlineStr">
        <is>
          <t>jeminise.com+nature-tree-of-life-quilt-set-with-stained-glass-pattern-and-bedroom-2eedde5b65-2eedde5b65</t>
        </is>
      </c>
      <c r="C69" s="3" t="inlineStr">
        <is>
          <t>img_255327fa52d8be23</t>
        </is>
      </c>
      <c r="D69" s="3" t="inlineStr">
        <is>
          <t>MINOR</t>
        </is>
      </c>
      <c r="E69" s="3" t="inlineStr">
        <is>
          <t>alt text</t>
        </is>
      </c>
      <c r="F69" s="3" t="inlineStr">
        <is>
          <t>Stained Glass Tree of Life Landscape Quilt displayed in a main product mockup</t>
        </is>
      </c>
      <c r="G69" s="3" t="inlineStr">
        <is>
          <t>Fresh image file: D:\Shopify_Workspace\jeminise_seo\seo_runs\jeminise.com\20260906_234129\qa\20260907_210204\images\157_01.jpg; source URL: https://cdn.shopify.com/s/files/1/0792/5098/1063/files/798a81c889e1d749b31d13edf96aca3d142c5bf614c87ef95bf3200858f8f476.jpg?v=1785048200</t>
        </is>
      </c>
      <c r="H69" s="3" t="inlineStr">
        <is>
          <t>Alt text is too generic or describes placement more than visible content.</t>
        </is>
      </c>
      <c r="I69" s="3" t="inlineStr">
        <is>
          <t>Rewrite observation/alt from the directly opened image, naming the visible motif and use context.</t>
        </is>
      </c>
      <c r="J69" s="3" t="inlineStr">
        <is>
          <t>Fresh image file: D:\Shopify_Workspace\jeminise_seo\seo_runs\jeminise.com\20260906_234129\qa\20260907_210204\images\157_01.jpg; source URL: https://cdn.shopify.com/s/files/1/0792/5098/1063/files/798a81c889e1d749b31d13edf96aca3d142c5bf614c87ef95bf3200858f8f476.jpg?v=1785048200</t>
        </is>
      </c>
      <c r="K69" s="3" t="inlineStr">
        <is>
          <t>The image row accurately describes the actual media at this gallery position.</t>
        </is>
      </c>
    </row>
    <row r="70" ht="84" customHeight="1">
      <c r="A70" s="2" t="inlineStr">
        <is>
          <t>ISSUE-0069</t>
        </is>
      </c>
      <c r="B70" s="2" t="inlineStr">
        <is>
          <t>jeminise.com+nature-tree-of-life-quilt-set-with-stained-glass-pattern-and-bedroom-2eedde5b65-2eedde5b65</t>
        </is>
      </c>
      <c r="C70" s="2" t="inlineStr">
        <is>
          <t>img_c7756f253931a101</t>
        </is>
      </c>
      <c r="D70" s="2" t="inlineStr">
        <is>
          <t>MINOR</t>
        </is>
      </c>
      <c r="E70" s="2" t="inlineStr">
        <is>
          <t>image observation</t>
        </is>
      </c>
      <c r="F70" s="2" t="inlineStr">
        <is>
          <t>Bedding type, feature, lifestyle or material image for stained glass Tree of Life landscape quilt.</t>
        </is>
      </c>
      <c r="G70" s="2" t="inlineStr">
        <is>
          <t>Fresh image file: D:\Shopify_Workspace\jeminise_seo\seo_runs\jeminise.com\20260906_234129\qa\20260907_210204\images\157_03.jpg; source URL: https://cdn.shopify.com/s/files/1/0792/5098/1063/files/e119e7d83c961b5ec27390d9ce5990d4b3b995f047f68bf20d0bca7cb65fa083.jpg?v=1785048200</t>
        </is>
      </c>
      <c r="H70" s="2" t="inlineStr">
        <is>
          <t>Observation is generic or position-based; rewrite from the actual image content.</t>
        </is>
      </c>
      <c r="I70" s="2" t="inlineStr">
        <is>
          <t>Rewrite observation/alt from the directly opened image, naming the visible motif and use context.</t>
        </is>
      </c>
      <c r="J70" s="2" t="inlineStr">
        <is>
          <t>Fresh image file: D:\Shopify_Workspace\jeminise_seo\seo_runs\jeminise.com\20260906_234129\qa\20260907_210204\images\157_03.jpg; source URL: https://cdn.shopify.com/s/files/1/0792/5098/1063/files/e119e7d83c961b5ec27390d9ce5990d4b3b995f047f68bf20d0bca7cb65fa083.jpg?v=1785048200</t>
        </is>
      </c>
      <c r="K70" s="2" t="inlineStr">
        <is>
          <t>The image row accurately describes the actual media at this gallery position.</t>
        </is>
      </c>
    </row>
    <row r="71" ht="84" customHeight="1">
      <c r="A71" s="3" t="inlineStr">
        <is>
          <t>ISSUE-0070</t>
        </is>
      </c>
      <c r="B71" s="3" t="inlineStr">
        <is>
          <t>jeminise.com+nature-tree-of-life-quilt-set-with-stained-glass-pattern-and-bedroom-2eedde5b65-2eedde5b65</t>
        </is>
      </c>
      <c r="C71" s="3" t="inlineStr">
        <is>
          <t>img_b6bf5c605e74ac2b</t>
        </is>
      </c>
      <c r="D71" s="3" t="inlineStr">
        <is>
          <t>MINOR</t>
        </is>
      </c>
      <c r="E71" s="3" t="inlineStr">
        <is>
          <t>image observation</t>
        </is>
      </c>
      <c r="F71" s="3" t="inlineStr">
        <is>
          <t>Detail, feature panel or lifestyle image connected to stained glass Tree of Life landscape quilt.</t>
        </is>
      </c>
      <c r="G71" s="3" t="inlineStr">
        <is>
          <t>Fresh image file: D:\Shopify_Workspace\jeminise_seo\seo_runs\jeminise.com\20260906_234129\qa\20260907_210204\images\157_04.jpg; source URL: https://cdn.shopify.com/s/files/1/0792/5098/1063/files/8e7b8fcedcaadd855f15b9a79786ec41649be26555fe6ce411675624bf265349.jpg?v=1785048200</t>
        </is>
      </c>
      <c r="H71" s="3" t="inlineStr">
        <is>
          <t>Observation is generic or position-based; rewrite from the actual image content.</t>
        </is>
      </c>
      <c r="I71" s="3" t="inlineStr">
        <is>
          <t>Rewrite observation/alt from the directly opened image, naming the visible motif and use context.</t>
        </is>
      </c>
      <c r="J71" s="3" t="inlineStr">
        <is>
          <t>Fresh image file: D:\Shopify_Workspace\jeminise_seo\seo_runs\jeminise.com\20260906_234129\qa\20260907_210204\images\157_04.jpg; source URL: https://cdn.shopify.com/s/files/1/0792/5098/1063/files/8e7b8fcedcaadd855f15b9a79786ec41649be26555fe6ce411675624bf265349.jpg?v=1785048200</t>
        </is>
      </c>
      <c r="K71" s="3" t="inlineStr">
        <is>
          <t>The image row accurately describes the actual media at this gallery position.</t>
        </is>
      </c>
    </row>
    <row r="72" ht="84" customHeight="1">
      <c r="A72" s="2" t="inlineStr">
        <is>
          <t>ISSUE-0071</t>
        </is>
      </c>
      <c r="B72" s="2" t="inlineStr">
        <is>
          <t>jeminise.com+nature-tree-of-life-quilt-set-with-stained-glass-pattern-and-bedroom-2eedde5b65-2eedde5b65</t>
        </is>
      </c>
      <c r="C72" s="2" t="inlineStr">
        <is>
          <t>img_393430fe0fe25bea</t>
        </is>
      </c>
      <c r="D72" s="2" t="inlineStr">
        <is>
          <t>MINOR</t>
        </is>
      </c>
      <c r="E72" s="2" t="inlineStr">
        <is>
          <t>image observation</t>
        </is>
      </c>
      <c r="F72" s="2" t="inlineStr">
        <is>
          <t>Easy-care, size guide or product feature image for stained glass Tree of Life landscape quilt.</t>
        </is>
      </c>
      <c r="G72" s="2" t="inlineStr">
        <is>
          <t>Fresh image file: D:\Shopify_Workspace\jeminise_seo\seo_runs\jeminise.com\20260906_234129\qa\20260907_210204\images\157_06.jpg; source URL: https://cdn.shopify.com/s/files/1/0792/5098/1063/files/817b647d03c93e3e6fb1dd0934966a4985f303729ce84cdbd16ee88ce56bef78.jpg?v=1785048200</t>
        </is>
      </c>
      <c r="H72" s="2" t="inlineStr">
        <is>
          <t>Observation is generic or position-based; rewrite from the actual image content.</t>
        </is>
      </c>
      <c r="I72" s="2" t="inlineStr">
        <is>
          <t>Rewrite observation/alt from the directly opened image, naming the visible motif and use context.</t>
        </is>
      </c>
      <c r="J72" s="2" t="inlineStr">
        <is>
          <t>Fresh image file: D:\Shopify_Workspace\jeminise_seo\seo_runs\jeminise.com\20260906_234129\qa\20260907_210204\images\157_06.jpg; source URL: https://cdn.shopify.com/s/files/1/0792/5098/1063/files/817b647d03c93e3e6fb1dd0934966a4985f303729ce84cdbd16ee88ce56bef78.jpg?v=1785048200</t>
        </is>
      </c>
      <c r="K72" s="2" t="inlineStr">
        <is>
          <t>The image row accurately describes the actual media at this gallery position.</t>
        </is>
      </c>
    </row>
    <row r="73" ht="84" customHeight="1">
      <c r="A73" s="3" t="inlineStr">
        <is>
          <t>ISSUE-0072</t>
        </is>
      </c>
      <c r="B73" s="3" t="inlineStr">
        <is>
          <t>jeminise.com+nature-tree-of-life-quilt-set-with-stained-glass-pattern-and-bedroom-2eedde5b65-2eedde5b65</t>
        </is>
      </c>
      <c r="C73" s="3" t="inlineStr">
        <is>
          <t>img_e98a341c508d730f</t>
        </is>
      </c>
      <c r="D73" s="3" t="inlineStr">
        <is>
          <t>MINOR</t>
        </is>
      </c>
      <c r="E73" s="3" t="inlineStr">
        <is>
          <t>image observation</t>
        </is>
      </c>
      <c r="F73" s="3" t="inlineStr">
        <is>
          <t>Additional lifestyle, feature or product detail image showing stained glass Tree of Life landscape quilt.</t>
        </is>
      </c>
      <c r="G73" s="3" t="inlineStr">
        <is>
          <t>Fresh image file: D:\Shopify_Workspace\jeminise_seo\seo_runs\jeminise.com\20260906_234129\qa\20260907_210204\images\157_07.jpg; source URL: https://cdn.shopify.com/s/files/1/0792/5098/1063/files/f3ed1109477d53115fa4621f093e5714a932ab7c571fc4bbe5f7edb2915a0e7f.jpg?v=1785048200</t>
        </is>
      </c>
      <c r="H73" s="3" t="inlineStr">
        <is>
          <t>Observation is generic or position-based; rewrite from the actual image content.</t>
        </is>
      </c>
      <c r="I73" s="3" t="inlineStr">
        <is>
          <t>Rewrite observation/alt from the directly opened image, naming the visible motif and use context.</t>
        </is>
      </c>
      <c r="J73" s="3" t="inlineStr">
        <is>
          <t>Fresh image file: D:\Shopify_Workspace\jeminise_seo\seo_runs\jeminise.com\20260906_234129\qa\20260907_210204\images\157_07.jpg; source URL: https://cdn.shopify.com/s/files/1/0792/5098/1063/files/f3ed1109477d53115fa4621f093e5714a932ab7c571fc4bbe5f7edb2915a0e7f.jpg?v=1785048200</t>
        </is>
      </c>
      <c r="K73" s="3" t="inlineStr">
        <is>
          <t>The image row accurately describes the actual media at this gallery position.</t>
        </is>
      </c>
    </row>
    <row r="74" ht="84" customHeight="1">
      <c r="A74" s="2" t="inlineStr">
        <is>
          <t>ISSUE-0073</t>
        </is>
      </c>
      <c r="B74" s="2" t="inlineStr">
        <is>
          <t>jeminise.com+norse-mythology-mjolnir-with-skull-within-circular-celtic-quilt-621115581a-621115581a</t>
        </is>
      </c>
      <c r="C74" s="2" t="inlineStr"/>
      <c r="D74" s="2" t="inlineStr">
        <is>
          <t>MAJOR</t>
        </is>
      </c>
      <c r="E74" s="2" t="inlineStr">
        <is>
          <t>description_proposed_html</t>
        </is>
      </c>
      <c r="F74" s="2" t="inlineStr">
        <is>
          <t>&lt;p&gt;This Jeminise quilt set features black and gray Norse mythology quilt with Mjolnir, skull, Celtic knotwork and raven border, making it suited for animal rooms, faith gifts, nature-inspired decor or Viking-themed bedrooms.&lt;/p&gt;&lt;h3&gt;Design Details&lt;/h3&gt;&lt;ul&gt;&lt;li&gt;Visible artwork: black and gray Norse mythology quilt with Mjolnir, skull, Celtic knotwork and raven border.&lt;/li&gt;&lt;li&gt;Source product details include: Brand: Jeminise; Product Type: Quilt Set;…</t>
        </is>
      </c>
      <c r="G74" s="2" t="inlineStr">
        <is>
          <t>Draft contains SEO Use / QA approval wording.</t>
        </is>
      </c>
      <c r="H74" s="2" t="inlineStr">
        <is>
          <t>Internal workflow language is not publish-ready storefront copy.</t>
        </is>
      </c>
      <c r="I74" s="2" t="inlineStr">
        <is>
          <t>Remove internal QA/import block and replace with customer-facing verified copy.</t>
        </is>
      </c>
      <c r="J74" s="2" t="inlineStr">
        <is>
          <t>Draft contains SEO Use / QA approval wording.</t>
        </is>
      </c>
      <c r="K74" s="2" t="inlineStr">
        <is>
          <t>Description HTML no longer contains SEO Use, QA, approval, import or draft language.</t>
        </is>
      </c>
    </row>
    <row r="75" ht="84" customHeight="1">
      <c r="A75" s="3" t="inlineStr">
        <is>
          <t>ISSUE-0074</t>
        </is>
      </c>
      <c r="B75" s="3" t="inlineStr">
        <is>
          <t>jeminise.com+norse-mythology-mjolnir-with-skull-within-circular-celtic-quilt-621115581a-621115581a</t>
        </is>
      </c>
      <c r="C75" s="3" t="inlineStr"/>
      <c r="D75" s="3" t="inlineStr">
        <is>
          <t>MAJOR</t>
        </is>
      </c>
      <c r="E75" s="3" t="inlineStr">
        <is>
          <t>h1_proposed</t>
        </is>
      </c>
      <c r="F75" s="3" t="inlineStr"/>
      <c r="G75" s="3" t="inlineStr">
        <is>
          <t>The submitted workbook row has no proposed H1.</t>
        </is>
      </c>
      <c r="H75" s="3" t="inlineStr">
        <is>
          <t>A publishable SEO title/H1 pair is incomplete when the H1 field is blank.</t>
        </is>
      </c>
      <c r="I75" s="3" t="inlineStr">
        <is>
          <t>Write one English H1 that matches the verified product type and visible design; do not copy unsupported claims.</t>
        </is>
      </c>
      <c r="J75" s="3" t="inlineStr">
        <is>
          <t>The submitted workbook row has no proposed H1.</t>
        </is>
      </c>
      <c r="K75" s="3" t="inlineStr">
        <is>
          <t>Workbook contains a non-empty H1 and it is consistent with title, primary keyword and live product evidence.</t>
        </is>
      </c>
    </row>
    <row r="76" ht="84" customHeight="1">
      <c r="A76" s="2" t="inlineStr">
        <is>
          <t>ISSUE-0075</t>
        </is>
      </c>
      <c r="B76" s="2" t="inlineStr">
        <is>
          <t>jeminise.com+norse-mythology-mjolnir-with-skull-within-circular-celtic-quilt-621115581a-621115581a</t>
        </is>
      </c>
      <c r="C76" s="2" t="inlineStr"/>
      <c r="D76" s="2" t="inlineStr">
        <is>
          <t>MAJOR</t>
        </is>
      </c>
      <c r="E76" s="2" t="inlineStr">
        <is>
          <t>description_proposed_html</t>
        </is>
      </c>
      <c r="F76" s="2" t="inlineStr">
        <is>
          <t>&lt;p&gt;This Jeminise quilt set features black and gray Norse mythology quilt with Mjolnir, skull, Celtic knotwork and raven border, making it suited for animal rooms, faith gifts, nature-inspired decor or Viking-themed bedrooms.&lt;/p&gt;&lt;h3&gt;Design Details&lt;/h3&gt;&lt;ul&gt;&lt;li&gt;Visible artwork: black and gray Norse mythology quilt with Mjolnir, skull, Celtic knotwork and raven border.&lt;/li&gt;&lt;li&gt;Source product details include: Brand: Jeminise; Product Type: Quilt Set;…</t>
        </is>
      </c>
      <c r="G76" s="2" t="inlineStr">
        <is>
          <t>The proposed description uses a repeated audience list (for example, animal rooms/faith gifts/nature-inspired decor) that is not specific to this product.</t>
        </is>
      </c>
      <c r="H76" s="2" t="inlineStr">
        <is>
          <t>Generic audience wording can be irrelevant or contradictory to the visible motif and is not evidence-led storefront copy.</t>
        </is>
      </c>
      <c r="I76" s="2" t="inlineStr">
        <is>
          <t>Replace it with concise English customer-facing copy tied only to the verified motif, product type, size/pillowcase choices and supported customizer control.</t>
        </is>
      </c>
      <c r="J76" s="2" t="inlineStr">
        <is>
          <t>The proposed description uses a repeated audience list (for example, animal rooms/faith gifts/nature-inspired decor) that is not specific to this product.</t>
        </is>
      </c>
      <c r="K76" s="2" t="inlineStr">
        <is>
          <t>Description contains no irrelevant template audience list and every remaining claim is supported by live/snapshot evidence.</t>
        </is>
      </c>
    </row>
    <row r="77" ht="84" customHeight="1">
      <c r="A77" s="3" t="inlineStr">
        <is>
          <t>ISSUE-0076</t>
        </is>
      </c>
      <c r="B77" s="3" t="inlineStr">
        <is>
          <t>jeminise.com+norse-mythology-mjolnir-with-skull-within-circular-celtic-quilt-621115581a-621115581a</t>
        </is>
      </c>
      <c r="C77" s="3" t="inlineStr"/>
      <c r="D77" s="3" t="inlineStr">
        <is>
          <t>MINOR</t>
        </is>
      </c>
      <c r="E77" s="3" t="inlineStr">
        <is>
          <t>meta_description_seo</t>
        </is>
      </c>
      <c r="F77" s="3" t="inlineStr">
        <is>
          <t>Shop a quilt set featuring black and gray Norse mythology quilt with Mjolnir, skull, Celtic knotwork and raven border. Review size and personalization options before checkout.</t>
        </is>
      </c>
      <c r="G77" s="3" t="inlineStr">
        <is>
          <t>Meta description length is 175 characters.</t>
        </is>
      </c>
      <c r="H77" s="3" t="inlineStr">
        <is>
          <t>Likely to truncate in search results and repeats review/personality wording in several rows.</t>
        </is>
      </c>
      <c r="I77" s="3" t="inlineStr">
        <is>
          <t>Rewrite to roughly 145-155 characters while preserving verified design and product type.</t>
        </is>
      </c>
      <c r="J77" s="3" t="inlineStr">
        <is>
          <t>Meta description length is 175 characters.</t>
        </is>
      </c>
      <c r="K77" s="3" t="inlineStr">
        <is>
          <t>Length check &lt;=160 characters and no unsupported claim remains.</t>
        </is>
      </c>
    </row>
    <row r="78" ht="84" customHeight="1">
      <c r="A78" s="2" t="inlineStr">
        <is>
          <t>ISSUE-0077</t>
        </is>
      </c>
      <c r="B78" s="2" t="inlineStr">
        <is>
          <t>jeminise.com+norse-mythology-mjolnir-with-skull-within-circular-celtic-quilt-621115581a-621115581a</t>
        </is>
      </c>
      <c r="C78" s="2" t="inlineStr"/>
      <c r="D78" s="2" t="inlineStr">
        <is>
          <t>LIMITATION</t>
        </is>
      </c>
      <c r="E78" s="2" t="inlineStr">
        <is>
          <t>keyword_evidence_level</t>
        </is>
      </c>
      <c r="F78" s="2" t="inlineStr">
        <is>
          <t>SERP_ONLY</t>
        </is>
      </c>
      <c r="G78" s="2" t="inlineStr">
        <is>
          <t>Only public SERP comparables are available.</t>
        </is>
      </c>
      <c r="H78" s="2" t="inlineStr">
        <is>
          <t>No Search Console, paid keyword volume or internal site search export was supplied.</t>
        </is>
      </c>
      <c r="I78" s="2" t="inlineStr">
        <is>
          <t>Keep demand statements qualitative; do not claim volume or ranking potential.</t>
        </is>
      </c>
      <c r="J78" s="2" t="inlineStr">
        <is>
          <t>Only public SERP comparables are available.</t>
        </is>
      </c>
      <c r="K78" s="2" t="inlineStr">
        <is>
          <t>Additional first-party or paid keyword evidence is attached, or limitation remains documented.</t>
        </is>
      </c>
    </row>
    <row r="79" ht="84" customHeight="1">
      <c r="A79" s="3" t="inlineStr">
        <is>
          <t>ISSUE-0078</t>
        </is>
      </c>
      <c r="B79" s="3" t="inlineStr">
        <is>
          <t>jeminise.com+norse-mythology-mjolnir-with-skull-within-circular-celtic-quilt-621115581a-621115581a</t>
        </is>
      </c>
      <c r="C79" s="3" t="inlineStr">
        <is>
          <t>img_0c411e5f9179db84</t>
        </is>
      </c>
      <c r="D79" s="3" t="inlineStr">
        <is>
          <t>MINOR</t>
        </is>
      </c>
      <c r="E79" s="3" t="inlineStr">
        <is>
          <t>alt text</t>
        </is>
      </c>
      <c r="F79" s="3" t="inlineStr">
        <is>
          <t>Norse Mjolnir Skull Celtic Quilt displayed in a main product mockup</t>
        </is>
      </c>
      <c r="G79" s="3" t="inlineStr">
        <is>
          <t>Fresh image file: D:\Shopify_Workspace\jeminise_seo\seo_runs\jeminise.com\20260906_234129\qa\20260907_210204\images\158_01.jpg; source URL: https://cdn.shopify.com/s/files/1/0792/5098/1063/files/b1b911d16262f2f4d5f58d82a3bc311cb733430b228184a2d50827d04d25ba3a.jpg?v=1785104315</t>
        </is>
      </c>
      <c r="H79" s="3" t="inlineStr">
        <is>
          <t>Alt text is too generic or describes placement more than visible content.</t>
        </is>
      </c>
      <c r="I79" s="3" t="inlineStr">
        <is>
          <t>Rewrite observation/alt from the directly opened image, naming the visible motif and use context.</t>
        </is>
      </c>
      <c r="J79" s="3" t="inlineStr">
        <is>
          <t>Fresh image file: D:\Shopify_Workspace\jeminise_seo\seo_runs\jeminise.com\20260906_234129\qa\20260907_210204\images\158_01.jpg; source URL: https://cdn.shopify.com/s/files/1/0792/5098/1063/files/b1b911d16262f2f4d5f58d82a3bc311cb733430b228184a2d50827d04d25ba3a.jpg?v=1785104315</t>
        </is>
      </c>
      <c r="K79" s="3" t="inlineStr">
        <is>
          <t>The image row accurately describes the actual media at this gallery position.</t>
        </is>
      </c>
    </row>
    <row r="80" ht="84" customHeight="1">
      <c r="A80" s="2" t="inlineStr">
        <is>
          <t>ISSUE-0079</t>
        </is>
      </c>
      <c r="B80" s="2" t="inlineStr">
        <is>
          <t>jeminise.com+norse-mythology-mjolnir-with-skull-within-circular-celtic-quilt-621115581a-621115581a</t>
        </is>
      </c>
      <c r="C80" s="2" t="inlineStr">
        <is>
          <t>img_006257e028ed5b81</t>
        </is>
      </c>
      <c r="D80" s="2" t="inlineStr">
        <is>
          <t>MINOR</t>
        </is>
      </c>
      <c r="E80" s="2" t="inlineStr">
        <is>
          <t>image observation</t>
        </is>
      </c>
      <c r="F80" s="2" t="inlineStr">
        <is>
          <t>Bedding type, feature, lifestyle or material image for Norse Mjolnir skull Celtic quilt.</t>
        </is>
      </c>
      <c r="G80" s="2" t="inlineStr">
        <is>
          <t>Fresh image file: D:\Shopify_Workspace\jeminise_seo\seo_runs\jeminise.com\20260906_234129\qa\20260907_210204\images\158_03.jpg; source URL: https://cdn.shopify.com/s/files/1/0792/5098/1063/files/74ac6bf2213987fad5a0622aeaeb5f00250e26bca0416df3156033f7e217d942.jpg?v=1785104315</t>
        </is>
      </c>
      <c r="H80" s="2" t="inlineStr">
        <is>
          <t>Observation is generic or position-based; rewrite from the actual image content.</t>
        </is>
      </c>
      <c r="I80" s="2" t="inlineStr">
        <is>
          <t>Rewrite observation/alt from the directly opened image, naming the visible motif and use context.</t>
        </is>
      </c>
      <c r="J80" s="2" t="inlineStr">
        <is>
          <t>Fresh image file: D:\Shopify_Workspace\jeminise_seo\seo_runs\jeminise.com\20260906_234129\qa\20260907_210204\images\158_03.jpg; source URL: https://cdn.shopify.com/s/files/1/0792/5098/1063/files/74ac6bf2213987fad5a0622aeaeb5f00250e26bca0416df3156033f7e217d942.jpg?v=1785104315</t>
        </is>
      </c>
      <c r="K80" s="2" t="inlineStr">
        <is>
          <t>The image row accurately describes the actual media at this gallery position.</t>
        </is>
      </c>
    </row>
    <row r="81" ht="84" customHeight="1">
      <c r="A81" s="3" t="inlineStr">
        <is>
          <t>ISSUE-0080</t>
        </is>
      </c>
      <c r="B81" s="3" t="inlineStr">
        <is>
          <t>jeminise.com+norse-mythology-mjolnir-with-skull-within-circular-celtic-quilt-621115581a-621115581a</t>
        </is>
      </c>
      <c r="C81" s="3" t="inlineStr">
        <is>
          <t>img_1900fca8f1ab9085</t>
        </is>
      </c>
      <c r="D81" s="3" t="inlineStr">
        <is>
          <t>MINOR</t>
        </is>
      </c>
      <c r="E81" s="3" t="inlineStr">
        <is>
          <t>image observation</t>
        </is>
      </c>
      <c r="F81" s="3" t="inlineStr">
        <is>
          <t>Detail, feature panel or lifestyle image connected to Norse Mjolnir skull Celtic quilt.</t>
        </is>
      </c>
      <c r="G81" s="3" t="inlineStr">
        <is>
          <t>Fresh image file: D:\Shopify_Workspace\jeminise_seo\seo_runs\jeminise.com\20260906_234129\qa\20260907_210204\images\158_04.jpg; source URL: https://cdn.shopify.com/s/files/1/0792/5098/1063/files/3c6827f62e2c660e81b5acc82ed0d45027ddc6ecc476c1cde6c158d592d04286.jpg?v=1785104315</t>
        </is>
      </c>
      <c r="H81" s="3" t="inlineStr">
        <is>
          <t>Observation is generic or position-based; rewrite from the actual image content.</t>
        </is>
      </c>
      <c r="I81" s="3" t="inlineStr">
        <is>
          <t>Rewrite observation/alt from the directly opened image, naming the visible motif and use context.</t>
        </is>
      </c>
      <c r="J81" s="3" t="inlineStr">
        <is>
          <t>Fresh image file: D:\Shopify_Workspace\jeminise_seo\seo_runs\jeminise.com\20260906_234129\qa\20260907_210204\images\158_04.jpg; source URL: https://cdn.shopify.com/s/files/1/0792/5098/1063/files/3c6827f62e2c660e81b5acc82ed0d45027ddc6ecc476c1cde6c158d592d04286.jpg?v=1785104315</t>
        </is>
      </c>
      <c r="K81" s="3" t="inlineStr">
        <is>
          <t>The image row accurately describes the actual media at this gallery position.</t>
        </is>
      </c>
    </row>
    <row r="82" ht="84" customHeight="1">
      <c r="A82" s="2" t="inlineStr">
        <is>
          <t>ISSUE-0081</t>
        </is>
      </c>
      <c r="B82" s="2" t="inlineStr">
        <is>
          <t>jeminise.com+norse-mythology-mjolnir-with-skull-within-circular-celtic-quilt-621115581a-621115581a</t>
        </is>
      </c>
      <c r="C82" s="2" t="inlineStr">
        <is>
          <t>img_2fe56ed012b7f493</t>
        </is>
      </c>
      <c r="D82" s="2" t="inlineStr">
        <is>
          <t>MINOR</t>
        </is>
      </c>
      <c r="E82" s="2" t="inlineStr">
        <is>
          <t>image observation</t>
        </is>
      </c>
      <c r="F82" s="2" t="inlineStr">
        <is>
          <t>Easy-care, size guide or product feature image for Norse Mjolnir skull Celtic quilt.</t>
        </is>
      </c>
      <c r="G82" s="2" t="inlineStr">
        <is>
          <t>Fresh image file: D:\Shopify_Workspace\jeminise_seo\seo_runs\jeminise.com\20260906_234129\qa\20260907_210204\images\158_06.jpg; source URL: https://cdn.shopify.com/s/files/1/0792/5098/1063/files/1fda4ea1711255273f5050831509d211b732efb347d49064029e532e390d5295.jpg?v=1785104315</t>
        </is>
      </c>
      <c r="H82" s="2" t="inlineStr">
        <is>
          <t>Observation is generic or position-based; rewrite from the actual image content.</t>
        </is>
      </c>
      <c r="I82" s="2" t="inlineStr">
        <is>
          <t>Rewrite observation/alt from the directly opened image, naming the visible motif and use context.</t>
        </is>
      </c>
      <c r="J82" s="2" t="inlineStr">
        <is>
          <t>Fresh image file: D:\Shopify_Workspace\jeminise_seo\seo_runs\jeminise.com\20260906_234129\qa\20260907_210204\images\158_06.jpg; source URL: https://cdn.shopify.com/s/files/1/0792/5098/1063/files/1fda4ea1711255273f5050831509d211b732efb347d49064029e532e390d5295.jpg?v=1785104315</t>
        </is>
      </c>
      <c r="K82" s="2" t="inlineStr">
        <is>
          <t>The image row accurately describes the actual media at this gallery position.</t>
        </is>
      </c>
    </row>
    <row r="83" ht="84" customHeight="1">
      <c r="A83" s="3" t="inlineStr">
        <is>
          <t>ISSUE-0082</t>
        </is>
      </c>
      <c r="B83" s="3" t="inlineStr">
        <is>
          <t>jeminise.com+norse-mythology-mjolnir-with-skull-within-circular-celtic-quilt-621115581a-621115581a</t>
        </is>
      </c>
      <c r="C83" s="3" t="inlineStr">
        <is>
          <t>img_146ddc06d2c59fff</t>
        </is>
      </c>
      <c r="D83" s="3" t="inlineStr">
        <is>
          <t>MINOR</t>
        </is>
      </c>
      <c r="E83" s="3" t="inlineStr">
        <is>
          <t>image observation</t>
        </is>
      </c>
      <c r="F83" s="3" t="inlineStr">
        <is>
          <t>Additional lifestyle, feature or product detail image showing Norse Mjolnir skull Celtic quilt.</t>
        </is>
      </c>
      <c r="G83" s="3" t="inlineStr">
        <is>
          <t>Fresh image file: D:\Shopify_Workspace\jeminise_seo\seo_runs\jeminise.com\20260906_234129\qa\20260907_210204\images\158_07.jpg; source URL: https://cdn.shopify.com/s/files/1/0792/5098/1063/files/6988ae810d8150eb879a48887a436eab71c4b59aed7552da487422013996d01c.jpg?v=1785104315</t>
        </is>
      </c>
      <c r="H83" s="3" t="inlineStr">
        <is>
          <t>Observation is generic or position-based; rewrite from the actual image content.</t>
        </is>
      </c>
      <c r="I83" s="3" t="inlineStr">
        <is>
          <t>Rewrite observation/alt from the directly opened image, naming the visible motif and use context.</t>
        </is>
      </c>
      <c r="J83" s="3" t="inlineStr">
        <is>
          <t>Fresh image file: D:\Shopify_Workspace\jeminise_seo\seo_runs\jeminise.com\20260906_234129\qa\20260907_210204\images\158_07.jpg; source URL: https://cdn.shopify.com/s/files/1/0792/5098/1063/files/6988ae810d8150eb879a48887a436eab71c4b59aed7552da487422013996d01c.jpg?v=1785104315</t>
        </is>
      </c>
      <c r="K83" s="3" t="inlineStr">
        <is>
          <t>The image row accurately describes the actual media at this gallery position.</t>
        </is>
      </c>
    </row>
    <row r="84" ht="84" customHeight="1">
      <c r="A84" s="2" t="inlineStr">
        <is>
          <t>ISSUE-0083</t>
        </is>
      </c>
      <c r="B84" s="2" t="inlineStr">
        <is>
          <t>jeminise.com+norse-mythology-quilt-with-ravens-b8220cc38c-b8220cc38c</t>
        </is>
      </c>
      <c r="C84" s="2" t="inlineStr"/>
      <c r="D84" s="2" t="inlineStr">
        <is>
          <t>MAJOR</t>
        </is>
      </c>
      <c r="E84" s="2" t="inlineStr">
        <is>
          <t>description_proposed_html</t>
        </is>
      </c>
      <c r="F84" s="2" t="inlineStr">
        <is>
          <t>&lt;p&gt;This Jeminise quilt set features beige and black Norse mythology quilt with two ravens, runic symbols, compass motifs and tree detail, making it suited for animal rooms, faith gifts, nature-inspired decor or Viking-themed bedrooms.&lt;/p&gt;&lt;h3&gt;Design Details&lt;/h3&gt;&lt;ul&gt;&lt;li&gt;Visible artwork: beige and black Norse mythology quilt with two ravens, runic symbols, compass motifs and tree detail.&lt;/li&gt;&lt;li&gt;Source product details include: Brand: Jeminise; Prod…</t>
        </is>
      </c>
      <c r="G84" s="2" t="inlineStr">
        <is>
          <t>Draft contains SEO Use / QA approval wording.</t>
        </is>
      </c>
      <c r="H84" s="2" t="inlineStr">
        <is>
          <t>Internal workflow language is not publish-ready storefront copy.</t>
        </is>
      </c>
      <c r="I84" s="2" t="inlineStr">
        <is>
          <t>Remove internal QA/import block and replace with customer-facing verified copy.</t>
        </is>
      </c>
      <c r="J84" s="2" t="inlineStr">
        <is>
          <t>Draft contains SEO Use / QA approval wording.</t>
        </is>
      </c>
      <c r="K84" s="2" t="inlineStr">
        <is>
          <t>Description HTML no longer contains SEO Use, QA, approval, import or draft language.</t>
        </is>
      </c>
    </row>
    <row r="85" ht="84" customHeight="1">
      <c r="A85" s="3" t="inlineStr">
        <is>
          <t>ISSUE-0084</t>
        </is>
      </c>
      <c r="B85" s="3" t="inlineStr">
        <is>
          <t>jeminise.com+norse-mythology-quilt-with-ravens-b8220cc38c-b8220cc38c</t>
        </is>
      </c>
      <c r="C85" s="3" t="inlineStr"/>
      <c r="D85" s="3" t="inlineStr">
        <is>
          <t>MAJOR</t>
        </is>
      </c>
      <c r="E85" s="3" t="inlineStr">
        <is>
          <t>h1_proposed</t>
        </is>
      </c>
      <c r="F85" s="3" t="inlineStr"/>
      <c r="G85" s="3" t="inlineStr">
        <is>
          <t>The submitted workbook row has no proposed H1.</t>
        </is>
      </c>
      <c r="H85" s="3" t="inlineStr">
        <is>
          <t>A publishable SEO title/H1 pair is incomplete when the H1 field is blank.</t>
        </is>
      </c>
      <c r="I85" s="3" t="inlineStr">
        <is>
          <t>Write one English H1 that matches the verified product type and visible design; do not copy unsupported claims.</t>
        </is>
      </c>
      <c r="J85" s="3" t="inlineStr">
        <is>
          <t>The submitted workbook row has no proposed H1.</t>
        </is>
      </c>
      <c r="K85" s="3" t="inlineStr">
        <is>
          <t>Workbook contains a non-empty H1 and it is consistent with title, primary keyword and live product evidence.</t>
        </is>
      </c>
    </row>
    <row r="86" ht="84" customHeight="1">
      <c r="A86" s="2" t="inlineStr">
        <is>
          <t>ISSUE-0085</t>
        </is>
      </c>
      <c r="B86" s="2" t="inlineStr">
        <is>
          <t>jeminise.com+norse-mythology-quilt-with-ravens-b8220cc38c-b8220cc38c</t>
        </is>
      </c>
      <c r="C86" s="2" t="inlineStr"/>
      <c r="D86" s="2" t="inlineStr">
        <is>
          <t>MAJOR</t>
        </is>
      </c>
      <c r="E86" s="2" t="inlineStr">
        <is>
          <t>description_proposed_html</t>
        </is>
      </c>
      <c r="F86" s="2" t="inlineStr">
        <is>
          <t>&lt;p&gt;This Jeminise quilt set features beige and black Norse mythology quilt with two ravens, runic symbols, compass motifs and tree detail, making it suited for animal rooms, faith gifts, nature-inspired decor or Viking-themed bedrooms.&lt;/p&gt;&lt;h3&gt;Design Details&lt;/h3&gt;&lt;ul&gt;&lt;li&gt;Visible artwork: beige and black Norse mythology quilt with two ravens, runic symbols, compass motifs and tree detail.&lt;/li&gt;&lt;li&gt;Source product details include: Brand: Jeminise; Prod…</t>
        </is>
      </c>
      <c r="G86" s="2" t="inlineStr">
        <is>
          <t>The proposed description uses a repeated audience list (for example, animal rooms/faith gifts/nature-inspired decor) that is not specific to this product.</t>
        </is>
      </c>
      <c r="H86" s="2" t="inlineStr">
        <is>
          <t>Generic audience wording can be irrelevant or contradictory to the visible motif and is not evidence-led storefront copy.</t>
        </is>
      </c>
      <c r="I86" s="2" t="inlineStr">
        <is>
          <t>Replace it with concise English customer-facing copy tied only to the verified motif, product type, size/pillowcase choices and supported customizer control.</t>
        </is>
      </c>
      <c r="J86" s="2" t="inlineStr">
        <is>
          <t>The proposed description uses a repeated audience list (for example, animal rooms/faith gifts/nature-inspired decor) that is not specific to this product.</t>
        </is>
      </c>
      <c r="K86" s="2" t="inlineStr">
        <is>
          <t>Description contains no irrelevant template audience list and every remaining claim is supported by live/snapshot evidence.</t>
        </is>
      </c>
    </row>
    <row r="87" ht="84" customHeight="1">
      <c r="A87" s="3" t="inlineStr">
        <is>
          <t>ISSUE-0086</t>
        </is>
      </c>
      <c r="B87" s="3" t="inlineStr">
        <is>
          <t>jeminise.com+norse-mythology-quilt-with-ravens-b8220cc38c-b8220cc38c</t>
        </is>
      </c>
      <c r="C87" s="3" t="inlineStr"/>
      <c r="D87" s="3" t="inlineStr">
        <is>
          <t>MINOR</t>
        </is>
      </c>
      <c r="E87" s="3" t="inlineStr">
        <is>
          <t>meta_description_seo</t>
        </is>
      </c>
      <c r="F87" s="3" t="inlineStr">
        <is>
          <t>Shop a quilt set featuring beige and black Norse mythology quilt with two ravens, runic symbols, compass motifs and tree detail. Review size and personalization options before checkout.</t>
        </is>
      </c>
      <c r="G87" s="3" t="inlineStr">
        <is>
          <t>Meta description length is 185 characters.</t>
        </is>
      </c>
      <c r="H87" s="3" t="inlineStr">
        <is>
          <t>Likely to truncate in search results and repeats review/personality wording in several rows.</t>
        </is>
      </c>
      <c r="I87" s="3" t="inlineStr">
        <is>
          <t>Rewrite to roughly 145-155 characters while preserving verified design and product type.</t>
        </is>
      </c>
      <c r="J87" s="3" t="inlineStr">
        <is>
          <t>Meta description length is 185 characters.</t>
        </is>
      </c>
      <c r="K87" s="3" t="inlineStr">
        <is>
          <t>Length check &lt;=160 characters and no unsupported claim remains.</t>
        </is>
      </c>
    </row>
    <row r="88" ht="84" customHeight="1">
      <c r="A88" s="2" t="inlineStr">
        <is>
          <t>ISSUE-0087</t>
        </is>
      </c>
      <c r="B88" s="2" t="inlineStr">
        <is>
          <t>jeminise.com+norse-mythology-quilt-with-ravens-b8220cc38c-b8220cc38c</t>
        </is>
      </c>
      <c r="C88" s="2" t="inlineStr"/>
      <c r="D88" s="2" t="inlineStr">
        <is>
          <t>LIMITATION</t>
        </is>
      </c>
      <c r="E88" s="2" t="inlineStr">
        <is>
          <t>keyword_evidence_level</t>
        </is>
      </c>
      <c r="F88" s="2" t="inlineStr">
        <is>
          <t>SERP_ONLY</t>
        </is>
      </c>
      <c r="G88" s="2" t="inlineStr">
        <is>
          <t>Only public SERP comparables are available.</t>
        </is>
      </c>
      <c r="H88" s="2" t="inlineStr">
        <is>
          <t>No Search Console, paid keyword volume or internal site search export was supplied.</t>
        </is>
      </c>
      <c r="I88" s="2" t="inlineStr">
        <is>
          <t>Keep demand statements qualitative; do not claim volume or ranking potential.</t>
        </is>
      </c>
      <c r="J88" s="2" t="inlineStr">
        <is>
          <t>Only public SERP comparables are available.</t>
        </is>
      </c>
      <c r="K88" s="2" t="inlineStr">
        <is>
          <t>Additional first-party or paid keyword evidence is attached, or limitation remains documented.</t>
        </is>
      </c>
    </row>
    <row r="89" ht="84" customHeight="1">
      <c r="A89" s="3" t="inlineStr">
        <is>
          <t>ISSUE-0088</t>
        </is>
      </c>
      <c r="B89" s="3" t="inlineStr">
        <is>
          <t>jeminise.com+norse-mythology-quilt-with-ravens-b8220cc38c-b8220cc38c</t>
        </is>
      </c>
      <c r="C89" s="3" t="inlineStr">
        <is>
          <t>img_f85969ce6923ac5f</t>
        </is>
      </c>
      <c r="D89" s="3" t="inlineStr">
        <is>
          <t>MINOR</t>
        </is>
      </c>
      <c r="E89" s="3" t="inlineStr">
        <is>
          <t>alt text</t>
        </is>
      </c>
      <c r="F89" s="3" t="inlineStr">
        <is>
          <t>Norse Raven Runic Symbol Quilt displayed in a main product mockup</t>
        </is>
      </c>
      <c r="G89" s="3" t="inlineStr">
        <is>
          <t>Fresh image file: D:\Shopify_Workspace\jeminise_seo\seo_runs\jeminise.com\20260906_234129\qa\20260907_210204\images\159_01.jpg; source URL: https://cdn.shopify.com/s/files/1/0792/5098/1063/files/3f718bdd4d315ac875d9f66959aa006f075499da406f0e6f240382c391d54699.jpg?v=1785104490</t>
        </is>
      </c>
      <c r="H89" s="3" t="inlineStr">
        <is>
          <t>Alt text is too generic or describes placement more than visible content.</t>
        </is>
      </c>
      <c r="I89" s="3" t="inlineStr">
        <is>
          <t>Rewrite observation/alt from the directly opened image, naming the visible motif and use context.</t>
        </is>
      </c>
      <c r="J89" s="3" t="inlineStr">
        <is>
          <t>Fresh image file: D:\Shopify_Workspace\jeminise_seo\seo_runs\jeminise.com\20260906_234129\qa\20260907_210204\images\159_01.jpg; source URL: https://cdn.shopify.com/s/files/1/0792/5098/1063/files/3f718bdd4d315ac875d9f66959aa006f075499da406f0e6f240382c391d54699.jpg?v=1785104490</t>
        </is>
      </c>
      <c r="K89" s="3" t="inlineStr">
        <is>
          <t>The image row accurately describes the actual media at this gallery position.</t>
        </is>
      </c>
    </row>
    <row r="90" ht="84" customHeight="1">
      <c r="A90" s="2" t="inlineStr">
        <is>
          <t>ISSUE-0089</t>
        </is>
      </c>
      <c r="B90" s="2" t="inlineStr">
        <is>
          <t>jeminise.com+norse-mythology-quilt-with-ravens-b8220cc38c-b8220cc38c</t>
        </is>
      </c>
      <c r="C90" s="2" t="inlineStr">
        <is>
          <t>img_5a11bba61fe332ac</t>
        </is>
      </c>
      <c r="D90" s="2" t="inlineStr">
        <is>
          <t>MINOR</t>
        </is>
      </c>
      <c r="E90" s="2" t="inlineStr">
        <is>
          <t>image observation</t>
        </is>
      </c>
      <c r="F90" s="2" t="inlineStr">
        <is>
          <t>Bedding type, feature, lifestyle or material image for Norse raven runic symbol quilt.</t>
        </is>
      </c>
      <c r="G90" s="2" t="inlineStr">
        <is>
          <t>Fresh image file: D:\Shopify_Workspace\jeminise_seo\seo_runs\jeminise.com\20260906_234129\qa\20260907_210204\images\159_03.jpg; source URL: https://cdn.shopify.com/s/files/1/0792/5098/1063/files/f5c9b9fda7e835ec5bfddf2cec5fb9153b091b79c93395b7c3696750d1d33e3a.jpg?v=1785104490</t>
        </is>
      </c>
      <c r="H90" s="2" t="inlineStr">
        <is>
          <t>Observation is generic or position-based; rewrite from the actual image content.</t>
        </is>
      </c>
      <c r="I90" s="2" t="inlineStr">
        <is>
          <t>Rewrite observation/alt from the directly opened image, naming the visible motif and use context.</t>
        </is>
      </c>
      <c r="J90" s="2" t="inlineStr">
        <is>
          <t>Fresh image file: D:\Shopify_Workspace\jeminise_seo\seo_runs\jeminise.com\20260906_234129\qa\20260907_210204\images\159_03.jpg; source URL: https://cdn.shopify.com/s/files/1/0792/5098/1063/files/f5c9b9fda7e835ec5bfddf2cec5fb9153b091b79c93395b7c3696750d1d33e3a.jpg?v=1785104490</t>
        </is>
      </c>
      <c r="K90" s="2" t="inlineStr">
        <is>
          <t>The image row accurately describes the actual media at this gallery position.</t>
        </is>
      </c>
    </row>
    <row r="91" ht="84" customHeight="1">
      <c r="A91" s="3" t="inlineStr">
        <is>
          <t>ISSUE-0090</t>
        </is>
      </c>
      <c r="B91" s="3" t="inlineStr">
        <is>
          <t>jeminise.com+norse-mythology-quilt-with-ravens-b8220cc38c-b8220cc38c</t>
        </is>
      </c>
      <c r="C91" s="3" t="inlineStr">
        <is>
          <t>img_c08837bafa35634f</t>
        </is>
      </c>
      <c r="D91" s="3" t="inlineStr">
        <is>
          <t>MINOR</t>
        </is>
      </c>
      <c r="E91" s="3" t="inlineStr">
        <is>
          <t>image observation</t>
        </is>
      </c>
      <c r="F91" s="3" t="inlineStr">
        <is>
          <t>Detail, feature panel or lifestyle image connected to Norse raven runic symbol quilt.</t>
        </is>
      </c>
      <c r="G91" s="3" t="inlineStr">
        <is>
          <t>Fresh image file: D:\Shopify_Workspace\jeminise_seo\seo_runs\jeminise.com\20260906_234129\qa\20260907_210204\images\159_04.jpg; source URL: https://cdn.shopify.com/s/files/1/0792/5098/1063/files/ea7b12476302e9fa633afc749f0f46ace58d6c340fce0aba0ebc13bdcafc4239.jpg?v=1785104490</t>
        </is>
      </c>
      <c r="H91" s="3" t="inlineStr">
        <is>
          <t>Observation is generic or position-based; rewrite from the actual image content.</t>
        </is>
      </c>
      <c r="I91" s="3" t="inlineStr">
        <is>
          <t>Rewrite observation/alt from the directly opened image, naming the visible motif and use context.</t>
        </is>
      </c>
      <c r="J91" s="3" t="inlineStr">
        <is>
          <t>Fresh image file: D:\Shopify_Workspace\jeminise_seo\seo_runs\jeminise.com\20260906_234129\qa\20260907_210204\images\159_04.jpg; source URL: https://cdn.shopify.com/s/files/1/0792/5098/1063/files/ea7b12476302e9fa633afc749f0f46ace58d6c340fce0aba0ebc13bdcafc4239.jpg?v=1785104490</t>
        </is>
      </c>
      <c r="K91" s="3" t="inlineStr">
        <is>
          <t>The image row accurately describes the actual media at this gallery position.</t>
        </is>
      </c>
    </row>
    <row r="92" ht="84" customHeight="1">
      <c r="A92" s="2" t="inlineStr">
        <is>
          <t>ISSUE-0091</t>
        </is>
      </c>
      <c r="B92" s="2" t="inlineStr">
        <is>
          <t>jeminise.com+norse-mythology-quilt-with-ravens-b8220cc38c-b8220cc38c</t>
        </is>
      </c>
      <c r="C92" s="2" t="inlineStr">
        <is>
          <t>img_3ca3e7a3cb85d556</t>
        </is>
      </c>
      <c r="D92" s="2" t="inlineStr">
        <is>
          <t>MINOR</t>
        </is>
      </c>
      <c r="E92" s="2" t="inlineStr">
        <is>
          <t>image observation</t>
        </is>
      </c>
      <c r="F92" s="2" t="inlineStr">
        <is>
          <t>Easy-care, size guide or product feature image for Norse raven runic symbol quilt.</t>
        </is>
      </c>
      <c r="G92" s="2" t="inlineStr">
        <is>
          <t>Fresh image file: D:\Shopify_Workspace\jeminise_seo\seo_runs\jeminise.com\20260906_234129\qa\20260907_210204\images\159_06.jpg; source URL: https://cdn.shopify.com/s/files/1/0792/5098/1063/files/3eddbfeb0c2ebcaee7986a55e68d89beb9794abf314212c39ec30029449da4c9.jpg?v=1785104490</t>
        </is>
      </c>
      <c r="H92" s="2" t="inlineStr">
        <is>
          <t>Observation is generic or position-based; rewrite from the actual image content.</t>
        </is>
      </c>
      <c r="I92" s="2" t="inlineStr">
        <is>
          <t>Rewrite observation/alt from the directly opened image, naming the visible motif and use context.</t>
        </is>
      </c>
      <c r="J92" s="2" t="inlineStr">
        <is>
          <t>Fresh image file: D:\Shopify_Workspace\jeminise_seo\seo_runs\jeminise.com\20260906_234129\qa\20260907_210204\images\159_06.jpg; source URL: https://cdn.shopify.com/s/files/1/0792/5098/1063/files/3eddbfeb0c2ebcaee7986a55e68d89beb9794abf314212c39ec30029449da4c9.jpg?v=1785104490</t>
        </is>
      </c>
      <c r="K92" s="2" t="inlineStr">
        <is>
          <t>The image row accurately describes the actual media at this gallery position.</t>
        </is>
      </c>
    </row>
    <row r="93" ht="84" customHeight="1">
      <c r="A93" s="3" t="inlineStr">
        <is>
          <t>ISSUE-0092</t>
        </is>
      </c>
      <c r="B93" s="3" t="inlineStr">
        <is>
          <t>jeminise.com+norse-mythology-quilt-with-ravens-b8220cc38c-b8220cc38c</t>
        </is>
      </c>
      <c r="C93" s="3" t="inlineStr">
        <is>
          <t>img_a57d11ac45d3ab9f</t>
        </is>
      </c>
      <c r="D93" s="3" t="inlineStr">
        <is>
          <t>MINOR</t>
        </is>
      </c>
      <c r="E93" s="3" t="inlineStr">
        <is>
          <t>image observation</t>
        </is>
      </c>
      <c r="F93" s="3" t="inlineStr">
        <is>
          <t>Additional lifestyle, feature or product detail image showing Norse raven runic symbol quilt.</t>
        </is>
      </c>
      <c r="G93" s="3" t="inlineStr">
        <is>
          <t>Fresh image file: D:\Shopify_Workspace\jeminise_seo\seo_runs\jeminise.com\20260906_234129\qa\20260907_210204\images\159_07.jpg; source URL: https://cdn.shopify.com/s/files/1/0792/5098/1063/files/dfef77fcfcbafcb74510331e994f52a9cd3c1a80e1a1c4c630e47d567925837e.jpg?v=1785104490</t>
        </is>
      </c>
      <c r="H93" s="3" t="inlineStr">
        <is>
          <t>Observation is generic or position-based; rewrite from the actual image content.</t>
        </is>
      </c>
      <c r="I93" s="3" t="inlineStr">
        <is>
          <t>Rewrite observation/alt from the directly opened image, naming the visible motif and use context.</t>
        </is>
      </c>
      <c r="J93" s="3" t="inlineStr">
        <is>
          <t>Fresh image file: D:\Shopify_Workspace\jeminise_seo\seo_runs\jeminise.com\20260906_234129\qa\20260907_210204\images\159_07.jpg; source URL: https://cdn.shopify.com/s/files/1/0792/5098/1063/files/dfef77fcfcbafcb74510331e994f52a9cd3c1a80e1a1c4c630e47d567925837e.jpg?v=1785104490</t>
        </is>
      </c>
      <c r="K93" s="3" t="inlineStr">
        <is>
          <t>The image row accurately describes the actual media at this gallery position.</t>
        </is>
      </c>
    </row>
    <row r="94" ht="84" customHeight="1">
      <c r="A94" s="2" t="inlineStr">
        <is>
          <t>ISSUE-0093</t>
        </is>
      </c>
      <c r="B94" s="2" t="inlineStr">
        <is>
          <t>jeminise.com+norse-mythology-raven-centered-within-runic-circle-comforter-ab76500bc1-ab76500bc1</t>
        </is>
      </c>
      <c r="C94" s="2" t="inlineStr"/>
      <c r="D94" s="2" t="inlineStr">
        <is>
          <t>MAJOR</t>
        </is>
      </c>
      <c r="E94" s="2" t="inlineStr">
        <is>
          <t>description_proposed_html</t>
        </is>
      </c>
      <c r="F94" s="2" t="inlineStr">
        <is>
          <t>&lt;p&gt;This Jeminise quilt set features dark navy comforter with pink runic circle, raven emblem and Celtic knot detail, making it suited for animal rooms, faith gifts, nature-inspired decor or Viking-themed bedrooms.&lt;/p&gt;&lt;h3&gt;Design Details&lt;/h3&gt;&lt;ul&gt;&lt;li&gt;Visible artwork: dark navy comforter with pink runic circle, raven emblem and Celtic knot detail.&lt;/li&gt;&lt;li&gt;Source product details include: Brand: Jeminise; Product Type: Quilt Set; Material: Polyester;…</t>
        </is>
      </c>
      <c r="G94" s="2" t="inlineStr">
        <is>
          <t>Draft contains SEO Use / QA approval wording.</t>
        </is>
      </c>
      <c r="H94" s="2" t="inlineStr">
        <is>
          <t>Internal workflow language is not publish-ready storefront copy.</t>
        </is>
      </c>
      <c r="I94" s="2" t="inlineStr">
        <is>
          <t>Remove internal QA/import block and replace with customer-facing verified copy.</t>
        </is>
      </c>
      <c r="J94" s="2" t="inlineStr">
        <is>
          <t>Draft contains SEO Use / QA approval wording.</t>
        </is>
      </c>
      <c r="K94" s="2" t="inlineStr">
        <is>
          <t>Description HTML no longer contains SEO Use, QA, approval, import or draft language.</t>
        </is>
      </c>
    </row>
    <row r="95" ht="84" customHeight="1">
      <c r="A95" s="3" t="inlineStr">
        <is>
          <t>ISSUE-0094</t>
        </is>
      </c>
      <c r="B95" s="3" t="inlineStr">
        <is>
          <t>jeminise.com+norse-mythology-raven-centered-within-runic-circle-comforter-ab76500bc1-ab76500bc1</t>
        </is>
      </c>
      <c r="C95" s="3" t="inlineStr"/>
      <c r="D95" s="3" t="inlineStr">
        <is>
          <t>MAJOR</t>
        </is>
      </c>
      <c r="E95" s="3" t="inlineStr">
        <is>
          <t>h1_proposed</t>
        </is>
      </c>
      <c r="F95" s="3" t="inlineStr"/>
      <c r="G95" s="3" t="inlineStr">
        <is>
          <t>The submitted workbook row has no proposed H1.</t>
        </is>
      </c>
      <c r="H95" s="3" t="inlineStr">
        <is>
          <t>A publishable SEO title/H1 pair is incomplete when the H1 field is blank.</t>
        </is>
      </c>
      <c r="I95" s="3" t="inlineStr">
        <is>
          <t>Write one English H1 that matches the verified product type and visible design; do not copy unsupported claims.</t>
        </is>
      </c>
      <c r="J95" s="3" t="inlineStr">
        <is>
          <t>The submitted workbook row has no proposed H1.</t>
        </is>
      </c>
      <c r="K95" s="3" t="inlineStr">
        <is>
          <t>Workbook contains a non-empty H1 and it is consistent with title, primary keyword and live product evidence.</t>
        </is>
      </c>
    </row>
    <row r="96" ht="84" customHeight="1">
      <c r="A96" s="2" t="inlineStr">
        <is>
          <t>ISSUE-0095</t>
        </is>
      </c>
      <c r="B96" s="2" t="inlineStr">
        <is>
          <t>jeminise.com+norse-mythology-raven-centered-within-runic-circle-comforter-ab76500bc1-ab76500bc1</t>
        </is>
      </c>
      <c r="C96" s="2" t="inlineStr"/>
      <c r="D96" s="2" t="inlineStr">
        <is>
          <t>MAJOR</t>
        </is>
      </c>
      <c r="E96" s="2" t="inlineStr">
        <is>
          <t>description_proposed_html</t>
        </is>
      </c>
      <c r="F96" s="2" t="inlineStr">
        <is>
          <t>&lt;p&gt;This Jeminise quilt set features dark navy comforter with pink runic circle, raven emblem and Celtic knot detail, making it suited for animal rooms, faith gifts, nature-inspired decor or Viking-themed bedrooms.&lt;/p&gt;&lt;h3&gt;Design Details&lt;/h3&gt;&lt;ul&gt;&lt;li&gt;Visible artwork: dark navy comforter with pink runic circle, raven emblem and Celtic knot detail.&lt;/li&gt;&lt;li&gt;Source product details include: Brand: Jeminise; Product Type: Quilt Set; Material: Polyester;…</t>
        </is>
      </c>
      <c r="G96" s="2" t="inlineStr">
        <is>
          <t>The proposed description uses a repeated audience list (for example, animal rooms/faith gifts/nature-inspired decor) that is not specific to this product.</t>
        </is>
      </c>
      <c r="H96" s="2" t="inlineStr">
        <is>
          <t>Generic audience wording can be irrelevant or contradictory to the visible motif and is not evidence-led storefront copy.</t>
        </is>
      </c>
      <c r="I96" s="2" t="inlineStr">
        <is>
          <t>Replace it with concise English customer-facing copy tied only to the verified motif, product type, size/pillowcase choices and supported customizer control.</t>
        </is>
      </c>
      <c r="J96" s="2" t="inlineStr">
        <is>
          <t>The proposed description uses a repeated audience list (for example, animal rooms/faith gifts/nature-inspired decor) that is not specific to this product.</t>
        </is>
      </c>
      <c r="K96" s="2" t="inlineStr">
        <is>
          <t>Description contains no irrelevant template audience list and every remaining claim is supported by live/snapshot evidence.</t>
        </is>
      </c>
    </row>
    <row r="97" ht="84" customHeight="1">
      <c r="A97" s="3" t="inlineStr">
        <is>
          <t>ISSUE-0096</t>
        </is>
      </c>
      <c r="B97" s="3" t="inlineStr">
        <is>
          <t>jeminise.com+norse-mythology-raven-centered-within-runic-circle-comforter-ab76500bc1-ab76500bc1</t>
        </is>
      </c>
      <c r="C97" s="3" t="inlineStr"/>
      <c r="D97" s="3" t="inlineStr">
        <is>
          <t>MINOR</t>
        </is>
      </c>
      <c r="E97" s="3" t="inlineStr">
        <is>
          <t>meta_description_seo</t>
        </is>
      </c>
      <c r="F97" s="3" t="inlineStr">
        <is>
          <t>Shop a quilt set featuring dark navy comforter with pink runic circle, raven emblem and Celtic knot detail. Review size and personalization options before checkout.</t>
        </is>
      </c>
      <c r="G97" s="3" t="inlineStr">
        <is>
          <t>Meta description length is 164 characters.</t>
        </is>
      </c>
      <c r="H97" s="3" t="inlineStr">
        <is>
          <t>Likely to truncate in search results and repeats review/personality wording in several rows.</t>
        </is>
      </c>
      <c r="I97" s="3" t="inlineStr">
        <is>
          <t>Rewrite to roughly 145-155 characters while preserving verified design and product type.</t>
        </is>
      </c>
      <c r="J97" s="3" t="inlineStr">
        <is>
          <t>Meta description length is 164 characters.</t>
        </is>
      </c>
      <c r="K97" s="3" t="inlineStr">
        <is>
          <t>Length check &lt;=160 characters and no unsupported claim remains.</t>
        </is>
      </c>
    </row>
    <row r="98" ht="84" customHeight="1">
      <c r="A98" s="2" t="inlineStr">
        <is>
          <t>ISSUE-0097</t>
        </is>
      </c>
      <c r="B98" s="2" t="inlineStr">
        <is>
          <t>jeminise.com+norse-mythology-raven-centered-within-runic-circle-comforter-ab76500bc1-ab76500bc1</t>
        </is>
      </c>
      <c r="C98" s="2" t="inlineStr"/>
      <c r="D98" s="2" t="inlineStr">
        <is>
          <t>LIMITATION</t>
        </is>
      </c>
      <c r="E98" s="2" t="inlineStr">
        <is>
          <t>keyword_evidence_level</t>
        </is>
      </c>
      <c r="F98" s="2" t="inlineStr">
        <is>
          <t>SERP_ONLY</t>
        </is>
      </c>
      <c r="G98" s="2" t="inlineStr">
        <is>
          <t>Only public SERP comparables are available.</t>
        </is>
      </c>
      <c r="H98" s="2" t="inlineStr">
        <is>
          <t>No Search Console, paid keyword volume or internal site search export was supplied.</t>
        </is>
      </c>
      <c r="I98" s="2" t="inlineStr">
        <is>
          <t>Keep demand statements qualitative; do not claim volume or ranking potential.</t>
        </is>
      </c>
      <c r="J98" s="2" t="inlineStr">
        <is>
          <t>Only public SERP comparables are available.</t>
        </is>
      </c>
      <c r="K98" s="2" t="inlineStr">
        <is>
          <t>Additional first-party or paid keyword evidence is attached, or limitation remains documented.</t>
        </is>
      </c>
    </row>
    <row r="99" ht="84" customHeight="1">
      <c r="A99" s="3" t="inlineStr">
        <is>
          <t>ISSUE-0098</t>
        </is>
      </c>
      <c r="B99" s="3" t="inlineStr">
        <is>
          <t>jeminise.com+norse-mythology-raven-centered-within-runic-circle-comforter-ab76500bc1-ab76500bc1</t>
        </is>
      </c>
      <c r="C99" s="3" t="inlineStr">
        <is>
          <t>img_1a597cb5926b7c66</t>
        </is>
      </c>
      <c r="D99" s="3" t="inlineStr">
        <is>
          <t>MINOR</t>
        </is>
      </c>
      <c r="E99" s="3" t="inlineStr">
        <is>
          <t>alt text</t>
        </is>
      </c>
      <c r="F99" s="3" t="inlineStr">
        <is>
          <t>Pink Norse Raven Runic Circle Comforter displayed in a main product mockup</t>
        </is>
      </c>
      <c r="G99" s="3" t="inlineStr">
        <is>
          <t>Fresh image file: D:\Shopify_Workspace\jeminise_seo\seo_runs\jeminise.com\20260906_234129\qa\20260907_210204\images\160_01.jpg; source URL: https://cdn.shopify.com/s/files/1/0792/5098/1063/files/a411a3b6e5e3e9af3994df0d9e51e3c8fb2923ca82d9e850380c0c58557e6aea.jpg?v=1785104615</t>
        </is>
      </c>
      <c r="H99" s="3" t="inlineStr">
        <is>
          <t>Alt text is too generic or describes placement more than visible content.</t>
        </is>
      </c>
      <c r="I99" s="3" t="inlineStr">
        <is>
          <t>Rewrite observation/alt from the directly opened image, naming the visible motif and use context.</t>
        </is>
      </c>
      <c r="J99" s="3" t="inlineStr">
        <is>
          <t>Fresh image file: D:\Shopify_Workspace\jeminise_seo\seo_runs\jeminise.com\20260906_234129\qa\20260907_210204\images\160_01.jpg; source URL: https://cdn.shopify.com/s/files/1/0792/5098/1063/files/a411a3b6e5e3e9af3994df0d9e51e3c8fb2923ca82d9e850380c0c58557e6aea.jpg?v=1785104615</t>
        </is>
      </c>
      <c r="K99" s="3" t="inlineStr">
        <is>
          <t>The image row accurately describes the actual media at this gallery position.</t>
        </is>
      </c>
    </row>
    <row r="100" ht="84" customHeight="1">
      <c r="A100" s="2" t="inlineStr">
        <is>
          <t>ISSUE-0099</t>
        </is>
      </c>
      <c r="B100" s="2" t="inlineStr">
        <is>
          <t>jeminise.com+norse-mythology-raven-centered-within-runic-circle-comforter-ab76500bc1-ab76500bc1</t>
        </is>
      </c>
      <c r="C100" s="2" t="inlineStr">
        <is>
          <t>img_2e8a7527a5d26347</t>
        </is>
      </c>
      <c r="D100" s="2" t="inlineStr">
        <is>
          <t>MINOR</t>
        </is>
      </c>
      <c r="E100" s="2" t="inlineStr">
        <is>
          <t>image observation</t>
        </is>
      </c>
      <c r="F100" s="2" t="inlineStr">
        <is>
          <t>Bedding type, feature, lifestyle or material image for pink Norse raven runic circle comforter.</t>
        </is>
      </c>
      <c r="G100" s="2" t="inlineStr">
        <is>
          <t>Fresh image file: D:\Shopify_Workspace\jeminise_seo\seo_runs\jeminise.com\20260906_234129\qa\20260907_210204\images\160_03.jpg; source URL: https://cdn.shopify.com/s/files/1/0792/5098/1063/files/222310bc640faa9852d2b5196cb0a586fcdfbb201d6b5a6cb98ecae72afcb8ef.jpg?v=1785104615</t>
        </is>
      </c>
      <c r="H100" s="2" t="inlineStr">
        <is>
          <t>Observation is generic or position-based; rewrite from the actual image content.</t>
        </is>
      </c>
      <c r="I100" s="2" t="inlineStr">
        <is>
          <t>Rewrite observation/alt from the directly opened image, naming the visible motif and use context.</t>
        </is>
      </c>
      <c r="J100" s="2" t="inlineStr">
        <is>
          <t>Fresh image file: D:\Shopify_Workspace\jeminise_seo\seo_runs\jeminise.com\20260906_234129\qa\20260907_210204\images\160_03.jpg; source URL: https://cdn.shopify.com/s/files/1/0792/5098/1063/files/222310bc640faa9852d2b5196cb0a586fcdfbb201d6b5a6cb98ecae72afcb8ef.jpg?v=1785104615</t>
        </is>
      </c>
      <c r="K100" s="2" t="inlineStr">
        <is>
          <t>The image row accurately describes the actual media at this gallery position.</t>
        </is>
      </c>
    </row>
    <row r="101" ht="84" customHeight="1">
      <c r="A101" s="3" t="inlineStr">
        <is>
          <t>ISSUE-0100</t>
        </is>
      </c>
      <c r="B101" s="3" t="inlineStr">
        <is>
          <t>jeminise.com+norse-mythology-raven-centered-within-runic-circle-comforter-ab76500bc1-ab76500bc1</t>
        </is>
      </c>
      <c r="C101" s="3" t="inlineStr">
        <is>
          <t>img_7083b0a27550fb00</t>
        </is>
      </c>
      <c r="D101" s="3" t="inlineStr">
        <is>
          <t>MINOR</t>
        </is>
      </c>
      <c r="E101" s="3" t="inlineStr">
        <is>
          <t>image observation</t>
        </is>
      </c>
      <c r="F101" s="3" t="inlineStr">
        <is>
          <t>Detail, feature panel or lifestyle image connected to pink Norse raven runic circle comforter.</t>
        </is>
      </c>
      <c r="G101" s="3" t="inlineStr">
        <is>
          <t>Fresh image file: D:\Shopify_Workspace\jeminise_seo\seo_runs\jeminise.com\20260906_234129\qa\20260907_210204\images\160_04.jpg; source URL: https://cdn.shopify.com/s/files/1/0792/5098/1063/files/7deaae48f1d6a894247cf6582b49be832d9f6f7f3a38fe997871377fb2261e0d.jpg?v=1785104615</t>
        </is>
      </c>
      <c r="H101" s="3" t="inlineStr">
        <is>
          <t>Observation is generic or position-based; rewrite from the actual image content.</t>
        </is>
      </c>
      <c r="I101" s="3" t="inlineStr">
        <is>
          <t>Rewrite observation/alt from the directly opened image, naming the visible motif and use context.</t>
        </is>
      </c>
      <c r="J101" s="3" t="inlineStr">
        <is>
          <t>Fresh image file: D:\Shopify_Workspace\jeminise_seo\seo_runs\jeminise.com\20260906_234129\qa\20260907_210204\images\160_04.jpg; source URL: https://cdn.shopify.com/s/files/1/0792/5098/1063/files/7deaae48f1d6a894247cf6582b49be832d9f6f7f3a38fe997871377fb2261e0d.jpg?v=1785104615</t>
        </is>
      </c>
      <c r="K101" s="3" t="inlineStr">
        <is>
          <t>The image row accurately describes the actual media at this gallery position.</t>
        </is>
      </c>
    </row>
    <row r="102" ht="84" customHeight="1">
      <c r="A102" s="2" t="inlineStr">
        <is>
          <t>ISSUE-0101</t>
        </is>
      </c>
      <c r="B102" s="2" t="inlineStr">
        <is>
          <t>jeminise.com+norse-mythology-raven-centered-within-runic-circle-comforter-ab76500bc1-ab76500bc1</t>
        </is>
      </c>
      <c r="C102" s="2" t="inlineStr">
        <is>
          <t>img_33e13bfac305c482</t>
        </is>
      </c>
      <c r="D102" s="2" t="inlineStr">
        <is>
          <t>MINOR</t>
        </is>
      </c>
      <c r="E102" s="2" t="inlineStr">
        <is>
          <t>image observation</t>
        </is>
      </c>
      <c r="F102" s="2" t="inlineStr">
        <is>
          <t>Easy-care, size guide or product feature image for pink Norse raven runic circle comforter.</t>
        </is>
      </c>
      <c r="G102" s="2" t="inlineStr">
        <is>
          <t>Fresh image file: D:\Shopify_Workspace\jeminise_seo\seo_runs\jeminise.com\20260906_234129\qa\20260907_210204\images\160_06.jpg; source URL: https://cdn.shopify.com/s/files/1/0792/5098/1063/files/b4731ea28a666e82b883a0ae4f93a2e419ea253451c0f86b9d2749f171fb3e78.jpg?v=1785104615</t>
        </is>
      </c>
      <c r="H102" s="2" t="inlineStr">
        <is>
          <t>Observation is generic or position-based; rewrite from the actual image content.</t>
        </is>
      </c>
      <c r="I102" s="2" t="inlineStr">
        <is>
          <t>Rewrite observation/alt from the directly opened image, naming the visible motif and use context.</t>
        </is>
      </c>
      <c r="J102" s="2" t="inlineStr">
        <is>
          <t>Fresh image file: D:\Shopify_Workspace\jeminise_seo\seo_runs\jeminise.com\20260906_234129\qa\20260907_210204\images\160_06.jpg; source URL: https://cdn.shopify.com/s/files/1/0792/5098/1063/files/b4731ea28a666e82b883a0ae4f93a2e419ea253451c0f86b9d2749f171fb3e78.jpg?v=1785104615</t>
        </is>
      </c>
      <c r="K102" s="2" t="inlineStr">
        <is>
          <t>The image row accurately describes the actual media at this gallery position.</t>
        </is>
      </c>
    </row>
    <row r="103" ht="84" customHeight="1">
      <c r="A103" s="3" t="inlineStr">
        <is>
          <t>ISSUE-0102</t>
        </is>
      </c>
      <c r="B103" s="3" t="inlineStr">
        <is>
          <t>jeminise.com+norse-mythology-raven-centered-within-runic-circle-comforter-ab76500bc1-ab76500bc1</t>
        </is>
      </c>
      <c r="C103" s="3" t="inlineStr">
        <is>
          <t>img_d9d68e1a19ccae7d</t>
        </is>
      </c>
      <c r="D103" s="3" t="inlineStr">
        <is>
          <t>MINOR</t>
        </is>
      </c>
      <c r="E103" s="3" t="inlineStr">
        <is>
          <t>image observation</t>
        </is>
      </c>
      <c r="F103" s="3" t="inlineStr">
        <is>
          <t>Additional lifestyle, feature or product detail image showing pink Norse raven runic circle comforter.</t>
        </is>
      </c>
      <c r="G103" s="3" t="inlineStr">
        <is>
          <t>Fresh image file: D:\Shopify_Workspace\jeminise_seo\seo_runs\jeminise.com\20260906_234129\qa\20260907_210204\images\160_07.jpg; source URL: https://cdn.shopify.com/s/files/1/0792/5098/1063/files/54306d900544cdc264bc1bafbaabbdb0386d11b51224733bdf7f6718e0c9fc46.jpg?v=1785104615</t>
        </is>
      </c>
      <c r="H103" s="3" t="inlineStr">
        <is>
          <t>Observation is generic or position-based; rewrite from the actual image content.</t>
        </is>
      </c>
      <c r="I103" s="3" t="inlineStr">
        <is>
          <t>Rewrite observation/alt from the directly opened image, naming the visible motif and use context.</t>
        </is>
      </c>
      <c r="J103" s="3" t="inlineStr">
        <is>
          <t>Fresh image file: D:\Shopify_Workspace\jeminise_seo\seo_runs\jeminise.com\20260906_234129\qa\20260907_210204\images\160_07.jpg; source URL: https://cdn.shopify.com/s/files/1/0792/5098/1063/files/54306d900544cdc264bc1bafbaabbdb0386d11b51224733bdf7f6718e0c9fc46.jpg?v=1785104615</t>
        </is>
      </c>
      <c r="K103" s="3" t="inlineStr">
        <is>
          <t>The image row accurately describes the actual media at this gallery position.</t>
        </is>
      </c>
    </row>
  </sheetData>
  <autoFilter ref="A1:K103"/>
  <conditionalFormatting sqref="D2:D103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2026-09-07T14:16:19Z</dcterms:created>
  <dcterms:modified xmlns:dcterms="http://purl.org/dc/terms/" xmlns:xsi="http://www.w3.org/2001/XMLSchema-instance" xsi:type="dcterms:W3CDTF">2026-09-07T14:16:19Z</dcterms:modified>
</cp:coreProperties>
</file>