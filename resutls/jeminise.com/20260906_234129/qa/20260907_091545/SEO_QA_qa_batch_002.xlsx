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_Summary" sheetId="1" state="visible" r:id="rId1"/>
    <sheet xmlns:r="http://schemas.openxmlformats.org/officeDocument/2006/relationships" name="QA_Products" sheetId="2" state="visible" r:id="rId2"/>
    <sheet xmlns:r="http://schemas.openxmlformats.org/officeDocument/2006/relationships" name="QA_Criteria" sheetId="3" state="visible" r:id="rId3"/>
    <sheet xmlns:r="http://schemas.openxmlformats.org/officeDocument/2006/relationships" name="QA_Images" sheetId="4" state="visible" r:id="rId4"/>
    <sheet xmlns:r="http://schemas.openxmlformats.org/officeDocument/2006/relationships" name="QA_Issues" sheetId="5" state="visible" r:id="rId5"/>
  </sheets>
  <definedNames>
    <definedName name="_xlnm._FilterDatabase" localSheetId="0" hidden="1">'QA_Summary'!$A$1:$C$14</definedName>
    <definedName name="_xlnm.Print_Titles" localSheetId="0">'QA_Summary'!$1:$1</definedName>
    <definedName name="_xlnm._FilterDatabase" localSheetId="1" hidden="1">'QA_Products'!$A$1:$W$11</definedName>
    <definedName name="_xlnm.Print_Titles" localSheetId="1">'QA_Products'!$1:$1</definedName>
    <definedName name="_xlnm._FilterDatabase" localSheetId="2" hidden="1">'QA_Criteria'!$A$1:$J$111</definedName>
    <definedName name="_xlnm.Print_Titles" localSheetId="2">'QA_Criteria'!$1:$1</definedName>
    <definedName name="_xlnm._FilterDatabase" localSheetId="3" hidden="1">'QA_Images'!$A$1:$Z$65</definedName>
    <definedName name="_xlnm.Print_Titles" localSheetId="3">'QA_Images'!$1:$1</definedName>
    <definedName name="_xlnm._FilterDatabase" localSheetId="4" hidden="1">'QA_Issues'!$A$1:$K$80</definedName>
    <definedName name="_xlnm.Print_Titles" localSheetId="4">'QA_Issues'!$1:$1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1"/>
    </font>
    <font>
      <name val="Aptos"/>
      <color rgb="001F2937"/>
      <sz val="10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8FAFC"/>
      </patternFill>
    </fill>
  </fills>
  <borders count="3">
    <border>
      <left/>
      <right/>
      <top/>
      <bottom/>
      <diagonal/>
    </border>
    <border>
      <bottom style="medium">
        <color rgb="002F75B5"/>
      </bottom>
    </border>
    <border>
      <bottom style="thin">
        <color rgb="00CBD5E1"/>
      </bottom>
    </border>
  </borders>
  <cellStyleXfs count="2">
    <xf numFmtId="0" fontId="0" fillId="0" borderId="0"/>
    <xf numFmtId="0" fontId="3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3" fillId="0" borderId="0" applyAlignment="1" pivotButton="0" quotePrefix="0" xfId="1">
      <alignment vertical="top" wrapText="1"/>
    </xf>
    <xf numFmtId="164" fontId="2" fillId="3" borderId="2" applyAlignment="1" pivotButton="0" quotePrefix="0" xfId="0">
      <alignment vertical="top" wrapText="1"/>
    </xf>
    <xf numFmtId="165" fontId="2" fillId="3" borderId="2" applyAlignment="1" pivotButton="0" quotePrefix="0" xfId="0">
      <alignment vertical="top" wrapText="1"/>
    </xf>
    <xf numFmtId="164" fontId="2" fillId="0" borderId="2" applyAlignment="1" pivotButton="0" quotePrefix="0" xfId="0">
      <alignment vertical="top" wrapText="1"/>
    </xf>
    <xf numFmtId="165" fontId="2" fillId="0" borderId="2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5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E4DF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jeminise.com/products/christian-bedding-set-inspirational-bible-verse-comforte-design-02" TargetMode="External" Id="rId1"/><Relationship Type="http://schemas.openxmlformats.org/officeDocument/2006/relationships/hyperlink" Target="https://jeminise.com/products/christian-bedding-set-inspirational-bible-verse-comforte-design-03" TargetMode="External" Id="rId2"/><Relationship Type="http://schemas.openxmlformats.org/officeDocument/2006/relationships/hyperlink" Target="https://jeminise.com/products/christian-bedding-set-inspirational-bible-verse-comforte-design-04" TargetMode="External" Id="rId3"/><Relationship Type="http://schemas.openxmlformats.org/officeDocument/2006/relationships/hyperlink" Target="https://jeminise.com/products/christian-bedding-set-inspirational-bible-verse-comforte-design-05" TargetMode="External" Id="rId4"/><Relationship Type="http://schemas.openxmlformats.org/officeDocument/2006/relationships/hyperlink" Target="https://jeminise.com/products/christian-bedding-set-inspirational-bible-verse-comforte-design-06" TargetMode="External" Id="rId5"/><Relationship Type="http://schemas.openxmlformats.org/officeDocument/2006/relationships/hyperlink" Target="https://jeminise.com/products/christian-bedding-set-inspirational-bible-verse-comforter" TargetMode="External" Id="rId6"/><Relationship Type="http://schemas.openxmlformats.org/officeDocument/2006/relationships/hyperlink" Target="https://jeminise.com/products/christmas-bedding-quilt-soft-microfiber-holiday-bedsprea-design-01" TargetMode="External" Id="rId7"/><Relationship Type="http://schemas.openxmlformats.org/officeDocument/2006/relationships/hyperlink" Target="https://jeminise.com/products/christmas-bedding-quilt-soft-microfiber-holiday-bedsprea-design-02" TargetMode="External" Id="rId8"/><Relationship Type="http://schemas.openxmlformats.org/officeDocument/2006/relationships/hyperlink" Target="https://jeminise.com/products/christmas-bedding-quilt-soft-microfiber-holiday-bedsprea-design-03" TargetMode="External" Id="rId9"/><Relationship Type="http://schemas.openxmlformats.org/officeDocument/2006/relationships/hyperlink" Target="https://jeminise.com/products/christmas-bedding-quilt-soft-microfiber-holiday-bedsprea-design-04" TargetMode="External" Id="rId10"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0792/5098/1063/files/8f8cbae7d7dc8a5bb8d1fd9af7a3d36dfe9b26d76e6c99b9b36c2f64aeb5f0ae.jpg?v=1787237735" TargetMode="External" Id="rId1"/><Relationship Type="http://schemas.openxmlformats.org/officeDocument/2006/relationships/hyperlink" Target="https://cdn.shopify.com/s/files/1/0792/5098/1063/files/8f8cbae7d7dc8a5bb8d1fd9af7a3d36dfe9b26d76e6c99b9b36c2f64aeb5f0ae.jpg?v=1787237735" TargetMode="External" Id="rId2"/><Relationship Type="http://schemas.openxmlformats.org/officeDocument/2006/relationships/hyperlink" Target="https://cdn.shopify.com/s/files/1/0792/5098/1063/files/f8aafdfb4c8162ca9e2e2a98539d9758b42cf390e7a8828716dc849e251afcb1.jpg?v=1787237735" TargetMode="External" Id="rId3"/><Relationship Type="http://schemas.openxmlformats.org/officeDocument/2006/relationships/hyperlink" Target="https://cdn.shopify.com/s/files/1/0792/5098/1063/files/f8aafdfb4c8162ca9e2e2a98539d9758b42cf390e7a8828716dc849e251afcb1.jpg?v=1787237735" TargetMode="External" Id="rId4"/><Relationship Type="http://schemas.openxmlformats.org/officeDocument/2006/relationships/hyperlink" Target="https://cdn.shopify.com/s/files/1/0792/5098/1063/files/50f96559dd878ae5bbee14ba7a34337ccd740d21a8ffe86a8a1be819656d26c0_ae8608eb-bf72-43da-b626-8fd454d536c7.jpg?v=1787237735" TargetMode="External" Id="rId5"/><Relationship Type="http://schemas.openxmlformats.org/officeDocument/2006/relationships/hyperlink" Target="https://cdn.shopify.com/s/files/1/0792/5098/1063/files/50f96559dd878ae5bbee14ba7a34337ccd740d21a8ffe86a8a1be819656d26c0_ae8608eb-bf72-43da-b626-8fd454d536c7.jpg?v=1787237735" TargetMode="External" Id="rId6"/><Relationship Type="http://schemas.openxmlformats.org/officeDocument/2006/relationships/hyperlink" Target="https://cdn.shopify.com/s/files/1/0792/5098/1063/files/27f7ed18554cde6fb1921b3b4261b0f7a6d2176eda09e52bedf7b7fe5cb0399a.jpg?v=1787237735" TargetMode="External" Id="rId7"/><Relationship Type="http://schemas.openxmlformats.org/officeDocument/2006/relationships/hyperlink" Target="https://cdn.shopify.com/s/files/1/0792/5098/1063/files/27f7ed18554cde6fb1921b3b4261b0f7a6d2176eda09e52bedf7b7fe5cb0399a.jpg?v=1787237735" TargetMode="External" Id="rId8"/><Relationship Type="http://schemas.openxmlformats.org/officeDocument/2006/relationships/hyperlink" Target="https://cdn.shopify.com/s/files/1/0792/5098/1063/files/c0229b109e769b68f8c9f35623479c094bab31ad756f2c9dfcf50eadd39d92c5_9c3ec9d7-9121-432a-b4e5-640cc3768a2a.jpg?v=1787237735" TargetMode="External" Id="rId9"/><Relationship Type="http://schemas.openxmlformats.org/officeDocument/2006/relationships/hyperlink" Target="https://cdn.shopify.com/s/files/1/0792/5098/1063/files/c0229b109e769b68f8c9f35623479c094bab31ad756f2c9dfcf50eadd39d92c5_9c3ec9d7-9121-432a-b4e5-640cc3768a2a.jpg?v=1787237735" TargetMode="External" Id="rId10"/><Relationship Type="http://schemas.openxmlformats.org/officeDocument/2006/relationships/hyperlink" Target="https://cdn.shopify.com/s/files/1/0792/5098/1063/files/0e22a9fec09643a714af054217066178d4f7bc4d6266b6d2ff5c33c09cc10e88_963c3f22-9265-4b21-8847-4b1a66ac13e5.jpg?v=1787237735" TargetMode="External" Id="rId11"/><Relationship Type="http://schemas.openxmlformats.org/officeDocument/2006/relationships/hyperlink" Target="https://cdn.shopify.com/s/files/1/0792/5098/1063/files/0e22a9fec09643a714af054217066178d4f7bc4d6266b6d2ff5c33c09cc10e88_963c3f22-9265-4b21-8847-4b1a66ac13e5.jpg?v=1787237735" TargetMode="External" Id="rId12"/><Relationship Type="http://schemas.openxmlformats.org/officeDocument/2006/relationships/hyperlink" Target="https://cdn.shopify.com/s/files/1/0792/5098/1063/files/03ac15a4de6fdc4759048838b9e69d3ab841369c3b081159e5bf995fe1ff2483.jpg?v=1787237735" TargetMode="External" Id="rId13"/><Relationship Type="http://schemas.openxmlformats.org/officeDocument/2006/relationships/hyperlink" Target="https://cdn.shopify.com/s/files/1/0792/5098/1063/files/03ac15a4de6fdc4759048838b9e69d3ab841369c3b081159e5bf995fe1ff2483.jpg?v=1787237735" TargetMode="External" Id="rId14"/><Relationship Type="http://schemas.openxmlformats.org/officeDocument/2006/relationships/hyperlink" Target="https://cdn.shopify.com/s/files/1/0792/5098/1063/files/d6b8438a259ef28ba839a68ba108f40464bc9629b0bc2168779fc7776c9cbffa_433fa23f-2790-4b1e-8f60-9cb3f933e7c9.jpg?v=1787237735" TargetMode="External" Id="rId15"/><Relationship Type="http://schemas.openxmlformats.org/officeDocument/2006/relationships/hyperlink" Target="https://cdn.shopify.com/s/files/1/0792/5098/1063/files/d6b8438a259ef28ba839a68ba108f40464bc9629b0bc2168779fc7776c9cbffa_433fa23f-2790-4b1e-8f60-9cb3f933e7c9.jpg?v=1787237735" TargetMode="External" Id="rId16"/><Relationship Type="http://schemas.openxmlformats.org/officeDocument/2006/relationships/hyperlink" Target="https://cdn.shopify.com/s/files/1/0792/5098/1063/files/f92da9391db0dc6b3922463b3a830c7068091ba905b6f543f5ed21537c343ff7.jpg?v=1787237775" TargetMode="External" Id="rId17"/><Relationship Type="http://schemas.openxmlformats.org/officeDocument/2006/relationships/hyperlink" Target="https://cdn.shopify.com/s/files/1/0792/5098/1063/files/f92da9391db0dc6b3922463b3a830c7068091ba905b6f543f5ed21537c343ff7.jpg?v=1787237775" TargetMode="External" Id="rId18"/><Relationship Type="http://schemas.openxmlformats.org/officeDocument/2006/relationships/hyperlink" Target="https://cdn.shopify.com/s/files/1/0792/5098/1063/files/38662725a37694575465781c6a07cc74254226a1182579802ffa9912a4e7768f.jpg?v=1787237775" TargetMode="External" Id="rId19"/><Relationship Type="http://schemas.openxmlformats.org/officeDocument/2006/relationships/hyperlink" Target="https://cdn.shopify.com/s/files/1/0792/5098/1063/files/38662725a37694575465781c6a07cc74254226a1182579802ffa9912a4e7768f.jpg?v=1787237775" TargetMode="External" Id="rId20"/><Relationship Type="http://schemas.openxmlformats.org/officeDocument/2006/relationships/hyperlink" Target="https://cdn.shopify.com/s/files/1/0792/5098/1063/files/50f96559dd878ae5bbee14ba7a34337ccd740d21a8ffe86a8a1be819656d26c0_55aad209-cbed-473d-b39c-7f6a67c4001e.jpg?v=1787237775" TargetMode="External" Id="rId21"/><Relationship Type="http://schemas.openxmlformats.org/officeDocument/2006/relationships/hyperlink" Target="https://cdn.shopify.com/s/files/1/0792/5098/1063/files/50f96559dd878ae5bbee14ba7a34337ccd740d21a8ffe86a8a1be819656d26c0_55aad209-cbed-473d-b39c-7f6a67c4001e.jpg?v=1787237775" TargetMode="External" Id="rId22"/><Relationship Type="http://schemas.openxmlformats.org/officeDocument/2006/relationships/hyperlink" Target="https://cdn.shopify.com/s/files/1/0792/5098/1063/files/6f7120179ef66c1c3b1345bc6dcaf03449e1ffefc7fbda9577faecc3e3db4447.jpg?v=1787237775" TargetMode="External" Id="rId23"/><Relationship Type="http://schemas.openxmlformats.org/officeDocument/2006/relationships/hyperlink" Target="https://cdn.shopify.com/s/files/1/0792/5098/1063/files/6f7120179ef66c1c3b1345bc6dcaf03449e1ffefc7fbda9577faecc3e3db4447.jpg?v=1787237775" TargetMode="External" Id="rId24"/><Relationship Type="http://schemas.openxmlformats.org/officeDocument/2006/relationships/hyperlink" Target="https://cdn.shopify.com/s/files/1/0792/5098/1063/files/3f1020e70fcfa8dc9427d83131c12eb3107fd27ba15741a814733e1974f31cb2.jpg?v=1787237775" TargetMode="External" Id="rId25"/><Relationship Type="http://schemas.openxmlformats.org/officeDocument/2006/relationships/hyperlink" Target="https://cdn.shopify.com/s/files/1/0792/5098/1063/files/3f1020e70fcfa8dc9427d83131c12eb3107fd27ba15741a814733e1974f31cb2.jpg?v=1787237775" TargetMode="External" Id="rId26"/><Relationship Type="http://schemas.openxmlformats.org/officeDocument/2006/relationships/hyperlink" Target="https://cdn.shopify.com/s/files/1/0792/5098/1063/files/0e22a9fec09643a714af054217066178d4f7bc4d6266b6d2ff5c33c09cc10e88_aa1ee109-258c-49b7-8e15-9f96d009b1e0.jpg?v=1787237775" TargetMode="External" Id="rId27"/><Relationship Type="http://schemas.openxmlformats.org/officeDocument/2006/relationships/hyperlink" Target="https://cdn.shopify.com/s/files/1/0792/5098/1063/files/0e22a9fec09643a714af054217066178d4f7bc4d6266b6d2ff5c33c09cc10e88_aa1ee109-258c-49b7-8e15-9f96d009b1e0.jpg?v=1787237775" TargetMode="External" Id="rId28"/><Relationship Type="http://schemas.openxmlformats.org/officeDocument/2006/relationships/hyperlink" Target="https://cdn.shopify.com/s/files/1/0792/5098/1063/files/d6b8438a259ef28ba839a68ba108f40464bc9629b0bc2168779fc7776c9cbffa_6f72bb77-1b12-4ea3-9e0c-1b5e684c5f9f.jpg?v=1787237775" TargetMode="External" Id="rId29"/><Relationship Type="http://schemas.openxmlformats.org/officeDocument/2006/relationships/hyperlink" Target="https://cdn.shopify.com/s/files/1/0792/5098/1063/files/d6b8438a259ef28ba839a68ba108f40464bc9629b0bc2168779fc7776c9cbffa_6f72bb77-1b12-4ea3-9e0c-1b5e684c5f9f.jpg?v=1787237775" TargetMode="External" Id="rId30"/><Relationship Type="http://schemas.openxmlformats.org/officeDocument/2006/relationships/hyperlink" Target="https://cdn.shopify.com/s/files/1/0792/5098/1063/files/14ca1683130f1520ade50aa0650701fd1150fe4d09f367ab221b63a53783709e.jpg?v=1787237794" TargetMode="External" Id="rId31"/><Relationship Type="http://schemas.openxmlformats.org/officeDocument/2006/relationships/hyperlink" Target="https://cdn.shopify.com/s/files/1/0792/5098/1063/files/14ca1683130f1520ade50aa0650701fd1150fe4d09f367ab221b63a53783709e.jpg?v=1787237794" TargetMode="External" Id="rId32"/><Relationship Type="http://schemas.openxmlformats.org/officeDocument/2006/relationships/hyperlink" Target="https://cdn.shopify.com/s/files/1/0792/5098/1063/files/1892152d87d62b43a0e3a2b26a3397d09584e40f761ce2e9fd4940acfae699dc.jpg?v=1787237794" TargetMode="External" Id="rId33"/><Relationship Type="http://schemas.openxmlformats.org/officeDocument/2006/relationships/hyperlink" Target="https://cdn.shopify.com/s/files/1/0792/5098/1063/files/1892152d87d62b43a0e3a2b26a3397d09584e40f761ce2e9fd4940acfae699dc.jpg?v=1787237794" TargetMode="External" Id="rId34"/><Relationship Type="http://schemas.openxmlformats.org/officeDocument/2006/relationships/hyperlink" Target="https://cdn.shopify.com/s/files/1/0792/5098/1063/files/50f96559dd878ae5bbee14ba7a34337ccd740d21a8ffe86a8a1be819656d26c0_06b27f7a-14c6-4267-b5df-12ac25afd52c.jpg?v=1787237794" TargetMode="External" Id="rId35"/><Relationship Type="http://schemas.openxmlformats.org/officeDocument/2006/relationships/hyperlink" Target="https://cdn.shopify.com/s/files/1/0792/5098/1063/files/50f96559dd878ae5bbee14ba7a34337ccd740d21a8ffe86a8a1be819656d26c0_06b27f7a-14c6-4267-b5df-12ac25afd52c.jpg?v=1787237794" TargetMode="External" Id="rId36"/><Relationship Type="http://schemas.openxmlformats.org/officeDocument/2006/relationships/hyperlink" Target="https://cdn.shopify.com/s/files/1/0792/5098/1063/files/7da6a24b7604ad0ef3673f41696bea7a0fccfe1eb412a1cda572ca856ef48593.jpg?v=1787237794" TargetMode="External" Id="rId37"/><Relationship Type="http://schemas.openxmlformats.org/officeDocument/2006/relationships/hyperlink" Target="https://cdn.shopify.com/s/files/1/0792/5098/1063/files/7da6a24b7604ad0ef3673f41696bea7a0fccfe1eb412a1cda572ca856ef48593.jpg?v=1787237794" TargetMode="External" Id="rId38"/><Relationship Type="http://schemas.openxmlformats.org/officeDocument/2006/relationships/hyperlink" Target="https://cdn.shopify.com/s/files/1/0792/5098/1063/files/226b0655da5d59ac974c47bf8332fcc934206146b46faa31fb8bab794613c1f0.jpg?v=1787237794" TargetMode="External" Id="rId39"/><Relationship Type="http://schemas.openxmlformats.org/officeDocument/2006/relationships/hyperlink" Target="https://cdn.shopify.com/s/files/1/0792/5098/1063/files/226b0655da5d59ac974c47bf8332fcc934206146b46faa31fb8bab794613c1f0.jpg?v=1787237794" TargetMode="External" Id="rId40"/><Relationship Type="http://schemas.openxmlformats.org/officeDocument/2006/relationships/hyperlink" Target="https://cdn.shopify.com/s/files/1/0792/5098/1063/files/0e22a9fec09643a714af054217066178d4f7bc4d6266b6d2ff5c33c09cc10e88_2cef02df-e481-4c1b-91ca-baace2312c0a.jpg?v=1787237794" TargetMode="External" Id="rId41"/><Relationship Type="http://schemas.openxmlformats.org/officeDocument/2006/relationships/hyperlink" Target="https://cdn.shopify.com/s/files/1/0792/5098/1063/files/0e22a9fec09643a714af054217066178d4f7bc4d6266b6d2ff5c33c09cc10e88_2cef02df-e481-4c1b-91ca-baace2312c0a.jpg?v=1787237794" TargetMode="External" Id="rId42"/><Relationship Type="http://schemas.openxmlformats.org/officeDocument/2006/relationships/hyperlink" Target="https://cdn.shopify.com/s/files/1/0792/5098/1063/files/d6b8438a259ef28ba839a68ba108f40464bc9629b0bc2168779fc7776c9cbffa_5b109a66-32e6-4a36-bd31-f408dd22e6aa.jpg?v=1787237794" TargetMode="External" Id="rId43"/><Relationship Type="http://schemas.openxmlformats.org/officeDocument/2006/relationships/hyperlink" Target="https://cdn.shopify.com/s/files/1/0792/5098/1063/files/d6b8438a259ef28ba839a68ba108f40464bc9629b0bc2168779fc7776c9cbffa_5b109a66-32e6-4a36-bd31-f408dd22e6aa.jpg?v=1787237794" TargetMode="External" Id="rId44"/><Relationship Type="http://schemas.openxmlformats.org/officeDocument/2006/relationships/hyperlink" Target="https://cdn.shopify.com/s/files/1/0792/5098/1063/files/8863051f9429c76751f57504cfec521d6b6841af138c38cf4dbf60905dcd8fd5.jpg?v=1787237801" TargetMode="External" Id="rId45"/><Relationship Type="http://schemas.openxmlformats.org/officeDocument/2006/relationships/hyperlink" Target="https://cdn.shopify.com/s/files/1/0792/5098/1063/files/8863051f9429c76751f57504cfec521d6b6841af138c38cf4dbf60905dcd8fd5.jpg?v=1787237801" TargetMode="External" Id="rId46"/><Relationship Type="http://schemas.openxmlformats.org/officeDocument/2006/relationships/hyperlink" Target="https://cdn.shopify.com/s/files/1/0792/5098/1063/files/b5194765e0cae48306ed2e7b908325a37d813710ea8355976fd4bdad98268bcf.jpg?v=1787237801" TargetMode="External" Id="rId47"/><Relationship Type="http://schemas.openxmlformats.org/officeDocument/2006/relationships/hyperlink" Target="https://cdn.shopify.com/s/files/1/0792/5098/1063/files/b5194765e0cae48306ed2e7b908325a37d813710ea8355976fd4bdad98268bcf.jpg?v=1787237801" TargetMode="External" Id="rId48"/><Relationship Type="http://schemas.openxmlformats.org/officeDocument/2006/relationships/hyperlink" Target="https://cdn.shopify.com/s/files/1/0792/5098/1063/files/50f96559dd878ae5bbee14ba7a34337ccd740d21a8ffe86a8a1be819656d26c0_32920277-9b92-44f8-8046-5ec5bbe0e622.jpg?v=1787237801" TargetMode="External" Id="rId49"/><Relationship Type="http://schemas.openxmlformats.org/officeDocument/2006/relationships/hyperlink" Target="https://cdn.shopify.com/s/files/1/0792/5098/1063/files/50f96559dd878ae5bbee14ba7a34337ccd740d21a8ffe86a8a1be819656d26c0_32920277-9b92-44f8-8046-5ec5bbe0e622.jpg?v=1787237801" TargetMode="External" Id="rId50"/><Relationship Type="http://schemas.openxmlformats.org/officeDocument/2006/relationships/hyperlink" Target="https://cdn.shopify.com/s/files/1/0792/5098/1063/files/a3e33ead7835eefa65523c45bf48420d56f8ee5c29d0aa8d4a6fb0717bc0d53e.jpg?v=1787237801" TargetMode="External" Id="rId51"/><Relationship Type="http://schemas.openxmlformats.org/officeDocument/2006/relationships/hyperlink" Target="https://cdn.shopify.com/s/files/1/0792/5098/1063/files/a3e33ead7835eefa65523c45bf48420d56f8ee5c29d0aa8d4a6fb0717bc0d53e.jpg?v=1787237801" TargetMode="External" Id="rId52"/><Relationship Type="http://schemas.openxmlformats.org/officeDocument/2006/relationships/hyperlink" Target="https://cdn.shopify.com/s/files/1/0792/5098/1063/files/c90ac7079a8d005c71bbed0da31d73d3243eb764fe402b271b85e05efec937b6.jpg?v=1787237801" TargetMode="External" Id="rId53"/><Relationship Type="http://schemas.openxmlformats.org/officeDocument/2006/relationships/hyperlink" Target="https://cdn.shopify.com/s/files/1/0792/5098/1063/files/c90ac7079a8d005c71bbed0da31d73d3243eb764fe402b271b85e05efec937b6.jpg?v=1787237801" TargetMode="External" Id="rId54"/><Relationship Type="http://schemas.openxmlformats.org/officeDocument/2006/relationships/hyperlink" Target="https://cdn.shopify.com/s/files/1/0792/5098/1063/files/0e22a9fec09643a714af054217066178d4f7bc4d6266b6d2ff5c33c09cc10e88_37f50064-c16f-4107-bf6d-b3b50080fc75.jpg?v=1787237802" TargetMode="External" Id="rId55"/><Relationship Type="http://schemas.openxmlformats.org/officeDocument/2006/relationships/hyperlink" Target="https://cdn.shopify.com/s/files/1/0792/5098/1063/files/0e22a9fec09643a714af054217066178d4f7bc4d6266b6d2ff5c33c09cc10e88_37f50064-c16f-4107-bf6d-b3b50080fc75.jpg?v=1787237802" TargetMode="External" Id="rId56"/><Relationship Type="http://schemas.openxmlformats.org/officeDocument/2006/relationships/hyperlink" Target="https://cdn.shopify.com/s/files/1/0792/5098/1063/files/d6b8438a259ef28ba839a68ba108f40464bc9629b0bc2168779fc7776c9cbffa_fb8b4e17-519d-4d0c-b0e5-03dce3811442.jpg?v=1787237801" TargetMode="External" Id="rId57"/><Relationship Type="http://schemas.openxmlformats.org/officeDocument/2006/relationships/hyperlink" Target="https://cdn.shopify.com/s/files/1/0792/5098/1063/files/d6b8438a259ef28ba839a68ba108f40464bc9629b0bc2168779fc7776c9cbffa_fb8b4e17-519d-4d0c-b0e5-03dce3811442.jpg?v=1787237801" TargetMode="External" Id="rId58"/><Relationship Type="http://schemas.openxmlformats.org/officeDocument/2006/relationships/hyperlink" Target="https://cdn.shopify.com/s/files/1/0792/5098/1063/files/7d1ce2040466699184d4d34be5a513af5f29c64a38cbd8b469c68ae7253f4630.jpg?v=1787237807" TargetMode="External" Id="rId59"/><Relationship Type="http://schemas.openxmlformats.org/officeDocument/2006/relationships/hyperlink" Target="https://cdn.shopify.com/s/files/1/0792/5098/1063/files/7d1ce2040466699184d4d34be5a513af5f29c64a38cbd8b469c68ae7253f4630.jpg?v=1787237807" TargetMode="External" Id="rId60"/><Relationship Type="http://schemas.openxmlformats.org/officeDocument/2006/relationships/hyperlink" Target="https://cdn.shopify.com/s/files/1/0792/5098/1063/files/85e882bcf89deebcdc3c8d5fea6db005c41297d04fabf6b4dedfb33c5d8fa653.jpg?v=1787237807" TargetMode="External" Id="rId61"/><Relationship Type="http://schemas.openxmlformats.org/officeDocument/2006/relationships/hyperlink" Target="https://cdn.shopify.com/s/files/1/0792/5098/1063/files/85e882bcf89deebcdc3c8d5fea6db005c41297d04fabf6b4dedfb33c5d8fa653.jpg?v=1787237807" TargetMode="External" Id="rId62"/><Relationship Type="http://schemas.openxmlformats.org/officeDocument/2006/relationships/hyperlink" Target="https://cdn.shopify.com/s/files/1/0792/5098/1063/files/50f96559dd878ae5bbee14ba7a34337ccd740d21a8ffe86a8a1be819656d26c0_8c8fa0f7-48a1-41f8-86e6-9b423fbaf03e.jpg?v=1787237806" TargetMode="External" Id="rId63"/><Relationship Type="http://schemas.openxmlformats.org/officeDocument/2006/relationships/hyperlink" Target="https://cdn.shopify.com/s/files/1/0792/5098/1063/files/50f96559dd878ae5bbee14ba7a34337ccd740d21a8ffe86a8a1be819656d26c0_8c8fa0f7-48a1-41f8-86e6-9b423fbaf03e.jpg?v=1787237806" TargetMode="External" Id="rId64"/><Relationship Type="http://schemas.openxmlformats.org/officeDocument/2006/relationships/hyperlink" Target="https://cdn.shopify.com/s/files/1/0792/5098/1063/files/1ad4193b437e09b52f40b15573e722e1cfbac19500da9f78c83773943449fcde.jpg?v=1787237807" TargetMode="External" Id="rId65"/><Relationship Type="http://schemas.openxmlformats.org/officeDocument/2006/relationships/hyperlink" Target="https://cdn.shopify.com/s/files/1/0792/5098/1063/files/1ad4193b437e09b52f40b15573e722e1cfbac19500da9f78c83773943449fcde.jpg?v=1787237807" TargetMode="External" Id="rId66"/><Relationship Type="http://schemas.openxmlformats.org/officeDocument/2006/relationships/hyperlink" Target="https://cdn.shopify.com/s/files/1/0792/5098/1063/files/26024e9472d2220f9f56e7b3a0762d7d9615e5a2536a0848fc513ad70f872f30.jpg?v=1787237807" TargetMode="External" Id="rId67"/><Relationship Type="http://schemas.openxmlformats.org/officeDocument/2006/relationships/hyperlink" Target="https://cdn.shopify.com/s/files/1/0792/5098/1063/files/26024e9472d2220f9f56e7b3a0762d7d9615e5a2536a0848fc513ad70f872f30.jpg?v=1787237807" TargetMode="External" Id="rId68"/><Relationship Type="http://schemas.openxmlformats.org/officeDocument/2006/relationships/hyperlink" Target="https://cdn.shopify.com/s/files/1/0792/5098/1063/files/0e22a9fec09643a714af054217066178d4f7bc4d6266b6d2ff5c33c09cc10e88_7566f5e2-6bfd-446e-a1f2-f06764ec2dc3.jpg?v=1787237807" TargetMode="External" Id="rId69"/><Relationship Type="http://schemas.openxmlformats.org/officeDocument/2006/relationships/hyperlink" Target="https://cdn.shopify.com/s/files/1/0792/5098/1063/files/0e22a9fec09643a714af054217066178d4f7bc4d6266b6d2ff5c33c09cc10e88_7566f5e2-6bfd-446e-a1f2-f06764ec2dc3.jpg?v=1787237807" TargetMode="External" Id="rId70"/><Relationship Type="http://schemas.openxmlformats.org/officeDocument/2006/relationships/hyperlink" Target="https://cdn.shopify.com/s/files/1/0792/5098/1063/files/d6b8438a259ef28ba839a68ba108f40464bc9629b0bc2168779fc7776c9cbffa_d87fd534-9194-441e-98a8-aa1a5591cb0d.jpg?v=1787237807" TargetMode="External" Id="rId71"/><Relationship Type="http://schemas.openxmlformats.org/officeDocument/2006/relationships/hyperlink" Target="https://cdn.shopify.com/s/files/1/0792/5098/1063/files/d6b8438a259ef28ba839a68ba108f40464bc9629b0bc2168779fc7776c9cbffa_d87fd534-9194-441e-98a8-aa1a5591cb0d.jpg?v=1787237807" TargetMode="External" Id="rId72"/><Relationship Type="http://schemas.openxmlformats.org/officeDocument/2006/relationships/hyperlink" Target="https://cdn.shopify.com/s/files/1/0792/5098/1063/files/08e481dcf1c9bf3e7363eb63d66874dc22230e7e462b0f7ac8407a6a55b4e8e2.jpg?v=1787237716" TargetMode="External" Id="rId73"/><Relationship Type="http://schemas.openxmlformats.org/officeDocument/2006/relationships/hyperlink" Target="https://cdn.shopify.com/s/files/1/0792/5098/1063/files/08e481dcf1c9bf3e7363eb63d66874dc22230e7e462b0f7ac8407a6a55b4e8e2.jpg?v=1787237716" TargetMode="External" Id="rId74"/><Relationship Type="http://schemas.openxmlformats.org/officeDocument/2006/relationships/hyperlink" Target="https://cdn.shopify.com/s/files/1/0792/5098/1063/files/6e5cfd81b4f318ba88e105e450bd24fcccf9830bd9c69ac7d722e92e36bbe4e1.jpg?v=1787237716" TargetMode="External" Id="rId75"/><Relationship Type="http://schemas.openxmlformats.org/officeDocument/2006/relationships/hyperlink" Target="https://cdn.shopify.com/s/files/1/0792/5098/1063/files/6e5cfd81b4f318ba88e105e450bd24fcccf9830bd9c69ac7d722e92e36bbe4e1.jpg?v=1787237716" TargetMode="External" Id="rId76"/><Relationship Type="http://schemas.openxmlformats.org/officeDocument/2006/relationships/hyperlink" Target="https://cdn.shopify.com/s/files/1/0792/5098/1063/files/fd6ace7cb84d9e404b44ba028d1e0be3f00d0c9dc52fac3c12f3dc02d48000e7.jpg?v=1787237716" TargetMode="External" Id="rId77"/><Relationship Type="http://schemas.openxmlformats.org/officeDocument/2006/relationships/hyperlink" Target="https://cdn.shopify.com/s/files/1/0792/5098/1063/files/fd6ace7cb84d9e404b44ba028d1e0be3f00d0c9dc52fac3c12f3dc02d48000e7.jpg?v=1787237716" TargetMode="External" Id="rId78"/><Relationship Type="http://schemas.openxmlformats.org/officeDocument/2006/relationships/hyperlink" Target="https://cdn.shopify.com/s/files/1/0792/5098/1063/files/1391672888660b8306032c6cd51a0340e0460a1f8b324b0577c2d0a44ea28c9d.jpg?v=1787237716" TargetMode="External" Id="rId79"/><Relationship Type="http://schemas.openxmlformats.org/officeDocument/2006/relationships/hyperlink" Target="https://cdn.shopify.com/s/files/1/0792/5098/1063/files/1391672888660b8306032c6cd51a0340e0460a1f8b324b0577c2d0a44ea28c9d.jpg?v=1787237716" TargetMode="External" Id="rId80"/><Relationship Type="http://schemas.openxmlformats.org/officeDocument/2006/relationships/hyperlink" Target="https://cdn.shopify.com/s/files/1/0792/5098/1063/files/e27fc1e04888a4c2e14d4ffbdcdb670ffbe1f1f1b9be43f941b96dffb8e5689d.jpg?v=1787237716" TargetMode="External" Id="rId81"/><Relationship Type="http://schemas.openxmlformats.org/officeDocument/2006/relationships/hyperlink" Target="https://cdn.shopify.com/s/files/1/0792/5098/1063/files/e27fc1e04888a4c2e14d4ffbdcdb670ffbe1f1f1b9be43f941b96dffb8e5689d.jpg?v=1787237716" TargetMode="External" Id="rId82"/><Relationship Type="http://schemas.openxmlformats.org/officeDocument/2006/relationships/hyperlink" Target="https://cdn.shopify.com/s/files/1/0792/5098/1063/files/59b4136c5b8aaddd702f3dda4c3ac549a9ea83142b9e5a1ba73fdbc00be22132.jpg?v=1787237716" TargetMode="External" Id="rId83"/><Relationship Type="http://schemas.openxmlformats.org/officeDocument/2006/relationships/hyperlink" Target="https://cdn.shopify.com/s/files/1/0792/5098/1063/files/59b4136c5b8aaddd702f3dda4c3ac549a9ea83142b9e5a1ba73fdbc00be22132.jpg?v=1787237716" TargetMode="External" Id="rId84"/><Relationship Type="http://schemas.openxmlformats.org/officeDocument/2006/relationships/hyperlink" Target="https://cdn.shopify.com/s/files/1/0792/5098/1063/files/700766e63cdebb7f3088f7ecaf56b3bae4ce4d1ffe15a4a258d5814894208554.jpg?v=1787237716" TargetMode="External" Id="rId85"/><Relationship Type="http://schemas.openxmlformats.org/officeDocument/2006/relationships/hyperlink" Target="https://cdn.shopify.com/s/files/1/0792/5098/1063/files/700766e63cdebb7f3088f7ecaf56b3bae4ce4d1ffe15a4a258d5814894208554.jpg?v=1787237716" TargetMode="External" Id="rId86"/><Relationship Type="http://schemas.openxmlformats.org/officeDocument/2006/relationships/hyperlink" Target="https://cdn.shopify.com/s/files/1/0792/5098/1063/files/f21374c2239f926c348f6641a7e0f8929698fa199fd8f23e654037e1384e4214.jpg?v=1787237716" TargetMode="External" Id="rId87"/><Relationship Type="http://schemas.openxmlformats.org/officeDocument/2006/relationships/hyperlink" Target="https://cdn.shopify.com/s/files/1/0792/5098/1063/files/f21374c2239f926c348f6641a7e0f8929698fa199fd8f23e654037e1384e4214.jpg?v=1787237716" TargetMode="External" Id="rId88"/><Relationship Type="http://schemas.openxmlformats.org/officeDocument/2006/relationships/hyperlink" Target="https://cdn.shopify.com/s/files/1/0792/5098/1063/files/98667aa304d1cce79ae2ca099f84c182034fb8adc27fbd823eb0c5c00bd2999d.jpg?v=1787239344" TargetMode="External" Id="rId89"/><Relationship Type="http://schemas.openxmlformats.org/officeDocument/2006/relationships/hyperlink" Target="https://cdn.shopify.com/s/files/1/0792/5098/1063/files/98667aa304d1cce79ae2ca099f84c182034fb8adc27fbd823eb0c5c00bd2999d.jpg?v=1787239344" TargetMode="External" Id="rId90"/><Relationship Type="http://schemas.openxmlformats.org/officeDocument/2006/relationships/hyperlink" Target="https://cdn.shopify.com/s/files/1/0792/5098/1063/files/ef5fb0f3b4abe84445884164b3fe8a9b60849f27d9f160dbf6202e551cd44354.jpg?v=1787239344" TargetMode="External" Id="rId91"/><Relationship Type="http://schemas.openxmlformats.org/officeDocument/2006/relationships/hyperlink" Target="https://cdn.shopify.com/s/files/1/0792/5098/1063/files/ef5fb0f3b4abe84445884164b3fe8a9b60849f27d9f160dbf6202e551cd44354.jpg?v=1787239344" TargetMode="External" Id="rId92"/><Relationship Type="http://schemas.openxmlformats.org/officeDocument/2006/relationships/hyperlink" Target="https://cdn.shopify.com/s/files/1/0792/5098/1063/files/4b19b345400162da6ca516cd83b37574ed8b518e4fb7f48520940b3fc7b5f9df.jpg?v=1787239344" TargetMode="External" Id="rId93"/><Relationship Type="http://schemas.openxmlformats.org/officeDocument/2006/relationships/hyperlink" Target="https://cdn.shopify.com/s/files/1/0792/5098/1063/files/4b19b345400162da6ca516cd83b37574ed8b518e4fb7f48520940b3fc7b5f9df.jpg?v=1787239344" TargetMode="External" Id="rId94"/><Relationship Type="http://schemas.openxmlformats.org/officeDocument/2006/relationships/hyperlink" Target="https://cdn.shopify.com/s/files/1/0792/5098/1063/files/c7fc88ca9ec64e57ac466c010b032d865a04a5f7efbdb4acdfcaf38397afc4e5.jpg?v=1787239344" TargetMode="External" Id="rId95"/><Relationship Type="http://schemas.openxmlformats.org/officeDocument/2006/relationships/hyperlink" Target="https://cdn.shopify.com/s/files/1/0792/5098/1063/files/c7fc88ca9ec64e57ac466c010b032d865a04a5f7efbdb4acdfcaf38397afc4e5.jpg?v=1787239344" TargetMode="External" Id="rId96"/><Relationship Type="http://schemas.openxmlformats.org/officeDocument/2006/relationships/hyperlink" Target="https://cdn.shopify.com/s/files/1/0792/5098/1063/files/f9918abc28c263da8a27b5d2771f223f596735f0b41e35025e4ec8c4b1213901.jpg?v=1787239344" TargetMode="External" Id="rId97"/><Relationship Type="http://schemas.openxmlformats.org/officeDocument/2006/relationships/hyperlink" Target="https://cdn.shopify.com/s/files/1/0792/5098/1063/files/f9918abc28c263da8a27b5d2771f223f596735f0b41e35025e4ec8c4b1213901.jpg?v=1787239344" TargetMode="External" Id="rId98"/><Relationship Type="http://schemas.openxmlformats.org/officeDocument/2006/relationships/hyperlink" Target="https://cdn.shopify.com/s/files/1/0792/5098/1063/files/57a7ce08a0f83d12377baee8b7269bba25dd26fdd9c91110fbdc7c49acd6cd46.jpg?v=1787239348" TargetMode="External" Id="rId99"/><Relationship Type="http://schemas.openxmlformats.org/officeDocument/2006/relationships/hyperlink" Target="https://cdn.shopify.com/s/files/1/0792/5098/1063/files/57a7ce08a0f83d12377baee8b7269bba25dd26fdd9c91110fbdc7c49acd6cd46.jpg?v=1787239348" TargetMode="External" Id="rId100"/><Relationship Type="http://schemas.openxmlformats.org/officeDocument/2006/relationships/hyperlink" Target="https://cdn.shopify.com/s/files/1/0792/5098/1063/files/5c29dd6655367de605661f28975aea64ef7bf3fe97fa2040469c83a862519be6.jpg?v=1787239348" TargetMode="External" Id="rId101"/><Relationship Type="http://schemas.openxmlformats.org/officeDocument/2006/relationships/hyperlink" Target="https://cdn.shopify.com/s/files/1/0792/5098/1063/files/5c29dd6655367de605661f28975aea64ef7bf3fe97fa2040469c83a862519be6.jpg?v=1787239348" TargetMode="External" Id="rId102"/><Relationship Type="http://schemas.openxmlformats.org/officeDocument/2006/relationships/hyperlink" Target="https://cdn.shopify.com/s/files/1/0792/5098/1063/files/0497bbb180b270bb821aa012be14278640ab96779bd2279f6fde75e9a69bc981.jpg?v=1787239348" TargetMode="External" Id="rId103"/><Relationship Type="http://schemas.openxmlformats.org/officeDocument/2006/relationships/hyperlink" Target="https://cdn.shopify.com/s/files/1/0792/5098/1063/files/0497bbb180b270bb821aa012be14278640ab96779bd2279f6fde75e9a69bc981.jpg?v=1787239348" TargetMode="External" Id="rId104"/><Relationship Type="http://schemas.openxmlformats.org/officeDocument/2006/relationships/hyperlink" Target="https://cdn.shopify.com/s/files/1/0792/5098/1063/files/c905e081df2beed08b734c876c22d231c44cf1610294b7c0b8f756a1008190b1.jpg?v=1787239348" TargetMode="External" Id="rId105"/><Relationship Type="http://schemas.openxmlformats.org/officeDocument/2006/relationships/hyperlink" Target="https://cdn.shopify.com/s/files/1/0792/5098/1063/files/c905e081df2beed08b734c876c22d231c44cf1610294b7c0b8f756a1008190b1.jpg?v=1787239348" TargetMode="External" Id="rId106"/><Relationship Type="http://schemas.openxmlformats.org/officeDocument/2006/relationships/hyperlink" Target="https://cdn.shopify.com/s/files/1/0792/5098/1063/files/7f25263bf8ff6f505b2102e6286f57302397b98b0f9fdb7978daa38539f3f1ac.jpg?v=1787239348" TargetMode="External" Id="rId107"/><Relationship Type="http://schemas.openxmlformats.org/officeDocument/2006/relationships/hyperlink" Target="https://cdn.shopify.com/s/files/1/0792/5098/1063/files/7f25263bf8ff6f505b2102e6286f57302397b98b0f9fdb7978daa38539f3f1ac.jpg?v=1787239348" TargetMode="External" Id="rId108"/><Relationship Type="http://schemas.openxmlformats.org/officeDocument/2006/relationships/hyperlink" Target="https://cdn.shopify.com/s/files/1/0792/5098/1063/files/bbbc5063a842a4025b83691360e26a0f48bd6b628bfe51d0f66000c5bde9160f.jpg?v=1787239363" TargetMode="External" Id="rId109"/><Relationship Type="http://schemas.openxmlformats.org/officeDocument/2006/relationships/hyperlink" Target="https://cdn.shopify.com/s/files/1/0792/5098/1063/files/bbbc5063a842a4025b83691360e26a0f48bd6b628bfe51d0f66000c5bde9160f.jpg?v=1787239363" TargetMode="External" Id="rId110"/><Relationship Type="http://schemas.openxmlformats.org/officeDocument/2006/relationships/hyperlink" Target="https://cdn.shopify.com/s/files/1/0792/5098/1063/files/1d962e1fd3d6fb1ccbe82d1b9d96746919c0028a56d90f2f5e5b1206422676d9.jpg?v=1787239363" TargetMode="External" Id="rId111"/><Relationship Type="http://schemas.openxmlformats.org/officeDocument/2006/relationships/hyperlink" Target="https://cdn.shopify.com/s/files/1/0792/5098/1063/files/1d962e1fd3d6fb1ccbe82d1b9d96746919c0028a56d90f2f5e5b1206422676d9.jpg?v=1787239363" TargetMode="External" Id="rId112"/><Relationship Type="http://schemas.openxmlformats.org/officeDocument/2006/relationships/hyperlink" Target="https://cdn.shopify.com/s/files/1/0792/5098/1063/files/fc9d9bb7a4157494e84e2760896b163917544674147d59e79260c06c7047b8fa.jpg?v=1787239363" TargetMode="External" Id="rId113"/><Relationship Type="http://schemas.openxmlformats.org/officeDocument/2006/relationships/hyperlink" Target="https://cdn.shopify.com/s/files/1/0792/5098/1063/files/fc9d9bb7a4157494e84e2760896b163917544674147d59e79260c06c7047b8fa.jpg?v=1787239363" TargetMode="External" Id="rId114"/><Relationship Type="http://schemas.openxmlformats.org/officeDocument/2006/relationships/hyperlink" Target="https://cdn.shopify.com/s/files/1/0792/5098/1063/files/ed1f801ef63b58d7c0fa153b8385667b922eaf1d12c757a8abe5554bf16b8de3.jpg?v=1787239363" TargetMode="External" Id="rId115"/><Relationship Type="http://schemas.openxmlformats.org/officeDocument/2006/relationships/hyperlink" Target="https://cdn.shopify.com/s/files/1/0792/5098/1063/files/ed1f801ef63b58d7c0fa153b8385667b922eaf1d12c757a8abe5554bf16b8de3.jpg?v=1787239363" TargetMode="External" Id="rId116"/><Relationship Type="http://schemas.openxmlformats.org/officeDocument/2006/relationships/hyperlink" Target="https://cdn.shopify.com/s/files/1/0792/5098/1063/files/c75960e3ddc81d77c391212f67c79d9add41e8f685321e4f6ca1230660fcd8de.jpg?v=1787239363" TargetMode="External" Id="rId117"/><Relationship Type="http://schemas.openxmlformats.org/officeDocument/2006/relationships/hyperlink" Target="https://cdn.shopify.com/s/files/1/0792/5098/1063/files/c75960e3ddc81d77c391212f67c79d9add41e8f685321e4f6ca1230660fcd8de.jpg?v=1787239363" TargetMode="External" Id="rId118"/><Relationship Type="http://schemas.openxmlformats.org/officeDocument/2006/relationships/hyperlink" Target="https://cdn.shopify.com/s/files/1/0792/5098/1063/files/c995fe84801c09d910dc409c0566ec9afe487b8804ac002dd8b540abd448435d.jpg?v=1787239355" TargetMode="External" Id="rId119"/><Relationship Type="http://schemas.openxmlformats.org/officeDocument/2006/relationships/hyperlink" Target="https://cdn.shopify.com/s/files/1/0792/5098/1063/files/c995fe84801c09d910dc409c0566ec9afe487b8804ac002dd8b540abd448435d.jpg?v=1787239355" TargetMode="External" Id="rId120"/><Relationship Type="http://schemas.openxmlformats.org/officeDocument/2006/relationships/hyperlink" Target="https://cdn.shopify.com/s/files/1/0792/5098/1063/files/ada23d8192c9d327e2ca7af4d3ab7ad5b2f163980c27341d8ad218b41e8125d5.jpg?v=1787239355" TargetMode="External" Id="rId121"/><Relationship Type="http://schemas.openxmlformats.org/officeDocument/2006/relationships/hyperlink" Target="https://cdn.shopify.com/s/files/1/0792/5098/1063/files/ada23d8192c9d327e2ca7af4d3ab7ad5b2f163980c27341d8ad218b41e8125d5.jpg?v=1787239355" TargetMode="External" Id="rId122"/><Relationship Type="http://schemas.openxmlformats.org/officeDocument/2006/relationships/hyperlink" Target="https://cdn.shopify.com/s/files/1/0792/5098/1063/files/e80ea2d2d8dcc4ea9023f55162873b983177fa3a8f595e088474768ad799ed5c.jpg?v=1787239355" TargetMode="External" Id="rId123"/><Relationship Type="http://schemas.openxmlformats.org/officeDocument/2006/relationships/hyperlink" Target="https://cdn.shopify.com/s/files/1/0792/5098/1063/files/e80ea2d2d8dcc4ea9023f55162873b983177fa3a8f595e088474768ad799ed5c.jpg?v=1787239355" TargetMode="External" Id="rId124"/><Relationship Type="http://schemas.openxmlformats.org/officeDocument/2006/relationships/hyperlink" Target="https://cdn.shopify.com/s/files/1/0792/5098/1063/files/f3fc13bb561a00481ad014ca51c18eab68958750857b4d44f0ceee5c393efef5.jpg?v=1787239355" TargetMode="External" Id="rId125"/><Relationship Type="http://schemas.openxmlformats.org/officeDocument/2006/relationships/hyperlink" Target="https://cdn.shopify.com/s/files/1/0792/5098/1063/files/f3fc13bb561a00481ad014ca51c18eab68958750857b4d44f0ceee5c393efef5.jpg?v=1787239355" TargetMode="External" Id="rId126"/><Relationship Type="http://schemas.openxmlformats.org/officeDocument/2006/relationships/hyperlink" Target="https://cdn.shopify.com/s/files/1/0792/5098/1063/files/cc08a444fe29784e5b49094b0a886c70090b4e7ca551d385fed2daee54bfd77a.jpg?v=1787239355" TargetMode="External" Id="rId127"/><Relationship Type="http://schemas.openxmlformats.org/officeDocument/2006/relationships/hyperlink" Target="https://cdn.shopify.com/s/files/1/0792/5098/1063/files/cc08a444fe29784e5b49094b0a886c70090b4e7ca551d385fed2daee54bfd77a.jpg?v=1787239355" TargetMode="External" Id="rId128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42" customWidth="1" min="3" max="3"/>
  </cols>
  <sheetData>
    <row r="1" ht="32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 ht="42" customHeight="1">
      <c r="A2" s="2" t="inlineStr">
        <is>
          <t>rubric_version</t>
        </is>
      </c>
      <c r="B2" s="2" t="inlineStr">
        <is>
          <t>prompt_qa.md@sha256:C2C1DEFDB72362291F7DA656FA7FEA9283A02782FC8CA66D2E4637F2511500DD</t>
        </is>
      </c>
      <c r="C2" s="2" t="inlineStr">
        <is>
          <t>Rubric QA áp dụng.</t>
        </is>
      </c>
    </row>
    <row r="3" ht="42" customHeight="1">
      <c r="A3" s="3" t="inlineStr">
        <is>
          <t>source_workbook</t>
        </is>
      </c>
      <c r="B3" s="3" t="inlineStr">
        <is>
          <t>D:\Shopify_Workspace\jeminise_seo\resutls\jeminise.com\20260906_234129\batches\SEO_Product_Optimization_through_batch_034.xlsx</t>
        </is>
      </c>
      <c r="C3" s="3" t="inlineStr">
        <is>
          <t>Workbook giai đoạn 1 được đóng băng; không chỉnh sửa.</t>
        </is>
      </c>
    </row>
    <row r="4" ht="42" customHeight="1">
      <c r="A4" s="2" t="inlineStr">
        <is>
          <t>source_sha256_at_handoff</t>
        </is>
      </c>
      <c r="B4" s="2" t="inlineStr">
        <is>
          <t>609EF38D46896F234EA7AAEEC74F393267003D20D6DE8C5BA9BD21BFB19675EE</t>
        </is>
      </c>
      <c r="C4" s="2" t="inlineStr">
        <is>
          <t>Hash tính lại khi hoàn tất báo cáo.</t>
        </is>
      </c>
    </row>
    <row r="5" ht="42" customHeight="1">
      <c r="A5" s="3" t="inlineStr">
        <is>
          <t>qa_run_id</t>
        </is>
      </c>
      <c r="B5" s="3" t="inlineStr">
        <is>
          <t>20260907_091545</t>
        </is>
      </c>
      <c r="C5" s="3" t="inlineStr">
        <is>
          <t>Run QA độc lập.</t>
        </is>
      </c>
    </row>
    <row r="6" ht="42" customHeight="1">
      <c r="A6" s="2" t="inlineStr">
        <is>
          <t>batch_id</t>
        </is>
      </c>
      <c r="B6" s="2" t="inlineStr">
        <is>
          <t>qa_batch_002</t>
        </is>
      </c>
      <c r="C6" s="2" t="inlineStr">
        <is>
          <t>Inventory positions 11–20.</t>
        </is>
      </c>
    </row>
    <row r="7" ht="42" customHeight="1">
      <c r="A7" s="3" t="inlineStr">
        <is>
          <t>products_checked</t>
        </is>
      </c>
      <c r="B7" s="3" t="n">
        <v>10</v>
      </c>
      <c r="C7" s="3" t="inlineStr">
        <is>
          <t>Đúng 10 product key.</t>
        </is>
      </c>
    </row>
    <row r="8" ht="42" customHeight="1">
      <c r="A8" s="2" t="inlineStr">
        <is>
          <t>images_checked</t>
        </is>
      </c>
      <c r="B8" s="2" t="n">
        <v>64</v>
      </c>
      <c r="C8" s="2" t="inlineStr">
        <is>
          <t>64/64 ảnh mở trực tiếp ở ảnh gốc.</t>
        </is>
      </c>
    </row>
    <row r="9" ht="42" customHeight="1">
      <c r="A9" s="3" t="inlineStr">
        <is>
          <t>batch_final_score</t>
        </is>
      </c>
      <c r="B9" s="3">
        <f>AVERAGE('QA_Products'!$K$2:$K$11)</f>
        <v/>
      </c>
      <c r="C9" s="3" t="inlineStr">
        <is>
          <t>Trung bình đều 10 final_score; không bù lỗi chặn.</t>
        </is>
      </c>
    </row>
    <row r="10" ht="42" customHeight="1">
      <c r="A10" s="2" t="inlineStr">
        <is>
          <t>batch_result</t>
        </is>
      </c>
      <c r="B10" s="2">
        <f>IF(COUNTIF('QA_Products'!$L$2:$L$11,"QA_PASS")=ROWS('QA_Products'!$L$2:$L$11),"PASSED","NOT_PASSED")</f>
        <v/>
      </c>
      <c r="C10" s="2" t="inlineStr">
        <is>
          <t>Lô chỉ đạt khi mọi sản phẩm QA_PASS.</t>
        </is>
      </c>
    </row>
    <row r="11" ht="42" customHeight="1">
      <c r="A11" s="3" t="inlineStr">
        <is>
          <t>status_counts</t>
        </is>
      </c>
      <c r="B11" s="3">
        <f>"PASS="&amp;COUNTIF('QA_Products'!$L$2:$L$11,"QA_PASS")&amp;"; REVISE="&amp;COUNTIF('QA_Products'!$L$2:$L$11,"QA_REVISE")&amp;"; FAIL="&amp;COUNTIF('QA_Products'!$L$2:$L$11,"QA_FAIL")&amp;"; INCOMPLETE="&amp;COUNTIF('QA_Products'!$L$2:$L$11,"QA_INCOMPLETE")</f>
        <v/>
      </c>
      <c r="C11" s="3" t="inlineStr">
        <is>
          <t>Số sản phẩm theo kết luận.</t>
        </is>
      </c>
    </row>
    <row r="12" ht="42" customHeight="1">
      <c r="A12" s="2" t="inlineStr">
        <is>
          <t>issue_counts</t>
        </is>
      </c>
      <c r="B12" s="2" t="inlineStr">
        <is>
          <t>{"MINOR": 20, "MAJOR": 51, "CRITICAL": 7, "LIMITATION": 1}</t>
        </is>
      </c>
      <c r="C12" s="2" t="inlineStr">
        <is>
          <t>Số phát hiện theo severity.</t>
        </is>
      </c>
    </row>
    <row r="13" ht="42" customHeight="1">
      <c r="A13" s="3" t="inlineStr">
        <is>
          <t>admin_limitation</t>
        </is>
      </c>
      <c r="B13" s="3" t="inlineStr">
        <is>
          <t>No Shopify admin export</t>
        </is>
      </c>
      <c r="C13" s="3" t="inlineStr">
        <is>
          <t>Không suy ra admin SEO fields/alt từ storefront.</t>
        </is>
      </c>
    </row>
    <row r="14" ht="42" customHeight="1">
      <c r="A14" s="2" t="inlineStr">
        <is>
          <t>xlsx_status</t>
        </is>
      </c>
      <c r="B14" s="2" t="inlineStr">
        <is>
          <t>COMPLETE</t>
        </is>
      </c>
      <c r="C14" s="2" t="inlineStr">
        <is>
          <t>Workbook QA được tạo bằng openpyxl theo yêu cầu người dùng, mở lại kiểm tra cấu trúc/công thức và render kiểm tra.</t>
        </is>
      </c>
    </row>
  </sheetData>
  <autoFilter ref="A1:C14"/>
  <printOptions horizontalCentered="0"/>
  <pageMargins left="0.25" right="0.25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W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38" customWidth="1" min="3" max="3"/>
    <col width="24" customWidth="1" min="4" max="4"/>
    <col width="15" customWidth="1" min="5" max="5"/>
    <col width="11" customWidth="1" min="6" max="6"/>
    <col width="24" customWidth="1" min="7" max="7"/>
    <col width="24" customWidth="1" min="8" max="8"/>
    <col width="19" customWidth="1" min="9" max="9"/>
    <col width="19" customWidth="1" min="10" max="10"/>
    <col width="24" customWidth="1" min="11" max="11"/>
    <col width="20" customWidth="1" min="12" max="12"/>
    <col width="38" customWidth="1" min="13" max="13"/>
    <col width="17" customWidth="1" min="14" max="14"/>
    <col width="16" customWidth="1" min="15" max="15"/>
    <col width="24" customWidth="1" min="16" max="16"/>
    <col width="16" customWidth="1" min="17" max="17"/>
    <col width="24" customWidth="1" min="18" max="18"/>
    <col width="24" customWidth="1" min="19" max="19"/>
    <col width="24" customWidth="1" min="20" max="20"/>
    <col width="24" customWidth="1" min="21" max="21"/>
    <col width="42" customWidth="1" min="22" max="22"/>
    <col width="42" customWidth="1" min="23" max="23"/>
  </cols>
  <sheetData>
    <row r="1" ht="32" customHeight="1">
      <c r="A1" s="1" t="inlineStr">
        <is>
          <t>inventory_position</t>
        </is>
      </c>
      <c r="B1" s="1" t="inlineStr">
        <is>
          <t>product_key</t>
        </is>
      </c>
      <c r="C1" s="1" t="inlineStr">
        <is>
          <t>url</t>
        </is>
      </c>
      <c r="D1" s="1" t="inlineStr">
        <is>
          <t>handle</t>
        </is>
      </c>
      <c r="E1" s="1" t="inlineStr">
        <is>
          <t>product_id</t>
        </is>
      </c>
      <c r="F1" s="1" t="inlineStr">
        <is>
          <t>revision</t>
        </is>
      </c>
      <c r="G1" s="1" t="inlineStr">
        <is>
          <t>verified_points</t>
        </is>
      </c>
      <c r="H1" s="1" t="inlineStr">
        <is>
          <t>assessed_weight</t>
        </is>
      </c>
      <c r="I1" s="1" t="inlineStr">
        <is>
          <t>score_lower_bound</t>
        </is>
      </c>
      <c r="J1" s="1" t="inlineStr">
        <is>
          <t>score_upper_bound</t>
        </is>
      </c>
      <c r="K1" s="1" t="inlineStr">
        <is>
          <t>final_score</t>
        </is>
      </c>
      <c r="L1" s="1" t="inlineStr">
        <is>
          <t>qa_status</t>
        </is>
      </c>
      <c r="M1" s="1" t="inlineStr">
        <is>
          <t>keyword_evidence_level</t>
        </is>
      </c>
      <c r="N1" s="1" t="inlineStr">
        <is>
          <t>images_expected</t>
        </is>
      </c>
      <c r="O1" s="1" t="inlineStr">
        <is>
          <t>images_checked</t>
        </is>
      </c>
      <c r="P1" s="1" t="inlineStr">
        <is>
          <t>image_inventory_complete</t>
        </is>
      </c>
      <c r="Q1" s="1" t="inlineStr">
        <is>
          <t>image_coverage</t>
        </is>
      </c>
      <c r="R1" s="1" t="inlineStr">
        <is>
          <t>critical_count</t>
        </is>
      </c>
      <c r="S1" s="1" t="inlineStr">
        <is>
          <t>major_count</t>
        </is>
      </c>
      <c r="T1" s="1" t="inlineStr">
        <is>
          <t>minor_count</t>
        </is>
      </c>
      <c r="U1" s="1" t="inlineStr">
        <is>
          <t>limitation_count</t>
        </is>
      </c>
      <c r="V1" s="1" t="inlineStr">
        <is>
          <t>issue_refs</t>
        </is>
      </c>
      <c r="W1" s="1" t="inlineStr">
        <is>
          <t>evidence_refs</t>
        </is>
      </c>
    </row>
    <row r="2" ht="42" customHeight="1">
      <c r="A2" s="2" t="n">
        <v>11</v>
      </c>
      <c r="B2" s="2" t="inlineStr">
        <is>
          <t>jeminise.com+christian-bedding-set-inspirational-bible-verse-comforte-design-02</t>
        </is>
      </c>
      <c r="C2" s="4" t="inlineStr">
        <is>
          <t>https://jeminise.com/products/christian-bedding-set-inspirational-bible-verse-comforte-design-02</t>
        </is>
      </c>
      <c r="D2" s="2" t="inlineStr">
        <is>
          <t>christian-bedding-set-inspirational-bible-verse-comforte-design-02</t>
        </is>
      </c>
      <c r="E2" s="2" t="inlineStr">
        <is>
          <t>8867138732231</t>
        </is>
      </c>
      <c r="F2" s="2" t="inlineStr">
        <is>
          <t>r1</t>
        </is>
      </c>
      <c r="G2" s="5">
        <f>SUMIF('QA_Criteria'!$A$2:$A$111,B2,'QA_Criteria'!$F$2:$F$111)</f>
        <v/>
      </c>
      <c r="H2" s="5">
        <f>SUMIF('QA_Criteria'!$A$2:$A$111,B2,'QA_Criteria'!$G$2:$G$111)</f>
        <v/>
      </c>
      <c r="I2" s="5">
        <f>G2</f>
        <v/>
      </c>
      <c r="J2" s="5">
        <f>G2+(100-H2)</f>
        <v/>
      </c>
      <c r="K2" s="5">
        <f>IF(AND(H2=100,Q2=1,P2=TRUE),G2,"")</f>
        <v/>
      </c>
      <c r="L2" s="2">
        <f>IF(R2&gt;0,"QA_FAIL",IF(K2="","QA_INCOMPLETE",IF(K2&lt;70,"QA_FAIL",IF(OR(K2&lt;85,S2&gt;0),"QA_REVISE","QA_PASS"))))</f>
        <v/>
      </c>
      <c r="M2" s="2" t="inlineStr">
        <is>
          <t>SERP_ONLY</t>
        </is>
      </c>
      <c r="N2" s="2" t="n">
        <v>8</v>
      </c>
      <c r="O2" s="2" t="n">
        <v>8</v>
      </c>
      <c r="P2" s="2" t="b">
        <v>1</v>
      </c>
      <c r="Q2" s="6" t="n">
        <v>1</v>
      </c>
      <c r="R2" s="2">
        <f>COUNTIFS('QA_Issues'!$B$2:$B$80,B2,'QA_Issues'!$D$2:$D$80,"CRITICAL")</f>
        <v/>
      </c>
      <c r="S2" s="2">
        <f>COUNTIFS('QA_Issues'!$B$2:$B$80,B2,'QA_Issues'!$D$2:$D$80,"MAJOR")</f>
        <v/>
      </c>
      <c r="T2" s="2">
        <f>COUNTIFS('QA_Issues'!$B$2:$B$80,B2,'QA_Issues'!$D$2:$D$80,"MINOR")</f>
        <v/>
      </c>
      <c r="U2" s="2">
        <f>COUNTIFS('QA_Issues'!$B$2:$B$80,B2,'QA_Issues'!$D$2:$D$80,"LIMITATION")</f>
        <v/>
      </c>
      <c r="V2" s="2" t="inlineStr">
        <is>
          <t>["ISS-011-IMG-02", "ISS-011-IMG-03", "ISS-011-IMG-04", "ISS-011-IMG-05", "ISS-011-IMG-06", "ISS-011-IMG-07", "ISS-011-IMG-08", "ISS-011-DESC", "ISS-011-ENC", "ISS-011-PERS", "ISS-011-SERP"]</t>
        </is>
      </c>
      <c r="W2" s="2" t="inlineStr">
        <is>
          <t>["evidence_batch_002_011", "https://jeminise.com/products/christian-bedding-set-inspirational-bible-verse-comforte-design-02", "serp_qa_011"]</t>
        </is>
      </c>
    </row>
    <row r="3" ht="42" customHeight="1">
      <c r="A3" s="3" t="n">
        <v>12</v>
      </c>
      <c r="B3" s="3" t="inlineStr">
        <is>
          <t>jeminise.com+christian-bedding-set-inspirational-bible-verse-comforte-design-03</t>
        </is>
      </c>
      <c r="C3" s="4" t="inlineStr">
        <is>
          <t>https://jeminise.com/products/christian-bedding-set-inspirational-bible-verse-comforte-design-03</t>
        </is>
      </c>
      <c r="D3" s="3" t="inlineStr">
        <is>
          <t>christian-bedding-set-inspirational-bible-verse-comforte-design-03</t>
        </is>
      </c>
      <c r="E3" s="3" t="inlineStr">
        <is>
          <t>8867139027143</t>
        </is>
      </c>
      <c r="F3" s="3" t="inlineStr">
        <is>
          <t>r1</t>
        </is>
      </c>
      <c r="G3" s="7">
        <f>SUMIF('QA_Criteria'!$A$2:$A$111,B3,'QA_Criteria'!$F$2:$F$111)</f>
        <v/>
      </c>
      <c r="H3" s="7">
        <f>SUMIF('QA_Criteria'!$A$2:$A$111,B3,'QA_Criteria'!$G$2:$G$111)</f>
        <v/>
      </c>
      <c r="I3" s="7">
        <f>G3</f>
        <v/>
      </c>
      <c r="J3" s="7">
        <f>G3+(100-H3)</f>
        <v/>
      </c>
      <c r="K3" s="7">
        <f>IF(AND(H3=100,Q3=1,P3=TRUE),G3,"")</f>
        <v/>
      </c>
      <c r="L3" s="3">
        <f>IF(R3&gt;0,"QA_FAIL",IF(K3="","QA_INCOMPLETE",IF(K3&lt;70,"QA_FAIL",IF(OR(K3&lt;85,S3&gt;0),"QA_REVISE","QA_PASS"))))</f>
        <v/>
      </c>
      <c r="M3" s="3" t="inlineStr">
        <is>
          <t>SERP_ONLY</t>
        </is>
      </c>
      <c r="N3" s="3" t="n">
        <v>7</v>
      </c>
      <c r="O3" s="3" t="n">
        <v>7</v>
      </c>
      <c r="P3" s="3" t="b">
        <v>1</v>
      </c>
      <c r="Q3" s="8" t="n">
        <v>1</v>
      </c>
      <c r="R3" s="3">
        <f>COUNTIFS('QA_Issues'!$B$2:$B$80,B3,'QA_Issues'!$D$2:$D$80,"CRITICAL")</f>
        <v/>
      </c>
      <c r="S3" s="3">
        <f>COUNTIFS('QA_Issues'!$B$2:$B$80,B3,'QA_Issues'!$D$2:$D$80,"MAJOR")</f>
        <v/>
      </c>
      <c r="T3" s="3">
        <f>COUNTIFS('QA_Issues'!$B$2:$B$80,B3,'QA_Issues'!$D$2:$D$80,"MINOR")</f>
        <v/>
      </c>
      <c r="U3" s="3">
        <f>COUNTIFS('QA_Issues'!$B$2:$B$80,B3,'QA_Issues'!$D$2:$D$80,"LIMITATION")</f>
        <v/>
      </c>
      <c r="V3" s="3" t="inlineStr">
        <is>
          <t>["ISS-012-IMG-02", "ISS-012-IMG-03", "ISS-012-IMG-04", "ISS-012-IMG-05", "ISS-012-IMG-06", "ISS-012-IMG-07", "ISS-012-DESC", "ISS-012-ENC", "ISS-012-PERS", "ISS-012-SERP"]</t>
        </is>
      </c>
      <c r="W3" s="3" t="inlineStr">
        <is>
          <t>["evidence_batch_002_012", "https://jeminise.com/products/christian-bedding-set-inspirational-bible-verse-comforte-design-03", "serp_qa_012"]</t>
        </is>
      </c>
    </row>
    <row r="4" ht="42" customHeight="1">
      <c r="A4" s="2" t="n">
        <v>13</v>
      </c>
      <c r="B4" s="2" t="inlineStr">
        <is>
          <t>jeminise.com+christian-bedding-set-inspirational-bible-verse-comforte-design-04</t>
        </is>
      </c>
      <c r="C4" s="4" t="inlineStr">
        <is>
          <t>https://jeminise.com/products/christian-bedding-set-inspirational-bible-verse-comforte-design-04</t>
        </is>
      </c>
      <c r="D4" s="2" t="inlineStr">
        <is>
          <t>christian-bedding-set-inspirational-bible-verse-comforte-design-04</t>
        </is>
      </c>
      <c r="E4" s="2" t="inlineStr">
        <is>
          <t>8867139322055</t>
        </is>
      </c>
      <c r="F4" s="2" t="inlineStr">
        <is>
          <t>r1</t>
        </is>
      </c>
      <c r="G4" s="5">
        <f>SUMIF('QA_Criteria'!$A$2:$A$111,B4,'QA_Criteria'!$F$2:$F$111)</f>
        <v/>
      </c>
      <c r="H4" s="5">
        <f>SUMIF('QA_Criteria'!$A$2:$A$111,B4,'QA_Criteria'!$G$2:$G$111)</f>
        <v/>
      </c>
      <c r="I4" s="5">
        <f>G4</f>
        <v/>
      </c>
      <c r="J4" s="5">
        <f>G4+(100-H4)</f>
        <v/>
      </c>
      <c r="K4" s="5">
        <f>IF(AND(H4=100,Q4=1,P4=TRUE),G4,"")</f>
        <v/>
      </c>
      <c r="L4" s="2">
        <f>IF(R4&gt;0,"QA_FAIL",IF(K4="","QA_INCOMPLETE",IF(K4&lt;70,"QA_FAIL",IF(OR(K4&lt;85,S4&gt;0),"QA_REVISE","QA_PASS"))))</f>
        <v/>
      </c>
      <c r="M4" s="2" t="inlineStr">
        <is>
          <t>SERP_ONLY</t>
        </is>
      </c>
      <c r="N4" s="2" t="n">
        <v>7</v>
      </c>
      <c r="O4" s="2" t="n">
        <v>7</v>
      </c>
      <c r="P4" s="2" t="b">
        <v>1</v>
      </c>
      <c r="Q4" s="6" t="n">
        <v>1</v>
      </c>
      <c r="R4" s="2">
        <f>COUNTIFS('QA_Issues'!$B$2:$B$80,B4,'QA_Issues'!$D$2:$D$80,"CRITICAL")</f>
        <v/>
      </c>
      <c r="S4" s="2">
        <f>COUNTIFS('QA_Issues'!$B$2:$B$80,B4,'QA_Issues'!$D$2:$D$80,"MAJOR")</f>
        <v/>
      </c>
      <c r="T4" s="2">
        <f>COUNTIFS('QA_Issues'!$B$2:$B$80,B4,'QA_Issues'!$D$2:$D$80,"MINOR")</f>
        <v/>
      </c>
      <c r="U4" s="2">
        <f>COUNTIFS('QA_Issues'!$B$2:$B$80,B4,'QA_Issues'!$D$2:$D$80,"LIMITATION")</f>
        <v/>
      </c>
      <c r="V4" s="2" t="inlineStr">
        <is>
          <t>["ISS-013-IMG-02", "ISS-013-IMG-03", "ISS-013-IMG-04", "ISS-013-IMG-05", "ISS-013-IMG-06", "ISS-013-IMG-07", "ISS-013-DESC", "ISS-013-ENC", "ISS-013-PERS", "ISS-013-SERP", "ISS-013-FACT"]</t>
        </is>
      </c>
      <c r="W4" s="2" t="inlineStr">
        <is>
          <t>["evidence_batch_002_013", "https://jeminise.com/products/christian-bedding-set-inspirational-bible-verse-comforte-design-04", "serp_qa_013"]</t>
        </is>
      </c>
    </row>
    <row r="5" ht="42" customHeight="1">
      <c r="A5" s="3" t="n">
        <v>14</v>
      </c>
      <c r="B5" s="3" t="inlineStr">
        <is>
          <t>jeminise.com+christian-bedding-set-inspirational-bible-verse-comforte-design-05</t>
        </is>
      </c>
      <c r="C5" s="4" t="inlineStr">
        <is>
          <t>https://jeminise.com/products/christian-bedding-set-inspirational-bible-verse-comforte-design-05</t>
        </is>
      </c>
      <c r="D5" s="3" t="inlineStr">
        <is>
          <t>christian-bedding-set-inspirational-bible-verse-comforte-design-05</t>
        </is>
      </c>
      <c r="E5" s="3" t="inlineStr">
        <is>
          <t>8867139453127</t>
        </is>
      </c>
      <c r="F5" s="3" t="inlineStr">
        <is>
          <t>r1</t>
        </is>
      </c>
      <c r="G5" s="7">
        <f>SUMIF('QA_Criteria'!$A$2:$A$111,B5,'QA_Criteria'!$F$2:$F$111)</f>
        <v/>
      </c>
      <c r="H5" s="7">
        <f>SUMIF('QA_Criteria'!$A$2:$A$111,B5,'QA_Criteria'!$G$2:$G$111)</f>
        <v/>
      </c>
      <c r="I5" s="7">
        <f>G5</f>
        <v/>
      </c>
      <c r="J5" s="7">
        <f>G5+(100-H5)</f>
        <v/>
      </c>
      <c r="K5" s="7">
        <f>IF(AND(H5=100,Q5=1,P5=TRUE),G5,"")</f>
        <v/>
      </c>
      <c r="L5" s="3">
        <f>IF(R5&gt;0,"QA_FAIL",IF(K5="","QA_INCOMPLETE",IF(K5&lt;70,"QA_FAIL",IF(OR(K5&lt;85,S5&gt;0),"QA_REVISE","QA_PASS"))))</f>
        <v/>
      </c>
      <c r="M5" s="3" t="inlineStr">
        <is>
          <t>SERP_ONLY</t>
        </is>
      </c>
      <c r="N5" s="3" t="n">
        <v>7</v>
      </c>
      <c r="O5" s="3" t="n">
        <v>7</v>
      </c>
      <c r="P5" s="3" t="b">
        <v>1</v>
      </c>
      <c r="Q5" s="8" t="n">
        <v>1</v>
      </c>
      <c r="R5" s="3">
        <f>COUNTIFS('QA_Issues'!$B$2:$B$80,B5,'QA_Issues'!$D$2:$D$80,"CRITICAL")</f>
        <v/>
      </c>
      <c r="S5" s="3">
        <f>COUNTIFS('QA_Issues'!$B$2:$B$80,B5,'QA_Issues'!$D$2:$D$80,"MAJOR")</f>
        <v/>
      </c>
      <c r="T5" s="3">
        <f>COUNTIFS('QA_Issues'!$B$2:$B$80,B5,'QA_Issues'!$D$2:$D$80,"MINOR")</f>
        <v/>
      </c>
      <c r="U5" s="3">
        <f>COUNTIFS('QA_Issues'!$B$2:$B$80,B5,'QA_Issues'!$D$2:$D$80,"LIMITATION")</f>
        <v/>
      </c>
      <c r="V5" s="3" t="inlineStr">
        <is>
          <t>["ISS-014-IMG-02", "ISS-014-IMG-03", "ISS-014-IMG-04", "ISS-014-IMG-05", "ISS-014-IMG-06", "ISS-014-IMG-07", "ISS-014-DESC", "ISS-014-ENC", "ISS-014-PERS", "ISS-014-SERP"]</t>
        </is>
      </c>
      <c r="W5" s="3" t="inlineStr">
        <is>
          <t>["evidence_batch_002_014", "https://jeminise.com/products/christian-bedding-set-inspirational-bible-verse-comforte-design-05", "serp_qa_014"]</t>
        </is>
      </c>
    </row>
    <row r="6" ht="42" customHeight="1">
      <c r="A6" s="2" t="n">
        <v>15</v>
      </c>
      <c r="B6" s="2" t="inlineStr">
        <is>
          <t>jeminise.com+christian-bedding-set-inspirational-bible-verse-comforte-design-06</t>
        </is>
      </c>
      <c r="C6" s="4" t="inlineStr">
        <is>
          <t>https://jeminise.com/products/christian-bedding-set-inspirational-bible-verse-comforte-design-06</t>
        </is>
      </c>
      <c r="D6" s="2" t="inlineStr">
        <is>
          <t>christian-bedding-set-inspirational-bible-verse-comforte-design-06</t>
        </is>
      </c>
      <c r="E6" s="2" t="inlineStr">
        <is>
          <t>8867139584199</t>
        </is>
      </c>
      <c r="F6" s="2" t="inlineStr">
        <is>
          <t>r1</t>
        </is>
      </c>
      <c r="G6" s="5">
        <f>SUMIF('QA_Criteria'!$A$2:$A$111,B6,'QA_Criteria'!$F$2:$F$111)</f>
        <v/>
      </c>
      <c r="H6" s="5">
        <f>SUMIF('QA_Criteria'!$A$2:$A$111,B6,'QA_Criteria'!$G$2:$G$111)</f>
        <v/>
      </c>
      <c r="I6" s="5">
        <f>G6</f>
        <v/>
      </c>
      <c r="J6" s="5">
        <f>G6+(100-H6)</f>
        <v/>
      </c>
      <c r="K6" s="5">
        <f>IF(AND(H6=100,Q6=1,P6=TRUE),G6,"")</f>
        <v/>
      </c>
      <c r="L6" s="2">
        <f>IF(R6&gt;0,"QA_FAIL",IF(K6="","QA_INCOMPLETE",IF(K6&lt;70,"QA_FAIL",IF(OR(K6&lt;85,S6&gt;0),"QA_REVISE","QA_PASS"))))</f>
        <v/>
      </c>
      <c r="M6" s="2" t="inlineStr">
        <is>
          <t>SERP_ONLY</t>
        </is>
      </c>
      <c r="N6" s="2" t="n">
        <v>7</v>
      </c>
      <c r="O6" s="2" t="n">
        <v>7</v>
      </c>
      <c r="P6" s="2" t="b">
        <v>1</v>
      </c>
      <c r="Q6" s="6" t="n">
        <v>1</v>
      </c>
      <c r="R6" s="2">
        <f>COUNTIFS('QA_Issues'!$B$2:$B$80,B6,'QA_Issues'!$D$2:$D$80,"CRITICAL")</f>
        <v/>
      </c>
      <c r="S6" s="2">
        <f>COUNTIFS('QA_Issues'!$B$2:$B$80,B6,'QA_Issues'!$D$2:$D$80,"MAJOR")</f>
        <v/>
      </c>
      <c r="T6" s="2">
        <f>COUNTIFS('QA_Issues'!$B$2:$B$80,B6,'QA_Issues'!$D$2:$D$80,"MINOR")</f>
        <v/>
      </c>
      <c r="U6" s="2">
        <f>COUNTIFS('QA_Issues'!$B$2:$B$80,B6,'QA_Issues'!$D$2:$D$80,"LIMITATION")</f>
        <v/>
      </c>
      <c r="V6" s="2" t="inlineStr">
        <is>
          <t>["ISS-015-IMG-02", "ISS-015-IMG-03", "ISS-015-IMG-04", "ISS-015-IMG-05", "ISS-015-IMG-06", "ISS-015-IMG-07", "ISS-015-DESC", "ISS-015-ENC", "ISS-015-PERS", "ISS-015-SERP"]</t>
        </is>
      </c>
      <c r="W6" s="2" t="inlineStr">
        <is>
          <t>["evidence_batch_002_015", "https://jeminise.com/products/christian-bedding-set-inspirational-bible-verse-comforte-design-06", "serp_qa_015"]</t>
        </is>
      </c>
    </row>
    <row r="7" ht="42" customHeight="1">
      <c r="A7" s="3" t="n">
        <v>16</v>
      </c>
      <c r="B7" s="3" t="inlineStr">
        <is>
          <t>jeminise.com+christian-bedding-set-inspirational-bible-verse-comforter</t>
        </is>
      </c>
      <c r="C7" s="4" t="inlineStr">
        <is>
          <t>https://jeminise.com/products/christian-bedding-set-inspirational-bible-verse-comforter</t>
        </is>
      </c>
      <c r="D7" s="3" t="inlineStr">
        <is>
          <t>christian-bedding-set-inspirational-bible-verse-comforter</t>
        </is>
      </c>
      <c r="E7" s="3" t="inlineStr">
        <is>
          <t>8867138437319</t>
        </is>
      </c>
      <c r="F7" s="3" t="inlineStr">
        <is>
          <t>r1</t>
        </is>
      </c>
      <c r="G7" s="7">
        <f>SUMIF('QA_Criteria'!$A$2:$A$111,B7,'QA_Criteria'!$F$2:$F$111)</f>
        <v/>
      </c>
      <c r="H7" s="7">
        <f>SUMIF('QA_Criteria'!$A$2:$A$111,B7,'QA_Criteria'!$G$2:$G$111)</f>
        <v/>
      </c>
      <c r="I7" s="7">
        <f>G7</f>
        <v/>
      </c>
      <c r="J7" s="7">
        <f>G7+(100-H7)</f>
        <v/>
      </c>
      <c r="K7" s="7">
        <f>IF(AND(H7=100,Q7=1,P7=TRUE),G7,"")</f>
        <v/>
      </c>
      <c r="L7" s="3">
        <f>IF(R7&gt;0,"QA_FAIL",IF(K7="","QA_INCOMPLETE",IF(K7&lt;70,"QA_FAIL",IF(OR(K7&lt;85,S7&gt;0),"QA_REVISE","QA_PASS"))))</f>
        <v/>
      </c>
      <c r="M7" s="3" t="inlineStr">
        <is>
          <t>SERP_ONLY</t>
        </is>
      </c>
      <c r="N7" s="3" t="n">
        <v>8</v>
      </c>
      <c r="O7" s="3" t="n">
        <v>8</v>
      </c>
      <c r="P7" s="3" t="b">
        <v>1</v>
      </c>
      <c r="Q7" s="8" t="n">
        <v>1</v>
      </c>
      <c r="R7" s="3">
        <f>COUNTIFS('QA_Issues'!$B$2:$B$80,B7,'QA_Issues'!$D$2:$D$80,"CRITICAL")</f>
        <v/>
      </c>
      <c r="S7" s="3">
        <f>COUNTIFS('QA_Issues'!$B$2:$B$80,B7,'QA_Issues'!$D$2:$D$80,"MAJOR")</f>
        <v/>
      </c>
      <c r="T7" s="3">
        <f>COUNTIFS('QA_Issues'!$B$2:$B$80,B7,'QA_Issues'!$D$2:$D$80,"MINOR")</f>
        <v/>
      </c>
      <c r="U7" s="3">
        <f>COUNTIFS('QA_Issues'!$B$2:$B$80,B7,'QA_Issues'!$D$2:$D$80,"LIMITATION")</f>
        <v/>
      </c>
      <c r="V7" s="3" t="inlineStr">
        <is>
          <t>["ISS-016-IMG-02", "ISS-016-IMG-03", "ISS-016-IMG-04", "ISS-016-IMG-05", "ISS-016-IMG-07", "ISS-016-IMG-08", "ISS-016-DESC", "ISS-016-ENC", "ISS-016-PERS", "ISS-016-SERP"]</t>
        </is>
      </c>
      <c r="W7" s="3" t="inlineStr">
        <is>
          <t>["evidence_batch_002_016", "https://jeminise.com/products/christian-bedding-set-inspirational-bible-verse-comforter", "serp_qa_016"]</t>
        </is>
      </c>
    </row>
    <row r="8" ht="42" customHeight="1">
      <c r="A8" s="2" t="n">
        <v>17</v>
      </c>
      <c r="B8" s="2" t="inlineStr">
        <is>
          <t>jeminise.com+christmas-bedding-quilt-soft-microfiber-holiday-bedsprea-design-01</t>
        </is>
      </c>
      <c r="C8" s="4" t="inlineStr">
        <is>
          <t>https://jeminise.com/products/christmas-bedding-quilt-soft-microfiber-holiday-bedsprea-design-01</t>
        </is>
      </c>
      <c r="D8" s="2" t="inlineStr">
        <is>
          <t>christmas-bedding-quilt-soft-microfiber-holiday-bedsprea-design-01</t>
        </is>
      </c>
      <c r="E8" s="2" t="inlineStr">
        <is>
          <t>8867158065351</t>
        </is>
      </c>
      <c r="F8" s="2" t="inlineStr">
        <is>
          <t>r1</t>
        </is>
      </c>
      <c r="G8" s="5">
        <f>SUMIF('QA_Criteria'!$A$2:$A$111,B8,'QA_Criteria'!$F$2:$F$111)</f>
        <v/>
      </c>
      <c r="H8" s="5">
        <f>SUMIF('QA_Criteria'!$A$2:$A$111,B8,'QA_Criteria'!$G$2:$G$111)</f>
        <v/>
      </c>
      <c r="I8" s="5">
        <f>G8</f>
        <v/>
      </c>
      <c r="J8" s="5">
        <f>G8+(100-H8)</f>
        <v/>
      </c>
      <c r="K8" s="5">
        <f>IF(AND(H8=100,Q8=1,P8=TRUE),G8,"")</f>
        <v/>
      </c>
      <c r="L8" s="2">
        <f>IF(R8&gt;0,"QA_FAIL",IF(K8="","QA_INCOMPLETE",IF(K8&lt;70,"QA_FAIL",IF(OR(K8&lt;85,S8&gt;0),"QA_REVISE","QA_PASS"))))</f>
        <v/>
      </c>
      <c r="M8" s="2" t="inlineStr">
        <is>
          <t>SERP_ONLY</t>
        </is>
      </c>
      <c r="N8" s="2" t="n">
        <v>5</v>
      </c>
      <c r="O8" s="2" t="n">
        <v>5</v>
      </c>
      <c r="P8" s="2" t="b">
        <v>1</v>
      </c>
      <c r="Q8" s="6" t="n">
        <v>1</v>
      </c>
      <c r="R8" s="2">
        <f>COUNTIFS('QA_Issues'!$B$2:$B$80,B8,'QA_Issues'!$D$2:$D$80,"CRITICAL")</f>
        <v/>
      </c>
      <c r="S8" s="2">
        <f>COUNTIFS('QA_Issues'!$B$2:$B$80,B8,'QA_Issues'!$D$2:$D$80,"MAJOR")</f>
        <v/>
      </c>
      <c r="T8" s="2">
        <f>COUNTIFS('QA_Issues'!$B$2:$B$80,B8,'QA_Issues'!$D$2:$D$80,"MINOR")</f>
        <v/>
      </c>
      <c r="U8" s="2">
        <f>COUNTIFS('QA_Issues'!$B$2:$B$80,B8,'QA_Issues'!$D$2:$D$80,"LIMITATION")</f>
        <v/>
      </c>
      <c r="V8" s="2" t="inlineStr">
        <is>
          <t>["ISS-017-IMG-04", "ISS-017-DESC", "ISS-017-ENC"]</t>
        </is>
      </c>
      <c r="W8" s="2" t="inlineStr">
        <is>
          <t>["evidence_batch_002_017", "https://jeminise.com/products/christmas-bedding-quilt-soft-microfiber-holiday-bedsprea-design-01", "serp_qa_017"]</t>
        </is>
      </c>
    </row>
    <row r="9" ht="42" customHeight="1">
      <c r="A9" s="3" t="n">
        <v>18</v>
      </c>
      <c r="B9" s="3" t="inlineStr">
        <is>
          <t>jeminise.com+christmas-bedding-quilt-soft-microfiber-holiday-bedsprea-design-02</t>
        </is>
      </c>
      <c r="C9" s="4" t="inlineStr">
        <is>
          <t>https://jeminise.com/products/christmas-bedding-quilt-soft-microfiber-holiday-bedsprea-design-02</t>
        </is>
      </c>
      <c r="D9" s="3" t="inlineStr">
        <is>
          <t>christmas-bedding-quilt-soft-microfiber-holiday-bedsprea-design-02</t>
        </is>
      </c>
      <c r="E9" s="3" t="inlineStr">
        <is>
          <t>8867158130887</t>
        </is>
      </c>
      <c r="F9" s="3" t="inlineStr">
        <is>
          <t>r1</t>
        </is>
      </c>
      <c r="G9" s="7">
        <f>SUMIF('QA_Criteria'!$A$2:$A$111,B9,'QA_Criteria'!$F$2:$F$111)</f>
        <v/>
      </c>
      <c r="H9" s="7">
        <f>SUMIF('QA_Criteria'!$A$2:$A$111,B9,'QA_Criteria'!$G$2:$G$111)</f>
        <v/>
      </c>
      <c r="I9" s="7">
        <f>G9</f>
        <v/>
      </c>
      <c r="J9" s="7">
        <f>G9+(100-H9)</f>
        <v/>
      </c>
      <c r="K9" s="7">
        <f>IF(AND(H9=100,Q9=1,P9=TRUE),G9,"")</f>
        <v/>
      </c>
      <c r="L9" s="3">
        <f>IF(R9&gt;0,"QA_FAIL",IF(K9="","QA_INCOMPLETE",IF(K9&lt;70,"QA_FAIL",IF(OR(K9&lt;85,S9&gt;0),"QA_REVISE","QA_PASS"))))</f>
        <v/>
      </c>
      <c r="M9" s="3" t="inlineStr">
        <is>
          <t>SERP_ONLY</t>
        </is>
      </c>
      <c r="N9" s="3" t="n">
        <v>5</v>
      </c>
      <c r="O9" s="3" t="n">
        <v>5</v>
      </c>
      <c r="P9" s="3" t="b">
        <v>1</v>
      </c>
      <c r="Q9" s="8" t="n">
        <v>1</v>
      </c>
      <c r="R9" s="3">
        <f>COUNTIFS('QA_Issues'!$B$2:$B$80,B9,'QA_Issues'!$D$2:$D$80,"CRITICAL")</f>
        <v/>
      </c>
      <c r="S9" s="3">
        <f>COUNTIFS('QA_Issues'!$B$2:$B$80,B9,'QA_Issues'!$D$2:$D$80,"MAJOR")</f>
        <v/>
      </c>
      <c r="T9" s="3">
        <f>COUNTIFS('QA_Issues'!$B$2:$B$80,B9,'QA_Issues'!$D$2:$D$80,"MINOR")</f>
        <v/>
      </c>
      <c r="U9" s="3">
        <f>COUNTIFS('QA_Issues'!$B$2:$B$80,B9,'QA_Issues'!$D$2:$D$80,"LIMITATION")</f>
        <v/>
      </c>
      <c r="V9" s="3" t="inlineStr">
        <is>
          <t>["ISS-018-IMG-03", "ISS-018-IMG-04", "ISS-018-DESC", "ISS-018-ENC"]</t>
        </is>
      </c>
      <c r="W9" s="3" t="inlineStr">
        <is>
          <t>["evidence_batch_002_018", "https://jeminise.com/products/christmas-bedding-quilt-soft-microfiber-holiday-bedsprea-design-02", "serp_qa_018"]</t>
        </is>
      </c>
    </row>
    <row r="10" ht="42" customHeight="1">
      <c r="A10" s="2" t="n">
        <v>19</v>
      </c>
      <c r="B10" s="2" t="inlineStr">
        <is>
          <t>jeminise.com+christmas-bedding-quilt-soft-microfiber-holiday-bedsprea-design-03</t>
        </is>
      </c>
      <c r="C10" s="4" t="inlineStr">
        <is>
          <t>https://jeminise.com/products/christmas-bedding-quilt-soft-microfiber-holiday-bedsprea-design-03</t>
        </is>
      </c>
      <c r="D10" s="2" t="inlineStr">
        <is>
          <t>christmas-bedding-quilt-soft-microfiber-holiday-bedsprea-design-03</t>
        </is>
      </c>
      <c r="E10" s="2" t="inlineStr">
        <is>
          <t>8867158229191</t>
        </is>
      </c>
      <c r="F10" s="2" t="inlineStr">
        <is>
          <t>r1</t>
        </is>
      </c>
      <c r="G10" s="5">
        <f>SUMIF('QA_Criteria'!$A$2:$A$111,B10,'QA_Criteria'!$F$2:$F$111)</f>
        <v/>
      </c>
      <c r="H10" s="5">
        <f>SUMIF('QA_Criteria'!$A$2:$A$111,B10,'QA_Criteria'!$G$2:$G$111)</f>
        <v/>
      </c>
      <c r="I10" s="5">
        <f>G10</f>
        <v/>
      </c>
      <c r="J10" s="5">
        <f>G10+(100-H10)</f>
        <v/>
      </c>
      <c r="K10" s="5">
        <f>IF(AND(H10=100,Q10=1,P10=TRUE),G10,"")</f>
        <v/>
      </c>
      <c r="L10" s="2">
        <f>IF(R10&gt;0,"QA_FAIL",IF(K10="","QA_INCOMPLETE",IF(K10&lt;70,"QA_FAIL",IF(OR(K10&lt;85,S10&gt;0),"QA_REVISE","QA_PASS"))))</f>
        <v/>
      </c>
      <c r="M10" s="2" t="inlineStr">
        <is>
          <t>SERP_ONLY</t>
        </is>
      </c>
      <c r="N10" s="2" t="n">
        <v>5</v>
      </c>
      <c r="O10" s="2" t="n">
        <v>5</v>
      </c>
      <c r="P10" s="2" t="b">
        <v>1</v>
      </c>
      <c r="Q10" s="6" t="n">
        <v>1</v>
      </c>
      <c r="R10" s="2">
        <f>COUNTIFS('QA_Issues'!$B$2:$B$80,B10,'QA_Issues'!$D$2:$D$80,"CRITICAL")</f>
        <v/>
      </c>
      <c r="S10" s="2">
        <f>COUNTIFS('QA_Issues'!$B$2:$B$80,B10,'QA_Issues'!$D$2:$D$80,"MAJOR")</f>
        <v/>
      </c>
      <c r="T10" s="2">
        <f>COUNTIFS('QA_Issues'!$B$2:$B$80,B10,'QA_Issues'!$D$2:$D$80,"MINOR")</f>
        <v/>
      </c>
      <c r="U10" s="2">
        <f>COUNTIFS('QA_Issues'!$B$2:$B$80,B10,'QA_Issues'!$D$2:$D$80,"LIMITATION")</f>
        <v/>
      </c>
      <c r="V10" s="2" t="inlineStr">
        <is>
          <t>["ISS-019-IMG-03", "ISS-019-IMG-04", "ISS-019-DESC", "ISS-019-ENC", "ISS-019-PERS"]</t>
        </is>
      </c>
      <c r="W10" s="2" t="inlineStr">
        <is>
          <t>["evidence_batch_002_019", "https://jeminise.com/products/christmas-bedding-quilt-soft-microfiber-holiday-bedsprea-design-03", "serp_qa_019"]</t>
        </is>
      </c>
    </row>
    <row r="11" ht="42" customHeight="1">
      <c r="A11" s="3" t="n">
        <v>20</v>
      </c>
      <c r="B11" s="3" t="inlineStr">
        <is>
          <t>jeminise.com+christmas-bedding-quilt-soft-microfiber-holiday-bedsprea-design-04</t>
        </is>
      </c>
      <c r="C11" s="4" t="inlineStr">
        <is>
          <t>https://jeminise.com/products/christmas-bedding-quilt-soft-microfiber-holiday-bedsprea-design-04</t>
        </is>
      </c>
      <c r="D11" s="3" t="inlineStr">
        <is>
          <t>christmas-bedding-quilt-soft-microfiber-holiday-bedsprea-design-04</t>
        </is>
      </c>
      <c r="E11" s="3" t="inlineStr">
        <is>
          <t>8867158196423</t>
        </is>
      </c>
      <c r="F11" s="3" t="inlineStr">
        <is>
          <t>r1</t>
        </is>
      </c>
      <c r="G11" s="7">
        <f>SUMIF('QA_Criteria'!$A$2:$A$111,B11,'QA_Criteria'!$F$2:$F$111)</f>
        <v/>
      </c>
      <c r="H11" s="7">
        <f>SUMIF('QA_Criteria'!$A$2:$A$111,B11,'QA_Criteria'!$G$2:$G$111)</f>
        <v/>
      </c>
      <c r="I11" s="7">
        <f>G11</f>
        <v/>
      </c>
      <c r="J11" s="7">
        <f>G11+(100-H11)</f>
        <v/>
      </c>
      <c r="K11" s="7">
        <f>IF(AND(H11=100,Q11=1,P11=TRUE),G11,"")</f>
        <v/>
      </c>
      <c r="L11" s="3">
        <f>IF(R11&gt;0,"QA_FAIL",IF(K11="","QA_INCOMPLETE",IF(K11&lt;70,"QA_FAIL",IF(OR(K11&lt;85,S11&gt;0),"QA_REVISE","QA_PASS"))))</f>
        <v/>
      </c>
      <c r="M11" s="3" t="inlineStr">
        <is>
          <t>SERP_ONLY</t>
        </is>
      </c>
      <c r="N11" s="3" t="n">
        <v>5</v>
      </c>
      <c r="O11" s="3" t="n">
        <v>5</v>
      </c>
      <c r="P11" s="3" t="b">
        <v>1</v>
      </c>
      <c r="Q11" s="8" t="n">
        <v>1</v>
      </c>
      <c r="R11" s="3">
        <f>COUNTIFS('QA_Issues'!$B$2:$B$80,B11,'QA_Issues'!$D$2:$D$80,"CRITICAL")</f>
        <v/>
      </c>
      <c r="S11" s="3">
        <f>COUNTIFS('QA_Issues'!$B$2:$B$80,B11,'QA_Issues'!$D$2:$D$80,"MAJOR")</f>
        <v/>
      </c>
      <c r="T11" s="3">
        <f>COUNTIFS('QA_Issues'!$B$2:$B$80,B11,'QA_Issues'!$D$2:$D$80,"MINOR")</f>
        <v/>
      </c>
      <c r="U11" s="3">
        <f>COUNTIFS('QA_Issues'!$B$2:$B$80,B11,'QA_Issues'!$D$2:$D$80,"LIMITATION")</f>
        <v/>
      </c>
      <c r="V11" s="3" t="inlineStr">
        <is>
          <t>["ISS-020-IMG-03", "ISS-020-IMG-04", "ISS-020-DESC", "ISS-020-ENC"]</t>
        </is>
      </c>
      <c r="W11" s="3" t="inlineStr">
        <is>
          <t>["evidence_batch_002_020", "https://jeminise.com/products/christmas-bedding-quilt-soft-microfiber-holiday-bedsprea-design-04", "serp_qa_020"]</t>
        </is>
      </c>
    </row>
  </sheetData>
  <autoFilter ref="A1:W11"/>
  <conditionalFormatting sqref="L2:L11">
    <cfRule type="expression" priority="1" dxfId="0">
      <formula>L2="QA_PASS"</formula>
    </cfRule>
    <cfRule type="expression" priority="2" dxfId="1">
      <formula>L2="QA_REVISE"</formula>
    </cfRule>
    <cfRule type="expression" priority="3" dxfId="2">
      <formula>L2="QA_FAIL"</formula>
    </cfRule>
  </conditionalFormatting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</hyperlinks>
  <printOptions horizontalCentered="0"/>
  <pageMargins left="0.25" right="0.25" top="0.5" bottom="0.5" header="0.5" footer="0.5"/>
  <pageSetup orientation="landscape" fitToHeight="0" fitToWidth="2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11" customWidth="1" min="3" max="3"/>
    <col width="12" customWidth="1" min="4" max="4"/>
    <col width="24" customWidth="1" min="5" max="5"/>
    <col width="23" customWidth="1" min="6" max="6"/>
    <col width="24" customWidth="1" min="7" max="7"/>
    <col width="42" customWidth="1" min="8" max="8"/>
    <col width="42" customWidth="1" min="9" max="9"/>
    <col width="42" customWidth="1" min="10" max="10"/>
  </cols>
  <sheetData>
    <row r="1" ht="32" customHeight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 ht="42" customHeight="1">
      <c r="A2" s="2" t="inlineStr">
        <is>
          <t>jeminise.com+christian-bedding-set-inspirational-bible-verse-comforte-design-02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5">
        <f>IF(B2="I1",AVERAGEIF('QA_Images'!$A$2:$A$65,A2,'QA_Images'!$T$2:$T$65)/100,IF(D2="FULL",1,IF(D2="PARTIAL",0.5,IF(D2="FAIL",0,""))))</f>
        <v/>
      </c>
      <c r="F2" s="5">
        <f>IF(E2="",0,C2*E2)</f>
        <v/>
      </c>
      <c r="G2" s="5">
        <f>IF(B2="I1",20*AVERAGEIF('QA_Images'!$A$2:$A$65,A2,'QA_Images'!$U$2:$U$65)/100,IF(D2="NOT_CHECKED",0,C2))</f>
        <v/>
      </c>
      <c r="H2" s="2" t="inlineStr">
        <is>
          <t>Đối chiếu loại sản phẩm, thiết kế và màu với product JSON, H1 live và toàn bộ gallery.</t>
        </is>
      </c>
      <c r="I2" s="2" t="inlineStr">
        <is>
          <t>["evidence_batch_002_011", "https://jeminise.com/products/christian-bedding-set-inspirational-bible-verse-comforte-design-02", "serp_qa_011"]</t>
        </is>
      </c>
      <c r="J2" s="2" t="inlineStr">
        <is>
          <t>["ISS-011-IMG-02", "ISS-011-IMG-03", "ISS-011-IMG-04", "ISS-011-IMG-05", "ISS-011-IMG-06", "ISS-011-IMG-07", "ISS-011-IMG-08", "ISS-011-DESC", "ISS-011-ENC", "ISS-011-PERS", "ISS-011-SERP"]</t>
        </is>
      </c>
    </row>
    <row r="3" ht="42" customHeight="1">
      <c r="A3" s="3" t="inlineStr">
        <is>
          <t>jeminise.com+christian-bedding-set-inspirational-bible-verse-comforte-design-02</t>
        </is>
      </c>
      <c r="B3" s="3" t="inlineStr">
        <is>
          <t>P2</t>
        </is>
      </c>
      <c r="C3" s="3" t="n">
        <v>10</v>
      </c>
      <c r="D3" s="3" t="inlineStr">
        <is>
          <t>FAIL</t>
        </is>
      </c>
      <c r="E3" s="7">
        <f>IF(B3="I1",AVERAGEIF('QA_Images'!$A$2:$A$65,A3,'QA_Images'!$T$2:$T$65)/100,IF(D3="FULL",1,IF(D3="PARTIAL",0.5,IF(D3="FAIL",0,""))))</f>
        <v/>
      </c>
      <c r="F3" s="7">
        <f>IF(E3="",0,C3*E3)</f>
        <v/>
      </c>
      <c r="G3" s="7">
        <f>IF(B3="I1",20*AVERAGEIF('QA_Images'!$A$2:$A$65,A3,'QA_Images'!$U$2:$U$65)/100,IF(D3="NOT_CHECKED",0,C3))</f>
        <v/>
      </c>
      <c r="H3" s="3" t="inlineStr">
        <is>
          <t>Đối chiếu chất liệu, kích thước, thành phần đi kèm, biến thể và personalization với product.js live, body HTML và toàn bộ gallery.</t>
        </is>
      </c>
      <c r="I3" s="3" t="inlineStr">
        <is>
          <t>["evidence_batch_002_011", "https://jeminise.com/products/christian-bedding-set-inspirational-bible-verse-comforte-design-02", "serp_qa_011"]</t>
        </is>
      </c>
      <c r="J3" s="3" t="inlineStr">
        <is>
          <t>["ISS-011-IMG-02", "ISS-011-IMG-03", "ISS-011-IMG-04", "ISS-011-IMG-05", "ISS-011-IMG-06", "ISS-011-IMG-07", "ISS-011-IMG-08", "ISS-011-DESC", "ISS-011-ENC", "ISS-011-PERS", "ISS-011-SERP"]</t>
        </is>
      </c>
    </row>
    <row r="4" ht="42" customHeight="1">
      <c r="A4" s="2" t="inlineStr">
        <is>
          <t>jeminise.com+christian-bedding-set-inspirational-bible-verse-comforte-design-02</t>
        </is>
      </c>
      <c r="B4" s="2" t="inlineStr">
        <is>
          <t>K1</t>
        </is>
      </c>
      <c r="C4" s="2" t="n">
        <v>10</v>
      </c>
      <c r="D4" s="2" t="inlineStr">
        <is>
          <t>PARTIAL</t>
        </is>
      </c>
      <c r="E4" s="5">
        <f>IF(B4="I1",AVERAGEIF('QA_Images'!$A$2:$A$65,A4,'QA_Images'!$T$2:$T$65)/100,IF(D4="FULL",1,IF(D4="PARTIAL",0.5,IF(D4="FAIL",0,""))))</f>
        <v/>
      </c>
      <c r="F4" s="5">
        <f>IF(E4="",0,C4*E4)</f>
        <v/>
      </c>
      <c r="G4" s="5">
        <f>IF(B4="I1",20*AVERAGEIF('QA_Images'!$A$2:$A$65,A4,'QA_Images'!$U$2:$U$65)/100,IF(D4="NOT_CHECKED",0,C4))</f>
        <v/>
      </c>
      <c r="H4" s="2" t="inlineStr">
        <is>
          <t>Đối chiếu long-tail với thiết kế riêng và nguy cơ trùng intent trong hai cụm Christian/Christmas của batch.</t>
        </is>
      </c>
      <c r="I4" s="2" t="inlineStr">
        <is>
          <t>["evidence_batch_002_011", "https://jeminise.com/products/christian-bedding-set-inspirational-bible-verse-comforte-design-02", "serp_qa_011"]</t>
        </is>
      </c>
      <c r="J4" s="2" t="inlineStr">
        <is>
          <t>["ISS-011-IMG-02", "ISS-011-IMG-03", "ISS-011-IMG-04", "ISS-011-IMG-05", "ISS-011-IMG-06", "ISS-011-IMG-07", "ISS-011-IMG-08", "ISS-011-DESC", "ISS-011-ENC", "ISS-011-PERS", "ISS-011-SERP"]</t>
        </is>
      </c>
    </row>
    <row r="5" ht="42" customHeight="1">
      <c r="A5" s="3" t="inlineStr">
        <is>
          <t>jeminise.com+christian-bedding-set-inspirational-bible-verse-comforte-design-02</t>
        </is>
      </c>
      <c r="B5" s="3" t="inlineStr">
        <is>
          <t>K2</t>
        </is>
      </c>
      <c r="C5" s="3" t="n">
        <v>5</v>
      </c>
      <c r="D5" s="3" t="inlineStr">
        <is>
          <t>PARTIAL</t>
        </is>
      </c>
      <c r="E5" s="7">
        <f>IF(B5="I1",AVERAGEIF('QA_Images'!$A$2:$A$65,A5,'QA_Images'!$T$2:$T$65)/100,IF(D5="FULL",1,IF(D5="PARTIAL",0.5,IF(D5="FAIL",0,""))))</f>
        <v/>
      </c>
      <c r="F5" s="7">
        <f>IF(E5="",0,C5*E5)</f>
        <v/>
      </c>
      <c r="G5" s="7">
        <f>IF(B5="I1",20*AVERAGEIF('QA_Images'!$A$2:$A$65,A5,'QA_Images'!$U$2:$U$65)/100,IF(D5="NOT_CHECKED",0,C5))</f>
        <v/>
      </c>
      <c r="H5" s="3" t="inlineStr">
        <is>
          <t>Đã đọc lại hai SERP query cho mỗi sản phẩm tại intent US; ghi URL thực đọc và không suy diễn volume.</t>
        </is>
      </c>
      <c r="I5" s="3" t="inlineStr">
        <is>
          <t>["evidence_batch_002_011", "https://jeminise.com/products/christian-bedding-set-inspirational-bible-verse-comforte-design-02", "serp_qa_011"]</t>
        </is>
      </c>
      <c r="J5" s="3" t="inlineStr">
        <is>
          <t>["ISS-011-IMG-02", "ISS-011-IMG-03", "ISS-011-IMG-04", "ISS-011-IMG-05", "ISS-011-IMG-06", "ISS-011-IMG-07", "ISS-011-IMG-08", "ISS-011-DESC", "ISS-011-ENC", "ISS-011-PERS", "ISS-011-SERP"]</t>
        </is>
      </c>
    </row>
    <row r="6" ht="42" customHeight="1">
      <c r="A6" s="2" t="inlineStr">
        <is>
          <t>jeminise.com+christian-bedding-set-inspirational-bible-verse-comforte-design-02</t>
        </is>
      </c>
      <c r="B6" s="2" t="inlineStr">
        <is>
          <t>K3</t>
        </is>
      </c>
      <c r="C6" s="2" t="n">
        <v>5</v>
      </c>
      <c r="D6" s="2" t="inlineStr">
        <is>
          <t>FULL</t>
        </is>
      </c>
      <c r="E6" s="5">
        <f>IF(B6="I1",AVERAGEIF('QA_Images'!$A$2:$A$65,A6,'QA_Images'!$T$2:$T$65)/100,IF(D6="FULL",1,IF(D6="PARTIAL",0.5,IF(D6="FAIL",0,""))))</f>
        <v/>
      </c>
      <c r="F6" s="5">
        <f>IF(E6="",0,C6*E6)</f>
        <v/>
      </c>
      <c r="G6" s="5">
        <f>IF(B6="I1",20*AVERAGEIF('QA_Images'!$A$2:$A$65,A6,'QA_Images'!$U$2:$U$65)/100,IF(D6="NOT_CHECKED",0,C6))</f>
        <v/>
      </c>
      <c r="H6" s="2" t="inlineStr">
        <is>
          <t>Không suy diễn volume; phân biệt SERP_ONLY và HYPOTHESIS_ONLY.</t>
        </is>
      </c>
      <c r="I6" s="2" t="inlineStr">
        <is>
          <t>["evidence_batch_002_011", "https://jeminise.com/products/christian-bedding-set-inspirational-bible-verse-comforte-design-02", "serp_qa_011"]</t>
        </is>
      </c>
      <c r="J6" s="2" t="inlineStr">
        <is>
          <t>["ISS-011-IMG-02", "ISS-011-IMG-03", "ISS-011-IMG-04", "ISS-011-IMG-05", "ISS-011-IMG-06", "ISS-011-IMG-07", "ISS-011-IMG-08", "ISS-011-DESC", "ISS-011-ENC", "ISS-011-PERS", "ISS-011-SERP"]</t>
        </is>
      </c>
    </row>
    <row r="7" ht="42" customHeight="1">
      <c r="A7" s="3" t="inlineStr">
        <is>
          <t>jeminise.com+christian-bedding-set-inspirational-bible-verse-comforte-design-02</t>
        </is>
      </c>
      <c r="B7" s="3" t="inlineStr">
        <is>
          <t>T1</t>
        </is>
      </c>
      <c r="C7" s="3" t="n">
        <v>10</v>
      </c>
      <c r="D7" s="3" t="inlineStr">
        <is>
          <t>FAIL</t>
        </is>
      </c>
      <c r="E7" s="7">
        <f>IF(B7="I1",AVERAGEIF('QA_Images'!$A$2:$A$65,A7,'QA_Images'!$T$2:$T$65)/100,IF(D7="FULL",1,IF(D7="PARTIAL",0.5,IF(D7="FAIL",0,""))))</f>
        <v/>
      </c>
      <c r="F7" s="7">
        <f>IF(E7="",0,C7*E7)</f>
        <v/>
      </c>
      <c r="G7" s="7">
        <f>IF(B7="I1",20*AVERAGEIF('QA_Images'!$A$2:$A$65,A7,'QA_Images'!$U$2:$U$65)/100,IF(D7="NOT_CHECKED",0,C7))</f>
        <v/>
      </c>
      <c r="H7" s="3" t="inlineStr">
        <is>
          <t>Đánh giá SEO title English về độ đúng, tự nhiên, keyword và điểm phân biệt.</t>
        </is>
      </c>
      <c r="I7" s="3" t="inlineStr">
        <is>
          <t>["evidence_batch_002_011", "https://jeminise.com/products/christian-bedding-set-inspirational-bible-verse-comforte-design-02", "serp_qa_011"]</t>
        </is>
      </c>
      <c r="J7" s="3" t="inlineStr">
        <is>
          <t>["ISS-011-IMG-02", "ISS-011-IMG-03", "ISS-011-IMG-04", "ISS-011-IMG-05", "ISS-011-IMG-06", "ISS-011-IMG-07", "ISS-011-IMG-08", "ISS-011-DESC", "ISS-011-ENC", "ISS-011-PERS", "ISS-011-SERP"]</t>
        </is>
      </c>
    </row>
    <row r="8" ht="42" customHeight="1">
      <c r="A8" s="2" t="inlineStr">
        <is>
          <t>jeminise.com+christian-bedding-set-inspirational-bible-verse-comforte-design-02</t>
        </is>
      </c>
      <c r="B8" s="2" t="inlineStr">
        <is>
          <t>T2</t>
        </is>
      </c>
      <c r="C8" s="2" t="n">
        <v>5</v>
      </c>
      <c r="D8" s="2" t="inlineStr">
        <is>
          <t>PARTIAL</t>
        </is>
      </c>
      <c r="E8" s="5">
        <f>IF(B8="I1",AVERAGEIF('QA_Images'!$A$2:$A$65,A8,'QA_Images'!$T$2:$T$65)/100,IF(D8="FULL",1,IF(D8="PARTIAL",0.5,IF(D8="FAIL",0,""))))</f>
        <v/>
      </c>
      <c r="F8" s="5">
        <f>IF(E8="",0,C8*E8)</f>
        <v/>
      </c>
      <c r="G8" s="5">
        <f>IF(B8="I1",20*AVERAGEIF('QA_Images'!$A$2:$A$65,A8,'QA_Images'!$U$2:$U$65)/100,IF(D8="NOT_CHECKED",0,C8))</f>
        <v/>
      </c>
      <c r="H8" s="2" t="inlineStr">
        <is>
          <t>Đánh giá H1 đề xuất độc lập với SEO title và đối chiếu lỗi ký tự nguồn.</t>
        </is>
      </c>
      <c r="I8" s="2" t="inlineStr">
        <is>
          <t>["evidence_batch_002_011", "https://jeminise.com/products/christian-bedding-set-inspirational-bible-verse-comforte-design-02", "serp_qa_011"]</t>
        </is>
      </c>
      <c r="J8" s="2" t="inlineStr">
        <is>
          <t>["ISS-011-IMG-02", "ISS-011-IMG-03", "ISS-011-IMG-04", "ISS-011-IMG-05", "ISS-011-IMG-06", "ISS-011-IMG-07", "ISS-011-IMG-08", "ISS-011-DESC", "ISS-011-ENC", "ISS-011-PERS", "ISS-011-SERP"]</t>
        </is>
      </c>
    </row>
    <row r="9" ht="42" customHeight="1">
      <c r="A9" s="3" t="inlineStr">
        <is>
          <t>jeminise.com+christian-bedding-set-inspirational-bible-verse-comforte-design-02</t>
        </is>
      </c>
      <c r="B9" s="3" t="inlineStr">
        <is>
          <t>D1</t>
        </is>
      </c>
      <c r="C9" s="3" t="n">
        <v>5</v>
      </c>
      <c r="D9" s="3" t="inlineStr">
        <is>
          <t>FAIL</t>
        </is>
      </c>
      <c r="E9" s="7">
        <f>IF(B9="I1",AVERAGEIF('QA_Images'!$A$2:$A$65,A9,'QA_Images'!$T$2:$T$65)/100,IF(D9="FULL",1,IF(D9="PARTIAL",0.5,IF(D9="FAIL",0,""))))</f>
        <v/>
      </c>
      <c r="F9" s="7">
        <f>IF(E9="",0,C9*E9)</f>
        <v/>
      </c>
      <c r="G9" s="7">
        <f>IF(B9="I1",20*AVERAGEIF('QA_Images'!$A$2:$A$65,A9,'QA_Images'!$U$2:$U$65)/100,IF(D9="NOT_CHECKED",0,C9))</f>
        <v/>
      </c>
      <c r="H9" s="3" t="inlineStr">
        <is>
          <t>Đánh giá meta description về tính cụ thể và căn cứ claim.</t>
        </is>
      </c>
      <c r="I9" s="3" t="inlineStr">
        <is>
          <t>["evidence_batch_002_011", "https://jeminise.com/products/christian-bedding-set-inspirational-bible-verse-comforte-design-02", "serp_qa_011"]</t>
        </is>
      </c>
      <c r="J9" s="3" t="inlineStr">
        <is>
          <t>["ISS-011-IMG-02", "ISS-011-IMG-03", "ISS-011-IMG-04", "ISS-011-IMG-05", "ISS-011-IMG-06", "ISS-011-IMG-07", "ISS-011-IMG-08", "ISS-011-DESC", "ISS-011-ENC", "ISS-011-PERS", "ISS-011-SERP"]</t>
        </is>
      </c>
    </row>
    <row r="10" ht="42" customHeight="1">
      <c r="A10" s="2" t="inlineStr">
        <is>
          <t>jeminise.com+christian-bedding-set-inspirational-bible-verse-comforte-design-02</t>
        </is>
      </c>
      <c r="B10" s="2" t="inlineStr">
        <is>
          <t>D2</t>
        </is>
      </c>
      <c r="C10" s="2" t="n">
        <v>10</v>
      </c>
      <c r="D10" s="2" t="inlineStr">
        <is>
          <t>FAIL</t>
        </is>
      </c>
      <c r="E10" s="5">
        <f>IF(B10="I1",AVERAGEIF('QA_Images'!$A$2:$A$65,A10,'QA_Images'!$T$2:$T$65)/100,IF(D10="FULL",1,IF(D10="PARTIAL",0.5,IF(D10="FAIL",0,""))))</f>
        <v/>
      </c>
      <c r="F10" s="5">
        <f>IF(E10="",0,C10*E10)</f>
        <v/>
      </c>
      <c r="G10" s="5">
        <f>IF(B10="I1",20*AVERAGEIF('QA_Images'!$A$2:$A$65,A10,'QA_Images'!$U$2:$U$65)/100,IF(D10="NOT_CHECKED",0,C10))</f>
        <v/>
      </c>
      <c r="H10" s="2" t="inlineStr">
        <is>
          <t>Description SET có HTML đầy đủ nhưng chứa câu nội bộ 'This draft should be reviewed...' và dữ liệu nguồn thô/mâu thuẫn; chưa phải nội dung publish-ready.</t>
        </is>
      </c>
      <c r="I10" s="2" t="inlineStr">
        <is>
          <t>["evidence_batch_002_011", "https://jeminise.com/products/christian-bedding-set-inspirational-bible-verse-comforte-design-02", "serp_qa_011"]</t>
        </is>
      </c>
      <c r="J10" s="2" t="inlineStr">
        <is>
          <t>["ISS-011-IMG-02", "ISS-011-IMG-03", "ISS-011-IMG-04", "ISS-011-IMG-05", "ISS-011-IMG-06", "ISS-011-IMG-07", "ISS-011-IMG-08", "ISS-011-DESC", "ISS-011-ENC", "ISS-011-PERS", "ISS-011-SERP"]</t>
        </is>
      </c>
    </row>
    <row r="11" ht="42" customHeight="1">
      <c r="A11" s="3" t="inlineStr">
        <is>
          <t>jeminise.com+christian-bedding-set-inspirational-bible-verse-comforte-design-02</t>
        </is>
      </c>
      <c r="B11" s="3" t="inlineStr">
        <is>
          <t>I1</t>
        </is>
      </c>
      <c r="C11" s="3" t="n">
        <v>20</v>
      </c>
      <c r="D11" s="3" t="inlineStr">
        <is>
          <t>DERIVED</t>
        </is>
      </c>
      <c r="E11" s="7">
        <f>IF(B11="I1",AVERAGEIF('QA_Images'!$A$2:$A$65,A11,'QA_Images'!$T$2:$T$65)/100,IF(D11="FULL",1,IF(D11="PARTIAL",0.5,IF(D11="FAIL",0,""))))</f>
        <v/>
      </c>
      <c r="F11" s="7">
        <f>IF(E11="",0,C11*E11)</f>
        <v/>
      </c>
      <c r="G11" s="7">
        <f>IF(B11="I1",20*AVERAGEIF('QA_Images'!$A$2:$A$65,A11,'QA_Images'!$U$2:$U$65)/100,IF(D11="NOT_CHECKED",0,C11))</f>
        <v/>
      </c>
      <c r="H11" s="3" t="inlineStr">
        <is>
          <t>Tính từ trung bình 8 ảnh: 67.5000/100.</t>
        </is>
      </c>
      <c r="I11" s="3" t="inlineStr">
        <is>
          <t>["evidence_batch_002_011", "https://jeminise.com/products/christian-bedding-set-inspirational-bible-verse-comforte-design-02", "serp_qa_011"]</t>
        </is>
      </c>
      <c r="J11" s="3" t="inlineStr">
        <is>
          <t>["ISS-011-IMG-02", "ISS-011-IMG-03", "ISS-011-IMG-04", "ISS-011-IMG-05", "ISS-011-IMG-06", "ISS-011-IMG-07", "ISS-011-IMG-08", "ISS-011-DESC", "ISS-011-ENC", "ISS-011-PERS", "ISS-011-SERP"]</t>
        </is>
      </c>
    </row>
    <row r="12" ht="42" customHeight="1">
      <c r="A12" s="2" t="inlineStr">
        <is>
          <t>jeminise.com+christian-bedding-set-inspirational-bible-verse-comforte-design-02</t>
        </is>
      </c>
      <c r="B12" s="2" t="inlineStr">
        <is>
          <t>E1</t>
        </is>
      </c>
      <c r="C12" s="2" t="n">
        <v>5</v>
      </c>
      <c r="D12" s="2" t="inlineStr">
        <is>
          <t>PARTIAL</t>
        </is>
      </c>
      <c r="E12" s="5">
        <f>IF(B12="I1",AVERAGEIF('QA_Images'!$A$2:$A$65,A12,'QA_Images'!$T$2:$T$65)/100,IF(D12="FULL",1,IF(D12="PARTIAL",0.5,IF(D12="FAIL",0,""))))</f>
        <v/>
      </c>
      <c r="F12" s="5">
        <f>IF(E12="",0,C12*E12)</f>
        <v/>
      </c>
      <c r="G12" s="5">
        <f>IF(B12="I1",20*AVERAGEIF('QA_Images'!$A$2:$A$65,A12,'QA_Images'!$U$2:$U$65)/100,IF(D12="NOT_CHECKED",0,C12))</f>
        <v/>
      </c>
      <c r="H12" s="2" t="inlineStr">
        <is>
          <t>Kiểm tra liên kết product key/handle/evidence/revision giữa workbook, snapshot và nguồn live.</t>
        </is>
      </c>
      <c r="I12" s="2" t="inlineStr">
        <is>
          <t>["evidence_batch_002_011", "https://jeminise.com/products/christian-bedding-set-inspirational-bible-verse-comforte-design-02", "serp_qa_011"]</t>
        </is>
      </c>
      <c r="J12" s="2" t="inlineStr">
        <is>
          <t>["ISS-011-IMG-02", "ISS-011-IMG-03", "ISS-011-IMG-04", "ISS-011-IMG-05", "ISS-011-IMG-06", "ISS-011-IMG-07", "ISS-011-IMG-08", "ISS-011-DESC", "ISS-011-ENC", "ISS-011-PERS", "ISS-011-SERP"]</t>
        </is>
      </c>
    </row>
    <row r="13" ht="42" customHeight="1">
      <c r="A13" s="3" t="inlineStr">
        <is>
          <t>jeminise.com+christian-bedding-set-inspirational-bible-verse-comforte-design-03</t>
        </is>
      </c>
      <c r="B13" s="3" t="inlineStr">
        <is>
          <t>P1</t>
        </is>
      </c>
      <c r="C13" s="3" t="n">
        <v>15</v>
      </c>
      <c r="D13" s="3" t="inlineStr">
        <is>
          <t>FULL</t>
        </is>
      </c>
      <c r="E13" s="7">
        <f>IF(B13="I1",AVERAGEIF('QA_Images'!$A$2:$A$65,A13,'QA_Images'!$T$2:$T$65)/100,IF(D13="FULL",1,IF(D13="PARTIAL",0.5,IF(D13="FAIL",0,""))))</f>
        <v/>
      </c>
      <c r="F13" s="7">
        <f>IF(E13="",0,C13*E13)</f>
        <v/>
      </c>
      <c r="G13" s="7">
        <f>IF(B13="I1",20*AVERAGEIF('QA_Images'!$A$2:$A$65,A13,'QA_Images'!$U$2:$U$65)/100,IF(D13="NOT_CHECKED",0,C13))</f>
        <v/>
      </c>
      <c r="H13" s="3" t="inlineStr">
        <is>
          <t>Đối chiếu loại sản phẩm, thiết kế và màu với product JSON, H1 live và toàn bộ gallery.</t>
        </is>
      </c>
      <c r="I13" s="3" t="inlineStr">
        <is>
          <t>["evidence_batch_002_012", "https://jeminise.com/products/christian-bedding-set-inspirational-bible-verse-comforte-design-03", "serp_qa_012"]</t>
        </is>
      </c>
      <c r="J13" s="3" t="inlineStr">
        <is>
          <t>["ISS-012-IMG-02", "ISS-012-IMG-03", "ISS-012-IMG-04", "ISS-012-IMG-05", "ISS-012-IMG-06", "ISS-012-IMG-07", "ISS-012-DESC", "ISS-012-ENC", "ISS-012-PERS", "ISS-012-SERP"]</t>
        </is>
      </c>
    </row>
    <row r="14" ht="42" customHeight="1">
      <c r="A14" s="2" t="inlineStr">
        <is>
          <t>jeminise.com+christian-bedding-set-inspirational-bible-verse-comforte-design-03</t>
        </is>
      </c>
      <c r="B14" s="2" t="inlineStr">
        <is>
          <t>P2</t>
        </is>
      </c>
      <c r="C14" s="2" t="n">
        <v>10</v>
      </c>
      <c r="D14" s="2" t="inlineStr">
        <is>
          <t>FAIL</t>
        </is>
      </c>
      <c r="E14" s="5">
        <f>IF(B14="I1",AVERAGEIF('QA_Images'!$A$2:$A$65,A14,'QA_Images'!$T$2:$T$65)/100,IF(D14="FULL",1,IF(D14="PARTIAL",0.5,IF(D14="FAIL",0,""))))</f>
        <v/>
      </c>
      <c r="F14" s="5">
        <f>IF(E14="",0,C14*E14)</f>
        <v/>
      </c>
      <c r="G14" s="5">
        <f>IF(B14="I1",20*AVERAGEIF('QA_Images'!$A$2:$A$65,A14,'QA_Images'!$U$2:$U$65)/100,IF(D14="NOT_CHECKED",0,C14))</f>
        <v/>
      </c>
      <c r="H14" s="2" t="inlineStr">
        <is>
          <t>Đối chiếu chất liệu, kích thước, thành phần đi kèm, biến thể và personalization với product.js live, body HTML và toàn bộ gallery.</t>
        </is>
      </c>
      <c r="I14" s="2" t="inlineStr">
        <is>
          <t>["evidence_batch_002_012", "https://jeminise.com/products/christian-bedding-set-inspirational-bible-verse-comforte-design-03", "serp_qa_012"]</t>
        </is>
      </c>
      <c r="J14" s="2" t="inlineStr">
        <is>
          <t>["ISS-012-IMG-02", "ISS-012-IMG-03", "ISS-012-IMG-04", "ISS-012-IMG-05", "ISS-012-IMG-06", "ISS-012-IMG-07", "ISS-012-DESC", "ISS-012-ENC", "ISS-012-PERS", "ISS-012-SERP"]</t>
        </is>
      </c>
    </row>
    <row r="15" ht="42" customHeight="1">
      <c r="A15" s="3" t="inlineStr">
        <is>
          <t>jeminise.com+christian-bedding-set-inspirational-bible-verse-comforte-design-03</t>
        </is>
      </c>
      <c r="B15" s="3" t="inlineStr">
        <is>
          <t>K1</t>
        </is>
      </c>
      <c r="C15" s="3" t="n">
        <v>10</v>
      </c>
      <c r="D15" s="3" t="inlineStr">
        <is>
          <t>PARTIAL</t>
        </is>
      </c>
      <c r="E15" s="7">
        <f>IF(B15="I1",AVERAGEIF('QA_Images'!$A$2:$A$65,A15,'QA_Images'!$T$2:$T$65)/100,IF(D15="FULL",1,IF(D15="PARTIAL",0.5,IF(D15="FAIL",0,""))))</f>
        <v/>
      </c>
      <c r="F15" s="7">
        <f>IF(E15="",0,C15*E15)</f>
        <v/>
      </c>
      <c r="G15" s="7">
        <f>IF(B15="I1",20*AVERAGEIF('QA_Images'!$A$2:$A$65,A15,'QA_Images'!$U$2:$U$65)/100,IF(D15="NOT_CHECKED",0,C15))</f>
        <v/>
      </c>
      <c r="H15" s="3" t="inlineStr">
        <is>
          <t>Đối chiếu long-tail với thiết kế riêng và nguy cơ trùng intent trong hai cụm Christian/Christmas của batch.</t>
        </is>
      </c>
      <c r="I15" s="3" t="inlineStr">
        <is>
          <t>["evidence_batch_002_012", "https://jeminise.com/products/christian-bedding-set-inspirational-bible-verse-comforte-design-03", "serp_qa_012"]</t>
        </is>
      </c>
      <c r="J15" s="3" t="inlineStr">
        <is>
          <t>["ISS-012-IMG-02", "ISS-012-IMG-03", "ISS-012-IMG-04", "ISS-012-IMG-05", "ISS-012-IMG-06", "ISS-012-IMG-07", "ISS-012-DESC", "ISS-012-ENC", "ISS-012-PERS", "ISS-012-SERP"]</t>
        </is>
      </c>
    </row>
    <row r="16" ht="42" customHeight="1">
      <c r="A16" s="2" t="inlineStr">
        <is>
          <t>jeminise.com+christian-bedding-set-inspirational-bible-verse-comforte-design-03</t>
        </is>
      </c>
      <c r="B16" s="2" t="inlineStr">
        <is>
          <t>K2</t>
        </is>
      </c>
      <c r="C16" s="2" t="n">
        <v>5</v>
      </c>
      <c r="D16" s="2" t="inlineStr">
        <is>
          <t>PARTIAL</t>
        </is>
      </c>
      <c r="E16" s="5">
        <f>IF(B16="I1",AVERAGEIF('QA_Images'!$A$2:$A$65,A16,'QA_Images'!$T$2:$T$65)/100,IF(D16="FULL",1,IF(D16="PARTIAL",0.5,IF(D16="FAIL",0,""))))</f>
        <v/>
      </c>
      <c r="F16" s="5">
        <f>IF(E16="",0,C16*E16)</f>
        <v/>
      </c>
      <c r="G16" s="5">
        <f>IF(B16="I1",20*AVERAGEIF('QA_Images'!$A$2:$A$65,A16,'QA_Images'!$U$2:$U$65)/100,IF(D16="NOT_CHECKED",0,C16))</f>
        <v/>
      </c>
      <c r="H16" s="2" t="inlineStr">
        <is>
          <t>Đã đọc lại hai SERP query cho mỗi sản phẩm tại intent US; ghi URL thực đọc và không suy diễn volume.</t>
        </is>
      </c>
      <c r="I16" s="2" t="inlineStr">
        <is>
          <t>["evidence_batch_002_012", "https://jeminise.com/products/christian-bedding-set-inspirational-bible-verse-comforte-design-03", "serp_qa_012"]</t>
        </is>
      </c>
      <c r="J16" s="2" t="inlineStr">
        <is>
          <t>["ISS-012-IMG-02", "ISS-012-IMG-03", "ISS-012-IMG-04", "ISS-012-IMG-05", "ISS-012-IMG-06", "ISS-012-IMG-07", "ISS-012-DESC", "ISS-012-ENC", "ISS-012-PERS", "ISS-012-SERP"]</t>
        </is>
      </c>
    </row>
    <row r="17" ht="42" customHeight="1">
      <c r="A17" s="3" t="inlineStr">
        <is>
          <t>jeminise.com+christian-bedding-set-inspirational-bible-verse-comforte-design-03</t>
        </is>
      </c>
      <c r="B17" s="3" t="inlineStr">
        <is>
          <t>K3</t>
        </is>
      </c>
      <c r="C17" s="3" t="n">
        <v>5</v>
      </c>
      <c r="D17" s="3" t="inlineStr">
        <is>
          <t>FULL</t>
        </is>
      </c>
      <c r="E17" s="7">
        <f>IF(B17="I1",AVERAGEIF('QA_Images'!$A$2:$A$65,A17,'QA_Images'!$T$2:$T$65)/100,IF(D17="FULL",1,IF(D17="PARTIAL",0.5,IF(D17="FAIL",0,""))))</f>
        <v/>
      </c>
      <c r="F17" s="7">
        <f>IF(E17="",0,C17*E17)</f>
        <v/>
      </c>
      <c r="G17" s="7">
        <f>IF(B17="I1",20*AVERAGEIF('QA_Images'!$A$2:$A$65,A17,'QA_Images'!$U$2:$U$65)/100,IF(D17="NOT_CHECKED",0,C17))</f>
        <v/>
      </c>
      <c r="H17" s="3" t="inlineStr">
        <is>
          <t>Không suy diễn volume; phân biệt SERP_ONLY và HYPOTHESIS_ONLY.</t>
        </is>
      </c>
      <c r="I17" s="3" t="inlineStr">
        <is>
          <t>["evidence_batch_002_012", "https://jeminise.com/products/christian-bedding-set-inspirational-bible-verse-comforte-design-03", "serp_qa_012"]</t>
        </is>
      </c>
      <c r="J17" s="3" t="inlineStr">
        <is>
          <t>["ISS-012-IMG-02", "ISS-012-IMG-03", "ISS-012-IMG-04", "ISS-012-IMG-05", "ISS-012-IMG-06", "ISS-012-IMG-07", "ISS-012-DESC", "ISS-012-ENC", "ISS-012-PERS", "ISS-012-SERP"]</t>
        </is>
      </c>
    </row>
    <row r="18" ht="42" customHeight="1">
      <c r="A18" s="2" t="inlineStr">
        <is>
          <t>jeminise.com+christian-bedding-set-inspirational-bible-verse-comforte-design-03</t>
        </is>
      </c>
      <c r="B18" s="2" t="inlineStr">
        <is>
          <t>T1</t>
        </is>
      </c>
      <c r="C18" s="2" t="n">
        <v>10</v>
      </c>
      <c r="D18" s="2" t="inlineStr">
        <is>
          <t>FAIL</t>
        </is>
      </c>
      <c r="E18" s="5">
        <f>IF(B18="I1",AVERAGEIF('QA_Images'!$A$2:$A$65,A18,'QA_Images'!$T$2:$T$65)/100,IF(D18="FULL",1,IF(D18="PARTIAL",0.5,IF(D18="FAIL",0,""))))</f>
        <v/>
      </c>
      <c r="F18" s="5">
        <f>IF(E18="",0,C18*E18)</f>
        <v/>
      </c>
      <c r="G18" s="5">
        <f>IF(B18="I1",20*AVERAGEIF('QA_Images'!$A$2:$A$65,A18,'QA_Images'!$U$2:$U$65)/100,IF(D18="NOT_CHECKED",0,C18))</f>
        <v/>
      </c>
      <c r="H18" s="2" t="inlineStr">
        <is>
          <t>Đánh giá SEO title English về độ đúng, tự nhiên, keyword và điểm phân biệt.</t>
        </is>
      </c>
      <c r="I18" s="2" t="inlineStr">
        <is>
          <t>["evidence_batch_002_012", "https://jeminise.com/products/christian-bedding-set-inspirational-bible-verse-comforte-design-03", "serp_qa_012"]</t>
        </is>
      </c>
      <c r="J18" s="2" t="inlineStr">
        <is>
          <t>["ISS-012-IMG-02", "ISS-012-IMG-03", "ISS-012-IMG-04", "ISS-012-IMG-05", "ISS-012-IMG-06", "ISS-012-IMG-07", "ISS-012-DESC", "ISS-012-ENC", "ISS-012-PERS", "ISS-012-SERP"]</t>
        </is>
      </c>
    </row>
    <row r="19" ht="42" customHeight="1">
      <c r="A19" s="3" t="inlineStr">
        <is>
          <t>jeminise.com+christian-bedding-set-inspirational-bible-verse-comforte-design-03</t>
        </is>
      </c>
      <c r="B19" s="3" t="inlineStr">
        <is>
          <t>T2</t>
        </is>
      </c>
      <c r="C19" s="3" t="n">
        <v>5</v>
      </c>
      <c r="D19" s="3" t="inlineStr">
        <is>
          <t>PARTIAL</t>
        </is>
      </c>
      <c r="E19" s="7">
        <f>IF(B19="I1",AVERAGEIF('QA_Images'!$A$2:$A$65,A19,'QA_Images'!$T$2:$T$65)/100,IF(D19="FULL",1,IF(D19="PARTIAL",0.5,IF(D19="FAIL",0,""))))</f>
        <v/>
      </c>
      <c r="F19" s="7">
        <f>IF(E19="",0,C19*E19)</f>
        <v/>
      </c>
      <c r="G19" s="7">
        <f>IF(B19="I1",20*AVERAGEIF('QA_Images'!$A$2:$A$65,A19,'QA_Images'!$U$2:$U$65)/100,IF(D19="NOT_CHECKED",0,C19))</f>
        <v/>
      </c>
      <c r="H19" s="3" t="inlineStr">
        <is>
          <t>Đánh giá H1 đề xuất độc lập với SEO title và đối chiếu lỗi ký tự nguồn.</t>
        </is>
      </c>
      <c r="I19" s="3" t="inlineStr">
        <is>
          <t>["evidence_batch_002_012", "https://jeminise.com/products/christian-bedding-set-inspirational-bible-verse-comforte-design-03", "serp_qa_012"]</t>
        </is>
      </c>
      <c r="J19" s="3" t="inlineStr">
        <is>
          <t>["ISS-012-IMG-02", "ISS-012-IMG-03", "ISS-012-IMG-04", "ISS-012-IMG-05", "ISS-012-IMG-06", "ISS-012-IMG-07", "ISS-012-DESC", "ISS-012-ENC", "ISS-012-PERS", "ISS-012-SERP"]</t>
        </is>
      </c>
    </row>
    <row r="20" ht="42" customHeight="1">
      <c r="A20" s="2" t="inlineStr">
        <is>
          <t>jeminise.com+christian-bedding-set-inspirational-bible-verse-comforte-design-03</t>
        </is>
      </c>
      <c r="B20" s="2" t="inlineStr">
        <is>
          <t>D1</t>
        </is>
      </c>
      <c r="C20" s="2" t="n">
        <v>5</v>
      </c>
      <c r="D20" s="2" t="inlineStr">
        <is>
          <t>FAIL</t>
        </is>
      </c>
      <c r="E20" s="5">
        <f>IF(B20="I1",AVERAGEIF('QA_Images'!$A$2:$A$65,A20,'QA_Images'!$T$2:$T$65)/100,IF(D20="FULL",1,IF(D20="PARTIAL",0.5,IF(D20="FAIL",0,""))))</f>
        <v/>
      </c>
      <c r="F20" s="5">
        <f>IF(E20="",0,C20*E20)</f>
        <v/>
      </c>
      <c r="G20" s="5">
        <f>IF(B20="I1",20*AVERAGEIF('QA_Images'!$A$2:$A$65,A20,'QA_Images'!$U$2:$U$65)/100,IF(D20="NOT_CHECKED",0,C20))</f>
        <v/>
      </c>
      <c r="H20" s="2" t="inlineStr">
        <is>
          <t>Đánh giá meta description về tính cụ thể và căn cứ claim.</t>
        </is>
      </c>
      <c r="I20" s="2" t="inlineStr">
        <is>
          <t>["evidence_batch_002_012", "https://jeminise.com/products/christian-bedding-set-inspirational-bible-verse-comforte-design-03", "serp_qa_012"]</t>
        </is>
      </c>
      <c r="J20" s="2" t="inlineStr">
        <is>
          <t>["ISS-012-IMG-02", "ISS-012-IMG-03", "ISS-012-IMG-04", "ISS-012-IMG-05", "ISS-012-IMG-06", "ISS-012-IMG-07", "ISS-012-DESC", "ISS-012-ENC", "ISS-012-PERS", "ISS-012-SERP"]</t>
        </is>
      </c>
    </row>
    <row r="21" ht="42" customHeight="1">
      <c r="A21" s="3" t="inlineStr">
        <is>
          <t>jeminise.com+christian-bedding-set-inspirational-bible-verse-comforte-design-03</t>
        </is>
      </c>
      <c r="B21" s="3" t="inlineStr">
        <is>
          <t>D2</t>
        </is>
      </c>
      <c r="C21" s="3" t="n">
        <v>10</v>
      </c>
      <c r="D21" s="3" t="inlineStr">
        <is>
          <t>FAIL</t>
        </is>
      </c>
      <c r="E21" s="7">
        <f>IF(B21="I1",AVERAGEIF('QA_Images'!$A$2:$A$65,A21,'QA_Images'!$T$2:$T$65)/100,IF(D21="FULL",1,IF(D21="PARTIAL",0.5,IF(D21="FAIL",0,""))))</f>
        <v/>
      </c>
      <c r="F21" s="7">
        <f>IF(E21="",0,C21*E21)</f>
        <v/>
      </c>
      <c r="G21" s="7">
        <f>IF(B21="I1",20*AVERAGEIF('QA_Images'!$A$2:$A$65,A21,'QA_Images'!$U$2:$U$65)/100,IF(D21="NOT_CHECKED",0,C21))</f>
        <v/>
      </c>
      <c r="H21" s="3" t="inlineStr">
        <is>
          <t>Description SET có HTML đầy đủ nhưng chứa câu nội bộ 'This draft should be reviewed...' và dữ liệu nguồn thô/mâu thuẫn; chưa phải nội dung publish-ready.</t>
        </is>
      </c>
      <c r="I21" s="3" t="inlineStr">
        <is>
          <t>["evidence_batch_002_012", "https://jeminise.com/products/christian-bedding-set-inspirational-bible-verse-comforte-design-03", "serp_qa_012"]</t>
        </is>
      </c>
      <c r="J21" s="3" t="inlineStr">
        <is>
          <t>["ISS-012-IMG-02", "ISS-012-IMG-03", "ISS-012-IMG-04", "ISS-012-IMG-05", "ISS-012-IMG-06", "ISS-012-IMG-07", "ISS-012-DESC", "ISS-012-ENC", "ISS-012-PERS", "ISS-012-SERP"]</t>
        </is>
      </c>
    </row>
    <row r="22" ht="42" customHeight="1">
      <c r="A22" s="2" t="inlineStr">
        <is>
          <t>jeminise.com+christian-bedding-set-inspirational-bible-verse-comforte-design-03</t>
        </is>
      </c>
      <c r="B22" s="2" t="inlineStr">
        <is>
          <t>I1</t>
        </is>
      </c>
      <c r="C22" s="2" t="n">
        <v>20</v>
      </c>
      <c r="D22" s="2" t="inlineStr">
        <is>
          <t>DERIVED</t>
        </is>
      </c>
      <c r="E22" s="5">
        <f>IF(B22="I1",AVERAGEIF('QA_Images'!$A$2:$A$65,A22,'QA_Images'!$T$2:$T$65)/100,IF(D22="FULL",1,IF(D22="PARTIAL",0.5,IF(D22="FAIL",0,""))))</f>
        <v/>
      </c>
      <c r="F22" s="5">
        <f>IF(E22="",0,C22*E22)</f>
        <v/>
      </c>
      <c r="G22" s="5">
        <f>IF(B22="I1",20*AVERAGEIF('QA_Images'!$A$2:$A$65,A22,'QA_Images'!$U$2:$U$65)/100,IF(D22="NOT_CHECKED",0,C22))</f>
        <v/>
      </c>
      <c r="H22" s="2" t="inlineStr">
        <is>
          <t>Tính từ trung bình 7 ảnh: 62.8571/100.</t>
        </is>
      </c>
      <c r="I22" s="2" t="inlineStr">
        <is>
          <t>["evidence_batch_002_012", "https://jeminise.com/products/christian-bedding-set-inspirational-bible-verse-comforte-design-03", "serp_qa_012"]</t>
        </is>
      </c>
      <c r="J22" s="2" t="inlineStr">
        <is>
          <t>["ISS-012-IMG-02", "ISS-012-IMG-03", "ISS-012-IMG-04", "ISS-012-IMG-05", "ISS-012-IMG-06", "ISS-012-IMG-07", "ISS-012-DESC", "ISS-012-ENC", "ISS-012-PERS", "ISS-012-SERP"]</t>
        </is>
      </c>
    </row>
    <row r="23" ht="42" customHeight="1">
      <c r="A23" s="3" t="inlineStr">
        <is>
          <t>jeminise.com+christian-bedding-set-inspirational-bible-verse-comforte-design-03</t>
        </is>
      </c>
      <c r="B23" s="3" t="inlineStr">
        <is>
          <t>E1</t>
        </is>
      </c>
      <c r="C23" s="3" t="n">
        <v>5</v>
      </c>
      <c r="D23" s="3" t="inlineStr">
        <is>
          <t>PARTIAL</t>
        </is>
      </c>
      <c r="E23" s="7">
        <f>IF(B23="I1",AVERAGEIF('QA_Images'!$A$2:$A$65,A23,'QA_Images'!$T$2:$T$65)/100,IF(D23="FULL",1,IF(D23="PARTIAL",0.5,IF(D23="FAIL",0,""))))</f>
        <v/>
      </c>
      <c r="F23" s="7">
        <f>IF(E23="",0,C23*E23)</f>
        <v/>
      </c>
      <c r="G23" s="7">
        <f>IF(B23="I1",20*AVERAGEIF('QA_Images'!$A$2:$A$65,A23,'QA_Images'!$U$2:$U$65)/100,IF(D23="NOT_CHECKED",0,C23))</f>
        <v/>
      </c>
      <c r="H23" s="3" t="inlineStr">
        <is>
          <t>Kiểm tra liên kết product key/handle/evidence/revision giữa workbook, snapshot và nguồn live.</t>
        </is>
      </c>
      <c r="I23" s="3" t="inlineStr">
        <is>
          <t>["evidence_batch_002_012", "https://jeminise.com/products/christian-bedding-set-inspirational-bible-verse-comforte-design-03", "serp_qa_012"]</t>
        </is>
      </c>
      <c r="J23" s="3" t="inlineStr">
        <is>
          <t>["ISS-012-IMG-02", "ISS-012-IMG-03", "ISS-012-IMG-04", "ISS-012-IMG-05", "ISS-012-IMG-06", "ISS-012-IMG-07", "ISS-012-DESC", "ISS-012-ENC", "ISS-012-PERS", "ISS-012-SERP"]</t>
        </is>
      </c>
    </row>
    <row r="24" ht="42" customHeight="1">
      <c r="A24" s="2" t="inlineStr">
        <is>
          <t>jeminise.com+christian-bedding-set-inspirational-bible-verse-comforte-design-04</t>
        </is>
      </c>
      <c r="B24" s="2" t="inlineStr">
        <is>
          <t>P1</t>
        </is>
      </c>
      <c r="C24" s="2" t="n">
        <v>15</v>
      </c>
      <c r="D24" s="2" t="inlineStr">
        <is>
          <t>FULL</t>
        </is>
      </c>
      <c r="E24" s="5">
        <f>IF(B24="I1",AVERAGEIF('QA_Images'!$A$2:$A$65,A24,'QA_Images'!$T$2:$T$65)/100,IF(D24="FULL",1,IF(D24="PARTIAL",0.5,IF(D24="FAIL",0,""))))</f>
        <v/>
      </c>
      <c r="F24" s="5">
        <f>IF(E24="",0,C24*E24)</f>
        <v/>
      </c>
      <c r="G24" s="5">
        <f>IF(B24="I1",20*AVERAGEIF('QA_Images'!$A$2:$A$65,A24,'QA_Images'!$U$2:$U$65)/100,IF(D24="NOT_CHECKED",0,C24))</f>
        <v/>
      </c>
      <c r="H24" s="2" t="inlineStr">
        <is>
          <t>Đối chiếu loại sản phẩm, thiết kế và màu với product JSON, H1 live và toàn bộ gallery.</t>
        </is>
      </c>
      <c r="I24" s="2" t="inlineStr">
        <is>
          <t>["evidence_batch_002_013", "https://jeminise.com/products/christian-bedding-set-inspirational-bible-verse-comforte-design-04", "serp_qa_013"]</t>
        </is>
      </c>
      <c r="J24" s="2" t="inlineStr">
        <is>
          <t>["ISS-013-IMG-02", "ISS-013-IMG-03", "ISS-013-IMG-04", "ISS-013-IMG-05", "ISS-013-IMG-06", "ISS-013-IMG-07", "ISS-013-DESC", "ISS-013-ENC", "ISS-013-PERS", "ISS-013-SERP", "ISS-013-FACT"]</t>
        </is>
      </c>
    </row>
    <row r="25" ht="42" customHeight="1">
      <c r="A25" s="3" t="inlineStr">
        <is>
          <t>jeminise.com+christian-bedding-set-inspirational-bible-verse-comforte-design-04</t>
        </is>
      </c>
      <c r="B25" s="3" t="inlineStr">
        <is>
          <t>P2</t>
        </is>
      </c>
      <c r="C25" s="3" t="n">
        <v>10</v>
      </c>
      <c r="D25" s="3" t="inlineStr">
        <is>
          <t>FAIL</t>
        </is>
      </c>
      <c r="E25" s="7">
        <f>IF(B25="I1",AVERAGEIF('QA_Images'!$A$2:$A$65,A25,'QA_Images'!$T$2:$T$65)/100,IF(D25="FULL",1,IF(D25="PARTIAL",0.5,IF(D25="FAIL",0,""))))</f>
        <v/>
      </c>
      <c r="F25" s="7">
        <f>IF(E25="",0,C25*E25)</f>
        <v/>
      </c>
      <c r="G25" s="7">
        <f>IF(B25="I1",20*AVERAGEIF('QA_Images'!$A$2:$A$65,A25,'QA_Images'!$U$2:$U$65)/100,IF(D25="NOT_CHECKED",0,C25))</f>
        <v/>
      </c>
      <c r="H25" s="3" t="inlineStr">
        <is>
          <t>Đối chiếu chất liệu, kích thước, thành phần đi kèm, biến thể và personalization với product.js live, body HTML và toàn bộ gallery.</t>
        </is>
      </c>
      <c r="I25" s="3" t="inlineStr">
        <is>
          <t>["evidence_batch_002_013", "https://jeminise.com/products/christian-bedding-set-inspirational-bible-verse-comforte-design-04", "serp_qa_013"]</t>
        </is>
      </c>
      <c r="J25" s="3" t="inlineStr">
        <is>
          <t>["ISS-013-IMG-02", "ISS-013-IMG-03", "ISS-013-IMG-04", "ISS-013-IMG-05", "ISS-013-IMG-06", "ISS-013-IMG-07", "ISS-013-DESC", "ISS-013-ENC", "ISS-013-PERS", "ISS-013-SERP", "ISS-013-FACT"]</t>
        </is>
      </c>
    </row>
    <row r="26" ht="42" customHeight="1">
      <c r="A26" s="2" t="inlineStr">
        <is>
          <t>jeminise.com+christian-bedding-set-inspirational-bible-verse-comforte-design-04</t>
        </is>
      </c>
      <c r="B26" s="2" t="inlineStr">
        <is>
          <t>K1</t>
        </is>
      </c>
      <c r="C26" s="2" t="n">
        <v>10</v>
      </c>
      <c r="D26" s="2" t="inlineStr">
        <is>
          <t>PARTIAL</t>
        </is>
      </c>
      <c r="E26" s="5">
        <f>IF(B26="I1",AVERAGEIF('QA_Images'!$A$2:$A$65,A26,'QA_Images'!$T$2:$T$65)/100,IF(D26="FULL",1,IF(D26="PARTIAL",0.5,IF(D26="FAIL",0,""))))</f>
        <v/>
      </c>
      <c r="F26" s="5">
        <f>IF(E26="",0,C26*E26)</f>
        <v/>
      </c>
      <c r="G26" s="5">
        <f>IF(B26="I1",20*AVERAGEIF('QA_Images'!$A$2:$A$65,A26,'QA_Images'!$U$2:$U$65)/100,IF(D26="NOT_CHECKED",0,C26))</f>
        <v/>
      </c>
      <c r="H26" s="2" t="inlineStr">
        <is>
          <t>Đối chiếu long-tail với thiết kế riêng và nguy cơ trùng intent trong hai cụm Christian/Christmas của batch.</t>
        </is>
      </c>
      <c r="I26" s="2" t="inlineStr">
        <is>
          <t>["evidence_batch_002_013", "https://jeminise.com/products/christian-bedding-set-inspirational-bible-verse-comforte-design-04", "serp_qa_013"]</t>
        </is>
      </c>
      <c r="J26" s="2" t="inlineStr">
        <is>
          <t>["ISS-013-IMG-02", "ISS-013-IMG-03", "ISS-013-IMG-04", "ISS-013-IMG-05", "ISS-013-IMG-06", "ISS-013-IMG-07", "ISS-013-DESC", "ISS-013-ENC", "ISS-013-PERS", "ISS-013-SERP", "ISS-013-FACT"]</t>
        </is>
      </c>
    </row>
    <row r="27" ht="42" customHeight="1">
      <c r="A27" s="3" t="inlineStr">
        <is>
          <t>jeminise.com+christian-bedding-set-inspirational-bible-verse-comforte-design-04</t>
        </is>
      </c>
      <c r="B27" s="3" t="inlineStr">
        <is>
          <t>K2</t>
        </is>
      </c>
      <c r="C27" s="3" t="n">
        <v>5</v>
      </c>
      <c r="D27" s="3" t="inlineStr">
        <is>
          <t>PARTIAL</t>
        </is>
      </c>
      <c r="E27" s="7">
        <f>IF(B27="I1",AVERAGEIF('QA_Images'!$A$2:$A$65,A27,'QA_Images'!$T$2:$T$65)/100,IF(D27="FULL",1,IF(D27="PARTIAL",0.5,IF(D27="FAIL",0,""))))</f>
        <v/>
      </c>
      <c r="F27" s="7">
        <f>IF(E27="",0,C27*E27)</f>
        <v/>
      </c>
      <c r="G27" s="7">
        <f>IF(B27="I1",20*AVERAGEIF('QA_Images'!$A$2:$A$65,A27,'QA_Images'!$U$2:$U$65)/100,IF(D27="NOT_CHECKED",0,C27))</f>
        <v/>
      </c>
      <c r="H27" s="3" t="inlineStr">
        <is>
          <t>Đã đọc lại hai SERP query cho mỗi sản phẩm tại intent US; ghi URL thực đọc và không suy diễn volume.</t>
        </is>
      </c>
      <c r="I27" s="3" t="inlineStr">
        <is>
          <t>["evidence_batch_002_013", "https://jeminise.com/products/christian-bedding-set-inspirational-bible-verse-comforte-design-04", "serp_qa_013"]</t>
        </is>
      </c>
      <c r="J27" s="3" t="inlineStr">
        <is>
          <t>["ISS-013-IMG-02", "ISS-013-IMG-03", "ISS-013-IMG-04", "ISS-013-IMG-05", "ISS-013-IMG-06", "ISS-013-IMG-07", "ISS-013-DESC", "ISS-013-ENC", "ISS-013-PERS", "ISS-013-SERP", "ISS-013-FACT"]</t>
        </is>
      </c>
    </row>
    <row r="28" ht="42" customHeight="1">
      <c r="A28" s="2" t="inlineStr">
        <is>
          <t>jeminise.com+christian-bedding-set-inspirational-bible-verse-comforte-design-04</t>
        </is>
      </c>
      <c r="B28" s="2" t="inlineStr">
        <is>
          <t>K3</t>
        </is>
      </c>
      <c r="C28" s="2" t="n">
        <v>5</v>
      </c>
      <c r="D28" s="2" t="inlineStr">
        <is>
          <t>FULL</t>
        </is>
      </c>
      <c r="E28" s="5">
        <f>IF(B28="I1",AVERAGEIF('QA_Images'!$A$2:$A$65,A28,'QA_Images'!$T$2:$T$65)/100,IF(D28="FULL",1,IF(D28="PARTIAL",0.5,IF(D28="FAIL",0,""))))</f>
        <v/>
      </c>
      <c r="F28" s="5">
        <f>IF(E28="",0,C28*E28)</f>
        <v/>
      </c>
      <c r="G28" s="5">
        <f>IF(B28="I1",20*AVERAGEIF('QA_Images'!$A$2:$A$65,A28,'QA_Images'!$U$2:$U$65)/100,IF(D28="NOT_CHECKED",0,C28))</f>
        <v/>
      </c>
      <c r="H28" s="2" t="inlineStr">
        <is>
          <t>Không suy diễn volume; phân biệt SERP_ONLY và HYPOTHESIS_ONLY.</t>
        </is>
      </c>
      <c r="I28" s="2" t="inlineStr">
        <is>
          <t>["evidence_batch_002_013", "https://jeminise.com/products/christian-bedding-set-inspirational-bible-verse-comforte-design-04", "serp_qa_013"]</t>
        </is>
      </c>
      <c r="J28" s="2" t="inlineStr">
        <is>
          <t>["ISS-013-IMG-02", "ISS-013-IMG-03", "ISS-013-IMG-04", "ISS-013-IMG-05", "ISS-013-IMG-06", "ISS-013-IMG-07", "ISS-013-DESC", "ISS-013-ENC", "ISS-013-PERS", "ISS-013-SERP", "ISS-013-FACT"]</t>
        </is>
      </c>
    </row>
    <row r="29" ht="42" customHeight="1">
      <c r="A29" s="3" t="inlineStr">
        <is>
          <t>jeminise.com+christian-bedding-set-inspirational-bible-verse-comforte-design-04</t>
        </is>
      </c>
      <c r="B29" s="3" t="inlineStr">
        <is>
          <t>T1</t>
        </is>
      </c>
      <c r="C29" s="3" t="n">
        <v>10</v>
      </c>
      <c r="D29" s="3" t="inlineStr">
        <is>
          <t>FAIL</t>
        </is>
      </c>
      <c r="E29" s="7">
        <f>IF(B29="I1",AVERAGEIF('QA_Images'!$A$2:$A$65,A29,'QA_Images'!$T$2:$T$65)/100,IF(D29="FULL",1,IF(D29="PARTIAL",0.5,IF(D29="FAIL",0,""))))</f>
        <v/>
      </c>
      <c r="F29" s="7">
        <f>IF(E29="",0,C29*E29)</f>
        <v/>
      </c>
      <c r="G29" s="7">
        <f>IF(B29="I1",20*AVERAGEIF('QA_Images'!$A$2:$A$65,A29,'QA_Images'!$U$2:$U$65)/100,IF(D29="NOT_CHECKED",0,C29))</f>
        <v/>
      </c>
      <c r="H29" s="3" t="inlineStr">
        <is>
          <t>Đánh giá SEO title English về độ đúng, tự nhiên, keyword và điểm phân biệt.</t>
        </is>
      </c>
      <c r="I29" s="3" t="inlineStr">
        <is>
          <t>["evidence_batch_002_013", "https://jeminise.com/products/christian-bedding-set-inspirational-bible-verse-comforte-design-04", "serp_qa_013"]</t>
        </is>
      </c>
      <c r="J29" s="3" t="inlineStr">
        <is>
          <t>["ISS-013-IMG-02", "ISS-013-IMG-03", "ISS-013-IMG-04", "ISS-013-IMG-05", "ISS-013-IMG-06", "ISS-013-IMG-07", "ISS-013-DESC", "ISS-013-ENC", "ISS-013-PERS", "ISS-013-SERP", "ISS-013-FACT"]</t>
        </is>
      </c>
    </row>
    <row r="30" ht="42" customHeight="1">
      <c r="A30" s="2" t="inlineStr">
        <is>
          <t>jeminise.com+christian-bedding-set-inspirational-bible-verse-comforte-design-04</t>
        </is>
      </c>
      <c r="B30" s="2" t="inlineStr">
        <is>
          <t>T2</t>
        </is>
      </c>
      <c r="C30" s="2" t="n">
        <v>5</v>
      </c>
      <c r="D30" s="2" t="inlineStr">
        <is>
          <t>PARTIAL</t>
        </is>
      </c>
      <c r="E30" s="5">
        <f>IF(B30="I1",AVERAGEIF('QA_Images'!$A$2:$A$65,A30,'QA_Images'!$T$2:$T$65)/100,IF(D30="FULL",1,IF(D30="PARTIAL",0.5,IF(D30="FAIL",0,""))))</f>
        <v/>
      </c>
      <c r="F30" s="5">
        <f>IF(E30="",0,C30*E30)</f>
        <v/>
      </c>
      <c r="G30" s="5">
        <f>IF(B30="I1",20*AVERAGEIF('QA_Images'!$A$2:$A$65,A30,'QA_Images'!$U$2:$U$65)/100,IF(D30="NOT_CHECKED",0,C30))</f>
        <v/>
      </c>
      <c r="H30" s="2" t="inlineStr">
        <is>
          <t>Đánh giá H1 đề xuất độc lập với SEO title và đối chiếu lỗi ký tự nguồn.</t>
        </is>
      </c>
      <c r="I30" s="2" t="inlineStr">
        <is>
          <t>["evidence_batch_002_013", "https://jeminise.com/products/christian-bedding-set-inspirational-bible-verse-comforte-design-04", "serp_qa_013"]</t>
        </is>
      </c>
      <c r="J30" s="2" t="inlineStr">
        <is>
          <t>["ISS-013-IMG-02", "ISS-013-IMG-03", "ISS-013-IMG-04", "ISS-013-IMG-05", "ISS-013-IMG-06", "ISS-013-IMG-07", "ISS-013-DESC", "ISS-013-ENC", "ISS-013-PERS", "ISS-013-SERP", "ISS-013-FACT"]</t>
        </is>
      </c>
    </row>
    <row r="31" ht="42" customHeight="1">
      <c r="A31" s="3" t="inlineStr">
        <is>
          <t>jeminise.com+christian-bedding-set-inspirational-bible-verse-comforte-design-04</t>
        </is>
      </c>
      <c r="B31" s="3" t="inlineStr">
        <is>
          <t>D1</t>
        </is>
      </c>
      <c r="C31" s="3" t="n">
        <v>5</v>
      </c>
      <c r="D31" s="3" t="inlineStr">
        <is>
          <t>FAIL</t>
        </is>
      </c>
      <c r="E31" s="7">
        <f>IF(B31="I1",AVERAGEIF('QA_Images'!$A$2:$A$65,A31,'QA_Images'!$T$2:$T$65)/100,IF(D31="FULL",1,IF(D31="PARTIAL",0.5,IF(D31="FAIL",0,""))))</f>
        <v/>
      </c>
      <c r="F31" s="7">
        <f>IF(E31="",0,C31*E31)</f>
        <v/>
      </c>
      <c r="G31" s="7">
        <f>IF(B31="I1",20*AVERAGEIF('QA_Images'!$A$2:$A$65,A31,'QA_Images'!$U$2:$U$65)/100,IF(D31="NOT_CHECKED",0,C31))</f>
        <v/>
      </c>
      <c r="H31" s="3" t="inlineStr">
        <is>
          <t>Đánh giá meta description về tính cụ thể và căn cứ claim.</t>
        </is>
      </c>
      <c r="I31" s="3" t="inlineStr">
        <is>
          <t>["evidence_batch_002_013", "https://jeminise.com/products/christian-bedding-set-inspirational-bible-verse-comforte-design-04", "serp_qa_013"]</t>
        </is>
      </c>
      <c r="J31" s="3" t="inlineStr">
        <is>
          <t>["ISS-013-IMG-02", "ISS-013-IMG-03", "ISS-013-IMG-04", "ISS-013-IMG-05", "ISS-013-IMG-06", "ISS-013-IMG-07", "ISS-013-DESC", "ISS-013-ENC", "ISS-013-PERS", "ISS-013-SERP", "ISS-013-FACT"]</t>
        </is>
      </c>
    </row>
    <row r="32" ht="42" customHeight="1">
      <c r="A32" s="2" t="inlineStr">
        <is>
          <t>jeminise.com+christian-bedding-set-inspirational-bible-verse-comforte-design-04</t>
        </is>
      </c>
      <c r="B32" s="2" t="inlineStr">
        <is>
          <t>D2</t>
        </is>
      </c>
      <c r="C32" s="2" t="n">
        <v>10</v>
      </c>
      <c r="D32" s="2" t="inlineStr">
        <is>
          <t>FAIL</t>
        </is>
      </c>
      <c r="E32" s="5">
        <f>IF(B32="I1",AVERAGEIF('QA_Images'!$A$2:$A$65,A32,'QA_Images'!$T$2:$T$65)/100,IF(D32="FULL",1,IF(D32="PARTIAL",0.5,IF(D32="FAIL",0,""))))</f>
        <v/>
      </c>
      <c r="F32" s="5">
        <f>IF(E32="",0,C32*E32)</f>
        <v/>
      </c>
      <c r="G32" s="5">
        <f>IF(B32="I1",20*AVERAGEIF('QA_Images'!$A$2:$A$65,A32,'QA_Images'!$U$2:$U$65)/100,IF(D32="NOT_CHECKED",0,C32))</f>
        <v/>
      </c>
      <c r="H32" s="2" t="inlineStr">
        <is>
          <t>Description SET có HTML đầy đủ nhưng chứa câu nội bộ 'This draft should be reviewed...' và dữ liệu nguồn thô/mâu thuẫn; chưa phải nội dung publish-ready.</t>
        </is>
      </c>
      <c r="I32" s="2" t="inlineStr">
        <is>
          <t>["evidence_batch_002_013", "https://jeminise.com/products/christian-bedding-set-inspirational-bible-verse-comforte-design-04", "serp_qa_013"]</t>
        </is>
      </c>
      <c r="J32" s="2" t="inlineStr">
        <is>
          <t>["ISS-013-IMG-02", "ISS-013-IMG-03", "ISS-013-IMG-04", "ISS-013-IMG-05", "ISS-013-IMG-06", "ISS-013-IMG-07", "ISS-013-DESC", "ISS-013-ENC", "ISS-013-PERS", "ISS-013-SERP", "ISS-013-FACT"]</t>
        </is>
      </c>
    </row>
    <row r="33" ht="42" customHeight="1">
      <c r="A33" s="3" t="inlineStr">
        <is>
          <t>jeminise.com+christian-bedding-set-inspirational-bible-verse-comforte-design-04</t>
        </is>
      </c>
      <c r="B33" s="3" t="inlineStr">
        <is>
          <t>I1</t>
        </is>
      </c>
      <c r="C33" s="3" t="n">
        <v>20</v>
      </c>
      <c r="D33" s="3" t="inlineStr">
        <is>
          <t>DERIVED</t>
        </is>
      </c>
      <c r="E33" s="7">
        <f>IF(B33="I1",AVERAGEIF('QA_Images'!$A$2:$A$65,A33,'QA_Images'!$T$2:$T$65)/100,IF(D33="FULL",1,IF(D33="PARTIAL",0.5,IF(D33="FAIL",0,""))))</f>
        <v/>
      </c>
      <c r="F33" s="7">
        <f>IF(E33="",0,C33*E33)</f>
        <v/>
      </c>
      <c r="G33" s="7">
        <f>IF(B33="I1",20*AVERAGEIF('QA_Images'!$A$2:$A$65,A33,'QA_Images'!$U$2:$U$65)/100,IF(D33="NOT_CHECKED",0,C33))</f>
        <v/>
      </c>
      <c r="H33" s="3" t="inlineStr">
        <is>
          <t>Tính từ trung bình 7 ảnh: 62.8571/100.</t>
        </is>
      </c>
      <c r="I33" s="3" t="inlineStr">
        <is>
          <t>["evidence_batch_002_013", "https://jeminise.com/products/christian-bedding-set-inspirational-bible-verse-comforte-design-04", "serp_qa_013"]</t>
        </is>
      </c>
      <c r="J33" s="3" t="inlineStr">
        <is>
          <t>["ISS-013-IMG-02", "ISS-013-IMG-03", "ISS-013-IMG-04", "ISS-013-IMG-05", "ISS-013-IMG-06", "ISS-013-IMG-07", "ISS-013-DESC", "ISS-013-ENC", "ISS-013-PERS", "ISS-013-SERP", "ISS-013-FACT"]</t>
        </is>
      </c>
    </row>
    <row r="34" ht="42" customHeight="1">
      <c r="A34" s="2" t="inlineStr">
        <is>
          <t>jeminise.com+christian-bedding-set-inspirational-bible-verse-comforte-design-04</t>
        </is>
      </c>
      <c r="B34" s="2" t="inlineStr">
        <is>
          <t>E1</t>
        </is>
      </c>
      <c r="C34" s="2" t="n">
        <v>5</v>
      </c>
      <c r="D34" s="2" t="inlineStr">
        <is>
          <t>PARTIAL</t>
        </is>
      </c>
      <c r="E34" s="5">
        <f>IF(B34="I1",AVERAGEIF('QA_Images'!$A$2:$A$65,A34,'QA_Images'!$T$2:$T$65)/100,IF(D34="FULL",1,IF(D34="PARTIAL",0.5,IF(D34="FAIL",0,""))))</f>
        <v/>
      </c>
      <c r="F34" s="5">
        <f>IF(E34="",0,C34*E34)</f>
        <v/>
      </c>
      <c r="G34" s="5">
        <f>IF(B34="I1",20*AVERAGEIF('QA_Images'!$A$2:$A$65,A34,'QA_Images'!$U$2:$U$65)/100,IF(D34="NOT_CHECKED",0,C34))</f>
        <v/>
      </c>
      <c r="H34" s="2" t="inlineStr">
        <is>
          <t>Kiểm tra liên kết product key/handle/evidence/revision giữa workbook, snapshot và nguồn live.</t>
        </is>
      </c>
      <c r="I34" s="2" t="inlineStr">
        <is>
          <t>["evidence_batch_002_013", "https://jeminise.com/products/christian-bedding-set-inspirational-bible-verse-comforte-design-04", "serp_qa_013"]</t>
        </is>
      </c>
      <c r="J34" s="2" t="inlineStr">
        <is>
          <t>["ISS-013-IMG-02", "ISS-013-IMG-03", "ISS-013-IMG-04", "ISS-013-IMG-05", "ISS-013-IMG-06", "ISS-013-IMG-07", "ISS-013-DESC", "ISS-013-ENC", "ISS-013-PERS", "ISS-013-SERP", "ISS-013-FACT"]</t>
        </is>
      </c>
    </row>
    <row r="35" ht="42" customHeight="1">
      <c r="A35" s="3" t="inlineStr">
        <is>
          <t>jeminise.com+christian-bedding-set-inspirational-bible-verse-comforte-design-05</t>
        </is>
      </c>
      <c r="B35" s="3" t="inlineStr">
        <is>
          <t>P1</t>
        </is>
      </c>
      <c r="C35" s="3" t="n">
        <v>15</v>
      </c>
      <c r="D35" s="3" t="inlineStr">
        <is>
          <t>FULL</t>
        </is>
      </c>
      <c r="E35" s="7">
        <f>IF(B35="I1",AVERAGEIF('QA_Images'!$A$2:$A$65,A35,'QA_Images'!$T$2:$T$65)/100,IF(D35="FULL",1,IF(D35="PARTIAL",0.5,IF(D35="FAIL",0,""))))</f>
        <v/>
      </c>
      <c r="F35" s="7">
        <f>IF(E35="",0,C35*E35)</f>
        <v/>
      </c>
      <c r="G35" s="7">
        <f>IF(B35="I1",20*AVERAGEIF('QA_Images'!$A$2:$A$65,A35,'QA_Images'!$U$2:$U$65)/100,IF(D35="NOT_CHECKED",0,C35))</f>
        <v/>
      </c>
      <c r="H35" s="3" t="inlineStr">
        <is>
          <t>Đối chiếu loại sản phẩm, thiết kế và màu với product JSON, H1 live và toàn bộ gallery.</t>
        </is>
      </c>
      <c r="I35" s="3" t="inlineStr">
        <is>
          <t>["evidence_batch_002_014", "https://jeminise.com/products/christian-bedding-set-inspirational-bible-verse-comforte-design-05", "serp_qa_014"]</t>
        </is>
      </c>
      <c r="J35" s="3" t="inlineStr">
        <is>
          <t>["ISS-014-IMG-02", "ISS-014-IMG-03", "ISS-014-IMG-04", "ISS-014-IMG-05", "ISS-014-IMG-06", "ISS-014-IMG-07", "ISS-014-DESC", "ISS-014-ENC", "ISS-014-PERS", "ISS-014-SERP"]</t>
        </is>
      </c>
    </row>
    <row r="36" ht="42" customHeight="1">
      <c r="A36" s="2" t="inlineStr">
        <is>
          <t>jeminise.com+christian-bedding-set-inspirational-bible-verse-comforte-design-05</t>
        </is>
      </c>
      <c r="B36" s="2" t="inlineStr">
        <is>
          <t>P2</t>
        </is>
      </c>
      <c r="C36" s="2" t="n">
        <v>10</v>
      </c>
      <c r="D36" s="2" t="inlineStr">
        <is>
          <t>FAIL</t>
        </is>
      </c>
      <c r="E36" s="5">
        <f>IF(B36="I1",AVERAGEIF('QA_Images'!$A$2:$A$65,A36,'QA_Images'!$T$2:$T$65)/100,IF(D36="FULL",1,IF(D36="PARTIAL",0.5,IF(D36="FAIL",0,""))))</f>
        <v/>
      </c>
      <c r="F36" s="5">
        <f>IF(E36="",0,C36*E36)</f>
        <v/>
      </c>
      <c r="G36" s="5">
        <f>IF(B36="I1",20*AVERAGEIF('QA_Images'!$A$2:$A$65,A36,'QA_Images'!$U$2:$U$65)/100,IF(D36="NOT_CHECKED",0,C36))</f>
        <v/>
      </c>
      <c r="H36" s="2" t="inlineStr">
        <is>
          <t>Đối chiếu chất liệu, kích thước, thành phần đi kèm, biến thể và personalization với product.js live, body HTML và toàn bộ gallery.</t>
        </is>
      </c>
      <c r="I36" s="2" t="inlineStr">
        <is>
          <t>["evidence_batch_002_014", "https://jeminise.com/products/christian-bedding-set-inspirational-bible-verse-comforte-design-05", "serp_qa_014"]</t>
        </is>
      </c>
      <c r="J36" s="2" t="inlineStr">
        <is>
          <t>["ISS-014-IMG-02", "ISS-014-IMG-03", "ISS-014-IMG-04", "ISS-014-IMG-05", "ISS-014-IMG-06", "ISS-014-IMG-07", "ISS-014-DESC", "ISS-014-ENC", "ISS-014-PERS", "ISS-014-SERP"]</t>
        </is>
      </c>
    </row>
    <row r="37" ht="42" customHeight="1">
      <c r="A37" s="3" t="inlineStr">
        <is>
          <t>jeminise.com+christian-bedding-set-inspirational-bible-verse-comforte-design-05</t>
        </is>
      </c>
      <c r="B37" s="3" t="inlineStr">
        <is>
          <t>K1</t>
        </is>
      </c>
      <c r="C37" s="3" t="n">
        <v>10</v>
      </c>
      <c r="D37" s="3" t="inlineStr">
        <is>
          <t>PARTIAL</t>
        </is>
      </c>
      <c r="E37" s="7">
        <f>IF(B37="I1",AVERAGEIF('QA_Images'!$A$2:$A$65,A37,'QA_Images'!$T$2:$T$65)/100,IF(D37="FULL",1,IF(D37="PARTIAL",0.5,IF(D37="FAIL",0,""))))</f>
        <v/>
      </c>
      <c r="F37" s="7">
        <f>IF(E37="",0,C37*E37)</f>
        <v/>
      </c>
      <c r="G37" s="7">
        <f>IF(B37="I1",20*AVERAGEIF('QA_Images'!$A$2:$A$65,A37,'QA_Images'!$U$2:$U$65)/100,IF(D37="NOT_CHECKED",0,C37))</f>
        <v/>
      </c>
      <c r="H37" s="3" t="inlineStr">
        <is>
          <t>Đối chiếu long-tail với thiết kế riêng và nguy cơ trùng intent trong hai cụm Christian/Christmas của batch.</t>
        </is>
      </c>
      <c r="I37" s="3" t="inlineStr">
        <is>
          <t>["evidence_batch_002_014", "https://jeminise.com/products/christian-bedding-set-inspirational-bible-verse-comforte-design-05", "serp_qa_014"]</t>
        </is>
      </c>
      <c r="J37" s="3" t="inlineStr">
        <is>
          <t>["ISS-014-IMG-02", "ISS-014-IMG-03", "ISS-014-IMG-04", "ISS-014-IMG-05", "ISS-014-IMG-06", "ISS-014-IMG-07", "ISS-014-DESC", "ISS-014-ENC", "ISS-014-PERS", "ISS-014-SERP"]</t>
        </is>
      </c>
    </row>
    <row r="38" ht="42" customHeight="1">
      <c r="A38" s="2" t="inlineStr">
        <is>
          <t>jeminise.com+christian-bedding-set-inspirational-bible-verse-comforte-design-05</t>
        </is>
      </c>
      <c r="B38" s="2" t="inlineStr">
        <is>
          <t>K2</t>
        </is>
      </c>
      <c r="C38" s="2" t="n">
        <v>5</v>
      </c>
      <c r="D38" s="2" t="inlineStr">
        <is>
          <t>PARTIAL</t>
        </is>
      </c>
      <c r="E38" s="5">
        <f>IF(B38="I1",AVERAGEIF('QA_Images'!$A$2:$A$65,A38,'QA_Images'!$T$2:$T$65)/100,IF(D38="FULL",1,IF(D38="PARTIAL",0.5,IF(D38="FAIL",0,""))))</f>
        <v/>
      </c>
      <c r="F38" s="5">
        <f>IF(E38="",0,C38*E38)</f>
        <v/>
      </c>
      <c r="G38" s="5">
        <f>IF(B38="I1",20*AVERAGEIF('QA_Images'!$A$2:$A$65,A38,'QA_Images'!$U$2:$U$65)/100,IF(D38="NOT_CHECKED",0,C38))</f>
        <v/>
      </c>
      <c r="H38" s="2" t="inlineStr">
        <is>
          <t>Đã đọc lại hai SERP query cho mỗi sản phẩm tại intent US; ghi URL thực đọc và không suy diễn volume.</t>
        </is>
      </c>
      <c r="I38" s="2" t="inlineStr">
        <is>
          <t>["evidence_batch_002_014", "https://jeminise.com/products/christian-bedding-set-inspirational-bible-verse-comforte-design-05", "serp_qa_014"]</t>
        </is>
      </c>
      <c r="J38" s="2" t="inlineStr">
        <is>
          <t>["ISS-014-IMG-02", "ISS-014-IMG-03", "ISS-014-IMG-04", "ISS-014-IMG-05", "ISS-014-IMG-06", "ISS-014-IMG-07", "ISS-014-DESC", "ISS-014-ENC", "ISS-014-PERS", "ISS-014-SERP"]</t>
        </is>
      </c>
    </row>
    <row r="39" ht="42" customHeight="1">
      <c r="A39" s="3" t="inlineStr">
        <is>
          <t>jeminise.com+christian-bedding-set-inspirational-bible-verse-comforte-design-05</t>
        </is>
      </c>
      <c r="B39" s="3" t="inlineStr">
        <is>
          <t>K3</t>
        </is>
      </c>
      <c r="C39" s="3" t="n">
        <v>5</v>
      </c>
      <c r="D39" s="3" t="inlineStr">
        <is>
          <t>FULL</t>
        </is>
      </c>
      <c r="E39" s="7">
        <f>IF(B39="I1",AVERAGEIF('QA_Images'!$A$2:$A$65,A39,'QA_Images'!$T$2:$T$65)/100,IF(D39="FULL",1,IF(D39="PARTIAL",0.5,IF(D39="FAIL",0,""))))</f>
        <v/>
      </c>
      <c r="F39" s="7">
        <f>IF(E39="",0,C39*E39)</f>
        <v/>
      </c>
      <c r="G39" s="7">
        <f>IF(B39="I1",20*AVERAGEIF('QA_Images'!$A$2:$A$65,A39,'QA_Images'!$U$2:$U$65)/100,IF(D39="NOT_CHECKED",0,C39))</f>
        <v/>
      </c>
      <c r="H39" s="3" t="inlineStr">
        <is>
          <t>Không suy diễn volume; phân biệt SERP_ONLY và HYPOTHESIS_ONLY.</t>
        </is>
      </c>
      <c r="I39" s="3" t="inlineStr">
        <is>
          <t>["evidence_batch_002_014", "https://jeminise.com/products/christian-bedding-set-inspirational-bible-verse-comforte-design-05", "serp_qa_014"]</t>
        </is>
      </c>
      <c r="J39" s="3" t="inlineStr">
        <is>
          <t>["ISS-014-IMG-02", "ISS-014-IMG-03", "ISS-014-IMG-04", "ISS-014-IMG-05", "ISS-014-IMG-06", "ISS-014-IMG-07", "ISS-014-DESC", "ISS-014-ENC", "ISS-014-PERS", "ISS-014-SERP"]</t>
        </is>
      </c>
    </row>
    <row r="40" ht="42" customHeight="1">
      <c r="A40" s="2" t="inlineStr">
        <is>
          <t>jeminise.com+christian-bedding-set-inspirational-bible-verse-comforte-design-05</t>
        </is>
      </c>
      <c r="B40" s="2" t="inlineStr">
        <is>
          <t>T1</t>
        </is>
      </c>
      <c r="C40" s="2" t="n">
        <v>10</v>
      </c>
      <c r="D40" s="2" t="inlineStr">
        <is>
          <t>FULL</t>
        </is>
      </c>
      <c r="E40" s="5">
        <f>IF(B40="I1",AVERAGEIF('QA_Images'!$A$2:$A$65,A40,'QA_Images'!$T$2:$T$65)/100,IF(D40="FULL",1,IF(D40="PARTIAL",0.5,IF(D40="FAIL",0,""))))</f>
        <v/>
      </c>
      <c r="F40" s="5">
        <f>IF(E40="",0,C40*E40)</f>
        <v/>
      </c>
      <c r="G40" s="5">
        <f>IF(B40="I1",20*AVERAGEIF('QA_Images'!$A$2:$A$65,A40,'QA_Images'!$U$2:$U$65)/100,IF(D40="NOT_CHECKED",0,C40))</f>
        <v/>
      </c>
      <c r="H40" s="2" t="inlineStr">
        <is>
          <t>Đánh giá SEO title English về độ đúng, tự nhiên, keyword và điểm phân biệt.</t>
        </is>
      </c>
      <c r="I40" s="2" t="inlineStr">
        <is>
          <t>["evidence_batch_002_014", "https://jeminise.com/products/christian-bedding-set-inspirational-bible-verse-comforte-design-05", "serp_qa_014"]</t>
        </is>
      </c>
      <c r="J40" s="2" t="inlineStr">
        <is>
          <t>["ISS-014-IMG-02", "ISS-014-IMG-03", "ISS-014-IMG-04", "ISS-014-IMG-05", "ISS-014-IMG-06", "ISS-014-IMG-07", "ISS-014-DESC", "ISS-014-ENC", "ISS-014-PERS", "ISS-014-SERP"]</t>
        </is>
      </c>
    </row>
    <row r="41" ht="42" customHeight="1">
      <c r="A41" s="3" t="inlineStr">
        <is>
          <t>jeminise.com+christian-bedding-set-inspirational-bible-verse-comforte-design-05</t>
        </is>
      </c>
      <c r="B41" s="3" t="inlineStr">
        <is>
          <t>T2</t>
        </is>
      </c>
      <c r="C41" s="3" t="n">
        <v>5</v>
      </c>
      <c r="D41" s="3" t="inlineStr">
        <is>
          <t>FULL</t>
        </is>
      </c>
      <c r="E41" s="7">
        <f>IF(B41="I1",AVERAGEIF('QA_Images'!$A$2:$A$65,A41,'QA_Images'!$T$2:$T$65)/100,IF(D41="FULL",1,IF(D41="PARTIAL",0.5,IF(D41="FAIL",0,""))))</f>
        <v/>
      </c>
      <c r="F41" s="7">
        <f>IF(E41="",0,C41*E41)</f>
        <v/>
      </c>
      <c r="G41" s="7">
        <f>IF(B41="I1",20*AVERAGEIF('QA_Images'!$A$2:$A$65,A41,'QA_Images'!$U$2:$U$65)/100,IF(D41="NOT_CHECKED",0,C41))</f>
        <v/>
      </c>
      <c r="H41" s="3" t="inlineStr">
        <is>
          <t>Đánh giá H1 đề xuất độc lập với SEO title và đối chiếu lỗi ký tự nguồn.</t>
        </is>
      </c>
      <c r="I41" s="3" t="inlineStr">
        <is>
          <t>["evidence_batch_002_014", "https://jeminise.com/products/christian-bedding-set-inspirational-bible-verse-comforte-design-05", "serp_qa_014"]</t>
        </is>
      </c>
      <c r="J41" s="3" t="inlineStr">
        <is>
          <t>["ISS-014-IMG-02", "ISS-014-IMG-03", "ISS-014-IMG-04", "ISS-014-IMG-05", "ISS-014-IMG-06", "ISS-014-IMG-07", "ISS-014-DESC", "ISS-014-ENC", "ISS-014-PERS", "ISS-014-SERP"]</t>
        </is>
      </c>
    </row>
    <row r="42" ht="42" customHeight="1">
      <c r="A42" s="2" t="inlineStr">
        <is>
          <t>jeminise.com+christian-bedding-set-inspirational-bible-verse-comforte-design-05</t>
        </is>
      </c>
      <c r="B42" s="2" t="inlineStr">
        <is>
          <t>D1</t>
        </is>
      </c>
      <c r="C42" s="2" t="n">
        <v>5</v>
      </c>
      <c r="D42" s="2" t="inlineStr">
        <is>
          <t>FAIL</t>
        </is>
      </c>
      <c r="E42" s="5">
        <f>IF(B42="I1",AVERAGEIF('QA_Images'!$A$2:$A$65,A42,'QA_Images'!$T$2:$T$65)/100,IF(D42="FULL",1,IF(D42="PARTIAL",0.5,IF(D42="FAIL",0,""))))</f>
        <v/>
      </c>
      <c r="F42" s="5">
        <f>IF(E42="",0,C42*E42)</f>
        <v/>
      </c>
      <c r="G42" s="5">
        <f>IF(B42="I1",20*AVERAGEIF('QA_Images'!$A$2:$A$65,A42,'QA_Images'!$U$2:$U$65)/100,IF(D42="NOT_CHECKED",0,C42))</f>
        <v/>
      </c>
      <c r="H42" s="2" t="inlineStr">
        <is>
          <t>Đánh giá meta description về tính cụ thể và căn cứ claim.</t>
        </is>
      </c>
      <c r="I42" s="2" t="inlineStr">
        <is>
          <t>["evidence_batch_002_014", "https://jeminise.com/products/christian-bedding-set-inspirational-bible-verse-comforte-design-05", "serp_qa_014"]</t>
        </is>
      </c>
      <c r="J42" s="2" t="inlineStr">
        <is>
          <t>["ISS-014-IMG-02", "ISS-014-IMG-03", "ISS-014-IMG-04", "ISS-014-IMG-05", "ISS-014-IMG-06", "ISS-014-IMG-07", "ISS-014-DESC", "ISS-014-ENC", "ISS-014-PERS", "ISS-014-SERP"]</t>
        </is>
      </c>
    </row>
    <row r="43" ht="42" customHeight="1">
      <c r="A43" s="3" t="inlineStr">
        <is>
          <t>jeminise.com+christian-bedding-set-inspirational-bible-verse-comforte-design-05</t>
        </is>
      </c>
      <c r="B43" s="3" t="inlineStr">
        <is>
          <t>D2</t>
        </is>
      </c>
      <c r="C43" s="3" t="n">
        <v>10</v>
      </c>
      <c r="D43" s="3" t="inlineStr">
        <is>
          <t>FAIL</t>
        </is>
      </c>
      <c r="E43" s="7">
        <f>IF(B43="I1",AVERAGEIF('QA_Images'!$A$2:$A$65,A43,'QA_Images'!$T$2:$T$65)/100,IF(D43="FULL",1,IF(D43="PARTIAL",0.5,IF(D43="FAIL",0,""))))</f>
        <v/>
      </c>
      <c r="F43" s="7">
        <f>IF(E43="",0,C43*E43)</f>
        <v/>
      </c>
      <c r="G43" s="7">
        <f>IF(B43="I1",20*AVERAGEIF('QA_Images'!$A$2:$A$65,A43,'QA_Images'!$U$2:$U$65)/100,IF(D43="NOT_CHECKED",0,C43))</f>
        <v/>
      </c>
      <c r="H43" s="3" t="inlineStr">
        <is>
          <t>Description SET có HTML đầy đủ nhưng chứa câu nội bộ 'This draft should be reviewed...' và dữ liệu nguồn thô/mâu thuẫn; chưa phải nội dung publish-ready.</t>
        </is>
      </c>
      <c r="I43" s="3" t="inlineStr">
        <is>
          <t>["evidence_batch_002_014", "https://jeminise.com/products/christian-bedding-set-inspirational-bible-verse-comforte-design-05", "serp_qa_014"]</t>
        </is>
      </c>
      <c r="J43" s="3" t="inlineStr">
        <is>
          <t>["ISS-014-IMG-02", "ISS-014-IMG-03", "ISS-014-IMG-04", "ISS-014-IMG-05", "ISS-014-IMG-06", "ISS-014-IMG-07", "ISS-014-DESC", "ISS-014-ENC", "ISS-014-PERS", "ISS-014-SERP"]</t>
        </is>
      </c>
    </row>
    <row r="44" ht="42" customHeight="1">
      <c r="A44" s="2" t="inlineStr">
        <is>
          <t>jeminise.com+christian-bedding-set-inspirational-bible-verse-comforte-design-05</t>
        </is>
      </c>
      <c r="B44" s="2" t="inlineStr">
        <is>
          <t>I1</t>
        </is>
      </c>
      <c r="C44" s="2" t="n">
        <v>20</v>
      </c>
      <c r="D44" s="2" t="inlineStr">
        <is>
          <t>DERIVED</t>
        </is>
      </c>
      <c r="E44" s="5">
        <f>IF(B44="I1",AVERAGEIF('QA_Images'!$A$2:$A$65,A44,'QA_Images'!$T$2:$T$65)/100,IF(D44="FULL",1,IF(D44="PARTIAL",0.5,IF(D44="FAIL",0,""))))</f>
        <v/>
      </c>
      <c r="F44" s="5">
        <f>IF(E44="",0,C44*E44)</f>
        <v/>
      </c>
      <c r="G44" s="5">
        <f>IF(B44="I1",20*AVERAGEIF('QA_Images'!$A$2:$A$65,A44,'QA_Images'!$U$2:$U$65)/100,IF(D44="NOT_CHECKED",0,C44))</f>
        <v/>
      </c>
      <c r="H44" s="2" t="inlineStr">
        <is>
          <t>Tính từ trung bình 7 ảnh: 62.8571/100.</t>
        </is>
      </c>
      <c r="I44" s="2" t="inlineStr">
        <is>
          <t>["evidence_batch_002_014", "https://jeminise.com/products/christian-bedding-set-inspirational-bible-verse-comforte-design-05", "serp_qa_014"]</t>
        </is>
      </c>
      <c r="J44" s="2" t="inlineStr">
        <is>
          <t>["ISS-014-IMG-02", "ISS-014-IMG-03", "ISS-014-IMG-04", "ISS-014-IMG-05", "ISS-014-IMG-06", "ISS-014-IMG-07", "ISS-014-DESC", "ISS-014-ENC", "ISS-014-PERS", "ISS-014-SERP"]</t>
        </is>
      </c>
    </row>
    <row r="45" ht="42" customHeight="1">
      <c r="A45" s="3" t="inlineStr">
        <is>
          <t>jeminise.com+christian-bedding-set-inspirational-bible-verse-comforte-design-05</t>
        </is>
      </c>
      <c r="B45" s="3" t="inlineStr">
        <is>
          <t>E1</t>
        </is>
      </c>
      <c r="C45" s="3" t="n">
        <v>5</v>
      </c>
      <c r="D45" s="3" t="inlineStr">
        <is>
          <t>PARTIAL</t>
        </is>
      </c>
      <c r="E45" s="7">
        <f>IF(B45="I1",AVERAGEIF('QA_Images'!$A$2:$A$65,A45,'QA_Images'!$T$2:$T$65)/100,IF(D45="FULL",1,IF(D45="PARTIAL",0.5,IF(D45="FAIL",0,""))))</f>
        <v/>
      </c>
      <c r="F45" s="7">
        <f>IF(E45="",0,C45*E45)</f>
        <v/>
      </c>
      <c r="G45" s="7">
        <f>IF(B45="I1",20*AVERAGEIF('QA_Images'!$A$2:$A$65,A45,'QA_Images'!$U$2:$U$65)/100,IF(D45="NOT_CHECKED",0,C45))</f>
        <v/>
      </c>
      <c r="H45" s="3" t="inlineStr">
        <is>
          <t>Kiểm tra liên kết product key/handle/evidence/revision giữa workbook, snapshot và nguồn live.</t>
        </is>
      </c>
      <c r="I45" s="3" t="inlineStr">
        <is>
          <t>["evidence_batch_002_014", "https://jeminise.com/products/christian-bedding-set-inspirational-bible-verse-comforte-design-05", "serp_qa_014"]</t>
        </is>
      </c>
      <c r="J45" s="3" t="inlineStr">
        <is>
          <t>["ISS-014-IMG-02", "ISS-014-IMG-03", "ISS-014-IMG-04", "ISS-014-IMG-05", "ISS-014-IMG-06", "ISS-014-IMG-07", "ISS-014-DESC", "ISS-014-ENC", "ISS-014-PERS", "ISS-014-SERP"]</t>
        </is>
      </c>
    </row>
    <row r="46" ht="42" customHeight="1">
      <c r="A46" s="2" t="inlineStr">
        <is>
          <t>jeminise.com+christian-bedding-set-inspirational-bible-verse-comforte-design-06</t>
        </is>
      </c>
      <c r="B46" s="2" t="inlineStr">
        <is>
          <t>P1</t>
        </is>
      </c>
      <c r="C46" s="2" t="n">
        <v>15</v>
      </c>
      <c r="D46" s="2" t="inlineStr">
        <is>
          <t>FULL</t>
        </is>
      </c>
      <c r="E46" s="5">
        <f>IF(B46="I1",AVERAGEIF('QA_Images'!$A$2:$A$65,A46,'QA_Images'!$T$2:$T$65)/100,IF(D46="FULL",1,IF(D46="PARTIAL",0.5,IF(D46="FAIL",0,""))))</f>
        <v/>
      </c>
      <c r="F46" s="5">
        <f>IF(E46="",0,C46*E46)</f>
        <v/>
      </c>
      <c r="G46" s="5">
        <f>IF(B46="I1",20*AVERAGEIF('QA_Images'!$A$2:$A$65,A46,'QA_Images'!$U$2:$U$65)/100,IF(D46="NOT_CHECKED",0,C46))</f>
        <v/>
      </c>
      <c r="H46" s="2" t="inlineStr">
        <is>
          <t>Đối chiếu loại sản phẩm, thiết kế và màu với product JSON, H1 live và toàn bộ gallery.</t>
        </is>
      </c>
      <c r="I46" s="2" t="inlineStr">
        <is>
          <t>["evidence_batch_002_015", "https://jeminise.com/products/christian-bedding-set-inspirational-bible-verse-comforte-design-06", "serp_qa_015"]</t>
        </is>
      </c>
      <c r="J46" s="2" t="inlineStr">
        <is>
          <t>["ISS-015-IMG-02", "ISS-015-IMG-03", "ISS-015-IMG-04", "ISS-015-IMG-05", "ISS-015-IMG-06", "ISS-015-IMG-07", "ISS-015-DESC", "ISS-015-ENC", "ISS-015-PERS", "ISS-015-SERP"]</t>
        </is>
      </c>
    </row>
    <row r="47" ht="42" customHeight="1">
      <c r="A47" s="3" t="inlineStr">
        <is>
          <t>jeminise.com+christian-bedding-set-inspirational-bible-verse-comforte-design-06</t>
        </is>
      </c>
      <c r="B47" s="3" t="inlineStr">
        <is>
          <t>P2</t>
        </is>
      </c>
      <c r="C47" s="3" t="n">
        <v>10</v>
      </c>
      <c r="D47" s="3" t="inlineStr">
        <is>
          <t>FAIL</t>
        </is>
      </c>
      <c r="E47" s="7">
        <f>IF(B47="I1",AVERAGEIF('QA_Images'!$A$2:$A$65,A47,'QA_Images'!$T$2:$T$65)/100,IF(D47="FULL",1,IF(D47="PARTIAL",0.5,IF(D47="FAIL",0,""))))</f>
        <v/>
      </c>
      <c r="F47" s="7">
        <f>IF(E47="",0,C47*E47)</f>
        <v/>
      </c>
      <c r="G47" s="7">
        <f>IF(B47="I1",20*AVERAGEIF('QA_Images'!$A$2:$A$65,A47,'QA_Images'!$U$2:$U$65)/100,IF(D47="NOT_CHECKED",0,C47))</f>
        <v/>
      </c>
      <c r="H47" s="3" t="inlineStr">
        <is>
          <t>Đối chiếu chất liệu, kích thước, thành phần đi kèm, biến thể và personalization với product.js live, body HTML và toàn bộ gallery.</t>
        </is>
      </c>
      <c r="I47" s="3" t="inlineStr">
        <is>
          <t>["evidence_batch_002_015", "https://jeminise.com/products/christian-bedding-set-inspirational-bible-verse-comforte-design-06", "serp_qa_015"]</t>
        </is>
      </c>
      <c r="J47" s="3" t="inlineStr">
        <is>
          <t>["ISS-015-IMG-02", "ISS-015-IMG-03", "ISS-015-IMG-04", "ISS-015-IMG-05", "ISS-015-IMG-06", "ISS-015-IMG-07", "ISS-015-DESC", "ISS-015-ENC", "ISS-015-PERS", "ISS-015-SERP"]</t>
        </is>
      </c>
    </row>
    <row r="48" ht="42" customHeight="1">
      <c r="A48" s="2" t="inlineStr">
        <is>
          <t>jeminise.com+christian-bedding-set-inspirational-bible-verse-comforte-design-06</t>
        </is>
      </c>
      <c r="B48" s="2" t="inlineStr">
        <is>
          <t>K1</t>
        </is>
      </c>
      <c r="C48" s="2" t="n">
        <v>10</v>
      </c>
      <c r="D48" s="2" t="inlineStr">
        <is>
          <t>PARTIAL</t>
        </is>
      </c>
      <c r="E48" s="5">
        <f>IF(B48="I1",AVERAGEIF('QA_Images'!$A$2:$A$65,A48,'QA_Images'!$T$2:$T$65)/100,IF(D48="FULL",1,IF(D48="PARTIAL",0.5,IF(D48="FAIL",0,""))))</f>
        <v/>
      </c>
      <c r="F48" s="5">
        <f>IF(E48="",0,C48*E48)</f>
        <v/>
      </c>
      <c r="G48" s="5">
        <f>IF(B48="I1",20*AVERAGEIF('QA_Images'!$A$2:$A$65,A48,'QA_Images'!$U$2:$U$65)/100,IF(D48="NOT_CHECKED",0,C48))</f>
        <v/>
      </c>
      <c r="H48" s="2" t="inlineStr">
        <is>
          <t>Đối chiếu long-tail với thiết kế riêng và nguy cơ trùng intent trong hai cụm Christian/Christmas của batch.</t>
        </is>
      </c>
      <c r="I48" s="2" t="inlineStr">
        <is>
          <t>["evidence_batch_002_015", "https://jeminise.com/products/christian-bedding-set-inspirational-bible-verse-comforte-design-06", "serp_qa_015"]</t>
        </is>
      </c>
      <c r="J48" s="2" t="inlineStr">
        <is>
          <t>["ISS-015-IMG-02", "ISS-015-IMG-03", "ISS-015-IMG-04", "ISS-015-IMG-05", "ISS-015-IMG-06", "ISS-015-IMG-07", "ISS-015-DESC", "ISS-015-ENC", "ISS-015-PERS", "ISS-015-SERP"]</t>
        </is>
      </c>
    </row>
    <row r="49" ht="42" customHeight="1">
      <c r="A49" s="3" t="inlineStr">
        <is>
          <t>jeminise.com+christian-bedding-set-inspirational-bible-verse-comforte-design-06</t>
        </is>
      </c>
      <c r="B49" s="3" t="inlineStr">
        <is>
          <t>K2</t>
        </is>
      </c>
      <c r="C49" s="3" t="n">
        <v>5</v>
      </c>
      <c r="D49" s="3" t="inlineStr">
        <is>
          <t>PARTIAL</t>
        </is>
      </c>
      <c r="E49" s="7">
        <f>IF(B49="I1",AVERAGEIF('QA_Images'!$A$2:$A$65,A49,'QA_Images'!$T$2:$T$65)/100,IF(D49="FULL",1,IF(D49="PARTIAL",0.5,IF(D49="FAIL",0,""))))</f>
        <v/>
      </c>
      <c r="F49" s="7">
        <f>IF(E49="",0,C49*E49)</f>
        <v/>
      </c>
      <c r="G49" s="7">
        <f>IF(B49="I1",20*AVERAGEIF('QA_Images'!$A$2:$A$65,A49,'QA_Images'!$U$2:$U$65)/100,IF(D49="NOT_CHECKED",0,C49))</f>
        <v/>
      </c>
      <c r="H49" s="3" t="inlineStr">
        <is>
          <t>Đã đọc lại hai SERP query cho mỗi sản phẩm tại intent US; ghi URL thực đọc và không suy diễn volume.</t>
        </is>
      </c>
      <c r="I49" s="3" t="inlineStr">
        <is>
          <t>["evidence_batch_002_015", "https://jeminise.com/products/christian-bedding-set-inspirational-bible-verse-comforte-design-06", "serp_qa_015"]</t>
        </is>
      </c>
      <c r="J49" s="3" t="inlineStr">
        <is>
          <t>["ISS-015-IMG-02", "ISS-015-IMG-03", "ISS-015-IMG-04", "ISS-015-IMG-05", "ISS-015-IMG-06", "ISS-015-IMG-07", "ISS-015-DESC", "ISS-015-ENC", "ISS-015-PERS", "ISS-015-SERP"]</t>
        </is>
      </c>
    </row>
    <row r="50" ht="42" customHeight="1">
      <c r="A50" s="2" t="inlineStr">
        <is>
          <t>jeminise.com+christian-bedding-set-inspirational-bible-verse-comforte-design-06</t>
        </is>
      </c>
      <c r="B50" s="2" t="inlineStr">
        <is>
          <t>K3</t>
        </is>
      </c>
      <c r="C50" s="2" t="n">
        <v>5</v>
      </c>
      <c r="D50" s="2" t="inlineStr">
        <is>
          <t>FULL</t>
        </is>
      </c>
      <c r="E50" s="5">
        <f>IF(B50="I1",AVERAGEIF('QA_Images'!$A$2:$A$65,A50,'QA_Images'!$T$2:$T$65)/100,IF(D50="FULL",1,IF(D50="PARTIAL",0.5,IF(D50="FAIL",0,""))))</f>
        <v/>
      </c>
      <c r="F50" s="5">
        <f>IF(E50="",0,C50*E50)</f>
        <v/>
      </c>
      <c r="G50" s="5">
        <f>IF(B50="I1",20*AVERAGEIF('QA_Images'!$A$2:$A$65,A50,'QA_Images'!$U$2:$U$65)/100,IF(D50="NOT_CHECKED",0,C50))</f>
        <v/>
      </c>
      <c r="H50" s="2" t="inlineStr">
        <is>
          <t>Không suy diễn volume; phân biệt SERP_ONLY và HYPOTHESIS_ONLY.</t>
        </is>
      </c>
      <c r="I50" s="2" t="inlineStr">
        <is>
          <t>["evidence_batch_002_015", "https://jeminise.com/products/christian-bedding-set-inspirational-bible-verse-comforte-design-06", "serp_qa_015"]</t>
        </is>
      </c>
      <c r="J50" s="2" t="inlineStr">
        <is>
          <t>["ISS-015-IMG-02", "ISS-015-IMG-03", "ISS-015-IMG-04", "ISS-015-IMG-05", "ISS-015-IMG-06", "ISS-015-IMG-07", "ISS-015-DESC", "ISS-015-ENC", "ISS-015-PERS", "ISS-015-SERP"]</t>
        </is>
      </c>
    </row>
    <row r="51" ht="42" customHeight="1">
      <c r="A51" s="3" t="inlineStr">
        <is>
          <t>jeminise.com+christian-bedding-set-inspirational-bible-verse-comforte-design-06</t>
        </is>
      </c>
      <c r="B51" s="3" t="inlineStr">
        <is>
          <t>T1</t>
        </is>
      </c>
      <c r="C51" s="3" t="n">
        <v>10</v>
      </c>
      <c r="D51" s="3" t="inlineStr">
        <is>
          <t>FAIL</t>
        </is>
      </c>
      <c r="E51" s="7">
        <f>IF(B51="I1",AVERAGEIF('QA_Images'!$A$2:$A$65,A51,'QA_Images'!$T$2:$T$65)/100,IF(D51="FULL",1,IF(D51="PARTIAL",0.5,IF(D51="FAIL",0,""))))</f>
        <v/>
      </c>
      <c r="F51" s="7">
        <f>IF(E51="",0,C51*E51)</f>
        <v/>
      </c>
      <c r="G51" s="7">
        <f>IF(B51="I1",20*AVERAGEIF('QA_Images'!$A$2:$A$65,A51,'QA_Images'!$U$2:$U$65)/100,IF(D51="NOT_CHECKED",0,C51))</f>
        <v/>
      </c>
      <c r="H51" s="3" t="inlineStr">
        <is>
          <t>Đánh giá SEO title English về độ đúng, tự nhiên, keyword và điểm phân biệt.</t>
        </is>
      </c>
      <c r="I51" s="3" t="inlineStr">
        <is>
          <t>["evidence_batch_002_015", "https://jeminise.com/products/christian-bedding-set-inspirational-bible-verse-comforte-design-06", "serp_qa_015"]</t>
        </is>
      </c>
      <c r="J51" s="3" t="inlineStr">
        <is>
          <t>["ISS-015-IMG-02", "ISS-015-IMG-03", "ISS-015-IMG-04", "ISS-015-IMG-05", "ISS-015-IMG-06", "ISS-015-IMG-07", "ISS-015-DESC", "ISS-015-ENC", "ISS-015-PERS", "ISS-015-SERP"]</t>
        </is>
      </c>
    </row>
    <row r="52" ht="42" customHeight="1">
      <c r="A52" s="2" t="inlineStr">
        <is>
          <t>jeminise.com+christian-bedding-set-inspirational-bible-verse-comforte-design-06</t>
        </is>
      </c>
      <c r="B52" s="2" t="inlineStr">
        <is>
          <t>T2</t>
        </is>
      </c>
      <c r="C52" s="2" t="n">
        <v>5</v>
      </c>
      <c r="D52" s="2" t="inlineStr">
        <is>
          <t>PARTIAL</t>
        </is>
      </c>
      <c r="E52" s="5">
        <f>IF(B52="I1",AVERAGEIF('QA_Images'!$A$2:$A$65,A52,'QA_Images'!$T$2:$T$65)/100,IF(D52="FULL",1,IF(D52="PARTIAL",0.5,IF(D52="FAIL",0,""))))</f>
        <v/>
      </c>
      <c r="F52" s="5">
        <f>IF(E52="",0,C52*E52)</f>
        <v/>
      </c>
      <c r="G52" s="5">
        <f>IF(B52="I1",20*AVERAGEIF('QA_Images'!$A$2:$A$65,A52,'QA_Images'!$U$2:$U$65)/100,IF(D52="NOT_CHECKED",0,C52))</f>
        <v/>
      </c>
      <c r="H52" s="2" t="inlineStr">
        <is>
          <t>Đánh giá H1 đề xuất độc lập với SEO title và đối chiếu lỗi ký tự nguồn.</t>
        </is>
      </c>
      <c r="I52" s="2" t="inlineStr">
        <is>
          <t>["evidence_batch_002_015", "https://jeminise.com/products/christian-bedding-set-inspirational-bible-verse-comforte-design-06", "serp_qa_015"]</t>
        </is>
      </c>
      <c r="J52" s="2" t="inlineStr">
        <is>
          <t>["ISS-015-IMG-02", "ISS-015-IMG-03", "ISS-015-IMG-04", "ISS-015-IMG-05", "ISS-015-IMG-06", "ISS-015-IMG-07", "ISS-015-DESC", "ISS-015-ENC", "ISS-015-PERS", "ISS-015-SERP"]</t>
        </is>
      </c>
    </row>
    <row r="53" ht="42" customHeight="1">
      <c r="A53" s="3" t="inlineStr">
        <is>
          <t>jeminise.com+christian-bedding-set-inspirational-bible-verse-comforte-design-06</t>
        </is>
      </c>
      <c r="B53" s="3" t="inlineStr">
        <is>
          <t>D1</t>
        </is>
      </c>
      <c r="C53" s="3" t="n">
        <v>5</v>
      </c>
      <c r="D53" s="3" t="inlineStr">
        <is>
          <t>FAIL</t>
        </is>
      </c>
      <c r="E53" s="7">
        <f>IF(B53="I1",AVERAGEIF('QA_Images'!$A$2:$A$65,A53,'QA_Images'!$T$2:$T$65)/100,IF(D53="FULL",1,IF(D53="PARTIAL",0.5,IF(D53="FAIL",0,""))))</f>
        <v/>
      </c>
      <c r="F53" s="7">
        <f>IF(E53="",0,C53*E53)</f>
        <v/>
      </c>
      <c r="G53" s="7">
        <f>IF(B53="I1",20*AVERAGEIF('QA_Images'!$A$2:$A$65,A53,'QA_Images'!$U$2:$U$65)/100,IF(D53="NOT_CHECKED",0,C53))</f>
        <v/>
      </c>
      <c r="H53" s="3" t="inlineStr">
        <is>
          <t>Đánh giá meta description về tính cụ thể và căn cứ claim.</t>
        </is>
      </c>
      <c r="I53" s="3" t="inlineStr">
        <is>
          <t>["evidence_batch_002_015", "https://jeminise.com/products/christian-bedding-set-inspirational-bible-verse-comforte-design-06", "serp_qa_015"]</t>
        </is>
      </c>
      <c r="J53" s="3" t="inlineStr">
        <is>
          <t>["ISS-015-IMG-02", "ISS-015-IMG-03", "ISS-015-IMG-04", "ISS-015-IMG-05", "ISS-015-IMG-06", "ISS-015-IMG-07", "ISS-015-DESC", "ISS-015-ENC", "ISS-015-PERS", "ISS-015-SERP"]</t>
        </is>
      </c>
    </row>
    <row r="54" ht="42" customHeight="1">
      <c r="A54" s="2" t="inlineStr">
        <is>
          <t>jeminise.com+christian-bedding-set-inspirational-bible-verse-comforte-design-06</t>
        </is>
      </c>
      <c r="B54" s="2" t="inlineStr">
        <is>
          <t>D2</t>
        </is>
      </c>
      <c r="C54" s="2" t="n">
        <v>10</v>
      </c>
      <c r="D54" s="2" t="inlineStr">
        <is>
          <t>FAIL</t>
        </is>
      </c>
      <c r="E54" s="5">
        <f>IF(B54="I1",AVERAGEIF('QA_Images'!$A$2:$A$65,A54,'QA_Images'!$T$2:$T$65)/100,IF(D54="FULL",1,IF(D54="PARTIAL",0.5,IF(D54="FAIL",0,""))))</f>
        <v/>
      </c>
      <c r="F54" s="5">
        <f>IF(E54="",0,C54*E54)</f>
        <v/>
      </c>
      <c r="G54" s="5">
        <f>IF(B54="I1",20*AVERAGEIF('QA_Images'!$A$2:$A$65,A54,'QA_Images'!$U$2:$U$65)/100,IF(D54="NOT_CHECKED",0,C54))</f>
        <v/>
      </c>
      <c r="H54" s="2" t="inlineStr">
        <is>
          <t>Description SET có HTML đầy đủ nhưng chứa câu nội bộ 'This draft should be reviewed...' và dữ liệu nguồn thô/mâu thuẫn; chưa phải nội dung publish-ready.</t>
        </is>
      </c>
      <c r="I54" s="2" t="inlineStr">
        <is>
          <t>["evidence_batch_002_015", "https://jeminise.com/products/christian-bedding-set-inspirational-bible-verse-comforte-design-06", "serp_qa_015"]</t>
        </is>
      </c>
      <c r="J54" s="2" t="inlineStr">
        <is>
          <t>["ISS-015-IMG-02", "ISS-015-IMG-03", "ISS-015-IMG-04", "ISS-015-IMG-05", "ISS-015-IMG-06", "ISS-015-IMG-07", "ISS-015-DESC", "ISS-015-ENC", "ISS-015-PERS", "ISS-015-SERP"]</t>
        </is>
      </c>
    </row>
    <row r="55" ht="42" customHeight="1">
      <c r="A55" s="3" t="inlineStr">
        <is>
          <t>jeminise.com+christian-bedding-set-inspirational-bible-verse-comforte-design-06</t>
        </is>
      </c>
      <c r="B55" s="3" t="inlineStr">
        <is>
          <t>I1</t>
        </is>
      </c>
      <c r="C55" s="3" t="n">
        <v>20</v>
      </c>
      <c r="D55" s="3" t="inlineStr">
        <is>
          <t>DERIVED</t>
        </is>
      </c>
      <c r="E55" s="7">
        <f>IF(B55="I1",AVERAGEIF('QA_Images'!$A$2:$A$65,A55,'QA_Images'!$T$2:$T$65)/100,IF(D55="FULL",1,IF(D55="PARTIAL",0.5,IF(D55="FAIL",0,""))))</f>
        <v/>
      </c>
      <c r="F55" s="7">
        <f>IF(E55="",0,C55*E55)</f>
        <v/>
      </c>
      <c r="G55" s="7">
        <f>IF(B55="I1",20*AVERAGEIF('QA_Images'!$A$2:$A$65,A55,'QA_Images'!$U$2:$U$65)/100,IF(D55="NOT_CHECKED",0,C55))</f>
        <v/>
      </c>
      <c r="H55" s="3" t="inlineStr">
        <is>
          <t>Tính từ trung bình 7 ảnh: 62.8571/100.</t>
        </is>
      </c>
      <c r="I55" s="3" t="inlineStr">
        <is>
          <t>["evidence_batch_002_015", "https://jeminise.com/products/christian-bedding-set-inspirational-bible-verse-comforte-design-06", "serp_qa_015"]</t>
        </is>
      </c>
      <c r="J55" s="3" t="inlineStr">
        <is>
          <t>["ISS-015-IMG-02", "ISS-015-IMG-03", "ISS-015-IMG-04", "ISS-015-IMG-05", "ISS-015-IMG-06", "ISS-015-IMG-07", "ISS-015-DESC", "ISS-015-ENC", "ISS-015-PERS", "ISS-015-SERP"]</t>
        </is>
      </c>
    </row>
    <row r="56" ht="42" customHeight="1">
      <c r="A56" s="2" t="inlineStr">
        <is>
          <t>jeminise.com+christian-bedding-set-inspirational-bible-verse-comforte-design-06</t>
        </is>
      </c>
      <c r="B56" s="2" t="inlineStr">
        <is>
          <t>E1</t>
        </is>
      </c>
      <c r="C56" s="2" t="n">
        <v>5</v>
      </c>
      <c r="D56" s="2" t="inlineStr">
        <is>
          <t>PARTIAL</t>
        </is>
      </c>
      <c r="E56" s="5">
        <f>IF(B56="I1",AVERAGEIF('QA_Images'!$A$2:$A$65,A56,'QA_Images'!$T$2:$T$65)/100,IF(D56="FULL",1,IF(D56="PARTIAL",0.5,IF(D56="FAIL",0,""))))</f>
        <v/>
      </c>
      <c r="F56" s="5">
        <f>IF(E56="",0,C56*E56)</f>
        <v/>
      </c>
      <c r="G56" s="5">
        <f>IF(B56="I1",20*AVERAGEIF('QA_Images'!$A$2:$A$65,A56,'QA_Images'!$U$2:$U$65)/100,IF(D56="NOT_CHECKED",0,C56))</f>
        <v/>
      </c>
      <c r="H56" s="2" t="inlineStr">
        <is>
          <t>Kiểm tra liên kết product key/handle/evidence/revision giữa workbook, snapshot và nguồn live.</t>
        </is>
      </c>
      <c r="I56" s="2" t="inlineStr">
        <is>
          <t>["evidence_batch_002_015", "https://jeminise.com/products/christian-bedding-set-inspirational-bible-verse-comforte-design-06", "serp_qa_015"]</t>
        </is>
      </c>
      <c r="J56" s="2" t="inlineStr">
        <is>
          <t>["ISS-015-IMG-02", "ISS-015-IMG-03", "ISS-015-IMG-04", "ISS-015-IMG-05", "ISS-015-IMG-06", "ISS-015-IMG-07", "ISS-015-DESC", "ISS-015-ENC", "ISS-015-PERS", "ISS-015-SERP"]</t>
        </is>
      </c>
    </row>
    <row r="57" ht="42" customHeight="1">
      <c r="A57" s="3" t="inlineStr">
        <is>
          <t>jeminise.com+christian-bedding-set-inspirational-bible-verse-comforter</t>
        </is>
      </c>
      <c r="B57" s="3" t="inlineStr">
        <is>
          <t>P1</t>
        </is>
      </c>
      <c r="C57" s="3" t="n">
        <v>15</v>
      </c>
      <c r="D57" s="3" t="inlineStr">
        <is>
          <t>FULL</t>
        </is>
      </c>
      <c r="E57" s="7">
        <f>IF(B57="I1",AVERAGEIF('QA_Images'!$A$2:$A$65,A57,'QA_Images'!$T$2:$T$65)/100,IF(D57="FULL",1,IF(D57="PARTIAL",0.5,IF(D57="FAIL",0,""))))</f>
        <v/>
      </c>
      <c r="F57" s="7">
        <f>IF(E57="",0,C57*E57)</f>
        <v/>
      </c>
      <c r="G57" s="7">
        <f>IF(B57="I1",20*AVERAGEIF('QA_Images'!$A$2:$A$65,A57,'QA_Images'!$U$2:$U$65)/100,IF(D57="NOT_CHECKED",0,C57))</f>
        <v/>
      </c>
      <c r="H57" s="3" t="inlineStr">
        <is>
          <t>Đối chiếu loại sản phẩm, thiết kế và màu với product JSON, H1 live và toàn bộ gallery.</t>
        </is>
      </c>
      <c r="I57" s="3" t="inlineStr">
        <is>
          <t>["evidence_batch_002_016", "https://jeminise.com/products/christian-bedding-set-inspirational-bible-verse-comforter", "serp_qa_016"]</t>
        </is>
      </c>
      <c r="J57" s="3" t="inlineStr">
        <is>
          <t>["ISS-016-IMG-02", "ISS-016-IMG-03", "ISS-016-IMG-04", "ISS-016-IMG-05", "ISS-016-IMG-07", "ISS-016-IMG-08", "ISS-016-DESC", "ISS-016-ENC", "ISS-016-PERS", "ISS-016-SERP"]</t>
        </is>
      </c>
    </row>
    <row r="58" ht="42" customHeight="1">
      <c r="A58" s="2" t="inlineStr">
        <is>
          <t>jeminise.com+christian-bedding-set-inspirational-bible-verse-comforter</t>
        </is>
      </c>
      <c r="B58" s="2" t="inlineStr">
        <is>
          <t>P2</t>
        </is>
      </c>
      <c r="C58" s="2" t="n">
        <v>10</v>
      </c>
      <c r="D58" s="2" t="inlineStr">
        <is>
          <t>FAIL</t>
        </is>
      </c>
      <c r="E58" s="5">
        <f>IF(B58="I1",AVERAGEIF('QA_Images'!$A$2:$A$65,A58,'QA_Images'!$T$2:$T$65)/100,IF(D58="FULL",1,IF(D58="PARTIAL",0.5,IF(D58="FAIL",0,""))))</f>
        <v/>
      </c>
      <c r="F58" s="5">
        <f>IF(E58="",0,C58*E58)</f>
        <v/>
      </c>
      <c r="G58" s="5">
        <f>IF(B58="I1",20*AVERAGEIF('QA_Images'!$A$2:$A$65,A58,'QA_Images'!$U$2:$U$65)/100,IF(D58="NOT_CHECKED",0,C58))</f>
        <v/>
      </c>
      <c r="H58" s="2" t="inlineStr">
        <is>
          <t>Đối chiếu chất liệu, kích thước, thành phần đi kèm, biến thể và personalization với product.js live, body HTML và toàn bộ gallery.</t>
        </is>
      </c>
      <c r="I58" s="2" t="inlineStr">
        <is>
          <t>["evidence_batch_002_016", "https://jeminise.com/products/christian-bedding-set-inspirational-bible-verse-comforter", "serp_qa_016"]</t>
        </is>
      </c>
      <c r="J58" s="2" t="inlineStr">
        <is>
          <t>["ISS-016-IMG-02", "ISS-016-IMG-03", "ISS-016-IMG-04", "ISS-016-IMG-05", "ISS-016-IMG-07", "ISS-016-IMG-08", "ISS-016-DESC", "ISS-016-ENC", "ISS-016-PERS", "ISS-016-SERP"]</t>
        </is>
      </c>
    </row>
    <row r="59" ht="42" customHeight="1">
      <c r="A59" s="3" t="inlineStr">
        <is>
          <t>jeminise.com+christian-bedding-set-inspirational-bible-verse-comforter</t>
        </is>
      </c>
      <c r="B59" s="3" t="inlineStr">
        <is>
          <t>K1</t>
        </is>
      </c>
      <c r="C59" s="3" t="n">
        <v>10</v>
      </c>
      <c r="D59" s="3" t="inlineStr">
        <is>
          <t>PARTIAL</t>
        </is>
      </c>
      <c r="E59" s="7">
        <f>IF(B59="I1",AVERAGEIF('QA_Images'!$A$2:$A$65,A59,'QA_Images'!$T$2:$T$65)/100,IF(D59="FULL",1,IF(D59="PARTIAL",0.5,IF(D59="FAIL",0,""))))</f>
        <v/>
      </c>
      <c r="F59" s="7">
        <f>IF(E59="",0,C59*E59)</f>
        <v/>
      </c>
      <c r="G59" s="7">
        <f>IF(B59="I1",20*AVERAGEIF('QA_Images'!$A$2:$A$65,A59,'QA_Images'!$U$2:$U$65)/100,IF(D59="NOT_CHECKED",0,C59))</f>
        <v/>
      </c>
      <c r="H59" s="3" t="inlineStr">
        <is>
          <t>Đối chiếu long-tail với thiết kế riêng và nguy cơ trùng intent trong hai cụm Christian/Christmas của batch.</t>
        </is>
      </c>
      <c r="I59" s="3" t="inlineStr">
        <is>
          <t>["evidence_batch_002_016", "https://jeminise.com/products/christian-bedding-set-inspirational-bible-verse-comforter", "serp_qa_016"]</t>
        </is>
      </c>
      <c r="J59" s="3" t="inlineStr">
        <is>
          <t>["ISS-016-IMG-02", "ISS-016-IMG-03", "ISS-016-IMG-04", "ISS-016-IMG-05", "ISS-016-IMG-07", "ISS-016-IMG-08", "ISS-016-DESC", "ISS-016-ENC", "ISS-016-PERS", "ISS-016-SERP"]</t>
        </is>
      </c>
    </row>
    <row r="60" ht="42" customHeight="1">
      <c r="A60" s="2" t="inlineStr">
        <is>
          <t>jeminise.com+christian-bedding-set-inspirational-bible-verse-comforter</t>
        </is>
      </c>
      <c r="B60" s="2" t="inlineStr">
        <is>
          <t>K2</t>
        </is>
      </c>
      <c r="C60" s="2" t="n">
        <v>5</v>
      </c>
      <c r="D60" s="2" t="inlineStr">
        <is>
          <t>PARTIAL</t>
        </is>
      </c>
      <c r="E60" s="5">
        <f>IF(B60="I1",AVERAGEIF('QA_Images'!$A$2:$A$65,A60,'QA_Images'!$T$2:$T$65)/100,IF(D60="FULL",1,IF(D60="PARTIAL",0.5,IF(D60="FAIL",0,""))))</f>
        <v/>
      </c>
      <c r="F60" s="5">
        <f>IF(E60="",0,C60*E60)</f>
        <v/>
      </c>
      <c r="G60" s="5">
        <f>IF(B60="I1",20*AVERAGEIF('QA_Images'!$A$2:$A$65,A60,'QA_Images'!$U$2:$U$65)/100,IF(D60="NOT_CHECKED",0,C60))</f>
        <v/>
      </c>
      <c r="H60" s="2" t="inlineStr">
        <is>
          <t>Đã đọc lại hai SERP query cho mỗi sản phẩm tại intent US; ghi URL thực đọc và không suy diễn volume.</t>
        </is>
      </c>
      <c r="I60" s="2" t="inlineStr">
        <is>
          <t>["evidence_batch_002_016", "https://jeminise.com/products/christian-bedding-set-inspirational-bible-verse-comforter", "serp_qa_016"]</t>
        </is>
      </c>
      <c r="J60" s="2" t="inlineStr">
        <is>
          <t>["ISS-016-IMG-02", "ISS-016-IMG-03", "ISS-016-IMG-04", "ISS-016-IMG-05", "ISS-016-IMG-07", "ISS-016-IMG-08", "ISS-016-DESC", "ISS-016-ENC", "ISS-016-PERS", "ISS-016-SERP"]</t>
        </is>
      </c>
    </row>
    <row r="61" ht="42" customHeight="1">
      <c r="A61" s="3" t="inlineStr">
        <is>
          <t>jeminise.com+christian-bedding-set-inspirational-bible-verse-comforter</t>
        </is>
      </c>
      <c r="B61" s="3" t="inlineStr">
        <is>
          <t>K3</t>
        </is>
      </c>
      <c r="C61" s="3" t="n">
        <v>5</v>
      </c>
      <c r="D61" s="3" t="inlineStr">
        <is>
          <t>FULL</t>
        </is>
      </c>
      <c r="E61" s="7">
        <f>IF(B61="I1",AVERAGEIF('QA_Images'!$A$2:$A$65,A61,'QA_Images'!$T$2:$T$65)/100,IF(D61="FULL",1,IF(D61="PARTIAL",0.5,IF(D61="FAIL",0,""))))</f>
        <v/>
      </c>
      <c r="F61" s="7">
        <f>IF(E61="",0,C61*E61)</f>
        <v/>
      </c>
      <c r="G61" s="7">
        <f>IF(B61="I1",20*AVERAGEIF('QA_Images'!$A$2:$A$65,A61,'QA_Images'!$U$2:$U$65)/100,IF(D61="NOT_CHECKED",0,C61))</f>
        <v/>
      </c>
      <c r="H61" s="3" t="inlineStr">
        <is>
          <t>Không suy diễn volume; phân biệt SERP_ONLY và HYPOTHESIS_ONLY.</t>
        </is>
      </c>
      <c r="I61" s="3" t="inlineStr">
        <is>
          <t>["evidence_batch_002_016", "https://jeminise.com/products/christian-bedding-set-inspirational-bible-verse-comforter", "serp_qa_016"]</t>
        </is>
      </c>
      <c r="J61" s="3" t="inlineStr">
        <is>
          <t>["ISS-016-IMG-02", "ISS-016-IMG-03", "ISS-016-IMG-04", "ISS-016-IMG-05", "ISS-016-IMG-07", "ISS-016-IMG-08", "ISS-016-DESC", "ISS-016-ENC", "ISS-016-PERS", "ISS-016-SERP"]</t>
        </is>
      </c>
    </row>
    <row r="62" ht="42" customHeight="1">
      <c r="A62" s="2" t="inlineStr">
        <is>
          <t>jeminise.com+christian-bedding-set-inspirational-bible-verse-comforter</t>
        </is>
      </c>
      <c r="B62" s="2" t="inlineStr">
        <is>
          <t>T1</t>
        </is>
      </c>
      <c r="C62" s="2" t="n">
        <v>10</v>
      </c>
      <c r="D62" s="2" t="inlineStr">
        <is>
          <t>FAIL</t>
        </is>
      </c>
      <c r="E62" s="5">
        <f>IF(B62="I1",AVERAGEIF('QA_Images'!$A$2:$A$65,A62,'QA_Images'!$T$2:$T$65)/100,IF(D62="FULL",1,IF(D62="PARTIAL",0.5,IF(D62="FAIL",0,""))))</f>
        <v/>
      </c>
      <c r="F62" s="5">
        <f>IF(E62="",0,C62*E62)</f>
        <v/>
      </c>
      <c r="G62" s="5">
        <f>IF(B62="I1",20*AVERAGEIF('QA_Images'!$A$2:$A$65,A62,'QA_Images'!$U$2:$U$65)/100,IF(D62="NOT_CHECKED",0,C62))</f>
        <v/>
      </c>
      <c r="H62" s="2" t="inlineStr">
        <is>
          <t>Đánh giá SEO title English về độ đúng, tự nhiên, keyword và điểm phân biệt.</t>
        </is>
      </c>
      <c r="I62" s="2" t="inlineStr">
        <is>
          <t>["evidence_batch_002_016", "https://jeminise.com/products/christian-bedding-set-inspirational-bible-verse-comforter", "serp_qa_016"]</t>
        </is>
      </c>
      <c r="J62" s="2" t="inlineStr">
        <is>
          <t>["ISS-016-IMG-02", "ISS-016-IMG-03", "ISS-016-IMG-04", "ISS-016-IMG-05", "ISS-016-IMG-07", "ISS-016-IMG-08", "ISS-016-DESC", "ISS-016-ENC", "ISS-016-PERS", "ISS-016-SERP"]</t>
        </is>
      </c>
    </row>
    <row r="63" ht="42" customHeight="1">
      <c r="A63" s="3" t="inlineStr">
        <is>
          <t>jeminise.com+christian-bedding-set-inspirational-bible-verse-comforter</t>
        </is>
      </c>
      <c r="B63" s="3" t="inlineStr">
        <is>
          <t>T2</t>
        </is>
      </c>
      <c r="C63" s="3" t="n">
        <v>5</v>
      </c>
      <c r="D63" s="3" t="inlineStr">
        <is>
          <t>PARTIAL</t>
        </is>
      </c>
      <c r="E63" s="7">
        <f>IF(B63="I1",AVERAGEIF('QA_Images'!$A$2:$A$65,A63,'QA_Images'!$T$2:$T$65)/100,IF(D63="FULL",1,IF(D63="PARTIAL",0.5,IF(D63="FAIL",0,""))))</f>
        <v/>
      </c>
      <c r="F63" s="7">
        <f>IF(E63="",0,C63*E63)</f>
        <v/>
      </c>
      <c r="G63" s="7">
        <f>IF(B63="I1",20*AVERAGEIF('QA_Images'!$A$2:$A$65,A63,'QA_Images'!$U$2:$U$65)/100,IF(D63="NOT_CHECKED",0,C63))</f>
        <v/>
      </c>
      <c r="H63" s="3" t="inlineStr">
        <is>
          <t>Đánh giá H1 đề xuất độc lập với SEO title và đối chiếu lỗi ký tự nguồn.</t>
        </is>
      </c>
      <c r="I63" s="3" t="inlineStr">
        <is>
          <t>["evidence_batch_002_016", "https://jeminise.com/products/christian-bedding-set-inspirational-bible-verse-comforter", "serp_qa_016"]</t>
        </is>
      </c>
      <c r="J63" s="3" t="inlineStr">
        <is>
          <t>["ISS-016-IMG-02", "ISS-016-IMG-03", "ISS-016-IMG-04", "ISS-016-IMG-05", "ISS-016-IMG-07", "ISS-016-IMG-08", "ISS-016-DESC", "ISS-016-ENC", "ISS-016-PERS", "ISS-016-SERP"]</t>
        </is>
      </c>
    </row>
    <row r="64" ht="42" customHeight="1">
      <c r="A64" s="2" t="inlineStr">
        <is>
          <t>jeminise.com+christian-bedding-set-inspirational-bible-verse-comforter</t>
        </is>
      </c>
      <c r="B64" s="2" t="inlineStr">
        <is>
          <t>D1</t>
        </is>
      </c>
      <c r="C64" s="2" t="n">
        <v>5</v>
      </c>
      <c r="D64" s="2" t="inlineStr">
        <is>
          <t>FAIL</t>
        </is>
      </c>
      <c r="E64" s="5">
        <f>IF(B64="I1",AVERAGEIF('QA_Images'!$A$2:$A$65,A64,'QA_Images'!$T$2:$T$65)/100,IF(D64="FULL",1,IF(D64="PARTIAL",0.5,IF(D64="FAIL",0,""))))</f>
        <v/>
      </c>
      <c r="F64" s="5">
        <f>IF(E64="",0,C64*E64)</f>
        <v/>
      </c>
      <c r="G64" s="5">
        <f>IF(B64="I1",20*AVERAGEIF('QA_Images'!$A$2:$A$65,A64,'QA_Images'!$U$2:$U$65)/100,IF(D64="NOT_CHECKED",0,C64))</f>
        <v/>
      </c>
      <c r="H64" s="2" t="inlineStr">
        <is>
          <t>Đánh giá meta description về tính cụ thể và căn cứ claim.</t>
        </is>
      </c>
      <c r="I64" s="2" t="inlineStr">
        <is>
          <t>["evidence_batch_002_016", "https://jeminise.com/products/christian-bedding-set-inspirational-bible-verse-comforter", "serp_qa_016"]</t>
        </is>
      </c>
      <c r="J64" s="2" t="inlineStr">
        <is>
          <t>["ISS-016-IMG-02", "ISS-016-IMG-03", "ISS-016-IMG-04", "ISS-016-IMG-05", "ISS-016-IMG-07", "ISS-016-IMG-08", "ISS-016-DESC", "ISS-016-ENC", "ISS-016-PERS", "ISS-016-SERP"]</t>
        </is>
      </c>
    </row>
    <row r="65" ht="42" customHeight="1">
      <c r="A65" s="3" t="inlineStr">
        <is>
          <t>jeminise.com+christian-bedding-set-inspirational-bible-verse-comforter</t>
        </is>
      </c>
      <c r="B65" s="3" t="inlineStr">
        <is>
          <t>D2</t>
        </is>
      </c>
      <c r="C65" s="3" t="n">
        <v>10</v>
      </c>
      <c r="D65" s="3" t="inlineStr">
        <is>
          <t>FAIL</t>
        </is>
      </c>
      <c r="E65" s="7">
        <f>IF(B65="I1",AVERAGEIF('QA_Images'!$A$2:$A$65,A65,'QA_Images'!$T$2:$T$65)/100,IF(D65="FULL",1,IF(D65="PARTIAL",0.5,IF(D65="FAIL",0,""))))</f>
        <v/>
      </c>
      <c r="F65" s="7">
        <f>IF(E65="",0,C65*E65)</f>
        <v/>
      </c>
      <c r="G65" s="7">
        <f>IF(B65="I1",20*AVERAGEIF('QA_Images'!$A$2:$A$65,A65,'QA_Images'!$U$2:$U$65)/100,IF(D65="NOT_CHECKED",0,C65))</f>
        <v/>
      </c>
      <c r="H65" s="3" t="inlineStr">
        <is>
          <t>Description SET có HTML đầy đủ nhưng chứa câu nội bộ 'This draft should be reviewed...' và dữ liệu nguồn thô/mâu thuẫn; chưa phải nội dung publish-ready.</t>
        </is>
      </c>
      <c r="I65" s="3" t="inlineStr">
        <is>
          <t>["evidence_batch_002_016", "https://jeminise.com/products/christian-bedding-set-inspirational-bible-verse-comforter", "serp_qa_016"]</t>
        </is>
      </c>
      <c r="J65" s="3" t="inlineStr">
        <is>
          <t>["ISS-016-IMG-02", "ISS-016-IMG-03", "ISS-016-IMG-04", "ISS-016-IMG-05", "ISS-016-IMG-07", "ISS-016-IMG-08", "ISS-016-DESC", "ISS-016-ENC", "ISS-016-PERS", "ISS-016-SERP"]</t>
        </is>
      </c>
    </row>
    <row r="66" ht="42" customHeight="1">
      <c r="A66" s="2" t="inlineStr">
        <is>
          <t>jeminise.com+christian-bedding-set-inspirational-bible-verse-comforter</t>
        </is>
      </c>
      <c r="B66" s="2" t="inlineStr">
        <is>
          <t>I1</t>
        </is>
      </c>
      <c r="C66" s="2" t="n">
        <v>20</v>
      </c>
      <c r="D66" s="2" t="inlineStr">
        <is>
          <t>DERIVED</t>
        </is>
      </c>
      <c r="E66" s="5">
        <f>IF(B66="I1",AVERAGEIF('QA_Images'!$A$2:$A$65,A66,'QA_Images'!$T$2:$T$65)/100,IF(D66="FULL",1,IF(D66="PARTIAL",0.5,IF(D66="FAIL",0,""))))</f>
        <v/>
      </c>
      <c r="F66" s="5">
        <f>IF(E66="",0,C66*E66)</f>
        <v/>
      </c>
      <c r="G66" s="5">
        <f>IF(B66="I1",20*AVERAGEIF('QA_Images'!$A$2:$A$65,A66,'QA_Images'!$U$2:$U$65)/100,IF(D66="NOT_CHECKED",0,C66))</f>
        <v/>
      </c>
      <c r="H66" s="2" t="inlineStr">
        <is>
          <t>Tính từ trung bình 8 ảnh: 70.6250/100.</t>
        </is>
      </c>
      <c r="I66" s="2" t="inlineStr">
        <is>
          <t>["evidence_batch_002_016", "https://jeminise.com/products/christian-bedding-set-inspirational-bible-verse-comforter", "serp_qa_016"]</t>
        </is>
      </c>
      <c r="J66" s="2" t="inlineStr">
        <is>
          <t>["ISS-016-IMG-02", "ISS-016-IMG-03", "ISS-016-IMG-04", "ISS-016-IMG-05", "ISS-016-IMG-07", "ISS-016-IMG-08", "ISS-016-DESC", "ISS-016-ENC", "ISS-016-PERS", "ISS-016-SERP"]</t>
        </is>
      </c>
    </row>
    <row r="67" ht="42" customHeight="1">
      <c r="A67" s="3" t="inlineStr">
        <is>
          <t>jeminise.com+christian-bedding-set-inspirational-bible-verse-comforter</t>
        </is>
      </c>
      <c r="B67" s="3" t="inlineStr">
        <is>
          <t>E1</t>
        </is>
      </c>
      <c r="C67" s="3" t="n">
        <v>5</v>
      </c>
      <c r="D67" s="3" t="inlineStr">
        <is>
          <t>PARTIAL</t>
        </is>
      </c>
      <c r="E67" s="7">
        <f>IF(B67="I1",AVERAGEIF('QA_Images'!$A$2:$A$65,A67,'QA_Images'!$T$2:$T$65)/100,IF(D67="FULL",1,IF(D67="PARTIAL",0.5,IF(D67="FAIL",0,""))))</f>
        <v/>
      </c>
      <c r="F67" s="7">
        <f>IF(E67="",0,C67*E67)</f>
        <v/>
      </c>
      <c r="G67" s="7">
        <f>IF(B67="I1",20*AVERAGEIF('QA_Images'!$A$2:$A$65,A67,'QA_Images'!$U$2:$U$65)/100,IF(D67="NOT_CHECKED",0,C67))</f>
        <v/>
      </c>
      <c r="H67" s="3" t="inlineStr">
        <is>
          <t>Kiểm tra liên kết product key/handle/evidence/revision giữa workbook, snapshot và nguồn live.</t>
        </is>
      </c>
      <c r="I67" s="3" t="inlineStr">
        <is>
          <t>["evidence_batch_002_016", "https://jeminise.com/products/christian-bedding-set-inspirational-bible-verse-comforter", "serp_qa_016"]</t>
        </is>
      </c>
      <c r="J67" s="3" t="inlineStr">
        <is>
          <t>["ISS-016-IMG-02", "ISS-016-IMG-03", "ISS-016-IMG-04", "ISS-016-IMG-05", "ISS-016-IMG-07", "ISS-016-IMG-08", "ISS-016-DESC", "ISS-016-ENC", "ISS-016-PERS", "ISS-016-SERP"]</t>
        </is>
      </c>
    </row>
    <row r="68" ht="42" customHeight="1">
      <c r="A68" s="2" t="inlineStr">
        <is>
          <t>jeminise.com+christmas-bedding-quilt-soft-microfiber-holiday-bedsprea-design-01</t>
        </is>
      </c>
      <c r="B68" s="2" t="inlineStr">
        <is>
          <t>P1</t>
        </is>
      </c>
      <c r="C68" s="2" t="n">
        <v>15</v>
      </c>
      <c r="D68" s="2" t="inlineStr">
        <is>
          <t>FULL</t>
        </is>
      </c>
      <c r="E68" s="5">
        <f>IF(B68="I1",AVERAGEIF('QA_Images'!$A$2:$A$65,A68,'QA_Images'!$T$2:$T$65)/100,IF(D68="FULL",1,IF(D68="PARTIAL",0.5,IF(D68="FAIL",0,""))))</f>
        <v/>
      </c>
      <c r="F68" s="5">
        <f>IF(E68="",0,C68*E68)</f>
        <v/>
      </c>
      <c r="G68" s="5">
        <f>IF(B68="I1",20*AVERAGEIF('QA_Images'!$A$2:$A$65,A68,'QA_Images'!$U$2:$U$65)/100,IF(D68="NOT_CHECKED",0,C68))</f>
        <v/>
      </c>
      <c r="H68" s="2" t="inlineStr">
        <is>
          <t>Đối chiếu loại sản phẩm, thiết kế và màu với product JSON, H1 live và toàn bộ gallery.</t>
        </is>
      </c>
      <c r="I68" s="2" t="inlineStr">
        <is>
          <t>["evidence_batch_002_017", "https://jeminise.com/products/christmas-bedding-quilt-soft-microfiber-holiday-bedsprea-design-01", "serp_qa_017"]</t>
        </is>
      </c>
      <c r="J68" s="2" t="inlineStr">
        <is>
          <t>["ISS-017-IMG-04", "ISS-017-DESC", "ISS-017-ENC"]</t>
        </is>
      </c>
    </row>
    <row r="69" ht="42" customHeight="1">
      <c r="A69" s="3" t="inlineStr">
        <is>
          <t>jeminise.com+christmas-bedding-quilt-soft-microfiber-holiday-bedsprea-design-01</t>
        </is>
      </c>
      <c r="B69" s="3" t="inlineStr">
        <is>
          <t>P2</t>
        </is>
      </c>
      <c r="C69" s="3" t="n">
        <v>10</v>
      </c>
      <c r="D69" s="3" t="inlineStr">
        <is>
          <t>FULL</t>
        </is>
      </c>
      <c r="E69" s="7">
        <f>IF(B69="I1",AVERAGEIF('QA_Images'!$A$2:$A$65,A69,'QA_Images'!$T$2:$T$65)/100,IF(D69="FULL",1,IF(D69="PARTIAL",0.5,IF(D69="FAIL",0,""))))</f>
        <v/>
      </c>
      <c r="F69" s="7">
        <f>IF(E69="",0,C69*E69)</f>
        <v/>
      </c>
      <c r="G69" s="7">
        <f>IF(B69="I1",20*AVERAGEIF('QA_Images'!$A$2:$A$65,A69,'QA_Images'!$U$2:$U$65)/100,IF(D69="NOT_CHECKED",0,C69))</f>
        <v/>
      </c>
      <c r="H69" s="3" t="inlineStr">
        <is>
          <t>Đối chiếu chất liệu, kích thước, thành phần đi kèm, biến thể và personalization với product.js live, body HTML và toàn bộ gallery.</t>
        </is>
      </c>
      <c r="I69" s="3" t="inlineStr">
        <is>
          <t>["evidence_batch_002_017", "https://jeminise.com/products/christmas-bedding-quilt-soft-microfiber-holiday-bedsprea-design-01", "serp_qa_017"]</t>
        </is>
      </c>
      <c r="J69" s="3" t="inlineStr">
        <is>
          <t>["ISS-017-IMG-04", "ISS-017-DESC", "ISS-017-ENC"]</t>
        </is>
      </c>
    </row>
    <row r="70" ht="42" customHeight="1">
      <c r="A70" s="2" t="inlineStr">
        <is>
          <t>jeminise.com+christmas-bedding-quilt-soft-microfiber-holiday-bedsprea-design-01</t>
        </is>
      </c>
      <c r="B70" s="2" t="inlineStr">
        <is>
          <t>K1</t>
        </is>
      </c>
      <c r="C70" s="2" t="n">
        <v>10</v>
      </c>
      <c r="D70" s="2" t="inlineStr">
        <is>
          <t>FULL</t>
        </is>
      </c>
      <c r="E70" s="5">
        <f>IF(B70="I1",AVERAGEIF('QA_Images'!$A$2:$A$65,A70,'QA_Images'!$T$2:$T$65)/100,IF(D70="FULL",1,IF(D70="PARTIAL",0.5,IF(D70="FAIL",0,""))))</f>
        <v/>
      </c>
      <c r="F70" s="5">
        <f>IF(E70="",0,C70*E70)</f>
        <v/>
      </c>
      <c r="G70" s="5">
        <f>IF(B70="I1",20*AVERAGEIF('QA_Images'!$A$2:$A$65,A70,'QA_Images'!$U$2:$U$65)/100,IF(D70="NOT_CHECKED",0,C70))</f>
        <v/>
      </c>
      <c r="H70" s="2" t="inlineStr">
        <is>
          <t>Đối chiếu long-tail với thiết kế riêng và nguy cơ trùng intent trong hai cụm Christian/Christmas của batch.</t>
        </is>
      </c>
      <c r="I70" s="2" t="inlineStr">
        <is>
          <t>["evidence_batch_002_017", "https://jeminise.com/products/christmas-bedding-quilt-soft-microfiber-holiday-bedsprea-design-01", "serp_qa_017"]</t>
        </is>
      </c>
      <c r="J70" s="2" t="inlineStr">
        <is>
          <t>["ISS-017-IMG-04", "ISS-017-DESC", "ISS-017-ENC"]</t>
        </is>
      </c>
    </row>
    <row r="71" ht="42" customHeight="1">
      <c r="A71" s="3" t="inlineStr">
        <is>
          <t>jeminise.com+christmas-bedding-quilt-soft-microfiber-holiday-bedsprea-design-01</t>
        </is>
      </c>
      <c r="B71" s="3" t="inlineStr">
        <is>
          <t>K2</t>
        </is>
      </c>
      <c r="C71" s="3" t="n">
        <v>5</v>
      </c>
      <c r="D71" s="3" t="inlineStr">
        <is>
          <t>FULL</t>
        </is>
      </c>
      <c r="E71" s="7">
        <f>IF(B71="I1",AVERAGEIF('QA_Images'!$A$2:$A$65,A71,'QA_Images'!$T$2:$T$65)/100,IF(D71="FULL",1,IF(D71="PARTIAL",0.5,IF(D71="FAIL",0,""))))</f>
        <v/>
      </c>
      <c r="F71" s="7">
        <f>IF(E71="",0,C71*E71)</f>
        <v/>
      </c>
      <c r="G71" s="7">
        <f>IF(B71="I1",20*AVERAGEIF('QA_Images'!$A$2:$A$65,A71,'QA_Images'!$U$2:$U$65)/100,IF(D71="NOT_CHECKED",0,C71))</f>
        <v/>
      </c>
      <c r="H71" s="3" t="inlineStr">
        <is>
          <t>Đã đọc lại hai SERP query cho mỗi sản phẩm tại intent US; ghi URL thực đọc và không suy diễn volume.</t>
        </is>
      </c>
      <c r="I71" s="3" t="inlineStr">
        <is>
          <t>["evidence_batch_002_017", "https://jeminise.com/products/christmas-bedding-quilt-soft-microfiber-holiday-bedsprea-design-01", "serp_qa_017"]</t>
        </is>
      </c>
      <c r="J71" s="3" t="inlineStr">
        <is>
          <t>["ISS-017-IMG-04", "ISS-017-DESC", "ISS-017-ENC"]</t>
        </is>
      </c>
    </row>
    <row r="72" ht="42" customHeight="1">
      <c r="A72" s="2" t="inlineStr">
        <is>
          <t>jeminise.com+christmas-bedding-quilt-soft-microfiber-holiday-bedsprea-design-01</t>
        </is>
      </c>
      <c r="B72" s="2" t="inlineStr">
        <is>
          <t>K3</t>
        </is>
      </c>
      <c r="C72" s="2" t="n">
        <v>5</v>
      </c>
      <c r="D72" s="2" t="inlineStr">
        <is>
          <t>FULL</t>
        </is>
      </c>
      <c r="E72" s="5">
        <f>IF(B72="I1",AVERAGEIF('QA_Images'!$A$2:$A$65,A72,'QA_Images'!$T$2:$T$65)/100,IF(D72="FULL",1,IF(D72="PARTIAL",0.5,IF(D72="FAIL",0,""))))</f>
        <v/>
      </c>
      <c r="F72" s="5">
        <f>IF(E72="",0,C72*E72)</f>
        <v/>
      </c>
      <c r="G72" s="5">
        <f>IF(B72="I1",20*AVERAGEIF('QA_Images'!$A$2:$A$65,A72,'QA_Images'!$U$2:$U$65)/100,IF(D72="NOT_CHECKED",0,C72))</f>
        <v/>
      </c>
      <c r="H72" s="2" t="inlineStr">
        <is>
          <t>Không suy diễn volume; phân biệt SERP_ONLY và HYPOTHESIS_ONLY.</t>
        </is>
      </c>
      <c r="I72" s="2" t="inlineStr">
        <is>
          <t>["evidence_batch_002_017", "https://jeminise.com/products/christmas-bedding-quilt-soft-microfiber-holiday-bedsprea-design-01", "serp_qa_017"]</t>
        </is>
      </c>
      <c r="J72" s="2" t="inlineStr">
        <is>
          <t>["ISS-017-IMG-04", "ISS-017-DESC", "ISS-017-ENC"]</t>
        </is>
      </c>
    </row>
    <row r="73" ht="42" customHeight="1">
      <c r="A73" s="3" t="inlineStr">
        <is>
          <t>jeminise.com+christmas-bedding-quilt-soft-microfiber-holiday-bedsprea-design-01</t>
        </is>
      </c>
      <c r="B73" s="3" t="inlineStr">
        <is>
          <t>T1</t>
        </is>
      </c>
      <c r="C73" s="3" t="n">
        <v>10</v>
      </c>
      <c r="D73" s="3" t="inlineStr">
        <is>
          <t>FULL</t>
        </is>
      </c>
      <c r="E73" s="7">
        <f>IF(B73="I1",AVERAGEIF('QA_Images'!$A$2:$A$65,A73,'QA_Images'!$T$2:$T$65)/100,IF(D73="FULL",1,IF(D73="PARTIAL",0.5,IF(D73="FAIL",0,""))))</f>
        <v/>
      </c>
      <c r="F73" s="7">
        <f>IF(E73="",0,C73*E73)</f>
        <v/>
      </c>
      <c r="G73" s="7">
        <f>IF(B73="I1",20*AVERAGEIF('QA_Images'!$A$2:$A$65,A73,'QA_Images'!$U$2:$U$65)/100,IF(D73="NOT_CHECKED",0,C73))</f>
        <v/>
      </c>
      <c r="H73" s="3" t="inlineStr">
        <is>
          <t>Đánh giá SEO title English về độ đúng, tự nhiên, keyword và điểm phân biệt.</t>
        </is>
      </c>
      <c r="I73" s="3" t="inlineStr">
        <is>
          <t>["evidence_batch_002_017", "https://jeminise.com/products/christmas-bedding-quilt-soft-microfiber-holiday-bedsprea-design-01", "serp_qa_017"]</t>
        </is>
      </c>
      <c r="J73" s="3" t="inlineStr">
        <is>
          <t>["ISS-017-IMG-04", "ISS-017-DESC", "ISS-017-ENC"]</t>
        </is>
      </c>
    </row>
    <row r="74" ht="42" customHeight="1">
      <c r="A74" s="2" t="inlineStr">
        <is>
          <t>jeminise.com+christmas-bedding-quilt-soft-microfiber-holiday-bedsprea-design-01</t>
        </is>
      </c>
      <c r="B74" s="2" t="inlineStr">
        <is>
          <t>T2</t>
        </is>
      </c>
      <c r="C74" s="2" t="n">
        <v>5</v>
      </c>
      <c r="D74" s="2" t="inlineStr">
        <is>
          <t>FULL</t>
        </is>
      </c>
      <c r="E74" s="5">
        <f>IF(B74="I1",AVERAGEIF('QA_Images'!$A$2:$A$65,A74,'QA_Images'!$T$2:$T$65)/100,IF(D74="FULL",1,IF(D74="PARTIAL",0.5,IF(D74="FAIL",0,""))))</f>
        <v/>
      </c>
      <c r="F74" s="5">
        <f>IF(E74="",0,C74*E74)</f>
        <v/>
      </c>
      <c r="G74" s="5">
        <f>IF(B74="I1",20*AVERAGEIF('QA_Images'!$A$2:$A$65,A74,'QA_Images'!$U$2:$U$65)/100,IF(D74="NOT_CHECKED",0,C74))</f>
        <v/>
      </c>
      <c r="H74" s="2" t="inlineStr">
        <is>
          <t>Đánh giá H1 đề xuất độc lập với SEO title và đối chiếu lỗi ký tự nguồn.</t>
        </is>
      </c>
      <c r="I74" s="2" t="inlineStr">
        <is>
          <t>["evidence_batch_002_017", "https://jeminise.com/products/christmas-bedding-quilt-soft-microfiber-holiday-bedsprea-design-01", "serp_qa_017"]</t>
        </is>
      </c>
      <c r="J74" s="2" t="inlineStr">
        <is>
          <t>["ISS-017-IMG-04", "ISS-017-DESC", "ISS-017-ENC"]</t>
        </is>
      </c>
    </row>
    <row r="75" ht="42" customHeight="1">
      <c r="A75" s="3" t="inlineStr">
        <is>
          <t>jeminise.com+christmas-bedding-quilt-soft-microfiber-holiday-bedsprea-design-01</t>
        </is>
      </c>
      <c r="B75" s="3" t="inlineStr">
        <is>
          <t>D1</t>
        </is>
      </c>
      <c r="C75" s="3" t="n">
        <v>5</v>
      </c>
      <c r="D75" s="3" t="inlineStr">
        <is>
          <t>FULL</t>
        </is>
      </c>
      <c r="E75" s="7">
        <f>IF(B75="I1",AVERAGEIF('QA_Images'!$A$2:$A$65,A75,'QA_Images'!$T$2:$T$65)/100,IF(D75="FULL",1,IF(D75="PARTIAL",0.5,IF(D75="FAIL",0,""))))</f>
        <v/>
      </c>
      <c r="F75" s="7">
        <f>IF(E75="",0,C75*E75)</f>
        <v/>
      </c>
      <c r="G75" s="7">
        <f>IF(B75="I1",20*AVERAGEIF('QA_Images'!$A$2:$A$65,A75,'QA_Images'!$U$2:$U$65)/100,IF(D75="NOT_CHECKED",0,C75))</f>
        <v/>
      </c>
      <c r="H75" s="3" t="inlineStr">
        <is>
          <t>Đánh giá meta description về tính cụ thể và căn cứ claim.</t>
        </is>
      </c>
      <c r="I75" s="3" t="inlineStr">
        <is>
          <t>["evidence_batch_002_017", "https://jeminise.com/products/christmas-bedding-quilt-soft-microfiber-holiday-bedsprea-design-01", "serp_qa_017"]</t>
        </is>
      </c>
      <c r="J75" s="3" t="inlineStr">
        <is>
          <t>["ISS-017-IMG-04", "ISS-017-DESC", "ISS-017-ENC"]</t>
        </is>
      </c>
    </row>
    <row r="76" ht="42" customHeight="1">
      <c r="A76" s="2" t="inlineStr">
        <is>
          <t>jeminise.com+christmas-bedding-quilt-soft-microfiber-holiday-bedsprea-design-01</t>
        </is>
      </c>
      <c r="B76" s="2" t="inlineStr">
        <is>
          <t>D2</t>
        </is>
      </c>
      <c r="C76" s="2" t="n">
        <v>10</v>
      </c>
      <c r="D76" s="2" t="inlineStr">
        <is>
          <t>FAIL</t>
        </is>
      </c>
      <c r="E76" s="5">
        <f>IF(B76="I1",AVERAGEIF('QA_Images'!$A$2:$A$65,A76,'QA_Images'!$T$2:$T$65)/100,IF(D76="FULL",1,IF(D76="PARTIAL",0.5,IF(D76="FAIL",0,""))))</f>
        <v/>
      </c>
      <c r="F76" s="5">
        <f>IF(E76="",0,C76*E76)</f>
        <v/>
      </c>
      <c r="G76" s="5">
        <f>IF(B76="I1",20*AVERAGEIF('QA_Images'!$A$2:$A$65,A76,'QA_Images'!$U$2:$U$65)/100,IF(D76="NOT_CHECKED",0,C76))</f>
        <v/>
      </c>
      <c r="H76" s="2" t="inlineStr">
        <is>
          <t>Description SET có HTML đầy đủ nhưng chứa câu nội bộ 'This draft should be reviewed...' và dữ liệu nguồn thô/mâu thuẫn; chưa phải nội dung publish-ready.</t>
        </is>
      </c>
      <c r="I76" s="2" t="inlineStr">
        <is>
          <t>["evidence_batch_002_017", "https://jeminise.com/products/christmas-bedding-quilt-soft-microfiber-holiday-bedsprea-design-01", "serp_qa_017"]</t>
        </is>
      </c>
      <c r="J76" s="2" t="inlineStr">
        <is>
          <t>["ISS-017-IMG-04", "ISS-017-DESC", "ISS-017-ENC"]</t>
        </is>
      </c>
    </row>
    <row r="77" ht="42" customHeight="1">
      <c r="A77" s="3" t="inlineStr">
        <is>
          <t>jeminise.com+christmas-bedding-quilt-soft-microfiber-holiday-bedsprea-design-01</t>
        </is>
      </c>
      <c r="B77" s="3" t="inlineStr">
        <is>
          <t>I1</t>
        </is>
      </c>
      <c r="C77" s="3" t="n">
        <v>20</v>
      </c>
      <c r="D77" s="3" t="inlineStr">
        <is>
          <t>DERIVED</t>
        </is>
      </c>
      <c r="E77" s="7">
        <f>IF(B77="I1",AVERAGEIF('QA_Images'!$A$2:$A$65,A77,'QA_Images'!$T$2:$T$65)/100,IF(D77="FULL",1,IF(D77="PARTIAL",0.5,IF(D77="FAIL",0,""))))</f>
        <v/>
      </c>
      <c r="F77" s="7">
        <f>IF(E77="",0,C77*E77)</f>
        <v/>
      </c>
      <c r="G77" s="7">
        <f>IF(B77="I1",20*AVERAGEIF('QA_Images'!$A$2:$A$65,A77,'QA_Images'!$U$2:$U$65)/100,IF(D77="NOT_CHECKED",0,C77))</f>
        <v/>
      </c>
      <c r="H77" s="3" t="inlineStr">
        <is>
          <t>Tính từ trung bình 5 ảnh: 90.0000/100.</t>
        </is>
      </c>
      <c r="I77" s="3" t="inlineStr">
        <is>
          <t>["evidence_batch_002_017", "https://jeminise.com/products/christmas-bedding-quilt-soft-microfiber-holiday-bedsprea-design-01", "serp_qa_017"]</t>
        </is>
      </c>
      <c r="J77" s="3" t="inlineStr">
        <is>
          <t>["ISS-017-IMG-04", "ISS-017-DESC", "ISS-017-ENC"]</t>
        </is>
      </c>
    </row>
    <row r="78" ht="42" customHeight="1">
      <c r="A78" s="2" t="inlineStr">
        <is>
          <t>jeminise.com+christmas-bedding-quilt-soft-microfiber-holiday-bedsprea-design-01</t>
        </is>
      </c>
      <c r="B78" s="2" t="inlineStr">
        <is>
          <t>E1</t>
        </is>
      </c>
      <c r="C78" s="2" t="n">
        <v>5</v>
      </c>
      <c r="D78" s="2" t="inlineStr">
        <is>
          <t>PARTIAL</t>
        </is>
      </c>
      <c r="E78" s="5">
        <f>IF(B78="I1",AVERAGEIF('QA_Images'!$A$2:$A$65,A78,'QA_Images'!$T$2:$T$65)/100,IF(D78="FULL",1,IF(D78="PARTIAL",0.5,IF(D78="FAIL",0,""))))</f>
        <v/>
      </c>
      <c r="F78" s="5">
        <f>IF(E78="",0,C78*E78)</f>
        <v/>
      </c>
      <c r="G78" s="5">
        <f>IF(B78="I1",20*AVERAGEIF('QA_Images'!$A$2:$A$65,A78,'QA_Images'!$U$2:$U$65)/100,IF(D78="NOT_CHECKED",0,C78))</f>
        <v/>
      </c>
      <c r="H78" s="2" t="inlineStr">
        <is>
          <t>Kiểm tra liên kết product key/handle/evidence/revision giữa workbook, snapshot và nguồn live.</t>
        </is>
      </c>
      <c r="I78" s="2" t="inlineStr">
        <is>
          <t>["evidence_batch_002_017", "https://jeminise.com/products/christmas-bedding-quilt-soft-microfiber-holiday-bedsprea-design-01", "serp_qa_017"]</t>
        </is>
      </c>
      <c r="J78" s="2" t="inlineStr">
        <is>
          <t>["ISS-017-IMG-04", "ISS-017-DESC", "ISS-017-ENC"]</t>
        </is>
      </c>
    </row>
    <row r="79" ht="42" customHeight="1">
      <c r="A79" s="3" t="inlineStr">
        <is>
          <t>jeminise.com+christmas-bedding-quilt-soft-microfiber-holiday-bedsprea-design-02</t>
        </is>
      </c>
      <c r="B79" s="3" t="inlineStr">
        <is>
          <t>P1</t>
        </is>
      </c>
      <c r="C79" s="3" t="n">
        <v>15</v>
      </c>
      <c r="D79" s="3" t="inlineStr">
        <is>
          <t>FULL</t>
        </is>
      </c>
      <c r="E79" s="7">
        <f>IF(B79="I1",AVERAGEIF('QA_Images'!$A$2:$A$65,A79,'QA_Images'!$T$2:$T$65)/100,IF(D79="FULL",1,IF(D79="PARTIAL",0.5,IF(D79="FAIL",0,""))))</f>
        <v/>
      </c>
      <c r="F79" s="7">
        <f>IF(E79="",0,C79*E79)</f>
        <v/>
      </c>
      <c r="G79" s="7">
        <f>IF(B79="I1",20*AVERAGEIF('QA_Images'!$A$2:$A$65,A79,'QA_Images'!$U$2:$U$65)/100,IF(D79="NOT_CHECKED",0,C79))</f>
        <v/>
      </c>
      <c r="H79" s="3" t="inlineStr">
        <is>
          <t>Đối chiếu loại sản phẩm, thiết kế và màu với product JSON, H1 live và toàn bộ gallery.</t>
        </is>
      </c>
      <c r="I79" s="3" t="inlineStr">
        <is>
          <t>["evidence_batch_002_018", "https://jeminise.com/products/christmas-bedding-quilt-soft-microfiber-holiday-bedsprea-design-02", "serp_qa_018"]</t>
        </is>
      </c>
      <c r="J79" s="3" t="inlineStr">
        <is>
          <t>["ISS-018-IMG-03", "ISS-018-IMG-04", "ISS-018-DESC", "ISS-018-ENC"]</t>
        </is>
      </c>
    </row>
    <row r="80" ht="42" customHeight="1">
      <c r="A80" s="2" t="inlineStr">
        <is>
          <t>jeminise.com+christmas-bedding-quilt-soft-microfiber-holiday-bedsprea-design-02</t>
        </is>
      </c>
      <c r="B80" s="2" t="inlineStr">
        <is>
          <t>P2</t>
        </is>
      </c>
      <c r="C80" s="2" t="n">
        <v>10</v>
      </c>
      <c r="D80" s="2" t="inlineStr">
        <is>
          <t>FULL</t>
        </is>
      </c>
      <c r="E80" s="5">
        <f>IF(B80="I1",AVERAGEIF('QA_Images'!$A$2:$A$65,A80,'QA_Images'!$T$2:$T$65)/100,IF(D80="FULL",1,IF(D80="PARTIAL",0.5,IF(D80="FAIL",0,""))))</f>
        <v/>
      </c>
      <c r="F80" s="5">
        <f>IF(E80="",0,C80*E80)</f>
        <v/>
      </c>
      <c r="G80" s="5">
        <f>IF(B80="I1",20*AVERAGEIF('QA_Images'!$A$2:$A$65,A80,'QA_Images'!$U$2:$U$65)/100,IF(D80="NOT_CHECKED",0,C80))</f>
        <v/>
      </c>
      <c r="H80" s="2" t="inlineStr">
        <is>
          <t>Đối chiếu chất liệu, kích thước, thành phần đi kèm, biến thể và personalization với product.js live, body HTML và toàn bộ gallery.</t>
        </is>
      </c>
      <c r="I80" s="2" t="inlineStr">
        <is>
          <t>["evidence_batch_002_018", "https://jeminise.com/products/christmas-bedding-quilt-soft-microfiber-holiday-bedsprea-design-02", "serp_qa_018"]</t>
        </is>
      </c>
      <c r="J80" s="2" t="inlineStr">
        <is>
          <t>["ISS-018-IMG-03", "ISS-018-IMG-04", "ISS-018-DESC", "ISS-018-ENC"]</t>
        </is>
      </c>
    </row>
    <row r="81" ht="42" customHeight="1">
      <c r="A81" s="3" t="inlineStr">
        <is>
          <t>jeminise.com+christmas-bedding-quilt-soft-microfiber-holiday-bedsprea-design-02</t>
        </is>
      </c>
      <c r="B81" s="3" t="inlineStr">
        <is>
          <t>K1</t>
        </is>
      </c>
      <c r="C81" s="3" t="n">
        <v>10</v>
      </c>
      <c r="D81" s="3" t="inlineStr">
        <is>
          <t>FULL</t>
        </is>
      </c>
      <c r="E81" s="7">
        <f>IF(B81="I1",AVERAGEIF('QA_Images'!$A$2:$A$65,A81,'QA_Images'!$T$2:$T$65)/100,IF(D81="FULL",1,IF(D81="PARTIAL",0.5,IF(D81="FAIL",0,""))))</f>
        <v/>
      </c>
      <c r="F81" s="7">
        <f>IF(E81="",0,C81*E81)</f>
        <v/>
      </c>
      <c r="G81" s="7">
        <f>IF(B81="I1",20*AVERAGEIF('QA_Images'!$A$2:$A$65,A81,'QA_Images'!$U$2:$U$65)/100,IF(D81="NOT_CHECKED",0,C81))</f>
        <v/>
      </c>
      <c r="H81" s="3" t="inlineStr">
        <is>
          <t>Đối chiếu long-tail với thiết kế riêng và nguy cơ trùng intent trong hai cụm Christian/Christmas của batch.</t>
        </is>
      </c>
      <c r="I81" s="3" t="inlineStr">
        <is>
          <t>["evidence_batch_002_018", "https://jeminise.com/products/christmas-bedding-quilt-soft-microfiber-holiday-bedsprea-design-02", "serp_qa_018"]</t>
        </is>
      </c>
      <c r="J81" s="3" t="inlineStr">
        <is>
          <t>["ISS-018-IMG-03", "ISS-018-IMG-04", "ISS-018-DESC", "ISS-018-ENC"]</t>
        </is>
      </c>
    </row>
    <row r="82" ht="42" customHeight="1">
      <c r="A82" s="2" t="inlineStr">
        <is>
          <t>jeminise.com+christmas-bedding-quilt-soft-microfiber-holiday-bedsprea-design-02</t>
        </is>
      </c>
      <c r="B82" s="2" t="inlineStr">
        <is>
          <t>K2</t>
        </is>
      </c>
      <c r="C82" s="2" t="n">
        <v>5</v>
      </c>
      <c r="D82" s="2" t="inlineStr">
        <is>
          <t>FULL</t>
        </is>
      </c>
      <c r="E82" s="5">
        <f>IF(B82="I1",AVERAGEIF('QA_Images'!$A$2:$A$65,A82,'QA_Images'!$T$2:$T$65)/100,IF(D82="FULL",1,IF(D82="PARTIAL",0.5,IF(D82="FAIL",0,""))))</f>
        <v/>
      </c>
      <c r="F82" s="5">
        <f>IF(E82="",0,C82*E82)</f>
        <v/>
      </c>
      <c r="G82" s="5">
        <f>IF(B82="I1",20*AVERAGEIF('QA_Images'!$A$2:$A$65,A82,'QA_Images'!$U$2:$U$65)/100,IF(D82="NOT_CHECKED",0,C82))</f>
        <v/>
      </c>
      <c r="H82" s="2" t="inlineStr">
        <is>
          <t>Đã đọc lại hai SERP query cho mỗi sản phẩm tại intent US; ghi URL thực đọc và không suy diễn volume.</t>
        </is>
      </c>
      <c r="I82" s="2" t="inlineStr">
        <is>
          <t>["evidence_batch_002_018", "https://jeminise.com/products/christmas-bedding-quilt-soft-microfiber-holiday-bedsprea-design-02", "serp_qa_018"]</t>
        </is>
      </c>
      <c r="J82" s="2" t="inlineStr">
        <is>
          <t>["ISS-018-IMG-03", "ISS-018-IMG-04", "ISS-018-DESC", "ISS-018-ENC"]</t>
        </is>
      </c>
    </row>
    <row r="83" ht="42" customHeight="1">
      <c r="A83" s="3" t="inlineStr">
        <is>
          <t>jeminise.com+christmas-bedding-quilt-soft-microfiber-holiday-bedsprea-design-02</t>
        </is>
      </c>
      <c r="B83" s="3" t="inlineStr">
        <is>
          <t>K3</t>
        </is>
      </c>
      <c r="C83" s="3" t="n">
        <v>5</v>
      </c>
      <c r="D83" s="3" t="inlineStr">
        <is>
          <t>FULL</t>
        </is>
      </c>
      <c r="E83" s="7">
        <f>IF(B83="I1",AVERAGEIF('QA_Images'!$A$2:$A$65,A83,'QA_Images'!$T$2:$T$65)/100,IF(D83="FULL",1,IF(D83="PARTIAL",0.5,IF(D83="FAIL",0,""))))</f>
        <v/>
      </c>
      <c r="F83" s="7">
        <f>IF(E83="",0,C83*E83)</f>
        <v/>
      </c>
      <c r="G83" s="7">
        <f>IF(B83="I1",20*AVERAGEIF('QA_Images'!$A$2:$A$65,A83,'QA_Images'!$U$2:$U$65)/100,IF(D83="NOT_CHECKED",0,C83))</f>
        <v/>
      </c>
      <c r="H83" s="3" t="inlineStr">
        <is>
          <t>Không suy diễn volume; phân biệt SERP_ONLY và HYPOTHESIS_ONLY.</t>
        </is>
      </c>
      <c r="I83" s="3" t="inlineStr">
        <is>
          <t>["evidence_batch_002_018", "https://jeminise.com/products/christmas-bedding-quilt-soft-microfiber-holiday-bedsprea-design-02", "serp_qa_018"]</t>
        </is>
      </c>
      <c r="J83" s="3" t="inlineStr">
        <is>
          <t>["ISS-018-IMG-03", "ISS-018-IMG-04", "ISS-018-DESC", "ISS-018-ENC"]</t>
        </is>
      </c>
    </row>
    <row r="84" ht="42" customHeight="1">
      <c r="A84" s="2" t="inlineStr">
        <is>
          <t>jeminise.com+christmas-bedding-quilt-soft-microfiber-holiday-bedsprea-design-02</t>
        </is>
      </c>
      <c r="B84" s="2" t="inlineStr">
        <is>
          <t>T1</t>
        </is>
      </c>
      <c r="C84" s="2" t="n">
        <v>10</v>
      </c>
      <c r="D84" s="2" t="inlineStr">
        <is>
          <t>FULL</t>
        </is>
      </c>
      <c r="E84" s="5">
        <f>IF(B84="I1",AVERAGEIF('QA_Images'!$A$2:$A$65,A84,'QA_Images'!$T$2:$T$65)/100,IF(D84="FULL",1,IF(D84="PARTIAL",0.5,IF(D84="FAIL",0,""))))</f>
        <v/>
      </c>
      <c r="F84" s="5">
        <f>IF(E84="",0,C84*E84)</f>
        <v/>
      </c>
      <c r="G84" s="5">
        <f>IF(B84="I1",20*AVERAGEIF('QA_Images'!$A$2:$A$65,A84,'QA_Images'!$U$2:$U$65)/100,IF(D84="NOT_CHECKED",0,C84))</f>
        <v/>
      </c>
      <c r="H84" s="2" t="inlineStr">
        <is>
          <t>Đánh giá SEO title English về độ đúng, tự nhiên, keyword và điểm phân biệt.</t>
        </is>
      </c>
      <c r="I84" s="2" t="inlineStr">
        <is>
          <t>["evidence_batch_002_018", "https://jeminise.com/products/christmas-bedding-quilt-soft-microfiber-holiday-bedsprea-design-02", "serp_qa_018"]</t>
        </is>
      </c>
      <c r="J84" s="2" t="inlineStr">
        <is>
          <t>["ISS-018-IMG-03", "ISS-018-IMG-04", "ISS-018-DESC", "ISS-018-ENC"]</t>
        </is>
      </c>
    </row>
    <row r="85" ht="42" customHeight="1">
      <c r="A85" s="3" t="inlineStr">
        <is>
          <t>jeminise.com+christmas-bedding-quilt-soft-microfiber-holiday-bedsprea-design-02</t>
        </is>
      </c>
      <c r="B85" s="3" t="inlineStr">
        <is>
          <t>T2</t>
        </is>
      </c>
      <c r="C85" s="3" t="n">
        <v>5</v>
      </c>
      <c r="D85" s="3" t="inlineStr">
        <is>
          <t>FULL</t>
        </is>
      </c>
      <c r="E85" s="7">
        <f>IF(B85="I1",AVERAGEIF('QA_Images'!$A$2:$A$65,A85,'QA_Images'!$T$2:$T$65)/100,IF(D85="FULL",1,IF(D85="PARTIAL",0.5,IF(D85="FAIL",0,""))))</f>
        <v/>
      </c>
      <c r="F85" s="7">
        <f>IF(E85="",0,C85*E85)</f>
        <v/>
      </c>
      <c r="G85" s="7">
        <f>IF(B85="I1",20*AVERAGEIF('QA_Images'!$A$2:$A$65,A85,'QA_Images'!$U$2:$U$65)/100,IF(D85="NOT_CHECKED",0,C85))</f>
        <v/>
      </c>
      <c r="H85" s="3" t="inlineStr">
        <is>
          <t>Đánh giá H1 đề xuất độc lập với SEO title và đối chiếu lỗi ký tự nguồn.</t>
        </is>
      </c>
      <c r="I85" s="3" t="inlineStr">
        <is>
          <t>["evidence_batch_002_018", "https://jeminise.com/products/christmas-bedding-quilt-soft-microfiber-holiday-bedsprea-design-02", "serp_qa_018"]</t>
        </is>
      </c>
      <c r="J85" s="3" t="inlineStr">
        <is>
          <t>["ISS-018-IMG-03", "ISS-018-IMG-04", "ISS-018-DESC", "ISS-018-ENC"]</t>
        </is>
      </c>
    </row>
    <row r="86" ht="42" customHeight="1">
      <c r="A86" s="2" t="inlineStr">
        <is>
          <t>jeminise.com+christmas-bedding-quilt-soft-microfiber-holiday-bedsprea-design-02</t>
        </is>
      </c>
      <c r="B86" s="2" t="inlineStr">
        <is>
          <t>D1</t>
        </is>
      </c>
      <c r="C86" s="2" t="n">
        <v>5</v>
      </c>
      <c r="D86" s="2" t="inlineStr">
        <is>
          <t>FULL</t>
        </is>
      </c>
      <c r="E86" s="5">
        <f>IF(B86="I1",AVERAGEIF('QA_Images'!$A$2:$A$65,A86,'QA_Images'!$T$2:$T$65)/100,IF(D86="FULL",1,IF(D86="PARTIAL",0.5,IF(D86="FAIL",0,""))))</f>
        <v/>
      </c>
      <c r="F86" s="5">
        <f>IF(E86="",0,C86*E86)</f>
        <v/>
      </c>
      <c r="G86" s="5">
        <f>IF(B86="I1",20*AVERAGEIF('QA_Images'!$A$2:$A$65,A86,'QA_Images'!$U$2:$U$65)/100,IF(D86="NOT_CHECKED",0,C86))</f>
        <v/>
      </c>
      <c r="H86" s="2" t="inlineStr">
        <is>
          <t>Đánh giá meta description về tính cụ thể và căn cứ claim.</t>
        </is>
      </c>
      <c r="I86" s="2" t="inlineStr">
        <is>
          <t>["evidence_batch_002_018", "https://jeminise.com/products/christmas-bedding-quilt-soft-microfiber-holiday-bedsprea-design-02", "serp_qa_018"]</t>
        </is>
      </c>
      <c r="J86" s="2" t="inlineStr">
        <is>
          <t>["ISS-018-IMG-03", "ISS-018-IMG-04", "ISS-018-DESC", "ISS-018-ENC"]</t>
        </is>
      </c>
    </row>
    <row r="87" ht="42" customHeight="1">
      <c r="A87" s="3" t="inlineStr">
        <is>
          <t>jeminise.com+christmas-bedding-quilt-soft-microfiber-holiday-bedsprea-design-02</t>
        </is>
      </c>
      <c r="B87" s="3" t="inlineStr">
        <is>
          <t>D2</t>
        </is>
      </c>
      <c r="C87" s="3" t="n">
        <v>10</v>
      </c>
      <c r="D87" s="3" t="inlineStr">
        <is>
          <t>FAIL</t>
        </is>
      </c>
      <c r="E87" s="7">
        <f>IF(B87="I1",AVERAGEIF('QA_Images'!$A$2:$A$65,A87,'QA_Images'!$T$2:$T$65)/100,IF(D87="FULL",1,IF(D87="PARTIAL",0.5,IF(D87="FAIL",0,""))))</f>
        <v/>
      </c>
      <c r="F87" s="7">
        <f>IF(E87="",0,C87*E87)</f>
        <v/>
      </c>
      <c r="G87" s="7">
        <f>IF(B87="I1",20*AVERAGEIF('QA_Images'!$A$2:$A$65,A87,'QA_Images'!$U$2:$U$65)/100,IF(D87="NOT_CHECKED",0,C87))</f>
        <v/>
      </c>
      <c r="H87" s="3" t="inlineStr">
        <is>
          <t>Description SET có HTML đầy đủ nhưng chứa câu nội bộ 'This draft should be reviewed...' và dữ liệu nguồn thô/mâu thuẫn; chưa phải nội dung publish-ready.</t>
        </is>
      </c>
      <c r="I87" s="3" t="inlineStr">
        <is>
          <t>["evidence_batch_002_018", "https://jeminise.com/products/christmas-bedding-quilt-soft-microfiber-holiday-bedsprea-design-02", "serp_qa_018"]</t>
        </is>
      </c>
      <c r="J87" s="3" t="inlineStr">
        <is>
          <t>["ISS-018-IMG-03", "ISS-018-IMG-04", "ISS-018-DESC", "ISS-018-ENC"]</t>
        </is>
      </c>
    </row>
    <row r="88" ht="42" customHeight="1">
      <c r="A88" s="2" t="inlineStr">
        <is>
          <t>jeminise.com+christmas-bedding-quilt-soft-microfiber-holiday-bedsprea-design-02</t>
        </is>
      </c>
      <c r="B88" s="2" t="inlineStr">
        <is>
          <t>I1</t>
        </is>
      </c>
      <c r="C88" s="2" t="n">
        <v>20</v>
      </c>
      <c r="D88" s="2" t="inlineStr">
        <is>
          <t>DERIVED</t>
        </is>
      </c>
      <c r="E88" s="5">
        <f>IF(B88="I1",AVERAGEIF('QA_Images'!$A$2:$A$65,A88,'QA_Images'!$T$2:$T$65)/100,IF(D88="FULL",1,IF(D88="PARTIAL",0.5,IF(D88="FAIL",0,""))))</f>
        <v/>
      </c>
      <c r="F88" s="5">
        <f>IF(E88="",0,C88*E88)</f>
        <v/>
      </c>
      <c r="G88" s="5">
        <f>IF(B88="I1",20*AVERAGEIF('QA_Images'!$A$2:$A$65,A88,'QA_Images'!$U$2:$U$65)/100,IF(D88="NOT_CHECKED",0,C88))</f>
        <v/>
      </c>
      <c r="H88" s="2" t="inlineStr">
        <is>
          <t>Tính từ trung bình 5 ảnh: 80.0000/100.</t>
        </is>
      </c>
      <c r="I88" s="2" t="inlineStr">
        <is>
          <t>["evidence_batch_002_018", "https://jeminise.com/products/christmas-bedding-quilt-soft-microfiber-holiday-bedsprea-design-02", "serp_qa_018"]</t>
        </is>
      </c>
      <c r="J88" s="2" t="inlineStr">
        <is>
          <t>["ISS-018-IMG-03", "ISS-018-IMG-04", "ISS-018-DESC", "ISS-018-ENC"]</t>
        </is>
      </c>
    </row>
    <row r="89" ht="42" customHeight="1">
      <c r="A89" s="3" t="inlineStr">
        <is>
          <t>jeminise.com+christmas-bedding-quilt-soft-microfiber-holiday-bedsprea-design-02</t>
        </is>
      </c>
      <c r="B89" s="3" t="inlineStr">
        <is>
          <t>E1</t>
        </is>
      </c>
      <c r="C89" s="3" t="n">
        <v>5</v>
      </c>
      <c r="D89" s="3" t="inlineStr">
        <is>
          <t>PARTIAL</t>
        </is>
      </c>
      <c r="E89" s="7">
        <f>IF(B89="I1",AVERAGEIF('QA_Images'!$A$2:$A$65,A89,'QA_Images'!$T$2:$T$65)/100,IF(D89="FULL",1,IF(D89="PARTIAL",0.5,IF(D89="FAIL",0,""))))</f>
        <v/>
      </c>
      <c r="F89" s="7">
        <f>IF(E89="",0,C89*E89)</f>
        <v/>
      </c>
      <c r="G89" s="7">
        <f>IF(B89="I1",20*AVERAGEIF('QA_Images'!$A$2:$A$65,A89,'QA_Images'!$U$2:$U$65)/100,IF(D89="NOT_CHECKED",0,C89))</f>
        <v/>
      </c>
      <c r="H89" s="3" t="inlineStr">
        <is>
          <t>Kiểm tra liên kết product key/handle/evidence/revision giữa workbook, snapshot và nguồn live.</t>
        </is>
      </c>
      <c r="I89" s="3" t="inlineStr">
        <is>
          <t>["evidence_batch_002_018", "https://jeminise.com/products/christmas-bedding-quilt-soft-microfiber-holiday-bedsprea-design-02", "serp_qa_018"]</t>
        </is>
      </c>
      <c r="J89" s="3" t="inlineStr">
        <is>
          <t>["ISS-018-IMG-03", "ISS-018-IMG-04", "ISS-018-DESC", "ISS-018-ENC"]</t>
        </is>
      </c>
    </row>
    <row r="90" ht="42" customHeight="1">
      <c r="A90" s="2" t="inlineStr">
        <is>
          <t>jeminise.com+christmas-bedding-quilt-soft-microfiber-holiday-bedsprea-design-03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5">
        <f>IF(B90="I1",AVERAGEIF('QA_Images'!$A$2:$A$65,A90,'QA_Images'!$T$2:$T$65)/100,IF(D90="FULL",1,IF(D90="PARTIAL",0.5,IF(D90="FAIL",0,""))))</f>
        <v/>
      </c>
      <c r="F90" s="5">
        <f>IF(E90="",0,C90*E90)</f>
        <v/>
      </c>
      <c r="G90" s="5">
        <f>IF(B90="I1",20*AVERAGEIF('QA_Images'!$A$2:$A$65,A90,'QA_Images'!$U$2:$U$65)/100,IF(D90="NOT_CHECKED",0,C90))</f>
        <v/>
      </c>
      <c r="H90" s="2" t="inlineStr">
        <is>
          <t>Đối chiếu loại sản phẩm, thiết kế và màu với product JSON, H1 live và toàn bộ gallery.</t>
        </is>
      </c>
      <c r="I90" s="2" t="inlineStr">
        <is>
          <t>["evidence_batch_002_019", "https://jeminise.com/products/christmas-bedding-quilt-soft-microfiber-holiday-bedsprea-design-03", "serp_qa_019"]</t>
        </is>
      </c>
      <c r="J90" s="2" t="inlineStr">
        <is>
          <t>["ISS-019-IMG-03", "ISS-019-IMG-04", "ISS-019-DESC", "ISS-019-ENC", "ISS-019-PERS"]</t>
        </is>
      </c>
    </row>
    <row r="91" ht="42" customHeight="1">
      <c r="A91" s="3" t="inlineStr">
        <is>
          <t>jeminise.com+christmas-bedding-quilt-soft-microfiber-holiday-bedsprea-design-03</t>
        </is>
      </c>
      <c r="B91" s="3" t="inlineStr">
        <is>
          <t>P2</t>
        </is>
      </c>
      <c r="C91" s="3" t="n">
        <v>10</v>
      </c>
      <c r="D91" s="3" t="inlineStr">
        <is>
          <t>FAIL</t>
        </is>
      </c>
      <c r="E91" s="7">
        <f>IF(B91="I1",AVERAGEIF('QA_Images'!$A$2:$A$65,A91,'QA_Images'!$T$2:$T$65)/100,IF(D91="FULL",1,IF(D91="PARTIAL",0.5,IF(D91="FAIL",0,""))))</f>
        <v/>
      </c>
      <c r="F91" s="7">
        <f>IF(E91="",0,C91*E91)</f>
        <v/>
      </c>
      <c r="G91" s="7">
        <f>IF(B91="I1",20*AVERAGEIF('QA_Images'!$A$2:$A$65,A91,'QA_Images'!$U$2:$U$65)/100,IF(D91="NOT_CHECKED",0,C91))</f>
        <v/>
      </c>
      <c r="H91" s="3" t="inlineStr">
        <is>
          <t>Đối chiếu chất liệu, kích thước, thành phần đi kèm, biến thể và personalization với product.js live, body HTML và toàn bộ gallery.</t>
        </is>
      </c>
      <c r="I91" s="3" t="inlineStr">
        <is>
          <t>["evidence_batch_002_019", "https://jeminise.com/products/christmas-bedding-quilt-soft-microfiber-holiday-bedsprea-design-03", "serp_qa_019"]</t>
        </is>
      </c>
      <c r="J91" s="3" t="inlineStr">
        <is>
          <t>["ISS-019-IMG-03", "ISS-019-IMG-04", "ISS-019-DESC", "ISS-019-ENC", "ISS-019-PERS"]</t>
        </is>
      </c>
    </row>
    <row r="92" ht="42" customHeight="1">
      <c r="A92" s="2" t="inlineStr">
        <is>
          <t>jeminise.com+christmas-bedding-quilt-soft-microfiber-holiday-bedsprea-design-03</t>
        </is>
      </c>
      <c r="B92" s="2" t="inlineStr">
        <is>
          <t>K1</t>
        </is>
      </c>
      <c r="C92" s="2" t="n">
        <v>10</v>
      </c>
      <c r="D92" s="2" t="inlineStr">
        <is>
          <t>PARTIAL</t>
        </is>
      </c>
      <c r="E92" s="5">
        <f>IF(B92="I1",AVERAGEIF('QA_Images'!$A$2:$A$65,A92,'QA_Images'!$T$2:$T$65)/100,IF(D92="FULL",1,IF(D92="PARTIAL",0.5,IF(D92="FAIL",0,""))))</f>
        <v/>
      </c>
      <c r="F92" s="5">
        <f>IF(E92="",0,C92*E92)</f>
        <v/>
      </c>
      <c r="G92" s="5">
        <f>IF(B92="I1",20*AVERAGEIF('QA_Images'!$A$2:$A$65,A92,'QA_Images'!$U$2:$U$65)/100,IF(D92="NOT_CHECKED",0,C92))</f>
        <v/>
      </c>
      <c r="H92" s="2" t="inlineStr">
        <is>
          <t>Đối chiếu long-tail với thiết kế riêng và nguy cơ trùng intent trong hai cụm Christian/Christmas của batch.</t>
        </is>
      </c>
      <c r="I92" s="2" t="inlineStr">
        <is>
          <t>["evidence_batch_002_019", "https://jeminise.com/products/christmas-bedding-quilt-soft-microfiber-holiday-bedsprea-design-03", "serp_qa_019"]</t>
        </is>
      </c>
      <c r="J92" s="2" t="inlineStr">
        <is>
          <t>["ISS-019-IMG-03", "ISS-019-IMG-04", "ISS-019-DESC", "ISS-019-ENC", "ISS-019-PERS"]</t>
        </is>
      </c>
    </row>
    <row r="93" ht="42" customHeight="1">
      <c r="A93" s="3" t="inlineStr">
        <is>
          <t>jeminise.com+christmas-bedding-quilt-soft-microfiber-holiday-bedsprea-design-03</t>
        </is>
      </c>
      <c r="B93" s="3" t="inlineStr">
        <is>
          <t>K2</t>
        </is>
      </c>
      <c r="C93" s="3" t="n">
        <v>5</v>
      </c>
      <c r="D93" s="3" t="inlineStr">
        <is>
          <t>FULL</t>
        </is>
      </c>
      <c r="E93" s="7">
        <f>IF(B93="I1",AVERAGEIF('QA_Images'!$A$2:$A$65,A93,'QA_Images'!$T$2:$T$65)/100,IF(D93="FULL",1,IF(D93="PARTIAL",0.5,IF(D93="FAIL",0,""))))</f>
        <v/>
      </c>
      <c r="F93" s="7">
        <f>IF(E93="",0,C93*E93)</f>
        <v/>
      </c>
      <c r="G93" s="7">
        <f>IF(B93="I1",20*AVERAGEIF('QA_Images'!$A$2:$A$65,A93,'QA_Images'!$U$2:$U$65)/100,IF(D93="NOT_CHECKED",0,C93))</f>
        <v/>
      </c>
      <c r="H93" s="3" t="inlineStr">
        <is>
          <t>Đã đọc lại hai SERP query cho mỗi sản phẩm tại intent US; ghi URL thực đọc và không suy diễn volume.</t>
        </is>
      </c>
      <c r="I93" s="3" t="inlineStr">
        <is>
          <t>["evidence_batch_002_019", "https://jeminise.com/products/christmas-bedding-quilt-soft-microfiber-holiday-bedsprea-design-03", "serp_qa_019"]</t>
        </is>
      </c>
      <c r="J93" s="3" t="inlineStr">
        <is>
          <t>["ISS-019-IMG-03", "ISS-019-IMG-04", "ISS-019-DESC", "ISS-019-ENC", "ISS-019-PERS"]</t>
        </is>
      </c>
    </row>
    <row r="94" ht="42" customHeight="1">
      <c r="A94" s="2" t="inlineStr">
        <is>
          <t>jeminise.com+christmas-bedding-quilt-soft-microfiber-holiday-bedsprea-design-03</t>
        </is>
      </c>
      <c r="B94" s="2" t="inlineStr">
        <is>
          <t>K3</t>
        </is>
      </c>
      <c r="C94" s="2" t="n">
        <v>5</v>
      </c>
      <c r="D94" s="2" t="inlineStr">
        <is>
          <t>FULL</t>
        </is>
      </c>
      <c r="E94" s="5">
        <f>IF(B94="I1",AVERAGEIF('QA_Images'!$A$2:$A$65,A94,'QA_Images'!$T$2:$T$65)/100,IF(D94="FULL",1,IF(D94="PARTIAL",0.5,IF(D94="FAIL",0,""))))</f>
        <v/>
      </c>
      <c r="F94" s="5">
        <f>IF(E94="",0,C94*E94)</f>
        <v/>
      </c>
      <c r="G94" s="5">
        <f>IF(B94="I1",20*AVERAGEIF('QA_Images'!$A$2:$A$65,A94,'QA_Images'!$U$2:$U$65)/100,IF(D94="NOT_CHECKED",0,C94))</f>
        <v/>
      </c>
      <c r="H94" s="2" t="inlineStr">
        <is>
          <t>Không suy diễn volume; phân biệt SERP_ONLY và HYPOTHESIS_ONLY.</t>
        </is>
      </c>
      <c r="I94" s="2" t="inlineStr">
        <is>
          <t>["evidence_batch_002_019", "https://jeminise.com/products/christmas-bedding-quilt-soft-microfiber-holiday-bedsprea-design-03", "serp_qa_019"]</t>
        </is>
      </c>
      <c r="J94" s="2" t="inlineStr">
        <is>
          <t>["ISS-019-IMG-03", "ISS-019-IMG-04", "ISS-019-DESC", "ISS-019-ENC", "ISS-019-PERS"]</t>
        </is>
      </c>
    </row>
    <row r="95" ht="42" customHeight="1">
      <c r="A95" s="3" t="inlineStr">
        <is>
          <t>jeminise.com+christmas-bedding-quilt-soft-microfiber-holiday-bedsprea-design-03</t>
        </is>
      </c>
      <c r="B95" s="3" t="inlineStr">
        <is>
          <t>T1</t>
        </is>
      </c>
      <c r="C95" s="3" t="n">
        <v>10</v>
      </c>
      <c r="D95" s="3" t="inlineStr">
        <is>
          <t>FULL</t>
        </is>
      </c>
      <c r="E95" s="7">
        <f>IF(B95="I1",AVERAGEIF('QA_Images'!$A$2:$A$65,A95,'QA_Images'!$T$2:$T$65)/100,IF(D95="FULL",1,IF(D95="PARTIAL",0.5,IF(D95="FAIL",0,""))))</f>
        <v/>
      </c>
      <c r="F95" s="7">
        <f>IF(E95="",0,C95*E95)</f>
        <v/>
      </c>
      <c r="G95" s="7">
        <f>IF(B95="I1",20*AVERAGEIF('QA_Images'!$A$2:$A$65,A95,'QA_Images'!$U$2:$U$65)/100,IF(D95="NOT_CHECKED",0,C95))</f>
        <v/>
      </c>
      <c r="H95" s="3" t="inlineStr">
        <is>
          <t>Đánh giá SEO title English về độ đúng, tự nhiên, keyword và điểm phân biệt.</t>
        </is>
      </c>
      <c r="I95" s="3" t="inlineStr">
        <is>
          <t>["evidence_batch_002_019", "https://jeminise.com/products/christmas-bedding-quilt-soft-microfiber-holiday-bedsprea-design-03", "serp_qa_019"]</t>
        </is>
      </c>
      <c r="J95" s="3" t="inlineStr">
        <is>
          <t>["ISS-019-IMG-03", "ISS-019-IMG-04", "ISS-019-DESC", "ISS-019-ENC", "ISS-019-PERS"]</t>
        </is>
      </c>
    </row>
    <row r="96" ht="42" customHeight="1">
      <c r="A96" s="2" t="inlineStr">
        <is>
          <t>jeminise.com+christmas-bedding-quilt-soft-microfiber-holiday-bedsprea-design-03</t>
        </is>
      </c>
      <c r="B96" s="2" t="inlineStr">
        <is>
          <t>T2</t>
        </is>
      </c>
      <c r="C96" s="2" t="n">
        <v>5</v>
      </c>
      <c r="D96" s="2" t="inlineStr">
        <is>
          <t>FULL</t>
        </is>
      </c>
      <c r="E96" s="5">
        <f>IF(B96="I1",AVERAGEIF('QA_Images'!$A$2:$A$65,A96,'QA_Images'!$T$2:$T$65)/100,IF(D96="FULL",1,IF(D96="PARTIAL",0.5,IF(D96="FAIL",0,""))))</f>
        <v/>
      </c>
      <c r="F96" s="5">
        <f>IF(E96="",0,C96*E96)</f>
        <v/>
      </c>
      <c r="G96" s="5">
        <f>IF(B96="I1",20*AVERAGEIF('QA_Images'!$A$2:$A$65,A96,'QA_Images'!$U$2:$U$65)/100,IF(D96="NOT_CHECKED",0,C96))</f>
        <v/>
      </c>
      <c r="H96" s="2" t="inlineStr">
        <is>
          <t>Đánh giá H1 đề xuất độc lập với SEO title và đối chiếu lỗi ký tự nguồn.</t>
        </is>
      </c>
      <c r="I96" s="2" t="inlineStr">
        <is>
          <t>["evidence_batch_002_019", "https://jeminise.com/products/christmas-bedding-quilt-soft-microfiber-holiday-bedsprea-design-03", "serp_qa_019"]</t>
        </is>
      </c>
      <c r="J96" s="2" t="inlineStr">
        <is>
          <t>["ISS-019-IMG-03", "ISS-019-IMG-04", "ISS-019-DESC", "ISS-019-ENC", "ISS-019-PERS"]</t>
        </is>
      </c>
    </row>
    <row r="97" ht="42" customHeight="1">
      <c r="A97" s="3" t="inlineStr">
        <is>
          <t>jeminise.com+christmas-bedding-quilt-soft-microfiber-holiday-bedsprea-design-03</t>
        </is>
      </c>
      <c r="B97" s="3" t="inlineStr">
        <is>
          <t>D1</t>
        </is>
      </c>
      <c r="C97" s="3" t="n">
        <v>5</v>
      </c>
      <c r="D97" s="3" t="inlineStr">
        <is>
          <t>FULL</t>
        </is>
      </c>
      <c r="E97" s="7">
        <f>IF(B97="I1",AVERAGEIF('QA_Images'!$A$2:$A$65,A97,'QA_Images'!$T$2:$T$65)/100,IF(D97="FULL",1,IF(D97="PARTIAL",0.5,IF(D97="FAIL",0,""))))</f>
        <v/>
      </c>
      <c r="F97" s="7">
        <f>IF(E97="",0,C97*E97)</f>
        <v/>
      </c>
      <c r="G97" s="7">
        <f>IF(B97="I1",20*AVERAGEIF('QA_Images'!$A$2:$A$65,A97,'QA_Images'!$U$2:$U$65)/100,IF(D97="NOT_CHECKED",0,C97))</f>
        <v/>
      </c>
      <c r="H97" s="3" t="inlineStr">
        <is>
          <t>Đánh giá meta description về tính cụ thể và căn cứ claim.</t>
        </is>
      </c>
      <c r="I97" s="3" t="inlineStr">
        <is>
          <t>["evidence_batch_002_019", "https://jeminise.com/products/christmas-bedding-quilt-soft-microfiber-holiday-bedsprea-design-03", "serp_qa_019"]</t>
        </is>
      </c>
      <c r="J97" s="3" t="inlineStr">
        <is>
          <t>["ISS-019-IMG-03", "ISS-019-IMG-04", "ISS-019-DESC", "ISS-019-ENC", "ISS-019-PERS"]</t>
        </is>
      </c>
    </row>
    <row r="98" ht="42" customHeight="1">
      <c r="A98" s="2" t="inlineStr">
        <is>
          <t>jeminise.com+christmas-bedding-quilt-soft-microfiber-holiday-bedsprea-design-03</t>
        </is>
      </c>
      <c r="B98" s="2" t="inlineStr">
        <is>
          <t>D2</t>
        </is>
      </c>
      <c r="C98" s="2" t="n">
        <v>10</v>
      </c>
      <c r="D98" s="2" t="inlineStr">
        <is>
          <t>FAIL</t>
        </is>
      </c>
      <c r="E98" s="5">
        <f>IF(B98="I1",AVERAGEIF('QA_Images'!$A$2:$A$65,A98,'QA_Images'!$T$2:$T$65)/100,IF(D98="FULL",1,IF(D98="PARTIAL",0.5,IF(D98="FAIL",0,""))))</f>
        <v/>
      </c>
      <c r="F98" s="5">
        <f>IF(E98="",0,C98*E98)</f>
        <v/>
      </c>
      <c r="G98" s="5">
        <f>IF(B98="I1",20*AVERAGEIF('QA_Images'!$A$2:$A$65,A98,'QA_Images'!$U$2:$U$65)/100,IF(D98="NOT_CHECKED",0,C98))</f>
        <v/>
      </c>
      <c r="H98" s="2" t="inlineStr">
        <is>
          <t>Description SET có HTML đầy đủ nhưng chứa câu nội bộ 'This draft should be reviewed...' và dữ liệu nguồn thô/mâu thuẫn; chưa phải nội dung publish-ready.</t>
        </is>
      </c>
      <c r="I98" s="2" t="inlineStr">
        <is>
          <t>["evidence_batch_002_019", "https://jeminise.com/products/christmas-bedding-quilt-soft-microfiber-holiday-bedsprea-design-03", "serp_qa_019"]</t>
        </is>
      </c>
      <c r="J98" s="2" t="inlineStr">
        <is>
          <t>["ISS-019-IMG-03", "ISS-019-IMG-04", "ISS-019-DESC", "ISS-019-ENC", "ISS-019-PERS"]</t>
        </is>
      </c>
    </row>
    <row r="99" ht="42" customHeight="1">
      <c r="A99" s="3" t="inlineStr">
        <is>
          <t>jeminise.com+christmas-bedding-quilt-soft-microfiber-holiday-bedsprea-design-03</t>
        </is>
      </c>
      <c r="B99" s="3" t="inlineStr">
        <is>
          <t>I1</t>
        </is>
      </c>
      <c r="C99" s="3" t="n">
        <v>20</v>
      </c>
      <c r="D99" s="3" t="inlineStr">
        <is>
          <t>DERIVED</t>
        </is>
      </c>
      <c r="E99" s="7">
        <f>IF(B99="I1",AVERAGEIF('QA_Images'!$A$2:$A$65,A99,'QA_Images'!$T$2:$T$65)/100,IF(D99="FULL",1,IF(D99="PARTIAL",0.5,IF(D99="FAIL",0,""))))</f>
        <v/>
      </c>
      <c r="F99" s="7">
        <f>IF(E99="",0,C99*E99)</f>
        <v/>
      </c>
      <c r="G99" s="7">
        <f>IF(B99="I1",20*AVERAGEIF('QA_Images'!$A$2:$A$65,A99,'QA_Images'!$U$2:$U$65)/100,IF(D99="NOT_CHECKED",0,C99))</f>
        <v/>
      </c>
      <c r="H99" s="3" t="inlineStr">
        <is>
          <t>Tính từ trung bình 5 ảnh: 80.0000/100.</t>
        </is>
      </c>
      <c r="I99" s="3" t="inlineStr">
        <is>
          <t>["evidence_batch_002_019", "https://jeminise.com/products/christmas-bedding-quilt-soft-microfiber-holiday-bedsprea-design-03", "serp_qa_019"]</t>
        </is>
      </c>
      <c r="J99" s="3" t="inlineStr">
        <is>
          <t>["ISS-019-IMG-03", "ISS-019-IMG-04", "ISS-019-DESC", "ISS-019-ENC", "ISS-019-PERS"]</t>
        </is>
      </c>
    </row>
    <row r="100" ht="42" customHeight="1">
      <c r="A100" s="2" t="inlineStr">
        <is>
          <t>jeminise.com+christmas-bedding-quilt-soft-microfiber-holiday-bedsprea-design-03</t>
        </is>
      </c>
      <c r="B100" s="2" t="inlineStr">
        <is>
          <t>E1</t>
        </is>
      </c>
      <c r="C100" s="2" t="n">
        <v>5</v>
      </c>
      <c r="D100" s="2" t="inlineStr">
        <is>
          <t>PARTIAL</t>
        </is>
      </c>
      <c r="E100" s="5">
        <f>IF(B100="I1",AVERAGEIF('QA_Images'!$A$2:$A$65,A100,'QA_Images'!$T$2:$T$65)/100,IF(D100="FULL",1,IF(D100="PARTIAL",0.5,IF(D100="FAIL",0,""))))</f>
        <v/>
      </c>
      <c r="F100" s="5">
        <f>IF(E100="",0,C100*E100)</f>
        <v/>
      </c>
      <c r="G100" s="5">
        <f>IF(B100="I1",20*AVERAGEIF('QA_Images'!$A$2:$A$65,A100,'QA_Images'!$U$2:$U$65)/100,IF(D100="NOT_CHECKED",0,C100))</f>
        <v/>
      </c>
      <c r="H100" s="2" t="inlineStr">
        <is>
          <t>Kiểm tra liên kết product key/handle/evidence/revision giữa workbook, snapshot và nguồn live.</t>
        </is>
      </c>
      <c r="I100" s="2" t="inlineStr">
        <is>
          <t>["evidence_batch_002_019", "https://jeminise.com/products/christmas-bedding-quilt-soft-microfiber-holiday-bedsprea-design-03", "serp_qa_019"]</t>
        </is>
      </c>
      <c r="J100" s="2" t="inlineStr">
        <is>
          <t>["ISS-019-IMG-03", "ISS-019-IMG-04", "ISS-019-DESC", "ISS-019-ENC", "ISS-019-PERS"]</t>
        </is>
      </c>
    </row>
    <row r="101" ht="42" customHeight="1">
      <c r="A101" s="3" t="inlineStr">
        <is>
          <t>jeminise.com+christmas-bedding-quilt-soft-microfiber-holiday-bedsprea-design-04</t>
        </is>
      </c>
      <c r="B101" s="3" t="inlineStr">
        <is>
          <t>P1</t>
        </is>
      </c>
      <c r="C101" s="3" t="n">
        <v>15</v>
      </c>
      <c r="D101" s="3" t="inlineStr">
        <is>
          <t>FULL</t>
        </is>
      </c>
      <c r="E101" s="7">
        <f>IF(B101="I1",AVERAGEIF('QA_Images'!$A$2:$A$65,A101,'QA_Images'!$T$2:$T$65)/100,IF(D101="FULL",1,IF(D101="PARTIAL",0.5,IF(D101="FAIL",0,""))))</f>
        <v/>
      </c>
      <c r="F101" s="7">
        <f>IF(E101="",0,C101*E101)</f>
        <v/>
      </c>
      <c r="G101" s="7">
        <f>IF(B101="I1",20*AVERAGEIF('QA_Images'!$A$2:$A$65,A101,'QA_Images'!$U$2:$U$65)/100,IF(D101="NOT_CHECKED",0,C101))</f>
        <v/>
      </c>
      <c r="H101" s="3" t="inlineStr">
        <is>
          <t>Đối chiếu loại sản phẩm, thiết kế và màu với product JSON, H1 live và toàn bộ gallery.</t>
        </is>
      </c>
      <c r="I101" s="3" t="inlineStr">
        <is>
          <t>["evidence_batch_002_020", "https://jeminise.com/products/christmas-bedding-quilt-soft-microfiber-holiday-bedsprea-design-04", "serp_qa_020"]</t>
        </is>
      </c>
      <c r="J101" s="3" t="inlineStr">
        <is>
          <t>["ISS-020-IMG-03", "ISS-020-IMG-04", "ISS-020-DESC", "ISS-020-ENC"]</t>
        </is>
      </c>
    </row>
    <row r="102" ht="42" customHeight="1">
      <c r="A102" s="2" t="inlineStr">
        <is>
          <t>jeminise.com+christmas-bedding-quilt-soft-microfiber-holiday-bedsprea-design-04</t>
        </is>
      </c>
      <c r="B102" s="2" t="inlineStr">
        <is>
          <t>P2</t>
        </is>
      </c>
      <c r="C102" s="2" t="n">
        <v>10</v>
      </c>
      <c r="D102" s="2" t="inlineStr">
        <is>
          <t>FULL</t>
        </is>
      </c>
      <c r="E102" s="5">
        <f>IF(B102="I1",AVERAGEIF('QA_Images'!$A$2:$A$65,A102,'QA_Images'!$T$2:$T$65)/100,IF(D102="FULL",1,IF(D102="PARTIAL",0.5,IF(D102="FAIL",0,""))))</f>
        <v/>
      </c>
      <c r="F102" s="5">
        <f>IF(E102="",0,C102*E102)</f>
        <v/>
      </c>
      <c r="G102" s="5">
        <f>IF(B102="I1",20*AVERAGEIF('QA_Images'!$A$2:$A$65,A102,'QA_Images'!$U$2:$U$65)/100,IF(D102="NOT_CHECKED",0,C102))</f>
        <v/>
      </c>
      <c r="H102" s="2" t="inlineStr">
        <is>
          <t>Đối chiếu chất liệu, kích thước, thành phần đi kèm, biến thể và personalization với product.js live, body HTML và toàn bộ gallery.</t>
        </is>
      </c>
      <c r="I102" s="2" t="inlineStr">
        <is>
          <t>["evidence_batch_002_020", "https://jeminise.com/products/christmas-bedding-quilt-soft-microfiber-holiday-bedsprea-design-04", "serp_qa_020"]</t>
        </is>
      </c>
      <c r="J102" s="2" t="inlineStr">
        <is>
          <t>["ISS-020-IMG-03", "ISS-020-IMG-04", "ISS-020-DESC", "ISS-020-ENC"]</t>
        </is>
      </c>
    </row>
    <row r="103" ht="42" customHeight="1">
      <c r="A103" s="3" t="inlineStr">
        <is>
          <t>jeminise.com+christmas-bedding-quilt-soft-microfiber-holiday-bedsprea-design-04</t>
        </is>
      </c>
      <c r="B103" s="3" t="inlineStr">
        <is>
          <t>K1</t>
        </is>
      </c>
      <c r="C103" s="3" t="n">
        <v>10</v>
      </c>
      <c r="D103" s="3" t="inlineStr">
        <is>
          <t>PARTIAL</t>
        </is>
      </c>
      <c r="E103" s="7">
        <f>IF(B103="I1",AVERAGEIF('QA_Images'!$A$2:$A$65,A103,'QA_Images'!$T$2:$T$65)/100,IF(D103="FULL",1,IF(D103="PARTIAL",0.5,IF(D103="FAIL",0,""))))</f>
        <v/>
      </c>
      <c r="F103" s="7">
        <f>IF(E103="",0,C103*E103)</f>
        <v/>
      </c>
      <c r="G103" s="7">
        <f>IF(B103="I1",20*AVERAGEIF('QA_Images'!$A$2:$A$65,A103,'QA_Images'!$U$2:$U$65)/100,IF(D103="NOT_CHECKED",0,C103))</f>
        <v/>
      </c>
      <c r="H103" s="3" t="inlineStr">
        <is>
          <t>Đối chiếu long-tail với thiết kế riêng và nguy cơ trùng intent trong hai cụm Christian/Christmas của batch.</t>
        </is>
      </c>
      <c r="I103" s="3" t="inlineStr">
        <is>
          <t>["evidence_batch_002_020", "https://jeminise.com/products/christmas-bedding-quilt-soft-microfiber-holiday-bedsprea-design-04", "serp_qa_020"]</t>
        </is>
      </c>
      <c r="J103" s="3" t="inlineStr">
        <is>
          <t>["ISS-020-IMG-03", "ISS-020-IMG-04", "ISS-020-DESC", "ISS-020-ENC"]</t>
        </is>
      </c>
    </row>
    <row r="104" ht="42" customHeight="1">
      <c r="A104" s="2" t="inlineStr">
        <is>
          <t>jeminise.com+christmas-bedding-quilt-soft-microfiber-holiday-bedsprea-design-04</t>
        </is>
      </c>
      <c r="B104" s="2" t="inlineStr">
        <is>
          <t>K2</t>
        </is>
      </c>
      <c r="C104" s="2" t="n">
        <v>5</v>
      </c>
      <c r="D104" s="2" t="inlineStr">
        <is>
          <t>FULL</t>
        </is>
      </c>
      <c r="E104" s="5">
        <f>IF(B104="I1",AVERAGEIF('QA_Images'!$A$2:$A$65,A104,'QA_Images'!$T$2:$T$65)/100,IF(D104="FULL",1,IF(D104="PARTIAL",0.5,IF(D104="FAIL",0,""))))</f>
        <v/>
      </c>
      <c r="F104" s="5">
        <f>IF(E104="",0,C104*E104)</f>
        <v/>
      </c>
      <c r="G104" s="5">
        <f>IF(B104="I1",20*AVERAGEIF('QA_Images'!$A$2:$A$65,A104,'QA_Images'!$U$2:$U$65)/100,IF(D104="NOT_CHECKED",0,C104))</f>
        <v/>
      </c>
      <c r="H104" s="2" t="inlineStr">
        <is>
          <t>Đã đọc lại hai SERP query cho mỗi sản phẩm tại intent US; ghi URL thực đọc và không suy diễn volume.</t>
        </is>
      </c>
      <c r="I104" s="2" t="inlineStr">
        <is>
          <t>["evidence_batch_002_020", "https://jeminise.com/products/christmas-bedding-quilt-soft-microfiber-holiday-bedsprea-design-04", "serp_qa_020"]</t>
        </is>
      </c>
      <c r="J104" s="2" t="inlineStr">
        <is>
          <t>["ISS-020-IMG-03", "ISS-020-IMG-04", "ISS-020-DESC", "ISS-020-ENC"]</t>
        </is>
      </c>
    </row>
    <row r="105" ht="42" customHeight="1">
      <c r="A105" s="3" t="inlineStr">
        <is>
          <t>jeminise.com+christmas-bedding-quilt-soft-microfiber-holiday-bedsprea-design-04</t>
        </is>
      </c>
      <c r="B105" s="3" t="inlineStr">
        <is>
          <t>K3</t>
        </is>
      </c>
      <c r="C105" s="3" t="n">
        <v>5</v>
      </c>
      <c r="D105" s="3" t="inlineStr">
        <is>
          <t>FULL</t>
        </is>
      </c>
      <c r="E105" s="7">
        <f>IF(B105="I1",AVERAGEIF('QA_Images'!$A$2:$A$65,A105,'QA_Images'!$T$2:$T$65)/100,IF(D105="FULL",1,IF(D105="PARTIAL",0.5,IF(D105="FAIL",0,""))))</f>
        <v/>
      </c>
      <c r="F105" s="7">
        <f>IF(E105="",0,C105*E105)</f>
        <v/>
      </c>
      <c r="G105" s="7">
        <f>IF(B105="I1",20*AVERAGEIF('QA_Images'!$A$2:$A$65,A105,'QA_Images'!$U$2:$U$65)/100,IF(D105="NOT_CHECKED",0,C105))</f>
        <v/>
      </c>
      <c r="H105" s="3" t="inlineStr">
        <is>
          <t>Không suy diễn volume; phân biệt SERP_ONLY và HYPOTHESIS_ONLY.</t>
        </is>
      </c>
      <c r="I105" s="3" t="inlineStr">
        <is>
          <t>["evidence_batch_002_020", "https://jeminise.com/products/christmas-bedding-quilt-soft-microfiber-holiday-bedsprea-design-04", "serp_qa_020"]</t>
        </is>
      </c>
      <c r="J105" s="3" t="inlineStr">
        <is>
          <t>["ISS-020-IMG-03", "ISS-020-IMG-04", "ISS-020-DESC", "ISS-020-ENC"]</t>
        </is>
      </c>
    </row>
    <row r="106" ht="42" customHeight="1">
      <c r="A106" s="2" t="inlineStr">
        <is>
          <t>jeminise.com+christmas-bedding-quilt-soft-microfiber-holiday-bedsprea-design-04</t>
        </is>
      </c>
      <c r="B106" s="2" t="inlineStr">
        <is>
          <t>T1</t>
        </is>
      </c>
      <c r="C106" s="2" t="n">
        <v>10</v>
      </c>
      <c r="D106" s="2" t="inlineStr">
        <is>
          <t>PARTIAL</t>
        </is>
      </c>
      <c r="E106" s="5">
        <f>IF(B106="I1",AVERAGEIF('QA_Images'!$A$2:$A$65,A106,'QA_Images'!$T$2:$T$65)/100,IF(D106="FULL",1,IF(D106="PARTIAL",0.5,IF(D106="FAIL",0,""))))</f>
        <v/>
      </c>
      <c r="F106" s="5">
        <f>IF(E106="",0,C106*E106)</f>
        <v/>
      </c>
      <c r="G106" s="5">
        <f>IF(B106="I1",20*AVERAGEIF('QA_Images'!$A$2:$A$65,A106,'QA_Images'!$U$2:$U$65)/100,IF(D106="NOT_CHECKED",0,C106))</f>
        <v/>
      </c>
      <c r="H106" s="2" t="inlineStr">
        <is>
          <t>Đánh giá SEO title English về độ đúng, tự nhiên, keyword và điểm phân biệt.</t>
        </is>
      </c>
      <c r="I106" s="2" t="inlineStr">
        <is>
          <t>["evidence_batch_002_020", "https://jeminise.com/products/christmas-bedding-quilt-soft-microfiber-holiday-bedsprea-design-04", "serp_qa_020"]</t>
        </is>
      </c>
      <c r="J106" s="2" t="inlineStr">
        <is>
          <t>["ISS-020-IMG-03", "ISS-020-IMG-04", "ISS-020-DESC", "ISS-020-ENC"]</t>
        </is>
      </c>
    </row>
    <row r="107" ht="42" customHeight="1">
      <c r="A107" s="3" t="inlineStr">
        <is>
          <t>jeminise.com+christmas-bedding-quilt-soft-microfiber-holiday-bedsprea-design-04</t>
        </is>
      </c>
      <c r="B107" s="3" t="inlineStr">
        <is>
          <t>T2</t>
        </is>
      </c>
      <c r="C107" s="3" t="n">
        <v>5</v>
      </c>
      <c r="D107" s="3" t="inlineStr">
        <is>
          <t>FULL</t>
        </is>
      </c>
      <c r="E107" s="7">
        <f>IF(B107="I1",AVERAGEIF('QA_Images'!$A$2:$A$65,A107,'QA_Images'!$T$2:$T$65)/100,IF(D107="FULL",1,IF(D107="PARTIAL",0.5,IF(D107="FAIL",0,""))))</f>
        <v/>
      </c>
      <c r="F107" s="7">
        <f>IF(E107="",0,C107*E107)</f>
        <v/>
      </c>
      <c r="G107" s="7">
        <f>IF(B107="I1",20*AVERAGEIF('QA_Images'!$A$2:$A$65,A107,'QA_Images'!$U$2:$U$65)/100,IF(D107="NOT_CHECKED",0,C107))</f>
        <v/>
      </c>
      <c r="H107" s="3" t="inlineStr">
        <is>
          <t>Đánh giá H1 đề xuất độc lập với SEO title và đối chiếu lỗi ký tự nguồn.</t>
        </is>
      </c>
      <c r="I107" s="3" t="inlineStr">
        <is>
          <t>["evidence_batch_002_020", "https://jeminise.com/products/christmas-bedding-quilt-soft-microfiber-holiday-bedsprea-design-04", "serp_qa_020"]</t>
        </is>
      </c>
      <c r="J107" s="3" t="inlineStr">
        <is>
          <t>["ISS-020-IMG-03", "ISS-020-IMG-04", "ISS-020-DESC", "ISS-020-ENC"]</t>
        </is>
      </c>
    </row>
    <row r="108" ht="42" customHeight="1">
      <c r="A108" s="2" t="inlineStr">
        <is>
          <t>jeminise.com+christmas-bedding-quilt-soft-microfiber-holiday-bedsprea-design-04</t>
        </is>
      </c>
      <c r="B108" s="2" t="inlineStr">
        <is>
          <t>D1</t>
        </is>
      </c>
      <c r="C108" s="2" t="n">
        <v>5</v>
      </c>
      <c r="D108" s="2" t="inlineStr">
        <is>
          <t>FULL</t>
        </is>
      </c>
      <c r="E108" s="5">
        <f>IF(B108="I1",AVERAGEIF('QA_Images'!$A$2:$A$65,A108,'QA_Images'!$T$2:$T$65)/100,IF(D108="FULL",1,IF(D108="PARTIAL",0.5,IF(D108="FAIL",0,""))))</f>
        <v/>
      </c>
      <c r="F108" s="5">
        <f>IF(E108="",0,C108*E108)</f>
        <v/>
      </c>
      <c r="G108" s="5">
        <f>IF(B108="I1",20*AVERAGEIF('QA_Images'!$A$2:$A$65,A108,'QA_Images'!$U$2:$U$65)/100,IF(D108="NOT_CHECKED",0,C108))</f>
        <v/>
      </c>
      <c r="H108" s="2" t="inlineStr">
        <is>
          <t>Đánh giá meta description về tính cụ thể và căn cứ claim.</t>
        </is>
      </c>
      <c r="I108" s="2" t="inlineStr">
        <is>
          <t>["evidence_batch_002_020", "https://jeminise.com/products/christmas-bedding-quilt-soft-microfiber-holiday-bedsprea-design-04", "serp_qa_020"]</t>
        </is>
      </c>
      <c r="J108" s="2" t="inlineStr">
        <is>
          <t>["ISS-020-IMG-03", "ISS-020-IMG-04", "ISS-020-DESC", "ISS-020-ENC"]</t>
        </is>
      </c>
    </row>
    <row r="109" ht="42" customHeight="1">
      <c r="A109" s="3" t="inlineStr">
        <is>
          <t>jeminise.com+christmas-bedding-quilt-soft-microfiber-holiday-bedsprea-design-04</t>
        </is>
      </c>
      <c r="B109" s="3" t="inlineStr">
        <is>
          <t>D2</t>
        </is>
      </c>
      <c r="C109" s="3" t="n">
        <v>10</v>
      </c>
      <c r="D109" s="3" t="inlineStr">
        <is>
          <t>FAIL</t>
        </is>
      </c>
      <c r="E109" s="7">
        <f>IF(B109="I1",AVERAGEIF('QA_Images'!$A$2:$A$65,A109,'QA_Images'!$T$2:$T$65)/100,IF(D109="FULL",1,IF(D109="PARTIAL",0.5,IF(D109="FAIL",0,""))))</f>
        <v/>
      </c>
      <c r="F109" s="7">
        <f>IF(E109="",0,C109*E109)</f>
        <v/>
      </c>
      <c r="G109" s="7">
        <f>IF(B109="I1",20*AVERAGEIF('QA_Images'!$A$2:$A$65,A109,'QA_Images'!$U$2:$U$65)/100,IF(D109="NOT_CHECKED",0,C109))</f>
        <v/>
      </c>
      <c r="H109" s="3" t="inlineStr">
        <is>
          <t>Description SET có HTML đầy đủ nhưng chứa câu nội bộ 'This draft should be reviewed...' và dữ liệu nguồn thô/mâu thuẫn; chưa phải nội dung publish-ready.</t>
        </is>
      </c>
      <c r="I109" s="3" t="inlineStr">
        <is>
          <t>["evidence_batch_002_020", "https://jeminise.com/products/christmas-bedding-quilt-soft-microfiber-holiday-bedsprea-design-04", "serp_qa_020"]</t>
        </is>
      </c>
      <c r="J109" s="3" t="inlineStr">
        <is>
          <t>["ISS-020-IMG-03", "ISS-020-IMG-04", "ISS-020-DESC", "ISS-020-ENC"]</t>
        </is>
      </c>
    </row>
    <row r="110" ht="42" customHeight="1">
      <c r="A110" s="2" t="inlineStr">
        <is>
          <t>jeminise.com+christmas-bedding-quilt-soft-microfiber-holiday-bedsprea-design-04</t>
        </is>
      </c>
      <c r="B110" s="2" t="inlineStr">
        <is>
          <t>I1</t>
        </is>
      </c>
      <c r="C110" s="2" t="n">
        <v>20</v>
      </c>
      <c r="D110" s="2" t="inlineStr">
        <is>
          <t>DERIVED</t>
        </is>
      </c>
      <c r="E110" s="5">
        <f>IF(B110="I1",AVERAGEIF('QA_Images'!$A$2:$A$65,A110,'QA_Images'!$T$2:$T$65)/100,IF(D110="FULL",1,IF(D110="PARTIAL",0.5,IF(D110="FAIL",0,""))))</f>
        <v/>
      </c>
      <c r="F110" s="5">
        <f>IF(E110="",0,C110*E110)</f>
        <v/>
      </c>
      <c r="G110" s="5">
        <f>IF(B110="I1",20*AVERAGEIF('QA_Images'!$A$2:$A$65,A110,'QA_Images'!$U$2:$U$65)/100,IF(D110="NOT_CHECKED",0,C110))</f>
        <v/>
      </c>
      <c r="H110" s="2" t="inlineStr">
        <is>
          <t>Tính từ trung bình 5 ảnh: 87.0000/100.</t>
        </is>
      </c>
      <c r="I110" s="2" t="inlineStr">
        <is>
          <t>["evidence_batch_002_020", "https://jeminise.com/products/christmas-bedding-quilt-soft-microfiber-holiday-bedsprea-design-04", "serp_qa_020"]</t>
        </is>
      </c>
      <c r="J110" s="2" t="inlineStr">
        <is>
          <t>["ISS-020-IMG-03", "ISS-020-IMG-04", "ISS-020-DESC", "ISS-020-ENC"]</t>
        </is>
      </c>
    </row>
    <row r="111" ht="42" customHeight="1">
      <c r="A111" s="3" t="inlineStr">
        <is>
          <t>jeminise.com+christmas-bedding-quilt-soft-microfiber-holiday-bedsprea-design-04</t>
        </is>
      </c>
      <c r="B111" s="3" t="inlineStr">
        <is>
          <t>E1</t>
        </is>
      </c>
      <c r="C111" s="3" t="n">
        <v>5</v>
      </c>
      <c r="D111" s="3" t="inlineStr">
        <is>
          <t>PARTIAL</t>
        </is>
      </c>
      <c r="E111" s="7">
        <f>IF(B111="I1",AVERAGEIF('QA_Images'!$A$2:$A$65,A111,'QA_Images'!$T$2:$T$65)/100,IF(D111="FULL",1,IF(D111="PARTIAL",0.5,IF(D111="FAIL",0,""))))</f>
        <v/>
      </c>
      <c r="F111" s="7">
        <f>IF(E111="",0,C111*E111)</f>
        <v/>
      </c>
      <c r="G111" s="7">
        <f>IF(B111="I1",20*AVERAGEIF('QA_Images'!$A$2:$A$65,A111,'QA_Images'!$U$2:$U$65)/100,IF(D111="NOT_CHECKED",0,C111))</f>
        <v/>
      </c>
      <c r="H111" s="3" t="inlineStr">
        <is>
          <t>Kiểm tra liên kết product key/handle/evidence/revision giữa workbook, snapshot và nguồn live.</t>
        </is>
      </c>
      <c r="I111" s="3" t="inlineStr">
        <is>
          <t>["evidence_batch_002_020", "https://jeminise.com/products/christmas-bedding-quilt-soft-microfiber-holiday-bedsprea-design-04", "serp_qa_020"]</t>
        </is>
      </c>
      <c r="J111" s="3" t="inlineStr">
        <is>
          <t>["ISS-020-IMG-03", "ISS-020-IMG-04", "ISS-020-DESC", "ISS-020-ENC"]</t>
        </is>
      </c>
    </row>
  </sheetData>
  <autoFilter ref="A1:J111"/>
  <printOptions horizontalCentered="0"/>
  <pageMargins left="0.25" right="0.25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38" customWidth="1" min="3" max="3"/>
    <col width="38" customWidth="1" min="4" max="4"/>
    <col width="20" customWidth="1" min="5" max="5"/>
    <col width="38" customWidth="1" min="6" max="6"/>
    <col width="11" customWidth="1" min="7" max="7"/>
    <col width="16" customWidth="1" min="8" max="8"/>
    <col width="23" customWidth="1" min="9" max="9"/>
    <col width="24" customWidth="1" min="10" max="10"/>
    <col width="42" customWidth="1" min="11" max="11"/>
    <col width="42" customWidth="1" min="12" max="12"/>
    <col width="24" customWidth="1" min="13" max="13"/>
    <col width="12" customWidth="1" min="14" max="14"/>
    <col width="42" customWidth="1" min="15" max="15"/>
    <col width="11" customWidth="1" min="16" max="16"/>
    <col width="11" customWidth="1" min="17" max="17"/>
    <col width="11" customWidth="1" min="18" max="18"/>
    <col width="11" customWidth="1" min="19" max="19"/>
    <col width="24" customWidth="1" min="20" max="20"/>
    <col width="24" customWidth="1" min="21" max="21"/>
    <col width="21" customWidth="1" min="22" max="22"/>
    <col width="24" customWidth="1" min="23" max="23"/>
    <col width="24" customWidth="1" min="24" max="24"/>
    <col width="42" customWidth="1" min="25" max="25"/>
    <col width="42" customWidth="1" min="26" max="26"/>
  </cols>
  <sheetData>
    <row r="1" ht="32" customHeight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workbook_image_id</t>
        </is>
      </c>
      <c r="G1" s="1" t="inlineStr">
        <is>
          <t>variant</t>
        </is>
      </c>
      <c r="H1" s="1" t="inlineStr">
        <is>
          <t>image_location</t>
        </is>
      </c>
      <c r="I1" s="1" t="inlineStr">
        <is>
          <t>check_method</t>
        </is>
      </c>
      <c r="J1" s="1" t="inlineStr">
        <is>
          <t>checked_at</t>
        </is>
      </c>
      <c r="K1" s="1" t="inlineStr">
        <is>
          <t>qa_observation</t>
        </is>
      </c>
      <c r="L1" s="1" t="inlineStr">
        <is>
          <t>submitted_observation</t>
        </is>
      </c>
      <c r="M1" s="1" t="inlineStr">
        <is>
          <t>storefront_alt_observed</t>
        </is>
      </c>
      <c r="N1" s="1" t="inlineStr">
        <is>
          <t>alt_action</t>
        </is>
      </c>
      <c r="O1" s="1" t="inlineStr">
        <is>
          <t>alt_effective</t>
        </is>
      </c>
      <c r="P1" s="1" t="inlineStr">
        <is>
          <t>IM1</t>
        </is>
      </c>
      <c r="Q1" s="1" t="inlineStr">
        <is>
          <t>IM2</t>
        </is>
      </c>
      <c r="R1" s="1" t="inlineStr">
        <is>
          <t>IM3</t>
        </is>
      </c>
      <c r="S1" s="1" t="inlineStr">
        <is>
          <t>IM4</t>
        </is>
      </c>
      <c r="T1" s="1" t="inlineStr">
        <is>
          <t>image_verified_points</t>
        </is>
      </c>
      <c r="U1" s="1" t="inlineStr">
        <is>
          <t>image_assessed_weight</t>
        </is>
      </c>
      <c r="V1" s="1" t="inlineStr">
        <is>
          <t>image_final_score</t>
        </is>
      </c>
      <c r="W1" s="1" t="inlineStr">
        <is>
          <t>image_score_lower_bound</t>
        </is>
      </c>
      <c r="X1" s="1" t="inlineStr">
        <is>
          <t>image_score_upper_bound</t>
        </is>
      </c>
      <c r="Y1" s="1" t="inlineStr">
        <is>
          <t>issue_refs</t>
        </is>
      </c>
      <c r="Z1" s="1" t="inlineStr">
        <is>
          <t>evidence_refs</t>
        </is>
      </c>
    </row>
    <row r="2" ht="66" customHeight="1">
      <c r="A2" s="2" t="inlineStr">
        <is>
          <t>jeminise.com+christian-bedding-set-inspirational-bible-verse-comforte-design-02</t>
        </is>
      </c>
      <c r="B2" s="2" t="inlineStr">
        <is>
          <t>qaimg_5ccbda6129fd07b5</t>
        </is>
      </c>
      <c r="C2" s="4" t="inlineStr">
        <is>
          <t>https://cdn.shopify.com/s/files/1/0792/5098/1063/files/8f8cbae7d7dc8a5bb8d1fd9af7a3d36dfe9b26d76e6c99b9b36c2f64aeb5f0ae.jpg?v=1787237735</t>
        </is>
      </c>
      <c r="D2" s="4" t="inlineStr">
        <is>
          <t>https://cdn.shopify.com/s/files/1/0792/5098/1063/files/8f8cbae7d7dc8a5bb8d1fd9af7a3d36dfe9b26d76e6c99b9b36c2f64aeb5f0ae.jpg?v=1787237735</t>
        </is>
      </c>
      <c r="E2" s="2" t="inlineStr">
        <is>
          <t>38895080014023</t>
        </is>
      </c>
      <c r="F2" s="2" t="inlineStr">
        <is>
          <t>47933842489543</t>
        </is>
      </c>
      <c r="G2" s="2" t="inlineStr"/>
      <c r="H2" s="2" t="inlineStr">
        <is>
          <t>GALLERY</t>
        </is>
      </c>
      <c r="I2" s="2" t="inlineStr">
        <is>
          <t>DIRECT_ORIGINAL_IMAGE</t>
        </is>
      </c>
      <c r="J2" s="2" t="inlineStr">
        <is>
          <t>2026-09-07T09:36:10.742993+07:00</t>
        </is>
      </c>
      <c r="K2" s="2" t="inlineStr">
        <is>
          <t>Main bed mockup with orange-and-white God Says I Am design, sample name Jessica, carnation flowers, butterflies and Bible-reference affirmations.</t>
        </is>
      </c>
      <c r="L2" s="2" t="inlineStr">
        <is>
          <t>Main bed mockup showing orange God Says I Am Christian design with the name Jessica, roses and butterflies.</t>
        </is>
      </c>
      <c r="M2" s="2" t="inlineStr">
        <is>
          <t>Christian Bedding Set – Inspirational Bible Verse Comforter – Religious Bedding for Women, Faith Gift for Mom, Daughter, Sister, Birthday &amp; Religious Gifts (God Says I am #2)</t>
        </is>
      </c>
      <c r="N2" s="2" t="inlineStr">
        <is>
          <t>SET</t>
        </is>
      </c>
      <c r="O2" s="2" t="inlineStr">
        <is>
          <t>Personalized God Says I Am Christian Comforter Set displayed on a bed</t>
        </is>
      </c>
      <c r="P2" s="2" t="inlineStr">
        <is>
          <t>FULL</t>
        </is>
      </c>
      <c r="Q2" s="2" t="inlineStr">
        <is>
          <t>FULL</t>
        </is>
      </c>
      <c r="R2" s="2" t="inlineStr">
        <is>
          <t>FULL</t>
        </is>
      </c>
      <c r="S2" s="2" t="inlineStr">
        <is>
          <t>FULL</t>
        </is>
      </c>
      <c r="T2" s="5">
        <f>IF(P2="FULL",40,IF(P2="PARTIAL",40/2,0))+IF(Q2="FULL",30,IF(Q2="PARTIAL",30/2,0))+IF(R2="FULL",20,IF(R2="PARTIAL",20/2,0))+IF(S2="FULL",10,IF(S2="PARTIAL",10/2,0))</f>
        <v/>
      </c>
      <c r="U2" s="5">
        <f>IF(P2="NOT_CHECKED",0,40)+IF(Q2="NOT_CHECKED",0,30)+IF(R2="NOT_CHECKED",0,20)+IF(S2="NOT_CHECKED",0,10)</f>
        <v/>
      </c>
      <c r="V2" s="5">
        <f>IF(U2=100,T2,"")</f>
        <v/>
      </c>
      <c r="W2" s="5">
        <f>T2</f>
        <v/>
      </c>
      <c r="X2" s="5">
        <f>T2+(100-U2)</f>
        <v/>
      </c>
      <c r="Y2" s="2" t="inlineStr">
        <is>
          <t>[]</t>
        </is>
      </c>
      <c r="Z2" s="2" t="inlineStr">
        <is>
          <t>["seo_runs\\jeminise.com\\20260906_234129\\evidence\\images\\11_christian-bedding-set-inspirational-bible-verse-comforte-design-02\\image_01_47933842489543.jpg; seo_runs\\jeminise.com\\20260906_234129\\evidence\\contact_sheets\\11_christian-bedding-set-inspirational-bible-verse-comforte-design-02.jpg", "https://jeminise.com/products/christian-bedding-set-inspirational-bible-verse-comforte-design-02", "https://cdn.shopify.com/s/files/1/0792/5098/1063/files/8f8cbae7d7dc8a5bb8d1fd9af7a3d36dfe9b26d76e6c99b9b36c2f64aeb5f0ae.jpg?v=1787237735"]</t>
        </is>
      </c>
    </row>
    <row r="3" ht="66" customHeight="1">
      <c r="A3" s="3" t="inlineStr">
        <is>
          <t>jeminise.com+christian-bedding-set-inspirational-bible-verse-comforte-design-02</t>
        </is>
      </c>
      <c r="B3" s="3" t="inlineStr">
        <is>
          <t>qaimg_4ff35572985d0550</t>
        </is>
      </c>
      <c r="C3" s="4" t="inlineStr">
        <is>
          <t>https://cdn.shopify.com/s/files/1/0792/5098/1063/files/f8aafdfb4c8162ca9e2e2a98539d9758b42cf390e7a8828716dc849e251afcb1.jpg?v=1787237735</t>
        </is>
      </c>
      <c r="D3" s="4" t="inlineStr">
        <is>
          <t>https://cdn.shopify.com/s/files/1/0792/5098/1063/files/f8aafdfb4c8162ca9e2e2a98539d9758b42cf390e7a8828716dc849e251afcb1.jpg?v=1787237735</t>
        </is>
      </c>
      <c r="E3" s="3" t="inlineStr">
        <is>
          <t>38895080046791</t>
        </is>
      </c>
      <c r="F3" s="3" t="inlineStr">
        <is>
          <t>47933842522311</t>
        </is>
      </c>
      <c r="G3" s="3" t="inlineStr"/>
      <c r="H3" s="3" t="inlineStr">
        <is>
          <t>GALLERY</t>
        </is>
      </c>
      <c r="I3" s="3" t="inlineStr">
        <is>
          <t>DIRECT_ORIGINAL_IMAGE</t>
        </is>
      </c>
      <c r="J3" s="3" t="inlineStr">
        <is>
          <t>2026-09-07T09:36:10.742993+07:00</t>
        </is>
      </c>
      <c r="K3" s="3" t="inlineStr">
        <is>
          <t>Alternate bedroom mockup of the same Jessica Christian affirmation bedding.</t>
        </is>
      </c>
      <c r="L3" s="3" t="inlineStr">
        <is>
          <t>Secondary detail or room mockup showing orange God Says I Am Christian design with the name Jessica, roses and butterflies and visible quilted/printed texture.</t>
        </is>
      </c>
      <c r="M3" s="3" t="inlineStr">
        <is>
          <t>Christian Bedding Set – Inspirational Bible Verse Comforter – Religious Bedding for Women, Faith Gift for Mom, Daughter, Sister, Birthday &amp; Religious Gifts (God Says I am #2)</t>
        </is>
      </c>
      <c r="N3" s="3" t="inlineStr">
        <is>
          <t>SET</t>
        </is>
      </c>
      <c r="O3" s="3" t="inlineStr">
        <is>
          <t>Close view of orange God Says I Am Christian design with the name Jessica, roses and butterflies on the comforter set</t>
        </is>
      </c>
      <c r="P3" s="3" t="inlineStr">
        <is>
          <t>FULL</t>
        </is>
      </c>
      <c r="Q3" s="3" t="inlineStr">
        <is>
          <t>PARTIAL</t>
        </is>
      </c>
      <c r="R3" s="3" t="inlineStr">
        <is>
          <t>PARTIAL</t>
        </is>
      </c>
      <c r="S3" s="3" t="inlineStr">
        <is>
          <t>FULL</t>
        </is>
      </c>
      <c r="T3" s="7">
        <f>IF(P3="FULL",40,IF(P3="PARTIAL",40/2,0))+IF(Q3="FULL",30,IF(Q3="PARTIAL",30/2,0))+IF(R3="FULL",20,IF(R3="PARTIAL",20/2,0))+IF(S3="FULL",10,IF(S3="PARTIAL",10/2,0))</f>
        <v/>
      </c>
      <c r="U3" s="7">
        <f>IF(P3="NOT_CHECKED",0,40)+IF(Q3="NOT_CHECKED",0,30)+IF(R3="NOT_CHECKED",0,20)+IF(S3="NOT_CHECKED",0,10)</f>
        <v/>
      </c>
      <c r="V3" s="7">
        <f>IF(U3=100,T3,"")</f>
        <v/>
      </c>
      <c r="W3" s="7">
        <f>T3</f>
        <v/>
      </c>
      <c r="X3" s="7">
        <f>T3+(100-U3)</f>
        <v/>
      </c>
      <c r="Y3" s="3" t="inlineStr">
        <is>
          <t>["ISS-011-IMG-02"]</t>
        </is>
      </c>
      <c r="Z3" s="3" t="inlineStr">
        <is>
          <t>["seo_runs\\jeminise.com\\20260906_234129\\evidence\\images\\11_christian-bedding-set-inspirational-bible-verse-comforte-design-02\\image_02_47933842522311.jpg; seo_runs\\jeminise.com\\20260906_234129\\evidence\\contact_sheets\\11_christian-bedding-set-inspirational-bible-verse-comforte-design-02.jpg", "https://jeminise.com/products/christian-bedding-set-inspirational-bible-verse-comforte-design-02", "https://cdn.shopify.com/s/files/1/0792/5098/1063/files/f8aafdfb4c8162ca9e2e2a98539d9758b42cf390e7a8828716dc849e251afcb1.jpg?v=1787237735"]</t>
        </is>
      </c>
    </row>
    <row r="4" ht="66" customHeight="1">
      <c r="A4" s="2" t="inlineStr">
        <is>
          <t>jeminise.com+christian-bedding-set-inspirational-bible-verse-comforte-design-02</t>
        </is>
      </c>
      <c r="B4" s="2" t="inlineStr">
        <is>
          <t>qaimg_c106289a9648e372</t>
        </is>
      </c>
      <c r="C4" s="4" t="inlineStr">
        <is>
          <t>https://cdn.shopify.com/s/files/1/0792/5098/1063/files/50f96559dd878ae5bbee14ba7a34337ccd740d21a8ffe86a8a1be819656d26c0_ae8608eb-bf72-43da-b626-8fd454d536c7.jpg?v=1787237735</t>
        </is>
      </c>
      <c r="D4" s="4" t="inlineStr">
        <is>
          <t>https://cdn.shopify.com/s/files/1/0792/5098/1063/files/50f96559dd878ae5bbee14ba7a34337ccd740d21a8ffe86a8a1be819656d26c0_ae8608eb-bf72-43da-b626-8fd454d536c7.jpg?v=1787237735</t>
        </is>
      </c>
      <c r="E4" s="2" t="inlineStr">
        <is>
          <t>38895080079559</t>
        </is>
      </c>
      <c r="F4" s="2" t="inlineStr">
        <is>
          <t>47933842555079</t>
        </is>
      </c>
      <c r="G4" s="2" t="inlineStr"/>
      <c r="H4" s="2" t="inlineStr">
        <is>
          <t>GALLERY</t>
        </is>
      </c>
      <c r="I4" s="2" t="inlineStr">
        <is>
          <t>DIRECT_ORIGINAL_IMAGE</t>
        </is>
      </c>
      <c r="J4" s="2" t="inlineStr">
        <is>
          <t>2026-09-07T09:36:10.742993+07:00</t>
        </is>
      </c>
      <c r="K4" s="2" t="inlineStr">
        <is>
          <t>Comparison graphic explaining Duvet Cover Set versus Comforter Set.</t>
        </is>
      </c>
      <c r="L4" s="2" t="inlineStr">
        <is>
          <t>Matching pillow sham or bedding detail using the same orange God Says I Am Christian design with the name Jessica, roses and butterflies artwork.</t>
        </is>
      </c>
      <c r="M4" s="2" t="inlineStr">
        <is>
          <t>Christian Bedding Set – Inspirational Bible Verse Comforter – Religious Bedding for Women, Faith Gift for Mom, Daughter, Sister, Birthday &amp; Religious Gifts (God Says I am #2)</t>
        </is>
      </c>
      <c r="N4" s="2" t="inlineStr">
        <is>
          <t>SET</t>
        </is>
      </c>
      <c r="O4" s="2" t="inlineStr">
        <is>
          <t>Matching pillow sham for Personalized God Says I Am Christian Comforter Set</t>
        </is>
      </c>
      <c r="P4" s="2" t="inlineStr">
        <is>
          <t>FULL</t>
        </is>
      </c>
      <c r="Q4" s="2" t="inlineStr">
        <is>
          <t>FAIL</t>
        </is>
      </c>
      <c r="R4" s="2" t="inlineStr">
        <is>
          <t>FAIL</t>
        </is>
      </c>
      <c r="S4" s="2" t="inlineStr">
        <is>
          <t>FULL</t>
        </is>
      </c>
      <c r="T4" s="5">
        <f>IF(P4="FULL",40,IF(P4="PARTIAL",40/2,0))+IF(Q4="FULL",30,IF(Q4="PARTIAL",30/2,0))+IF(R4="FULL",20,IF(R4="PARTIAL",20/2,0))+IF(S4="FULL",10,IF(S4="PARTIAL",10/2,0))</f>
        <v/>
      </c>
      <c r="U4" s="5">
        <f>IF(P4="NOT_CHECKED",0,40)+IF(Q4="NOT_CHECKED",0,30)+IF(R4="NOT_CHECKED",0,20)+IF(S4="NOT_CHECKED",0,10)</f>
        <v/>
      </c>
      <c r="V4" s="5">
        <f>IF(U4=100,T4,"")</f>
        <v/>
      </c>
      <c r="W4" s="5">
        <f>T4</f>
        <v/>
      </c>
      <c r="X4" s="5">
        <f>T4+(100-U4)</f>
        <v/>
      </c>
      <c r="Y4" s="2" t="inlineStr">
        <is>
          <t>["ISS-011-IMG-03"]</t>
        </is>
      </c>
      <c r="Z4" s="2" t="inlineStr">
        <is>
          <t>["seo_runs\\jeminise.com\\20260906_234129\\evidence\\images\\11_christian-bedding-set-inspirational-bible-verse-comforte-design-02\\image_03_47933842555079.jpg; seo_runs\\jeminise.com\\20260906_234129\\evidence\\contact_sheets\\11_christian-bedding-set-inspirational-bible-verse-comforte-design-02.jpg", "https://jeminise.com/products/christian-bedding-set-inspirational-bible-verse-comforte-design-02", "https://cdn.shopify.com/s/files/1/0792/5098/1063/files/50f96559dd878ae5bbee14ba7a34337ccd740d21a8ffe86a8a1be819656d26c0_ae8608eb-bf72-43da-b626-8fd454d536c7.jpg?v=1787237735"]</t>
        </is>
      </c>
    </row>
    <row r="5" ht="66" customHeight="1">
      <c r="A5" s="3" t="inlineStr">
        <is>
          <t>jeminise.com+christian-bedding-set-inspirational-bible-verse-comforte-design-02</t>
        </is>
      </c>
      <c r="B5" s="3" t="inlineStr">
        <is>
          <t>qaimg_a62cb10f1696b94a</t>
        </is>
      </c>
      <c r="C5" s="4" t="inlineStr">
        <is>
          <t>https://cdn.shopify.com/s/files/1/0792/5098/1063/files/27f7ed18554cde6fb1921b3b4261b0f7a6d2176eda09e52bedf7b7fe5cb0399a.jpg?v=1787237735</t>
        </is>
      </c>
      <c r="D5" s="4" t="inlineStr">
        <is>
          <t>https://cdn.shopify.com/s/files/1/0792/5098/1063/files/27f7ed18554cde6fb1921b3b4261b0f7a6d2176eda09e52bedf7b7fe5cb0399a.jpg?v=1787237735</t>
        </is>
      </c>
      <c r="E5" s="3" t="inlineStr">
        <is>
          <t>38895080112327</t>
        </is>
      </c>
      <c r="F5" s="3" t="inlineStr">
        <is>
          <t>47933842587847</t>
        </is>
      </c>
      <c r="G5" s="3" t="inlineStr"/>
      <c r="H5" s="3" t="inlineStr">
        <is>
          <t>GALLERY</t>
        </is>
      </c>
      <c r="I5" s="3" t="inlineStr">
        <is>
          <t>DIRECT_ORIGINAL_IMAGE</t>
        </is>
      </c>
      <c r="J5" s="3" t="inlineStr">
        <is>
          <t>2026-09-07T09:36:10.742993+07:00</t>
        </is>
      </c>
      <c r="K5" s="3" t="inlineStr">
        <is>
          <t>Feature graphic stating 100% microfiber, 3D printed pattern, soft touch, lightweight and breathable.</t>
        </is>
      </c>
      <c r="L5" s="3" t="inlineStr">
        <is>
          <t>Room/folded product or fabric information image tied to the orange God Says I Am Christian design with the name Jessica, roses and butterflies design.</t>
        </is>
      </c>
      <c r="M5" s="3" t="inlineStr">
        <is>
          <t>Christian Bedding Set – Inspirational Bible Verse Comforter – Religious Bedding for Women, Faith Gift for Mom, Daughter, Sister, Birthday &amp; Religious Gifts (God Says I am #2)</t>
        </is>
      </c>
      <c r="N5" s="3" t="inlineStr">
        <is>
          <t>SET</t>
        </is>
      </c>
      <c r="O5" s="3" t="inlineStr">
        <is>
          <t>Personalized God Says I Am Christian Comforter Set shown in a bedroom setting</t>
        </is>
      </c>
      <c r="P5" s="3" t="inlineStr">
        <is>
          <t>FULL</t>
        </is>
      </c>
      <c r="Q5" s="3" t="inlineStr">
        <is>
          <t>FAIL</t>
        </is>
      </c>
      <c r="R5" s="3" t="inlineStr">
        <is>
          <t>FAIL</t>
        </is>
      </c>
      <c r="S5" s="3" t="inlineStr">
        <is>
          <t>FULL</t>
        </is>
      </c>
      <c r="T5" s="7">
        <f>IF(P5="FULL",40,IF(P5="PARTIAL",40/2,0))+IF(Q5="FULL",30,IF(Q5="PARTIAL",30/2,0))+IF(R5="FULL",20,IF(R5="PARTIAL",20/2,0))+IF(S5="FULL",10,IF(S5="PARTIAL",10/2,0))</f>
        <v/>
      </c>
      <c r="U5" s="7">
        <f>IF(P5="NOT_CHECKED",0,40)+IF(Q5="NOT_CHECKED",0,30)+IF(R5="NOT_CHECKED",0,20)+IF(S5="NOT_CHECKED",0,10)</f>
        <v/>
      </c>
      <c r="V5" s="7">
        <f>IF(U5=100,T5,"")</f>
        <v/>
      </c>
      <c r="W5" s="7">
        <f>T5</f>
        <v/>
      </c>
      <c r="X5" s="7">
        <f>T5+(100-U5)</f>
        <v/>
      </c>
      <c r="Y5" s="3" t="inlineStr">
        <is>
          <t>["ISS-011-IMG-04"]</t>
        </is>
      </c>
      <c r="Z5" s="3" t="inlineStr">
        <is>
          <t>["seo_runs\\jeminise.com\\20260906_234129\\evidence\\images\\11_christian-bedding-set-inspirational-bible-verse-comforte-design-02\\image_04_47933842587847.jpg; seo_runs\\jeminise.com\\20260906_234129\\evidence\\contact_sheets\\11_christian-bedding-set-inspirational-bible-verse-comforte-design-02.jpg", "https://jeminise.com/products/christian-bedding-set-inspirational-bible-verse-comforte-design-02", "https://cdn.shopify.com/s/files/1/0792/5098/1063/files/27f7ed18554cde6fb1921b3b4261b0f7a6d2176eda09e52bedf7b7fe5cb0399a.jpg?v=1787237735"]</t>
        </is>
      </c>
    </row>
    <row r="6" ht="66" customHeight="1">
      <c r="A6" s="2" t="inlineStr">
        <is>
          <t>jeminise.com+christian-bedding-set-inspirational-bible-verse-comforte-design-02</t>
        </is>
      </c>
      <c r="B6" s="2" t="inlineStr">
        <is>
          <t>qaimg_e83ff3bda096596b</t>
        </is>
      </c>
      <c r="C6" s="4" t="inlineStr">
        <is>
          <t>https://cdn.shopify.com/s/files/1/0792/5098/1063/files/c0229b109e769b68f8c9f35623479c094bab31ad756f2c9dfcf50eadd39d92c5_9c3ec9d7-9121-432a-b4e5-640cc3768a2a.jpg?v=1787237735</t>
        </is>
      </c>
      <c r="D6" s="4" t="inlineStr">
        <is>
          <t>https://cdn.shopify.com/s/files/1/0792/5098/1063/files/c0229b109e769b68f8c9f35623479c094bab31ad756f2c9dfcf50eadd39d92c5_9c3ec9d7-9121-432a-b4e5-640cc3768a2a.jpg?v=1787237735</t>
        </is>
      </c>
      <c r="E6" s="2" t="inlineStr">
        <is>
          <t>38895080145095</t>
        </is>
      </c>
      <c r="F6" s="2" t="inlineStr">
        <is>
          <t>47933842620615</t>
        </is>
      </c>
      <c r="G6" s="2" t="inlineStr"/>
      <c r="H6" s="2" t="inlineStr">
        <is>
          <t>GALLERY</t>
        </is>
      </c>
      <c r="I6" s="2" t="inlineStr">
        <is>
          <t>DIRECT_ORIGINAL_IMAGE</t>
        </is>
      </c>
      <c r="J6" s="2" t="inlineStr">
        <is>
          <t>2026-09-07T09:36:10.742993+07:00</t>
        </is>
      </c>
      <c r="K6" s="2" t="inlineStr">
        <is>
          <t>Birth Month Flowers chart for January through December.</t>
        </is>
      </c>
      <c r="L6" s="2" t="inlineStr">
        <is>
          <t>Sizing or included-components information image for the bedding set.</t>
        </is>
      </c>
      <c r="M6" s="2" t="inlineStr">
        <is>
          <t>Christian Bedding Set – Inspirational Bible Verse Comforter – Religious Bedding for Women, Faith Gift for Mom, Daughter, Sister, Birthday &amp; Religious Gifts (God Says I am #2)</t>
        </is>
      </c>
      <c r="N6" s="2" t="inlineStr">
        <is>
          <t>SET</t>
        </is>
      </c>
      <c r="O6" s="2" t="inlineStr">
        <is>
          <t>Size guide for Personalized God Says I Am Christian Comforter Set</t>
        </is>
      </c>
      <c r="P6" s="2" t="inlineStr">
        <is>
          <t>FULL</t>
        </is>
      </c>
      <c r="Q6" s="2" t="inlineStr">
        <is>
          <t>FAIL</t>
        </is>
      </c>
      <c r="R6" s="2" t="inlineStr">
        <is>
          <t>FAIL</t>
        </is>
      </c>
      <c r="S6" s="2" t="inlineStr">
        <is>
          <t>FULL</t>
        </is>
      </c>
      <c r="T6" s="5">
        <f>IF(P6="FULL",40,IF(P6="PARTIAL",40/2,0))+IF(Q6="FULL",30,IF(Q6="PARTIAL",30/2,0))+IF(R6="FULL",20,IF(R6="PARTIAL",20/2,0))+IF(S6="FULL",10,IF(S6="PARTIAL",10/2,0))</f>
        <v/>
      </c>
      <c r="U6" s="5">
        <f>IF(P6="NOT_CHECKED",0,40)+IF(Q6="NOT_CHECKED",0,30)+IF(R6="NOT_CHECKED",0,20)+IF(S6="NOT_CHECKED",0,10)</f>
        <v/>
      </c>
      <c r="V6" s="5">
        <f>IF(U6=100,T6,"")</f>
        <v/>
      </c>
      <c r="W6" s="5">
        <f>T6</f>
        <v/>
      </c>
      <c r="X6" s="5">
        <f>T6+(100-U6)</f>
        <v/>
      </c>
      <c r="Y6" s="2" t="inlineStr">
        <is>
          <t>["ISS-011-IMG-05"]</t>
        </is>
      </c>
      <c r="Z6" s="2" t="inlineStr">
        <is>
          <t>["seo_runs\\jeminise.com\\20260906_234129\\evidence\\images\\11_christian-bedding-set-inspirational-bible-verse-comforte-design-02\\image_05_47933842620615.jpg; seo_runs\\jeminise.com\\20260906_234129\\evidence\\contact_sheets\\11_christian-bedding-set-inspirational-bible-verse-comforte-design-02.jpg", "https://jeminise.com/products/christian-bedding-set-inspirational-bible-verse-comforte-design-02", "https://cdn.shopify.com/s/files/1/0792/5098/1063/files/c0229b109e769b68f8c9f35623479c094bab31ad756f2c9dfcf50eadd39d92c5_9c3ec9d7-9121-432a-b4e5-640cc3768a2a.jpg?v=1787237735"]</t>
        </is>
      </c>
    </row>
    <row r="7" ht="66" customHeight="1">
      <c r="A7" s="3" t="inlineStr">
        <is>
          <t>jeminise.com+christian-bedding-set-inspirational-bible-verse-comforte-design-02</t>
        </is>
      </c>
      <c r="B7" s="3" t="inlineStr">
        <is>
          <t>qaimg_5bfe673cef116796</t>
        </is>
      </c>
      <c r="C7" s="4" t="inlineStr">
        <is>
          <t>https://cdn.shopify.com/s/files/1/0792/5098/1063/files/0e22a9fec09643a714af054217066178d4f7bc4d6266b6d2ff5c33c09cc10e88_963c3f22-9265-4b21-8847-4b1a66ac13e5.jpg?v=1787237735</t>
        </is>
      </c>
      <c r="D7" s="4" t="inlineStr">
        <is>
          <t>https://cdn.shopify.com/s/files/1/0792/5098/1063/files/0e22a9fec09643a714af054217066178d4f7bc4d6266b6d2ff5c33c09cc10e88_963c3f22-9265-4b21-8847-4b1a66ac13e5.jpg?v=1787237735</t>
        </is>
      </c>
      <c r="E7" s="3" t="inlineStr">
        <is>
          <t>38895080177863</t>
        </is>
      </c>
      <c r="F7" s="3" t="inlineStr">
        <is>
          <t>47933842653383</t>
        </is>
      </c>
      <c r="G7" s="3" t="inlineStr"/>
      <c r="H7" s="3" t="inlineStr">
        <is>
          <t>GALLERY</t>
        </is>
      </c>
      <c r="I7" s="3" t="inlineStr">
        <is>
          <t>DIRECT_ORIGINAL_IMAGE</t>
        </is>
      </c>
      <c r="J7" s="3" t="inlineStr">
        <is>
          <t>2026-09-07T09:36:10.742993+07:00</t>
        </is>
      </c>
      <c r="K7" s="3" t="inlineStr">
        <is>
          <t>Easy-care graphic stating wrinkle-free, stain-proof, anti-pilling and won't fade in the wash.</t>
        </is>
      </c>
      <c r="L7" s="3" t="inlineStr">
        <is>
          <t>Feature image describing fabric layers, softness, breathability or care details.</t>
        </is>
      </c>
      <c r="M7" s="3" t="inlineStr">
        <is>
          <t>Christian Bedding Set – Inspirational Bible Verse Comforter – Religious Bedding for Women, Faith Gift for Mom, Daughter, Sister, Birthday &amp; Religious Gifts (God Says I am #2)</t>
        </is>
      </c>
      <c r="N7" s="3" t="inlineStr">
        <is>
          <t>SET</t>
        </is>
      </c>
      <c r="O7" s="3" t="inlineStr">
        <is>
          <t>Fabric feature graphic for Personalized God Says I Am Christian Comforter Set</t>
        </is>
      </c>
      <c r="P7" s="3" t="inlineStr">
        <is>
          <t>FULL</t>
        </is>
      </c>
      <c r="Q7" s="3" t="inlineStr">
        <is>
          <t>PARTIAL</t>
        </is>
      </c>
      <c r="R7" s="3" t="inlineStr">
        <is>
          <t>FAIL</t>
        </is>
      </c>
      <c r="S7" s="3" t="inlineStr">
        <is>
          <t>FULL</t>
        </is>
      </c>
      <c r="T7" s="7">
        <f>IF(P7="FULL",40,IF(P7="PARTIAL",40/2,0))+IF(Q7="FULL",30,IF(Q7="PARTIAL",30/2,0))+IF(R7="FULL",20,IF(R7="PARTIAL",20/2,0))+IF(S7="FULL",10,IF(S7="PARTIAL",10/2,0))</f>
        <v/>
      </c>
      <c r="U7" s="7">
        <f>IF(P7="NOT_CHECKED",0,40)+IF(Q7="NOT_CHECKED",0,30)+IF(R7="NOT_CHECKED",0,20)+IF(S7="NOT_CHECKED",0,10)</f>
        <v/>
      </c>
      <c r="V7" s="7">
        <f>IF(U7=100,T7,"")</f>
        <v/>
      </c>
      <c r="W7" s="7">
        <f>T7</f>
        <v/>
      </c>
      <c r="X7" s="7">
        <f>T7+(100-U7)</f>
        <v/>
      </c>
      <c r="Y7" s="3" t="inlineStr">
        <is>
          <t>["ISS-011-IMG-06"]</t>
        </is>
      </c>
      <c r="Z7" s="3" t="inlineStr">
        <is>
          <t>["seo_runs\\jeminise.com\\20260906_234129\\evidence\\images\\11_christian-bedding-set-inspirational-bible-verse-comforte-design-02\\image_06_47933842653383.jpg; seo_runs\\jeminise.com\\20260906_234129\\evidence\\contact_sheets\\11_christian-bedding-set-inspirational-bible-verse-comforte-design-02.jpg", "https://jeminise.com/products/christian-bedding-set-inspirational-bible-verse-comforte-design-02", "https://cdn.shopify.com/s/files/1/0792/5098/1063/files/0e22a9fec09643a714af054217066178d4f7bc4d6266b6d2ff5c33c09cc10e88_963c3f22-9265-4b21-8847-4b1a66ac13e5.jpg?v=1787237735"]</t>
        </is>
      </c>
    </row>
    <row r="8" ht="66" customHeight="1">
      <c r="A8" s="2" t="inlineStr">
        <is>
          <t>jeminise.com+christian-bedding-set-inspirational-bible-verse-comforte-design-02</t>
        </is>
      </c>
      <c r="B8" s="2" t="inlineStr">
        <is>
          <t>qaimg_589b7006b0cae7ca</t>
        </is>
      </c>
      <c r="C8" s="4" t="inlineStr">
        <is>
          <t>https://cdn.shopify.com/s/files/1/0792/5098/1063/files/03ac15a4de6fdc4759048838b9e69d3ab841369c3b081159e5bf995fe1ff2483.jpg?v=1787237735</t>
        </is>
      </c>
      <c r="D8" s="4" t="inlineStr">
        <is>
          <t>https://cdn.shopify.com/s/files/1/0792/5098/1063/files/03ac15a4de6fdc4759048838b9e69d3ab841369c3b081159e5bf995fe1ff2483.jpg?v=1787237735</t>
        </is>
      </c>
      <c r="E8" s="2" t="inlineStr">
        <is>
          <t>38895080210631</t>
        </is>
      </c>
      <c r="F8" s="2" t="inlineStr">
        <is>
          <t>47933842686151</t>
        </is>
      </c>
      <c r="G8" s="2" t="inlineStr"/>
      <c r="H8" s="2" t="inlineStr">
        <is>
          <t>GALLERY</t>
        </is>
      </c>
      <c r="I8" s="2" t="inlineStr">
        <is>
          <t>DIRECT_ORIGINAL_IMAGE</t>
        </is>
      </c>
      <c r="J8" s="2" t="inlineStr">
        <is>
          <t>2026-09-07T09:36:10.742993+07:00</t>
        </is>
      </c>
      <c r="K8" s="2" t="inlineStr">
        <is>
          <t>Bedroom close-up with soft, lightweight, durable and breathable feature icons.</t>
        </is>
      </c>
      <c r="L8" s="2" t="inlineStr">
        <is>
          <t>Additional bedroom mockup showing the orange God Says I Am Christian design with the name Jessica, roses and butterflies design on a bed.</t>
        </is>
      </c>
      <c r="M8" s="2" t="inlineStr">
        <is>
          <t>Christian Bedding Set – Inspirational Bible Verse Comforter – Religious Bedding for Women, Faith Gift for Mom, Daughter, Sister, Birthday &amp; Religious Gifts (God Says I am #2)</t>
        </is>
      </c>
      <c r="N8" s="2" t="inlineStr">
        <is>
          <t>SET</t>
        </is>
      </c>
      <c r="O8" s="2" t="inlineStr">
        <is>
          <t>Bedroom mockup of Personalized God Says I Am Christian Comforter Set</t>
        </is>
      </c>
      <c r="P8" s="2" t="inlineStr">
        <is>
          <t>FULL</t>
        </is>
      </c>
      <c r="Q8" s="2" t="inlineStr">
        <is>
          <t>PARTIAL</t>
        </is>
      </c>
      <c r="R8" s="2" t="inlineStr">
        <is>
          <t>PARTIAL</t>
        </is>
      </c>
      <c r="S8" s="2" t="inlineStr">
        <is>
          <t>FULL</t>
        </is>
      </c>
      <c r="T8" s="5">
        <f>IF(P8="FULL",40,IF(P8="PARTIAL",40/2,0))+IF(Q8="FULL",30,IF(Q8="PARTIAL",30/2,0))+IF(R8="FULL",20,IF(R8="PARTIAL",20/2,0))+IF(S8="FULL",10,IF(S8="PARTIAL",10/2,0))</f>
        <v/>
      </c>
      <c r="U8" s="5">
        <f>IF(P8="NOT_CHECKED",0,40)+IF(Q8="NOT_CHECKED",0,30)+IF(R8="NOT_CHECKED",0,20)+IF(S8="NOT_CHECKED",0,10)</f>
        <v/>
      </c>
      <c r="V8" s="5">
        <f>IF(U8=100,T8,"")</f>
        <v/>
      </c>
      <c r="W8" s="5">
        <f>T8</f>
        <v/>
      </c>
      <c r="X8" s="5">
        <f>T8+(100-U8)</f>
        <v/>
      </c>
      <c r="Y8" s="2" t="inlineStr">
        <is>
          <t>["ISS-011-IMG-07"]</t>
        </is>
      </c>
      <c r="Z8" s="2" t="inlineStr">
        <is>
          <t>["seo_runs\\jeminise.com\\20260906_234129\\evidence\\images\\11_christian-bedding-set-inspirational-bible-verse-comforte-design-02\\image_07_47933842686151.jpg; seo_runs\\jeminise.com\\20260906_234129\\evidence\\contact_sheets\\11_christian-bedding-set-inspirational-bible-verse-comforte-design-02.jpg", "https://jeminise.com/products/christian-bedding-set-inspirational-bible-verse-comforte-design-02", "https://cdn.shopify.com/s/files/1/0792/5098/1063/files/03ac15a4de6fdc4759048838b9e69d3ab841369c3b081159e5bf995fe1ff2483.jpg?v=1787237735"]</t>
        </is>
      </c>
    </row>
    <row r="9" ht="66" customHeight="1">
      <c r="A9" s="3" t="inlineStr">
        <is>
          <t>jeminise.com+christian-bedding-set-inspirational-bible-verse-comforte-design-02</t>
        </is>
      </c>
      <c r="B9" s="3" t="inlineStr">
        <is>
          <t>qaimg_a48e2074ece64973</t>
        </is>
      </c>
      <c r="C9" s="4" t="inlineStr">
        <is>
          <t>https://cdn.shopify.com/s/files/1/0792/5098/1063/files/d6b8438a259ef28ba839a68ba108f40464bc9629b0bc2168779fc7776c9cbffa_433fa23f-2790-4b1e-8f60-9cb3f933e7c9.jpg?v=1787237735</t>
        </is>
      </c>
      <c r="D9" s="4" t="inlineStr">
        <is>
          <t>https://cdn.shopify.com/s/files/1/0792/5098/1063/files/d6b8438a259ef28ba839a68ba108f40464bc9629b0bc2168779fc7776c9cbffa_433fa23f-2790-4b1e-8f60-9cb3f933e7c9.jpg?v=1787237735</t>
        </is>
      </c>
      <c r="E9" s="3" t="inlineStr">
        <is>
          <t>38895080243399</t>
        </is>
      </c>
      <c r="F9" s="3" t="inlineStr">
        <is>
          <t>47933842718919</t>
        </is>
      </c>
      <c r="G9" s="3" t="inlineStr"/>
      <c r="H9" s="3" t="inlineStr">
        <is>
          <t>GALLERY</t>
        </is>
      </c>
      <c r="I9" s="3" t="inlineStr">
        <is>
          <t>DIRECT_ORIGINAL_IMAGE</t>
        </is>
      </c>
      <c r="J9" s="3" t="inlineStr">
        <is>
          <t>2026-09-07T09:36:10.742993+07:00</t>
        </is>
      </c>
      <c r="K9" s="3" t="inlineStr">
        <is>
          <t>Twin, Full, Queen and King dimension chart; heading reads SIZE DIMENTION.</t>
        </is>
      </c>
      <c r="L9" s="3" t="inlineStr">
        <is>
          <t>Additional product information image for size, care, personalization or bedding type.</t>
        </is>
      </c>
      <c r="M9" s="3" t="inlineStr">
        <is>
          <t>Christian Bedding Set – Inspirational Bible Verse Comforter – Religious Bedding for Women, Faith Gift for Mom, Daughter, Sister, Birthday &amp; Religious Gifts (God Says I am #2)</t>
        </is>
      </c>
      <c r="N9" s="3" t="inlineStr">
        <is>
          <t>SET</t>
        </is>
      </c>
      <c r="O9" s="3" t="inlineStr">
        <is>
          <t>Size or personalization guide for Personalized God Says I Am Christian Comforter Set</t>
        </is>
      </c>
      <c r="P9" s="3" t="inlineStr">
        <is>
          <t>FULL</t>
        </is>
      </c>
      <c r="Q9" s="3" t="inlineStr">
        <is>
          <t>PARTIAL</t>
        </is>
      </c>
      <c r="R9" s="3" t="inlineStr">
        <is>
          <t>PARTIAL</t>
        </is>
      </c>
      <c r="S9" s="3" t="inlineStr">
        <is>
          <t>FULL</t>
        </is>
      </c>
      <c r="T9" s="7">
        <f>IF(P9="FULL",40,IF(P9="PARTIAL",40/2,0))+IF(Q9="FULL",30,IF(Q9="PARTIAL",30/2,0))+IF(R9="FULL",20,IF(R9="PARTIAL",20/2,0))+IF(S9="FULL",10,IF(S9="PARTIAL",10/2,0))</f>
        <v/>
      </c>
      <c r="U9" s="7">
        <f>IF(P9="NOT_CHECKED",0,40)+IF(Q9="NOT_CHECKED",0,30)+IF(R9="NOT_CHECKED",0,20)+IF(S9="NOT_CHECKED",0,10)</f>
        <v/>
      </c>
      <c r="V9" s="7">
        <f>IF(U9=100,T9,"")</f>
        <v/>
      </c>
      <c r="W9" s="7">
        <f>T9</f>
        <v/>
      </c>
      <c r="X9" s="7">
        <f>T9+(100-U9)</f>
        <v/>
      </c>
      <c r="Y9" s="3" t="inlineStr">
        <is>
          <t>["ISS-011-IMG-08"]</t>
        </is>
      </c>
      <c r="Z9" s="3" t="inlineStr">
        <is>
          <t>["seo_runs\\jeminise.com\\20260906_234129\\evidence\\images\\11_christian-bedding-set-inspirational-bible-verse-comforte-design-02\\image_08_47933842718919.jpg; seo_runs\\jeminise.com\\20260906_234129\\evidence\\contact_sheets\\11_christian-bedding-set-inspirational-bible-verse-comforte-design-02.jpg", "https://jeminise.com/products/christian-bedding-set-inspirational-bible-verse-comforte-design-02", "https://cdn.shopify.com/s/files/1/0792/5098/1063/files/d6b8438a259ef28ba839a68ba108f40464bc9629b0bc2168779fc7776c9cbffa_433fa23f-2790-4b1e-8f60-9cb3f933e7c9.jpg?v=1787237735"]</t>
        </is>
      </c>
    </row>
    <row r="10" ht="66" customHeight="1">
      <c r="A10" s="2" t="inlineStr">
        <is>
          <t>jeminise.com+christian-bedding-set-inspirational-bible-verse-comforte-design-03</t>
        </is>
      </c>
      <c r="B10" s="2" t="inlineStr">
        <is>
          <t>qaimg_d09bcd4d7a0c6ae8</t>
        </is>
      </c>
      <c r="C10" s="4" t="inlineStr">
        <is>
          <t>https://cdn.shopify.com/s/files/1/0792/5098/1063/files/f92da9391db0dc6b3922463b3a830c7068091ba905b6f543f5ed21537c343ff7.jpg?v=1787237775</t>
        </is>
      </c>
      <c r="D10" s="4" t="inlineStr">
        <is>
          <t>https://cdn.shopify.com/s/files/1/0792/5098/1063/files/f92da9391db0dc6b3922463b3a830c7068091ba905b6f543f5ed21537c343ff7.jpg?v=1787237775</t>
        </is>
      </c>
      <c r="E10" s="2" t="inlineStr">
        <is>
          <t>38895084536007</t>
        </is>
      </c>
      <c r="F10" s="2" t="inlineStr">
        <is>
          <t>47933847044295</t>
        </is>
      </c>
      <c r="G10" s="2" t="inlineStr"/>
      <c r="H10" s="2" t="inlineStr">
        <is>
          <t>GALLERY</t>
        </is>
      </c>
      <c r="I10" s="2" t="inlineStr">
        <is>
          <t>DIRECT_ORIGINAL_IMAGE</t>
        </is>
      </c>
      <c r="J10" s="2" t="inlineStr">
        <is>
          <t>2026-09-07T09:36:10.742993+07:00</t>
        </is>
      </c>
      <c r="K10" s="2" t="inlineStr">
        <is>
          <t>Main bed mockup with white Evelyn Christian bedding, crosses, faith symbols and Bible-reference affirmations.</t>
        </is>
      </c>
      <c r="L10" s="2" t="inlineStr">
        <is>
          <t>Main bed mockup showing white personalized Christian affirmation design with the name Evelyn and Bible verse words.</t>
        </is>
      </c>
      <c r="M10" s="2" t="inlineStr">
        <is>
          <t>Christian Bedding Set – Inspirational Bible Verse Comforter – Religious Bedding for Women, Faith Gift for Mom, Daughter, Sister, Birthday &amp; Religious Gifts (God Says I am #3)</t>
        </is>
      </c>
      <c r="N10" s="2" t="inlineStr">
        <is>
          <t>SET</t>
        </is>
      </c>
      <c r="O10" s="2" t="inlineStr">
        <is>
          <t>Personalized Christian Bible Verse Comforter Set displayed on a bed</t>
        </is>
      </c>
      <c r="P10" s="2" t="inlineStr">
        <is>
          <t>FULL</t>
        </is>
      </c>
      <c r="Q10" s="2" t="inlineStr">
        <is>
          <t>FULL</t>
        </is>
      </c>
      <c r="R10" s="2" t="inlineStr">
        <is>
          <t>FULL</t>
        </is>
      </c>
      <c r="S10" s="2" t="inlineStr">
        <is>
          <t>FULL</t>
        </is>
      </c>
      <c r="T10" s="5">
        <f>IF(P10="FULL",40,IF(P10="PARTIAL",40/2,0))+IF(Q10="FULL",30,IF(Q10="PARTIAL",30/2,0))+IF(R10="FULL",20,IF(R10="PARTIAL",20/2,0))+IF(S10="FULL",10,IF(S10="PARTIAL",10/2,0))</f>
        <v/>
      </c>
      <c r="U10" s="5">
        <f>IF(P10="NOT_CHECKED",0,40)+IF(Q10="NOT_CHECKED",0,30)+IF(R10="NOT_CHECKED",0,20)+IF(S10="NOT_CHECKED",0,10)</f>
        <v/>
      </c>
      <c r="V10" s="5">
        <f>IF(U10=100,T10,"")</f>
        <v/>
      </c>
      <c r="W10" s="5">
        <f>T10</f>
        <v/>
      </c>
      <c r="X10" s="5">
        <f>T10+(100-U10)</f>
        <v/>
      </c>
      <c r="Y10" s="2" t="inlineStr">
        <is>
          <t>[]</t>
        </is>
      </c>
      <c r="Z10" s="2" t="inlineStr">
        <is>
          <t>["seo_runs\\jeminise.com\\20260906_234129\\evidence\\images\\12_christian-bedding-set-inspirational-bible-verse-comforte-design-03\\image_01_47933847044295.jpg; seo_runs\\jeminise.com\\20260906_234129\\evidence\\contact_sheets\\12_christian-bedding-set-inspirational-bible-verse-comforte-design-03.jpg", "https://jeminise.com/products/christian-bedding-set-inspirational-bible-verse-comforte-design-03", "https://cdn.shopify.com/s/files/1/0792/5098/1063/files/f92da9391db0dc6b3922463b3a830c7068091ba905b6f543f5ed21537c343ff7.jpg?v=1787237775"]</t>
        </is>
      </c>
    </row>
    <row r="11" ht="66" customHeight="1">
      <c r="A11" s="3" t="inlineStr">
        <is>
          <t>jeminise.com+christian-bedding-set-inspirational-bible-verse-comforte-design-03</t>
        </is>
      </c>
      <c r="B11" s="3" t="inlineStr">
        <is>
          <t>qaimg_b47d22f3ec4bb409</t>
        </is>
      </c>
      <c r="C11" s="4" t="inlineStr">
        <is>
          <t>https://cdn.shopify.com/s/files/1/0792/5098/1063/files/38662725a37694575465781c6a07cc74254226a1182579802ffa9912a4e7768f.jpg?v=1787237775</t>
        </is>
      </c>
      <c r="D11" s="4" t="inlineStr">
        <is>
          <t>https://cdn.shopify.com/s/files/1/0792/5098/1063/files/38662725a37694575465781c6a07cc74254226a1182579802ffa9912a4e7768f.jpg?v=1787237775</t>
        </is>
      </c>
      <c r="E11" s="3" t="inlineStr">
        <is>
          <t>38895084568775</t>
        </is>
      </c>
      <c r="F11" s="3" t="inlineStr">
        <is>
          <t>47933847077063</t>
        </is>
      </c>
      <c r="G11" s="3" t="inlineStr"/>
      <c r="H11" s="3" t="inlineStr">
        <is>
          <t>GALLERY</t>
        </is>
      </c>
      <c r="I11" s="3" t="inlineStr">
        <is>
          <t>DIRECT_ORIGINAL_IMAGE</t>
        </is>
      </c>
      <c r="J11" s="3" t="inlineStr">
        <is>
          <t>2026-09-07T09:36:10.742993+07:00</t>
        </is>
      </c>
      <c r="K11" s="3" t="inlineStr">
        <is>
          <t>Alternate bedroom mockup of the same Evelyn Christian affirmation bedding.</t>
        </is>
      </c>
      <c r="L11" s="3" t="inlineStr">
        <is>
          <t>Secondary detail or room mockup showing white personalized Christian affirmation design with the name Evelyn and Bible verse words and visible quilted/printed texture.</t>
        </is>
      </c>
      <c r="M11" s="3" t="inlineStr">
        <is>
          <t>Christian Bedding Set – Inspirational Bible Verse Comforter – Religious Bedding for Women, Faith Gift for Mom, Daughter, Sister, Birthday &amp; Religious Gifts (God Says I am #3)</t>
        </is>
      </c>
      <c r="N11" s="3" t="inlineStr">
        <is>
          <t>SET</t>
        </is>
      </c>
      <c r="O11" s="3" t="inlineStr">
        <is>
          <t>Close view of white personalized Christian affirmation design with the name Evelyn and Bible verse words on the comforter set</t>
        </is>
      </c>
      <c r="P11" s="3" t="inlineStr">
        <is>
          <t>FULL</t>
        </is>
      </c>
      <c r="Q11" s="3" t="inlineStr">
        <is>
          <t>PARTIAL</t>
        </is>
      </c>
      <c r="R11" s="3" t="inlineStr">
        <is>
          <t>PARTIAL</t>
        </is>
      </c>
      <c r="S11" s="3" t="inlineStr">
        <is>
          <t>FULL</t>
        </is>
      </c>
      <c r="T11" s="7">
        <f>IF(P11="FULL",40,IF(P11="PARTIAL",40/2,0))+IF(Q11="FULL",30,IF(Q11="PARTIAL",30/2,0))+IF(R11="FULL",20,IF(R11="PARTIAL",20/2,0))+IF(S11="FULL",10,IF(S11="PARTIAL",10/2,0))</f>
        <v/>
      </c>
      <c r="U11" s="7">
        <f>IF(P11="NOT_CHECKED",0,40)+IF(Q11="NOT_CHECKED",0,30)+IF(R11="NOT_CHECKED",0,20)+IF(S11="NOT_CHECKED",0,10)</f>
        <v/>
      </c>
      <c r="V11" s="7">
        <f>IF(U11=100,T11,"")</f>
        <v/>
      </c>
      <c r="W11" s="7">
        <f>T11</f>
        <v/>
      </c>
      <c r="X11" s="7">
        <f>T11+(100-U11)</f>
        <v/>
      </c>
      <c r="Y11" s="3" t="inlineStr">
        <is>
          <t>["ISS-012-IMG-02"]</t>
        </is>
      </c>
      <c r="Z11" s="3" t="inlineStr">
        <is>
          <t>["seo_runs\\jeminise.com\\20260906_234129\\evidence\\images\\12_christian-bedding-set-inspirational-bible-verse-comforte-design-03\\image_02_47933847077063.jpg; seo_runs\\jeminise.com\\20260906_234129\\evidence\\contact_sheets\\12_christian-bedding-set-inspirational-bible-verse-comforte-design-03.jpg", "https://jeminise.com/products/christian-bedding-set-inspirational-bible-verse-comforte-design-03", "https://cdn.shopify.com/s/files/1/0792/5098/1063/files/38662725a37694575465781c6a07cc74254226a1182579802ffa9912a4e7768f.jpg?v=1787237775"]</t>
        </is>
      </c>
    </row>
    <row r="12" ht="66" customHeight="1">
      <c r="A12" s="2" t="inlineStr">
        <is>
          <t>jeminise.com+christian-bedding-set-inspirational-bible-verse-comforte-design-03</t>
        </is>
      </c>
      <c r="B12" s="2" t="inlineStr">
        <is>
          <t>qaimg_e219b7977479aba5</t>
        </is>
      </c>
      <c r="C12" s="4" t="inlineStr">
        <is>
          <t>https://cdn.shopify.com/s/files/1/0792/5098/1063/files/50f96559dd878ae5bbee14ba7a34337ccd740d21a8ffe86a8a1be819656d26c0_55aad209-cbed-473d-b39c-7f6a67c4001e.jpg?v=1787237775</t>
        </is>
      </c>
      <c r="D12" s="4" t="inlineStr">
        <is>
          <t>https://cdn.shopify.com/s/files/1/0792/5098/1063/files/50f96559dd878ae5bbee14ba7a34337ccd740d21a8ffe86a8a1be819656d26c0_55aad209-cbed-473d-b39c-7f6a67c4001e.jpg?v=1787237775</t>
        </is>
      </c>
      <c r="E12" s="2" t="inlineStr">
        <is>
          <t>38895084601543</t>
        </is>
      </c>
      <c r="F12" s="2" t="inlineStr">
        <is>
          <t>47933847109831</t>
        </is>
      </c>
      <c r="G12" s="2" t="inlineStr"/>
      <c r="H12" s="2" t="inlineStr">
        <is>
          <t>GALLERY</t>
        </is>
      </c>
      <c r="I12" s="2" t="inlineStr">
        <is>
          <t>DIRECT_ORIGINAL_IMAGE</t>
        </is>
      </c>
      <c r="J12" s="2" t="inlineStr">
        <is>
          <t>2026-09-07T09:36:10.742993+07:00</t>
        </is>
      </c>
      <c r="K12" s="2" t="inlineStr">
        <is>
          <t>Comparison graphic explaining Duvet Cover Set versus Comforter Set.</t>
        </is>
      </c>
      <c r="L12" s="2" t="inlineStr">
        <is>
          <t>Matching pillow sham or bedding detail using the same white personalized Christian affirmation design with the name Evelyn and Bible verse words artwork.</t>
        </is>
      </c>
      <c r="M12" s="2" t="inlineStr">
        <is>
          <t>Christian Bedding Set – Inspirational Bible Verse Comforter – Religious Bedding for Women, Faith Gift for Mom, Daughter, Sister, Birthday &amp; Religious Gifts (God Says I am #3)</t>
        </is>
      </c>
      <c r="N12" s="2" t="inlineStr">
        <is>
          <t>SET</t>
        </is>
      </c>
      <c r="O12" s="2" t="inlineStr">
        <is>
          <t>Matching pillow sham for Personalized Christian Bible Verse Comforter Set</t>
        </is>
      </c>
      <c r="P12" s="2" t="inlineStr">
        <is>
          <t>FULL</t>
        </is>
      </c>
      <c r="Q12" s="2" t="inlineStr">
        <is>
          <t>FAIL</t>
        </is>
      </c>
      <c r="R12" s="2" t="inlineStr">
        <is>
          <t>FAIL</t>
        </is>
      </c>
      <c r="S12" s="2" t="inlineStr">
        <is>
          <t>FULL</t>
        </is>
      </c>
      <c r="T12" s="5">
        <f>IF(P12="FULL",40,IF(P12="PARTIAL",40/2,0))+IF(Q12="FULL",30,IF(Q12="PARTIAL",30/2,0))+IF(R12="FULL",20,IF(R12="PARTIAL",20/2,0))+IF(S12="FULL",10,IF(S12="PARTIAL",10/2,0))</f>
        <v/>
      </c>
      <c r="U12" s="5">
        <f>IF(P12="NOT_CHECKED",0,40)+IF(Q12="NOT_CHECKED",0,30)+IF(R12="NOT_CHECKED",0,20)+IF(S12="NOT_CHECKED",0,10)</f>
        <v/>
      </c>
      <c r="V12" s="5">
        <f>IF(U12=100,T12,"")</f>
        <v/>
      </c>
      <c r="W12" s="5">
        <f>T12</f>
        <v/>
      </c>
      <c r="X12" s="5">
        <f>T12+(100-U12)</f>
        <v/>
      </c>
      <c r="Y12" s="2" t="inlineStr">
        <is>
          <t>["ISS-012-IMG-03"]</t>
        </is>
      </c>
      <c r="Z12" s="2" t="inlineStr">
        <is>
          <t>["seo_runs\\jeminise.com\\20260906_234129\\evidence\\images\\12_christian-bedding-set-inspirational-bible-verse-comforte-design-03\\image_03_47933847109831.jpg; seo_runs\\jeminise.com\\20260906_234129\\evidence\\contact_sheets\\12_christian-bedding-set-inspirational-bible-verse-comforte-design-03.jpg", "https://jeminise.com/products/christian-bedding-set-inspirational-bible-verse-comforte-design-03", "https://cdn.shopify.com/s/files/1/0792/5098/1063/files/50f96559dd878ae5bbee14ba7a34337ccd740d21a8ffe86a8a1be819656d26c0_55aad209-cbed-473d-b39c-7f6a67c4001e.jpg?v=1787237775"]</t>
        </is>
      </c>
    </row>
    <row r="13" ht="66" customHeight="1">
      <c r="A13" s="3" t="inlineStr">
        <is>
          <t>jeminise.com+christian-bedding-set-inspirational-bible-verse-comforte-design-03</t>
        </is>
      </c>
      <c r="B13" s="3" t="inlineStr">
        <is>
          <t>qaimg_1d80ea156f5f9e4c</t>
        </is>
      </c>
      <c r="C13" s="4" t="inlineStr">
        <is>
          <t>https://cdn.shopify.com/s/files/1/0792/5098/1063/files/6f7120179ef66c1c3b1345bc6dcaf03449e1ffefc7fbda9577faecc3e3db4447.jpg?v=1787237775</t>
        </is>
      </c>
      <c r="D13" s="4" t="inlineStr">
        <is>
          <t>https://cdn.shopify.com/s/files/1/0792/5098/1063/files/6f7120179ef66c1c3b1345bc6dcaf03449e1ffefc7fbda9577faecc3e3db4447.jpg?v=1787237775</t>
        </is>
      </c>
      <c r="E13" s="3" t="inlineStr">
        <is>
          <t>38895084634311</t>
        </is>
      </c>
      <c r="F13" s="3" t="inlineStr">
        <is>
          <t>47933847142599</t>
        </is>
      </c>
      <c r="G13" s="3" t="inlineStr"/>
      <c r="H13" s="3" t="inlineStr">
        <is>
          <t>GALLERY</t>
        </is>
      </c>
      <c r="I13" s="3" t="inlineStr">
        <is>
          <t>DIRECT_ORIGINAL_IMAGE</t>
        </is>
      </c>
      <c r="J13" s="3" t="inlineStr">
        <is>
          <t>2026-09-07T09:36:10.742993+07:00</t>
        </is>
      </c>
      <c r="K13" s="3" t="inlineStr">
        <is>
          <t>Feature graphic stating 100% microfiber, 3D printed pattern, soft touch, lightweight and breathable.</t>
        </is>
      </c>
      <c r="L13" s="3" t="inlineStr">
        <is>
          <t>Room/folded product or fabric information image tied to the white personalized Christian affirmation design with the name Evelyn and Bible verse words design.</t>
        </is>
      </c>
      <c r="M13" s="3" t="inlineStr">
        <is>
          <t>Christian Bedding Set – Inspirational Bible Verse Comforter – Religious Bedding for Women, Faith Gift for Mom, Daughter, Sister, Birthday &amp; Religious Gifts (God Says I am #3)</t>
        </is>
      </c>
      <c r="N13" s="3" t="inlineStr">
        <is>
          <t>SET</t>
        </is>
      </c>
      <c r="O13" s="3" t="inlineStr">
        <is>
          <t>Personalized Christian Bible Verse Comforter Set shown in a bedroom setting</t>
        </is>
      </c>
      <c r="P13" s="3" t="inlineStr">
        <is>
          <t>FULL</t>
        </is>
      </c>
      <c r="Q13" s="3" t="inlineStr">
        <is>
          <t>FAIL</t>
        </is>
      </c>
      <c r="R13" s="3" t="inlineStr">
        <is>
          <t>FAIL</t>
        </is>
      </c>
      <c r="S13" s="3" t="inlineStr">
        <is>
          <t>FULL</t>
        </is>
      </c>
      <c r="T13" s="7">
        <f>IF(P13="FULL",40,IF(P13="PARTIAL",40/2,0))+IF(Q13="FULL",30,IF(Q13="PARTIAL",30/2,0))+IF(R13="FULL",20,IF(R13="PARTIAL",20/2,0))+IF(S13="FULL",10,IF(S13="PARTIAL",10/2,0))</f>
        <v/>
      </c>
      <c r="U13" s="7">
        <f>IF(P13="NOT_CHECKED",0,40)+IF(Q13="NOT_CHECKED",0,30)+IF(R13="NOT_CHECKED",0,20)+IF(S13="NOT_CHECKED",0,10)</f>
        <v/>
      </c>
      <c r="V13" s="7">
        <f>IF(U13=100,T13,"")</f>
        <v/>
      </c>
      <c r="W13" s="7">
        <f>T13</f>
        <v/>
      </c>
      <c r="X13" s="7">
        <f>T13+(100-U13)</f>
        <v/>
      </c>
      <c r="Y13" s="3" t="inlineStr">
        <is>
          <t>["ISS-012-IMG-04"]</t>
        </is>
      </c>
      <c r="Z13" s="3" t="inlineStr">
        <is>
          <t>["seo_runs\\jeminise.com\\20260906_234129\\evidence\\images\\12_christian-bedding-set-inspirational-bible-verse-comforte-design-03\\image_04_47933847142599.jpg; seo_runs\\jeminise.com\\20260906_234129\\evidence\\contact_sheets\\12_christian-bedding-set-inspirational-bible-verse-comforte-design-03.jpg", "https://jeminise.com/products/christian-bedding-set-inspirational-bible-verse-comforte-design-03", "https://cdn.shopify.com/s/files/1/0792/5098/1063/files/6f7120179ef66c1c3b1345bc6dcaf03449e1ffefc7fbda9577faecc3e3db4447.jpg?v=1787237775"]</t>
        </is>
      </c>
    </row>
    <row r="14" ht="66" customHeight="1">
      <c r="A14" s="2" t="inlineStr">
        <is>
          <t>jeminise.com+christian-bedding-set-inspirational-bible-verse-comforte-design-03</t>
        </is>
      </c>
      <c r="B14" s="2" t="inlineStr">
        <is>
          <t>qaimg_2413ef1710d427e4</t>
        </is>
      </c>
      <c r="C14" s="4" t="inlineStr">
        <is>
          <t>https://cdn.shopify.com/s/files/1/0792/5098/1063/files/3f1020e70fcfa8dc9427d83131c12eb3107fd27ba15741a814733e1974f31cb2.jpg?v=1787237775</t>
        </is>
      </c>
      <c r="D14" s="4" t="inlineStr">
        <is>
          <t>https://cdn.shopify.com/s/files/1/0792/5098/1063/files/3f1020e70fcfa8dc9427d83131c12eb3107fd27ba15741a814733e1974f31cb2.jpg?v=1787237775</t>
        </is>
      </c>
      <c r="E14" s="2" t="inlineStr">
        <is>
          <t>38895084667079</t>
        </is>
      </c>
      <c r="F14" s="2" t="inlineStr">
        <is>
          <t>47933847175367</t>
        </is>
      </c>
      <c r="G14" s="2" t="inlineStr"/>
      <c r="H14" s="2" t="inlineStr">
        <is>
          <t>GALLERY</t>
        </is>
      </c>
      <c r="I14" s="2" t="inlineStr">
        <is>
          <t>DIRECT_ORIGINAL_IMAGE</t>
        </is>
      </c>
      <c r="J14" s="2" t="inlineStr">
        <is>
          <t>2026-09-07T09:36:10.742993+07:00</t>
        </is>
      </c>
      <c r="K14" s="2" t="inlineStr">
        <is>
          <t>Bedroom close-up with soft, lightweight, durable and breathable feature icons.</t>
        </is>
      </c>
      <c r="L14" s="2" t="inlineStr">
        <is>
          <t>Sizing or included-components information image for the bedding set.</t>
        </is>
      </c>
      <c r="M14" s="2" t="inlineStr">
        <is>
          <t>Christian Bedding Set – Inspirational Bible Verse Comforter – Religious Bedding for Women, Faith Gift for Mom, Daughter, Sister, Birthday &amp; Religious Gifts (God Says I am #3)</t>
        </is>
      </c>
      <c r="N14" s="2" t="inlineStr">
        <is>
          <t>SET</t>
        </is>
      </c>
      <c r="O14" s="2" t="inlineStr">
        <is>
          <t>Size guide for Personalized Christian Bible Verse Comforter Set</t>
        </is>
      </c>
      <c r="P14" s="2" t="inlineStr">
        <is>
          <t>FULL</t>
        </is>
      </c>
      <c r="Q14" s="2" t="inlineStr">
        <is>
          <t>FAIL</t>
        </is>
      </c>
      <c r="R14" s="2" t="inlineStr">
        <is>
          <t>FAIL</t>
        </is>
      </c>
      <c r="S14" s="2" t="inlineStr">
        <is>
          <t>FULL</t>
        </is>
      </c>
      <c r="T14" s="5">
        <f>IF(P14="FULL",40,IF(P14="PARTIAL",40/2,0))+IF(Q14="FULL",30,IF(Q14="PARTIAL",30/2,0))+IF(R14="FULL",20,IF(R14="PARTIAL",20/2,0))+IF(S14="FULL",10,IF(S14="PARTIAL",10/2,0))</f>
        <v/>
      </c>
      <c r="U14" s="5">
        <f>IF(P14="NOT_CHECKED",0,40)+IF(Q14="NOT_CHECKED",0,30)+IF(R14="NOT_CHECKED",0,20)+IF(S14="NOT_CHECKED",0,10)</f>
        <v/>
      </c>
      <c r="V14" s="5">
        <f>IF(U14=100,T14,"")</f>
        <v/>
      </c>
      <c r="W14" s="5">
        <f>T14</f>
        <v/>
      </c>
      <c r="X14" s="5">
        <f>T14+(100-U14)</f>
        <v/>
      </c>
      <c r="Y14" s="2" t="inlineStr">
        <is>
          <t>["ISS-012-IMG-05"]</t>
        </is>
      </c>
      <c r="Z14" s="2" t="inlineStr">
        <is>
          <t>["seo_runs\\jeminise.com\\20260906_234129\\evidence\\images\\12_christian-bedding-set-inspirational-bible-verse-comforte-design-03\\image_05_47933847175367.jpg; seo_runs\\jeminise.com\\20260906_234129\\evidence\\contact_sheets\\12_christian-bedding-set-inspirational-bible-verse-comforte-design-03.jpg", "https://jeminise.com/products/christian-bedding-set-inspirational-bible-verse-comforte-design-03", "https://cdn.shopify.com/s/files/1/0792/5098/1063/files/3f1020e70fcfa8dc9427d83131c12eb3107fd27ba15741a814733e1974f31cb2.jpg?v=1787237775"]</t>
        </is>
      </c>
    </row>
    <row r="15" ht="66" customHeight="1">
      <c r="A15" s="3" t="inlineStr">
        <is>
          <t>jeminise.com+christian-bedding-set-inspirational-bible-verse-comforte-design-03</t>
        </is>
      </c>
      <c r="B15" s="3" t="inlineStr">
        <is>
          <t>qaimg_bf5165b14f62028f</t>
        </is>
      </c>
      <c r="C15" s="4" t="inlineStr">
        <is>
          <t>https://cdn.shopify.com/s/files/1/0792/5098/1063/files/0e22a9fec09643a714af054217066178d4f7bc4d6266b6d2ff5c33c09cc10e88_aa1ee109-258c-49b7-8e15-9f96d009b1e0.jpg?v=1787237775</t>
        </is>
      </c>
      <c r="D15" s="4" t="inlineStr">
        <is>
          <t>https://cdn.shopify.com/s/files/1/0792/5098/1063/files/0e22a9fec09643a714af054217066178d4f7bc4d6266b6d2ff5c33c09cc10e88_aa1ee109-258c-49b7-8e15-9f96d009b1e0.jpg?v=1787237775</t>
        </is>
      </c>
      <c r="E15" s="3" t="inlineStr">
        <is>
          <t>38895084699847</t>
        </is>
      </c>
      <c r="F15" s="3" t="inlineStr">
        <is>
          <t>47933847208135</t>
        </is>
      </c>
      <c r="G15" s="3" t="inlineStr"/>
      <c r="H15" s="3" t="inlineStr">
        <is>
          <t>GALLERY</t>
        </is>
      </c>
      <c r="I15" s="3" t="inlineStr">
        <is>
          <t>DIRECT_ORIGINAL_IMAGE</t>
        </is>
      </c>
      <c r="J15" s="3" t="inlineStr">
        <is>
          <t>2026-09-07T09:36:10.742993+07:00</t>
        </is>
      </c>
      <c r="K15" s="3" t="inlineStr">
        <is>
          <t>Easy-care graphic stating wrinkle-free, stain-proof, anti-pilling and won't fade in the wash.</t>
        </is>
      </c>
      <c r="L15" s="3" t="inlineStr">
        <is>
          <t>Feature image describing fabric layers, softness, breathability or care details.</t>
        </is>
      </c>
      <c r="M15" s="3" t="inlineStr">
        <is>
          <t>Christian Bedding Set – Inspirational Bible Verse Comforter – Religious Bedding for Women, Faith Gift for Mom, Daughter, Sister, Birthday &amp; Religious Gifts (God Says I am #3)</t>
        </is>
      </c>
      <c r="N15" s="3" t="inlineStr">
        <is>
          <t>SET</t>
        </is>
      </c>
      <c r="O15" s="3" t="inlineStr">
        <is>
          <t>Fabric feature graphic for Personalized Christian Bible Verse Comforter Set</t>
        </is>
      </c>
      <c r="P15" s="3" t="inlineStr">
        <is>
          <t>FULL</t>
        </is>
      </c>
      <c r="Q15" s="3" t="inlineStr">
        <is>
          <t>PARTIAL</t>
        </is>
      </c>
      <c r="R15" s="3" t="inlineStr">
        <is>
          <t>FAIL</t>
        </is>
      </c>
      <c r="S15" s="3" t="inlineStr">
        <is>
          <t>FULL</t>
        </is>
      </c>
      <c r="T15" s="7">
        <f>IF(P15="FULL",40,IF(P15="PARTIAL",40/2,0))+IF(Q15="FULL",30,IF(Q15="PARTIAL",30/2,0))+IF(R15="FULL",20,IF(R15="PARTIAL",20/2,0))+IF(S15="FULL",10,IF(S15="PARTIAL",10/2,0))</f>
        <v/>
      </c>
      <c r="U15" s="7">
        <f>IF(P15="NOT_CHECKED",0,40)+IF(Q15="NOT_CHECKED",0,30)+IF(R15="NOT_CHECKED",0,20)+IF(S15="NOT_CHECKED",0,10)</f>
        <v/>
      </c>
      <c r="V15" s="7">
        <f>IF(U15=100,T15,"")</f>
        <v/>
      </c>
      <c r="W15" s="7">
        <f>T15</f>
        <v/>
      </c>
      <c r="X15" s="7">
        <f>T15+(100-U15)</f>
        <v/>
      </c>
      <c r="Y15" s="3" t="inlineStr">
        <is>
          <t>["ISS-012-IMG-06"]</t>
        </is>
      </c>
      <c r="Z15" s="3" t="inlineStr">
        <is>
          <t>["seo_runs\\jeminise.com\\20260906_234129\\evidence\\images\\12_christian-bedding-set-inspirational-bible-verse-comforte-design-03\\image_06_47933847208135.jpg; seo_runs\\jeminise.com\\20260906_234129\\evidence\\contact_sheets\\12_christian-bedding-set-inspirational-bible-verse-comforte-design-03.jpg", "https://jeminise.com/products/christian-bedding-set-inspirational-bible-verse-comforte-design-03", "https://cdn.shopify.com/s/files/1/0792/5098/1063/files/0e22a9fec09643a714af054217066178d4f7bc4d6266b6d2ff5c33c09cc10e88_aa1ee109-258c-49b7-8e15-9f96d009b1e0.jpg?v=1787237775"]</t>
        </is>
      </c>
    </row>
    <row r="16" ht="66" customHeight="1">
      <c r="A16" s="2" t="inlineStr">
        <is>
          <t>jeminise.com+christian-bedding-set-inspirational-bible-verse-comforte-design-03</t>
        </is>
      </c>
      <c r="B16" s="2" t="inlineStr">
        <is>
          <t>qaimg_7f1dc53c39364d86</t>
        </is>
      </c>
      <c r="C16" s="4" t="inlineStr">
        <is>
          <t>https://cdn.shopify.com/s/files/1/0792/5098/1063/files/d6b8438a259ef28ba839a68ba108f40464bc9629b0bc2168779fc7776c9cbffa_6f72bb77-1b12-4ea3-9e0c-1b5e684c5f9f.jpg?v=1787237775</t>
        </is>
      </c>
      <c r="D16" s="4" t="inlineStr">
        <is>
          <t>https://cdn.shopify.com/s/files/1/0792/5098/1063/files/d6b8438a259ef28ba839a68ba108f40464bc9629b0bc2168779fc7776c9cbffa_6f72bb77-1b12-4ea3-9e0c-1b5e684c5f9f.jpg?v=1787237775</t>
        </is>
      </c>
      <c r="E16" s="2" t="inlineStr">
        <is>
          <t>38895084732615</t>
        </is>
      </c>
      <c r="F16" s="2" t="inlineStr">
        <is>
          <t>47933847240903</t>
        </is>
      </c>
      <c r="G16" s="2" t="inlineStr"/>
      <c r="H16" s="2" t="inlineStr">
        <is>
          <t>GALLERY</t>
        </is>
      </c>
      <c r="I16" s="2" t="inlineStr">
        <is>
          <t>DIRECT_ORIGINAL_IMAGE</t>
        </is>
      </c>
      <c r="J16" s="2" t="inlineStr">
        <is>
          <t>2026-09-07T09:36:10.742993+07:00</t>
        </is>
      </c>
      <c r="K16" s="2" t="inlineStr">
        <is>
          <t>Twin, Full, Queen and King dimension chart; heading reads SIZE DIMENTION.</t>
        </is>
      </c>
      <c r="L16" s="2" t="inlineStr">
        <is>
          <t>Additional bedroom mockup showing the white personalized Christian affirmation design with the name Evelyn and Bible verse words design on a bed.</t>
        </is>
      </c>
      <c r="M16" s="2" t="inlineStr">
        <is>
          <t>Christian Bedding Set – Inspirational Bible Verse Comforter – Religious Bedding for Women, Faith Gift for Mom, Daughter, Sister, Birthday &amp; Religious Gifts (God Says I am #3)</t>
        </is>
      </c>
      <c r="N16" s="2" t="inlineStr">
        <is>
          <t>SET</t>
        </is>
      </c>
      <c r="O16" s="2" t="inlineStr">
        <is>
          <t>Bedroom mockup of Personalized Christian Bible Verse Comforter Set</t>
        </is>
      </c>
      <c r="P16" s="2" t="inlineStr">
        <is>
          <t>FULL</t>
        </is>
      </c>
      <c r="Q16" s="2" t="inlineStr">
        <is>
          <t>FAIL</t>
        </is>
      </c>
      <c r="R16" s="2" t="inlineStr">
        <is>
          <t>FAIL</t>
        </is>
      </c>
      <c r="S16" s="2" t="inlineStr">
        <is>
          <t>FULL</t>
        </is>
      </c>
      <c r="T16" s="5">
        <f>IF(P16="FULL",40,IF(P16="PARTIAL",40/2,0))+IF(Q16="FULL",30,IF(Q16="PARTIAL",30/2,0))+IF(R16="FULL",20,IF(R16="PARTIAL",20/2,0))+IF(S16="FULL",10,IF(S16="PARTIAL",10/2,0))</f>
        <v/>
      </c>
      <c r="U16" s="5">
        <f>IF(P16="NOT_CHECKED",0,40)+IF(Q16="NOT_CHECKED",0,30)+IF(R16="NOT_CHECKED",0,20)+IF(S16="NOT_CHECKED",0,10)</f>
        <v/>
      </c>
      <c r="V16" s="5">
        <f>IF(U16=100,T16,"")</f>
        <v/>
      </c>
      <c r="W16" s="5">
        <f>T16</f>
        <v/>
      </c>
      <c r="X16" s="5">
        <f>T16+(100-U16)</f>
        <v/>
      </c>
      <c r="Y16" s="2" t="inlineStr">
        <is>
          <t>["ISS-012-IMG-07"]</t>
        </is>
      </c>
      <c r="Z16" s="2" t="inlineStr">
        <is>
          <t>["seo_runs\\jeminise.com\\20260906_234129\\evidence\\images\\12_christian-bedding-set-inspirational-bible-verse-comforte-design-03\\image_07_47933847240903.jpg; seo_runs\\jeminise.com\\20260906_234129\\evidence\\contact_sheets\\12_christian-bedding-set-inspirational-bible-verse-comforte-design-03.jpg", "https://jeminise.com/products/christian-bedding-set-inspirational-bible-verse-comforte-design-03", "https://cdn.shopify.com/s/files/1/0792/5098/1063/files/d6b8438a259ef28ba839a68ba108f40464bc9629b0bc2168779fc7776c9cbffa_6f72bb77-1b12-4ea3-9e0c-1b5e684c5f9f.jpg?v=1787237775"]</t>
        </is>
      </c>
    </row>
    <row r="17" ht="66" customHeight="1">
      <c r="A17" s="3" t="inlineStr">
        <is>
          <t>jeminise.com+christian-bedding-set-inspirational-bible-verse-comforte-design-04</t>
        </is>
      </c>
      <c r="B17" s="3" t="inlineStr">
        <is>
          <t>qaimg_2fa49ce4990a1a02</t>
        </is>
      </c>
      <c r="C17" s="4" t="inlineStr">
        <is>
          <t>https://cdn.shopify.com/s/files/1/0792/5098/1063/files/14ca1683130f1520ade50aa0650701fd1150fe4d09f367ab221b63a53783709e.jpg?v=1787237794</t>
        </is>
      </c>
      <c r="D17" s="4" t="inlineStr">
        <is>
          <t>https://cdn.shopify.com/s/files/1/0792/5098/1063/files/14ca1683130f1520ade50aa0650701fd1150fe4d09f367ab221b63a53783709e.jpg?v=1787237794</t>
        </is>
      </c>
      <c r="E17" s="3" t="inlineStr">
        <is>
          <t>38895087321287</t>
        </is>
      </c>
      <c r="F17" s="3" t="inlineStr">
        <is>
          <t>47933849829575</t>
        </is>
      </c>
      <c r="G17" s="3" t="inlineStr"/>
      <c r="H17" s="3" t="inlineStr">
        <is>
          <t>GALLERY</t>
        </is>
      </c>
      <c r="I17" s="3" t="inlineStr">
        <is>
          <t>DIRECT_ORIGINAL_IMAGE</t>
        </is>
      </c>
      <c r="J17" s="3" t="inlineStr">
        <is>
          <t>2026-09-07T09:36:10.742993+07:00</t>
        </is>
      </c>
      <c r="K17" s="3" t="inlineStr">
        <is>
          <t>Main bed mockup with black-and-gold Olivia design, woman silhouette, butterflies, flowers and God Is Within Her text.</t>
        </is>
      </c>
      <c r="L17" s="3" t="inlineStr">
        <is>
          <t>Main bed mockup showing black and gold Christian design with the name Olivia, butterflies and God is within her text.</t>
        </is>
      </c>
      <c r="M17" s="3" t="inlineStr">
        <is>
          <t>Christian Bedding Set – Inspirational Bible Verse Comforter – Religious Bedding for Women, Faith Gift for Mom, Daughter, Sister, Birthday &amp; Religious Gifts (Christian Girl)</t>
        </is>
      </c>
      <c r="N17" s="3" t="inlineStr">
        <is>
          <t>SET</t>
        </is>
      </c>
      <c r="O17" s="3" t="inlineStr">
        <is>
          <t>Personalized God Is Within Her Christian Comforter displayed on a bed</t>
        </is>
      </c>
      <c r="P17" s="3" t="inlineStr">
        <is>
          <t>FULL</t>
        </is>
      </c>
      <c r="Q17" s="3" t="inlineStr">
        <is>
          <t>FULL</t>
        </is>
      </c>
      <c r="R17" s="3" t="inlineStr">
        <is>
          <t>FULL</t>
        </is>
      </c>
      <c r="S17" s="3" t="inlineStr">
        <is>
          <t>FULL</t>
        </is>
      </c>
      <c r="T17" s="7">
        <f>IF(P17="FULL",40,IF(P17="PARTIAL",40/2,0))+IF(Q17="FULL",30,IF(Q17="PARTIAL",30/2,0))+IF(R17="FULL",20,IF(R17="PARTIAL",20/2,0))+IF(S17="FULL",10,IF(S17="PARTIAL",10/2,0))</f>
        <v/>
      </c>
      <c r="U17" s="7">
        <f>IF(P17="NOT_CHECKED",0,40)+IF(Q17="NOT_CHECKED",0,30)+IF(R17="NOT_CHECKED",0,20)+IF(S17="NOT_CHECKED",0,10)</f>
        <v/>
      </c>
      <c r="V17" s="7">
        <f>IF(U17=100,T17,"")</f>
        <v/>
      </c>
      <c r="W17" s="7">
        <f>T17</f>
        <v/>
      </c>
      <c r="X17" s="7">
        <f>T17+(100-U17)</f>
        <v/>
      </c>
      <c r="Y17" s="3" t="inlineStr">
        <is>
          <t>[]</t>
        </is>
      </c>
      <c r="Z17" s="3" t="inlineStr">
        <is>
          <t>["seo_runs\\jeminise.com\\20260906_234129\\evidence\\images\\13_christian-bedding-set-inspirational-bible-verse-comforte-design-04\\image_01_47933849829575.jpg; seo_runs\\jeminise.com\\20260906_234129\\evidence\\contact_sheets\\13_christian-bedding-set-inspirational-bible-verse-comforte-design-04.jpg", "https://jeminise.com/products/christian-bedding-set-inspirational-bible-verse-comforte-design-04", "https://cdn.shopify.com/s/files/1/0792/5098/1063/files/14ca1683130f1520ade50aa0650701fd1150fe4d09f367ab221b63a53783709e.jpg?v=1787237794"]</t>
        </is>
      </c>
    </row>
    <row r="18" ht="66" customHeight="1">
      <c r="A18" s="2" t="inlineStr">
        <is>
          <t>jeminise.com+christian-bedding-set-inspirational-bible-verse-comforte-design-04</t>
        </is>
      </c>
      <c r="B18" s="2" t="inlineStr">
        <is>
          <t>qaimg_968dec4fd615f426</t>
        </is>
      </c>
      <c r="C18" s="4" t="inlineStr">
        <is>
          <t>https://cdn.shopify.com/s/files/1/0792/5098/1063/files/1892152d87d62b43a0e3a2b26a3397d09584e40f761ce2e9fd4940acfae699dc.jpg?v=1787237794</t>
        </is>
      </c>
      <c r="D18" s="4" t="inlineStr">
        <is>
          <t>https://cdn.shopify.com/s/files/1/0792/5098/1063/files/1892152d87d62b43a0e3a2b26a3397d09584e40f761ce2e9fd4940acfae699dc.jpg?v=1787237794</t>
        </is>
      </c>
      <c r="E18" s="2" t="inlineStr">
        <is>
          <t>38895087354055</t>
        </is>
      </c>
      <c r="F18" s="2" t="inlineStr">
        <is>
          <t>47933849862343</t>
        </is>
      </c>
      <c r="G18" s="2" t="inlineStr"/>
      <c r="H18" s="2" t="inlineStr">
        <is>
          <t>GALLERY</t>
        </is>
      </c>
      <c r="I18" s="2" t="inlineStr">
        <is>
          <t>DIRECT_ORIGINAL_IMAGE</t>
        </is>
      </c>
      <c r="J18" s="2" t="inlineStr">
        <is>
          <t>2026-09-07T09:36:10.742993+07:00</t>
        </is>
      </c>
      <c r="K18" s="2" t="inlineStr">
        <is>
          <t>Alternate bedroom mockup of the same Olivia Christian bedding.</t>
        </is>
      </c>
      <c r="L18" s="2" t="inlineStr">
        <is>
          <t>Secondary detail or room mockup showing black and gold Christian design with the name Olivia, butterflies and God is within her text and visible quilted/printed texture.</t>
        </is>
      </c>
      <c r="M18" s="2" t="inlineStr">
        <is>
          <t>Christian Bedding Set – Inspirational Bible Verse Comforter – Religious Bedding for Women, Faith Gift for Mom, Daughter, Sister, Birthday &amp; Religious Gifts (Christian Girl)</t>
        </is>
      </c>
      <c r="N18" s="2" t="inlineStr">
        <is>
          <t>SET</t>
        </is>
      </c>
      <c r="O18" s="2" t="inlineStr">
        <is>
          <t>Close view of black and gold Christian design with the name Olivia, butterflies and God is within her text on the comforter s</t>
        </is>
      </c>
      <c r="P18" s="2" t="inlineStr">
        <is>
          <t>FULL</t>
        </is>
      </c>
      <c r="Q18" s="2" t="inlineStr">
        <is>
          <t>PARTIAL</t>
        </is>
      </c>
      <c r="R18" s="2" t="inlineStr">
        <is>
          <t>PARTIAL</t>
        </is>
      </c>
      <c r="S18" s="2" t="inlineStr">
        <is>
          <t>FULL</t>
        </is>
      </c>
      <c r="T18" s="5">
        <f>IF(P18="FULL",40,IF(P18="PARTIAL",40/2,0))+IF(Q18="FULL",30,IF(Q18="PARTIAL",30/2,0))+IF(R18="FULL",20,IF(R18="PARTIAL",20/2,0))+IF(S18="FULL",10,IF(S18="PARTIAL",10/2,0))</f>
        <v/>
      </c>
      <c r="U18" s="5">
        <f>IF(P18="NOT_CHECKED",0,40)+IF(Q18="NOT_CHECKED",0,30)+IF(R18="NOT_CHECKED",0,20)+IF(S18="NOT_CHECKED",0,10)</f>
        <v/>
      </c>
      <c r="V18" s="5">
        <f>IF(U18=100,T18,"")</f>
        <v/>
      </c>
      <c r="W18" s="5">
        <f>T18</f>
        <v/>
      </c>
      <c r="X18" s="5">
        <f>T18+(100-U18)</f>
        <v/>
      </c>
      <c r="Y18" s="2" t="inlineStr">
        <is>
          <t>["ISS-013-IMG-02"]</t>
        </is>
      </c>
      <c r="Z18" s="2" t="inlineStr">
        <is>
          <t>["seo_runs\\jeminise.com\\20260906_234129\\evidence\\images\\13_christian-bedding-set-inspirational-bible-verse-comforte-design-04\\image_02_47933849862343.jpg; seo_runs\\jeminise.com\\20260906_234129\\evidence\\contact_sheets\\13_christian-bedding-set-inspirational-bible-verse-comforte-design-04.jpg", "https://jeminise.com/products/christian-bedding-set-inspirational-bible-verse-comforte-design-04", "https://cdn.shopify.com/s/files/1/0792/5098/1063/files/1892152d87d62b43a0e3a2b26a3397d09584e40f761ce2e9fd4940acfae699dc.jpg?v=1787237794"]</t>
        </is>
      </c>
    </row>
    <row r="19" ht="66" customHeight="1">
      <c r="A19" s="3" t="inlineStr">
        <is>
          <t>jeminise.com+christian-bedding-set-inspirational-bible-verse-comforte-design-04</t>
        </is>
      </c>
      <c r="B19" s="3" t="inlineStr">
        <is>
          <t>qaimg_a6d3df0e47c5b795</t>
        </is>
      </c>
      <c r="C19" s="4" t="inlineStr">
        <is>
          <t>https://cdn.shopify.com/s/files/1/0792/5098/1063/files/50f96559dd878ae5bbee14ba7a34337ccd740d21a8ffe86a8a1be819656d26c0_06b27f7a-14c6-4267-b5df-12ac25afd52c.jpg?v=1787237794</t>
        </is>
      </c>
      <c r="D19" s="4" t="inlineStr">
        <is>
          <t>https://cdn.shopify.com/s/files/1/0792/5098/1063/files/50f96559dd878ae5bbee14ba7a34337ccd740d21a8ffe86a8a1be819656d26c0_06b27f7a-14c6-4267-b5df-12ac25afd52c.jpg?v=1787237794</t>
        </is>
      </c>
      <c r="E19" s="3" t="inlineStr">
        <is>
          <t>38895087386823</t>
        </is>
      </c>
      <c r="F19" s="3" t="inlineStr">
        <is>
          <t>47933849895111</t>
        </is>
      </c>
      <c r="G19" s="3" t="inlineStr"/>
      <c r="H19" s="3" t="inlineStr">
        <is>
          <t>GALLERY</t>
        </is>
      </c>
      <c r="I19" s="3" t="inlineStr">
        <is>
          <t>DIRECT_ORIGINAL_IMAGE</t>
        </is>
      </c>
      <c r="J19" s="3" t="inlineStr">
        <is>
          <t>2026-09-07T09:36:10.742993+07:00</t>
        </is>
      </c>
      <c r="K19" s="3" t="inlineStr">
        <is>
          <t>Comparison graphic explaining Duvet Cover Set versus Comforter Set.</t>
        </is>
      </c>
      <c r="L19" s="3" t="inlineStr">
        <is>
          <t>Matching pillow sham or bedding detail using the same black and gold Christian design with the name Olivia, butterflies and God is within her text artwork.</t>
        </is>
      </c>
      <c r="M19" s="3" t="inlineStr">
        <is>
          <t>Christian Bedding Set – Inspirational Bible Verse Comforter – Religious Bedding for Women, Faith Gift for Mom, Daughter, Sister, Birthday &amp; Religious Gifts (Christian Girl)</t>
        </is>
      </c>
      <c r="N19" s="3" t="inlineStr">
        <is>
          <t>SET</t>
        </is>
      </c>
      <c r="O19" s="3" t="inlineStr">
        <is>
          <t>Matching pillow sham for Personalized God Is Within Her Christian Comforter</t>
        </is>
      </c>
      <c r="P19" s="3" t="inlineStr">
        <is>
          <t>FULL</t>
        </is>
      </c>
      <c r="Q19" s="3" t="inlineStr">
        <is>
          <t>FAIL</t>
        </is>
      </c>
      <c r="R19" s="3" t="inlineStr">
        <is>
          <t>FAIL</t>
        </is>
      </c>
      <c r="S19" s="3" t="inlineStr">
        <is>
          <t>FULL</t>
        </is>
      </c>
      <c r="T19" s="7">
        <f>IF(P19="FULL",40,IF(P19="PARTIAL",40/2,0))+IF(Q19="FULL",30,IF(Q19="PARTIAL",30/2,0))+IF(R19="FULL",20,IF(R19="PARTIAL",20/2,0))+IF(S19="FULL",10,IF(S19="PARTIAL",10/2,0))</f>
        <v/>
      </c>
      <c r="U19" s="7">
        <f>IF(P19="NOT_CHECKED",0,40)+IF(Q19="NOT_CHECKED",0,30)+IF(R19="NOT_CHECKED",0,20)+IF(S19="NOT_CHECKED",0,10)</f>
        <v/>
      </c>
      <c r="V19" s="7">
        <f>IF(U19=100,T19,"")</f>
        <v/>
      </c>
      <c r="W19" s="7">
        <f>T19</f>
        <v/>
      </c>
      <c r="X19" s="7">
        <f>T19+(100-U19)</f>
        <v/>
      </c>
      <c r="Y19" s="3" t="inlineStr">
        <is>
          <t>["ISS-013-IMG-03"]</t>
        </is>
      </c>
      <c r="Z19" s="3" t="inlineStr">
        <is>
          <t>["seo_runs\\jeminise.com\\20260906_234129\\evidence\\images\\13_christian-bedding-set-inspirational-bible-verse-comforte-design-04\\image_03_47933849895111.jpg; seo_runs\\jeminise.com\\20260906_234129\\evidence\\contact_sheets\\13_christian-bedding-set-inspirational-bible-verse-comforte-design-04.jpg", "https://jeminise.com/products/christian-bedding-set-inspirational-bible-verse-comforte-design-04", "https://cdn.shopify.com/s/files/1/0792/5098/1063/files/50f96559dd878ae5bbee14ba7a34337ccd740d21a8ffe86a8a1be819656d26c0_06b27f7a-14c6-4267-b5df-12ac25afd52c.jpg?v=1787237794"]</t>
        </is>
      </c>
    </row>
    <row r="20" ht="66" customHeight="1">
      <c r="A20" s="2" t="inlineStr">
        <is>
          <t>jeminise.com+christian-bedding-set-inspirational-bible-verse-comforte-design-04</t>
        </is>
      </c>
      <c r="B20" s="2" t="inlineStr">
        <is>
          <t>qaimg_ab2bce2736a3e8e1</t>
        </is>
      </c>
      <c r="C20" s="4" t="inlineStr">
        <is>
          <t>https://cdn.shopify.com/s/files/1/0792/5098/1063/files/7da6a24b7604ad0ef3673f41696bea7a0fccfe1eb412a1cda572ca856ef48593.jpg?v=1787237794</t>
        </is>
      </c>
      <c r="D20" s="4" t="inlineStr">
        <is>
          <t>https://cdn.shopify.com/s/files/1/0792/5098/1063/files/7da6a24b7604ad0ef3673f41696bea7a0fccfe1eb412a1cda572ca856ef48593.jpg?v=1787237794</t>
        </is>
      </c>
      <c r="E20" s="2" t="inlineStr">
        <is>
          <t>38895087419591</t>
        </is>
      </c>
      <c r="F20" s="2" t="inlineStr">
        <is>
          <t>47933849927879</t>
        </is>
      </c>
      <c r="G20" s="2" t="inlineStr"/>
      <c r="H20" s="2" t="inlineStr">
        <is>
          <t>GALLERY</t>
        </is>
      </c>
      <c r="I20" s="2" t="inlineStr">
        <is>
          <t>DIRECT_ORIGINAL_IMAGE</t>
        </is>
      </c>
      <c r="J20" s="2" t="inlineStr">
        <is>
          <t>2026-09-07T09:36:10.742993+07:00</t>
        </is>
      </c>
      <c r="K20" s="2" t="inlineStr">
        <is>
          <t>Feature graphic stating 100% microfiber, 3D printed pattern, soft touch, lightweight and breathable.</t>
        </is>
      </c>
      <c r="L20" s="2" t="inlineStr">
        <is>
          <t>Room/folded product or fabric information image tied to the black and gold Christian design with the name Olivia, butterflies and God is within her text design.</t>
        </is>
      </c>
      <c r="M20" s="2" t="inlineStr">
        <is>
          <t>Christian Bedding Set – Inspirational Bible Verse Comforter – Religious Bedding for Women, Faith Gift for Mom, Daughter, Sister, Birthday &amp; Religious Gifts (Christian Girl)</t>
        </is>
      </c>
      <c r="N20" s="2" t="inlineStr">
        <is>
          <t>SET</t>
        </is>
      </c>
      <c r="O20" s="2" t="inlineStr">
        <is>
          <t>Personalized God Is Within Her Christian Comforter shown in a bedroom setting</t>
        </is>
      </c>
      <c r="P20" s="2" t="inlineStr">
        <is>
          <t>FULL</t>
        </is>
      </c>
      <c r="Q20" s="2" t="inlineStr">
        <is>
          <t>FAIL</t>
        </is>
      </c>
      <c r="R20" s="2" t="inlineStr">
        <is>
          <t>FAIL</t>
        </is>
      </c>
      <c r="S20" s="2" t="inlineStr">
        <is>
          <t>FULL</t>
        </is>
      </c>
      <c r="T20" s="5">
        <f>IF(P20="FULL",40,IF(P20="PARTIAL",40/2,0))+IF(Q20="FULL",30,IF(Q20="PARTIAL",30/2,0))+IF(R20="FULL",20,IF(R20="PARTIAL",20/2,0))+IF(S20="FULL",10,IF(S20="PARTIAL",10/2,0))</f>
        <v/>
      </c>
      <c r="U20" s="5">
        <f>IF(P20="NOT_CHECKED",0,40)+IF(Q20="NOT_CHECKED",0,30)+IF(R20="NOT_CHECKED",0,20)+IF(S20="NOT_CHECKED",0,10)</f>
        <v/>
      </c>
      <c r="V20" s="5">
        <f>IF(U20=100,T20,"")</f>
        <v/>
      </c>
      <c r="W20" s="5">
        <f>T20</f>
        <v/>
      </c>
      <c r="X20" s="5">
        <f>T20+(100-U20)</f>
        <v/>
      </c>
      <c r="Y20" s="2" t="inlineStr">
        <is>
          <t>["ISS-013-IMG-04"]</t>
        </is>
      </c>
      <c r="Z20" s="2" t="inlineStr">
        <is>
          <t>["seo_runs\\jeminise.com\\20260906_234129\\evidence\\images\\13_christian-bedding-set-inspirational-bible-verse-comforte-design-04\\image_04_47933849927879.jpg; seo_runs\\jeminise.com\\20260906_234129\\evidence\\contact_sheets\\13_christian-bedding-set-inspirational-bible-verse-comforte-design-04.jpg", "https://jeminise.com/products/christian-bedding-set-inspirational-bible-verse-comforte-design-04", "https://cdn.shopify.com/s/files/1/0792/5098/1063/files/7da6a24b7604ad0ef3673f41696bea7a0fccfe1eb412a1cda572ca856ef48593.jpg?v=1787237794"]</t>
        </is>
      </c>
    </row>
    <row r="21" ht="66" customHeight="1">
      <c r="A21" s="3" t="inlineStr">
        <is>
          <t>jeminise.com+christian-bedding-set-inspirational-bible-verse-comforte-design-04</t>
        </is>
      </c>
      <c r="B21" s="3" t="inlineStr">
        <is>
          <t>qaimg_07f7dd0a59d6a67e</t>
        </is>
      </c>
      <c r="C21" s="4" t="inlineStr">
        <is>
          <t>https://cdn.shopify.com/s/files/1/0792/5098/1063/files/226b0655da5d59ac974c47bf8332fcc934206146b46faa31fb8bab794613c1f0.jpg?v=1787237794</t>
        </is>
      </c>
      <c r="D21" s="4" t="inlineStr">
        <is>
          <t>https://cdn.shopify.com/s/files/1/0792/5098/1063/files/226b0655da5d59ac974c47bf8332fcc934206146b46faa31fb8bab794613c1f0.jpg?v=1787237794</t>
        </is>
      </c>
      <c r="E21" s="3" t="inlineStr">
        <is>
          <t>38895087452359</t>
        </is>
      </c>
      <c r="F21" s="3" t="inlineStr">
        <is>
          <t>47933849960647</t>
        </is>
      </c>
      <c r="G21" s="3" t="inlineStr"/>
      <c r="H21" s="3" t="inlineStr">
        <is>
          <t>GALLERY</t>
        </is>
      </c>
      <c r="I21" s="3" t="inlineStr">
        <is>
          <t>DIRECT_ORIGINAL_IMAGE</t>
        </is>
      </c>
      <c r="J21" s="3" t="inlineStr">
        <is>
          <t>2026-09-07T09:36:10.742993+07:00</t>
        </is>
      </c>
      <c r="K21" s="3" t="inlineStr">
        <is>
          <t>Bedroom close-up with soft, lightweight, durable and breathable feature icons.</t>
        </is>
      </c>
      <c r="L21" s="3" t="inlineStr">
        <is>
          <t>Sizing or included-components information image for the bedding set.</t>
        </is>
      </c>
      <c r="M21" s="3" t="inlineStr">
        <is>
          <t>Christian Bedding Set – Inspirational Bible Verse Comforter – Religious Bedding for Women, Faith Gift for Mom, Daughter, Sister, Birthday &amp; Religious Gifts (Christian Girl)</t>
        </is>
      </c>
      <c r="N21" s="3" t="inlineStr">
        <is>
          <t>SET</t>
        </is>
      </c>
      <c r="O21" s="3" t="inlineStr">
        <is>
          <t>Size guide for Personalized God Is Within Her Christian Comforter</t>
        </is>
      </c>
      <c r="P21" s="3" t="inlineStr">
        <is>
          <t>FULL</t>
        </is>
      </c>
      <c r="Q21" s="3" t="inlineStr">
        <is>
          <t>FAIL</t>
        </is>
      </c>
      <c r="R21" s="3" t="inlineStr">
        <is>
          <t>FAIL</t>
        </is>
      </c>
      <c r="S21" s="3" t="inlineStr">
        <is>
          <t>FULL</t>
        </is>
      </c>
      <c r="T21" s="7">
        <f>IF(P21="FULL",40,IF(P21="PARTIAL",40/2,0))+IF(Q21="FULL",30,IF(Q21="PARTIAL",30/2,0))+IF(R21="FULL",20,IF(R21="PARTIAL",20/2,0))+IF(S21="FULL",10,IF(S21="PARTIAL",10/2,0))</f>
        <v/>
      </c>
      <c r="U21" s="7">
        <f>IF(P21="NOT_CHECKED",0,40)+IF(Q21="NOT_CHECKED",0,30)+IF(R21="NOT_CHECKED",0,20)+IF(S21="NOT_CHECKED",0,10)</f>
        <v/>
      </c>
      <c r="V21" s="7">
        <f>IF(U21=100,T21,"")</f>
        <v/>
      </c>
      <c r="W21" s="7">
        <f>T21</f>
        <v/>
      </c>
      <c r="X21" s="7">
        <f>T21+(100-U21)</f>
        <v/>
      </c>
      <c r="Y21" s="3" t="inlineStr">
        <is>
          <t>["ISS-013-IMG-05"]</t>
        </is>
      </c>
      <c r="Z21" s="3" t="inlineStr">
        <is>
          <t>["seo_runs\\jeminise.com\\20260906_234129\\evidence\\images\\13_christian-bedding-set-inspirational-bible-verse-comforte-design-04\\image_05_47933849960647.jpg; seo_runs\\jeminise.com\\20260906_234129\\evidence\\contact_sheets\\13_christian-bedding-set-inspirational-bible-verse-comforte-design-04.jpg", "https://jeminise.com/products/christian-bedding-set-inspirational-bible-verse-comforte-design-04", "https://cdn.shopify.com/s/files/1/0792/5098/1063/files/226b0655da5d59ac974c47bf8332fcc934206146b46faa31fb8bab794613c1f0.jpg?v=1787237794"]</t>
        </is>
      </c>
    </row>
    <row r="22" ht="66" customHeight="1">
      <c r="A22" s="2" t="inlineStr">
        <is>
          <t>jeminise.com+christian-bedding-set-inspirational-bible-verse-comforte-design-04</t>
        </is>
      </c>
      <c r="B22" s="2" t="inlineStr">
        <is>
          <t>qaimg_c95689a978dc7eb5</t>
        </is>
      </c>
      <c r="C22" s="4" t="inlineStr">
        <is>
          <t>https://cdn.shopify.com/s/files/1/0792/5098/1063/files/0e22a9fec09643a714af054217066178d4f7bc4d6266b6d2ff5c33c09cc10e88_2cef02df-e481-4c1b-91ca-baace2312c0a.jpg?v=1787237794</t>
        </is>
      </c>
      <c r="D22" s="4" t="inlineStr">
        <is>
          <t>https://cdn.shopify.com/s/files/1/0792/5098/1063/files/0e22a9fec09643a714af054217066178d4f7bc4d6266b6d2ff5c33c09cc10e88_2cef02df-e481-4c1b-91ca-baace2312c0a.jpg?v=1787237794</t>
        </is>
      </c>
      <c r="E22" s="2" t="inlineStr">
        <is>
          <t>38895087485127</t>
        </is>
      </c>
      <c r="F22" s="2" t="inlineStr">
        <is>
          <t>47933849993415</t>
        </is>
      </c>
      <c r="G22" s="2" t="inlineStr"/>
      <c r="H22" s="2" t="inlineStr">
        <is>
          <t>GALLERY</t>
        </is>
      </c>
      <c r="I22" s="2" t="inlineStr">
        <is>
          <t>DIRECT_ORIGINAL_IMAGE</t>
        </is>
      </c>
      <c r="J22" s="2" t="inlineStr">
        <is>
          <t>2026-09-07T09:36:10.742993+07:00</t>
        </is>
      </c>
      <c r="K22" s="2" t="inlineStr">
        <is>
          <t>Easy-care graphic stating wrinkle-free, stain-proof, anti-pilling and won't fade in the wash.</t>
        </is>
      </c>
      <c r="L22" s="2" t="inlineStr">
        <is>
          <t>Feature image describing fabric layers, softness, breathability or care details.</t>
        </is>
      </c>
      <c r="M22" s="2" t="inlineStr">
        <is>
          <t>Christian Bedding Set – Inspirational Bible Verse Comforter – Religious Bedding for Women, Faith Gift for Mom, Daughter, Sister, Birthday &amp; Religious Gifts (Christian Girl)</t>
        </is>
      </c>
      <c r="N22" s="2" t="inlineStr">
        <is>
          <t>SET</t>
        </is>
      </c>
      <c r="O22" s="2" t="inlineStr">
        <is>
          <t>Fabric feature graphic for Personalized God Is Within Her Christian Comforter</t>
        </is>
      </c>
      <c r="P22" s="2" t="inlineStr">
        <is>
          <t>FULL</t>
        </is>
      </c>
      <c r="Q22" s="2" t="inlineStr">
        <is>
          <t>PARTIAL</t>
        </is>
      </c>
      <c r="R22" s="2" t="inlineStr">
        <is>
          <t>FAIL</t>
        </is>
      </c>
      <c r="S22" s="2" t="inlineStr">
        <is>
          <t>FULL</t>
        </is>
      </c>
      <c r="T22" s="5">
        <f>IF(P22="FULL",40,IF(P22="PARTIAL",40/2,0))+IF(Q22="FULL",30,IF(Q22="PARTIAL",30/2,0))+IF(R22="FULL",20,IF(R22="PARTIAL",20/2,0))+IF(S22="FULL",10,IF(S22="PARTIAL",10/2,0))</f>
        <v/>
      </c>
      <c r="U22" s="5">
        <f>IF(P22="NOT_CHECKED",0,40)+IF(Q22="NOT_CHECKED",0,30)+IF(R22="NOT_CHECKED",0,20)+IF(S22="NOT_CHECKED",0,10)</f>
        <v/>
      </c>
      <c r="V22" s="5">
        <f>IF(U22=100,T22,"")</f>
        <v/>
      </c>
      <c r="W22" s="5">
        <f>T22</f>
        <v/>
      </c>
      <c r="X22" s="5">
        <f>T22+(100-U22)</f>
        <v/>
      </c>
      <c r="Y22" s="2" t="inlineStr">
        <is>
          <t>["ISS-013-IMG-06"]</t>
        </is>
      </c>
      <c r="Z22" s="2" t="inlineStr">
        <is>
          <t>["seo_runs\\jeminise.com\\20260906_234129\\evidence\\images\\13_christian-bedding-set-inspirational-bible-verse-comforte-design-04\\image_06_47933849993415.jpg; seo_runs\\jeminise.com\\20260906_234129\\evidence\\contact_sheets\\13_christian-bedding-set-inspirational-bible-verse-comforte-design-04.jpg", "https://jeminise.com/products/christian-bedding-set-inspirational-bible-verse-comforte-design-04", "https://cdn.shopify.com/s/files/1/0792/5098/1063/files/0e22a9fec09643a714af054217066178d4f7bc4d6266b6d2ff5c33c09cc10e88_2cef02df-e481-4c1b-91ca-baace2312c0a.jpg?v=1787237794"]</t>
        </is>
      </c>
    </row>
    <row r="23" ht="66" customHeight="1">
      <c r="A23" s="3" t="inlineStr">
        <is>
          <t>jeminise.com+christian-bedding-set-inspirational-bible-verse-comforte-design-04</t>
        </is>
      </c>
      <c r="B23" s="3" t="inlineStr">
        <is>
          <t>qaimg_bf69849eda59ee13</t>
        </is>
      </c>
      <c r="C23" s="4" t="inlineStr">
        <is>
          <t>https://cdn.shopify.com/s/files/1/0792/5098/1063/files/d6b8438a259ef28ba839a68ba108f40464bc9629b0bc2168779fc7776c9cbffa_5b109a66-32e6-4a36-bd31-f408dd22e6aa.jpg?v=1787237794</t>
        </is>
      </c>
      <c r="D23" s="4" t="inlineStr">
        <is>
          <t>https://cdn.shopify.com/s/files/1/0792/5098/1063/files/d6b8438a259ef28ba839a68ba108f40464bc9629b0bc2168779fc7776c9cbffa_5b109a66-32e6-4a36-bd31-f408dd22e6aa.jpg?v=1787237794</t>
        </is>
      </c>
      <c r="E23" s="3" t="inlineStr">
        <is>
          <t>38895087517895</t>
        </is>
      </c>
      <c r="F23" s="3" t="inlineStr">
        <is>
          <t>47933850026183</t>
        </is>
      </c>
      <c r="G23" s="3" t="inlineStr"/>
      <c r="H23" s="3" t="inlineStr">
        <is>
          <t>GALLERY</t>
        </is>
      </c>
      <c r="I23" s="3" t="inlineStr">
        <is>
          <t>DIRECT_ORIGINAL_IMAGE</t>
        </is>
      </c>
      <c r="J23" s="3" t="inlineStr">
        <is>
          <t>2026-09-07T09:36:10.742993+07:00</t>
        </is>
      </c>
      <c r="K23" s="3" t="inlineStr">
        <is>
          <t>Twin, Full, Queen and King dimension chart; heading reads SIZE DIMENTION.</t>
        </is>
      </c>
      <c r="L23" s="3" t="inlineStr">
        <is>
          <t>Additional bedroom mockup showing the black and gold Christian design with the name Olivia, butterflies and God is within her text design on a bed.</t>
        </is>
      </c>
      <c r="M23" s="3" t="inlineStr">
        <is>
          <t>Christian Bedding Set – Inspirational Bible Verse Comforter – Religious Bedding for Women, Faith Gift for Mom, Daughter, Sister, Birthday &amp; Religious Gifts (Christian Girl)</t>
        </is>
      </c>
      <c r="N23" s="3" t="inlineStr">
        <is>
          <t>SET</t>
        </is>
      </c>
      <c r="O23" s="3" t="inlineStr">
        <is>
          <t>Bedroom mockup of Personalized God Is Within Her Christian Comforter</t>
        </is>
      </c>
      <c r="P23" s="3" t="inlineStr">
        <is>
          <t>FULL</t>
        </is>
      </c>
      <c r="Q23" s="3" t="inlineStr">
        <is>
          <t>FAIL</t>
        </is>
      </c>
      <c r="R23" s="3" t="inlineStr">
        <is>
          <t>FAIL</t>
        </is>
      </c>
      <c r="S23" s="3" t="inlineStr">
        <is>
          <t>FULL</t>
        </is>
      </c>
      <c r="T23" s="7">
        <f>IF(P23="FULL",40,IF(P23="PARTIAL",40/2,0))+IF(Q23="FULL",30,IF(Q23="PARTIAL",30/2,0))+IF(R23="FULL",20,IF(R23="PARTIAL",20/2,0))+IF(S23="FULL",10,IF(S23="PARTIAL",10/2,0))</f>
        <v/>
      </c>
      <c r="U23" s="7">
        <f>IF(P23="NOT_CHECKED",0,40)+IF(Q23="NOT_CHECKED",0,30)+IF(R23="NOT_CHECKED",0,20)+IF(S23="NOT_CHECKED",0,10)</f>
        <v/>
      </c>
      <c r="V23" s="7">
        <f>IF(U23=100,T23,"")</f>
        <v/>
      </c>
      <c r="W23" s="7">
        <f>T23</f>
        <v/>
      </c>
      <c r="X23" s="7">
        <f>T23+(100-U23)</f>
        <v/>
      </c>
      <c r="Y23" s="3" t="inlineStr">
        <is>
          <t>["ISS-013-IMG-07"]</t>
        </is>
      </c>
      <c r="Z23" s="3" t="inlineStr">
        <is>
          <t>["seo_runs\\jeminise.com\\20260906_234129\\evidence\\images\\13_christian-bedding-set-inspirational-bible-verse-comforte-design-04\\image_07_47933850026183.jpg; seo_runs\\jeminise.com\\20260906_234129\\evidence\\contact_sheets\\13_christian-bedding-set-inspirational-bible-verse-comforte-design-04.jpg", "https://jeminise.com/products/christian-bedding-set-inspirational-bible-verse-comforte-design-04", "https://cdn.shopify.com/s/files/1/0792/5098/1063/files/d6b8438a259ef28ba839a68ba108f40464bc9629b0bc2168779fc7776c9cbffa_5b109a66-32e6-4a36-bd31-f408dd22e6aa.jpg?v=1787237794"]</t>
        </is>
      </c>
    </row>
    <row r="24" ht="66" customHeight="1">
      <c r="A24" s="2" t="inlineStr">
        <is>
          <t>jeminise.com+christian-bedding-set-inspirational-bible-verse-comforte-design-05</t>
        </is>
      </c>
      <c r="B24" s="2" t="inlineStr">
        <is>
          <t>qaimg_aaf18f482cca5edf</t>
        </is>
      </c>
      <c r="C24" s="4" t="inlineStr">
        <is>
          <t>https://cdn.shopify.com/s/files/1/0792/5098/1063/files/8863051f9429c76751f57504cfec521d6b6841af138c38cf4dbf60905dcd8fd5.jpg?v=1787237801</t>
        </is>
      </c>
      <c r="D24" s="4" t="inlineStr">
        <is>
          <t>https://cdn.shopify.com/s/files/1/0792/5098/1063/files/8863051f9429c76751f57504cfec521d6b6841af138c38cf4dbf60905dcd8fd5.jpg?v=1787237801</t>
        </is>
      </c>
      <c r="E24" s="2" t="inlineStr">
        <is>
          <t>38895088271559</t>
        </is>
      </c>
      <c r="F24" s="2" t="inlineStr">
        <is>
          <t>47933850812615</t>
        </is>
      </c>
      <c r="G24" s="2" t="inlineStr"/>
      <c r="H24" s="2" t="inlineStr">
        <is>
          <t>GALLERY</t>
        </is>
      </c>
      <c r="I24" s="2" t="inlineStr">
        <is>
          <t>DIRECT_ORIGINAL_IMAGE</t>
        </is>
      </c>
      <c r="J24" s="2" t="inlineStr">
        <is>
          <t>2026-09-07T09:36:10.742993+07:00</t>
        </is>
      </c>
      <c r="K24" s="2" t="inlineStr">
        <is>
          <t>Main bed mockup with blue-and-white God Says I Am design, sample name Emily, floral border and Bible-reference acrostic.</t>
        </is>
      </c>
      <c r="L24" s="2" t="inlineStr">
        <is>
          <t>Main bed mockup showing blue God Says I Am Christian design with the name Emily and floral border.</t>
        </is>
      </c>
      <c r="M24" s="2" t="inlineStr">
        <is>
          <t>Christian Bedding Set – Inspirational Bible Verse Comforter – Religious Bedding for Women, Faith Gift for Mom, Daughter, Sister, Birthday &amp; Religious Gifts (Christian Art)</t>
        </is>
      </c>
      <c r="N24" s="2" t="inlineStr">
        <is>
          <t>SET</t>
        </is>
      </c>
      <c r="O24" s="2" t="inlineStr">
        <is>
          <t>Blue God Says I Am Christian Comforter Set displayed on a bed</t>
        </is>
      </c>
      <c r="P24" s="2" t="inlineStr">
        <is>
          <t>FULL</t>
        </is>
      </c>
      <c r="Q24" s="2" t="inlineStr">
        <is>
          <t>FULL</t>
        </is>
      </c>
      <c r="R24" s="2" t="inlineStr">
        <is>
          <t>FULL</t>
        </is>
      </c>
      <c r="S24" s="2" t="inlineStr">
        <is>
          <t>FULL</t>
        </is>
      </c>
      <c r="T24" s="5">
        <f>IF(P24="FULL",40,IF(P24="PARTIAL",40/2,0))+IF(Q24="FULL",30,IF(Q24="PARTIAL",30/2,0))+IF(R24="FULL",20,IF(R24="PARTIAL",20/2,0))+IF(S24="FULL",10,IF(S24="PARTIAL",10/2,0))</f>
        <v/>
      </c>
      <c r="U24" s="5">
        <f>IF(P24="NOT_CHECKED",0,40)+IF(Q24="NOT_CHECKED",0,30)+IF(R24="NOT_CHECKED",0,20)+IF(S24="NOT_CHECKED",0,10)</f>
        <v/>
      </c>
      <c r="V24" s="5">
        <f>IF(U24=100,T24,"")</f>
        <v/>
      </c>
      <c r="W24" s="5">
        <f>T24</f>
        <v/>
      </c>
      <c r="X24" s="5">
        <f>T24+(100-U24)</f>
        <v/>
      </c>
      <c r="Y24" s="2" t="inlineStr">
        <is>
          <t>[]</t>
        </is>
      </c>
      <c r="Z24" s="2" t="inlineStr">
        <is>
          <t>["seo_runs\\jeminise.com\\20260906_234129\\evidence\\images\\14_christian-bedding-set-inspirational-bible-verse-comforte-design-05\\image_01_47933850812615.jpg; seo_runs\\jeminise.com\\20260906_234129\\evidence\\contact_sheets\\14_christian-bedding-set-inspirational-bible-verse-comforte-design-05.jpg", "https://jeminise.com/products/christian-bedding-set-inspirational-bible-verse-comforte-design-05", "https://cdn.shopify.com/s/files/1/0792/5098/1063/files/8863051f9429c76751f57504cfec521d6b6841af138c38cf4dbf60905dcd8fd5.jpg?v=1787237801"]</t>
        </is>
      </c>
    </row>
    <row r="25" ht="66" customHeight="1">
      <c r="A25" s="3" t="inlineStr">
        <is>
          <t>jeminise.com+christian-bedding-set-inspirational-bible-verse-comforte-design-05</t>
        </is>
      </c>
      <c r="B25" s="3" t="inlineStr">
        <is>
          <t>qaimg_16dfc2606217829c</t>
        </is>
      </c>
      <c r="C25" s="4" t="inlineStr">
        <is>
          <t>https://cdn.shopify.com/s/files/1/0792/5098/1063/files/b5194765e0cae48306ed2e7b908325a37d813710ea8355976fd4bdad98268bcf.jpg?v=1787237801</t>
        </is>
      </c>
      <c r="D25" s="4" t="inlineStr">
        <is>
          <t>https://cdn.shopify.com/s/files/1/0792/5098/1063/files/b5194765e0cae48306ed2e7b908325a37d813710ea8355976fd4bdad98268bcf.jpg?v=1787237801</t>
        </is>
      </c>
      <c r="E25" s="3" t="inlineStr">
        <is>
          <t>38895088304327</t>
        </is>
      </c>
      <c r="F25" s="3" t="inlineStr">
        <is>
          <t>47933850845383</t>
        </is>
      </c>
      <c r="G25" s="3" t="inlineStr"/>
      <c r="H25" s="3" t="inlineStr">
        <is>
          <t>GALLERY</t>
        </is>
      </c>
      <c r="I25" s="3" t="inlineStr">
        <is>
          <t>DIRECT_ORIGINAL_IMAGE</t>
        </is>
      </c>
      <c r="J25" s="3" t="inlineStr">
        <is>
          <t>2026-09-07T09:36:10.742993+07:00</t>
        </is>
      </c>
      <c r="K25" s="3" t="inlineStr">
        <is>
          <t>Alternate bedroom mockup of the same Emily Christian bedding.</t>
        </is>
      </c>
      <c r="L25" s="3" t="inlineStr">
        <is>
          <t>Secondary detail or room mockup showing blue God Says I Am Christian design with the name Emily and floral border and visible quilted/printed texture.</t>
        </is>
      </c>
      <c r="M25" s="3" t="inlineStr">
        <is>
          <t>Christian Bedding Set – Inspirational Bible Verse Comforter – Religious Bedding for Women, Faith Gift for Mom, Daughter, Sister, Birthday &amp; Religious Gifts (Christian Art)</t>
        </is>
      </c>
      <c r="N25" s="3" t="inlineStr">
        <is>
          <t>SET</t>
        </is>
      </c>
      <c r="O25" s="3" t="inlineStr">
        <is>
          <t>Close view of blue God Says I Am Christian design with the name Emily and floral border on the comforter set</t>
        </is>
      </c>
      <c r="P25" s="3" t="inlineStr">
        <is>
          <t>FULL</t>
        </is>
      </c>
      <c r="Q25" s="3" t="inlineStr">
        <is>
          <t>PARTIAL</t>
        </is>
      </c>
      <c r="R25" s="3" t="inlineStr">
        <is>
          <t>PARTIAL</t>
        </is>
      </c>
      <c r="S25" s="3" t="inlineStr">
        <is>
          <t>FULL</t>
        </is>
      </c>
      <c r="T25" s="7">
        <f>IF(P25="FULL",40,IF(P25="PARTIAL",40/2,0))+IF(Q25="FULL",30,IF(Q25="PARTIAL",30/2,0))+IF(R25="FULL",20,IF(R25="PARTIAL",20/2,0))+IF(S25="FULL",10,IF(S25="PARTIAL",10/2,0))</f>
        <v/>
      </c>
      <c r="U25" s="7">
        <f>IF(P25="NOT_CHECKED",0,40)+IF(Q25="NOT_CHECKED",0,30)+IF(R25="NOT_CHECKED",0,20)+IF(S25="NOT_CHECKED",0,10)</f>
        <v/>
      </c>
      <c r="V25" s="7">
        <f>IF(U25=100,T25,"")</f>
        <v/>
      </c>
      <c r="W25" s="7">
        <f>T25</f>
        <v/>
      </c>
      <c r="X25" s="7">
        <f>T25+(100-U25)</f>
        <v/>
      </c>
      <c r="Y25" s="3" t="inlineStr">
        <is>
          <t>["ISS-014-IMG-02"]</t>
        </is>
      </c>
      <c r="Z25" s="3" t="inlineStr">
        <is>
          <t>["seo_runs\\jeminise.com\\20260906_234129\\evidence\\images\\14_christian-bedding-set-inspirational-bible-verse-comforte-design-05\\image_02_47933850845383.jpg; seo_runs\\jeminise.com\\20260906_234129\\evidence\\contact_sheets\\14_christian-bedding-set-inspirational-bible-verse-comforte-design-05.jpg", "https://jeminise.com/products/christian-bedding-set-inspirational-bible-verse-comforte-design-05", "https://cdn.shopify.com/s/files/1/0792/5098/1063/files/b5194765e0cae48306ed2e7b908325a37d813710ea8355976fd4bdad98268bcf.jpg?v=1787237801"]</t>
        </is>
      </c>
    </row>
    <row r="26" ht="66" customHeight="1">
      <c r="A26" s="2" t="inlineStr">
        <is>
          <t>jeminise.com+christian-bedding-set-inspirational-bible-verse-comforte-design-05</t>
        </is>
      </c>
      <c r="B26" s="2" t="inlineStr">
        <is>
          <t>qaimg_bc6d1526b2534f74</t>
        </is>
      </c>
      <c r="C26" s="4" t="inlineStr">
        <is>
          <t>https://cdn.shopify.com/s/files/1/0792/5098/1063/files/50f96559dd878ae5bbee14ba7a34337ccd740d21a8ffe86a8a1be819656d26c0_32920277-9b92-44f8-8046-5ec5bbe0e622.jpg?v=1787237801</t>
        </is>
      </c>
      <c r="D26" s="4" t="inlineStr">
        <is>
          <t>https://cdn.shopify.com/s/files/1/0792/5098/1063/files/50f96559dd878ae5bbee14ba7a34337ccd740d21a8ffe86a8a1be819656d26c0_32920277-9b92-44f8-8046-5ec5bbe0e622.jpg?v=1787237801</t>
        </is>
      </c>
      <c r="E26" s="2" t="inlineStr">
        <is>
          <t>38895088337095</t>
        </is>
      </c>
      <c r="F26" s="2" t="inlineStr">
        <is>
          <t>47933850878151</t>
        </is>
      </c>
      <c r="G26" s="2" t="inlineStr"/>
      <c r="H26" s="2" t="inlineStr">
        <is>
          <t>GALLERY</t>
        </is>
      </c>
      <c r="I26" s="2" t="inlineStr">
        <is>
          <t>DIRECT_ORIGINAL_IMAGE</t>
        </is>
      </c>
      <c r="J26" s="2" t="inlineStr">
        <is>
          <t>2026-09-07T09:36:10.742993+07:00</t>
        </is>
      </c>
      <c r="K26" s="2" t="inlineStr">
        <is>
          <t>Comparison graphic explaining Duvet Cover Set versus Comforter Set.</t>
        </is>
      </c>
      <c r="L26" s="2" t="inlineStr">
        <is>
          <t>Matching pillow sham or bedding detail using the same blue God Says I Am Christian design with the name Emily and floral border artwork.</t>
        </is>
      </c>
      <c r="M26" s="2" t="inlineStr">
        <is>
          <t>Christian Bedding Set – Inspirational Bible Verse Comforter – Religious Bedding for Women, Faith Gift for Mom, Daughter, Sister, Birthday &amp; Religious Gifts (Christian Art)</t>
        </is>
      </c>
      <c r="N26" s="2" t="inlineStr">
        <is>
          <t>SET</t>
        </is>
      </c>
      <c r="O26" s="2" t="inlineStr">
        <is>
          <t>Matching pillow sham for Blue God Says I Am Christian Comforter Set</t>
        </is>
      </c>
      <c r="P26" s="2" t="inlineStr">
        <is>
          <t>FULL</t>
        </is>
      </c>
      <c r="Q26" s="2" t="inlineStr">
        <is>
          <t>FAIL</t>
        </is>
      </c>
      <c r="R26" s="2" t="inlineStr">
        <is>
          <t>FAIL</t>
        </is>
      </c>
      <c r="S26" s="2" t="inlineStr">
        <is>
          <t>FULL</t>
        </is>
      </c>
      <c r="T26" s="5">
        <f>IF(P26="FULL",40,IF(P26="PARTIAL",40/2,0))+IF(Q26="FULL",30,IF(Q26="PARTIAL",30/2,0))+IF(R26="FULL",20,IF(R26="PARTIAL",20/2,0))+IF(S26="FULL",10,IF(S26="PARTIAL",10/2,0))</f>
        <v/>
      </c>
      <c r="U26" s="5">
        <f>IF(P26="NOT_CHECKED",0,40)+IF(Q26="NOT_CHECKED",0,30)+IF(R26="NOT_CHECKED",0,20)+IF(S26="NOT_CHECKED",0,10)</f>
        <v/>
      </c>
      <c r="V26" s="5">
        <f>IF(U26=100,T26,"")</f>
        <v/>
      </c>
      <c r="W26" s="5">
        <f>T26</f>
        <v/>
      </c>
      <c r="X26" s="5">
        <f>T26+(100-U26)</f>
        <v/>
      </c>
      <c r="Y26" s="2" t="inlineStr">
        <is>
          <t>["ISS-014-IMG-03"]</t>
        </is>
      </c>
      <c r="Z26" s="2" t="inlineStr">
        <is>
          <t>["seo_runs\\jeminise.com\\20260906_234129\\evidence\\images\\14_christian-bedding-set-inspirational-bible-verse-comforte-design-05\\image_03_47933850878151.jpg; seo_runs\\jeminise.com\\20260906_234129\\evidence\\contact_sheets\\14_christian-bedding-set-inspirational-bible-verse-comforte-design-05.jpg", "https://jeminise.com/products/christian-bedding-set-inspirational-bible-verse-comforte-design-05", "https://cdn.shopify.com/s/files/1/0792/5098/1063/files/50f96559dd878ae5bbee14ba7a34337ccd740d21a8ffe86a8a1be819656d26c0_32920277-9b92-44f8-8046-5ec5bbe0e622.jpg?v=1787237801"]</t>
        </is>
      </c>
    </row>
    <row r="27" ht="66" customHeight="1">
      <c r="A27" s="3" t="inlineStr">
        <is>
          <t>jeminise.com+christian-bedding-set-inspirational-bible-verse-comforte-design-05</t>
        </is>
      </c>
      <c r="B27" s="3" t="inlineStr">
        <is>
          <t>qaimg_f7d246eca83ea2cc</t>
        </is>
      </c>
      <c r="C27" s="4" t="inlineStr">
        <is>
          <t>https://cdn.shopify.com/s/files/1/0792/5098/1063/files/a3e33ead7835eefa65523c45bf48420d56f8ee5c29d0aa8d4a6fb0717bc0d53e.jpg?v=1787237801</t>
        </is>
      </c>
      <c r="D27" s="4" t="inlineStr">
        <is>
          <t>https://cdn.shopify.com/s/files/1/0792/5098/1063/files/a3e33ead7835eefa65523c45bf48420d56f8ee5c29d0aa8d4a6fb0717bc0d53e.jpg?v=1787237801</t>
        </is>
      </c>
      <c r="E27" s="3" t="inlineStr">
        <is>
          <t>38895088369863</t>
        </is>
      </c>
      <c r="F27" s="3" t="inlineStr">
        <is>
          <t>47933850910919</t>
        </is>
      </c>
      <c r="G27" s="3" t="inlineStr"/>
      <c r="H27" s="3" t="inlineStr">
        <is>
          <t>GALLERY</t>
        </is>
      </c>
      <c r="I27" s="3" t="inlineStr">
        <is>
          <t>DIRECT_ORIGINAL_IMAGE</t>
        </is>
      </c>
      <c r="J27" s="3" t="inlineStr">
        <is>
          <t>2026-09-07T09:36:10.742993+07:00</t>
        </is>
      </c>
      <c r="K27" s="3" t="inlineStr">
        <is>
          <t>Feature graphic stating 100% microfiber, 3D printed pattern, soft touch, lightweight and breathable.</t>
        </is>
      </c>
      <c r="L27" s="3" t="inlineStr">
        <is>
          <t>Room/folded product or fabric information image tied to the blue God Says I Am Christian design with the name Emily and floral border design.</t>
        </is>
      </c>
      <c r="M27" s="3" t="inlineStr">
        <is>
          <t>Christian Bedding Set – Inspirational Bible Verse Comforter – Religious Bedding for Women, Faith Gift for Mom, Daughter, Sister, Birthday &amp; Religious Gifts (Christian Art)</t>
        </is>
      </c>
      <c r="N27" s="3" t="inlineStr">
        <is>
          <t>SET</t>
        </is>
      </c>
      <c r="O27" s="3" t="inlineStr">
        <is>
          <t>Blue God Says I Am Christian Comforter Set shown in a bedroom setting</t>
        </is>
      </c>
      <c r="P27" s="3" t="inlineStr">
        <is>
          <t>FULL</t>
        </is>
      </c>
      <c r="Q27" s="3" t="inlineStr">
        <is>
          <t>FAIL</t>
        </is>
      </c>
      <c r="R27" s="3" t="inlineStr">
        <is>
          <t>FAIL</t>
        </is>
      </c>
      <c r="S27" s="3" t="inlineStr">
        <is>
          <t>FULL</t>
        </is>
      </c>
      <c r="T27" s="7">
        <f>IF(P27="FULL",40,IF(P27="PARTIAL",40/2,0))+IF(Q27="FULL",30,IF(Q27="PARTIAL",30/2,0))+IF(R27="FULL",20,IF(R27="PARTIAL",20/2,0))+IF(S27="FULL",10,IF(S27="PARTIAL",10/2,0))</f>
        <v/>
      </c>
      <c r="U27" s="7">
        <f>IF(P27="NOT_CHECKED",0,40)+IF(Q27="NOT_CHECKED",0,30)+IF(R27="NOT_CHECKED",0,20)+IF(S27="NOT_CHECKED",0,10)</f>
        <v/>
      </c>
      <c r="V27" s="7">
        <f>IF(U27=100,T27,"")</f>
        <v/>
      </c>
      <c r="W27" s="7">
        <f>T27</f>
        <v/>
      </c>
      <c r="X27" s="7">
        <f>T27+(100-U27)</f>
        <v/>
      </c>
      <c r="Y27" s="3" t="inlineStr">
        <is>
          <t>["ISS-014-IMG-04"]</t>
        </is>
      </c>
      <c r="Z27" s="3" t="inlineStr">
        <is>
          <t>["seo_runs\\jeminise.com\\20260906_234129\\evidence\\images\\14_christian-bedding-set-inspirational-bible-verse-comforte-design-05\\image_04_47933850910919.jpg; seo_runs\\jeminise.com\\20260906_234129\\evidence\\contact_sheets\\14_christian-bedding-set-inspirational-bible-verse-comforte-design-05.jpg", "https://jeminise.com/products/christian-bedding-set-inspirational-bible-verse-comforte-design-05", "https://cdn.shopify.com/s/files/1/0792/5098/1063/files/a3e33ead7835eefa65523c45bf48420d56f8ee5c29d0aa8d4a6fb0717bc0d53e.jpg?v=1787237801"]</t>
        </is>
      </c>
    </row>
    <row r="28" ht="66" customHeight="1">
      <c r="A28" s="2" t="inlineStr">
        <is>
          <t>jeminise.com+christian-bedding-set-inspirational-bible-verse-comforte-design-05</t>
        </is>
      </c>
      <c r="B28" s="2" t="inlineStr">
        <is>
          <t>qaimg_67fa0f472d1b8177</t>
        </is>
      </c>
      <c r="C28" s="4" t="inlineStr">
        <is>
          <t>https://cdn.shopify.com/s/files/1/0792/5098/1063/files/c90ac7079a8d005c71bbed0da31d73d3243eb764fe402b271b85e05efec937b6.jpg?v=1787237801</t>
        </is>
      </c>
      <c r="D28" s="4" t="inlineStr">
        <is>
          <t>https://cdn.shopify.com/s/files/1/0792/5098/1063/files/c90ac7079a8d005c71bbed0da31d73d3243eb764fe402b271b85e05efec937b6.jpg?v=1787237801</t>
        </is>
      </c>
      <c r="E28" s="2" t="inlineStr">
        <is>
          <t>38895088402631</t>
        </is>
      </c>
      <c r="F28" s="2" t="inlineStr">
        <is>
          <t>47933850943687</t>
        </is>
      </c>
      <c r="G28" s="2" t="inlineStr"/>
      <c r="H28" s="2" t="inlineStr">
        <is>
          <t>GALLERY</t>
        </is>
      </c>
      <c r="I28" s="2" t="inlineStr">
        <is>
          <t>DIRECT_ORIGINAL_IMAGE</t>
        </is>
      </c>
      <c r="J28" s="2" t="inlineStr">
        <is>
          <t>2026-09-07T09:36:10.742993+07:00</t>
        </is>
      </c>
      <c r="K28" s="2" t="inlineStr">
        <is>
          <t>Bedroom close-up with soft, lightweight, durable and breathable feature icons.</t>
        </is>
      </c>
      <c r="L28" s="2" t="inlineStr">
        <is>
          <t>Sizing or included-components information image for the bedding set.</t>
        </is>
      </c>
      <c r="M28" s="2" t="inlineStr">
        <is>
          <t>Christian Bedding Set – Inspirational Bible Verse Comforter – Religious Bedding for Women, Faith Gift for Mom, Daughter, Sister, Birthday &amp; Religious Gifts (Christian Art)</t>
        </is>
      </c>
      <c r="N28" s="2" t="inlineStr">
        <is>
          <t>SET</t>
        </is>
      </c>
      <c r="O28" s="2" t="inlineStr">
        <is>
          <t>Size guide for Blue God Says I Am Christian Comforter Set</t>
        </is>
      </c>
      <c r="P28" s="2" t="inlineStr">
        <is>
          <t>FULL</t>
        </is>
      </c>
      <c r="Q28" s="2" t="inlineStr">
        <is>
          <t>FAIL</t>
        </is>
      </c>
      <c r="R28" s="2" t="inlineStr">
        <is>
          <t>FAIL</t>
        </is>
      </c>
      <c r="S28" s="2" t="inlineStr">
        <is>
          <t>FULL</t>
        </is>
      </c>
      <c r="T28" s="5">
        <f>IF(P28="FULL",40,IF(P28="PARTIAL",40/2,0))+IF(Q28="FULL",30,IF(Q28="PARTIAL",30/2,0))+IF(R28="FULL",20,IF(R28="PARTIAL",20/2,0))+IF(S28="FULL",10,IF(S28="PARTIAL",10/2,0))</f>
        <v/>
      </c>
      <c r="U28" s="5">
        <f>IF(P28="NOT_CHECKED",0,40)+IF(Q28="NOT_CHECKED",0,30)+IF(R28="NOT_CHECKED",0,20)+IF(S28="NOT_CHECKED",0,10)</f>
        <v/>
      </c>
      <c r="V28" s="5">
        <f>IF(U28=100,T28,"")</f>
        <v/>
      </c>
      <c r="W28" s="5">
        <f>T28</f>
        <v/>
      </c>
      <c r="X28" s="5">
        <f>T28+(100-U28)</f>
        <v/>
      </c>
      <c r="Y28" s="2" t="inlineStr">
        <is>
          <t>["ISS-014-IMG-05"]</t>
        </is>
      </c>
      <c r="Z28" s="2" t="inlineStr">
        <is>
          <t>["seo_runs\\jeminise.com\\20260906_234129\\evidence\\images\\14_christian-bedding-set-inspirational-bible-verse-comforte-design-05\\image_05_47933850943687.jpg; seo_runs\\jeminise.com\\20260906_234129\\evidence\\contact_sheets\\14_christian-bedding-set-inspirational-bible-verse-comforte-design-05.jpg", "https://jeminise.com/products/christian-bedding-set-inspirational-bible-verse-comforte-design-05", "https://cdn.shopify.com/s/files/1/0792/5098/1063/files/c90ac7079a8d005c71bbed0da31d73d3243eb764fe402b271b85e05efec937b6.jpg?v=1787237801"]</t>
        </is>
      </c>
    </row>
    <row r="29" ht="66" customHeight="1">
      <c r="A29" s="3" t="inlineStr">
        <is>
          <t>jeminise.com+christian-bedding-set-inspirational-bible-verse-comforte-design-05</t>
        </is>
      </c>
      <c r="B29" s="3" t="inlineStr">
        <is>
          <t>qaimg_ea4541fdca00e820</t>
        </is>
      </c>
      <c r="C29" s="4" t="inlineStr">
        <is>
          <t>https://cdn.shopify.com/s/files/1/0792/5098/1063/files/0e22a9fec09643a714af054217066178d4f7bc4d6266b6d2ff5c33c09cc10e88_37f50064-c16f-4107-bf6d-b3b50080fc75.jpg?v=1787237802</t>
        </is>
      </c>
      <c r="D29" s="4" t="inlineStr">
        <is>
          <t>https://cdn.shopify.com/s/files/1/0792/5098/1063/files/0e22a9fec09643a714af054217066178d4f7bc4d6266b6d2ff5c33c09cc10e88_37f50064-c16f-4107-bf6d-b3b50080fc75.jpg?v=1787237802</t>
        </is>
      </c>
      <c r="E29" s="3" t="inlineStr">
        <is>
          <t>38895088435399</t>
        </is>
      </c>
      <c r="F29" s="3" t="inlineStr">
        <is>
          <t>47933850976455</t>
        </is>
      </c>
      <c r="G29" s="3" t="inlineStr"/>
      <c r="H29" s="3" t="inlineStr">
        <is>
          <t>GALLERY</t>
        </is>
      </c>
      <c r="I29" s="3" t="inlineStr">
        <is>
          <t>DIRECT_ORIGINAL_IMAGE</t>
        </is>
      </c>
      <c r="J29" s="3" t="inlineStr">
        <is>
          <t>2026-09-07T09:36:10.742993+07:00</t>
        </is>
      </c>
      <c r="K29" s="3" t="inlineStr">
        <is>
          <t>Easy-care graphic stating wrinkle-free, stain-proof, anti-pilling and won't fade in the wash.</t>
        </is>
      </c>
      <c r="L29" s="3" t="inlineStr">
        <is>
          <t>Feature image describing fabric layers, softness, breathability or care details.</t>
        </is>
      </c>
      <c r="M29" s="3" t="inlineStr">
        <is>
          <t>Christian Bedding Set – Inspirational Bible Verse Comforter – Religious Bedding for Women, Faith Gift for Mom, Daughter, Sister, Birthday &amp; Religious Gifts (Christian Art)</t>
        </is>
      </c>
      <c r="N29" s="3" t="inlineStr">
        <is>
          <t>SET</t>
        </is>
      </c>
      <c r="O29" s="3" t="inlineStr">
        <is>
          <t>Fabric feature graphic for Blue God Says I Am Christian Comforter Set</t>
        </is>
      </c>
      <c r="P29" s="3" t="inlineStr">
        <is>
          <t>FULL</t>
        </is>
      </c>
      <c r="Q29" s="3" t="inlineStr">
        <is>
          <t>PARTIAL</t>
        </is>
      </c>
      <c r="R29" s="3" t="inlineStr">
        <is>
          <t>FAIL</t>
        </is>
      </c>
      <c r="S29" s="3" t="inlineStr">
        <is>
          <t>FULL</t>
        </is>
      </c>
      <c r="T29" s="7">
        <f>IF(P29="FULL",40,IF(P29="PARTIAL",40/2,0))+IF(Q29="FULL",30,IF(Q29="PARTIAL",30/2,0))+IF(R29="FULL",20,IF(R29="PARTIAL",20/2,0))+IF(S29="FULL",10,IF(S29="PARTIAL",10/2,0))</f>
        <v/>
      </c>
      <c r="U29" s="7">
        <f>IF(P29="NOT_CHECKED",0,40)+IF(Q29="NOT_CHECKED",0,30)+IF(R29="NOT_CHECKED",0,20)+IF(S29="NOT_CHECKED",0,10)</f>
        <v/>
      </c>
      <c r="V29" s="7">
        <f>IF(U29=100,T29,"")</f>
        <v/>
      </c>
      <c r="W29" s="7">
        <f>T29</f>
        <v/>
      </c>
      <c r="X29" s="7">
        <f>T29+(100-U29)</f>
        <v/>
      </c>
      <c r="Y29" s="3" t="inlineStr">
        <is>
          <t>["ISS-014-IMG-06"]</t>
        </is>
      </c>
      <c r="Z29" s="3" t="inlineStr">
        <is>
          <t>["seo_runs\\jeminise.com\\20260906_234129\\evidence\\images\\14_christian-bedding-set-inspirational-bible-verse-comforte-design-05\\image_06_47933850976455.jpg; seo_runs\\jeminise.com\\20260906_234129\\evidence\\contact_sheets\\14_christian-bedding-set-inspirational-bible-verse-comforte-design-05.jpg", "https://jeminise.com/products/christian-bedding-set-inspirational-bible-verse-comforte-design-05", "https://cdn.shopify.com/s/files/1/0792/5098/1063/files/0e22a9fec09643a714af054217066178d4f7bc4d6266b6d2ff5c33c09cc10e88_37f50064-c16f-4107-bf6d-b3b50080fc75.jpg?v=1787237802"]</t>
        </is>
      </c>
    </row>
    <row r="30" ht="66" customHeight="1">
      <c r="A30" s="2" t="inlineStr">
        <is>
          <t>jeminise.com+christian-bedding-set-inspirational-bible-verse-comforte-design-05</t>
        </is>
      </c>
      <c r="B30" s="2" t="inlineStr">
        <is>
          <t>qaimg_5fb9fd52ffff0cd7</t>
        </is>
      </c>
      <c r="C30" s="4" t="inlineStr">
        <is>
          <t>https://cdn.shopify.com/s/files/1/0792/5098/1063/files/d6b8438a259ef28ba839a68ba108f40464bc9629b0bc2168779fc7776c9cbffa_fb8b4e17-519d-4d0c-b0e5-03dce3811442.jpg?v=1787237801</t>
        </is>
      </c>
      <c r="D30" s="4" t="inlineStr">
        <is>
          <t>https://cdn.shopify.com/s/files/1/0792/5098/1063/files/d6b8438a259ef28ba839a68ba108f40464bc9629b0bc2168779fc7776c9cbffa_fb8b4e17-519d-4d0c-b0e5-03dce3811442.jpg?v=1787237801</t>
        </is>
      </c>
      <c r="E30" s="2" t="inlineStr">
        <is>
          <t>38895088468167</t>
        </is>
      </c>
      <c r="F30" s="2" t="inlineStr">
        <is>
          <t>47933851009223</t>
        </is>
      </c>
      <c r="G30" s="2" t="inlineStr"/>
      <c r="H30" s="2" t="inlineStr">
        <is>
          <t>GALLERY</t>
        </is>
      </c>
      <c r="I30" s="2" t="inlineStr">
        <is>
          <t>DIRECT_ORIGINAL_IMAGE</t>
        </is>
      </c>
      <c r="J30" s="2" t="inlineStr">
        <is>
          <t>2026-09-07T09:36:10.742993+07:00</t>
        </is>
      </c>
      <c r="K30" s="2" t="inlineStr">
        <is>
          <t>Twin, Full, Queen and King dimension chart; heading reads SIZE DIMENTION.</t>
        </is>
      </c>
      <c r="L30" s="2" t="inlineStr">
        <is>
          <t>Additional bedroom mockup showing the blue God Says I Am Christian design with the name Emily and floral border design on a bed.</t>
        </is>
      </c>
      <c r="M30" s="2" t="inlineStr">
        <is>
          <t>Christian Bedding Set – Inspirational Bible Verse Comforter – Religious Bedding for Women, Faith Gift for Mom, Daughter, Sister, Birthday &amp; Religious Gifts (Christian Art)</t>
        </is>
      </c>
      <c r="N30" s="2" t="inlineStr">
        <is>
          <t>SET</t>
        </is>
      </c>
      <c r="O30" s="2" t="inlineStr">
        <is>
          <t>Bedroom mockup of Blue God Says I Am Christian Comforter Set</t>
        </is>
      </c>
      <c r="P30" s="2" t="inlineStr">
        <is>
          <t>FULL</t>
        </is>
      </c>
      <c r="Q30" s="2" t="inlineStr">
        <is>
          <t>FAIL</t>
        </is>
      </c>
      <c r="R30" s="2" t="inlineStr">
        <is>
          <t>FAIL</t>
        </is>
      </c>
      <c r="S30" s="2" t="inlineStr">
        <is>
          <t>FULL</t>
        </is>
      </c>
      <c r="T30" s="5">
        <f>IF(P30="FULL",40,IF(P30="PARTIAL",40/2,0))+IF(Q30="FULL",30,IF(Q30="PARTIAL",30/2,0))+IF(R30="FULL",20,IF(R30="PARTIAL",20/2,0))+IF(S30="FULL",10,IF(S30="PARTIAL",10/2,0))</f>
        <v/>
      </c>
      <c r="U30" s="5">
        <f>IF(P30="NOT_CHECKED",0,40)+IF(Q30="NOT_CHECKED",0,30)+IF(R30="NOT_CHECKED",0,20)+IF(S30="NOT_CHECKED",0,10)</f>
        <v/>
      </c>
      <c r="V30" s="5">
        <f>IF(U30=100,T30,"")</f>
        <v/>
      </c>
      <c r="W30" s="5">
        <f>T30</f>
        <v/>
      </c>
      <c r="X30" s="5">
        <f>T30+(100-U30)</f>
        <v/>
      </c>
      <c r="Y30" s="2" t="inlineStr">
        <is>
          <t>["ISS-014-IMG-07"]</t>
        </is>
      </c>
      <c r="Z30" s="2" t="inlineStr">
        <is>
          <t>["seo_runs\\jeminise.com\\20260906_234129\\evidence\\images\\14_christian-bedding-set-inspirational-bible-verse-comforte-design-05\\image_07_47933851009223.jpg; seo_runs\\jeminise.com\\20260906_234129\\evidence\\contact_sheets\\14_christian-bedding-set-inspirational-bible-verse-comforte-design-05.jpg", "https://jeminise.com/products/christian-bedding-set-inspirational-bible-verse-comforte-design-05", "https://cdn.shopify.com/s/files/1/0792/5098/1063/files/d6b8438a259ef28ba839a68ba108f40464bc9629b0bc2168779fc7776c9cbffa_fb8b4e17-519d-4d0c-b0e5-03dce3811442.jpg?v=1787237801"]</t>
        </is>
      </c>
    </row>
    <row r="31" ht="66" customHeight="1">
      <c r="A31" s="3" t="inlineStr">
        <is>
          <t>jeminise.com+christian-bedding-set-inspirational-bible-verse-comforte-design-06</t>
        </is>
      </c>
      <c r="B31" s="3" t="inlineStr">
        <is>
          <t>qaimg_92695c9e5cd567f8</t>
        </is>
      </c>
      <c r="C31" s="4" t="inlineStr">
        <is>
          <t>https://cdn.shopify.com/s/files/1/0792/5098/1063/files/7d1ce2040466699184d4d34be5a513af5f29c64a38cbd8b469c68ae7253f4630.jpg?v=1787237807</t>
        </is>
      </c>
      <c r="D31" s="4" t="inlineStr">
        <is>
          <t>https://cdn.shopify.com/s/files/1/0792/5098/1063/files/7d1ce2040466699184d4d34be5a513af5f29c64a38cbd8b469c68ae7253f4630.jpg?v=1787237807</t>
        </is>
      </c>
      <c r="E31" s="3" t="inlineStr">
        <is>
          <t>38895089025223</t>
        </is>
      </c>
      <c r="F31" s="3" t="inlineStr">
        <is>
          <t>47933851533511</t>
        </is>
      </c>
      <c r="G31" s="3" t="inlineStr"/>
      <c r="H31" s="3" t="inlineStr">
        <is>
          <t>GALLERY</t>
        </is>
      </c>
      <c r="I31" s="3" t="inlineStr">
        <is>
          <t>DIRECT_ORIGINAL_IMAGE</t>
        </is>
      </c>
      <c r="J31" s="3" t="inlineStr">
        <is>
          <t>2026-09-07T09:36:10.742993+07:00</t>
        </is>
      </c>
      <c r="K31" s="3" t="inlineStr">
        <is>
          <t>Main bed mockup with brown Charlotte butterfly bedding, God Is Within Her text and Bible-reference acrostic.</t>
        </is>
      </c>
      <c r="L31" s="3" t="inlineStr">
        <is>
          <t>Main bed mockup showing brown Christian butterfly design with the name Charlotte and God is within her text.</t>
        </is>
      </c>
      <c r="M31" s="3" t="inlineStr">
        <is>
          <t>Christian Bedding Set – Inspirational Bible Verse Comforter – Religious Bedding for Women, Faith Gift for Mom, Daughter, Sister, Birthday &amp; Religious Gifts (Butterfly Affirmation)</t>
        </is>
      </c>
      <c r="N31" s="3" t="inlineStr">
        <is>
          <t>SET</t>
        </is>
      </c>
      <c r="O31" s="3" t="inlineStr">
        <is>
          <t>Personalized Christian Butterfly Comforter Set displayed on a bed</t>
        </is>
      </c>
      <c r="P31" s="3" t="inlineStr">
        <is>
          <t>FULL</t>
        </is>
      </c>
      <c r="Q31" s="3" t="inlineStr">
        <is>
          <t>FULL</t>
        </is>
      </c>
      <c r="R31" s="3" t="inlineStr">
        <is>
          <t>FULL</t>
        </is>
      </c>
      <c r="S31" s="3" t="inlineStr">
        <is>
          <t>FULL</t>
        </is>
      </c>
      <c r="T31" s="7">
        <f>IF(P31="FULL",40,IF(P31="PARTIAL",40/2,0))+IF(Q31="FULL",30,IF(Q31="PARTIAL",30/2,0))+IF(R31="FULL",20,IF(R31="PARTIAL",20/2,0))+IF(S31="FULL",10,IF(S31="PARTIAL",10/2,0))</f>
        <v/>
      </c>
      <c r="U31" s="7">
        <f>IF(P31="NOT_CHECKED",0,40)+IF(Q31="NOT_CHECKED",0,30)+IF(R31="NOT_CHECKED",0,20)+IF(S31="NOT_CHECKED",0,10)</f>
        <v/>
      </c>
      <c r="V31" s="7">
        <f>IF(U31=100,T31,"")</f>
        <v/>
      </c>
      <c r="W31" s="7">
        <f>T31</f>
        <v/>
      </c>
      <c r="X31" s="7">
        <f>T31+(100-U31)</f>
        <v/>
      </c>
      <c r="Y31" s="3" t="inlineStr">
        <is>
          <t>[]</t>
        </is>
      </c>
      <c r="Z31" s="3" t="inlineStr">
        <is>
          <t>["seo_runs\\jeminise.com\\20260906_234129\\evidence\\images\\15_christian-bedding-set-inspirational-bible-verse-comforte-design-06\\image_01_47933851533511.jpg; seo_runs\\jeminise.com\\20260906_234129\\evidence\\contact_sheets\\15_christian-bedding-set-inspirational-bible-verse-comforte-design-06.jpg", "https://jeminise.com/products/christian-bedding-set-inspirational-bible-verse-comforte-design-06", "https://cdn.shopify.com/s/files/1/0792/5098/1063/files/7d1ce2040466699184d4d34be5a513af5f29c64a38cbd8b469c68ae7253f4630.jpg?v=1787237807"]</t>
        </is>
      </c>
    </row>
    <row r="32" ht="66" customHeight="1">
      <c r="A32" s="2" t="inlineStr">
        <is>
          <t>jeminise.com+christian-bedding-set-inspirational-bible-verse-comforte-design-06</t>
        </is>
      </c>
      <c r="B32" s="2" t="inlineStr">
        <is>
          <t>qaimg_f79f50ec24dc2544</t>
        </is>
      </c>
      <c r="C32" s="4" t="inlineStr">
        <is>
          <t>https://cdn.shopify.com/s/files/1/0792/5098/1063/files/85e882bcf89deebcdc3c8d5fea6db005c41297d04fabf6b4dedfb33c5d8fa653.jpg?v=1787237807</t>
        </is>
      </c>
      <c r="D32" s="4" t="inlineStr">
        <is>
          <t>https://cdn.shopify.com/s/files/1/0792/5098/1063/files/85e882bcf89deebcdc3c8d5fea6db005c41297d04fabf6b4dedfb33c5d8fa653.jpg?v=1787237807</t>
        </is>
      </c>
      <c r="E32" s="2" t="inlineStr">
        <is>
          <t>38895089057991</t>
        </is>
      </c>
      <c r="F32" s="2" t="inlineStr">
        <is>
          <t>47933851566279</t>
        </is>
      </c>
      <c r="G32" s="2" t="inlineStr"/>
      <c r="H32" s="2" t="inlineStr">
        <is>
          <t>GALLERY</t>
        </is>
      </c>
      <c r="I32" s="2" t="inlineStr">
        <is>
          <t>DIRECT_ORIGINAL_IMAGE</t>
        </is>
      </c>
      <c r="J32" s="2" t="inlineStr">
        <is>
          <t>2026-09-07T09:36:10.742993+07:00</t>
        </is>
      </c>
      <c r="K32" s="2" t="inlineStr">
        <is>
          <t>Alternate bedroom mockup of the same Charlotte Christian bedding.</t>
        </is>
      </c>
      <c r="L32" s="2" t="inlineStr">
        <is>
          <t>Secondary detail or room mockup showing brown Christian butterfly design with the name Charlotte and God is within her text and visible quilted/printed texture.</t>
        </is>
      </c>
      <c r="M32" s="2" t="inlineStr">
        <is>
          <t>Christian Bedding Set – Inspirational Bible Verse Comforter – Religious Bedding for Women, Faith Gift for Mom, Daughter, Sister, Birthday &amp; Religious Gifts (Butterfly Affirmation)</t>
        </is>
      </c>
      <c r="N32" s="2" t="inlineStr">
        <is>
          <t>SET</t>
        </is>
      </c>
      <c r="O32" s="2" t="inlineStr">
        <is>
          <t>Close view of brown Christian butterfly design with the name Charlotte and God is within her text on the comforter set</t>
        </is>
      </c>
      <c r="P32" s="2" t="inlineStr">
        <is>
          <t>FULL</t>
        </is>
      </c>
      <c r="Q32" s="2" t="inlineStr">
        <is>
          <t>PARTIAL</t>
        </is>
      </c>
      <c r="R32" s="2" t="inlineStr">
        <is>
          <t>PARTIAL</t>
        </is>
      </c>
      <c r="S32" s="2" t="inlineStr">
        <is>
          <t>FULL</t>
        </is>
      </c>
      <c r="T32" s="5">
        <f>IF(P32="FULL",40,IF(P32="PARTIAL",40/2,0))+IF(Q32="FULL",30,IF(Q32="PARTIAL",30/2,0))+IF(R32="FULL",20,IF(R32="PARTIAL",20/2,0))+IF(S32="FULL",10,IF(S32="PARTIAL",10/2,0))</f>
        <v/>
      </c>
      <c r="U32" s="5">
        <f>IF(P32="NOT_CHECKED",0,40)+IF(Q32="NOT_CHECKED",0,30)+IF(R32="NOT_CHECKED",0,20)+IF(S32="NOT_CHECKED",0,10)</f>
        <v/>
      </c>
      <c r="V32" s="5">
        <f>IF(U32=100,T32,"")</f>
        <v/>
      </c>
      <c r="W32" s="5">
        <f>T32</f>
        <v/>
      </c>
      <c r="X32" s="5">
        <f>T32+(100-U32)</f>
        <v/>
      </c>
      <c r="Y32" s="2" t="inlineStr">
        <is>
          <t>["ISS-015-IMG-02"]</t>
        </is>
      </c>
      <c r="Z32" s="2" t="inlineStr">
        <is>
          <t>["seo_runs\\jeminise.com\\20260906_234129\\evidence\\images\\15_christian-bedding-set-inspirational-bible-verse-comforte-design-06\\image_02_47933851566279.jpg; seo_runs\\jeminise.com\\20260906_234129\\evidence\\contact_sheets\\15_christian-bedding-set-inspirational-bible-verse-comforte-design-06.jpg", "https://jeminise.com/products/christian-bedding-set-inspirational-bible-verse-comforte-design-06", "https://cdn.shopify.com/s/files/1/0792/5098/1063/files/85e882bcf89deebcdc3c8d5fea6db005c41297d04fabf6b4dedfb33c5d8fa653.jpg?v=1787237807"]</t>
        </is>
      </c>
    </row>
    <row r="33" ht="66" customHeight="1">
      <c r="A33" s="3" t="inlineStr">
        <is>
          <t>jeminise.com+christian-bedding-set-inspirational-bible-verse-comforte-design-06</t>
        </is>
      </c>
      <c r="B33" s="3" t="inlineStr">
        <is>
          <t>qaimg_74f2eed842241f10</t>
        </is>
      </c>
      <c r="C33" s="4" t="inlineStr">
        <is>
          <t>https://cdn.shopify.com/s/files/1/0792/5098/1063/files/50f96559dd878ae5bbee14ba7a34337ccd740d21a8ffe86a8a1be819656d26c0_8c8fa0f7-48a1-41f8-86e6-9b423fbaf03e.jpg?v=1787237806</t>
        </is>
      </c>
      <c r="D33" s="4" t="inlineStr">
        <is>
          <t>https://cdn.shopify.com/s/files/1/0792/5098/1063/files/50f96559dd878ae5bbee14ba7a34337ccd740d21a8ffe86a8a1be819656d26c0_8c8fa0f7-48a1-41f8-86e6-9b423fbaf03e.jpg?v=1787237806</t>
        </is>
      </c>
      <c r="E33" s="3" t="inlineStr">
        <is>
          <t>38895089090759</t>
        </is>
      </c>
      <c r="F33" s="3" t="inlineStr">
        <is>
          <t>47933851599047</t>
        </is>
      </c>
      <c r="G33" s="3" t="inlineStr"/>
      <c r="H33" s="3" t="inlineStr">
        <is>
          <t>GALLERY</t>
        </is>
      </c>
      <c r="I33" s="3" t="inlineStr">
        <is>
          <t>DIRECT_ORIGINAL_IMAGE</t>
        </is>
      </c>
      <c r="J33" s="3" t="inlineStr">
        <is>
          <t>2026-09-07T09:36:10.742993+07:00</t>
        </is>
      </c>
      <c r="K33" s="3" t="inlineStr">
        <is>
          <t>Comparison graphic explaining Duvet Cover Set versus Comforter Set.</t>
        </is>
      </c>
      <c r="L33" s="3" t="inlineStr">
        <is>
          <t>Matching pillow sham or bedding detail using the same brown Christian butterfly design with the name Charlotte and God is within her text artwork.</t>
        </is>
      </c>
      <c r="M33" s="3" t="inlineStr">
        <is>
          <t>Christian Bedding Set – Inspirational Bible Verse Comforter – Religious Bedding for Women, Faith Gift for Mom, Daughter, Sister, Birthday &amp; Religious Gifts (Butterfly Affirmation)</t>
        </is>
      </c>
      <c r="N33" s="3" t="inlineStr">
        <is>
          <t>SET</t>
        </is>
      </c>
      <c r="O33" s="3" t="inlineStr">
        <is>
          <t>Matching pillow sham for Personalized Christian Butterfly Comforter Set</t>
        </is>
      </c>
      <c r="P33" s="3" t="inlineStr">
        <is>
          <t>FULL</t>
        </is>
      </c>
      <c r="Q33" s="3" t="inlineStr">
        <is>
          <t>FAIL</t>
        </is>
      </c>
      <c r="R33" s="3" t="inlineStr">
        <is>
          <t>FAIL</t>
        </is>
      </c>
      <c r="S33" s="3" t="inlineStr">
        <is>
          <t>FULL</t>
        </is>
      </c>
      <c r="T33" s="7">
        <f>IF(P33="FULL",40,IF(P33="PARTIAL",40/2,0))+IF(Q33="FULL",30,IF(Q33="PARTIAL",30/2,0))+IF(R33="FULL",20,IF(R33="PARTIAL",20/2,0))+IF(S33="FULL",10,IF(S33="PARTIAL",10/2,0))</f>
        <v/>
      </c>
      <c r="U33" s="7">
        <f>IF(P33="NOT_CHECKED",0,40)+IF(Q33="NOT_CHECKED",0,30)+IF(R33="NOT_CHECKED",0,20)+IF(S33="NOT_CHECKED",0,10)</f>
        <v/>
      </c>
      <c r="V33" s="7">
        <f>IF(U33=100,T33,"")</f>
        <v/>
      </c>
      <c r="W33" s="7">
        <f>T33</f>
        <v/>
      </c>
      <c r="X33" s="7">
        <f>T33+(100-U33)</f>
        <v/>
      </c>
      <c r="Y33" s="3" t="inlineStr">
        <is>
          <t>["ISS-015-IMG-03"]</t>
        </is>
      </c>
      <c r="Z33" s="3" t="inlineStr">
        <is>
          <t>["seo_runs\\jeminise.com\\20260906_234129\\evidence\\images\\15_christian-bedding-set-inspirational-bible-verse-comforte-design-06\\image_03_47933851599047.jpg; seo_runs\\jeminise.com\\20260906_234129\\evidence\\contact_sheets\\15_christian-bedding-set-inspirational-bible-verse-comforte-design-06.jpg", "https://jeminise.com/products/christian-bedding-set-inspirational-bible-verse-comforte-design-06", "https://cdn.shopify.com/s/files/1/0792/5098/1063/files/50f96559dd878ae5bbee14ba7a34337ccd740d21a8ffe86a8a1be819656d26c0_8c8fa0f7-48a1-41f8-86e6-9b423fbaf03e.jpg?v=1787237806"]</t>
        </is>
      </c>
    </row>
    <row r="34" ht="66" customHeight="1">
      <c r="A34" s="2" t="inlineStr">
        <is>
          <t>jeminise.com+christian-bedding-set-inspirational-bible-verse-comforte-design-06</t>
        </is>
      </c>
      <c r="B34" s="2" t="inlineStr">
        <is>
          <t>qaimg_4ab1c93dd13617ef</t>
        </is>
      </c>
      <c r="C34" s="4" t="inlineStr">
        <is>
          <t>https://cdn.shopify.com/s/files/1/0792/5098/1063/files/1ad4193b437e09b52f40b15573e722e1cfbac19500da9f78c83773943449fcde.jpg?v=1787237807</t>
        </is>
      </c>
      <c r="D34" s="4" t="inlineStr">
        <is>
          <t>https://cdn.shopify.com/s/files/1/0792/5098/1063/files/1ad4193b437e09b52f40b15573e722e1cfbac19500da9f78c83773943449fcde.jpg?v=1787237807</t>
        </is>
      </c>
      <c r="E34" s="2" t="inlineStr">
        <is>
          <t>38895089123527</t>
        </is>
      </c>
      <c r="F34" s="2" t="inlineStr">
        <is>
          <t>47933851631815</t>
        </is>
      </c>
      <c r="G34" s="2" t="inlineStr"/>
      <c r="H34" s="2" t="inlineStr">
        <is>
          <t>GALLERY</t>
        </is>
      </c>
      <c r="I34" s="2" t="inlineStr">
        <is>
          <t>DIRECT_ORIGINAL_IMAGE</t>
        </is>
      </c>
      <c r="J34" s="2" t="inlineStr">
        <is>
          <t>2026-09-07T09:36:10.742993+07:00</t>
        </is>
      </c>
      <c r="K34" s="2" t="inlineStr">
        <is>
          <t>Feature graphic stating 100% microfiber, 3D printed pattern, soft touch, lightweight and breathable.</t>
        </is>
      </c>
      <c r="L34" s="2" t="inlineStr">
        <is>
          <t>Room/folded product or fabric information image tied to the brown Christian butterfly design with the name Charlotte and God is within her text design.</t>
        </is>
      </c>
      <c r="M34" s="2" t="inlineStr">
        <is>
          <t>Christian Bedding Set – Inspirational Bible Verse Comforter – Religious Bedding for Women, Faith Gift for Mom, Daughter, Sister, Birthday &amp; Religious Gifts (Butterfly Affirmation)</t>
        </is>
      </c>
      <c r="N34" s="2" t="inlineStr">
        <is>
          <t>SET</t>
        </is>
      </c>
      <c r="O34" s="2" t="inlineStr">
        <is>
          <t>Personalized Christian Butterfly Comforter Set shown in a bedroom setting</t>
        </is>
      </c>
      <c r="P34" s="2" t="inlineStr">
        <is>
          <t>FULL</t>
        </is>
      </c>
      <c r="Q34" s="2" t="inlineStr">
        <is>
          <t>FAIL</t>
        </is>
      </c>
      <c r="R34" s="2" t="inlineStr">
        <is>
          <t>FAIL</t>
        </is>
      </c>
      <c r="S34" s="2" t="inlineStr">
        <is>
          <t>FULL</t>
        </is>
      </c>
      <c r="T34" s="5">
        <f>IF(P34="FULL",40,IF(P34="PARTIAL",40/2,0))+IF(Q34="FULL",30,IF(Q34="PARTIAL",30/2,0))+IF(R34="FULL",20,IF(R34="PARTIAL",20/2,0))+IF(S34="FULL",10,IF(S34="PARTIAL",10/2,0))</f>
        <v/>
      </c>
      <c r="U34" s="5">
        <f>IF(P34="NOT_CHECKED",0,40)+IF(Q34="NOT_CHECKED",0,30)+IF(R34="NOT_CHECKED",0,20)+IF(S34="NOT_CHECKED",0,10)</f>
        <v/>
      </c>
      <c r="V34" s="5">
        <f>IF(U34=100,T34,"")</f>
        <v/>
      </c>
      <c r="W34" s="5">
        <f>T34</f>
        <v/>
      </c>
      <c r="X34" s="5">
        <f>T34+(100-U34)</f>
        <v/>
      </c>
      <c r="Y34" s="2" t="inlineStr">
        <is>
          <t>["ISS-015-IMG-04"]</t>
        </is>
      </c>
      <c r="Z34" s="2" t="inlineStr">
        <is>
          <t>["seo_runs\\jeminise.com\\20260906_234129\\evidence\\images\\15_christian-bedding-set-inspirational-bible-verse-comforte-design-06\\image_04_47933851631815.jpg; seo_runs\\jeminise.com\\20260906_234129\\evidence\\contact_sheets\\15_christian-bedding-set-inspirational-bible-verse-comforte-design-06.jpg", "https://jeminise.com/products/christian-bedding-set-inspirational-bible-verse-comforte-design-06", "https://cdn.shopify.com/s/files/1/0792/5098/1063/files/1ad4193b437e09b52f40b15573e722e1cfbac19500da9f78c83773943449fcde.jpg?v=1787237807"]</t>
        </is>
      </c>
    </row>
    <row r="35" ht="66" customHeight="1">
      <c r="A35" s="3" t="inlineStr">
        <is>
          <t>jeminise.com+christian-bedding-set-inspirational-bible-verse-comforte-design-06</t>
        </is>
      </c>
      <c r="B35" s="3" t="inlineStr">
        <is>
          <t>qaimg_26ebb495bcbedd39</t>
        </is>
      </c>
      <c r="C35" s="4" t="inlineStr">
        <is>
          <t>https://cdn.shopify.com/s/files/1/0792/5098/1063/files/26024e9472d2220f9f56e7b3a0762d7d9615e5a2536a0848fc513ad70f872f30.jpg?v=1787237807</t>
        </is>
      </c>
      <c r="D35" s="4" t="inlineStr">
        <is>
          <t>https://cdn.shopify.com/s/files/1/0792/5098/1063/files/26024e9472d2220f9f56e7b3a0762d7d9615e5a2536a0848fc513ad70f872f30.jpg?v=1787237807</t>
        </is>
      </c>
      <c r="E35" s="3" t="inlineStr">
        <is>
          <t>38895089156295</t>
        </is>
      </c>
      <c r="F35" s="3" t="inlineStr">
        <is>
          <t>47933851664583</t>
        </is>
      </c>
      <c r="G35" s="3" t="inlineStr"/>
      <c r="H35" s="3" t="inlineStr">
        <is>
          <t>GALLERY</t>
        </is>
      </c>
      <c r="I35" s="3" t="inlineStr">
        <is>
          <t>DIRECT_ORIGINAL_IMAGE</t>
        </is>
      </c>
      <c r="J35" s="3" t="inlineStr">
        <is>
          <t>2026-09-07T09:36:10.742993+07:00</t>
        </is>
      </c>
      <c r="K35" s="3" t="inlineStr">
        <is>
          <t>Bedroom close-up with soft, lightweight, durable and breathable feature icons.</t>
        </is>
      </c>
      <c r="L35" s="3" t="inlineStr">
        <is>
          <t>Sizing or included-components information image for the bedding set.</t>
        </is>
      </c>
      <c r="M35" s="3" t="inlineStr">
        <is>
          <t>Christian Bedding Set – Inspirational Bible Verse Comforter – Religious Bedding for Women, Faith Gift for Mom, Daughter, Sister, Birthday &amp; Religious Gifts (Butterfly Affirmation)</t>
        </is>
      </c>
      <c r="N35" s="3" t="inlineStr">
        <is>
          <t>SET</t>
        </is>
      </c>
      <c r="O35" s="3" t="inlineStr">
        <is>
          <t>Size guide for Personalized Christian Butterfly Comforter Set</t>
        </is>
      </c>
      <c r="P35" s="3" t="inlineStr">
        <is>
          <t>FULL</t>
        </is>
      </c>
      <c r="Q35" s="3" t="inlineStr">
        <is>
          <t>FAIL</t>
        </is>
      </c>
      <c r="R35" s="3" t="inlineStr">
        <is>
          <t>FAIL</t>
        </is>
      </c>
      <c r="S35" s="3" t="inlineStr">
        <is>
          <t>FULL</t>
        </is>
      </c>
      <c r="T35" s="7">
        <f>IF(P35="FULL",40,IF(P35="PARTIAL",40/2,0))+IF(Q35="FULL",30,IF(Q35="PARTIAL",30/2,0))+IF(R35="FULL",20,IF(R35="PARTIAL",20/2,0))+IF(S35="FULL",10,IF(S35="PARTIAL",10/2,0))</f>
        <v/>
      </c>
      <c r="U35" s="7">
        <f>IF(P35="NOT_CHECKED",0,40)+IF(Q35="NOT_CHECKED",0,30)+IF(R35="NOT_CHECKED",0,20)+IF(S35="NOT_CHECKED",0,10)</f>
        <v/>
      </c>
      <c r="V35" s="7">
        <f>IF(U35=100,T35,"")</f>
        <v/>
      </c>
      <c r="W35" s="7">
        <f>T35</f>
        <v/>
      </c>
      <c r="X35" s="7">
        <f>T35+(100-U35)</f>
        <v/>
      </c>
      <c r="Y35" s="3" t="inlineStr">
        <is>
          <t>["ISS-015-IMG-05"]</t>
        </is>
      </c>
      <c r="Z35" s="3" t="inlineStr">
        <is>
          <t>["seo_runs\\jeminise.com\\20260906_234129\\evidence\\images\\15_christian-bedding-set-inspirational-bible-verse-comforte-design-06\\image_05_47933851664583.jpg; seo_runs\\jeminise.com\\20260906_234129\\evidence\\contact_sheets\\15_christian-bedding-set-inspirational-bible-verse-comforte-design-06.jpg", "https://jeminise.com/products/christian-bedding-set-inspirational-bible-verse-comforte-design-06", "https://cdn.shopify.com/s/files/1/0792/5098/1063/files/26024e9472d2220f9f56e7b3a0762d7d9615e5a2536a0848fc513ad70f872f30.jpg?v=1787237807"]</t>
        </is>
      </c>
    </row>
    <row r="36" ht="66" customHeight="1">
      <c r="A36" s="2" t="inlineStr">
        <is>
          <t>jeminise.com+christian-bedding-set-inspirational-bible-verse-comforte-design-06</t>
        </is>
      </c>
      <c r="B36" s="2" t="inlineStr">
        <is>
          <t>qaimg_9169bef117a8fca6</t>
        </is>
      </c>
      <c r="C36" s="4" t="inlineStr">
        <is>
          <t>https://cdn.shopify.com/s/files/1/0792/5098/1063/files/0e22a9fec09643a714af054217066178d4f7bc4d6266b6d2ff5c33c09cc10e88_7566f5e2-6bfd-446e-a1f2-f06764ec2dc3.jpg?v=1787237807</t>
        </is>
      </c>
      <c r="D36" s="4" t="inlineStr">
        <is>
          <t>https://cdn.shopify.com/s/files/1/0792/5098/1063/files/0e22a9fec09643a714af054217066178d4f7bc4d6266b6d2ff5c33c09cc10e88_7566f5e2-6bfd-446e-a1f2-f06764ec2dc3.jpg?v=1787237807</t>
        </is>
      </c>
      <c r="E36" s="2" t="inlineStr">
        <is>
          <t>38895089189063</t>
        </is>
      </c>
      <c r="F36" s="2" t="inlineStr">
        <is>
          <t>47933851697351</t>
        </is>
      </c>
      <c r="G36" s="2" t="inlineStr"/>
      <c r="H36" s="2" t="inlineStr">
        <is>
          <t>GALLERY</t>
        </is>
      </c>
      <c r="I36" s="2" t="inlineStr">
        <is>
          <t>DIRECT_ORIGINAL_IMAGE</t>
        </is>
      </c>
      <c r="J36" s="2" t="inlineStr">
        <is>
          <t>2026-09-07T09:36:10.742993+07:00</t>
        </is>
      </c>
      <c r="K36" s="2" t="inlineStr">
        <is>
          <t>Easy-care graphic stating wrinkle-free, stain-proof, anti-pilling and won't fade in the wash.</t>
        </is>
      </c>
      <c r="L36" s="2" t="inlineStr">
        <is>
          <t>Feature image describing fabric layers, softness, breathability or care details.</t>
        </is>
      </c>
      <c r="M36" s="2" t="inlineStr">
        <is>
          <t>Christian Bedding Set – Inspirational Bible Verse Comforter – Religious Bedding for Women, Faith Gift for Mom, Daughter, Sister, Birthday &amp; Religious Gifts (Butterfly Affirmation)</t>
        </is>
      </c>
      <c r="N36" s="2" t="inlineStr">
        <is>
          <t>SET</t>
        </is>
      </c>
      <c r="O36" s="2" t="inlineStr">
        <is>
          <t>Fabric feature graphic for Personalized Christian Butterfly Comforter Set</t>
        </is>
      </c>
      <c r="P36" s="2" t="inlineStr">
        <is>
          <t>FULL</t>
        </is>
      </c>
      <c r="Q36" s="2" t="inlineStr">
        <is>
          <t>PARTIAL</t>
        </is>
      </c>
      <c r="R36" s="2" t="inlineStr">
        <is>
          <t>FAIL</t>
        </is>
      </c>
      <c r="S36" s="2" t="inlineStr">
        <is>
          <t>FULL</t>
        </is>
      </c>
      <c r="T36" s="5">
        <f>IF(P36="FULL",40,IF(P36="PARTIAL",40/2,0))+IF(Q36="FULL",30,IF(Q36="PARTIAL",30/2,0))+IF(R36="FULL",20,IF(R36="PARTIAL",20/2,0))+IF(S36="FULL",10,IF(S36="PARTIAL",10/2,0))</f>
        <v/>
      </c>
      <c r="U36" s="5">
        <f>IF(P36="NOT_CHECKED",0,40)+IF(Q36="NOT_CHECKED",0,30)+IF(R36="NOT_CHECKED",0,20)+IF(S36="NOT_CHECKED",0,10)</f>
        <v/>
      </c>
      <c r="V36" s="5">
        <f>IF(U36=100,T36,"")</f>
        <v/>
      </c>
      <c r="W36" s="5">
        <f>T36</f>
        <v/>
      </c>
      <c r="X36" s="5">
        <f>T36+(100-U36)</f>
        <v/>
      </c>
      <c r="Y36" s="2" t="inlineStr">
        <is>
          <t>["ISS-015-IMG-06"]</t>
        </is>
      </c>
      <c r="Z36" s="2" t="inlineStr">
        <is>
          <t>["seo_runs\\jeminise.com\\20260906_234129\\evidence\\images\\15_christian-bedding-set-inspirational-bible-verse-comforte-design-06\\image_06_47933851697351.jpg; seo_runs\\jeminise.com\\20260906_234129\\evidence\\contact_sheets\\15_christian-bedding-set-inspirational-bible-verse-comforte-design-06.jpg", "https://jeminise.com/products/christian-bedding-set-inspirational-bible-verse-comforte-design-06", "https://cdn.shopify.com/s/files/1/0792/5098/1063/files/0e22a9fec09643a714af054217066178d4f7bc4d6266b6d2ff5c33c09cc10e88_7566f5e2-6bfd-446e-a1f2-f06764ec2dc3.jpg?v=1787237807"]</t>
        </is>
      </c>
    </row>
    <row r="37" ht="66" customHeight="1">
      <c r="A37" s="3" t="inlineStr">
        <is>
          <t>jeminise.com+christian-bedding-set-inspirational-bible-verse-comforte-design-06</t>
        </is>
      </c>
      <c r="B37" s="3" t="inlineStr">
        <is>
          <t>qaimg_58daa41cec565ce2</t>
        </is>
      </c>
      <c r="C37" s="4" t="inlineStr">
        <is>
          <t>https://cdn.shopify.com/s/files/1/0792/5098/1063/files/d6b8438a259ef28ba839a68ba108f40464bc9629b0bc2168779fc7776c9cbffa_d87fd534-9194-441e-98a8-aa1a5591cb0d.jpg?v=1787237807</t>
        </is>
      </c>
      <c r="D37" s="4" t="inlineStr">
        <is>
          <t>https://cdn.shopify.com/s/files/1/0792/5098/1063/files/d6b8438a259ef28ba839a68ba108f40464bc9629b0bc2168779fc7776c9cbffa_d87fd534-9194-441e-98a8-aa1a5591cb0d.jpg?v=1787237807</t>
        </is>
      </c>
      <c r="E37" s="3" t="inlineStr">
        <is>
          <t>38895089221831</t>
        </is>
      </c>
      <c r="F37" s="3" t="inlineStr">
        <is>
          <t>47933851730119</t>
        </is>
      </c>
      <c r="G37" s="3" t="inlineStr"/>
      <c r="H37" s="3" t="inlineStr">
        <is>
          <t>GALLERY</t>
        </is>
      </c>
      <c r="I37" s="3" t="inlineStr">
        <is>
          <t>DIRECT_ORIGINAL_IMAGE</t>
        </is>
      </c>
      <c r="J37" s="3" t="inlineStr">
        <is>
          <t>2026-09-07T09:36:10.742993+07:00</t>
        </is>
      </c>
      <c r="K37" s="3" t="inlineStr">
        <is>
          <t>Twin, Full, Queen and King dimension chart; heading reads SIZE DIMENTION.</t>
        </is>
      </c>
      <c r="L37" s="3" t="inlineStr">
        <is>
          <t>Additional bedroom mockup showing the brown Christian butterfly design with the name Charlotte and God is within her text design on a bed.</t>
        </is>
      </c>
      <c r="M37" s="3" t="inlineStr">
        <is>
          <t>Christian Bedding Set – Inspirational Bible Verse Comforter – Religious Bedding for Women, Faith Gift for Mom, Daughter, Sister, Birthday &amp; Religious Gifts (Butterfly Affirmation)</t>
        </is>
      </c>
      <c r="N37" s="3" t="inlineStr">
        <is>
          <t>SET</t>
        </is>
      </c>
      <c r="O37" s="3" t="inlineStr">
        <is>
          <t>Bedroom mockup of Personalized Christian Butterfly Comforter Set</t>
        </is>
      </c>
      <c r="P37" s="3" t="inlineStr">
        <is>
          <t>FULL</t>
        </is>
      </c>
      <c r="Q37" s="3" t="inlineStr">
        <is>
          <t>FAIL</t>
        </is>
      </c>
      <c r="R37" s="3" t="inlineStr">
        <is>
          <t>FAIL</t>
        </is>
      </c>
      <c r="S37" s="3" t="inlineStr">
        <is>
          <t>FULL</t>
        </is>
      </c>
      <c r="T37" s="7">
        <f>IF(P37="FULL",40,IF(P37="PARTIAL",40/2,0))+IF(Q37="FULL",30,IF(Q37="PARTIAL",30/2,0))+IF(R37="FULL",20,IF(R37="PARTIAL",20/2,0))+IF(S37="FULL",10,IF(S37="PARTIAL",10/2,0))</f>
        <v/>
      </c>
      <c r="U37" s="7">
        <f>IF(P37="NOT_CHECKED",0,40)+IF(Q37="NOT_CHECKED",0,30)+IF(R37="NOT_CHECKED",0,20)+IF(S37="NOT_CHECKED",0,10)</f>
        <v/>
      </c>
      <c r="V37" s="7">
        <f>IF(U37=100,T37,"")</f>
        <v/>
      </c>
      <c r="W37" s="7">
        <f>T37</f>
        <v/>
      </c>
      <c r="X37" s="7">
        <f>T37+(100-U37)</f>
        <v/>
      </c>
      <c r="Y37" s="3" t="inlineStr">
        <is>
          <t>["ISS-015-IMG-07"]</t>
        </is>
      </c>
      <c r="Z37" s="3" t="inlineStr">
        <is>
          <t>["seo_runs\\jeminise.com\\20260906_234129\\evidence\\images\\15_christian-bedding-set-inspirational-bible-verse-comforte-design-06\\image_07_47933851730119.jpg; seo_runs\\jeminise.com\\20260906_234129\\evidence\\contact_sheets\\15_christian-bedding-set-inspirational-bible-verse-comforte-design-06.jpg", "https://jeminise.com/products/christian-bedding-set-inspirational-bible-verse-comforte-design-06", "https://cdn.shopify.com/s/files/1/0792/5098/1063/files/d6b8438a259ef28ba839a68ba108f40464bc9629b0bc2168779fc7776c9cbffa_d87fd534-9194-441e-98a8-aa1a5591cb0d.jpg?v=1787237807"]</t>
        </is>
      </c>
    </row>
    <row r="38" ht="66" customHeight="1">
      <c r="A38" s="2" t="inlineStr">
        <is>
          <t>jeminise.com+christian-bedding-set-inspirational-bible-verse-comforter</t>
        </is>
      </c>
      <c r="B38" s="2" t="inlineStr">
        <is>
          <t>qaimg_a3c5b4730957222d</t>
        </is>
      </c>
      <c r="C38" s="4" t="inlineStr">
        <is>
          <t>https://cdn.shopify.com/s/files/1/0792/5098/1063/files/08e481dcf1c9bf3e7363eb63d66874dc22230e7e462b0f7ac8407a6a55b4e8e2.jpg?v=1787237716</t>
        </is>
      </c>
      <c r="D38" s="4" t="inlineStr">
        <is>
          <t>https://cdn.shopify.com/s/files/1/0792/5098/1063/files/08e481dcf1c9bf3e7363eb63d66874dc22230e7e462b0f7ac8407a6a55b4e8e2.jpg?v=1787237716</t>
        </is>
      </c>
      <c r="E38" s="2" t="inlineStr">
        <is>
          <t>38895077490887</t>
        </is>
      </c>
      <c r="F38" s="2" t="inlineStr">
        <is>
          <t>47933839999175</t>
        </is>
      </c>
      <c r="G38" s="2" t="inlineStr"/>
      <c r="H38" s="2" t="inlineStr">
        <is>
          <t>GALLERY</t>
        </is>
      </c>
      <c r="I38" s="2" t="inlineStr">
        <is>
          <t>DIRECT_ORIGINAL_IMAGE</t>
        </is>
      </c>
      <c r="J38" s="2" t="inlineStr">
        <is>
          <t>2026-09-07T09:36:10.742993+07:00</t>
        </is>
      </c>
      <c r="K38" s="2" t="inlineStr">
        <is>
          <t>Main bed mockup with black David design, white cross, lion, armored warrior and Christian affirmation text.</t>
        </is>
      </c>
      <c r="L38" s="2" t="inlineStr">
        <is>
          <t>Main bed mockup showing black Christian warrior lion design with the name David and large white cross.</t>
        </is>
      </c>
      <c r="M38" s="2" t="inlineStr">
        <is>
          <t>Christian Bedding Set – Inspirational Bible Verse Comforter – Religious Bedding for Women, Faith Gift for Mom, Daughter, Sister, Birthday &amp; Religious Gifts (Christian Knight Templar)</t>
        </is>
      </c>
      <c r="N38" s="2" t="inlineStr">
        <is>
          <t>SET</t>
        </is>
      </c>
      <c r="O38" s="2" t="inlineStr">
        <is>
          <t>Personalized Christian Warrior Comforter Set displayed on a bed</t>
        </is>
      </c>
      <c r="P38" s="2" t="inlineStr">
        <is>
          <t>FULL</t>
        </is>
      </c>
      <c r="Q38" s="2" t="inlineStr">
        <is>
          <t>FULL</t>
        </is>
      </c>
      <c r="R38" s="2" t="inlineStr">
        <is>
          <t>FULL</t>
        </is>
      </c>
      <c r="S38" s="2" t="inlineStr">
        <is>
          <t>FULL</t>
        </is>
      </c>
      <c r="T38" s="5">
        <f>IF(P38="FULL",40,IF(P38="PARTIAL",40/2,0))+IF(Q38="FULL",30,IF(Q38="PARTIAL",30/2,0))+IF(R38="FULL",20,IF(R38="PARTIAL",20/2,0))+IF(S38="FULL",10,IF(S38="PARTIAL",10/2,0))</f>
        <v/>
      </c>
      <c r="U38" s="5">
        <f>IF(P38="NOT_CHECKED",0,40)+IF(Q38="NOT_CHECKED",0,30)+IF(R38="NOT_CHECKED",0,20)+IF(S38="NOT_CHECKED",0,10)</f>
        <v/>
      </c>
      <c r="V38" s="5">
        <f>IF(U38=100,T38,"")</f>
        <v/>
      </c>
      <c r="W38" s="5">
        <f>T38</f>
        <v/>
      </c>
      <c r="X38" s="5">
        <f>T38+(100-U38)</f>
        <v/>
      </c>
      <c r="Y38" s="2" t="inlineStr">
        <is>
          <t>[]</t>
        </is>
      </c>
      <c r="Z38" s="2" t="inlineStr">
        <is>
          <t>["seo_runs\\jeminise.com\\20260906_234129\\evidence\\images\\16_christian-bedding-set-inspirational-bible-verse-comforter\\image_01_47933839999175.jpg; seo_runs\\jeminise.com\\20260906_234129\\evidence\\contact_sheets\\16_christian-bedding-set-inspirational-bible-verse-comforter.jpg", "https://jeminise.com/products/christian-bedding-set-inspirational-bible-verse-comforter", "https://cdn.shopify.com/s/files/1/0792/5098/1063/files/08e481dcf1c9bf3e7363eb63d66874dc22230e7e462b0f7ac8407a6a55b4e8e2.jpg?v=1787237716"]</t>
        </is>
      </c>
    </row>
    <row r="39" ht="66" customHeight="1">
      <c r="A39" s="3" t="inlineStr">
        <is>
          <t>jeminise.com+christian-bedding-set-inspirational-bible-verse-comforter</t>
        </is>
      </c>
      <c r="B39" s="3" t="inlineStr">
        <is>
          <t>qaimg_cb9c481fadbb7899</t>
        </is>
      </c>
      <c r="C39" s="4" t="inlineStr">
        <is>
          <t>https://cdn.shopify.com/s/files/1/0792/5098/1063/files/6e5cfd81b4f318ba88e105e450bd24fcccf9830bd9c69ac7d722e92e36bbe4e1.jpg?v=1787237716</t>
        </is>
      </c>
      <c r="D39" s="4" t="inlineStr">
        <is>
          <t>https://cdn.shopify.com/s/files/1/0792/5098/1063/files/6e5cfd81b4f318ba88e105e450bd24fcccf9830bd9c69ac7d722e92e36bbe4e1.jpg?v=1787237716</t>
        </is>
      </c>
      <c r="E39" s="3" t="inlineStr">
        <is>
          <t>38895077523655</t>
        </is>
      </c>
      <c r="F39" s="3" t="inlineStr">
        <is>
          <t>47933840031943</t>
        </is>
      </c>
      <c r="G39" s="3" t="inlineStr"/>
      <c r="H39" s="3" t="inlineStr">
        <is>
          <t>GALLERY</t>
        </is>
      </c>
      <c r="I39" s="3" t="inlineStr">
        <is>
          <t>DIRECT_ORIGINAL_IMAGE</t>
        </is>
      </c>
      <c r="J39" s="3" t="inlineStr">
        <is>
          <t>2026-09-07T09:36:10.742993+07:00</t>
        </is>
      </c>
      <c r="K39" s="3" t="inlineStr">
        <is>
          <t>Second front-facing mockup of the same David Christian warrior bedding.</t>
        </is>
      </c>
      <c r="L39" s="3" t="inlineStr">
        <is>
          <t>Secondary detail or room mockup showing black Christian warrior lion design with the name David and large white cross and visible quilted/printed texture.</t>
        </is>
      </c>
      <c r="M39" s="3" t="inlineStr">
        <is>
          <t>Christian Bedding Set – Inspirational Bible Verse Comforter – Religious Bedding for Women, Faith Gift for Mom, Daughter, Sister, Birthday &amp; Religious Gifts (Christian Knight Templar)</t>
        </is>
      </c>
      <c r="N39" s="3" t="inlineStr">
        <is>
          <t>SET</t>
        </is>
      </c>
      <c r="O39" s="3" t="inlineStr">
        <is>
          <t>Close view of black Christian warrior lion design with the name David and large white cross on the comforter set</t>
        </is>
      </c>
      <c r="P39" s="3" t="inlineStr">
        <is>
          <t>FULL</t>
        </is>
      </c>
      <c r="Q39" s="3" t="inlineStr">
        <is>
          <t>PARTIAL</t>
        </is>
      </c>
      <c r="R39" s="3" t="inlineStr">
        <is>
          <t>PARTIAL</t>
        </is>
      </c>
      <c r="S39" s="3" t="inlineStr">
        <is>
          <t>FULL</t>
        </is>
      </c>
      <c r="T39" s="7">
        <f>IF(P39="FULL",40,IF(P39="PARTIAL",40/2,0))+IF(Q39="FULL",30,IF(Q39="PARTIAL",30/2,0))+IF(R39="FULL",20,IF(R39="PARTIAL",20/2,0))+IF(S39="FULL",10,IF(S39="PARTIAL",10/2,0))</f>
        <v/>
      </c>
      <c r="U39" s="7">
        <f>IF(P39="NOT_CHECKED",0,40)+IF(Q39="NOT_CHECKED",0,30)+IF(R39="NOT_CHECKED",0,20)+IF(S39="NOT_CHECKED",0,10)</f>
        <v/>
      </c>
      <c r="V39" s="7">
        <f>IF(U39=100,T39,"")</f>
        <v/>
      </c>
      <c r="W39" s="7">
        <f>T39</f>
        <v/>
      </c>
      <c r="X39" s="7">
        <f>T39+(100-U39)</f>
        <v/>
      </c>
      <c r="Y39" s="3" t="inlineStr">
        <is>
          <t>["ISS-016-IMG-02"]</t>
        </is>
      </c>
      <c r="Z39" s="3" t="inlineStr">
        <is>
          <t>["seo_runs\\jeminise.com\\20260906_234129\\evidence\\images\\16_christian-bedding-set-inspirational-bible-verse-comforter\\image_02_47933840031943.jpg; seo_runs\\jeminise.com\\20260906_234129\\evidence\\contact_sheets\\16_christian-bedding-set-inspirational-bible-verse-comforter.jpg", "https://jeminise.com/products/christian-bedding-set-inspirational-bible-verse-comforter", "https://cdn.shopify.com/s/files/1/0792/5098/1063/files/6e5cfd81b4f318ba88e105e450bd24fcccf9830bd9c69ac7d722e92e36bbe4e1.jpg?v=1787237716"]</t>
        </is>
      </c>
    </row>
    <row r="40" ht="66" customHeight="1">
      <c r="A40" s="2" t="inlineStr">
        <is>
          <t>jeminise.com+christian-bedding-set-inspirational-bible-verse-comforter</t>
        </is>
      </c>
      <c r="B40" s="2" t="inlineStr">
        <is>
          <t>qaimg_4eacac7a749fa007</t>
        </is>
      </c>
      <c r="C40" s="4" t="inlineStr">
        <is>
          <t>https://cdn.shopify.com/s/files/1/0792/5098/1063/files/fd6ace7cb84d9e404b44ba028d1e0be3f00d0c9dc52fac3c12f3dc02d48000e7.jpg?v=1787237716</t>
        </is>
      </c>
      <c r="D40" s="4" t="inlineStr">
        <is>
          <t>https://cdn.shopify.com/s/files/1/0792/5098/1063/files/fd6ace7cb84d9e404b44ba028d1e0be3f00d0c9dc52fac3c12f3dc02d48000e7.jpg?v=1787237716</t>
        </is>
      </c>
      <c r="E40" s="2" t="inlineStr">
        <is>
          <t>38895077556423</t>
        </is>
      </c>
      <c r="F40" s="2" t="inlineStr">
        <is>
          <t>47933840064711</t>
        </is>
      </c>
      <c r="G40" s="2" t="inlineStr"/>
      <c r="H40" s="2" t="inlineStr">
        <is>
          <t>GALLERY</t>
        </is>
      </c>
      <c r="I40" s="2" t="inlineStr">
        <is>
          <t>DIRECT_ORIGINAL_IMAGE</t>
        </is>
      </c>
      <c r="J40" s="2" t="inlineStr">
        <is>
          <t>2026-09-07T09:36:10.742993+07:00</t>
        </is>
      </c>
      <c r="K40" s="2" t="inlineStr">
        <is>
          <t>Alternate bedroom mockup of the same David Christian warrior bedding.</t>
        </is>
      </c>
      <c r="L40" s="2" t="inlineStr">
        <is>
          <t>Matching pillow sham or bedding detail using the same black Christian warrior lion design with the name David and large white cross artwork.</t>
        </is>
      </c>
      <c r="M40" s="2" t="inlineStr">
        <is>
          <t>Christian Bedding Set – Inspirational Bible Verse Comforter – Religious Bedding for Women, Faith Gift for Mom, Daughter, Sister, Birthday &amp; Religious Gifts (Christian Knight Templar)</t>
        </is>
      </c>
      <c r="N40" s="2" t="inlineStr">
        <is>
          <t>SET</t>
        </is>
      </c>
      <c r="O40" s="2" t="inlineStr">
        <is>
          <t>Matching pillow sham for Personalized Christian Warrior Comforter Set</t>
        </is>
      </c>
      <c r="P40" s="2" t="inlineStr">
        <is>
          <t>FULL</t>
        </is>
      </c>
      <c r="Q40" s="2" t="inlineStr">
        <is>
          <t>PARTIAL</t>
        </is>
      </c>
      <c r="R40" s="2" t="inlineStr">
        <is>
          <t>FAIL</t>
        </is>
      </c>
      <c r="S40" s="2" t="inlineStr">
        <is>
          <t>FULL</t>
        </is>
      </c>
      <c r="T40" s="5">
        <f>IF(P40="FULL",40,IF(P40="PARTIAL",40/2,0))+IF(Q40="FULL",30,IF(Q40="PARTIAL",30/2,0))+IF(R40="FULL",20,IF(R40="PARTIAL",20/2,0))+IF(S40="FULL",10,IF(S40="PARTIAL",10/2,0))</f>
        <v/>
      </c>
      <c r="U40" s="5">
        <f>IF(P40="NOT_CHECKED",0,40)+IF(Q40="NOT_CHECKED",0,30)+IF(R40="NOT_CHECKED",0,20)+IF(S40="NOT_CHECKED",0,10)</f>
        <v/>
      </c>
      <c r="V40" s="5">
        <f>IF(U40=100,T40,"")</f>
        <v/>
      </c>
      <c r="W40" s="5">
        <f>T40</f>
        <v/>
      </c>
      <c r="X40" s="5">
        <f>T40+(100-U40)</f>
        <v/>
      </c>
      <c r="Y40" s="2" t="inlineStr">
        <is>
          <t>["ISS-016-IMG-03"]</t>
        </is>
      </c>
      <c r="Z40" s="2" t="inlineStr">
        <is>
          <t>["seo_runs\\jeminise.com\\20260906_234129\\evidence\\images\\16_christian-bedding-set-inspirational-bible-verse-comforter\\image_03_47933840064711.jpg; seo_runs\\jeminise.com\\20260906_234129\\evidence\\contact_sheets\\16_christian-bedding-set-inspirational-bible-verse-comforter.jpg", "https://jeminise.com/products/christian-bedding-set-inspirational-bible-verse-comforter", "https://cdn.shopify.com/s/files/1/0792/5098/1063/files/fd6ace7cb84d9e404b44ba028d1e0be3f00d0c9dc52fac3c12f3dc02d48000e7.jpg?v=1787237716"]</t>
        </is>
      </c>
    </row>
    <row r="41" ht="66" customHeight="1">
      <c r="A41" s="3" t="inlineStr">
        <is>
          <t>jeminise.com+christian-bedding-set-inspirational-bible-verse-comforter</t>
        </is>
      </c>
      <c r="B41" s="3" t="inlineStr">
        <is>
          <t>qaimg_ee5faae4fb19e666</t>
        </is>
      </c>
      <c r="C41" s="4" t="inlineStr">
        <is>
          <t>https://cdn.shopify.com/s/files/1/0792/5098/1063/files/1391672888660b8306032c6cd51a0340e0460a1f8b324b0577c2d0a44ea28c9d.jpg?v=1787237716</t>
        </is>
      </c>
      <c r="D41" s="4" t="inlineStr">
        <is>
          <t>https://cdn.shopify.com/s/files/1/0792/5098/1063/files/1391672888660b8306032c6cd51a0340e0460a1f8b324b0577c2d0a44ea28c9d.jpg?v=1787237716</t>
        </is>
      </c>
      <c r="E41" s="3" t="inlineStr">
        <is>
          <t>38895077589191</t>
        </is>
      </c>
      <c r="F41" s="3" t="inlineStr">
        <is>
          <t>47933840097479</t>
        </is>
      </c>
      <c r="G41" s="3" t="inlineStr"/>
      <c r="H41" s="3" t="inlineStr">
        <is>
          <t>GALLERY</t>
        </is>
      </c>
      <c r="I41" s="3" t="inlineStr">
        <is>
          <t>DIRECT_ORIGINAL_IMAGE</t>
        </is>
      </c>
      <c r="J41" s="3" t="inlineStr">
        <is>
          <t>2026-09-07T09:36:10.742993+07:00</t>
        </is>
      </c>
      <c r="K41" s="3" t="inlineStr">
        <is>
          <t>Comparison graphic explaining Duvet Cover Set versus Comforter Set.</t>
        </is>
      </c>
      <c r="L41" s="3" t="inlineStr">
        <is>
          <t>Room/folded product or fabric information image tied to the black Christian warrior lion design with the name David and large white cross design.</t>
        </is>
      </c>
      <c r="M41" s="3" t="inlineStr">
        <is>
          <t>Christian Bedding Set – Inspirational Bible Verse Comforter – Religious Bedding for Women, Faith Gift for Mom, Daughter, Sister, Birthday &amp; Religious Gifts (Christian Knight Templar)</t>
        </is>
      </c>
      <c r="N41" s="3" t="inlineStr">
        <is>
          <t>SET</t>
        </is>
      </c>
      <c r="O41" s="3" t="inlineStr">
        <is>
          <t>Personalized Christian Warrior Comforter Set shown in a bedroom setting</t>
        </is>
      </c>
      <c r="P41" s="3" t="inlineStr">
        <is>
          <t>FULL</t>
        </is>
      </c>
      <c r="Q41" s="3" t="inlineStr">
        <is>
          <t>FAIL</t>
        </is>
      </c>
      <c r="R41" s="3" t="inlineStr">
        <is>
          <t>FAIL</t>
        </is>
      </c>
      <c r="S41" s="3" t="inlineStr">
        <is>
          <t>FULL</t>
        </is>
      </c>
      <c r="T41" s="7">
        <f>IF(P41="FULL",40,IF(P41="PARTIAL",40/2,0))+IF(Q41="FULL",30,IF(Q41="PARTIAL",30/2,0))+IF(R41="FULL",20,IF(R41="PARTIAL",20/2,0))+IF(S41="FULL",10,IF(S41="PARTIAL",10/2,0))</f>
        <v/>
      </c>
      <c r="U41" s="7">
        <f>IF(P41="NOT_CHECKED",0,40)+IF(Q41="NOT_CHECKED",0,30)+IF(R41="NOT_CHECKED",0,20)+IF(S41="NOT_CHECKED",0,10)</f>
        <v/>
      </c>
      <c r="V41" s="7">
        <f>IF(U41=100,T41,"")</f>
        <v/>
      </c>
      <c r="W41" s="7">
        <f>T41</f>
        <v/>
      </c>
      <c r="X41" s="7">
        <f>T41+(100-U41)</f>
        <v/>
      </c>
      <c r="Y41" s="3" t="inlineStr">
        <is>
          <t>["ISS-016-IMG-04"]</t>
        </is>
      </c>
      <c r="Z41" s="3" t="inlineStr">
        <is>
          <t>["seo_runs\\jeminise.com\\20260906_234129\\evidence\\images\\16_christian-bedding-set-inspirational-bible-verse-comforter\\image_04_47933840097479.jpg; seo_runs\\jeminise.com\\20260906_234129\\evidence\\contact_sheets\\16_christian-bedding-set-inspirational-bible-verse-comforter.jpg", "https://jeminise.com/products/christian-bedding-set-inspirational-bible-verse-comforter", "https://cdn.shopify.com/s/files/1/0792/5098/1063/files/1391672888660b8306032c6cd51a0340e0460a1f8b324b0577c2d0a44ea28c9d.jpg?v=1787237716"]</t>
        </is>
      </c>
    </row>
    <row r="42" ht="66" customHeight="1">
      <c r="A42" s="2" t="inlineStr">
        <is>
          <t>jeminise.com+christian-bedding-set-inspirational-bible-verse-comforter</t>
        </is>
      </c>
      <c r="B42" s="2" t="inlineStr">
        <is>
          <t>qaimg_2d6ac9c705235f17</t>
        </is>
      </c>
      <c r="C42" s="4" t="inlineStr">
        <is>
          <t>https://cdn.shopify.com/s/files/1/0792/5098/1063/files/e27fc1e04888a4c2e14d4ffbdcdb670ffbe1f1f1b9be43f941b96dffb8e5689d.jpg?v=1787237716</t>
        </is>
      </c>
      <c r="D42" s="4" t="inlineStr">
        <is>
          <t>https://cdn.shopify.com/s/files/1/0792/5098/1063/files/e27fc1e04888a4c2e14d4ffbdcdb670ffbe1f1f1b9be43f941b96dffb8e5689d.jpg?v=1787237716</t>
        </is>
      </c>
      <c r="E42" s="2" t="inlineStr">
        <is>
          <t>38895077621959</t>
        </is>
      </c>
      <c r="F42" s="2" t="inlineStr">
        <is>
          <t>47933840130247</t>
        </is>
      </c>
      <c r="G42" s="2" t="inlineStr"/>
      <c r="H42" s="2" t="inlineStr">
        <is>
          <t>GALLERY</t>
        </is>
      </c>
      <c r="I42" s="2" t="inlineStr">
        <is>
          <t>DIRECT_ORIGINAL_IMAGE</t>
        </is>
      </c>
      <c r="J42" s="2" t="inlineStr">
        <is>
          <t>2026-09-07T09:36:10.742993+07:00</t>
        </is>
      </c>
      <c r="K42" s="2" t="inlineStr">
        <is>
          <t>Feature graphic stating 100% microfiber, 3D printed pattern, soft touch, lightweight and breathable.</t>
        </is>
      </c>
      <c r="L42" s="2" t="inlineStr">
        <is>
          <t>Sizing or included-components information image for the bedding set.</t>
        </is>
      </c>
      <c r="M42" s="2" t="inlineStr">
        <is>
          <t>Christian Bedding Set – Inspirational Bible Verse Comforter – Religious Bedding for Women, Faith Gift for Mom, Daughter, Sister, Birthday &amp; Religious Gifts (Christian Knight Templar)</t>
        </is>
      </c>
      <c r="N42" s="2" t="inlineStr">
        <is>
          <t>SET</t>
        </is>
      </c>
      <c r="O42" s="2" t="inlineStr">
        <is>
          <t>Size guide for Personalized Christian Warrior Comforter Set</t>
        </is>
      </c>
      <c r="P42" s="2" t="inlineStr">
        <is>
          <t>FULL</t>
        </is>
      </c>
      <c r="Q42" s="2" t="inlineStr">
        <is>
          <t>FAIL</t>
        </is>
      </c>
      <c r="R42" s="2" t="inlineStr">
        <is>
          <t>FAIL</t>
        </is>
      </c>
      <c r="S42" s="2" t="inlineStr">
        <is>
          <t>FULL</t>
        </is>
      </c>
      <c r="T42" s="5">
        <f>IF(P42="FULL",40,IF(P42="PARTIAL",40/2,0))+IF(Q42="FULL",30,IF(Q42="PARTIAL",30/2,0))+IF(R42="FULL",20,IF(R42="PARTIAL",20/2,0))+IF(S42="FULL",10,IF(S42="PARTIAL",10/2,0))</f>
        <v/>
      </c>
      <c r="U42" s="5">
        <f>IF(P42="NOT_CHECKED",0,40)+IF(Q42="NOT_CHECKED",0,30)+IF(R42="NOT_CHECKED",0,20)+IF(S42="NOT_CHECKED",0,10)</f>
        <v/>
      </c>
      <c r="V42" s="5">
        <f>IF(U42=100,T42,"")</f>
        <v/>
      </c>
      <c r="W42" s="5">
        <f>T42</f>
        <v/>
      </c>
      <c r="X42" s="5">
        <f>T42+(100-U42)</f>
        <v/>
      </c>
      <c r="Y42" s="2" t="inlineStr">
        <is>
          <t>["ISS-016-IMG-05"]</t>
        </is>
      </c>
      <c r="Z42" s="2" t="inlineStr">
        <is>
          <t>["seo_runs\\jeminise.com\\20260906_234129\\evidence\\images\\16_christian-bedding-set-inspirational-bible-verse-comforter\\image_05_47933840130247.jpg; seo_runs\\jeminise.com\\20260906_234129\\evidence\\contact_sheets\\16_christian-bedding-set-inspirational-bible-verse-comforter.jpg", "https://jeminise.com/products/christian-bedding-set-inspirational-bible-verse-comforter", "https://cdn.shopify.com/s/files/1/0792/5098/1063/files/e27fc1e04888a4c2e14d4ffbdcdb670ffbe1f1f1b9be43f941b96dffb8e5689d.jpg?v=1787237716"]</t>
        </is>
      </c>
    </row>
    <row r="43" ht="66" customHeight="1">
      <c r="A43" s="3" t="inlineStr">
        <is>
          <t>jeminise.com+christian-bedding-set-inspirational-bible-verse-comforter</t>
        </is>
      </c>
      <c r="B43" s="3" t="inlineStr">
        <is>
          <t>qaimg_f4bc1994c6a2c67e</t>
        </is>
      </c>
      <c r="C43" s="4" t="inlineStr">
        <is>
          <t>https://cdn.shopify.com/s/files/1/0792/5098/1063/files/59b4136c5b8aaddd702f3dda4c3ac549a9ea83142b9e5a1ba73fdbc00be22132.jpg?v=1787237716</t>
        </is>
      </c>
      <c r="D43" s="4" t="inlineStr">
        <is>
          <t>https://cdn.shopify.com/s/files/1/0792/5098/1063/files/59b4136c5b8aaddd702f3dda4c3ac549a9ea83142b9e5a1ba73fdbc00be22132.jpg?v=1787237716</t>
        </is>
      </c>
      <c r="E43" s="3" t="inlineStr">
        <is>
          <t>38895077654727</t>
        </is>
      </c>
      <c r="F43" s="3" t="inlineStr">
        <is>
          <t>47933840163015</t>
        </is>
      </c>
      <c r="G43" s="3" t="inlineStr"/>
      <c r="H43" s="3" t="inlineStr">
        <is>
          <t>GALLERY</t>
        </is>
      </c>
      <c r="I43" s="3" t="inlineStr">
        <is>
          <t>DIRECT_ORIGINAL_IMAGE</t>
        </is>
      </c>
      <c r="J43" s="3" t="inlineStr">
        <is>
          <t>2026-09-07T09:36:10.742993+07:00</t>
        </is>
      </c>
      <c r="K43" s="3" t="inlineStr">
        <is>
          <t>Bedroom close-up with soft, lightweight, durable and breathable feature icons.</t>
        </is>
      </c>
      <c r="L43" s="3" t="inlineStr">
        <is>
          <t>Feature image describing fabric layers, softness, breathability or care details.</t>
        </is>
      </c>
      <c r="M43" s="3" t="inlineStr">
        <is>
          <t>Christian Bedding Set – Inspirational Bible Verse Comforter – Religious Bedding for Women, Faith Gift for Mom, Daughter, Sister, Birthday &amp; Religious Gifts (Christian Knight Templar)</t>
        </is>
      </c>
      <c r="N43" s="3" t="inlineStr">
        <is>
          <t>SET</t>
        </is>
      </c>
      <c r="O43" s="3" t="inlineStr">
        <is>
          <t>Fabric feature graphic for Personalized Christian Warrior Comforter Set</t>
        </is>
      </c>
      <c r="P43" s="3" t="inlineStr">
        <is>
          <t>FULL</t>
        </is>
      </c>
      <c r="Q43" s="3" t="inlineStr">
        <is>
          <t>FULL</t>
        </is>
      </c>
      <c r="R43" s="3" t="inlineStr">
        <is>
          <t>FULL</t>
        </is>
      </c>
      <c r="S43" s="3" t="inlineStr">
        <is>
          <t>FULL</t>
        </is>
      </c>
      <c r="T43" s="7">
        <f>IF(P43="FULL",40,IF(P43="PARTIAL",40/2,0))+IF(Q43="FULL",30,IF(Q43="PARTIAL",30/2,0))+IF(R43="FULL",20,IF(R43="PARTIAL",20/2,0))+IF(S43="FULL",10,IF(S43="PARTIAL",10/2,0))</f>
        <v/>
      </c>
      <c r="U43" s="7">
        <f>IF(P43="NOT_CHECKED",0,40)+IF(Q43="NOT_CHECKED",0,30)+IF(R43="NOT_CHECKED",0,20)+IF(S43="NOT_CHECKED",0,10)</f>
        <v/>
      </c>
      <c r="V43" s="7">
        <f>IF(U43=100,T43,"")</f>
        <v/>
      </c>
      <c r="W43" s="7">
        <f>T43</f>
        <v/>
      </c>
      <c r="X43" s="7">
        <f>T43+(100-U43)</f>
        <v/>
      </c>
      <c r="Y43" s="3" t="inlineStr">
        <is>
          <t>[]</t>
        </is>
      </c>
      <c r="Z43" s="3" t="inlineStr">
        <is>
          <t>["seo_runs\\jeminise.com\\20260906_234129\\evidence\\images\\16_christian-bedding-set-inspirational-bible-verse-comforter\\image_06_47933840163015.jpg; seo_runs\\jeminise.com\\20260906_234129\\evidence\\contact_sheets\\16_christian-bedding-set-inspirational-bible-verse-comforter.jpg", "https://jeminise.com/products/christian-bedding-set-inspirational-bible-verse-comforter", "https://cdn.shopify.com/s/files/1/0792/5098/1063/files/59b4136c5b8aaddd702f3dda4c3ac549a9ea83142b9e5a1ba73fdbc00be22132.jpg?v=1787237716"]</t>
        </is>
      </c>
    </row>
    <row r="44" ht="66" customHeight="1">
      <c r="A44" s="2" t="inlineStr">
        <is>
          <t>jeminise.com+christian-bedding-set-inspirational-bible-verse-comforter</t>
        </is>
      </c>
      <c r="B44" s="2" t="inlineStr">
        <is>
          <t>qaimg_99da286e0c6a5df7</t>
        </is>
      </c>
      <c r="C44" s="4" t="inlineStr">
        <is>
          <t>https://cdn.shopify.com/s/files/1/0792/5098/1063/files/700766e63cdebb7f3088f7ecaf56b3bae4ce4d1ffe15a4a258d5814894208554.jpg?v=1787237716</t>
        </is>
      </c>
      <c r="D44" s="4" t="inlineStr">
        <is>
          <t>https://cdn.shopify.com/s/files/1/0792/5098/1063/files/700766e63cdebb7f3088f7ecaf56b3bae4ce4d1ffe15a4a258d5814894208554.jpg?v=1787237716</t>
        </is>
      </c>
      <c r="E44" s="2" t="inlineStr">
        <is>
          <t>38895077687495</t>
        </is>
      </c>
      <c r="F44" s="2" t="inlineStr">
        <is>
          <t>47933840195783</t>
        </is>
      </c>
      <c r="G44" s="2" t="inlineStr"/>
      <c r="H44" s="2" t="inlineStr">
        <is>
          <t>GALLERY</t>
        </is>
      </c>
      <c r="I44" s="2" t="inlineStr">
        <is>
          <t>DIRECT_ORIGINAL_IMAGE</t>
        </is>
      </c>
      <c r="J44" s="2" t="inlineStr">
        <is>
          <t>2026-09-07T09:36:10.742993+07:00</t>
        </is>
      </c>
      <c r="K44" s="2" t="inlineStr">
        <is>
          <t>Easy-care graphic stating wrinkle-free, stain-proof, anti-pilling and won't fade in the wash.</t>
        </is>
      </c>
      <c r="L44" s="2" t="inlineStr">
        <is>
          <t>Additional bedroom mockup showing the black Christian warrior lion design with the name David and large white cross design on a bed.</t>
        </is>
      </c>
      <c r="M44" s="2" t="inlineStr">
        <is>
          <t>Christian Bedding Set – Inspirational Bible Verse Comforter – Religious Bedding for Women, Faith Gift for Mom, Daughter, Sister, Birthday &amp; Religious Gifts (Christian Knight Templar)</t>
        </is>
      </c>
      <c r="N44" s="2" t="inlineStr">
        <is>
          <t>SET</t>
        </is>
      </c>
      <c r="O44" s="2" t="inlineStr">
        <is>
          <t>Bedroom mockup of Personalized Christian Warrior Comforter Set</t>
        </is>
      </c>
      <c r="P44" s="2" t="inlineStr">
        <is>
          <t>FULL</t>
        </is>
      </c>
      <c r="Q44" s="2" t="inlineStr">
        <is>
          <t>FAIL</t>
        </is>
      </c>
      <c r="R44" s="2" t="inlineStr">
        <is>
          <t>FAIL</t>
        </is>
      </c>
      <c r="S44" s="2" t="inlineStr">
        <is>
          <t>FULL</t>
        </is>
      </c>
      <c r="T44" s="5">
        <f>IF(P44="FULL",40,IF(P44="PARTIAL",40/2,0))+IF(Q44="FULL",30,IF(Q44="PARTIAL",30/2,0))+IF(R44="FULL",20,IF(R44="PARTIAL",20/2,0))+IF(S44="FULL",10,IF(S44="PARTIAL",10/2,0))</f>
        <v/>
      </c>
      <c r="U44" s="5">
        <f>IF(P44="NOT_CHECKED",0,40)+IF(Q44="NOT_CHECKED",0,30)+IF(R44="NOT_CHECKED",0,20)+IF(S44="NOT_CHECKED",0,10)</f>
        <v/>
      </c>
      <c r="V44" s="5">
        <f>IF(U44=100,T44,"")</f>
        <v/>
      </c>
      <c r="W44" s="5">
        <f>T44</f>
        <v/>
      </c>
      <c r="X44" s="5">
        <f>T44+(100-U44)</f>
        <v/>
      </c>
      <c r="Y44" s="2" t="inlineStr">
        <is>
          <t>["ISS-016-IMG-07"]</t>
        </is>
      </c>
      <c r="Z44" s="2" t="inlineStr">
        <is>
          <t>["seo_runs\\jeminise.com\\20260906_234129\\evidence\\images\\16_christian-bedding-set-inspirational-bible-verse-comforter\\image_07_47933840195783.jpg; seo_runs\\jeminise.com\\20260906_234129\\evidence\\contact_sheets\\16_christian-bedding-set-inspirational-bible-verse-comforter.jpg", "https://jeminise.com/products/christian-bedding-set-inspirational-bible-verse-comforter", "https://cdn.shopify.com/s/files/1/0792/5098/1063/files/700766e63cdebb7f3088f7ecaf56b3bae4ce4d1ffe15a4a258d5814894208554.jpg?v=1787237716"]</t>
        </is>
      </c>
    </row>
    <row r="45" ht="66" customHeight="1">
      <c r="A45" s="3" t="inlineStr">
        <is>
          <t>jeminise.com+christian-bedding-set-inspirational-bible-verse-comforter</t>
        </is>
      </c>
      <c r="B45" s="3" t="inlineStr">
        <is>
          <t>qaimg_b6f3b14622752957</t>
        </is>
      </c>
      <c r="C45" s="4" t="inlineStr">
        <is>
          <t>https://cdn.shopify.com/s/files/1/0792/5098/1063/files/f21374c2239f926c348f6641a7e0f8929698fa199fd8f23e654037e1384e4214.jpg?v=1787237716</t>
        </is>
      </c>
      <c r="D45" s="4" t="inlineStr">
        <is>
          <t>https://cdn.shopify.com/s/files/1/0792/5098/1063/files/f21374c2239f926c348f6641a7e0f8929698fa199fd8f23e654037e1384e4214.jpg?v=1787237716</t>
        </is>
      </c>
      <c r="E45" s="3" t="inlineStr">
        <is>
          <t>38895077720263</t>
        </is>
      </c>
      <c r="F45" s="3" t="inlineStr">
        <is>
          <t>47933840228551</t>
        </is>
      </c>
      <c r="G45" s="3" t="inlineStr"/>
      <c r="H45" s="3" t="inlineStr">
        <is>
          <t>GALLERY</t>
        </is>
      </c>
      <c r="I45" s="3" t="inlineStr">
        <is>
          <t>DIRECT_ORIGINAL_IMAGE</t>
        </is>
      </c>
      <c r="J45" s="3" t="inlineStr">
        <is>
          <t>2026-09-07T09:36:10.742993+07:00</t>
        </is>
      </c>
      <c r="K45" s="3" t="inlineStr">
        <is>
          <t>Twin, Full, Queen and King dimension chart; heading reads SIZE DIMENTION.</t>
        </is>
      </c>
      <c r="L45" s="3" t="inlineStr">
        <is>
          <t>Additional product information image for size, care, personalization or bedding type.</t>
        </is>
      </c>
      <c r="M45" s="3" t="inlineStr">
        <is>
          <t>Christian Bedding Set – Inspirational Bible Verse Comforter – Religious Bedding for Women, Faith Gift for Mom, Daughter, Sister, Birthday &amp; Religious Gifts (Christian Knight Templar)</t>
        </is>
      </c>
      <c r="N45" s="3" t="inlineStr">
        <is>
          <t>SET</t>
        </is>
      </c>
      <c r="O45" s="3" t="inlineStr">
        <is>
          <t>Size or personalization guide for Personalized Christian Warrior Comforter Set</t>
        </is>
      </c>
      <c r="P45" s="3" t="inlineStr">
        <is>
          <t>FULL</t>
        </is>
      </c>
      <c r="Q45" s="3" t="inlineStr">
        <is>
          <t>PARTIAL</t>
        </is>
      </c>
      <c r="R45" s="3" t="inlineStr">
        <is>
          <t>PARTIAL</t>
        </is>
      </c>
      <c r="S45" s="3" t="inlineStr">
        <is>
          <t>FULL</t>
        </is>
      </c>
      <c r="T45" s="7">
        <f>IF(P45="FULL",40,IF(P45="PARTIAL",40/2,0))+IF(Q45="FULL",30,IF(Q45="PARTIAL",30/2,0))+IF(R45="FULL",20,IF(R45="PARTIAL",20/2,0))+IF(S45="FULL",10,IF(S45="PARTIAL",10/2,0))</f>
        <v/>
      </c>
      <c r="U45" s="7">
        <f>IF(P45="NOT_CHECKED",0,40)+IF(Q45="NOT_CHECKED",0,30)+IF(R45="NOT_CHECKED",0,20)+IF(S45="NOT_CHECKED",0,10)</f>
        <v/>
      </c>
      <c r="V45" s="7">
        <f>IF(U45=100,T45,"")</f>
        <v/>
      </c>
      <c r="W45" s="7">
        <f>T45</f>
        <v/>
      </c>
      <c r="X45" s="7">
        <f>T45+(100-U45)</f>
        <v/>
      </c>
      <c r="Y45" s="3" t="inlineStr">
        <is>
          <t>["ISS-016-IMG-08"]</t>
        </is>
      </c>
      <c r="Z45" s="3" t="inlineStr">
        <is>
          <t>["seo_runs\\jeminise.com\\20260906_234129\\evidence\\images\\16_christian-bedding-set-inspirational-bible-verse-comforter\\image_08_47933840228551.jpg; seo_runs\\jeminise.com\\20260906_234129\\evidence\\contact_sheets\\16_christian-bedding-set-inspirational-bible-verse-comforter.jpg", "https://jeminise.com/products/christian-bedding-set-inspirational-bible-verse-comforter", "https://cdn.shopify.com/s/files/1/0792/5098/1063/files/f21374c2239f926c348f6641a7e0f8929698fa199fd8f23e654037e1384e4214.jpg?v=1787237716"]</t>
        </is>
      </c>
    </row>
    <row r="46" ht="66" customHeight="1">
      <c r="A46" s="2" t="inlineStr">
        <is>
          <t>jeminise.com+christmas-bedding-quilt-soft-microfiber-holiday-bedsprea-design-01</t>
        </is>
      </c>
      <c r="B46" s="2" t="inlineStr">
        <is>
          <t>qaimg_df5c014b46f12d12</t>
        </is>
      </c>
      <c r="C46" s="4" t="inlineStr">
        <is>
          <t>https://cdn.shopify.com/s/files/1/0792/5098/1063/files/98667aa304d1cce79ae2ca099f84c182034fb8adc27fbd823eb0c5c00bd2999d.jpg?v=1787239344</t>
        </is>
      </c>
      <c r="D46" s="4" t="inlineStr">
        <is>
          <t>https://cdn.shopify.com/s/files/1/0792/5098/1063/files/98667aa304d1cce79ae2ca099f84c182034fb8adc27fbd823eb0c5c00bd2999d.jpg?v=1787239344</t>
        </is>
      </c>
      <c r="E46" s="2" t="inlineStr">
        <is>
          <t>38895273902279</t>
        </is>
      </c>
      <c r="F46" s="2" t="inlineStr">
        <is>
          <t>47934037360839</t>
        </is>
      </c>
      <c r="G46" s="2" t="inlineStr"/>
      <c r="H46" s="2" t="inlineStr">
        <is>
          <t>GALLERY</t>
        </is>
      </c>
      <c r="I46" s="2" t="inlineStr">
        <is>
          <t>DIRECT_ORIGINAL_IMAGE</t>
        </is>
      </c>
      <c r="J46" s="2" t="inlineStr">
        <is>
          <t>2026-09-07T09:36:10.742993+07:00</t>
        </is>
      </c>
      <c r="K46" s="2" t="inlineStr">
        <is>
          <t>Front bedroom mockup of a red, navy, olive and cream Christmas-tree patchwork quilt.</t>
        </is>
      </c>
      <c r="L46" s="2" t="inlineStr">
        <is>
          <t>Main bed mockup showing Christmas tree patchwork quilt in red, navy, green and cream squares.</t>
        </is>
      </c>
      <c r="M46" s="2" t="inlineStr">
        <is>
          <t>Christmas Bedding Quilt – Soft Microfiber Holiday Bedspread, Lightweight Winter Bedding, Cozy Xmas Quilts for Couch, Bedroom &amp; Seasonal Home Decorations (Christmas Quilt-DS01)</t>
        </is>
      </c>
      <c r="N46" s="2" t="inlineStr">
        <is>
          <t>SET</t>
        </is>
      </c>
      <c r="O46" s="2" t="inlineStr">
        <is>
          <t>Christmas Tree Patchwork Quilt Set displayed on a bed</t>
        </is>
      </c>
      <c r="P46" s="2" t="inlineStr">
        <is>
          <t>FULL</t>
        </is>
      </c>
      <c r="Q46" s="2" t="inlineStr">
        <is>
          <t>FULL</t>
        </is>
      </c>
      <c r="R46" s="2" t="inlineStr">
        <is>
          <t>FULL</t>
        </is>
      </c>
      <c r="S46" s="2" t="inlineStr">
        <is>
          <t>FULL</t>
        </is>
      </c>
      <c r="T46" s="5">
        <f>IF(P46="FULL",40,IF(P46="PARTIAL",40/2,0))+IF(Q46="FULL",30,IF(Q46="PARTIAL",30/2,0))+IF(R46="FULL",20,IF(R46="PARTIAL",20/2,0))+IF(S46="FULL",10,IF(S46="PARTIAL",10/2,0))</f>
        <v/>
      </c>
      <c r="U46" s="5">
        <f>IF(P46="NOT_CHECKED",0,40)+IF(Q46="NOT_CHECKED",0,30)+IF(R46="NOT_CHECKED",0,20)+IF(S46="NOT_CHECKED",0,10)</f>
        <v/>
      </c>
      <c r="V46" s="5">
        <f>IF(U46=100,T46,"")</f>
        <v/>
      </c>
      <c r="W46" s="5">
        <f>T46</f>
        <v/>
      </c>
      <c r="X46" s="5">
        <f>T46+(100-U46)</f>
        <v/>
      </c>
      <c r="Y46" s="2" t="inlineStr">
        <is>
          <t>[]</t>
        </is>
      </c>
      <c r="Z46" s="2" t="inlineStr">
        <is>
          <t>["seo_runs\\jeminise.com\\20260906_234129\\evidence\\images\\17_christmas-bedding-quilt-soft-microfiber-holiday-bedsprea-design-01\\image_01_47934037360839.jpg; seo_runs\\jeminise.com\\20260906_234129\\evidence\\contact_sheets\\17_christmas-bedding-quilt-soft-microfiber-holiday-bedsprea-design-01.jpg", "https://jeminise.com/products/christmas-bedding-quilt-soft-microfiber-holiday-bedsprea-design-01", "https://cdn.shopify.com/s/files/1/0792/5098/1063/files/98667aa304d1cce79ae2ca099f84c182034fb8adc27fbd823eb0c5c00bd2999d.jpg?v=1787239344"]</t>
        </is>
      </c>
    </row>
    <row r="47" ht="66" customHeight="1">
      <c r="A47" s="3" t="inlineStr">
        <is>
          <t>jeminise.com+christmas-bedding-quilt-soft-microfiber-holiday-bedsprea-design-01</t>
        </is>
      </c>
      <c r="B47" s="3" t="inlineStr">
        <is>
          <t>qaimg_9c8b4dfb6ba046b3</t>
        </is>
      </c>
      <c r="C47" s="4" t="inlineStr">
        <is>
          <t>https://cdn.shopify.com/s/files/1/0792/5098/1063/files/ef5fb0f3b4abe84445884164b3fe8a9b60849f27d9f160dbf6202e551cd44354.jpg?v=1787239344</t>
        </is>
      </c>
      <c r="D47" s="4" t="inlineStr">
        <is>
          <t>https://cdn.shopify.com/s/files/1/0792/5098/1063/files/ef5fb0f3b4abe84445884164b3fe8a9b60849f27d9f160dbf6202e551cd44354.jpg?v=1787239344</t>
        </is>
      </c>
      <c r="E47" s="3" t="inlineStr">
        <is>
          <t>38895273935047</t>
        </is>
      </c>
      <c r="F47" s="3" t="inlineStr">
        <is>
          <t>47934037393607</t>
        </is>
      </c>
      <c r="G47" s="3" t="inlineStr"/>
      <c r="H47" s="3" t="inlineStr">
        <is>
          <t>GALLERY</t>
        </is>
      </c>
      <c r="I47" s="3" t="inlineStr">
        <is>
          <t>DIRECT_ORIGINAL_IMAGE</t>
        </is>
      </c>
      <c r="J47" s="3" t="inlineStr">
        <is>
          <t>2026-09-07T09:36:10.742993+07:00</t>
        </is>
      </c>
      <c r="K47" s="3" t="inlineStr">
        <is>
          <t>Angled bedroom mockup of the same Christmas-tree patchwork quilt.</t>
        </is>
      </c>
      <c r="L47" s="3" t="inlineStr">
        <is>
          <t>Secondary detail or room mockup showing Christmas tree patchwork quilt in red, navy, green and cream squares and visible quilted/printed texture.</t>
        </is>
      </c>
      <c r="M47" s="3" t="inlineStr">
        <is>
          <t>Christmas Bedding Quilt – Soft Microfiber Holiday Bedspread, Lightweight Winter Bedding, Cozy Xmas Quilts for Couch, Bedroom &amp; Seasonal Home Decorations (Christmas Quilt-DS01)</t>
        </is>
      </c>
      <c r="N47" s="3" t="inlineStr">
        <is>
          <t>SET</t>
        </is>
      </c>
      <c r="O47" s="3" t="inlineStr">
        <is>
          <t>Close view of Christmas tree patchwork quilt in red, navy, green and cream squares on the quilt set</t>
        </is>
      </c>
      <c r="P47" s="3" t="inlineStr">
        <is>
          <t>FULL</t>
        </is>
      </c>
      <c r="Q47" s="3" t="inlineStr">
        <is>
          <t>FULL</t>
        </is>
      </c>
      <c r="R47" s="3" t="inlineStr">
        <is>
          <t>FULL</t>
        </is>
      </c>
      <c r="S47" s="3" t="inlineStr">
        <is>
          <t>FULL</t>
        </is>
      </c>
      <c r="T47" s="7">
        <f>IF(P47="FULL",40,IF(P47="PARTIAL",40/2,0))+IF(Q47="FULL",30,IF(Q47="PARTIAL",30/2,0))+IF(R47="FULL",20,IF(R47="PARTIAL",20/2,0))+IF(S47="FULL",10,IF(S47="PARTIAL",10/2,0))</f>
        <v/>
      </c>
      <c r="U47" s="7">
        <f>IF(P47="NOT_CHECKED",0,40)+IF(Q47="NOT_CHECKED",0,30)+IF(R47="NOT_CHECKED",0,20)+IF(S47="NOT_CHECKED",0,10)</f>
        <v/>
      </c>
      <c r="V47" s="7">
        <f>IF(U47=100,T47,"")</f>
        <v/>
      </c>
      <c r="W47" s="7">
        <f>T47</f>
        <v/>
      </c>
      <c r="X47" s="7">
        <f>T47+(100-U47)</f>
        <v/>
      </c>
      <c r="Y47" s="3" t="inlineStr">
        <is>
          <t>[]</t>
        </is>
      </c>
      <c r="Z47" s="3" t="inlineStr">
        <is>
          <t>["seo_runs\\jeminise.com\\20260906_234129\\evidence\\images\\17_christmas-bedding-quilt-soft-microfiber-holiday-bedsprea-design-01\\image_02_47934037393607.jpg; seo_runs\\jeminise.com\\20260906_234129\\evidence\\contact_sheets\\17_christmas-bedding-quilt-soft-microfiber-holiday-bedsprea-design-01.jpg", "https://jeminise.com/products/christmas-bedding-quilt-soft-microfiber-holiday-bedsprea-design-01", "https://cdn.shopify.com/s/files/1/0792/5098/1063/files/ef5fb0f3b4abe84445884164b3fe8a9b60849f27d9f160dbf6202e551cd44354.jpg?v=1787239344"]</t>
        </is>
      </c>
    </row>
    <row r="48" ht="66" customHeight="1">
      <c r="A48" s="2" t="inlineStr">
        <is>
          <t>jeminise.com+christmas-bedding-quilt-soft-microfiber-holiday-bedsprea-design-01</t>
        </is>
      </c>
      <c r="B48" s="2" t="inlineStr">
        <is>
          <t>qaimg_5ec1c83c3b06a01d</t>
        </is>
      </c>
      <c r="C48" s="4" t="inlineStr">
        <is>
          <t>https://cdn.shopify.com/s/files/1/0792/5098/1063/files/4b19b345400162da6ca516cd83b37574ed8b518e4fb7f48520940b3fc7b5f9df.jpg?v=1787239344</t>
        </is>
      </c>
      <c r="D48" s="4" t="inlineStr">
        <is>
          <t>https://cdn.shopify.com/s/files/1/0792/5098/1063/files/4b19b345400162da6ca516cd83b37574ed8b518e4fb7f48520940b3fc7b5f9df.jpg?v=1787239344</t>
        </is>
      </c>
      <c r="E48" s="2" t="inlineStr">
        <is>
          <t>38895273967815</t>
        </is>
      </c>
      <c r="F48" s="2" t="inlineStr">
        <is>
          <t>47934037426375</t>
        </is>
      </c>
      <c r="G48" s="2" t="inlineStr"/>
      <c r="H48" s="2" t="inlineStr">
        <is>
          <t>GALLERY</t>
        </is>
      </c>
      <c r="I48" s="2" t="inlineStr">
        <is>
          <t>DIRECT_ORIGINAL_IMAGE</t>
        </is>
      </c>
      <c r="J48" s="2" t="inlineStr">
        <is>
          <t>2026-09-07T09:36:10.742993+07:00</t>
        </is>
      </c>
      <c r="K48" s="2" t="inlineStr">
        <is>
          <t>Isolated matching pillow sham with the Christmas-tree patchwork print.</t>
        </is>
      </c>
      <c r="L48" s="2" t="inlineStr">
        <is>
          <t>Matching pillow sham or bedding detail using the same Christmas tree patchwork quilt in red, navy, green and cream squares artwork.</t>
        </is>
      </c>
      <c r="M48" s="2" t="inlineStr">
        <is>
          <t>Christmas Bedding Quilt – Soft Microfiber Holiday Bedspread, Lightweight Winter Bedding, Cozy Xmas Quilts for Couch, Bedroom &amp; Seasonal Home Decorations (Christmas Quilt-DS01)</t>
        </is>
      </c>
      <c r="N48" s="2" t="inlineStr">
        <is>
          <t>SET</t>
        </is>
      </c>
      <c r="O48" s="2" t="inlineStr">
        <is>
          <t>Matching pillow sham for Christmas Tree Patchwork Quilt Set</t>
        </is>
      </c>
      <c r="P48" s="2" t="inlineStr">
        <is>
          <t>FULL</t>
        </is>
      </c>
      <c r="Q48" s="2" t="inlineStr">
        <is>
          <t>FULL</t>
        </is>
      </c>
      <c r="R48" s="2" t="inlineStr">
        <is>
          <t>FULL</t>
        </is>
      </c>
      <c r="S48" s="2" t="inlineStr">
        <is>
          <t>FULL</t>
        </is>
      </c>
      <c r="T48" s="5">
        <f>IF(P48="FULL",40,IF(P48="PARTIAL",40/2,0))+IF(Q48="FULL",30,IF(Q48="PARTIAL",30/2,0))+IF(R48="FULL",20,IF(R48="PARTIAL",20/2,0))+IF(S48="FULL",10,IF(S48="PARTIAL",10/2,0))</f>
        <v/>
      </c>
      <c r="U48" s="5">
        <f>IF(P48="NOT_CHECKED",0,40)+IF(Q48="NOT_CHECKED",0,30)+IF(R48="NOT_CHECKED",0,20)+IF(S48="NOT_CHECKED",0,10)</f>
        <v/>
      </c>
      <c r="V48" s="5">
        <f>IF(U48=100,T48,"")</f>
        <v/>
      </c>
      <c r="W48" s="5">
        <f>T48</f>
        <v/>
      </c>
      <c r="X48" s="5">
        <f>T48+(100-U48)</f>
        <v/>
      </c>
      <c r="Y48" s="2" t="inlineStr">
        <is>
          <t>[]</t>
        </is>
      </c>
      <c r="Z48" s="2" t="inlineStr">
        <is>
          <t>["seo_runs\\jeminise.com\\20260906_234129\\evidence\\images\\17_christmas-bedding-quilt-soft-microfiber-holiday-bedsprea-design-01\\image_03_47934037426375.jpg; seo_runs\\jeminise.com\\20260906_234129\\evidence\\contact_sheets\\17_christmas-bedding-quilt-soft-microfiber-holiday-bedsprea-design-01.jpg", "https://jeminise.com/products/christmas-bedding-quilt-soft-microfiber-holiday-bedsprea-design-01", "https://cdn.shopify.com/s/files/1/0792/5098/1063/files/4b19b345400162da6ca516cd83b37574ed8b518e4fb7f48520940b3fc7b5f9df.jpg?v=1787239344"]</t>
        </is>
      </c>
    </row>
    <row r="49" ht="66" customHeight="1">
      <c r="A49" s="3" t="inlineStr">
        <is>
          <t>jeminise.com+christmas-bedding-quilt-soft-microfiber-holiday-bedsprea-design-01</t>
        </is>
      </c>
      <c r="B49" s="3" t="inlineStr">
        <is>
          <t>qaimg_2eab440c26c84af6</t>
        </is>
      </c>
      <c r="C49" s="4" t="inlineStr">
        <is>
          <t>https://cdn.shopify.com/s/files/1/0792/5098/1063/files/c7fc88ca9ec64e57ac466c010b032d865a04a5f7efbdb4acdfcaf38397afc4e5.jpg?v=1787239344</t>
        </is>
      </c>
      <c r="D49" s="4" t="inlineStr">
        <is>
          <t>https://cdn.shopify.com/s/files/1/0792/5098/1063/files/c7fc88ca9ec64e57ac466c010b032d865a04a5f7efbdb4acdfcaf38397afc4e5.jpg?v=1787239344</t>
        </is>
      </c>
      <c r="E49" s="3" t="inlineStr">
        <is>
          <t>38895274000583</t>
        </is>
      </c>
      <c r="F49" s="3" t="inlineStr">
        <is>
          <t>47934037459143</t>
        </is>
      </c>
      <c r="G49" s="3" t="inlineStr"/>
      <c r="H49" s="3" t="inlineStr">
        <is>
          <t>GALLERY</t>
        </is>
      </c>
      <c r="I49" s="3" t="inlineStr">
        <is>
          <t>DIRECT_ORIGINAL_IMAGE</t>
        </is>
      </c>
      <c r="J49" s="3" t="inlineStr">
        <is>
          <t>2026-09-07T09:36:10.742993+07:00</t>
        </is>
      </c>
      <c r="K49" s="3" t="inlineStr">
        <is>
          <t>Close-up of the printed faux-patchwork surface and visible quilting lines.</t>
        </is>
      </c>
      <c r="L49" s="3" t="inlineStr">
        <is>
          <t>Room/folded product or fabric information image tied to the Christmas tree patchwork quilt in red, navy, green and cream squares design.</t>
        </is>
      </c>
      <c r="M49" s="3" t="inlineStr">
        <is>
          <t>Christmas Bedding Quilt – Soft Microfiber Holiday Bedspread, Lightweight Winter Bedding, Cozy Xmas Quilts for Couch, Bedroom &amp; Seasonal Home Decorations (Christmas Quilt-DS01)</t>
        </is>
      </c>
      <c r="N49" s="3" t="inlineStr">
        <is>
          <t>SET</t>
        </is>
      </c>
      <c r="O49" s="3" t="inlineStr">
        <is>
          <t>Christmas Tree Patchwork Quilt Set shown in a bedroom setting</t>
        </is>
      </c>
      <c r="P49" s="3" t="inlineStr">
        <is>
          <t>FULL</t>
        </is>
      </c>
      <c r="Q49" s="3" t="inlineStr">
        <is>
          <t>FAIL</t>
        </is>
      </c>
      <c r="R49" s="3" t="inlineStr">
        <is>
          <t>FAIL</t>
        </is>
      </c>
      <c r="S49" s="3" t="inlineStr">
        <is>
          <t>FULL</t>
        </is>
      </c>
      <c r="T49" s="7">
        <f>IF(P49="FULL",40,IF(P49="PARTIAL",40/2,0))+IF(Q49="FULL",30,IF(Q49="PARTIAL",30/2,0))+IF(R49="FULL",20,IF(R49="PARTIAL",20/2,0))+IF(S49="FULL",10,IF(S49="PARTIAL",10/2,0))</f>
        <v/>
      </c>
      <c r="U49" s="7">
        <f>IF(P49="NOT_CHECKED",0,40)+IF(Q49="NOT_CHECKED",0,30)+IF(R49="NOT_CHECKED",0,20)+IF(S49="NOT_CHECKED",0,10)</f>
        <v/>
      </c>
      <c r="V49" s="7">
        <f>IF(U49=100,T49,"")</f>
        <v/>
      </c>
      <c r="W49" s="7">
        <f>T49</f>
        <v/>
      </c>
      <c r="X49" s="7">
        <f>T49+(100-U49)</f>
        <v/>
      </c>
      <c r="Y49" s="3" t="inlineStr">
        <is>
          <t>["ISS-017-IMG-04"]</t>
        </is>
      </c>
      <c r="Z49" s="3" t="inlineStr">
        <is>
          <t>["seo_runs\\jeminise.com\\20260906_234129\\evidence\\images\\17_christmas-bedding-quilt-soft-microfiber-holiday-bedsprea-design-01\\image_04_47934037459143.jpg; seo_runs\\jeminise.com\\20260906_234129\\evidence\\contact_sheets\\17_christmas-bedding-quilt-soft-microfiber-holiday-bedsprea-design-01.jpg", "https://jeminise.com/products/christmas-bedding-quilt-soft-microfiber-holiday-bedsprea-design-01", "https://cdn.shopify.com/s/files/1/0792/5098/1063/files/c7fc88ca9ec64e57ac466c010b032d865a04a5f7efbdb4acdfcaf38397afc4e5.jpg?v=1787239344"]</t>
        </is>
      </c>
    </row>
    <row r="50" ht="66" customHeight="1">
      <c r="A50" s="2" t="inlineStr">
        <is>
          <t>jeminise.com+christmas-bedding-quilt-soft-microfiber-holiday-bedsprea-design-01</t>
        </is>
      </c>
      <c r="B50" s="2" t="inlineStr">
        <is>
          <t>qaimg_3b2404c3a47bca9a</t>
        </is>
      </c>
      <c r="C50" s="4" t="inlineStr">
        <is>
          <t>https://cdn.shopify.com/s/files/1/0792/5098/1063/files/f9918abc28c263da8a27b5d2771f223f596735f0b41e35025e4ec8c4b1213901.jpg?v=1787239344</t>
        </is>
      </c>
      <c r="D50" s="4" t="inlineStr">
        <is>
          <t>https://cdn.shopify.com/s/files/1/0792/5098/1063/files/f9918abc28c263da8a27b5d2771f223f596735f0b41e35025e4ec8c4b1213901.jpg?v=1787239344</t>
        </is>
      </c>
      <c r="E50" s="2" t="inlineStr">
        <is>
          <t>38895274033351</t>
        </is>
      </c>
      <c r="F50" s="2" t="inlineStr">
        <is>
          <t>47934037491911</t>
        </is>
      </c>
      <c r="G50" s="2" t="inlineStr"/>
      <c r="H50" s="2" t="inlineStr">
        <is>
          <t>GALLERY</t>
        </is>
      </c>
      <c r="I50" s="2" t="inlineStr">
        <is>
          <t>DIRECT_ORIGINAL_IMAGE</t>
        </is>
      </c>
      <c r="J50" s="2" t="inlineStr">
        <is>
          <t>2026-09-07T09:36:10.742993+07:00</t>
        </is>
      </c>
      <c r="K50" s="2" t="inlineStr">
        <is>
          <t>Included-components and size graphic: one premium quilt plus two optional standard shams; Throw, Twin, Queen and King dimensions.</t>
        </is>
      </c>
      <c r="L50" s="2" t="inlineStr">
        <is>
          <t>Sizing or included-components information image for the bedding set.</t>
        </is>
      </c>
      <c r="M50" s="2" t="inlineStr">
        <is>
          <t>Christmas Bedding Quilt – Soft Microfiber Holiday Bedspread, Lightweight Winter Bedding, Cozy Xmas Quilts for Couch, Bedroom &amp; Seasonal Home Decorations (Christmas Quilt-DS01)</t>
        </is>
      </c>
      <c r="N50" s="2" t="inlineStr">
        <is>
          <t>SET</t>
        </is>
      </c>
      <c r="O50" s="2" t="inlineStr">
        <is>
          <t>Size guide for Christmas Tree Patchwork Quilt Set</t>
        </is>
      </c>
      <c r="P50" s="2" t="inlineStr">
        <is>
          <t>FULL</t>
        </is>
      </c>
      <c r="Q50" s="2" t="inlineStr">
        <is>
          <t>FULL</t>
        </is>
      </c>
      <c r="R50" s="2" t="inlineStr">
        <is>
          <t>FULL</t>
        </is>
      </c>
      <c r="S50" s="2" t="inlineStr">
        <is>
          <t>FULL</t>
        </is>
      </c>
      <c r="T50" s="5">
        <f>IF(P50="FULL",40,IF(P50="PARTIAL",40/2,0))+IF(Q50="FULL",30,IF(Q50="PARTIAL",30/2,0))+IF(R50="FULL",20,IF(R50="PARTIAL",20/2,0))+IF(S50="FULL",10,IF(S50="PARTIAL",10/2,0))</f>
        <v/>
      </c>
      <c r="U50" s="5">
        <f>IF(P50="NOT_CHECKED",0,40)+IF(Q50="NOT_CHECKED",0,30)+IF(R50="NOT_CHECKED",0,20)+IF(S50="NOT_CHECKED",0,10)</f>
        <v/>
      </c>
      <c r="V50" s="5">
        <f>IF(U50=100,T50,"")</f>
        <v/>
      </c>
      <c r="W50" s="5">
        <f>T50</f>
        <v/>
      </c>
      <c r="X50" s="5">
        <f>T50+(100-U50)</f>
        <v/>
      </c>
      <c r="Y50" s="2" t="inlineStr">
        <is>
          <t>[]</t>
        </is>
      </c>
      <c r="Z50" s="2" t="inlineStr">
        <is>
          <t>["seo_runs\\jeminise.com\\20260906_234129\\evidence\\images\\17_christmas-bedding-quilt-soft-microfiber-holiday-bedsprea-design-01\\image_05_47934037491911.jpg; seo_runs\\jeminise.com\\20260906_234129\\evidence\\contact_sheets\\17_christmas-bedding-quilt-soft-microfiber-holiday-bedsprea-design-01.jpg", "https://jeminise.com/products/christmas-bedding-quilt-soft-microfiber-holiday-bedsprea-design-01", "https://cdn.shopify.com/s/files/1/0792/5098/1063/files/f9918abc28c263da8a27b5d2771f223f596735f0b41e35025e4ec8c4b1213901.jpg?v=1787239344"]</t>
        </is>
      </c>
    </row>
    <row r="51" ht="66" customHeight="1">
      <c r="A51" s="3" t="inlineStr">
        <is>
          <t>jeminise.com+christmas-bedding-quilt-soft-microfiber-holiday-bedsprea-design-02</t>
        </is>
      </c>
      <c r="B51" s="3" t="inlineStr">
        <is>
          <t>qaimg_a5aa70c5e4ea5177</t>
        </is>
      </c>
      <c r="C51" s="4" t="inlineStr">
        <is>
          <t>https://cdn.shopify.com/s/files/1/0792/5098/1063/files/57a7ce08a0f83d12377baee8b7269bba25dd26fdd9c91110fbdc7c49acd6cd46.jpg?v=1787239348</t>
        </is>
      </c>
      <c r="D51" s="4" t="inlineStr">
        <is>
          <t>https://cdn.shopify.com/s/files/1/0792/5098/1063/files/57a7ce08a0f83d12377baee8b7269bba25dd26fdd9c91110fbdc7c49acd6cd46.jpg?v=1787239348</t>
        </is>
      </c>
      <c r="E51" s="3" t="inlineStr">
        <is>
          <t>38895274459335</t>
        </is>
      </c>
      <c r="F51" s="3" t="inlineStr">
        <is>
          <t>47934037917895</t>
        </is>
      </c>
      <c r="G51" s="3" t="inlineStr"/>
      <c r="H51" s="3" t="inlineStr">
        <is>
          <t>GALLERY</t>
        </is>
      </c>
      <c r="I51" s="3" t="inlineStr">
        <is>
          <t>DIRECT_ORIGINAL_IMAGE</t>
        </is>
      </c>
      <c r="J51" s="3" t="inlineStr">
        <is>
          <t>2026-09-07T09:36:10.742993+07:00</t>
        </is>
      </c>
      <c r="K51" s="3" t="inlineStr">
        <is>
          <t>Front bedroom mockup of a red-and-green patchwork quilt with Santa, snowmen, reindeer, trees and snowflakes.</t>
        </is>
      </c>
      <c r="L51" s="3" t="inlineStr">
        <is>
          <t>Main bed mockup showing Santa, snowman, reindeer and Christmas tree patchwork quilt.</t>
        </is>
      </c>
      <c r="M51" s="3" t="inlineStr">
        <is>
          <t>Christmas Bedding Quilt – Soft Microfiber Holiday Bedspread, Lightweight Winter Bedding, Cozy Xmas Quilts for Couch, Bedroom &amp; Seasonal Home Decorations (Christmas Quilt-DS02)</t>
        </is>
      </c>
      <c r="N51" s="3" t="inlineStr">
        <is>
          <t>SET</t>
        </is>
      </c>
      <c r="O51" s="3" t="inlineStr">
        <is>
          <t>Santa and Snowman Christmas Quilt Set displayed on a bed</t>
        </is>
      </c>
      <c r="P51" s="3" t="inlineStr">
        <is>
          <t>FULL</t>
        </is>
      </c>
      <c r="Q51" s="3" t="inlineStr">
        <is>
          <t>FULL</t>
        </is>
      </c>
      <c r="R51" s="3" t="inlineStr">
        <is>
          <t>FULL</t>
        </is>
      </c>
      <c r="S51" s="3" t="inlineStr">
        <is>
          <t>FULL</t>
        </is>
      </c>
      <c r="T51" s="7">
        <f>IF(P51="FULL",40,IF(P51="PARTIAL",40/2,0))+IF(Q51="FULL",30,IF(Q51="PARTIAL",30/2,0))+IF(R51="FULL",20,IF(R51="PARTIAL",20/2,0))+IF(S51="FULL",10,IF(S51="PARTIAL",10/2,0))</f>
        <v/>
      </c>
      <c r="U51" s="7">
        <f>IF(P51="NOT_CHECKED",0,40)+IF(Q51="NOT_CHECKED",0,30)+IF(R51="NOT_CHECKED",0,20)+IF(S51="NOT_CHECKED",0,10)</f>
        <v/>
      </c>
      <c r="V51" s="7">
        <f>IF(U51=100,T51,"")</f>
        <v/>
      </c>
      <c r="W51" s="7">
        <f>T51</f>
        <v/>
      </c>
      <c r="X51" s="7">
        <f>T51+(100-U51)</f>
        <v/>
      </c>
      <c r="Y51" s="3" t="inlineStr">
        <is>
          <t>[]</t>
        </is>
      </c>
      <c r="Z51" s="3" t="inlineStr">
        <is>
          <t>["seo_runs\\jeminise.com\\20260906_234129\\evidence\\images\\18_christmas-bedding-quilt-soft-microfiber-holiday-bedsprea-design-02\\image_01_47934037917895.jpg; seo_runs\\jeminise.com\\20260906_234129\\evidence\\contact_sheets\\18_christmas-bedding-quilt-soft-microfiber-holiday-bedsprea-design-02.jpg", "https://jeminise.com/products/christmas-bedding-quilt-soft-microfiber-holiday-bedsprea-design-02", "https://cdn.shopify.com/s/files/1/0792/5098/1063/files/57a7ce08a0f83d12377baee8b7269bba25dd26fdd9c91110fbdc7c49acd6cd46.jpg?v=1787239348"]</t>
        </is>
      </c>
    </row>
    <row r="52" ht="66" customHeight="1">
      <c r="A52" s="2" t="inlineStr">
        <is>
          <t>jeminise.com+christmas-bedding-quilt-soft-microfiber-holiday-bedsprea-design-02</t>
        </is>
      </c>
      <c r="B52" s="2" t="inlineStr">
        <is>
          <t>qaimg_2a300c2de643da7f</t>
        </is>
      </c>
      <c r="C52" s="4" t="inlineStr">
        <is>
          <t>https://cdn.shopify.com/s/files/1/0792/5098/1063/files/5c29dd6655367de605661f28975aea64ef7bf3fe97fa2040469c83a862519be6.jpg?v=1787239348</t>
        </is>
      </c>
      <c r="D52" s="4" t="inlineStr">
        <is>
          <t>https://cdn.shopify.com/s/files/1/0792/5098/1063/files/5c29dd6655367de605661f28975aea64ef7bf3fe97fa2040469c83a862519be6.jpg?v=1787239348</t>
        </is>
      </c>
      <c r="E52" s="2" t="inlineStr">
        <is>
          <t>38895274492103</t>
        </is>
      </c>
      <c r="F52" s="2" t="inlineStr">
        <is>
          <t>47934037950663</t>
        </is>
      </c>
      <c r="G52" s="2" t="inlineStr"/>
      <c r="H52" s="2" t="inlineStr">
        <is>
          <t>GALLERY</t>
        </is>
      </c>
      <c r="I52" s="2" t="inlineStr">
        <is>
          <t>DIRECT_ORIGINAL_IMAGE</t>
        </is>
      </c>
      <c r="J52" s="2" t="inlineStr">
        <is>
          <t>2026-09-07T09:36:10.742993+07:00</t>
        </is>
      </c>
      <c r="K52" s="2" t="inlineStr">
        <is>
          <t>Angled bedroom mockup of the same Christmas character quilt.</t>
        </is>
      </c>
      <c r="L52" s="2" t="inlineStr">
        <is>
          <t>Secondary detail or room mockup showing Santa, snowman, reindeer and Christmas tree patchwork quilt and visible quilted/printed texture.</t>
        </is>
      </c>
      <c r="M52" s="2" t="inlineStr">
        <is>
          <t>Christmas Bedding Quilt – Soft Microfiber Holiday Bedspread, Lightweight Winter Bedding, Cozy Xmas Quilts for Couch, Bedroom &amp; Seasonal Home Decorations (Christmas Quilt-DS02)</t>
        </is>
      </c>
      <c r="N52" s="2" t="inlineStr">
        <is>
          <t>SET</t>
        </is>
      </c>
      <c r="O52" s="2" t="inlineStr">
        <is>
          <t>Close view of Santa, snowman, reindeer and Christmas tree patchwork quilt on the quilt set</t>
        </is>
      </c>
      <c r="P52" s="2" t="inlineStr">
        <is>
          <t>FULL</t>
        </is>
      </c>
      <c r="Q52" s="2" t="inlineStr">
        <is>
          <t>FULL</t>
        </is>
      </c>
      <c r="R52" s="2" t="inlineStr">
        <is>
          <t>FULL</t>
        </is>
      </c>
      <c r="S52" s="2" t="inlineStr">
        <is>
          <t>FULL</t>
        </is>
      </c>
      <c r="T52" s="5">
        <f>IF(P52="FULL",40,IF(P52="PARTIAL",40/2,0))+IF(Q52="FULL",30,IF(Q52="PARTIAL",30/2,0))+IF(R52="FULL",20,IF(R52="PARTIAL",20/2,0))+IF(S52="FULL",10,IF(S52="PARTIAL",10/2,0))</f>
        <v/>
      </c>
      <c r="U52" s="5">
        <f>IF(P52="NOT_CHECKED",0,40)+IF(Q52="NOT_CHECKED",0,30)+IF(R52="NOT_CHECKED",0,20)+IF(S52="NOT_CHECKED",0,10)</f>
        <v/>
      </c>
      <c r="V52" s="5">
        <f>IF(U52=100,T52,"")</f>
        <v/>
      </c>
      <c r="W52" s="5">
        <f>T52</f>
        <v/>
      </c>
      <c r="X52" s="5">
        <f>T52+(100-U52)</f>
        <v/>
      </c>
      <c r="Y52" s="2" t="inlineStr">
        <is>
          <t>[]</t>
        </is>
      </c>
      <c r="Z52" s="2" t="inlineStr">
        <is>
          <t>["seo_runs\\jeminise.com\\20260906_234129\\evidence\\images\\18_christmas-bedding-quilt-soft-microfiber-holiday-bedsprea-design-02\\image_02_47934037950663.jpg; seo_runs\\jeminise.com\\20260906_234129\\evidence\\contact_sheets\\18_christmas-bedding-quilt-soft-microfiber-holiday-bedsprea-design-02.jpg", "https://jeminise.com/products/christmas-bedding-quilt-soft-microfiber-holiday-bedsprea-design-02", "https://cdn.shopify.com/s/files/1/0792/5098/1063/files/5c29dd6655367de605661f28975aea64ef7bf3fe97fa2040469c83a862519be6.jpg?v=1787239348"]</t>
        </is>
      </c>
    </row>
    <row r="53" ht="66" customHeight="1">
      <c r="A53" s="3" t="inlineStr">
        <is>
          <t>jeminise.com+christmas-bedding-quilt-soft-microfiber-holiday-bedsprea-design-02</t>
        </is>
      </c>
      <c r="B53" s="3" t="inlineStr">
        <is>
          <t>qaimg_f2b384723c7f1b30</t>
        </is>
      </c>
      <c r="C53" s="4" t="inlineStr">
        <is>
          <t>https://cdn.shopify.com/s/files/1/0792/5098/1063/files/0497bbb180b270bb821aa012be14278640ab96779bd2279f6fde75e9a69bc981.jpg?v=1787239348</t>
        </is>
      </c>
      <c r="D53" s="4" t="inlineStr">
        <is>
          <t>https://cdn.shopify.com/s/files/1/0792/5098/1063/files/0497bbb180b270bb821aa012be14278640ab96779bd2279f6fde75e9a69bc981.jpg?v=1787239348</t>
        </is>
      </c>
      <c r="E53" s="3" t="inlineStr">
        <is>
          <t>38895274524871</t>
        </is>
      </c>
      <c r="F53" s="3" t="inlineStr">
        <is>
          <t>47934037983431</t>
        </is>
      </c>
      <c r="G53" s="3" t="inlineStr"/>
      <c r="H53" s="3" t="inlineStr">
        <is>
          <t>GALLERY</t>
        </is>
      </c>
      <c r="I53" s="3" t="inlineStr">
        <is>
          <t>DIRECT_ORIGINAL_IMAGE</t>
        </is>
      </c>
      <c r="J53" s="3" t="inlineStr">
        <is>
          <t>2026-09-07T09:36:10.742993+07:00</t>
        </is>
      </c>
      <c r="K53" s="3" t="inlineStr">
        <is>
          <t>Close-up of the printed faux-patchwork surface and visible quilting lines.</t>
        </is>
      </c>
      <c r="L53" s="3" t="inlineStr">
        <is>
          <t>Matching pillow sham or bedding detail using the same Santa, snowman, reindeer and Christmas tree patchwork quilt artwork.</t>
        </is>
      </c>
      <c r="M53" s="3" t="inlineStr">
        <is>
          <t>Christmas Bedding Quilt – Soft Microfiber Holiday Bedspread, Lightweight Winter Bedding, Cozy Xmas Quilts for Couch, Bedroom &amp; Seasonal Home Decorations (Christmas Quilt-DS02)</t>
        </is>
      </c>
      <c r="N53" s="3" t="inlineStr">
        <is>
          <t>SET</t>
        </is>
      </c>
      <c r="O53" s="3" t="inlineStr">
        <is>
          <t>Matching pillow sham for Santa and Snowman Christmas Quilt Set</t>
        </is>
      </c>
      <c r="P53" s="3" t="inlineStr">
        <is>
          <t>FULL</t>
        </is>
      </c>
      <c r="Q53" s="3" t="inlineStr">
        <is>
          <t>FAIL</t>
        </is>
      </c>
      <c r="R53" s="3" t="inlineStr">
        <is>
          <t>FAIL</t>
        </is>
      </c>
      <c r="S53" s="3" t="inlineStr">
        <is>
          <t>FULL</t>
        </is>
      </c>
      <c r="T53" s="7">
        <f>IF(P53="FULL",40,IF(P53="PARTIAL",40/2,0))+IF(Q53="FULL",30,IF(Q53="PARTIAL",30/2,0))+IF(R53="FULL",20,IF(R53="PARTIAL",20/2,0))+IF(S53="FULL",10,IF(S53="PARTIAL",10/2,0))</f>
        <v/>
      </c>
      <c r="U53" s="7">
        <f>IF(P53="NOT_CHECKED",0,40)+IF(Q53="NOT_CHECKED",0,30)+IF(R53="NOT_CHECKED",0,20)+IF(S53="NOT_CHECKED",0,10)</f>
        <v/>
      </c>
      <c r="V53" s="7">
        <f>IF(U53=100,T53,"")</f>
        <v/>
      </c>
      <c r="W53" s="7">
        <f>T53</f>
        <v/>
      </c>
      <c r="X53" s="7">
        <f>T53+(100-U53)</f>
        <v/>
      </c>
      <c r="Y53" s="3" t="inlineStr">
        <is>
          <t>["ISS-018-IMG-03"]</t>
        </is>
      </c>
      <c r="Z53" s="3" t="inlineStr">
        <is>
          <t>["seo_runs\\jeminise.com\\20260906_234129\\evidence\\images\\18_christmas-bedding-quilt-soft-microfiber-holiday-bedsprea-design-02\\image_03_47934037983431.jpg; seo_runs\\jeminise.com\\20260906_234129\\evidence\\contact_sheets\\18_christmas-bedding-quilt-soft-microfiber-holiday-bedsprea-design-02.jpg", "https://jeminise.com/products/christmas-bedding-quilt-soft-microfiber-holiday-bedsprea-design-02", "https://cdn.shopify.com/s/files/1/0792/5098/1063/files/0497bbb180b270bb821aa012be14278640ab96779bd2279f6fde75e9a69bc981.jpg?v=1787239348"]</t>
        </is>
      </c>
    </row>
    <row r="54" ht="66" customHeight="1">
      <c r="A54" s="2" t="inlineStr">
        <is>
          <t>jeminise.com+christmas-bedding-quilt-soft-microfiber-holiday-bedsprea-design-02</t>
        </is>
      </c>
      <c r="B54" s="2" t="inlineStr">
        <is>
          <t>qaimg_b9d194fcd7779d6b</t>
        </is>
      </c>
      <c r="C54" s="4" t="inlineStr">
        <is>
          <t>https://cdn.shopify.com/s/files/1/0792/5098/1063/files/c905e081df2beed08b734c876c22d231c44cf1610294b7c0b8f756a1008190b1.jpg?v=1787239348</t>
        </is>
      </c>
      <c r="D54" s="4" t="inlineStr">
        <is>
          <t>https://cdn.shopify.com/s/files/1/0792/5098/1063/files/c905e081df2beed08b734c876c22d231c44cf1610294b7c0b8f756a1008190b1.jpg?v=1787239348</t>
        </is>
      </c>
      <c r="E54" s="2" t="inlineStr">
        <is>
          <t>38895274557639</t>
        </is>
      </c>
      <c r="F54" s="2" t="inlineStr">
        <is>
          <t>47934038016199</t>
        </is>
      </c>
      <c r="G54" s="2" t="inlineStr"/>
      <c r="H54" s="2" t="inlineStr">
        <is>
          <t>GALLERY</t>
        </is>
      </c>
      <c r="I54" s="2" t="inlineStr">
        <is>
          <t>DIRECT_ORIGINAL_IMAGE</t>
        </is>
      </c>
      <c r="J54" s="2" t="inlineStr">
        <is>
          <t>2026-09-07T09:36:10.742993+07:00</t>
        </is>
      </c>
      <c r="K54" s="2" t="inlineStr">
        <is>
          <t>Isolated matching pillow sham with Santa, snowman, reindeer and tree blocks.</t>
        </is>
      </c>
      <c r="L54" s="2" t="inlineStr">
        <is>
          <t>Room/folded product or fabric information image tied to the Santa, snowman, reindeer and Christmas tree patchwork quilt design.</t>
        </is>
      </c>
      <c r="M54" s="2" t="inlineStr">
        <is>
          <t>Christmas Bedding Quilt – Soft Microfiber Holiday Bedspread, Lightweight Winter Bedding, Cozy Xmas Quilts for Couch, Bedroom &amp; Seasonal Home Decorations (Christmas Quilt-DS02)</t>
        </is>
      </c>
      <c r="N54" s="2" t="inlineStr">
        <is>
          <t>SET</t>
        </is>
      </c>
      <c r="O54" s="2" t="inlineStr">
        <is>
          <t>Santa and Snowman Christmas Quilt Set shown in a bedroom setting</t>
        </is>
      </c>
      <c r="P54" s="2" t="inlineStr">
        <is>
          <t>FULL</t>
        </is>
      </c>
      <c r="Q54" s="2" t="inlineStr">
        <is>
          <t>FAIL</t>
        </is>
      </c>
      <c r="R54" s="2" t="inlineStr">
        <is>
          <t>FAIL</t>
        </is>
      </c>
      <c r="S54" s="2" t="inlineStr">
        <is>
          <t>FULL</t>
        </is>
      </c>
      <c r="T54" s="5">
        <f>IF(P54="FULL",40,IF(P54="PARTIAL",40/2,0))+IF(Q54="FULL",30,IF(Q54="PARTIAL",30/2,0))+IF(R54="FULL",20,IF(R54="PARTIAL",20/2,0))+IF(S54="FULL",10,IF(S54="PARTIAL",10/2,0))</f>
        <v/>
      </c>
      <c r="U54" s="5">
        <f>IF(P54="NOT_CHECKED",0,40)+IF(Q54="NOT_CHECKED",0,30)+IF(R54="NOT_CHECKED",0,20)+IF(S54="NOT_CHECKED",0,10)</f>
        <v/>
      </c>
      <c r="V54" s="5">
        <f>IF(U54=100,T54,"")</f>
        <v/>
      </c>
      <c r="W54" s="5">
        <f>T54</f>
        <v/>
      </c>
      <c r="X54" s="5">
        <f>T54+(100-U54)</f>
        <v/>
      </c>
      <c r="Y54" s="2" t="inlineStr">
        <is>
          <t>["ISS-018-IMG-04"]</t>
        </is>
      </c>
      <c r="Z54" s="2" t="inlineStr">
        <is>
          <t>["seo_runs\\jeminise.com\\20260906_234129\\evidence\\images\\18_christmas-bedding-quilt-soft-microfiber-holiday-bedsprea-design-02\\image_04_47934038016199.jpg; seo_runs\\jeminise.com\\20260906_234129\\evidence\\contact_sheets\\18_christmas-bedding-quilt-soft-microfiber-holiday-bedsprea-design-02.jpg", "https://jeminise.com/products/christmas-bedding-quilt-soft-microfiber-holiday-bedsprea-design-02", "https://cdn.shopify.com/s/files/1/0792/5098/1063/files/c905e081df2beed08b734c876c22d231c44cf1610294b7c0b8f756a1008190b1.jpg?v=1787239348"]</t>
        </is>
      </c>
    </row>
    <row r="55" ht="66" customHeight="1">
      <c r="A55" s="3" t="inlineStr">
        <is>
          <t>jeminise.com+christmas-bedding-quilt-soft-microfiber-holiday-bedsprea-design-02</t>
        </is>
      </c>
      <c r="B55" s="3" t="inlineStr">
        <is>
          <t>qaimg_529933e13b525b8d</t>
        </is>
      </c>
      <c r="C55" s="4" t="inlineStr">
        <is>
          <t>https://cdn.shopify.com/s/files/1/0792/5098/1063/files/7f25263bf8ff6f505b2102e6286f57302397b98b0f9fdb7978daa38539f3f1ac.jpg?v=1787239348</t>
        </is>
      </c>
      <c r="D55" s="4" t="inlineStr">
        <is>
          <t>https://cdn.shopify.com/s/files/1/0792/5098/1063/files/7f25263bf8ff6f505b2102e6286f57302397b98b0f9fdb7978daa38539f3f1ac.jpg?v=1787239348</t>
        </is>
      </c>
      <c r="E55" s="3" t="inlineStr">
        <is>
          <t>38895274590407</t>
        </is>
      </c>
      <c r="F55" s="3" t="inlineStr">
        <is>
          <t>47934038048967</t>
        </is>
      </c>
      <c r="G55" s="3" t="inlineStr"/>
      <c r="H55" s="3" t="inlineStr">
        <is>
          <t>GALLERY</t>
        </is>
      </c>
      <c r="I55" s="3" t="inlineStr">
        <is>
          <t>DIRECT_ORIGINAL_IMAGE</t>
        </is>
      </c>
      <c r="J55" s="3" t="inlineStr">
        <is>
          <t>2026-09-07T09:36:10.742993+07:00</t>
        </is>
      </c>
      <c r="K55" s="3" t="inlineStr">
        <is>
          <t>Included-components and size graphic: one premium quilt plus two optional standard shams; Throw, Twin, Queen and King dimensions.</t>
        </is>
      </c>
      <c r="L55" s="3" t="inlineStr">
        <is>
          <t>Sizing or included-components information image for the bedding set.</t>
        </is>
      </c>
      <c r="M55" s="3" t="inlineStr">
        <is>
          <t>Christmas Bedding Quilt – Soft Microfiber Holiday Bedspread, Lightweight Winter Bedding, Cozy Xmas Quilts for Couch, Bedroom &amp; Seasonal Home Decorations (Christmas Quilt-DS02)</t>
        </is>
      </c>
      <c r="N55" s="3" t="inlineStr">
        <is>
          <t>SET</t>
        </is>
      </c>
      <c r="O55" s="3" t="inlineStr">
        <is>
          <t>Size guide for Santa and Snowman Christmas Quilt Set</t>
        </is>
      </c>
      <c r="P55" s="3" t="inlineStr">
        <is>
          <t>FULL</t>
        </is>
      </c>
      <c r="Q55" s="3" t="inlineStr">
        <is>
          <t>FULL</t>
        </is>
      </c>
      <c r="R55" s="3" t="inlineStr">
        <is>
          <t>FULL</t>
        </is>
      </c>
      <c r="S55" s="3" t="inlineStr">
        <is>
          <t>FULL</t>
        </is>
      </c>
      <c r="T55" s="7">
        <f>IF(P55="FULL",40,IF(P55="PARTIAL",40/2,0))+IF(Q55="FULL",30,IF(Q55="PARTIAL",30/2,0))+IF(R55="FULL",20,IF(R55="PARTIAL",20/2,0))+IF(S55="FULL",10,IF(S55="PARTIAL",10/2,0))</f>
        <v/>
      </c>
      <c r="U55" s="7">
        <f>IF(P55="NOT_CHECKED",0,40)+IF(Q55="NOT_CHECKED",0,30)+IF(R55="NOT_CHECKED",0,20)+IF(S55="NOT_CHECKED",0,10)</f>
        <v/>
      </c>
      <c r="V55" s="7">
        <f>IF(U55=100,T55,"")</f>
        <v/>
      </c>
      <c r="W55" s="7">
        <f>T55</f>
        <v/>
      </c>
      <c r="X55" s="7">
        <f>T55+(100-U55)</f>
        <v/>
      </c>
      <c r="Y55" s="3" t="inlineStr">
        <is>
          <t>[]</t>
        </is>
      </c>
      <c r="Z55" s="3" t="inlineStr">
        <is>
          <t>["seo_runs\\jeminise.com\\20260906_234129\\evidence\\images\\18_christmas-bedding-quilt-soft-microfiber-holiday-bedsprea-design-02\\image_05_47934038048967.jpg; seo_runs\\jeminise.com\\20260906_234129\\evidence\\contact_sheets\\18_christmas-bedding-quilt-soft-microfiber-holiday-bedsprea-design-02.jpg", "https://jeminise.com/products/christmas-bedding-quilt-soft-microfiber-holiday-bedsprea-design-02", "https://cdn.shopify.com/s/files/1/0792/5098/1063/files/7f25263bf8ff6f505b2102e6286f57302397b98b0f9fdb7978daa38539f3f1ac.jpg?v=1787239348"]</t>
        </is>
      </c>
    </row>
    <row r="56" ht="66" customHeight="1">
      <c r="A56" s="2" t="inlineStr">
        <is>
          <t>jeminise.com+christmas-bedding-quilt-soft-microfiber-holiday-bedsprea-design-03</t>
        </is>
      </c>
      <c r="B56" s="2" t="inlineStr">
        <is>
          <t>qaimg_54ac2c5f338be6e8</t>
        </is>
      </c>
      <c r="C56" s="4" t="inlineStr">
        <is>
          <t>https://cdn.shopify.com/s/files/1/0792/5098/1063/files/bbbc5063a842a4025b83691360e26a0f48bd6b628bfe51d0f66000c5bde9160f.jpg?v=1787239363</t>
        </is>
      </c>
      <c r="D56" s="4" t="inlineStr">
        <is>
          <t>https://cdn.shopify.com/s/files/1/0792/5098/1063/files/bbbc5063a842a4025b83691360e26a0f48bd6b628bfe51d0f66000c5bde9160f.jpg?v=1787239363</t>
        </is>
      </c>
      <c r="E56" s="2" t="inlineStr">
        <is>
          <t>38895275901127</t>
        </is>
      </c>
      <c r="F56" s="2" t="inlineStr">
        <is>
          <t>47934039261383</t>
        </is>
      </c>
      <c r="G56" s="2" t="inlineStr"/>
      <c r="H56" s="2" t="inlineStr">
        <is>
          <t>GALLERY</t>
        </is>
      </c>
      <c r="I56" s="2" t="inlineStr">
        <is>
          <t>DIRECT_ORIGINAL_IMAGE</t>
        </is>
      </c>
      <c r="J56" s="2" t="inlineStr">
        <is>
          <t>2026-09-07T09:36:10.742993+07:00</t>
        </is>
      </c>
      <c r="K56" s="2" t="inlineStr">
        <is>
          <t>Front bedroom mockup of a red gingerbread-man quilt with candy cane, holly, pine and floral accents.</t>
        </is>
      </c>
      <c r="L56" s="2" t="inlineStr">
        <is>
          <t>Main bed mockup showing gingerbread man Christmas quilt with candy cane and holly on a red background.</t>
        </is>
      </c>
      <c r="M56" s="2" t="inlineStr">
        <is>
          <t>Christmas Bedding Quilt – Soft Microfiber Holiday Bedspread, Lightweight Winter Bedding, Cozy Xmas Quilts for Couch, Bedroom &amp; Seasonal Home Decorations (Christmas Quilt-DS03)</t>
        </is>
      </c>
      <c r="N56" s="2" t="inlineStr">
        <is>
          <t>SET</t>
        </is>
      </c>
      <c r="O56" s="2" t="inlineStr">
        <is>
          <t>Gingerbread Christmas Quilt Set displayed on a bed</t>
        </is>
      </c>
      <c r="P56" s="2" t="inlineStr">
        <is>
          <t>FULL</t>
        </is>
      </c>
      <c r="Q56" s="2" t="inlineStr">
        <is>
          <t>FULL</t>
        </is>
      </c>
      <c r="R56" s="2" t="inlineStr">
        <is>
          <t>FULL</t>
        </is>
      </c>
      <c r="S56" s="2" t="inlineStr">
        <is>
          <t>FULL</t>
        </is>
      </c>
      <c r="T56" s="5">
        <f>IF(P56="FULL",40,IF(P56="PARTIAL",40/2,0))+IF(Q56="FULL",30,IF(Q56="PARTIAL",30/2,0))+IF(R56="FULL",20,IF(R56="PARTIAL",20/2,0))+IF(S56="FULL",10,IF(S56="PARTIAL",10/2,0))</f>
        <v/>
      </c>
      <c r="U56" s="5">
        <f>IF(P56="NOT_CHECKED",0,40)+IF(Q56="NOT_CHECKED",0,30)+IF(R56="NOT_CHECKED",0,20)+IF(S56="NOT_CHECKED",0,10)</f>
        <v/>
      </c>
      <c r="V56" s="5">
        <f>IF(U56=100,T56,"")</f>
        <v/>
      </c>
      <c r="W56" s="5">
        <f>T56</f>
        <v/>
      </c>
      <c r="X56" s="5">
        <f>T56+(100-U56)</f>
        <v/>
      </c>
      <c r="Y56" s="2" t="inlineStr">
        <is>
          <t>[]</t>
        </is>
      </c>
      <c r="Z56" s="2" t="inlineStr">
        <is>
          <t>["seo_runs\\jeminise.com\\20260906_234129\\evidence\\images\\19_christmas-bedding-quilt-soft-microfiber-holiday-bedsprea-design-03\\image_01_47934039261383.jpg; seo_runs\\jeminise.com\\20260906_234129\\evidence\\contact_sheets\\19_christmas-bedding-quilt-soft-microfiber-holiday-bedsprea-design-03.jpg", "https://jeminise.com/products/christmas-bedding-quilt-soft-microfiber-holiday-bedsprea-design-03", "https://cdn.shopify.com/s/files/1/0792/5098/1063/files/bbbc5063a842a4025b83691360e26a0f48bd6b628bfe51d0f66000c5bde9160f.jpg?v=1787239363"]</t>
        </is>
      </c>
    </row>
    <row r="57" ht="66" customHeight="1">
      <c r="A57" s="3" t="inlineStr">
        <is>
          <t>jeminise.com+christmas-bedding-quilt-soft-microfiber-holiday-bedsprea-design-03</t>
        </is>
      </c>
      <c r="B57" s="3" t="inlineStr">
        <is>
          <t>qaimg_4a826ccdaa05f591</t>
        </is>
      </c>
      <c r="C57" s="4" t="inlineStr">
        <is>
          <t>https://cdn.shopify.com/s/files/1/0792/5098/1063/files/1d962e1fd3d6fb1ccbe82d1b9d96746919c0028a56d90f2f5e5b1206422676d9.jpg?v=1787239363</t>
        </is>
      </c>
      <c r="D57" s="4" t="inlineStr">
        <is>
          <t>https://cdn.shopify.com/s/files/1/0792/5098/1063/files/1d962e1fd3d6fb1ccbe82d1b9d96746919c0028a56d90f2f5e5b1206422676d9.jpg?v=1787239363</t>
        </is>
      </c>
      <c r="E57" s="3" t="inlineStr">
        <is>
          <t>38895275933895</t>
        </is>
      </c>
      <c r="F57" s="3" t="inlineStr">
        <is>
          <t>47934039294151</t>
        </is>
      </c>
      <c r="G57" s="3" t="inlineStr"/>
      <c r="H57" s="3" t="inlineStr">
        <is>
          <t>GALLERY</t>
        </is>
      </c>
      <c r="I57" s="3" t="inlineStr">
        <is>
          <t>DIRECT_ORIGINAL_IMAGE</t>
        </is>
      </c>
      <c r="J57" s="3" t="inlineStr">
        <is>
          <t>2026-09-07T09:36:10.742993+07:00</t>
        </is>
      </c>
      <c r="K57" s="3" t="inlineStr">
        <is>
          <t>Angled bedroom mockup of the same red gingerbread Christmas quilt.</t>
        </is>
      </c>
      <c r="L57" s="3" t="inlineStr">
        <is>
          <t>Secondary detail or room mockup showing gingerbread man Christmas quilt with candy cane and holly on a red background and visible quilted/printed texture.</t>
        </is>
      </c>
      <c r="M57" s="3" t="inlineStr">
        <is>
          <t>Christmas Bedding Quilt – Soft Microfiber Holiday Bedspread, Lightweight Winter Bedding, Cozy Xmas Quilts for Couch, Bedroom &amp; Seasonal Home Decorations (Christmas Quilt-DS03)</t>
        </is>
      </c>
      <c r="N57" s="3" t="inlineStr">
        <is>
          <t>SET</t>
        </is>
      </c>
      <c r="O57" s="3" t="inlineStr">
        <is>
          <t>Close view of gingerbread man Christmas quilt with candy cane and holly on a red background on the quilt set</t>
        </is>
      </c>
      <c r="P57" s="3" t="inlineStr">
        <is>
          <t>FULL</t>
        </is>
      </c>
      <c r="Q57" s="3" t="inlineStr">
        <is>
          <t>FULL</t>
        </is>
      </c>
      <c r="R57" s="3" t="inlineStr">
        <is>
          <t>FULL</t>
        </is>
      </c>
      <c r="S57" s="3" t="inlineStr">
        <is>
          <t>FULL</t>
        </is>
      </c>
      <c r="T57" s="7">
        <f>IF(P57="FULL",40,IF(P57="PARTIAL",40/2,0))+IF(Q57="FULL",30,IF(Q57="PARTIAL",30/2,0))+IF(R57="FULL",20,IF(R57="PARTIAL",20/2,0))+IF(S57="FULL",10,IF(S57="PARTIAL",10/2,0))</f>
        <v/>
      </c>
      <c r="U57" s="7">
        <f>IF(P57="NOT_CHECKED",0,40)+IF(Q57="NOT_CHECKED",0,30)+IF(R57="NOT_CHECKED",0,20)+IF(S57="NOT_CHECKED",0,10)</f>
        <v/>
      </c>
      <c r="V57" s="7">
        <f>IF(U57=100,T57,"")</f>
        <v/>
      </c>
      <c r="W57" s="7">
        <f>T57</f>
        <v/>
      </c>
      <c r="X57" s="7">
        <f>T57+(100-U57)</f>
        <v/>
      </c>
      <c r="Y57" s="3" t="inlineStr">
        <is>
          <t>[]</t>
        </is>
      </c>
      <c r="Z57" s="3" t="inlineStr">
        <is>
          <t>["seo_runs\\jeminise.com\\20260906_234129\\evidence\\images\\19_christmas-bedding-quilt-soft-microfiber-holiday-bedsprea-design-03\\image_02_47934039294151.jpg; seo_runs\\jeminise.com\\20260906_234129\\evidence\\contact_sheets\\19_christmas-bedding-quilt-soft-microfiber-holiday-bedsprea-design-03.jpg", "https://jeminise.com/products/christmas-bedding-quilt-soft-microfiber-holiday-bedsprea-design-03", "https://cdn.shopify.com/s/files/1/0792/5098/1063/files/1d962e1fd3d6fb1ccbe82d1b9d96746919c0028a56d90f2f5e5b1206422676d9.jpg?v=1787239363"]</t>
        </is>
      </c>
    </row>
    <row r="58" ht="66" customHeight="1">
      <c r="A58" s="2" t="inlineStr">
        <is>
          <t>jeminise.com+christmas-bedding-quilt-soft-microfiber-holiday-bedsprea-design-03</t>
        </is>
      </c>
      <c r="B58" s="2" t="inlineStr">
        <is>
          <t>qaimg_57cd95af61fa1fa9</t>
        </is>
      </c>
      <c r="C58" s="4" t="inlineStr">
        <is>
          <t>https://cdn.shopify.com/s/files/1/0792/5098/1063/files/fc9d9bb7a4157494e84e2760896b163917544674147d59e79260c06c7047b8fa.jpg?v=1787239363</t>
        </is>
      </c>
      <c r="D58" s="4" t="inlineStr">
        <is>
          <t>https://cdn.shopify.com/s/files/1/0792/5098/1063/files/fc9d9bb7a4157494e84e2760896b163917544674147d59e79260c06c7047b8fa.jpg?v=1787239363</t>
        </is>
      </c>
      <c r="E58" s="2" t="inlineStr">
        <is>
          <t>38895275966663</t>
        </is>
      </c>
      <c r="F58" s="2" t="inlineStr">
        <is>
          <t>47934039326919</t>
        </is>
      </c>
      <c r="G58" s="2" t="inlineStr"/>
      <c r="H58" s="2" t="inlineStr">
        <is>
          <t>GALLERY</t>
        </is>
      </c>
      <c r="I58" s="2" t="inlineStr">
        <is>
          <t>DIRECT_ORIGINAL_IMAGE</t>
        </is>
      </c>
      <c r="J58" s="2" t="inlineStr">
        <is>
          <t>2026-09-07T09:36:10.742993+07:00</t>
        </is>
      </c>
      <c r="K58" s="2" t="inlineStr">
        <is>
          <t>Close-up of the printed gingerbread surface and visible quilting lines.</t>
        </is>
      </c>
      <c r="L58" s="2" t="inlineStr">
        <is>
          <t>Matching pillow sham or bedding detail using the same gingerbread man Christmas quilt with candy cane and holly on a red background artwork.</t>
        </is>
      </c>
      <c r="M58" s="2" t="inlineStr">
        <is>
          <t>Christmas Bedding Quilt – Soft Microfiber Holiday Bedspread, Lightweight Winter Bedding, Cozy Xmas Quilts for Couch, Bedroom &amp; Seasonal Home Decorations (Christmas Quilt-DS03)</t>
        </is>
      </c>
      <c r="N58" s="2" t="inlineStr">
        <is>
          <t>SET</t>
        </is>
      </c>
      <c r="O58" s="2" t="inlineStr">
        <is>
          <t>Matching pillow sham for Gingerbread Christmas Quilt Set</t>
        </is>
      </c>
      <c r="P58" s="2" t="inlineStr">
        <is>
          <t>FULL</t>
        </is>
      </c>
      <c r="Q58" s="2" t="inlineStr">
        <is>
          <t>FAIL</t>
        </is>
      </c>
      <c r="R58" s="2" t="inlineStr">
        <is>
          <t>FAIL</t>
        </is>
      </c>
      <c r="S58" s="2" t="inlineStr">
        <is>
          <t>FULL</t>
        </is>
      </c>
      <c r="T58" s="5">
        <f>IF(P58="FULL",40,IF(P58="PARTIAL",40/2,0))+IF(Q58="FULL",30,IF(Q58="PARTIAL",30/2,0))+IF(R58="FULL",20,IF(R58="PARTIAL",20/2,0))+IF(S58="FULL",10,IF(S58="PARTIAL",10/2,0))</f>
        <v/>
      </c>
      <c r="U58" s="5">
        <f>IF(P58="NOT_CHECKED",0,40)+IF(Q58="NOT_CHECKED",0,30)+IF(R58="NOT_CHECKED",0,20)+IF(S58="NOT_CHECKED",0,10)</f>
        <v/>
      </c>
      <c r="V58" s="5">
        <f>IF(U58=100,T58,"")</f>
        <v/>
      </c>
      <c r="W58" s="5">
        <f>T58</f>
        <v/>
      </c>
      <c r="X58" s="5">
        <f>T58+(100-U58)</f>
        <v/>
      </c>
      <c r="Y58" s="2" t="inlineStr">
        <is>
          <t>["ISS-019-IMG-03"]</t>
        </is>
      </c>
      <c r="Z58" s="2" t="inlineStr">
        <is>
          <t>["seo_runs\\jeminise.com\\20260906_234129\\evidence\\images\\19_christmas-bedding-quilt-soft-microfiber-holiday-bedsprea-design-03\\image_03_47934039326919.jpg; seo_runs\\jeminise.com\\20260906_234129\\evidence\\contact_sheets\\19_christmas-bedding-quilt-soft-microfiber-holiday-bedsprea-design-03.jpg", "https://jeminise.com/products/christmas-bedding-quilt-soft-microfiber-holiday-bedsprea-design-03", "https://cdn.shopify.com/s/files/1/0792/5098/1063/files/fc9d9bb7a4157494e84e2760896b163917544674147d59e79260c06c7047b8fa.jpg?v=1787239363"]</t>
        </is>
      </c>
    </row>
    <row r="59" ht="66" customHeight="1">
      <c r="A59" s="3" t="inlineStr">
        <is>
          <t>jeminise.com+christmas-bedding-quilt-soft-microfiber-holiday-bedsprea-design-03</t>
        </is>
      </c>
      <c r="B59" s="3" t="inlineStr">
        <is>
          <t>qaimg_0720fd612d328acd</t>
        </is>
      </c>
      <c r="C59" s="4" t="inlineStr">
        <is>
          <t>https://cdn.shopify.com/s/files/1/0792/5098/1063/files/ed1f801ef63b58d7c0fa153b8385667b922eaf1d12c757a8abe5554bf16b8de3.jpg?v=1787239363</t>
        </is>
      </c>
      <c r="D59" s="4" t="inlineStr">
        <is>
          <t>https://cdn.shopify.com/s/files/1/0792/5098/1063/files/ed1f801ef63b58d7c0fa153b8385667b922eaf1d12c757a8abe5554bf16b8de3.jpg?v=1787239363</t>
        </is>
      </c>
      <c r="E59" s="3" t="inlineStr">
        <is>
          <t>38895275999431</t>
        </is>
      </c>
      <c r="F59" s="3" t="inlineStr">
        <is>
          <t>47934039359687</t>
        </is>
      </c>
      <c r="G59" s="3" t="inlineStr"/>
      <c r="H59" s="3" t="inlineStr">
        <is>
          <t>GALLERY</t>
        </is>
      </c>
      <c r="I59" s="3" t="inlineStr">
        <is>
          <t>DIRECT_ORIGINAL_IMAGE</t>
        </is>
      </c>
      <c r="J59" s="3" t="inlineStr">
        <is>
          <t>2026-09-07T09:36:10.742993+07:00</t>
        </is>
      </c>
      <c r="K59" s="3" t="inlineStr">
        <is>
          <t>Isolated matching pillow sham with gingerbread man and candy cane artwork.</t>
        </is>
      </c>
      <c r="L59" s="3" t="inlineStr">
        <is>
          <t>Room/folded product or fabric information image tied to the gingerbread man Christmas quilt with candy cane and holly on a red background design.</t>
        </is>
      </c>
      <c r="M59" s="3" t="inlineStr">
        <is>
          <t>Christmas Bedding Quilt – Soft Microfiber Holiday Bedspread, Lightweight Winter Bedding, Cozy Xmas Quilts for Couch, Bedroom &amp; Seasonal Home Decorations (Christmas Quilt-DS03)</t>
        </is>
      </c>
      <c r="N59" s="3" t="inlineStr">
        <is>
          <t>SET</t>
        </is>
      </c>
      <c r="O59" s="3" t="inlineStr">
        <is>
          <t>Gingerbread Christmas Quilt Set shown in a bedroom setting</t>
        </is>
      </c>
      <c r="P59" s="3" t="inlineStr">
        <is>
          <t>FULL</t>
        </is>
      </c>
      <c r="Q59" s="3" t="inlineStr">
        <is>
          <t>FAIL</t>
        </is>
      </c>
      <c r="R59" s="3" t="inlineStr">
        <is>
          <t>FAIL</t>
        </is>
      </c>
      <c r="S59" s="3" t="inlineStr">
        <is>
          <t>FULL</t>
        </is>
      </c>
      <c r="T59" s="7">
        <f>IF(P59="FULL",40,IF(P59="PARTIAL",40/2,0))+IF(Q59="FULL",30,IF(Q59="PARTIAL",30/2,0))+IF(R59="FULL",20,IF(R59="PARTIAL",20/2,0))+IF(S59="FULL",10,IF(S59="PARTIAL",10/2,0))</f>
        <v/>
      </c>
      <c r="U59" s="7">
        <f>IF(P59="NOT_CHECKED",0,40)+IF(Q59="NOT_CHECKED",0,30)+IF(R59="NOT_CHECKED",0,20)+IF(S59="NOT_CHECKED",0,10)</f>
        <v/>
      </c>
      <c r="V59" s="7">
        <f>IF(U59=100,T59,"")</f>
        <v/>
      </c>
      <c r="W59" s="7">
        <f>T59</f>
        <v/>
      </c>
      <c r="X59" s="7">
        <f>T59+(100-U59)</f>
        <v/>
      </c>
      <c r="Y59" s="3" t="inlineStr">
        <is>
          <t>["ISS-019-IMG-04"]</t>
        </is>
      </c>
      <c r="Z59" s="3" t="inlineStr">
        <is>
          <t>["seo_runs\\jeminise.com\\20260906_234129\\evidence\\images\\19_christmas-bedding-quilt-soft-microfiber-holiday-bedsprea-design-03\\image_04_47934039359687.jpg; seo_runs\\jeminise.com\\20260906_234129\\evidence\\contact_sheets\\19_christmas-bedding-quilt-soft-microfiber-holiday-bedsprea-design-03.jpg", "https://jeminise.com/products/christmas-bedding-quilt-soft-microfiber-holiday-bedsprea-design-03", "https://cdn.shopify.com/s/files/1/0792/5098/1063/files/ed1f801ef63b58d7c0fa153b8385667b922eaf1d12c757a8abe5554bf16b8de3.jpg?v=1787239363"]</t>
        </is>
      </c>
    </row>
    <row r="60" ht="66" customHeight="1">
      <c r="A60" s="2" t="inlineStr">
        <is>
          <t>jeminise.com+christmas-bedding-quilt-soft-microfiber-holiday-bedsprea-design-03</t>
        </is>
      </c>
      <c r="B60" s="2" t="inlineStr">
        <is>
          <t>qaimg_5e13ab76158835ae</t>
        </is>
      </c>
      <c r="C60" s="4" t="inlineStr">
        <is>
          <t>https://cdn.shopify.com/s/files/1/0792/5098/1063/files/c75960e3ddc81d77c391212f67c79d9add41e8f685321e4f6ca1230660fcd8de.jpg?v=1787239363</t>
        </is>
      </c>
      <c r="D60" s="4" t="inlineStr">
        <is>
          <t>https://cdn.shopify.com/s/files/1/0792/5098/1063/files/c75960e3ddc81d77c391212f67c79d9add41e8f685321e4f6ca1230660fcd8de.jpg?v=1787239363</t>
        </is>
      </c>
      <c r="E60" s="2" t="inlineStr">
        <is>
          <t>38895276032199</t>
        </is>
      </c>
      <c r="F60" s="2" t="inlineStr">
        <is>
          <t>47934039392455</t>
        </is>
      </c>
      <c r="G60" s="2" t="inlineStr"/>
      <c r="H60" s="2" t="inlineStr">
        <is>
          <t>GALLERY</t>
        </is>
      </c>
      <c r="I60" s="2" t="inlineStr">
        <is>
          <t>DIRECT_ORIGINAL_IMAGE</t>
        </is>
      </c>
      <c r="J60" s="2" t="inlineStr">
        <is>
          <t>2026-09-07T09:36:10.742993+07:00</t>
        </is>
      </c>
      <c r="K60" s="2" t="inlineStr">
        <is>
          <t>Included-components and size graphic: one premium quilt plus two optional standard shams; Throw, Twin, Queen and King dimensions.</t>
        </is>
      </c>
      <c r="L60" s="2" t="inlineStr">
        <is>
          <t>Sizing or included-components information image for the bedding set.</t>
        </is>
      </c>
      <c r="M60" s="2" t="inlineStr">
        <is>
          <t>Christmas Bedding Quilt – Soft Microfiber Holiday Bedspread, Lightweight Winter Bedding, Cozy Xmas Quilts for Couch, Bedroom &amp; Seasonal Home Decorations (Christmas Quilt-DS03)</t>
        </is>
      </c>
      <c r="N60" s="2" t="inlineStr">
        <is>
          <t>SET</t>
        </is>
      </c>
      <c r="O60" s="2" t="inlineStr">
        <is>
          <t>Size guide for Gingerbread Christmas Quilt Set</t>
        </is>
      </c>
      <c r="P60" s="2" t="inlineStr">
        <is>
          <t>FULL</t>
        </is>
      </c>
      <c r="Q60" s="2" t="inlineStr">
        <is>
          <t>FULL</t>
        </is>
      </c>
      <c r="R60" s="2" t="inlineStr">
        <is>
          <t>FULL</t>
        </is>
      </c>
      <c r="S60" s="2" t="inlineStr">
        <is>
          <t>FULL</t>
        </is>
      </c>
      <c r="T60" s="5">
        <f>IF(P60="FULL",40,IF(P60="PARTIAL",40/2,0))+IF(Q60="FULL",30,IF(Q60="PARTIAL",30/2,0))+IF(R60="FULL",20,IF(R60="PARTIAL",20/2,0))+IF(S60="FULL",10,IF(S60="PARTIAL",10/2,0))</f>
        <v/>
      </c>
      <c r="U60" s="5">
        <f>IF(P60="NOT_CHECKED",0,40)+IF(Q60="NOT_CHECKED",0,30)+IF(R60="NOT_CHECKED",0,20)+IF(S60="NOT_CHECKED",0,10)</f>
        <v/>
      </c>
      <c r="V60" s="5">
        <f>IF(U60=100,T60,"")</f>
        <v/>
      </c>
      <c r="W60" s="5">
        <f>T60</f>
        <v/>
      </c>
      <c r="X60" s="5">
        <f>T60+(100-U60)</f>
        <v/>
      </c>
      <c r="Y60" s="2" t="inlineStr">
        <is>
          <t>[]</t>
        </is>
      </c>
      <c r="Z60" s="2" t="inlineStr">
        <is>
          <t>["seo_runs\\jeminise.com\\20260906_234129\\evidence\\images\\19_christmas-bedding-quilt-soft-microfiber-holiday-bedsprea-design-03\\image_05_47934039392455.jpg; seo_runs\\jeminise.com\\20260906_234129\\evidence\\contact_sheets\\19_christmas-bedding-quilt-soft-microfiber-holiday-bedsprea-design-03.jpg", "https://jeminise.com/products/christmas-bedding-quilt-soft-microfiber-holiday-bedsprea-design-03", "https://cdn.shopify.com/s/files/1/0792/5098/1063/files/c75960e3ddc81d77c391212f67c79d9add41e8f685321e4f6ca1230660fcd8de.jpg?v=1787239363"]</t>
        </is>
      </c>
    </row>
    <row r="61" ht="66" customHeight="1">
      <c r="A61" s="3" t="inlineStr">
        <is>
          <t>jeminise.com+christmas-bedding-quilt-soft-microfiber-holiday-bedsprea-design-04</t>
        </is>
      </c>
      <c r="B61" s="3" t="inlineStr">
        <is>
          <t>qaimg_6edf61ad44a71138</t>
        </is>
      </c>
      <c r="C61" s="4" t="inlineStr">
        <is>
          <t>https://cdn.shopify.com/s/files/1/0792/5098/1063/files/c995fe84801c09d910dc409c0566ec9afe487b8804ac002dd8b540abd448435d.jpg?v=1787239355</t>
        </is>
      </c>
      <c r="D61" s="4" t="inlineStr">
        <is>
          <t>https://cdn.shopify.com/s/files/1/0792/5098/1063/files/c995fe84801c09d910dc409c0566ec9afe487b8804ac002dd8b540abd448435d.jpg?v=1787239355</t>
        </is>
      </c>
      <c r="E61" s="3" t="inlineStr">
        <is>
          <t>38895275212999</t>
        </is>
      </c>
      <c r="F61" s="3" t="inlineStr">
        <is>
          <t>47934038638791</t>
        </is>
      </c>
      <c r="G61" s="3" t="inlineStr"/>
      <c r="H61" s="3" t="inlineStr">
        <is>
          <t>GALLERY</t>
        </is>
      </c>
      <c r="I61" s="3" t="inlineStr">
        <is>
          <t>DIRECT_ORIGINAL_IMAGE</t>
        </is>
      </c>
      <c r="J61" s="3" t="inlineStr">
        <is>
          <t>2026-09-07T09:36:10.742993+07:00</t>
        </is>
      </c>
      <c r="K61" s="3" t="inlineStr">
        <is>
          <t>Front bedroom mockup of a light gingerbread Christmas quilt with two cookie figures, gifts, candy canes and holly.</t>
        </is>
      </c>
      <c r="L61" s="3" t="inlineStr">
        <is>
          <t>Main bed mockup showing two gingerbread figures with Christmas gifts, candy cane and holly.</t>
        </is>
      </c>
      <c r="M61" s="3" t="inlineStr">
        <is>
          <t>Christmas Bedding Quilt – Soft Microfiber Holiday Bedspread, Lightweight Winter Bedding, Cozy Xmas Quilts for Couch, Bedroom &amp; Seasonal Home Decorations (Christmas Quilt-DS04)</t>
        </is>
      </c>
      <c r="N61" s="3" t="inlineStr">
        <is>
          <t>SET</t>
        </is>
      </c>
      <c r="O61" s="3" t="inlineStr">
        <is>
          <t>Gingerbread Gift Christmas Quilt Set displayed on a bed</t>
        </is>
      </c>
      <c r="P61" s="3" t="inlineStr">
        <is>
          <t>FULL</t>
        </is>
      </c>
      <c r="Q61" s="3" t="inlineStr">
        <is>
          <t>FULL</t>
        </is>
      </c>
      <c r="R61" s="3" t="inlineStr">
        <is>
          <t>FULL</t>
        </is>
      </c>
      <c r="S61" s="3" t="inlineStr">
        <is>
          <t>FULL</t>
        </is>
      </c>
      <c r="T61" s="7">
        <f>IF(P61="FULL",40,IF(P61="PARTIAL",40/2,0))+IF(Q61="FULL",30,IF(Q61="PARTIAL",30/2,0))+IF(R61="FULL",20,IF(R61="PARTIAL",20/2,0))+IF(S61="FULL",10,IF(S61="PARTIAL",10/2,0))</f>
        <v/>
      </c>
      <c r="U61" s="7">
        <f>IF(P61="NOT_CHECKED",0,40)+IF(Q61="NOT_CHECKED",0,30)+IF(R61="NOT_CHECKED",0,20)+IF(S61="NOT_CHECKED",0,10)</f>
        <v/>
      </c>
      <c r="V61" s="7">
        <f>IF(U61=100,T61,"")</f>
        <v/>
      </c>
      <c r="W61" s="7">
        <f>T61</f>
        <v/>
      </c>
      <c r="X61" s="7">
        <f>T61+(100-U61)</f>
        <v/>
      </c>
      <c r="Y61" s="3" t="inlineStr">
        <is>
          <t>[]</t>
        </is>
      </c>
      <c r="Z61" s="3" t="inlineStr">
        <is>
          <t>["seo_runs\\jeminise.com\\20260906_234129\\evidence\\images\\20_christmas-bedding-quilt-soft-microfiber-holiday-bedsprea-design-04\\image_01_47934038638791.jpg; seo_runs\\jeminise.com\\20260906_234129\\evidence\\contact_sheets\\20_christmas-bedding-quilt-soft-microfiber-holiday-bedsprea-design-04.jpg", "https://jeminise.com/products/christmas-bedding-quilt-soft-microfiber-holiday-bedsprea-design-04", "https://cdn.shopify.com/s/files/1/0792/5098/1063/files/c995fe84801c09d910dc409c0566ec9afe487b8804ac002dd8b540abd448435d.jpg?v=1787239355"]</t>
        </is>
      </c>
    </row>
    <row r="62" ht="66" customHeight="1">
      <c r="A62" s="2" t="inlineStr">
        <is>
          <t>jeminise.com+christmas-bedding-quilt-soft-microfiber-holiday-bedsprea-design-04</t>
        </is>
      </c>
      <c r="B62" s="2" t="inlineStr">
        <is>
          <t>qaimg_5b7df27b5eb3d15b</t>
        </is>
      </c>
      <c r="C62" s="4" t="inlineStr">
        <is>
          <t>https://cdn.shopify.com/s/files/1/0792/5098/1063/files/ada23d8192c9d327e2ca7af4d3ab7ad5b2f163980c27341d8ad218b41e8125d5.jpg?v=1787239355</t>
        </is>
      </c>
      <c r="D62" s="4" t="inlineStr">
        <is>
          <t>https://cdn.shopify.com/s/files/1/0792/5098/1063/files/ada23d8192c9d327e2ca7af4d3ab7ad5b2f163980c27341d8ad218b41e8125d5.jpg?v=1787239355</t>
        </is>
      </c>
      <c r="E62" s="2" t="inlineStr">
        <is>
          <t>38895275245767</t>
        </is>
      </c>
      <c r="F62" s="2" t="inlineStr">
        <is>
          <t>47934038671559</t>
        </is>
      </c>
      <c r="G62" s="2" t="inlineStr"/>
      <c r="H62" s="2" t="inlineStr">
        <is>
          <t>GALLERY</t>
        </is>
      </c>
      <c r="I62" s="2" t="inlineStr">
        <is>
          <t>DIRECT_ORIGINAL_IMAGE</t>
        </is>
      </c>
      <c r="J62" s="2" t="inlineStr">
        <is>
          <t>2026-09-07T09:36:10.742993+07:00</t>
        </is>
      </c>
      <c r="K62" s="2" t="inlineStr">
        <is>
          <t>Angled bedroom mockup of the same gingerbread-and-gifts quilt.</t>
        </is>
      </c>
      <c r="L62" s="2" t="inlineStr">
        <is>
          <t>Secondary detail or room mockup showing two gingerbread figures with Christmas gifts, candy cane and holly and visible quilted/printed texture.</t>
        </is>
      </c>
      <c r="M62" s="2" t="inlineStr">
        <is>
          <t>Christmas Bedding Quilt – Soft Microfiber Holiday Bedspread, Lightweight Winter Bedding, Cozy Xmas Quilts for Couch, Bedroom &amp; Seasonal Home Decorations (Christmas Quilt-DS04)</t>
        </is>
      </c>
      <c r="N62" s="2" t="inlineStr">
        <is>
          <t>SET</t>
        </is>
      </c>
      <c r="O62" s="2" t="inlineStr">
        <is>
          <t>Close view of two gingerbread figures with Christmas gifts, candy cane and holly on the quilt set</t>
        </is>
      </c>
      <c r="P62" s="2" t="inlineStr">
        <is>
          <t>FULL</t>
        </is>
      </c>
      <c r="Q62" s="2" t="inlineStr">
        <is>
          <t>FULL</t>
        </is>
      </c>
      <c r="R62" s="2" t="inlineStr">
        <is>
          <t>FULL</t>
        </is>
      </c>
      <c r="S62" s="2" t="inlineStr">
        <is>
          <t>FULL</t>
        </is>
      </c>
      <c r="T62" s="5">
        <f>IF(P62="FULL",40,IF(P62="PARTIAL",40/2,0))+IF(Q62="FULL",30,IF(Q62="PARTIAL",30/2,0))+IF(R62="FULL",20,IF(R62="PARTIAL",20/2,0))+IF(S62="FULL",10,IF(S62="PARTIAL",10/2,0))</f>
        <v/>
      </c>
      <c r="U62" s="5">
        <f>IF(P62="NOT_CHECKED",0,40)+IF(Q62="NOT_CHECKED",0,30)+IF(R62="NOT_CHECKED",0,20)+IF(S62="NOT_CHECKED",0,10)</f>
        <v/>
      </c>
      <c r="V62" s="5">
        <f>IF(U62=100,T62,"")</f>
        <v/>
      </c>
      <c r="W62" s="5">
        <f>T62</f>
        <v/>
      </c>
      <c r="X62" s="5">
        <f>T62+(100-U62)</f>
        <v/>
      </c>
      <c r="Y62" s="2" t="inlineStr">
        <is>
          <t>[]</t>
        </is>
      </c>
      <c r="Z62" s="2" t="inlineStr">
        <is>
          <t>["seo_runs\\jeminise.com\\20260906_234129\\evidence\\images\\20_christmas-bedding-quilt-soft-microfiber-holiday-bedsprea-design-04\\image_02_47934038671559.jpg; seo_runs\\jeminise.com\\20260906_234129\\evidence\\contact_sheets\\20_christmas-bedding-quilt-soft-microfiber-holiday-bedsprea-design-04.jpg", "https://jeminise.com/products/christmas-bedding-quilt-soft-microfiber-holiday-bedsprea-design-04", "https://cdn.shopify.com/s/files/1/0792/5098/1063/files/ada23d8192c9d327e2ca7af4d3ab7ad5b2f163980c27341d8ad218b41e8125d5.jpg?v=1787239355"]</t>
        </is>
      </c>
    </row>
    <row r="63" ht="66" customHeight="1">
      <c r="A63" s="3" t="inlineStr">
        <is>
          <t>jeminise.com+christmas-bedding-quilt-soft-microfiber-holiday-bedsprea-design-04</t>
        </is>
      </c>
      <c r="B63" s="3" t="inlineStr">
        <is>
          <t>qaimg_8c124437c257a823</t>
        </is>
      </c>
      <c r="C63" s="4" t="inlineStr">
        <is>
          <t>https://cdn.shopify.com/s/files/1/0792/5098/1063/files/e80ea2d2d8dcc4ea9023f55162873b983177fa3a8f595e088474768ad799ed5c.jpg?v=1787239355</t>
        </is>
      </c>
      <c r="D63" s="4" t="inlineStr">
        <is>
          <t>https://cdn.shopify.com/s/files/1/0792/5098/1063/files/e80ea2d2d8dcc4ea9023f55162873b983177fa3a8f595e088474768ad799ed5c.jpg?v=1787239355</t>
        </is>
      </c>
      <c r="E63" s="3" t="inlineStr">
        <is>
          <t>38895275278535</t>
        </is>
      </c>
      <c r="F63" s="3" t="inlineStr">
        <is>
          <t>47934038704327</t>
        </is>
      </c>
      <c r="G63" s="3" t="inlineStr"/>
      <c r="H63" s="3" t="inlineStr">
        <is>
          <t>GALLERY</t>
        </is>
      </c>
      <c r="I63" s="3" t="inlineStr">
        <is>
          <t>DIRECT_ORIGINAL_IMAGE</t>
        </is>
      </c>
      <c r="J63" s="3" t="inlineStr">
        <is>
          <t>2026-09-07T09:36:10.742993+07:00</t>
        </is>
      </c>
      <c r="K63" s="3" t="inlineStr">
        <is>
          <t>Isolated matching pillow sham with two gingerbread figures and wrapped gifts.</t>
        </is>
      </c>
      <c r="L63" s="3" t="inlineStr">
        <is>
          <t>Matching pillow sham or bedding detail using the same two gingerbread figures with Christmas gifts, candy cane and holly artwork.</t>
        </is>
      </c>
      <c r="M63" s="3" t="inlineStr">
        <is>
          <t>Christmas Bedding Quilt – Soft Microfiber Holiday Bedspread, Lightweight Winter Bedding, Cozy Xmas Quilts for Couch, Bedroom &amp; Seasonal Home Decorations (Christmas Quilt-DS04)</t>
        </is>
      </c>
      <c r="N63" s="3" t="inlineStr">
        <is>
          <t>SET</t>
        </is>
      </c>
      <c r="O63" s="3" t="inlineStr">
        <is>
          <t>Matching pillow sham for Gingerbread Gift Christmas Quilt Set</t>
        </is>
      </c>
      <c r="P63" s="3" t="inlineStr">
        <is>
          <t>FULL</t>
        </is>
      </c>
      <c r="Q63" s="3" t="inlineStr">
        <is>
          <t>PARTIAL</t>
        </is>
      </c>
      <c r="R63" s="3" t="inlineStr">
        <is>
          <t>FULL</t>
        </is>
      </c>
      <c r="S63" s="3" t="inlineStr">
        <is>
          <t>FULL</t>
        </is>
      </c>
      <c r="T63" s="7">
        <f>IF(P63="FULL",40,IF(P63="PARTIAL",40/2,0))+IF(Q63="FULL",30,IF(Q63="PARTIAL",30/2,0))+IF(R63="FULL",20,IF(R63="PARTIAL",20/2,0))+IF(S63="FULL",10,IF(S63="PARTIAL",10/2,0))</f>
        <v/>
      </c>
      <c r="U63" s="7">
        <f>IF(P63="NOT_CHECKED",0,40)+IF(Q63="NOT_CHECKED",0,30)+IF(R63="NOT_CHECKED",0,20)+IF(S63="NOT_CHECKED",0,10)</f>
        <v/>
      </c>
      <c r="V63" s="7">
        <f>IF(U63=100,T63,"")</f>
        <v/>
      </c>
      <c r="W63" s="7">
        <f>T63</f>
        <v/>
      </c>
      <c r="X63" s="7">
        <f>T63+(100-U63)</f>
        <v/>
      </c>
      <c r="Y63" s="3" t="inlineStr">
        <is>
          <t>["ISS-020-IMG-03"]</t>
        </is>
      </c>
      <c r="Z63" s="3" t="inlineStr">
        <is>
          <t>["seo_runs\\jeminise.com\\20260906_234129\\evidence\\images\\20_christmas-bedding-quilt-soft-microfiber-holiday-bedsprea-design-04\\image_03_47934038704327.jpg; seo_runs\\jeminise.com\\20260906_234129\\evidence\\contact_sheets\\20_christmas-bedding-quilt-soft-microfiber-holiday-bedsprea-design-04.jpg", "https://jeminise.com/products/christmas-bedding-quilt-soft-microfiber-holiday-bedsprea-design-04", "https://cdn.shopify.com/s/files/1/0792/5098/1063/files/e80ea2d2d8dcc4ea9023f55162873b983177fa3a8f595e088474768ad799ed5c.jpg?v=1787239355"]</t>
        </is>
      </c>
    </row>
    <row r="64" ht="66" customHeight="1">
      <c r="A64" s="2" t="inlineStr">
        <is>
          <t>jeminise.com+christmas-bedding-quilt-soft-microfiber-holiday-bedsprea-design-04</t>
        </is>
      </c>
      <c r="B64" s="2" t="inlineStr">
        <is>
          <t>qaimg_e39a54370ad87c7c</t>
        </is>
      </c>
      <c r="C64" s="4" t="inlineStr">
        <is>
          <t>https://cdn.shopify.com/s/files/1/0792/5098/1063/files/f3fc13bb561a00481ad014ca51c18eab68958750857b4d44f0ceee5c393efef5.jpg?v=1787239355</t>
        </is>
      </c>
      <c r="D64" s="4" t="inlineStr">
        <is>
          <t>https://cdn.shopify.com/s/files/1/0792/5098/1063/files/f3fc13bb561a00481ad014ca51c18eab68958750857b4d44f0ceee5c393efef5.jpg?v=1787239355</t>
        </is>
      </c>
      <c r="E64" s="2" t="inlineStr">
        <is>
          <t>38895275311303</t>
        </is>
      </c>
      <c r="F64" s="2" t="inlineStr">
        <is>
          <t>47934038737095</t>
        </is>
      </c>
      <c r="G64" s="2" t="inlineStr"/>
      <c r="H64" s="2" t="inlineStr">
        <is>
          <t>GALLERY</t>
        </is>
      </c>
      <c r="I64" s="2" t="inlineStr">
        <is>
          <t>DIRECT_ORIGINAL_IMAGE</t>
        </is>
      </c>
      <c r="J64" s="2" t="inlineStr">
        <is>
          <t>2026-09-07T09:36:10.742993+07:00</t>
        </is>
      </c>
      <c r="K64" s="2" t="inlineStr">
        <is>
          <t>Close-up of the printed gingerbread surface and visible quilting lines.</t>
        </is>
      </c>
      <c r="L64" s="2" t="inlineStr">
        <is>
          <t>Room/folded product or fabric information image tied to the two gingerbread figures with Christmas gifts, candy cane and holly design.</t>
        </is>
      </c>
      <c r="M64" s="2" t="inlineStr">
        <is>
          <t>Christmas Bedding Quilt – Soft Microfiber Holiday Bedspread, Lightweight Winter Bedding, Cozy Xmas Quilts for Couch, Bedroom &amp; Seasonal Home Decorations (Christmas Quilt-DS04)</t>
        </is>
      </c>
      <c r="N64" s="2" t="inlineStr">
        <is>
          <t>SET</t>
        </is>
      </c>
      <c r="O64" s="2" t="inlineStr">
        <is>
          <t>Gingerbread Gift Christmas Quilt Set shown in a bedroom setting</t>
        </is>
      </c>
      <c r="P64" s="2" t="inlineStr">
        <is>
          <t>FULL</t>
        </is>
      </c>
      <c r="Q64" s="2" t="inlineStr">
        <is>
          <t>FAIL</t>
        </is>
      </c>
      <c r="R64" s="2" t="inlineStr">
        <is>
          <t>FAIL</t>
        </is>
      </c>
      <c r="S64" s="2" t="inlineStr">
        <is>
          <t>FULL</t>
        </is>
      </c>
      <c r="T64" s="5">
        <f>IF(P64="FULL",40,IF(P64="PARTIAL",40/2,0))+IF(Q64="FULL",30,IF(Q64="PARTIAL",30/2,0))+IF(R64="FULL",20,IF(R64="PARTIAL",20/2,0))+IF(S64="FULL",10,IF(S64="PARTIAL",10/2,0))</f>
        <v/>
      </c>
      <c r="U64" s="5">
        <f>IF(P64="NOT_CHECKED",0,40)+IF(Q64="NOT_CHECKED",0,30)+IF(R64="NOT_CHECKED",0,20)+IF(S64="NOT_CHECKED",0,10)</f>
        <v/>
      </c>
      <c r="V64" s="5">
        <f>IF(U64=100,T64,"")</f>
        <v/>
      </c>
      <c r="W64" s="5">
        <f>T64</f>
        <v/>
      </c>
      <c r="X64" s="5">
        <f>T64+(100-U64)</f>
        <v/>
      </c>
      <c r="Y64" s="2" t="inlineStr">
        <is>
          <t>["ISS-020-IMG-04"]</t>
        </is>
      </c>
      <c r="Z64" s="2" t="inlineStr">
        <is>
          <t>["seo_runs\\jeminise.com\\20260906_234129\\evidence\\images\\20_christmas-bedding-quilt-soft-microfiber-holiday-bedsprea-design-04\\image_04_47934038737095.jpg; seo_runs\\jeminise.com\\20260906_234129\\evidence\\contact_sheets\\20_christmas-bedding-quilt-soft-microfiber-holiday-bedsprea-design-04.jpg", "https://jeminise.com/products/christmas-bedding-quilt-soft-microfiber-holiday-bedsprea-design-04", "https://cdn.shopify.com/s/files/1/0792/5098/1063/files/f3fc13bb561a00481ad014ca51c18eab68958750857b4d44f0ceee5c393efef5.jpg?v=1787239355"]</t>
        </is>
      </c>
    </row>
    <row r="65" ht="66" customHeight="1">
      <c r="A65" s="3" t="inlineStr">
        <is>
          <t>jeminise.com+christmas-bedding-quilt-soft-microfiber-holiday-bedsprea-design-04</t>
        </is>
      </c>
      <c r="B65" s="3" t="inlineStr">
        <is>
          <t>qaimg_e79c0325ec850f37</t>
        </is>
      </c>
      <c r="C65" s="4" t="inlineStr">
        <is>
          <t>https://cdn.shopify.com/s/files/1/0792/5098/1063/files/cc08a444fe29784e5b49094b0a886c70090b4e7ca551d385fed2daee54bfd77a.jpg?v=1787239355</t>
        </is>
      </c>
      <c r="D65" s="4" t="inlineStr">
        <is>
          <t>https://cdn.shopify.com/s/files/1/0792/5098/1063/files/cc08a444fe29784e5b49094b0a886c70090b4e7ca551d385fed2daee54bfd77a.jpg?v=1787239355</t>
        </is>
      </c>
      <c r="E65" s="3" t="inlineStr">
        <is>
          <t>38895275344071</t>
        </is>
      </c>
      <c r="F65" s="3" t="inlineStr">
        <is>
          <t>47934038769863</t>
        </is>
      </c>
      <c r="G65" s="3" t="inlineStr"/>
      <c r="H65" s="3" t="inlineStr">
        <is>
          <t>GALLERY</t>
        </is>
      </c>
      <c r="I65" s="3" t="inlineStr">
        <is>
          <t>DIRECT_ORIGINAL_IMAGE</t>
        </is>
      </c>
      <c r="J65" s="3" t="inlineStr">
        <is>
          <t>2026-09-07T09:36:10.742993+07:00</t>
        </is>
      </c>
      <c r="K65" s="3" t="inlineStr">
        <is>
          <t>Included-components and size graphic: one premium quilt plus two optional standard shams; Throw, Twin, Queen and King dimensions.</t>
        </is>
      </c>
      <c r="L65" s="3" t="inlineStr">
        <is>
          <t>Sizing or included-components information image for the bedding set.</t>
        </is>
      </c>
      <c r="M65" s="3" t="inlineStr">
        <is>
          <t>Christmas Bedding Quilt – Soft Microfiber Holiday Bedspread, Lightweight Winter Bedding, Cozy Xmas Quilts for Couch, Bedroom &amp; Seasonal Home Decorations (Christmas Quilt-DS04)</t>
        </is>
      </c>
      <c r="N65" s="3" t="inlineStr">
        <is>
          <t>SET</t>
        </is>
      </c>
      <c r="O65" s="3" t="inlineStr">
        <is>
          <t>Size guide for Gingerbread Gift Christmas Quilt Set</t>
        </is>
      </c>
      <c r="P65" s="3" t="inlineStr">
        <is>
          <t>FULL</t>
        </is>
      </c>
      <c r="Q65" s="3" t="inlineStr">
        <is>
          <t>FULL</t>
        </is>
      </c>
      <c r="R65" s="3" t="inlineStr">
        <is>
          <t>FULL</t>
        </is>
      </c>
      <c r="S65" s="3" t="inlineStr">
        <is>
          <t>FULL</t>
        </is>
      </c>
      <c r="T65" s="7">
        <f>IF(P65="FULL",40,IF(P65="PARTIAL",40/2,0))+IF(Q65="FULL",30,IF(Q65="PARTIAL",30/2,0))+IF(R65="FULL",20,IF(R65="PARTIAL",20/2,0))+IF(S65="FULL",10,IF(S65="PARTIAL",10/2,0))</f>
        <v/>
      </c>
      <c r="U65" s="7">
        <f>IF(P65="NOT_CHECKED",0,40)+IF(Q65="NOT_CHECKED",0,30)+IF(R65="NOT_CHECKED",0,20)+IF(S65="NOT_CHECKED",0,10)</f>
        <v/>
      </c>
      <c r="V65" s="7">
        <f>IF(U65=100,T65,"")</f>
        <v/>
      </c>
      <c r="W65" s="7">
        <f>T65</f>
        <v/>
      </c>
      <c r="X65" s="7">
        <f>T65+(100-U65)</f>
        <v/>
      </c>
      <c r="Y65" s="3" t="inlineStr">
        <is>
          <t>[]</t>
        </is>
      </c>
      <c r="Z65" s="3" t="inlineStr">
        <is>
          <t>["seo_runs\\jeminise.com\\20260906_234129\\evidence\\images\\20_christmas-bedding-quilt-soft-microfiber-holiday-bedsprea-design-04\\image_05_47934038769863.jpg; seo_runs\\jeminise.com\\20260906_234129\\evidence\\contact_sheets\\20_christmas-bedding-quilt-soft-microfiber-holiday-bedsprea-design-04.jpg", "https://jeminise.com/products/christmas-bedding-quilt-soft-microfiber-holiday-bedsprea-design-04", "https://cdn.shopify.com/s/files/1/0792/5098/1063/files/cc08a444fe29784e5b49094b0a886c70090b4e7ca551d385fed2daee54bfd77a.jpg?v=1787239355"]</t>
        </is>
      </c>
    </row>
  </sheetData>
  <autoFilter ref="A1:Z65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C5" r:id="rId7"/>
    <hyperlink xmlns:r="http://schemas.openxmlformats.org/officeDocument/2006/relationships" ref="D5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C7" r:id="rId11"/>
    <hyperlink xmlns:r="http://schemas.openxmlformats.org/officeDocument/2006/relationships" ref="D7" r:id="rId12"/>
    <hyperlink xmlns:r="http://schemas.openxmlformats.org/officeDocument/2006/relationships" ref="C8" r:id="rId13"/>
    <hyperlink xmlns:r="http://schemas.openxmlformats.org/officeDocument/2006/relationships" ref="D8" r:id="rId14"/>
    <hyperlink xmlns:r="http://schemas.openxmlformats.org/officeDocument/2006/relationships" ref="C9" r:id="rId15"/>
    <hyperlink xmlns:r="http://schemas.openxmlformats.org/officeDocument/2006/relationships" ref="D9" r:id="rId16"/>
    <hyperlink xmlns:r="http://schemas.openxmlformats.org/officeDocument/2006/relationships" ref="C10" r:id="rId17"/>
    <hyperlink xmlns:r="http://schemas.openxmlformats.org/officeDocument/2006/relationships" ref="D10" r:id="rId18"/>
    <hyperlink xmlns:r="http://schemas.openxmlformats.org/officeDocument/2006/relationships" ref="C11" r:id="rId19"/>
    <hyperlink xmlns:r="http://schemas.openxmlformats.org/officeDocument/2006/relationships" ref="D11" r:id="rId20"/>
    <hyperlink xmlns:r="http://schemas.openxmlformats.org/officeDocument/2006/relationships" ref="C12" r:id="rId21"/>
    <hyperlink xmlns:r="http://schemas.openxmlformats.org/officeDocument/2006/relationships" ref="D12" r:id="rId22"/>
    <hyperlink xmlns:r="http://schemas.openxmlformats.org/officeDocument/2006/relationships" ref="C13" r:id="rId23"/>
    <hyperlink xmlns:r="http://schemas.openxmlformats.org/officeDocument/2006/relationships" ref="D13" r:id="rId24"/>
    <hyperlink xmlns:r="http://schemas.openxmlformats.org/officeDocument/2006/relationships" ref="C14" r:id="rId25"/>
    <hyperlink xmlns:r="http://schemas.openxmlformats.org/officeDocument/2006/relationships" ref="D14" r:id="rId26"/>
    <hyperlink xmlns:r="http://schemas.openxmlformats.org/officeDocument/2006/relationships" ref="C15" r:id="rId27"/>
    <hyperlink xmlns:r="http://schemas.openxmlformats.org/officeDocument/2006/relationships" ref="D15" r:id="rId28"/>
    <hyperlink xmlns:r="http://schemas.openxmlformats.org/officeDocument/2006/relationships" ref="C16" r:id="rId29"/>
    <hyperlink xmlns:r="http://schemas.openxmlformats.org/officeDocument/2006/relationships" ref="D16" r:id="rId30"/>
    <hyperlink xmlns:r="http://schemas.openxmlformats.org/officeDocument/2006/relationships" ref="C17" r:id="rId31"/>
    <hyperlink xmlns:r="http://schemas.openxmlformats.org/officeDocument/2006/relationships" ref="D17" r:id="rId32"/>
    <hyperlink xmlns:r="http://schemas.openxmlformats.org/officeDocument/2006/relationships" ref="C18" r:id="rId33"/>
    <hyperlink xmlns:r="http://schemas.openxmlformats.org/officeDocument/2006/relationships" ref="D18" r:id="rId34"/>
    <hyperlink xmlns:r="http://schemas.openxmlformats.org/officeDocument/2006/relationships" ref="C19" r:id="rId35"/>
    <hyperlink xmlns:r="http://schemas.openxmlformats.org/officeDocument/2006/relationships" ref="D19" r:id="rId36"/>
    <hyperlink xmlns:r="http://schemas.openxmlformats.org/officeDocument/2006/relationships" ref="C20" r:id="rId37"/>
    <hyperlink xmlns:r="http://schemas.openxmlformats.org/officeDocument/2006/relationships" ref="D20" r:id="rId38"/>
    <hyperlink xmlns:r="http://schemas.openxmlformats.org/officeDocument/2006/relationships" ref="C21" r:id="rId39"/>
    <hyperlink xmlns:r="http://schemas.openxmlformats.org/officeDocument/2006/relationships" ref="D21" r:id="rId40"/>
    <hyperlink xmlns:r="http://schemas.openxmlformats.org/officeDocument/2006/relationships" ref="C22" r:id="rId41"/>
    <hyperlink xmlns:r="http://schemas.openxmlformats.org/officeDocument/2006/relationships" ref="D22" r:id="rId42"/>
    <hyperlink xmlns:r="http://schemas.openxmlformats.org/officeDocument/2006/relationships" ref="C23" r:id="rId43"/>
    <hyperlink xmlns:r="http://schemas.openxmlformats.org/officeDocument/2006/relationships" ref="D23" r:id="rId44"/>
    <hyperlink xmlns:r="http://schemas.openxmlformats.org/officeDocument/2006/relationships" ref="C24" r:id="rId45"/>
    <hyperlink xmlns:r="http://schemas.openxmlformats.org/officeDocument/2006/relationships" ref="D24" r:id="rId46"/>
    <hyperlink xmlns:r="http://schemas.openxmlformats.org/officeDocument/2006/relationships" ref="C25" r:id="rId47"/>
    <hyperlink xmlns:r="http://schemas.openxmlformats.org/officeDocument/2006/relationships" ref="D25" r:id="rId48"/>
    <hyperlink xmlns:r="http://schemas.openxmlformats.org/officeDocument/2006/relationships" ref="C26" r:id="rId49"/>
    <hyperlink xmlns:r="http://schemas.openxmlformats.org/officeDocument/2006/relationships" ref="D26" r:id="rId50"/>
    <hyperlink xmlns:r="http://schemas.openxmlformats.org/officeDocument/2006/relationships" ref="C27" r:id="rId51"/>
    <hyperlink xmlns:r="http://schemas.openxmlformats.org/officeDocument/2006/relationships" ref="D27" r:id="rId52"/>
    <hyperlink xmlns:r="http://schemas.openxmlformats.org/officeDocument/2006/relationships" ref="C28" r:id="rId53"/>
    <hyperlink xmlns:r="http://schemas.openxmlformats.org/officeDocument/2006/relationships" ref="D28" r:id="rId54"/>
    <hyperlink xmlns:r="http://schemas.openxmlformats.org/officeDocument/2006/relationships" ref="C29" r:id="rId55"/>
    <hyperlink xmlns:r="http://schemas.openxmlformats.org/officeDocument/2006/relationships" ref="D29" r:id="rId56"/>
    <hyperlink xmlns:r="http://schemas.openxmlformats.org/officeDocument/2006/relationships" ref="C30" r:id="rId57"/>
    <hyperlink xmlns:r="http://schemas.openxmlformats.org/officeDocument/2006/relationships" ref="D30" r:id="rId58"/>
    <hyperlink xmlns:r="http://schemas.openxmlformats.org/officeDocument/2006/relationships" ref="C31" r:id="rId59"/>
    <hyperlink xmlns:r="http://schemas.openxmlformats.org/officeDocument/2006/relationships" ref="D31" r:id="rId60"/>
    <hyperlink xmlns:r="http://schemas.openxmlformats.org/officeDocument/2006/relationships" ref="C32" r:id="rId61"/>
    <hyperlink xmlns:r="http://schemas.openxmlformats.org/officeDocument/2006/relationships" ref="D32" r:id="rId62"/>
    <hyperlink xmlns:r="http://schemas.openxmlformats.org/officeDocument/2006/relationships" ref="C33" r:id="rId63"/>
    <hyperlink xmlns:r="http://schemas.openxmlformats.org/officeDocument/2006/relationships" ref="D33" r:id="rId64"/>
    <hyperlink xmlns:r="http://schemas.openxmlformats.org/officeDocument/2006/relationships" ref="C34" r:id="rId65"/>
    <hyperlink xmlns:r="http://schemas.openxmlformats.org/officeDocument/2006/relationships" ref="D34" r:id="rId66"/>
    <hyperlink xmlns:r="http://schemas.openxmlformats.org/officeDocument/2006/relationships" ref="C35" r:id="rId67"/>
    <hyperlink xmlns:r="http://schemas.openxmlformats.org/officeDocument/2006/relationships" ref="D35" r:id="rId68"/>
    <hyperlink xmlns:r="http://schemas.openxmlformats.org/officeDocument/2006/relationships" ref="C36" r:id="rId69"/>
    <hyperlink xmlns:r="http://schemas.openxmlformats.org/officeDocument/2006/relationships" ref="D36" r:id="rId70"/>
    <hyperlink xmlns:r="http://schemas.openxmlformats.org/officeDocument/2006/relationships" ref="C37" r:id="rId71"/>
    <hyperlink xmlns:r="http://schemas.openxmlformats.org/officeDocument/2006/relationships" ref="D37" r:id="rId72"/>
    <hyperlink xmlns:r="http://schemas.openxmlformats.org/officeDocument/2006/relationships" ref="C38" r:id="rId73"/>
    <hyperlink xmlns:r="http://schemas.openxmlformats.org/officeDocument/2006/relationships" ref="D38" r:id="rId74"/>
    <hyperlink xmlns:r="http://schemas.openxmlformats.org/officeDocument/2006/relationships" ref="C39" r:id="rId75"/>
    <hyperlink xmlns:r="http://schemas.openxmlformats.org/officeDocument/2006/relationships" ref="D39" r:id="rId76"/>
    <hyperlink xmlns:r="http://schemas.openxmlformats.org/officeDocument/2006/relationships" ref="C40" r:id="rId77"/>
    <hyperlink xmlns:r="http://schemas.openxmlformats.org/officeDocument/2006/relationships" ref="D40" r:id="rId78"/>
    <hyperlink xmlns:r="http://schemas.openxmlformats.org/officeDocument/2006/relationships" ref="C41" r:id="rId79"/>
    <hyperlink xmlns:r="http://schemas.openxmlformats.org/officeDocument/2006/relationships" ref="D41" r:id="rId80"/>
    <hyperlink xmlns:r="http://schemas.openxmlformats.org/officeDocument/2006/relationships" ref="C42" r:id="rId81"/>
    <hyperlink xmlns:r="http://schemas.openxmlformats.org/officeDocument/2006/relationships" ref="D42" r:id="rId82"/>
    <hyperlink xmlns:r="http://schemas.openxmlformats.org/officeDocument/2006/relationships" ref="C43" r:id="rId83"/>
    <hyperlink xmlns:r="http://schemas.openxmlformats.org/officeDocument/2006/relationships" ref="D43" r:id="rId84"/>
    <hyperlink xmlns:r="http://schemas.openxmlformats.org/officeDocument/2006/relationships" ref="C44" r:id="rId85"/>
    <hyperlink xmlns:r="http://schemas.openxmlformats.org/officeDocument/2006/relationships" ref="D44" r:id="rId86"/>
    <hyperlink xmlns:r="http://schemas.openxmlformats.org/officeDocument/2006/relationships" ref="C45" r:id="rId87"/>
    <hyperlink xmlns:r="http://schemas.openxmlformats.org/officeDocument/2006/relationships" ref="D45" r:id="rId88"/>
    <hyperlink xmlns:r="http://schemas.openxmlformats.org/officeDocument/2006/relationships" ref="C46" r:id="rId89"/>
    <hyperlink xmlns:r="http://schemas.openxmlformats.org/officeDocument/2006/relationships" ref="D46" r:id="rId90"/>
    <hyperlink xmlns:r="http://schemas.openxmlformats.org/officeDocument/2006/relationships" ref="C47" r:id="rId91"/>
    <hyperlink xmlns:r="http://schemas.openxmlformats.org/officeDocument/2006/relationships" ref="D47" r:id="rId92"/>
    <hyperlink xmlns:r="http://schemas.openxmlformats.org/officeDocument/2006/relationships" ref="C48" r:id="rId93"/>
    <hyperlink xmlns:r="http://schemas.openxmlformats.org/officeDocument/2006/relationships" ref="D48" r:id="rId94"/>
    <hyperlink xmlns:r="http://schemas.openxmlformats.org/officeDocument/2006/relationships" ref="C49" r:id="rId95"/>
    <hyperlink xmlns:r="http://schemas.openxmlformats.org/officeDocument/2006/relationships" ref="D49" r:id="rId96"/>
    <hyperlink xmlns:r="http://schemas.openxmlformats.org/officeDocument/2006/relationships" ref="C50" r:id="rId97"/>
    <hyperlink xmlns:r="http://schemas.openxmlformats.org/officeDocument/2006/relationships" ref="D50" r:id="rId98"/>
    <hyperlink xmlns:r="http://schemas.openxmlformats.org/officeDocument/2006/relationships" ref="C51" r:id="rId99"/>
    <hyperlink xmlns:r="http://schemas.openxmlformats.org/officeDocument/2006/relationships" ref="D51" r:id="rId100"/>
    <hyperlink xmlns:r="http://schemas.openxmlformats.org/officeDocument/2006/relationships" ref="C52" r:id="rId101"/>
    <hyperlink xmlns:r="http://schemas.openxmlformats.org/officeDocument/2006/relationships" ref="D52" r:id="rId102"/>
    <hyperlink xmlns:r="http://schemas.openxmlformats.org/officeDocument/2006/relationships" ref="C53" r:id="rId103"/>
    <hyperlink xmlns:r="http://schemas.openxmlformats.org/officeDocument/2006/relationships" ref="D53" r:id="rId104"/>
    <hyperlink xmlns:r="http://schemas.openxmlformats.org/officeDocument/2006/relationships" ref="C54" r:id="rId105"/>
    <hyperlink xmlns:r="http://schemas.openxmlformats.org/officeDocument/2006/relationships" ref="D54" r:id="rId106"/>
    <hyperlink xmlns:r="http://schemas.openxmlformats.org/officeDocument/2006/relationships" ref="C55" r:id="rId107"/>
    <hyperlink xmlns:r="http://schemas.openxmlformats.org/officeDocument/2006/relationships" ref="D55" r:id="rId108"/>
    <hyperlink xmlns:r="http://schemas.openxmlformats.org/officeDocument/2006/relationships" ref="C56" r:id="rId109"/>
    <hyperlink xmlns:r="http://schemas.openxmlformats.org/officeDocument/2006/relationships" ref="D56" r:id="rId110"/>
    <hyperlink xmlns:r="http://schemas.openxmlformats.org/officeDocument/2006/relationships" ref="C57" r:id="rId111"/>
    <hyperlink xmlns:r="http://schemas.openxmlformats.org/officeDocument/2006/relationships" ref="D57" r:id="rId112"/>
    <hyperlink xmlns:r="http://schemas.openxmlformats.org/officeDocument/2006/relationships" ref="C58" r:id="rId113"/>
    <hyperlink xmlns:r="http://schemas.openxmlformats.org/officeDocument/2006/relationships" ref="D58" r:id="rId114"/>
    <hyperlink xmlns:r="http://schemas.openxmlformats.org/officeDocument/2006/relationships" ref="C59" r:id="rId115"/>
    <hyperlink xmlns:r="http://schemas.openxmlformats.org/officeDocument/2006/relationships" ref="D59" r:id="rId116"/>
    <hyperlink xmlns:r="http://schemas.openxmlformats.org/officeDocument/2006/relationships" ref="C60" r:id="rId117"/>
    <hyperlink xmlns:r="http://schemas.openxmlformats.org/officeDocument/2006/relationships" ref="D60" r:id="rId118"/>
    <hyperlink xmlns:r="http://schemas.openxmlformats.org/officeDocument/2006/relationships" ref="C61" r:id="rId119"/>
    <hyperlink xmlns:r="http://schemas.openxmlformats.org/officeDocument/2006/relationships" ref="D61" r:id="rId120"/>
    <hyperlink xmlns:r="http://schemas.openxmlformats.org/officeDocument/2006/relationships" ref="C62" r:id="rId121"/>
    <hyperlink xmlns:r="http://schemas.openxmlformats.org/officeDocument/2006/relationships" ref="D62" r:id="rId122"/>
    <hyperlink xmlns:r="http://schemas.openxmlformats.org/officeDocument/2006/relationships" ref="C63" r:id="rId123"/>
    <hyperlink xmlns:r="http://schemas.openxmlformats.org/officeDocument/2006/relationships" ref="D63" r:id="rId124"/>
    <hyperlink xmlns:r="http://schemas.openxmlformats.org/officeDocument/2006/relationships" ref="C64" r:id="rId125"/>
    <hyperlink xmlns:r="http://schemas.openxmlformats.org/officeDocument/2006/relationships" ref="D64" r:id="rId126"/>
    <hyperlink xmlns:r="http://schemas.openxmlformats.org/officeDocument/2006/relationships" ref="C65" r:id="rId127"/>
    <hyperlink xmlns:r="http://schemas.openxmlformats.org/officeDocument/2006/relationships" ref="D65" r:id="rId128"/>
  </hyperlinks>
  <printOptions horizontalCentered="0"/>
  <pageMargins left="0.25" right="0.25" top="0.5" bottom="0.5" header="0.5" footer="0.5"/>
  <pageSetup orientation="landscape" fitToHeight="0" fitToWidth="3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20" customWidth="1" min="3" max="3"/>
    <col width="20" customWidth="1" min="4" max="4"/>
    <col width="24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 ht="32" customHeight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 ht="84" customHeight="1">
      <c r="A2" s="2" t="inlineStr">
        <is>
          <t>ISS-011-IMG-02</t>
        </is>
      </c>
      <c r="B2" s="2" t="inlineStr">
        <is>
          <t>jeminise.com+christian-bedding-set-inspirational-bible-verse-comforte-design-02</t>
        </is>
      </c>
      <c r="C2" s="2" t="inlineStr">
        <is>
          <t>qaimg_4ff35572985d0550</t>
        </is>
      </c>
      <c r="D2" s="2" t="inlineStr">
        <is>
          <t>MINOR</t>
        </is>
      </c>
      <c r="E2" s="2" t="inlineStr">
        <is>
          <t>image_observation/alt_effective</t>
        </is>
      </c>
      <c r="F2" s="2" t="inlineStr">
        <is>
          <t>Secondary detail or room mockup showing orange God Says I Am Christian design with the name Jessica, roses and butterflies and visible quilted/printed texture. | Close view of orange God Says I Am Christian design with the name Jessica, roses and butterflies on the comforter set</t>
        </is>
      </c>
      <c r="G2" s="2" t="inlineStr">
        <is>
          <t>Alternate bedroom mockup of the same Jessica Christian affirmation bedding.</t>
        </is>
      </c>
      <c r="H2" s="2" t="inlineStr">
        <is>
          <t>Observation hoặc alt được gán theo vị trí mẫu và không phản ánh đúng ảnh gốc.</t>
        </is>
      </c>
      <c r="I2" s="2" t="inlineStr">
        <is>
          <t>God Says I Am Christian bedding with Jessica in an alternate bedroom view</t>
        </is>
      </c>
      <c r="J2" s="2" t="inlineStr">
        <is>
          <t>seo_runs\jeminise.com\20260906_234129\evidence\images\11_christian-bedding-set-inspirational-bible-verse-comforte-design-02\image_02_47933842522311.jpg; seo_runs\jeminise.com\20260906_234129\evidence\contact_sheets\11_christian-bedding-set-inspirational-bible-verse-comforte-design-02.jpg; https://jeminise.com/products/christian-bedding-set-inspirational-bible-verse-comforte-design-02; https://cdn.shopify.com/s/files/1/0792/5098/1063/files/f8aafdfb4c8162ca9e2e2a98539d9758b42cf390e7a8828716dc849e251afcb1.jpg?v=1787237735</t>
        </is>
      </c>
      <c r="K2" s="2" t="inlineStr">
        <is>
          <t>Mở lại ảnh gốc và xác nhận observation/alt mới mô tả đúng ảnh.</t>
        </is>
      </c>
    </row>
    <row r="3" ht="84" customHeight="1">
      <c r="A3" s="3" t="inlineStr">
        <is>
          <t>ISS-011-IMG-03</t>
        </is>
      </c>
      <c r="B3" s="3" t="inlineStr">
        <is>
          <t>jeminise.com+christian-bedding-set-inspirational-bible-verse-comforte-design-02</t>
        </is>
      </c>
      <c r="C3" s="3" t="inlineStr">
        <is>
          <t>qaimg_c106289a9648e372</t>
        </is>
      </c>
      <c r="D3" s="3" t="inlineStr">
        <is>
          <t>MAJOR</t>
        </is>
      </c>
      <c r="E3" s="3" t="inlineStr">
        <is>
          <t>image_observation/alt_effective</t>
        </is>
      </c>
      <c r="F3" s="3" t="inlineStr">
        <is>
          <t>Matching pillow sham or bedding detail using the same orange God Says I Am Christian design with the name Jessica, roses and butterflies artwork. | Matching pillow sham for Personalized God Says I Am Christian Comforter Set</t>
        </is>
      </c>
      <c r="G3" s="3" t="inlineStr">
        <is>
          <t>Comparison graphic explaining Duvet Cover Set versus Comforter Set.</t>
        </is>
      </c>
      <c r="H3" s="3" t="inlineStr">
        <is>
          <t>Observation hoặc alt được gán theo vị trí mẫu và không phản ánh đúng ảnh gốc.</t>
        </is>
      </c>
      <c r="I3" s="3" t="inlineStr">
        <is>
          <t>Duvet cover and comforter set construction comparison</t>
        </is>
      </c>
      <c r="J3" s="3" t="inlineStr">
        <is>
          <t>seo_runs\jeminise.com\20260906_234129\evidence\images\11_christian-bedding-set-inspirational-bible-verse-comforte-design-02\image_03_47933842555079.jpg; seo_runs\jeminise.com\20260906_234129\evidence\contact_sheets\11_christian-bedding-set-inspirational-bible-verse-comforte-design-02.jpg; https://jeminise.com/products/christian-bedding-set-inspirational-bible-verse-comforte-design-02; https://cdn.shopify.com/s/files/1/0792/5098/1063/files/50f96559dd878ae5bbee14ba7a34337ccd740d21a8ffe86a8a1be819656d26c0_ae8608eb-bf72-43da-b626-8fd454d536c7.jpg?v=1787237735</t>
        </is>
      </c>
      <c r="K3" s="3" t="inlineStr">
        <is>
          <t>Mở lại ảnh gốc và xác nhận observation/alt mới mô tả đúng ảnh.</t>
        </is>
      </c>
    </row>
    <row r="4" ht="84" customHeight="1">
      <c r="A4" s="2" t="inlineStr">
        <is>
          <t>ISS-011-IMG-04</t>
        </is>
      </c>
      <c r="B4" s="2" t="inlineStr">
        <is>
          <t>jeminise.com+christian-bedding-set-inspirational-bible-verse-comforte-design-02</t>
        </is>
      </c>
      <c r="C4" s="2" t="inlineStr">
        <is>
          <t>qaimg_a62cb10f1696b94a</t>
        </is>
      </c>
      <c r="D4" s="2" t="inlineStr">
        <is>
          <t>MAJOR</t>
        </is>
      </c>
      <c r="E4" s="2" t="inlineStr">
        <is>
          <t>image_observation/alt_effective</t>
        </is>
      </c>
      <c r="F4" s="2" t="inlineStr">
        <is>
          <t>Room/folded product or fabric information image tied to the orange God Says I Am Christian design with the name Jessica, roses and butterflies design. | Personalized God Says I Am Christian Comforter Set shown in a bedroom setting</t>
        </is>
      </c>
      <c r="G4" s="2" t="inlineStr">
        <is>
          <t>Feature graphic stating 100% microfiber, 3D printed pattern, soft touch, lightweight and breathable.</t>
        </is>
      </c>
      <c r="H4" s="2" t="inlineStr">
        <is>
          <t>Observation hoặc alt được gán theo vị trí mẫu và không phản ánh đúng ảnh gốc.</t>
        </is>
      </c>
      <c r="I4" s="2" t="inlineStr">
        <is>
          <t>God Says I Am bedding microfiber and breathable fabric features</t>
        </is>
      </c>
      <c r="J4" s="2" t="inlineStr">
        <is>
          <t>seo_runs\jeminise.com\20260906_234129\evidence\images\11_christian-bedding-set-inspirational-bible-verse-comforte-design-02\image_04_47933842587847.jpg; seo_runs\jeminise.com\20260906_234129\evidence\contact_sheets\11_christian-bedding-set-inspirational-bible-verse-comforte-design-02.jpg; https://jeminise.com/products/christian-bedding-set-inspirational-bible-verse-comforte-design-02; https://cdn.shopify.com/s/files/1/0792/5098/1063/files/27f7ed18554cde6fb1921b3b4261b0f7a6d2176eda09e52bedf7b7fe5cb0399a.jpg?v=1787237735</t>
        </is>
      </c>
      <c r="K4" s="2" t="inlineStr">
        <is>
          <t>Mở lại ảnh gốc và xác nhận observation/alt mới mô tả đúng ảnh.</t>
        </is>
      </c>
    </row>
    <row r="5" ht="84" customHeight="1">
      <c r="A5" s="3" t="inlineStr">
        <is>
          <t>ISS-011-IMG-05</t>
        </is>
      </c>
      <c r="B5" s="3" t="inlineStr">
        <is>
          <t>jeminise.com+christian-bedding-set-inspirational-bible-verse-comforte-design-02</t>
        </is>
      </c>
      <c r="C5" s="3" t="inlineStr">
        <is>
          <t>qaimg_e83ff3bda096596b</t>
        </is>
      </c>
      <c r="D5" s="3" t="inlineStr">
        <is>
          <t>MAJOR</t>
        </is>
      </c>
      <c r="E5" s="3" t="inlineStr">
        <is>
          <t>image_observation/alt_effective</t>
        </is>
      </c>
      <c r="F5" s="3" t="inlineStr">
        <is>
          <t>Sizing or included-components information image for the bedding set. | Size guide for Personalized God Says I Am Christian Comforter Set</t>
        </is>
      </c>
      <c r="G5" s="3" t="inlineStr">
        <is>
          <t>Birth Month Flowers chart for January through December.</t>
        </is>
      </c>
      <c r="H5" s="3" t="inlineStr">
        <is>
          <t>Observation hoặc alt được gán theo vị trí mẫu và không phản ánh đúng ảnh gốc.</t>
        </is>
      </c>
      <c r="I5" s="3" t="inlineStr">
        <is>
          <t>Birth month flower options from January through December</t>
        </is>
      </c>
      <c r="J5" s="3" t="inlineStr">
        <is>
          <t>seo_runs\jeminise.com\20260906_234129\evidence\images\11_christian-bedding-set-inspirational-bible-verse-comforte-design-02\image_05_47933842620615.jpg; seo_runs\jeminise.com\20260906_234129\evidence\contact_sheets\11_christian-bedding-set-inspirational-bible-verse-comforte-design-02.jpg; https://jeminise.com/products/christian-bedding-set-inspirational-bible-verse-comforte-design-02; https://cdn.shopify.com/s/files/1/0792/5098/1063/files/c0229b109e769b68f8c9f35623479c094bab31ad756f2c9dfcf50eadd39d92c5_9c3ec9d7-9121-432a-b4e5-640cc3768a2a.jpg?v=1787237735</t>
        </is>
      </c>
      <c r="K5" s="3" t="inlineStr">
        <is>
          <t>Mở lại ảnh gốc và xác nhận observation/alt mới mô tả đúng ảnh.</t>
        </is>
      </c>
    </row>
    <row r="6" ht="84" customHeight="1">
      <c r="A6" s="2" t="inlineStr">
        <is>
          <t>ISS-011-IMG-06</t>
        </is>
      </c>
      <c r="B6" s="2" t="inlineStr">
        <is>
          <t>jeminise.com+christian-bedding-set-inspirational-bible-verse-comforte-design-02</t>
        </is>
      </c>
      <c r="C6" s="2" t="inlineStr">
        <is>
          <t>qaimg_5bfe673cef116796</t>
        </is>
      </c>
      <c r="D6" s="2" t="inlineStr">
        <is>
          <t>MAJOR</t>
        </is>
      </c>
      <c r="E6" s="2" t="inlineStr">
        <is>
          <t>image_observation/alt_effective</t>
        </is>
      </c>
      <c r="F6" s="2" t="inlineStr">
        <is>
          <t>Feature image describing fabric layers, softness, breathability or care details. | Fabric feature graphic for Personalized God Says I Am Christian Comforter Set</t>
        </is>
      </c>
      <c r="G6" s="2" t="inlineStr">
        <is>
          <t>Easy-care graphic stating wrinkle-free, stain-proof, anti-pilling and won't fade in the wash.</t>
        </is>
      </c>
      <c r="H6" s="2" t="inlineStr">
        <is>
          <t>Observation hoặc alt được gán theo vị trí mẫu và không phản ánh đúng ảnh gốc.</t>
        </is>
      </c>
      <c r="I6" s="2" t="inlineStr">
        <is>
          <t>Bedding easy-care, anti-pilling and fade-resistance features</t>
        </is>
      </c>
      <c r="J6" s="2" t="inlineStr">
        <is>
          <t>seo_runs\jeminise.com\20260906_234129\evidence\images\11_christian-bedding-set-inspirational-bible-verse-comforte-design-02\image_06_47933842653383.jpg; seo_runs\jeminise.com\20260906_234129\evidence\contact_sheets\11_christian-bedding-set-inspirational-bible-verse-comforte-design-02.jpg; https://jeminise.com/products/christian-bedding-set-inspirational-bible-verse-comforte-design-02; https://cdn.shopify.com/s/files/1/0792/5098/1063/files/0e22a9fec09643a714af054217066178d4f7bc4d6266b6d2ff5c33c09cc10e88_963c3f22-9265-4b21-8847-4b1a66ac13e5.jpg?v=1787237735</t>
        </is>
      </c>
      <c r="K6" s="2" t="inlineStr">
        <is>
          <t>Mở lại ảnh gốc và xác nhận observation/alt mới mô tả đúng ảnh.</t>
        </is>
      </c>
    </row>
    <row r="7" ht="84" customHeight="1">
      <c r="A7" s="3" t="inlineStr">
        <is>
          <t>ISS-011-IMG-07</t>
        </is>
      </c>
      <c r="B7" s="3" t="inlineStr">
        <is>
          <t>jeminise.com+christian-bedding-set-inspirational-bible-verse-comforte-design-02</t>
        </is>
      </c>
      <c r="C7" s="3" t="inlineStr">
        <is>
          <t>qaimg_589b7006b0cae7ca</t>
        </is>
      </c>
      <c r="D7" s="3" t="inlineStr">
        <is>
          <t>MINOR</t>
        </is>
      </c>
      <c r="E7" s="3" t="inlineStr">
        <is>
          <t>image_observation/alt_effective</t>
        </is>
      </c>
      <c r="F7" s="3" t="inlineStr">
        <is>
          <t>Additional bedroom mockup showing the orange God Says I Am Christian design with the name Jessica, roses and butterflies design on a bed. | Bedroom mockup of Personalized God Says I Am Christian Comforter Set</t>
        </is>
      </c>
      <c r="G7" s="3" t="inlineStr">
        <is>
          <t>Bedroom close-up with soft, lightweight, durable and breathable feature icons.</t>
        </is>
      </c>
      <c r="H7" s="3" t="inlineStr">
        <is>
          <t>Observation hoặc alt được gán theo vị trí mẫu và không phản ánh đúng ảnh gốc.</t>
        </is>
      </c>
      <c r="I7" s="3" t="inlineStr">
        <is>
          <t>God Says I Am bedding softness and durability feature graphic</t>
        </is>
      </c>
      <c r="J7" s="3" t="inlineStr">
        <is>
          <t>seo_runs\jeminise.com\20260906_234129\evidence\images\11_christian-bedding-set-inspirational-bible-verse-comforte-design-02\image_07_47933842686151.jpg; seo_runs\jeminise.com\20260906_234129\evidence\contact_sheets\11_christian-bedding-set-inspirational-bible-verse-comforte-design-02.jpg; https://jeminise.com/products/christian-bedding-set-inspirational-bible-verse-comforte-design-02; https://cdn.shopify.com/s/files/1/0792/5098/1063/files/03ac15a4de6fdc4759048838b9e69d3ab841369c3b081159e5bf995fe1ff2483.jpg?v=1787237735</t>
        </is>
      </c>
      <c r="K7" s="3" t="inlineStr">
        <is>
          <t>Mở lại ảnh gốc và xác nhận observation/alt mới mô tả đúng ảnh.</t>
        </is>
      </c>
    </row>
    <row r="8" ht="84" customHeight="1">
      <c r="A8" s="2" t="inlineStr">
        <is>
          <t>ISS-011-IMG-08</t>
        </is>
      </c>
      <c r="B8" s="2" t="inlineStr">
        <is>
          <t>jeminise.com+christian-bedding-set-inspirational-bible-verse-comforte-design-02</t>
        </is>
      </c>
      <c r="C8" s="2" t="inlineStr">
        <is>
          <t>qaimg_a48e2074ece64973</t>
        </is>
      </c>
      <c r="D8" s="2" t="inlineStr">
        <is>
          <t>MINOR</t>
        </is>
      </c>
      <c r="E8" s="2" t="inlineStr">
        <is>
          <t>image_observation/alt_effective</t>
        </is>
      </c>
      <c r="F8" s="2" t="inlineStr">
        <is>
          <t>Additional product information image for size, care, personalization or bedding type. | Size or personalization guide for Personalized God Says I Am Christian Comforter Set</t>
        </is>
      </c>
      <c r="G8" s="2" t="inlineStr">
        <is>
          <t>Twin, Full, Queen and King dimension chart; heading reads SIZE DIMENTION.</t>
        </is>
      </c>
      <c r="H8" s="2" t="inlineStr">
        <is>
          <t>Observation hoặc alt được gán theo vị trí mẫu và không phản ánh đúng ảnh gốc.</t>
        </is>
      </c>
      <c r="I8" s="2" t="inlineStr">
        <is>
          <t>Christian bedding size chart for Twin through King</t>
        </is>
      </c>
      <c r="J8" s="2" t="inlineStr">
        <is>
          <t>seo_runs\jeminise.com\20260906_234129\evidence\images\11_christian-bedding-set-inspirational-bible-verse-comforte-design-02\image_08_47933842718919.jpg; seo_runs\jeminise.com\20260906_234129\evidence\contact_sheets\11_christian-bedding-set-inspirational-bible-verse-comforte-design-02.jpg; https://jeminise.com/products/christian-bedding-set-inspirational-bible-verse-comforte-design-02; https://cdn.shopify.com/s/files/1/0792/5098/1063/files/d6b8438a259ef28ba839a68ba108f40464bc9629b0bc2168779fc7776c9cbffa_433fa23f-2790-4b1e-8f60-9cb3f933e7c9.jpg?v=1787237735</t>
        </is>
      </c>
      <c r="K8" s="2" t="inlineStr">
        <is>
          <t>Mở lại ảnh gốc và xác nhận observation/alt mới mô tả đúng ảnh.</t>
        </is>
      </c>
    </row>
    <row r="9" ht="84" customHeight="1">
      <c r="A9" s="3" t="inlineStr">
        <is>
          <t>ISS-012-IMG-02</t>
        </is>
      </c>
      <c r="B9" s="3" t="inlineStr">
        <is>
          <t>jeminise.com+christian-bedding-set-inspirational-bible-verse-comforte-design-03</t>
        </is>
      </c>
      <c r="C9" s="3" t="inlineStr">
        <is>
          <t>qaimg_b47d22f3ec4bb409</t>
        </is>
      </c>
      <c r="D9" s="3" t="inlineStr">
        <is>
          <t>MINOR</t>
        </is>
      </c>
      <c r="E9" s="3" t="inlineStr">
        <is>
          <t>image_observation/alt_effective</t>
        </is>
      </c>
      <c r="F9" s="3" t="inlineStr">
        <is>
          <t>Secondary detail or room mockup showing white personalized Christian affirmation design with the name Evelyn and Bible verse words and visible quilted/printed texture. | Close view of white personalized Christian affirmation design with the name Evelyn and Bible verse words on the comforter set</t>
        </is>
      </c>
      <c r="G9" s="3" t="inlineStr">
        <is>
          <t>Alternate bedroom mockup of the same Evelyn Christian affirmation bedding.</t>
        </is>
      </c>
      <c r="H9" s="3" t="inlineStr">
        <is>
          <t>Observation hoặc alt được gán theo vị trí mẫu và không phản ánh đúng ảnh gốc.</t>
        </is>
      </c>
      <c r="I9" s="3" t="inlineStr">
        <is>
          <t>Evelyn Christian Bible verse bedding in an alternate bedroom view</t>
        </is>
      </c>
      <c r="J9" s="3" t="inlineStr">
        <is>
          <t>seo_runs\jeminise.com\20260906_234129\evidence\images\12_christian-bedding-set-inspirational-bible-verse-comforte-design-03\image_02_47933847077063.jpg; seo_runs\jeminise.com\20260906_234129\evidence\contact_sheets\12_christian-bedding-set-inspirational-bible-verse-comforte-design-03.jpg; https://jeminise.com/products/christian-bedding-set-inspirational-bible-verse-comforte-design-03; https://cdn.shopify.com/s/files/1/0792/5098/1063/files/38662725a37694575465781c6a07cc74254226a1182579802ffa9912a4e7768f.jpg?v=1787237775</t>
        </is>
      </c>
      <c r="K9" s="3" t="inlineStr">
        <is>
          <t>Mở lại ảnh gốc và xác nhận observation/alt mới mô tả đúng ảnh.</t>
        </is>
      </c>
    </row>
    <row r="10" ht="84" customHeight="1">
      <c r="A10" s="2" t="inlineStr">
        <is>
          <t>ISS-012-IMG-03</t>
        </is>
      </c>
      <c r="B10" s="2" t="inlineStr">
        <is>
          <t>jeminise.com+christian-bedding-set-inspirational-bible-verse-comforte-design-03</t>
        </is>
      </c>
      <c r="C10" s="2" t="inlineStr">
        <is>
          <t>qaimg_e219b7977479aba5</t>
        </is>
      </c>
      <c r="D10" s="2" t="inlineStr">
        <is>
          <t>MAJOR</t>
        </is>
      </c>
      <c r="E10" s="2" t="inlineStr">
        <is>
          <t>image_observation/alt_effective</t>
        </is>
      </c>
      <c r="F10" s="2" t="inlineStr">
        <is>
          <t>Matching pillow sham or bedding detail using the same white personalized Christian affirmation design with the name Evelyn and Bible verse words artwork. | Matching pillow sham for Personalized Christian Bible Verse Comforter Set</t>
        </is>
      </c>
      <c r="G10" s="2" t="inlineStr">
        <is>
          <t>Comparison graphic explaining Duvet Cover Set versus Comforter Set.</t>
        </is>
      </c>
      <c r="H10" s="2" t="inlineStr">
        <is>
          <t>Observation hoặc alt được gán theo vị trí mẫu và không phản ánh đúng ảnh gốc.</t>
        </is>
      </c>
      <c r="I10" s="2" t="inlineStr">
        <is>
          <t>Duvet cover and comforter set construction comparison</t>
        </is>
      </c>
      <c r="J10" s="2" t="inlineStr">
        <is>
          <t>seo_runs\jeminise.com\20260906_234129\evidence\images\12_christian-bedding-set-inspirational-bible-verse-comforte-design-03\image_03_47933847109831.jpg; seo_runs\jeminise.com\20260906_234129\evidence\contact_sheets\12_christian-bedding-set-inspirational-bible-verse-comforte-design-03.jpg; https://jeminise.com/products/christian-bedding-set-inspirational-bible-verse-comforte-design-03; https://cdn.shopify.com/s/files/1/0792/5098/1063/files/50f96559dd878ae5bbee14ba7a34337ccd740d21a8ffe86a8a1be819656d26c0_55aad209-cbed-473d-b39c-7f6a67c4001e.jpg?v=1787237775</t>
        </is>
      </c>
      <c r="K10" s="2" t="inlineStr">
        <is>
          <t>Mở lại ảnh gốc và xác nhận observation/alt mới mô tả đúng ảnh.</t>
        </is>
      </c>
    </row>
    <row r="11" ht="84" customHeight="1">
      <c r="A11" s="3" t="inlineStr">
        <is>
          <t>ISS-012-IMG-04</t>
        </is>
      </c>
      <c r="B11" s="3" t="inlineStr">
        <is>
          <t>jeminise.com+christian-bedding-set-inspirational-bible-verse-comforte-design-03</t>
        </is>
      </c>
      <c r="C11" s="3" t="inlineStr">
        <is>
          <t>qaimg_1d80ea156f5f9e4c</t>
        </is>
      </c>
      <c r="D11" s="3" t="inlineStr">
        <is>
          <t>MAJOR</t>
        </is>
      </c>
      <c r="E11" s="3" t="inlineStr">
        <is>
          <t>image_observation/alt_effective</t>
        </is>
      </c>
      <c r="F11" s="3" t="inlineStr">
        <is>
          <t>Room/folded product or fabric information image tied to the white personalized Christian affirmation design with the name Evelyn and Bible verse words design. | Personalized Christian Bible Verse Comforter Set shown in a bedroom setting</t>
        </is>
      </c>
      <c r="G11" s="3" t="inlineStr">
        <is>
          <t>Feature graphic stating 100% microfiber, 3D printed pattern, soft touch, lightweight and breathable.</t>
        </is>
      </c>
      <c r="H11" s="3" t="inlineStr">
        <is>
          <t>Observation hoặc alt được gán theo vị trí mẫu và không phản ánh đúng ảnh gốc.</t>
        </is>
      </c>
      <c r="I11" s="3" t="inlineStr">
        <is>
          <t>Christian bedding microfiber and breathable fabric features</t>
        </is>
      </c>
      <c r="J11" s="3" t="inlineStr">
        <is>
          <t>seo_runs\jeminise.com\20260906_234129\evidence\images\12_christian-bedding-set-inspirational-bible-verse-comforte-design-03\image_04_47933847142599.jpg; seo_runs\jeminise.com\20260906_234129\evidence\contact_sheets\12_christian-bedding-set-inspirational-bible-verse-comforte-design-03.jpg; https://jeminise.com/products/christian-bedding-set-inspirational-bible-verse-comforte-design-03; https://cdn.shopify.com/s/files/1/0792/5098/1063/files/6f7120179ef66c1c3b1345bc6dcaf03449e1ffefc7fbda9577faecc3e3db4447.jpg?v=1787237775</t>
        </is>
      </c>
      <c r="K11" s="3" t="inlineStr">
        <is>
          <t>Mở lại ảnh gốc và xác nhận observation/alt mới mô tả đúng ảnh.</t>
        </is>
      </c>
    </row>
    <row r="12" ht="84" customHeight="1">
      <c r="A12" s="2" t="inlineStr">
        <is>
          <t>ISS-012-IMG-05</t>
        </is>
      </c>
      <c r="B12" s="2" t="inlineStr">
        <is>
          <t>jeminise.com+christian-bedding-set-inspirational-bible-verse-comforte-design-03</t>
        </is>
      </c>
      <c r="C12" s="2" t="inlineStr">
        <is>
          <t>qaimg_2413ef1710d427e4</t>
        </is>
      </c>
      <c r="D12" s="2" t="inlineStr">
        <is>
          <t>MAJOR</t>
        </is>
      </c>
      <c r="E12" s="2" t="inlineStr">
        <is>
          <t>image_observation/alt_effective</t>
        </is>
      </c>
      <c r="F12" s="2" t="inlineStr">
        <is>
          <t>Sizing or included-components information image for the bedding set. | Size guide for Personalized Christian Bible Verse Comforter Set</t>
        </is>
      </c>
      <c r="G12" s="2" t="inlineStr">
        <is>
          <t>Bedroom close-up with soft, lightweight, durable and breathable feature icons.</t>
        </is>
      </c>
      <c r="H12" s="2" t="inlineStr">
        <is>
          <t>Observation hoặc alt được gán theo vị trí mẫu và không phản ánh đúng ảnh gốc.</t>
        </is>
      </c>
      <c r="I12" s="2" t="inlineStr">
        <is>
          <t>Christian bedding softness and durability feature graphic</t>
        </is>
      </c>
      <c r="J12" s="2" t="inlineStr">
        <is>
          <t>seo_runs\jeminise.com\20260906_234129\evidence\images\12_christian-bedding-set-inspirational-bible-verse-comforte-design-03\image_05_47933847175367.jpg; seo_runs\jeminise.com\20260906_234129\evidence\contact_sheets\12_christian-bedding-set-inspirational-bible-verse-comforte-design-03.jpg; https://jeminise.com/products/christian-bedding-set-inspirational-bible-verse-comforte-design-03; https://cdn.shopify.com/s/files/1/0792/5098/1063/files/3f1020e70fcfa8dc9427d83131c12eb3107fd27ba15741a814733e1974f31cb2.jpg?v=1787237775</t>
        </is>
      </c>
      <c r="K12" s="2" t="inlineStr">
        <is>
          <t>Mở lại ảnh gốc và xác nhận observation/alt mới mô tả đúng ảnh.</t>
        </is>
      </c>
    </row>
    <row r="13" ht="84" customHeight="1">
      <c r="A13" s="3" t="inlineStr">
        <is>
          <t>ISS-012-IMG-06</t>
        </is>
      </c>
      <c r="B13" s="3" t="inlineStr">
        <is>
          <t>jeminise.com+christian-bedding-set-inspirational-bible-verse-comforte-design-03</t>
        </is>
      </c>
      <c r="C13" s="3" t="inlineStr">
        <is>
          <t>qaimg_bf5165b14f62028f</t>
        </is>
      </c>
      <c r="D13" s="3" t="inlineStr">
        <is>
          <t>MAJOR</t>
        </is>
      </c>
      <c r="E13" s="3" t="inlineStr">
        <is>
          <t>image_observation/alt_effective</t>
        </is>
      </c>
      <c r="F13" s="3" t="inlineStr">
        <is>
          <t>Feature image describing fabric layers, softness, breathability or care details. | Fabric feature graphic for Personalized Christian Bible Verse Comforter Set</t>
        </is>
      </c>
      <c r="G13" s="3" t="inlineStr">
        <is>
          <t>Easy-care graphic stating wrinkle-free, stain-proof, anti-pilling and won't fade in the wash.</t>
        </is>
      </c>
      <c r="H13" s="3" t="inlineStr">
        <is>
          <t>Observation hoặc alt được gán theo vị trí mẫu và không phản ánh đúng ảnh gốc.</t>
        </is>
      </c>
      <c r="I13" s="3" t="inlineStr">
        <is>
          <t>Bedding easy-care, anti-pilling and fade-resistance features</t>
        </is>
      </c>
      <c r="J13" s="3" t="inlineStr">
        <is>
          <t>seo_runs\jeminise.com\20260906_234129\evidence\images\12_christian-bedding-set-inspirational-bible-verse-comforte-design-03\image_06_47933847208135.jpg; seo_runs\jeminise.com\20260906_234129\evidence\contact_sheets\12_christian-bedding-set-inspirational-bible-verse-comforte-design-03.jpg; https://jeminise.com/products/christian-bedding-set-inspirational-bible-verse-comforte-design-03; https://cdn.shopify.com/s/files/1/0792/5098/1063/files/0e22a9fec09643a714af054217066178d4f7bc4d6266b6d2ff5c33c09cc10e88_aa1ee109-258c-49b7-8e15-9f96d009b1e0.jpg?v=1787237775</t>
        </is>
      </c>
      <c r="K13" s="3" t="inlineStr">
        <is>
          <t>Mở lại ảnh gốc và xác nhận observation/alt mới mô tả đúng ảnh.</t>
        </is>
      </c>
    </row>
    <row r="14" ht="84" customHeight="1">
      <c r="A14" s="2" t="inlineStr">
        <is>
          <t>ISS-012-IMG-07</t>
        </is>
      </c>
      <c r="B14" s="2" t="inlineStr">
        <is>
          <t>jeminise.com+christian-bedding-set-inspirational-bible-verse-comforte-design-03</t>
        </is>
      </c>
      <c r="C14" s="2" t="inlineStr">
        <is>
          <t>qaimg_7f1dc53c39364d86</t>
        </is>
      </c>
      <c r="D14" s="2" t="inlineStr">
        <is>
          <t>MAJOR</t>
        </is>
      </c>
      <c r="E14" s="2" t="inlineStr">
        <is>
          <t>image_observation/alt_effective</t>
        </is>
      </c>
      <c r="F14" s="2" t="inlineStr">
        <is>
          <t>Additional bedroom mockup showing the white personalized Christian affirmation design with the name Evelyn and Bible verse words design on a bed. | Bedroom mockup of Personalized Christian Bible Verse Comforter Set</t>
        </is>
      </c>
      <c r="G14" s="2" t="inlineStr">
        <is>
          <t>Twin, Full, Queen and King dimension chart; heading reads SIZE DIMENTION.</t>
        </is>
      </c>
      <c r="H14" s="2" t="inlineStr">
        <is>
          <t>Observation hoặc alt được gán theo vị trí mẫu và không phản ánh đúng ảnh gốc.</t>
        </is>
      </c>
      <c r="I14" s="2" t="inlineStr">
        <is>
          <t>Christian bedding size chart for Twin through King</t>
        </is>
      </c>
      <c r="J14" s="2" t="inlineStr">
        <is>
          <t>seo_runs\jeminise.com\20260906_234129\evidence\images\12_christian-bedding-set-inspirational-bible-verse-comforte-design-03\image_07_47933847240903.jpg; seo_runs\jeminise.com\20260906_234129\evidence\contact_sheets\12_christian-bedding-set-inspirational-bible-verse-comforte-design-03.jpg; https://jeminise.com/products/christian-bedding-set-inspirational-bible-verse-comforte-design-03; https://cdn.shopify.com/s/files/1/0792/5098/1063/files/d6b8438a259ef28ba839a68ba108f40464bc9629b0bc2168779fc7776c9cbffa_6f72bb77-1b12-4ea3-9e0c-1b5e684c5f9f.jpg?v=1787237775</t>
        </is>
      </c>
      <c r="K14" s="2" t="inlineStr">
        <is>
          <t>Mở lại ảnh gốc và xác nhận observation/alt mới mô tả đúng ảnh.</t>
        </is>
      </c>
    </row>
    <row r="15" ht="84" customHeight="1">
      <c r="A15" s="3" t="inlineStr">
        <is>
          <t>ISS-013-IMG-02</t>
        </is>
      </c>
      <c r="B15" s="3" t="inlineStr">
        <is>
          <t>jeminise.com+christian-bedding-set-inspirational-bible-verse-comforte-design-04</t>
        </is>
      </c>
      <c r="C15" s="3" t="inlineStr">
        <is>
          <t>qaimg_968dec4fd615f426</t>
        </is>
      </c>
      <c r="D15" s="3" t="inlineStr">
        <is>
          <t>MINOR</t>
        </is>
      </c>
      <c r="E15" s="3" t="inlineStr">
        <is>
          <t>image_observation/alt_effective</t>
        </is>
      </c>
      <c r="F15" s="3" t="inlineStr">
        <is>
          <t>Secondary detail or room mockup showing black and gold Christian design with the name Olivia, butterflies and God is within her text and visible quilted/printed texture. | Close view of black and gold Christian design with the name Olivia, butterflies and God is within her text on the comforter s</t>
        </is>
      </c>
      <c r="G15" s="3" t="inlineStr">
        <is>
          <t>Alternate bedroom mockup of the same Olivia Christian bedding.</t>
        </is>
      </c>
      <c r="H15" s="3" t="inlineStr">
        <is>
          <t>Observation hoặc alt được gán theo vị trí mẫu và không phản ánh đúng ảnh gốc.</t>
        </is>
      </c>
      <c r="I15" s="3" t="inlineStr">
        <is>
          <t>Olivia God Is Within Her bedding in an alternate bedroom view</t>
        </is>
      </c>
      <c r="J15" s="3" t="inlineStr">
        <is>
          <t>seo_runs\jeminise.com\20260906_234129\evidence\images\13_christian-bedding-set-inspirational-bible-verse-comforte-design-04\image_02_47933849862343.jpg; seo_runs\jeminise.com\20260906_234129\evidence\contact_sheets\13_christian-bedding-set-inspirational-bible-verse-comforte-design-04.jpg; https://jeminise.com/products/christian-bedding-set-inspirational-bible-verse-comforte-design-04; https://cdn.shopify.com/s/files/1/0792/5098/1063/files/1892152d87d62b43a0e3a2b26a3397d09584e40f761ce2e9fd4940acfae699dc.jpg?v=1787237794</t>
        </is>
      </c>
      <c r="K15" s="3" t="inlineStr">
        <is>
          <t>Mở lại ảnh gốc và xác nhận observation/alt mới mô tả đúng ảnh.</t>
        </is>
      </c>
    </row>
    <row r="16" ht="84" customHeight="1">
      <c r="A16" s="2" t="inlineStr">
        <is>
          <t>ISS-013-IMG-03</t>
        </is>
      </c>
      <c r="B16" s="2" t="inlineStr">
        <is>
          <t>jeminise.com+christian-bedding-set-inspirational-bible-verse-comforte-design-04</t>
        </is>
      </c>
      <c r="C16" s="2" t="inlineStr">
        <is>
          <t>qaimg_a6d3df0e47c5b795</t>
        </is>
      </c>
      <c r="D16" s="2" t="inlineStr">
        <is>
          <t>MAJOR</t>
        </is>
      </c>
      <c r="E16" s="2" t="inlineStr">
        <is>
          <t>image_observation/alt_effective</t>
        </is>
      </c>
      <c r="F16" s="2" t="inlineStr">
        <is>
          <t>Matching pillow sham or bedding detail using the same black and gold Christian design with the name Olivia, butterflies and God is within her text artwork. | Matching pillow sham for Personalized God Is Within Her Christian Comforter</t>
        </is>
      </c>
      <c r="G16" s="2" t="inlineStr">
        <is>
          <t>Comparison graphic explaining Duvet Cover Set versus Comforter Set.</t>
        </is>
      </c>
      <c r="H16" s="2" t="inlineStr">
        <is>
          <t>Observation hoặc alt được gán theo vị trí mẫu và không phản ánh đúng ảnh gốc.</t>
        </is>
      </c>
      <c r="I16" s="2" t="inlineStr">
        <is>
          <t>Duvet cover and comforter set construction comparison</t>
        </is>
      </c>
      <c r="J16" s="2" t="inlineStr">
        <is>
          <t>seo_runs\jeminise.com\20260906_234129\evidence\images\13_christian-bedding-set-inspirational-bible-verse-comforte-design-04\image_03_47933849895111.jpg; seo_runs\jeminise.com\20260906_234129\evidence\contact_sheets\13_christian-bedding-set-inspirational-bible-verse-comforte-design-04.jpg; https://jeminise.com/products/christian-bedding-set-inspirational-bible-verse-comforte-design-04; https://cdn.shopify.com/s/files/1/0792/5098/1063/files/50f96559dd878ae5bbee14ba7a34337ccd740d21a8ffe86a8a1be819656d26c0_06b27f7a-14c6-4267-b5df-12ac25afd52c.jpg?v=1787237794</t>
        </is>
      </c>
      <c r="K16" s="2" t="inlineStr">
        <is>
          <t>Mở lại ảnh gốc và xác nhận observation/alt mới mô tả đúng ảnh.</t>
        </is>
      </c>
    </row>
    <row r="17" ht="84" customHeight="1">
      <c r="A17" s="3" t="inlineStr">
        <is>
          <t>ISS-013-IMG-04</t>
        </is>
      </c>
      <c r="B17" s="3" t="inlineStr">
        <is>
          <t>jeminise.com+christian-bedding-set-inspirational-bible-verse-comforte-design-04</t>
        </is>
      </c>
      <c r="C17" s="3" t="inlineStr">
        <is>
          <t>qaimg_ab2bce2736a3e8e1</t>
        </is>
      </c>
      <c r="D17" s="3" t="inlineStr">
        <is>
          <t>MAJOR</t>
        </is>
      </c>
      <c r="E17" s="3" t="inlineStr">
        <is>
          <t>image_observation/alt_effective</t>
        </is>
      </c>
      <c r="F17" s="3" t="inlineStr">
        <is>
          <t>Room/folded product or fabric information image tied to the black and gold Christian design with the name Olivia, butterflies and God is within her text design. | Personalized God Is Within Her Christian Comforter shown in a bedroom setting</t>
        </is>
      </c>
      <c r="G17" s="3" t="inlineStr">
        <is>
          <t>Feature graphic stating 100% microfiber, 3D printed pattern, soft touch, lightweight and breathable.</t>
        </is>
      </c>
      <c r="H17" s="3" t="inlineStr">
        <is>
          <t>Observation hoặc alt được gán theo vị trí mẫu và không phản ánh đúng ảnh gốc.</t>
        </is>
      </c>
      <c r="I17" s="3" t="inlineStr">
        <is>
          <t>Christian bedding microfiber and breathable fabric features</t>
        </is>
      </c>
      <c r="J17" s="3" t="inlineStr">
        <is>
          <t>seo_runs\jeminise.com\20260906_234129\evidence\images\13_christian-bedding-set-inspirational-bible-verse-comforte-design-04\image_04_47933849927879.jpg; seo_runs\jeminise.com\20260906_234129\evidence\contact_sheets\13_christian-bedding-set-inspirational-bible-verse-comforte-design-04.jpg; https://jeminise.com/products/christian-bedding-set-inspirational-bible-verse-comforte-design-04; https://cdn.shopify.com/s/files/1/0792/5098/1063/files/7da6a24b7604ad0ef3673f41696bea7a0fccfe1eb412a1cda572ca856ef48593.jpg?v=1787237794</t>
        </is>
      </c>
      <c r="K17" s="3" t="inlineStr">
        <is>
          <t>Mở lại ảnh gốc và xác nhận observation/alt mới mô tả đúng ảnh.</t>
        </is>
      </c>
    </row>
    <row r="18" ht="84" customHeight="1">
      <c r="A18" s="2" t="inlineStr">
        <is>
          <t>ISS-013-IMG-05</t>
        </is>
      </c>
      <c r="B18" s="2" t="inlineStr">
        <is>
          <t>jeminise.com+christian-bedding-set-inspirational-bible-verse-comforte-design-04</t>
        </is>
      </c>
      <c r="C18" s="2" t="inlineStr">
        <is>
          <t>qaimg_07f7dd0a59d6a67e</t>
        </is>
      </c>
      <c r="D18" s="2" t="inlineStr">
        <is>
          <t>MAJOR</t>
        </is>
      </c>
      <c r="E18" s="2" t="inlineStr">
        <is>
          <t>image_observation/alt_effective</t>
        </is>
      </c>
      <c r="F18" s="2" t="inlineStr">
        <is>
          <t>Sizing or included-components information image for the bedding set. | Size guide for Personalized God Is Within Her Christian Comforter</t>
        </is>
      </c>
      <c r="G18" s="2" t="inlineStr">
        <is>
          <t>Bedroom close-up with soft, lightweight, durable and breathable feature icons.</t>
        </is>
      </c>
      <c r="H18" s="2" t="inlineStr">
        <is>
          <t>Observation hoặc alt được gán theo vị trí mẫu và không phản ánh đúng ảnh gốc.</t>
        </is>
      </c>
      <c r="I18" s="2" t="inlineStr">
        <is>
          <t>Christian bedding softness and durability feature graphic</t>
        </is>
      </c>
      <c r="J18" s="2" t="inlineStr">
        <is>
          <t>seo_runs\jeminise.com\20260906_234129\evidence\images\13_christian-bedding-set-inspirational-bible-verse-comforte-design-04\image_05_47933849960647.jpg; seo_runs\jeminise.com\20260906_234129\evidence\contact_sheets\13_christian-bedding-set-inspirational-bible-verse-comforte-design-04.jpg; https://jeminise.com/products/christian-bedding-set-inspirational-bible-verse-comforte-design-04; https://cdn.shopify.com/s/files/1/0792/5098/1063/files/226b0655da5d59ac974c47bf8332fcc934206146b46faa31fb8bab794613c1f0.jpg?v=1787237794</t>
        </is>
      </c>
      <c r="K18" s="2" t="inlineStr">
        <is>
          <t>Mở lại ảnh gốc và xác nhận observation/alt mới mô tả đúng ảnh.</t>
        </is>
      </c>
    </row>
    <row r="19" ht="84" customHeight="1">
      <c r="A19" s="3" t="inlineStr">
        <is>
          <t>ISS-013-IMG-06</t>
        </is>
      </c>
      <c r="B19" s="3" t="inlineStr">
        <is>
          <t>jeminise.com+christian-bedding-set-inspirational-bible-verse-comforte-design-04</t>
        </is>
      </c>
      <c r="C19" s="3" t="inlineStr">
        <is>
          <t>qaimg_c95689a978dc7eb5</t>
        </is>
      </c>
      <c r="D19" s="3" t="inlineStr">
        <is>
          <t>MAJOR</t>
        </is>
      </c>
      <c r="E19" s="3" t="inlineStr">
        <is>
          <t>image_observation/alt_effective</t>
        </is>
      </c>
      <c r="F19" s="3" t="inlineStr">
        <is>
          <t>Feature image describing fabric layers, softness, breathability or care details. | Fabric feature graphic for Personalized God Is Within Her Christian Comforter</t>
        </is>
      </c>
      <c r="G19" s="3" t="inlineStr">
        <is>
          <t>Easy-care graphic stating wrinkle-free, stain-proof, anti-pilling and won't fade in the wash.</t>
        </is>
      </c>
      <c r="H19" s="3" t="inlineStr">
        <is>
          <t>Observation hoặc alt được gán theo vị trí mẫu và không phản ánh đúng ảnh gốc.</t>
        </is>
      </c>
      <c r="I19" s="3" t="inlineStr">
        <is>
          <t>Bedding easy-care, anti-pilling and fade-resistance features</t>
        </is>
      </c>
      <c r="J19" s="3" t="inlineStr">
        <is>
          <t>seo_runs\jeminise.com\20260906_234129\evidence\images\13_christian-bedding-set-inspirational-bible-verse-comforte-design-04\image_06_47933849993415.jpg; seo_runs\jeminise.com\20260906_234129\evidence\contact_sheets\13_christian-bedding-set-inspirational-bible-verse-comforte-design-04.jpg; https://jeminise.com/products/christian-bedding-set-inspirational-bible-verse-comforte-design-04; https://cdn.shopify.com/s/files/1/0792/5098/1063/files/0e22a9fec09643a714af054217066178d4f7bc4d6266b6d2ff5c33c09cc10e88_2cef02df-e481-4c1b-91ca-baace2312c0a.jpg?v=1787237794</t>
        </is>
      </c>
      <c r="K19" s="3" t="inlineStr">
        <is>
          <t>Mở lại ảnh gốc và xác nhận observation/alt mới mô tả đúng ảnh.</t>
        </is>
      </c>
    </row>
    <row r="20" ht="84" customHeight="1">
      <c r="A20" s="2" t="inlineStr">
        <is>
          <t>ISS-013-IMG-07</t>
        </is>
      </c>
      <c r="B20" s="2" t="inlineStr">
        <is>
          <t>jeminise.com+christian-bedding-set-inspirational-bible-verse-comforte-design-04</t>
        </is>
      </c>
      <c r="C20" s="2" t="inlineStr">
        <is>
          <t>qaimg_bf69849eda59ee13</t>
        </is>
      </c>
      <c r="D20" s="2" t="inlineStr">
        <is>
          <t>MAJOR</t>
        </is>
      </c>
      <c r="E20" s="2" t="inlineStr">
        <is>
          <t>image_observation/alt_effective</t>
        </is>
      </c>
      <c r="F20" s="2" t="inlineStr">
        <is>
          <t>Additional bedroom mockup showing the black and gold Christian design with the name Olivia, butterflies and God is within her text design on a bed. | Bedroom mockup of Personalized God Is Within Her Christian Comforter</t>
        </is>
      </c>
      <c r="G20" s="2" t="inlineStr">
        <is>
          <t>Twin, Full, Queen and King dimension chart; heading reads SIZE DIMENTION.</t>
        </is>
      </c>
      <c r="H20" s="2" t="inlineStr">
        <is>
          <t>Observation hoặc alt được gán theo vị trí mẫu và không phản ánh đúng ảnh gốc.</t>
        </is>
      </c>
      <c r="I20" s="2" t="inlineStr">
        <is>
          <t>Christian bedding size chart for Twin through King</t>
        </is>
      </c>
      <c r="J20" s="2" t="inlineStr">
        <is>
          <t>seo_runs\jeminise.com\20260906_234129\evidence\images\13_christian-bedding-set-inspirational-bible-verse-comforte-design-04\image_07_47933850026183.jpg; seo_runs\jeminise.com\20260906_234129\evidence\contact_sheets\13_christian-bedding-set-inspirational-bible-verse-comforte-design-04.jpg; https://jeminise.com/products/christian-bedding-set-inspirational-bible-verse-comforte-design-04; https://cdn.shopify.com/s/files/1/0792/5098/1063/files/d6b8438a259ef28ba839a68ba108f40464bc9629b0bc2168779fc7776c9cbffa_5b109a66-32e6-4a36-bd31-f408dd22e6aa.jpg?v=1787237794</t>
        </is>
      </c>
      <c r="K20" s="2" t="inlineStr">
        <is>
          <t>Mở lại ảnh gốc và xác nhận observation/alt mới mô tả đúng ảnh.</t>
        </is>
      </c>
    </row>
    <row r="21" ht="84" customHeight="1">
      <c r="A21" s="3" t="inlineStr">
        <is>
          <t>ISS-014-IMG-02</t>
        </is>
      </c>
      <c r="B21" s="3" t="inlineStr">
        <is>
          <t>jeminise.com+christian-bedding-set-inspirational-bible-verse-comforte-design-05</t>
        </is>
      </c>
      <c r="C21" s="3" t="inlineStr">
        <is>
          <t>qaimg_16dfc2606217829c</t>
        </is>
      </c>
      <c r="D21" s="3" t="inlineStr">
        <is>
          <t>MINOR</t>
        </is>
      </c>
      <c r="E21" s="3" t="inlineStr">
        <is>
          <t>image_observation/alt_effective</t>
        </is>
      </c>
      <c r="F21" s="3" t="inlineStr">
        <is>
          <t>Secondary detail or room mockup showing blue God Says I Am Christian design with the name Emily and floral border and visible quilted/printed texture. | Close view of blue God Says I Am Christian design with the name Emily and floral border on the comforter set</t>
        </is>
      </c>
      <c r="G21" s="3" t="inlineStr">
        <is>
          <t>Alternate bedroom mockup of the same Emily Christian bedding.</t>
        </is>
      </c>
      <c r="H21" s="3" t="inlineStr">
        <is>
          <t>Observation hoặc alt được gán theo vị trí mẫu và không phản ánh đúng ảnh gốc.</t>
        </is>
      </c>
      <c r="I21" s="3" t="inlineStr">
        <is>
          <t>Emily God Says I Am bedding in an alternate bedroom view</t>
        </is>
      </c>
      <c r="J21" s="3" t="inlineStr">
        <is>
          <t>seo_runs\jeminise.com\20260906_234129\evidence\images\14_christian-bedding-set-inspirational-bible-verse-comforte-design-05\image_02_47933850845383.jpg; seo_runs\jeminise.com\20260906_234129\evidence\contact_sheets\14_christian-bedding-set-inspirational-bible-verse-comforte-design-05.jpg; https://jeminise.com/products/christian-bedding-set-inspirational-bible-verse-comforte-design-05; https://cdn.shopify.com/s/files/1/0792/5098/1063/files/b5194765e0cae48306ed2e7b908325a37d813710ea8355976fd4bdad98268bcf.jpg?v=1787237801</t>
        </is>
      </c>
      <c r="K21" s="3" t="inlineStr">
        <is>
          <t>Mở lại ảnh gốc và xác nhận observation/alt mới mô tả đúng ảnh.</t>
        </is>
      </c>
    </row>
    <row r="22" ht="84" customHeight="1">
      <c r="A22" s="2" t="inlineStr">
        <is>
          <t>ISS-014-IMG-03</t>
        </is>
      </c>
      <c r="B22" s="2" t="inlineStr">
        <is>
          <t>jeminise.com+christian-bedding-set-inspirational-bible-verse-comforte-design-05</t>
        </is>
      </c>
      <c r="C22" s="2" t="inlineStr">
        <is>
          <t>qaimg_bc6d1526b2534f74</t>
        </is>
      </c>
      <c r="D22" s="2" t="inlineStr">
        <is>
          <t>MAJOR</t>
        </is>
      </c>
      <c r="E22" s="2" t="inlineStr">
        <is>
          <t>image_observation/alt_effective</t>
        </is>
      </c>
      <c r="F22" s="2" t="inlineStr">
        <is>
          <t>Matching pillow sham or bedding detail using the same blue God Says I Am Christian design with the name Emily and floral border artwork. | Matching pillow sham for Blue God Says I Am Christian Comforter Set</t>
        </is>
      </c>
      <c r="G22" s="2" t="inlineStr">
        <is>
          <t>Comparison graphic explaining Duvet Cover Set versus Comforter Set.</t>
        </is>
      </c>
      <c r="H22" s="2" t="inlineStr">
        <is>
          <t>Observation hoặc alt được gán theo vị trí mẫu và không phản ánh đúng ảnh gốc.</t>
        </is>
      </c>
      <c r="I22" s="2" t="inlineStr">
        <is>
          <t>Duvet cover and comforter set construction comparison</t>
        </is>
      </c>
      <c r="J22" s="2" t="inlineStr">
        <is>
          <t>seo_runs\jeminise.com\20260906_234129\evidence\images\14_christian-bedding-set-inspirational-bible-verse-comforte-design-05\image_03_47933850878151.jpg; seo_runs\jeminise.com\20260906_234129\evidence\contact_sheets\14_christian-bedding-set-inspirational-bible-verse-comforte-design-05.jpg; https://jeminise.com/products/christian-bedding-set-inspirational-bible-verse-comforte-design-05; https://cdn.shopify.com/s/files/1/0792/5098/1063/files/50f96559dd878ae5bbee14ba7a34337ccd740d21a8ffe86a8a1be819656d26c0_32920277-9b92-44f8-8046-5ec5bbe0e622.jpg?v=1787237801</t>
        </is>
      </c>
      <c r="K22" s="2" t="inlineStr">
        <is>
          <t>Mở lại ảnh gốc và xác nhận observation/alt mới mô tả đúng ảnh.</t>
        </is>
      </c>
    </row>
    <row r="23" ht="84" customHeight="1">
      <c r="A23" s="3" t="inlineStr">
        <is>
          <t>ISS-014-IMG-04</t>
        </is>
      </c>
      <c r="B23" s="3" t="inlineStr">
        <is>
          <t>jeminise.com+christian-bedding-set-inspirational-bible-verse-comforte-design-05</t>
        </is>
      </c>
      <c r="C23" s="3" t="inlineStr">
        <is>
          <t>qaimg_f7d246eca83ea2cc</t>
        </is>
      </c>
      <c r="D23" s="3" t="inlineStr">
        <is>
          <t>MAJOR</t>
        </is>
      </c>
      <c r="E23" s="3" t="inlineStr">
        <is>
          <t>image_observation/alt_effective</t>
        </is>
      </c>
      <c r="F23" s="3" t="inlineStr">
        <is>
          <t>Room/folded product or fabric information image tied to the blue God Says I Am Christian design with the name Emily and floral border design. | Blue God Says I Am Christian Comforter Set shown in a bedroom setting</t>
        </is>
      </c>
      <c r="G23" s="3" t="inlineStr">
        <is>
          <t>Feature graphic stating 100% microfiber, 3D printed pattern, soft touch, lightweight and breathable.</t>
        </is>
      </c>
      <c r="H23" s="3" t="inlineStr">
        <is>
          <t>Observation hoặc alt được gán theo vị trí mẫu và không phản ánh đúng ảnh gốc.</t>
        </is>
      </c>
      <c r="I23" s="3" t="inlineStr">
        <is>
          <t>Christian bedding microfiber and breathable fabric features</t>
        </is>
      </c>
      <c r="J23" s="3" t="inlineStr">
        <is>
          <t>seo_runs\jeminise.com\20260906_234129\evidence\images\14_christian-bedding-set-inspirational-bible-verse-comforte-design-05\image_04_47933850910919.jpg; seo_runs\jeminise.com\20260906_234129\evidence\contact_sheets\14_christian-bedding-set-inspirational-bible-verse-comforte-design-05.jpg; https://jeminise.com/products/christian-bedding-set-inspirational-bible-verse-comforte-design-05; https://cdn.shopify.com/s/files/1/0792/5098/1063/files/a3e33ead7835eefa65523c45bf48420d56f8ee5c29d0aa8d4a6fb0717bc0d53e.jpg?v=1787237801</t>
        </is>
      </c>
      <c r="K23" s="3" t="inlineStr">
        <is>
          <t>Mở lại ảnh gốc và xác nhận observation/alt mới mô tả đúng ảnh.</t>
        </is>
      </c>
    </row>
    <row r="24" ht="84" customHeight="1">
      <c r="A24" s="2" t="inlineStr">
        <is>
          <t>ISS-014-IMG-05</t>
        </is>
      </c>
      <c r="B24" s="2" t="inlineStr">
        <is>
          <t>jeminise.com+christian-bedding-set-inspirational-bible-verse-comforte-design-05</t>
        </is>
      </c>
      <c r="C24" s="2" t="inlineStr">
        <is>
          <t>qaimg_67fa0f472d1b8177</t>
        </is>
      </c>
      <c r="D24" s="2" t="inlineStr">
        <is>
          <t>MAJOR</t>
        </is>
      </c>
      <c r="E24" s="2" t="inlineStr">
        <is>
          <t>image_observation/alt_effective</t>
        </is>
      </c>
      <c r="F24" s="2" t="inlineStr">
        <is>
          <t>Sizing or included-components information image for the bedding set. | Size guide for Blue God Says I Am Christian Comforter Set</t>
        </is>
      </c>
      <c r="G24" s="2" t="inlineStr">
        <is>
          <t>Bedroom close-up with soft, lightweight, durable and breathable feature icons.</t>
        </is>
      </c>
      <c r="H24" s="2" t="inlineStr">
        <is>
          <t>Observation hoặc alt được gán theo vị trí mẫu và không phản ánh đúng ảnh gốc.</t>
        </is>
      </c>
      <c r="I24" s="2" t="inlineStr">
        <is>
          <t>Christian bedding softness and durability feature graphic</t>
        </is>
      </c>
      <c r="J24" s="2" t="inlineStr">
        <is>
          <t>seo_runs\jeminise.com\20260906_234129\evidence\images\14_christian-bedding-set-inspirational-bible-verse-comforte-design-05\image_05_47933850943687.jpg; seo_runs\jeminise.com\20260906_234129\evidence\contact_sheets\14_christian-bedding-set-inspirational-bible-verse-comforte-design-05.jpg; https://jeminise.com/products/christian-bedding-set-inspirational-bible-verse-comforte-design-05; https://cdn.shopify.com/s/files/1/0792/5098/1063/files/c90ac7079a8d005c71bbed0da31d73d3243eb764fe402b271b85e05efec937b6.jpg?v=1787237801</t>
        </is>
      </c>
      <c r="K24" s="2" t="inlineStr">
        <is>
          <t>Mở lại ảnh gốc và xác nhận observation/alt mới mô tả đúng ảnh.</t>
        </is>
      </c>
    </row>
    <row r="25" ht="84" customHeight="1">
      <c r="A25" s="3" t="inlineStr">
        <is>
          <t>ISS-014-IMG-06</t>
        </is>
      </c>
      <c r="B25" s="3" t="inlineStr">
        <is>
          <t>jeminise.com+christian-bedding-set-inspirational-bible-verse-comforte-design-05</t>
        </is>
      </c>
      <c r="C25" s="3" t="inlineStr">
        <is>
          <t>qaimg_ea4541fdca00e820</t>
        </is>
      </c>
      <c r="D25" s="3" t="inlineStr">
        <is>
          <t>MAJOR</t>
        </is>
      </c>
      <c r="E25" s="3" t="inlineStr">
        <is>
          <t>image_observation/alt_effective</t>
        </is>
      </c>
      <c r="F25" s="3" t="inlineStr">
        <is>
          <t>Feature image describing fabric layers, softness, breathability or care details. | Fabric feature graphic for Blue God Says I Am Christian Comforter Set</t>
        </is>
      </c>
      <c r="G25" s="3" t="inlineStr">
        <is>
          <t>Easy-care graphic stating wrinkle-free, stain-proof, anti-pilling and won't fade in the wash.</t>
        </is>
      </c>
      <c r="H25" s="3" t="inlineStr">
        <is>
          <t>Observation hoặc alt được gán theo vị trí mẫu và không phản ánh đúng ảnh gốc.</t>
        </is>
      </c>
      <c r="I25" s="3" t="inlineStr">
        <is>
          <t>Bedding easy-care, anti-pilling and fade-resistance features</t>
        </is>
      </c>
      <c r="J25" s="3" t="inlineStr">
        <is>
          <t>seo_runs\jeminise.com\20260906_234129\evidence\images\14_christian-bedding-set-inspirational-bible-verse-comforte-design-05\image_06_47933850976455.jpg; seo_runs\jeminise.com\20260906_234129\evidence\contact_sheets\14_christian-bedding-set-inspirational-bible-verse-comforte-design-05.jpg; https://jeminise.com/products/christian-bedding-set-inspirational-bible-verse-comforte-design-05; https://cdn.shopify.com/s/files/1/0792/5098/1063/files/0e22a9fec09643a714af054217066178d4f7bc4d6266b6d2ff5c33c09cc10e88_37f50064-c16f-4107-bf6d-b3b50080fc75.jpg?v=1787237802</t>
        </is>
      </c>
      <c r="K25" s="3" t="inlineStr">
        <is>
          <t>Mở lại ảnh gốc và xác nhận observation/alt mới mô tả đúng ảnh.</t>
        </is>
      </c>
    </row>
    <row r="26" ht="84" customHeight="1">
      <c r="A26" s="2" t="inlineStr">
        <is>
          <t>ISS-014-IMG-07</t>
        </is>
      </c>
      <c r="B26" s="2" t="inlineStr">
        <is>
          <t>jeminise.com+christian-bedding-set-inspirational-bible-verse-comforte-design-05</t>
        </is>
      </c>
      <c r="C26" s="2" t="inlineStr">
        <is>
          <t>qaimg_5fb9fd52ffff0cd7</t>
        </is>
      </c>
      <c r="D26" s="2" t="inlineStr">
        <is>
          <t>MAJOR</t>
        </is>
      </c>
      <c r="E26" s="2" t="inlineStr">
        <is>
          <t>image_observation/alt_effective</t>
        </is>
      </c>
      <c r="F26" s="2" t="inlineStr">
        <is>
          <t>Additional bedroom mockup showing the blue God Says I Am Christian design with the name Emily and floral border design on a bed. | Bedroom mockup of Blue God Says I Am Christian Comforter Set</t>
        </is>
      </c>
      <c r="G26" s="2" t="inlineStr">
        <is>
          <t>Twin, Full, Queen and King dimension chart; heading reads SIZE DIMENTION.</t>
        </is>
      </c>
      <c r="H26" s="2" t="inlineStr">
        <is>
          <t>Observation hoặc alt được gán theo vị trí mẫu và không phản ánh đúng ảnh gốc.</t>
        </is>
      </c>
      <c r="I26" s="2" t="inlineStr">
        <is>
          <t>Christian bedding size chart for Twin through King</t>
        </is>
      </c>
      <c r="J26" s="2" t="inlineStr">
        <is>
          <t>seo_runs\jeminise.com\20260906_234129\evidence\images\14_christian-bedding-set-inspirational-bible-verse-comforte-design-05\image_07_47933851009223.jpg; seo_runs\jeminise.com\20260906_234129\evidence\contact_sheets\14_christian-bedding-set-inspirational-bible-verse-comforte-design-05.jpg; https://jeminise.com/products/christian-bedding-set-inspirational-bible-verse-comforte-design-05; https://cdn.shopify.com/s/files/1/0792/5098/1063/files/d6b8438a259ef28ba839a68ba108f40464bc9629b0bc2168779fc7776c9cbffa_fb8b4e17-519d-4d0c-b0e5-03dce3811442.jpg?v=1787237801</t>
        </is>
      </c>
      <c r="K26" s="2" t="inlineStr">
        <is>
          <t>Mở lại ảnh gốc và xác nhận observation/alt mới mô tả đúng ảnh.</t>
        </is>
      </c>
    </row>
    <row r="27" ht="84" customHeight="1">
      <c r="A27" s="3" t="inlineStr">
        <is>
          <t>ISS-015-IMG-02</t>
        </is>
      </c>
      <c r="B27" s="3" t="inlineStr">
        <is>
          <t>jeminise.com+christian-bedding-set-inspirational-bible-verse-comforte-design-06</t>
        </is>
      </c>
      <c r="C27" s="3" t="inlineStr">
        <is>
          <t>qaimg_f79f50ec24dc2544</t>
        </is>
      </c>
      <c r="D27" s="3" t="inlineStr">
        <is>
          <t>MINOR</t>
        </is>
      </c>
      <c r="E27" s="3" t="inlineStr">
        <is>
          <t>image_observation/alt_effective</t>
        </is>
      </c>
      <c r="F27" s="3" t="inlineStr">
        <is>
          <t>Secondary detail or room mockup showing brown Christian butterfly design with the name Charlotte and God is within her text and visible quilted/printed texture. | Close view of brown Christian butterfly design with the name Charlotte and God is within her text on the comforter set</t>
        </is>
      </c>
      <c r="G27" s="3" t="inlineStr">
        <is>
          <t>Alternate bedroom mockup of the same Charlotte Christian bedding.</t>
        </is>
      </c>
      <c r="H27" s="3" t="inlineStr">
        <is>
          <t>Observation hoặc alt được gán theo vị trí mẫu và không phản ánh đúng ảnh gốc.</t>
        </is>
      </c>
      <c r="I27" s="3" t="inlineStr">
        <is>
          <t>Charlotte Christian butterfly bedding in an alternate bedroom view</t>
        </is>
      </c>
      <c r="J27" s="3" t="inlineStr">
        <is>
          <t>seo_runs\jeminise.com\20260906_234129\evidence\images\15_christian-bedding-set-inspirational-bible-verse-comforte-design-06\image_02_47933851566279.jpg; seo_runs\jeminise.com\20260906_234129\evidence\contact_sheets\15_christian-bedding-set-inspirational-bible-verse-comforte-design-06.jpg; https://jeminise.com/products/christian-bedding-set-inspirational-bible-verse-comforte-design-06; https://cdn.shopify.com/s/files/1/0792/5098/1063/files/85e882bcf89deebcdc3c8d5fea6db005c41297d04fabf6b4dedfb33c5d8fa653.jpg?v=1787237807</t>
        </is>
      </c>
      <c r="K27" s="3" t="inlineStr">
        <is>
          <t>Mở lại ảnh gốc và xác nhận observation/alt mới mô tả đúng ảnh.</t>
        </is>
      </c>
    </row>
    <row r="28" ht="84" customHeight="1">
      <c r="A28" s="2" t="inlineStr">
        <is>
          <t>ISS-015-IMG-03</t>
        </is>
      </c>
      <c r="B28" s="2" t="inlineStr">
        <is>
          <t>jeminise.com+christian-bedding-set-inspirational-bible-verse-comforte-design-06</t>
        </is>
      </c>
      <c r="C28" s="2" t="inlineStr">
        <is>
          <t>qaimg_74f2eed842241f10</t>
        </is>
      </c>
      <c r="D28" s="2" t="inlineStr">
        <is>
          <t>MAJOR</t>
        </is>
      </c>
      <c r="E28" s="2" t="inlineStr">
        <is>
          <t>image_observation/alt_effective</t>
        </is>
      </c>
      <c r="F28" s="2" t="inlineStr">
        <is>
          <t>Matching pillow sham or bedding detail using the same brown Christian butterfly design with the name Charlotte and God is within her text artwork. | Matching pillow sham for Personalized Christian Butterfly Comforter Set</t>
        </is>
      </c>
      <c r="G28" s="2" t="inlineStr">
        <is>
          <t>Comparison graphic explaining Duvet Cover Set versus Comforter Set.</t>
        </is>
      </c>
      <c r="H28" s="2" t="inlineStr">
        <is>
          <t>Observation hoặc alt được gán theo vị trí mẫu và không phản ánh đúng ảnh gốc.</t>
        </is>
      </c>
      <c r="I28" s="2" t="inlineStr">
        <is>
          <t>Duvet cover and comforter set construction comparison</t>
        </is>
      </c>
      <c r="J28" s="2" t="inlineStr">
        <is>
          <t>seo_runs\jeminise.com\20260906_234129\evidence\images\15_christian-bedding-set-inspirational-bible-verse-comforte-design-06\image_03_47933851599047.jpg; seo_runs\jeminise.com\20260906_234129\evidence\contact_sheets\15_christian-bedding-set-inspirational-bible-verse-comforte-design-06.jpg; https://jeminise.com/products/christian-bedding-set-inspirational-bible-verse-comforte-design-06; https://cdn.shopify.com/s/files/1/0792/5098/1063/files/50f96559dd878ae5bbee14ba7a34337ccd740d21a8ffe86a8a1be819656d26c0_8c8fa0f7-48a1-41f8-86e6-9b423fbaf03e.jpg?v=1787237806</t>
        </is>
      </c>
      <c r="K28" s="2" t="inlineStr">
        <is>
          <t>Mở lại ảnh gốc và xác nhận observation/alt mới mô tả đúng ảnh.</t>
        </is>
      </c>
    </row>
    <row r="29" ht="84" customHeight="1">
      <c r="A29" s="3" t="inlineStr">
        <is>
          <t>ISS-015-IMG-04</t>
        </is>
      </c>
      <c r="B29" s="3" t="inlineStr">
        <is>
          <t>jeminise.com+christian-bedding-set-inspirational-bible-verse-comforte-design-06</t>
        </is>
      </c>
      <c r="C29" s="3" t="inlineStr">
        <is>
          <t>qaimg_4ab1c93dd13617ef</t>
        </is>
      </c>
      <c r="D29" s="3" t="inlineStr">
        <is>
          <t>MAJOR</t>
        </is>
      </c>
      <c r="E29" s="3" t="inlineStr">
        <is>
          <t>image_observation/alt_effective</t>
        </is>
      </c>
      <c r="F29" s="3" t="inlineStr">
        <is>
          <t>Room/folded product or fabric information image tied to the brown Christian butterfly design with the name Charlotte and God is within her text design. | Personalized Christian Butterfly Comforter Set shown in a bedroom setting</t>
        </is>
      </c>
      <c r="G29" s="3" t="inlineStr">
        <is>
          <t>Feature graphic stating 100% microfiber, 3D printed pattern, soft touch, lightweight and breathable.</t>
        </is>
      </c>
      <c r="H29" s="3" t="inlineStr">
        <is>
          <t>Observation hoặc alt được gán theo vị trí mẫu và không phản ánh đúng ảnh gốc.</t>
        </is>
      </c>
      <c r="I29" s="3" t="inlineStr">
        <is>
          <t>Christian bedding microfiber and breathable fabric features</t>
        </is>
      </c>
      <c r="J29" s="3" t="inlineStr">
        <is>
          <t>seo_runs\jeminise.com\20260906_234129\evidence\images\15_christian-bedding-set-inspirational-bible-verse-comforte-design-06\image_04_47933851631815.jpg; seo_runs\jeminise.com\20260906_234129\evidence\contact_sheets\15_christian-bedding-set-inspirational-bible-verse-comforte-design-06.jpg; https://jeminise.com/products/christian-bedding-set-inspirational-bible-verse-comforte-design-06; https://cdn.shopify.com/s/files/1/0792/5098/1063/files/1ad4193b437e09b52f40b15573e722e1cfbac19500da9f78c83773943449fcde.jpg?v=1787237807</t>
        </is>
      </c>
      <c r="K29" s="3" t="inlineStr">
        <is>
          <t>Mở lại ảnh gốc và xác nhận observation/alt mới mô tả đúng ảnh.</t>
        </is>
      </c>
    </row>
    <row r="30" ht="84" customHeight="1">
      <c r="A30" s="2" t="inlineStr">
        <is>
          <t>ISS-015-IMG-05</t>
        </is>
      </c>
      <c r="B30" s="2" t="inlineStr">
        <is>
          <t>jeminise.com+christian-bedding-set-inspirational-bible-verse-comforte-design-06</t>
        </is>
      </c>
      <c r="C30" s="2" t="inlineStr">
        <is>
          <t>qaimg_26ebb495bcbedd39</t>
        </is>
      </c>
      <c r="D30" s="2" t="inlineStr">
        <is>
          <t>MAJOR</t>
        </is>
      </c>
      <c r="E30" s="2" t="inlineStr">
        <is>
          <t>image_observation/alt_effective</t>
        </is>
      </c>
      <c r="F30" s="2" t="inlineStr">
        <is>
          <t>Sizing or included-components information image for the bedding set. | Size guide for Personalized Christian Butterfly Comforter Set</t>
        </is>
      </c>
      <c r="G30" s="2" t="inlineStr">
        <is>
          <t>Bedroom close-up with soft, lightweight, durable and breathable feature icons.</t>
        </is>
      </c>
      <c r="H30" s="2" t="inlineStr">
        <is>
          <t>Observation hoặc alt được gán theo vị trí mẫu và không phản ánh đúng ảnh gốc.</t>
        </is>
      </c>
      <c r="I30" s="2" t="inlineStr">
        <is>
          <t>Christian bedding softness and durability feature graphic</t>
        </is>
      </c>
      <c r="J30" s="2" t="inlineStr">
        <is>
          <t>seo_runs\jeminise.com\20260906_234129\evidence\images\15_christian-bedding-set-inspirational-bible-verse-comforte-design-06\image_05_47933851664583.jpg; seo_runs\jeminise.com\20260906_234129\evidence\contact_sheets\15_christian-bedding-set-inspirational-bible-verse-comforte-design-06.jpg; https://jeminise.com/products/christian-bedding-set-inspirational-bible-verse-comforte-design-06; https://cdn.shopify.com/s/files/1/0792/5098/1063/files/26024e9472d2220f9f56e7b3a0762d7d9615e5a2536a0848fc513ad70f872f30.jpg?v=1787237807</t>
        </is>
      </c>
      <c r="K30" s="2" t="inlineStr">
        <is>
          <t>Mở lại ảnh gốc và xác nhận observation/alt mới mô tả đúng ảnh.</t>
        </is>
      </c>
    </row>
    <row r="31" ht="84" customHeight="1">
      <c r="A31" s="3" t="inlineStr">
        <is>
          <t>ISS-015-IMG-06</t>
        </is>
      </c>
      <c r="B31" s="3" t="inlineStr">
        <is>
          <t>jeminise.com+christian-bedding-set-inspirational-bible-verse-comforte-design-06</t>
        </is>
      </c>
      <c r="C31" s="3" t="inlineStr">
        <is>
          <t>qaimg_9169bef117a8fca6</t>
        </is>
      </c>
      <c r="D31" s="3" t="inlineStr">
        <is>
          <t>MAJOR</t>
        </is>
      </c>
      <c r="E31" s="3" t="inlineStr">
        <is>
          <t>image_observation/alt_effective</t>
        </is>
      </c>
      <c r="F31" s="3" t="inlineStr">
        <is>
          <t>Feature image describing fabric layers, softness, breathability or care details. | Fabric feature graphic for Personalized Christian Butterfly Comforter Set</t>
        </is>
      </c>
      <c r="G31" s="3" t="inlineStr">
        <is>
          <t>Easy-care graphic stating wrinkle-free, stain-proof, anti-pilling and won't fade in the wash.</t>
        </is>
      </c>
      <c r="H31" s="3" t="inlineStr">
        <is>
          <t>Observation hoặc alt được gán theo vị trí mẫu và không phản ánh đúng ảnh gốc.</t>
        </is>
      </c>
      <c r="I31" s="3" t="inlineStr">
        <is>
          <t>Bedding easy-care, anti-pilling and fade-resistance features</t>
        </is>
      </c>
      <c r="J31" s="3" t="inlineStr">
        <is>
          <t>seo_runs\jeminise.com\20260906_234129\evidence\images\15_christian-bedding-set-inspirational-bible-verse-comforte-design-06\image_06_47933851697351.jpg; seo_runs\jeminise.com\20260906_234129\evidence\contact_sheets\15_christian-bedding-set-inspirational-bible-verse-comforte-design-06.jpg; https://jeminise.com/products/christian-bedding-set-inspirational-bible-verse-comforte-design-06; https://cdn.shopify.com/s/files/1/0792/5098/1063/files/0e22a9fec09643a714af054217066178d4f7bc4d6266b6d2ff5c33c09cc10e88_7566f5e2-6bfd-446e-a1f2-f06764ec2dc3.jpg?v=1787237807</t>
        </is>
      </c>
      <c r="K31" s="3" t="inlineStr">
        <is>
          <t>Mở lại ảnh gốc và xác nhận observation/alt mới mô tả đúng ảnh.</t>
        </is>
      </c>
    </row>
    <row r="32" ht="84" customHeight="1">
      <c r="A32" s="2" t="inlineStr">
        <is>
          <t>ISS-015-IMG-07</t>
        </is>
      </c>
      <c r="B32" s="2" t="inlineStr">
        <is>
          <t>jeminise.com+christian-bedding-set-inspirational-bible-verse-comforte-design-06</t>
        </is>
      </c>
      <c r="C32" s="2" t="inlineStr">
        <is>
          <t>qaimg_58daa41cec565ce2</t>
        </is>
      </c>
      <c r="D32" s="2" t="inlineStr">
        <is>
          <t>MAJOR</t>
        </is>
      </c>
      <c r="E32" s="2" t="inlineStr">
        <is>
          <t>image_observation/alt_effective</t>
        </is>
      </c>
      <c r="F32" s="2" t="inlineStr">
        <is>
          <t>Additional bedroom mockup showing the brown Christian butterfly design with the name Charlotte and God is within her text design on a bed. | Bedroom mockup of Personalized Christian Butterfly Comforter Set</t>
        </is>
      </c>
      <c r="G32" s="2" t="inlineStr">
        <is>
          <t>Twin, Full, Queen and King dimension chart; heading reads SIZE DIMENTION.</t>
        </is>
      </c>
      <c r="H32" s="2" t="inlineStr">
        <is>
          <t>Observation hoặc alt được gán theo vị trí mẫu và không phản ánh đúng ảnh gốc.</t>
        </is>
      </c>
      <c r="I32" s="2" t="inlineStr">
        <is>
          <t>Christian bedding size chart for Twin through King</t>
        </is>
      </c>
      <c r="J32" s="2" t="inlineStr">
        <is>
          <t>seo_runs\jeminise.com\20260906_234129\evidence\images\15_christian-bedding-set-inspirational-bible-verse-comforte-design-06\image_07_47933851730119.jpg; seo_runs\jeminise.com\20260906_234129\evidence\contact_sheets\15_christian-bedding-set-inspirational-bible-verse-comforte-design-06.jpg; https://jeminise.com/products/christian-bedding-set-inspirational-bible-verse-comforte-design-06; https://cdn.shopify.com/s/files/1/0792/5098/1063/files/d6b8438a259ef28ba839a68ba108f40464bc9629b0bc2168779fc7776c9cbffa_d87fd534-9194-441e-98a8-aa1a5591cb0d.jpg?v=1787237807</t>
        </is>
      </c>
      <c r="K32" s="2" t="inlineStr">
        <is>
          <t>Mở lại ảnh gốc và xác nhận observation/alt mới mô tả đúng ảnh.</t>
        </is>
      </c>
    </row>
    <row r="33" ht="84" customHeight="1">
      <c r="A33" s="3" t="inlineStr">
        <is>
          <t>ISS-016-IMG-02</t>
        </is>
      </c>
      <c r="B33" s="3" t="inlineStr">
        <is>
          <t>jeminise.com+christian-bedding-set-inspirational-bible-verse-comforter</t>
        </is>
      </c>
      <c r="C33" s="3" t="inlineStr">
        <is>
          <t>qaimg_cb9c481fadbb7899</t>
        </is>
      </c>
      <c r="D33" s="3" t="inlineStr">
        <is>
          <t>MINOR</t>
        </is>
      </c>
      <c r="E33" s="3" t="inlineStr">
        <is>
          <t>image_observation/alt_effective</t>
        </is>
      </c>
      <c r="F33" s="3" t="inlineStr">
        <is>
          <t>Secondary detail or room mockup showing black Christian warrior lion design with the name David and large white cross and visible quilted/printed texture. | Close view of black Christian warrior lion design with the name David and large white cross on the comforter set</t>
        </is>
      </c>
      <c r="G33" s="3" t="inlineStr">
        <is>
          <t>Second front-facing mockup of the same David Christian warrior bedding.</t>
        </is>
      </c>
      <c r="H33" s="3" t="inlineStr">
        <is>
          <t>Observation hoặc alt được gán theo vị trí mẫu và không phản ánh đúng ảnh gốc.</t>
        </is>
      </c>
      <c r="I33" s="3" t="inlineStr">
        <is>
          <t>David Christian warrior bedding in a front bedroom mockup</t>
        </is>
      </c>
      <c r="J33" s="3" t="inlineStr">
        <is>
          <t>seo_runs\jeminise.com\20260906_234129\evidence\images\16_christian-bedding-set-inspirational-bible-verse-comforter\image_02_47933840031943.jpg; seo_runs\jeminise.com\20260906_234129\evidence\contact_sheets\16_christian-bedding-set-inspirational-bible-verse-comforter.jpg; https://jeminise.com/products/christian-bedding-set-inspirational-bible-verse-comforter; https://cdn.shopify.com/s/files/1/0792/5098/1063/files/6e5cfd81b4f318ba88e105e450bd24fcccf9830bd9c69ac7d722e92e36bbe4e1.jpg?v=1787237716</t>
        </is>
      </c>
      <c r="K33" s="3" t="inlineStr">
        <is>
          <t>Mở lại ảnh gốc và xác nhận observation/alt mới mô tả đúng ảnh.</t>
        </is>
      </c>
    </row>
    <row r="34" ht="84" customHeight="1">
      <c r="A34" s="2" t="inlineStr">
        <is>
          <t>ISS-016-IMG-03</t>
        </is>
      </c>
      <c r="B34" s="2" t="inlineStr">
        <is>
          <t>jeminise.com+christian-bedding-set-inspirational-bible-verse-comforter</t>
        </is>
      </c>
      <c r="C34" s="2" t="inlineStr">
        <is>
          <t>qaimg_4eacac7a749fa007</t>
        </is>
      </c>
      <c r="D34" s="2" t="inlineStr">
        <is>
          <t>MAJOR</t>
        </is>
      </c>
      <c r="E34" s="2" t="inlineStr">
        <is>
          <t>image_observation/alt_effective</t>
        </is>
      </c>
      <c r="F34" s="2" t="inlineStr">
        <is>
          <t>Matching pillow sham or bedding detail using the same black Christian warrior lion design with the name David and large white cross artwork. | Matching pillow sham for Personalized Christian Warrior Comforter Set</t>
        </is>
      </c>
      <c r="G34" s="2" t="inlineStr">
        <is>
          <t>Alternate bedroom mockup of the same David Christian warrior bedding.</t>
        </is>
      </c>
      <c r="H34" s="2" t="inlineStr">
        <is>
          <t>Observation hoặc alt được gán theo vị trí mẫu và không phản ánh đúng ảnh gốc.</t>
        </is>
      </c>
      <c r="I34" s="2" t="inlineStr">
        <is>
          <t>David Christian warrior bedding in an alternate bedroom view</t>
        </is>
      </c>
      <c r="J34" s="2" t="inlineStr">
        <is>
          <t>seo_runs\jeminise.com\20260906_234129\evidence\images\16_christian-bedding-set-inspirational-bible-verse-comforter\image_03_47933840064711.jpg; seo_runs\jeminise.com\20260906_234129\evidence\contact_sheets\16_christian-bedding-set-inspirational-bible-verse-comforter.jpg; https://jeminise.com/products/christian-bedding-set-inspirational-bible-verse-comforter; https://cdn.shopify.com/s/files/1/0792/5098/1063/files/fd6ace7cb84d9e404b44ba028d1e0be3f00d0c9dc52fac3c12f3dc02d48000e7.jpg?v=1787237716</t>
        </is>
      </c>
      <c r="K34" s="2" t="inlineStr">
        <is>
          <t>Mở lại ảnh gốc và xác nhận observation/alt mới mô tả đúng ảnh.</t>
        </is>
      </c>
    </row>
    <row r="35" ht="84" customHeight="1">
      <c r="A35" s="3" t="inlineStr">
        <is>
          <t>ISS-016-IMG-04</t>
        </is>
      </c>
      <c r="B35" s="3" t="inlineStr">
        <is>
          <t>jeminise.com+christian-bedding-set-inspirational-bible-verse-comforter</t>
        </is>
      </c>
      <c r="C35" s="3" t="inlineStr">
        <is>
          <t>qaimg_ee5faae4fb19e666</t>
        </is>
      </c>
      <c r="D35" s="3" t="inlineStr">
        <is>
          <t>MAJOR</t>
        </is>
      </c>
      <c r="E35" s="3" t="inlineStr">
        <is>
          <t>image_observation/alt_effective</t>
        </is>
      </c>
      <c r="F35" s="3" t="inlineStr">
        <is>
          <t>Room/folded product or fabric information image tied to the black Christian warrior lion design with the name David and large white cross design. | Personalized Christian Warrior Comforter Set shown in a bedroom setting</t>
        </is>
      </c>
      <c r="G35" s="3" t="inlineStr">
        <is>
          <t>Comparison graphic explaining Duvet Cover Set versus Comforter Set.</t>
        </is>
      </c>
      <c r="H35" s="3" t="inlineStr">
        <is>
          <t>Observation hoặc alt được gán theo vị trí mẫu và không phản ánh đúng ảnh gốc.</t>
        </is>
      </c>
      <c r="I35" s="3" t="inlineStr">
        <is>
          <t>Duvet cover and comforter set construction comparison</t>
        </is>
      </c>
      <c r="J35" s="3" t="inlineStr">
        <is>
          <t>seo_runs\jeminise.com\20260906_234129\evidence\images\16_christian-bedding-set-inspirational-bible-verse-comforter\image_04_47933840097479.jpg; seo_runs\jeminise.com\20260906_234129\evidence\contact_sheets\16_christian-bedding-set-inspirational-bible-verse-comforter.jpg; https://jeminise.com/products/christian-bedding-set-inspirational-bible-verse-comforter; https://cdn.shopify.com/s/files/1/0792/5098/1063/files/1391672888660b8306032c6cd51a0340e0460a1f8b324b0577c2d0a44ea28c9d.jpg?v=1787237716</t>
        </is>
      </c>
      <c r="K35" s="3" t="inlineStr">
        <is>
          <t>Mở lại ảnh gốc và xác nhận observation/alt mới mô tả đúng ảnh.</t>
        </is>
      </c>
    </row>
    <row r="36" ht="84" customHeight="1">
      <c r="A36" s="2" t="inlineStr">
        <is>
          <t>ISS-016-IMG-05</t>
        </is>
      </c>
      <c r="B36" s="2" t="inlineStr">
        <is>
          <t>jeminise.com+christian-bedding-set-inspirational-bible-verse-comforter</t>
        </is>
      </c>
      <c r="C36" s="2" t="inlineStr">
        <is>
          <t>qaimg_2d6ac9c705235f17</t>
        </is>
      </c>
      <c r="D36" s="2" t="inlineStr">
        <is>
          <t>MAJOR</t>
        </is>
      </c>
      <c r="E36" s="2" t="inlineStr">
        <is>
          <t>image_observation/alt_effective</t>
        </is>
      </c>
      <c r="F36" s="2" t="inlineStr">
        <is>
          <t>Sizing or included-components information image for the bedding set. | Size guide for Personalized Christian Warrior Comforter Set</t>
        </is>
      </c>
      <c r="G36" s="2" t="inlineStr">
        <is>
          <t>Feature graphic stating 100% microfiber, 3D printed pattern, soft touch, lightweight and breathable.</t>
        </is>
      </c>
      <c r="H36" s="2" t="inlineStr">
        <is>
          <t>Observation hoặc alt được gán theo vị trí mẫu và không phản ánh đúng ảnh gốc.</t>
        </is>
      </c>
      <c r="I36" s="2" t="inlineStr">
        <is>
          <t>Christian warrior bedding microfiber and breathable fabric features</t>
        </is>
      </c>
      <c r="J36" s="2" t="inlineStr">
        <is>
          <t>seo_runs\jeminise.com\20260906_234129\evidence\images\16_christian-bedding-set-inspirational-bible-verse-comforter\image_05_47933840130247.jpg; seo_runs\jeminise.com\20260906_234129\evidence\contact_sheets\16_christian-bedding-set-inspirational-bible-verse-comforter.jpg; https://jeminise.com/products/christian-bedding-set-inspirational-bible-verse-comforter; https://cdn.shopify.com/s/files/1/0792/5098/1063/files/e27fc1e04888a4c2e14d4ffbdcdb670ffbe1f1f1b9be43f941b96dffb8e5689d.jpg?v=1787237716</t>
        </is>
      </c>
      <c r="K36" s="2" t="inlineStr">
        <is>
          <t>Mở lại ảnh gốc và xác nhận observation/alt mới mô tả đúng ảnh.</t>
        </is>
      </c>
    </row>
    <row r="37" ht="84" customHeight="1">
      <c r="A37" s="3" t="inlineStr">
        <is>
          <t>ISS-016-IMG-07</t>
        </is>
      </c>
      <c r="B37" s="3" t="inlineStr">
        <is>
          <t>jeminise.com+christian-bedding-set-inspirational-bible-verse-comforter</t>
        </is>
      </c>
      <c r="C37" s="3" t="inlineStr">
        <is>
          <t>qaimg_99da286e0c6a5df7</t>
        </is>
      </c>
      <c r="D37" s="3" t="inlineStr">
        <is>
          <t>MAJOR</t>
        </is>
      </c>
      <c r="E37" s="3" t="inlineStr">
        <is>
          <t>image_observation/alt_effective</t>
        </is>
      </c>
      <c r="F37" s="3" t="inlineStr">
        <is>
          <t>Additional bedroom mockup showing the black Christian warrior lion design with the name David and large white cross design on a bed. | Bedroom mockup of Personalized Christian Warrior Comforter Set</t>
        </is>
      </c>
      <c r="G37" s="3" t="inlineStr">
        <is>
          <t>Easy-care graphic stating wrinkle-free, stain-proof, anti-pilling and won't fade in the wash.</t>
        </is>
      </c>
      <c r="H37" s="3" t="inlineStr">
        <is>
          <t>Observation hoặc alt được gán theo vị trí mẫu và không phản ánh đúng ảnh gốc.</t>
        </is>
      </c>
      <c r="I37" s="3" t="inlineStr">
        <is>
          <t>Bedding easy-care, anti-pilling and fade-resistance features</t>
        </is>
      </c>
      <c r="J37" s="3" t="inlineStr">
        <is>
          <t>seo_runs\jeminise.com\20260906_234129\evidence\images\16_christian-bedding-set-inspirational-bible-verse-comforter\image_07_47933840195783.jpg; seo_runs\jeminise.com\20260906_234129\evidence\contact_sheets\16_christian-bedding-set-inspirational-bible-verse-comforter.jpg; https://jeminise.com/products/christian-bedding-set-inspirational-bible-verse-comforter; https://cdn.shopify.com/s/files/1/0792/5098/1063/files/700766e63cdebb7f3088f7ecaf56b3bae4ce4d1ffe15a4a258d5814894208554.jpg?v=1787237716</t>
        </is>
      </c>
      <c r="K37" s="3" t="inlineStr">
        <is>
          <t>Mở lại ảnh gốc và xác nhận observation/alt mới mô tả đúng ảnh.</t>
        </is>
      </c>
    </row>
    <row r="38" ht="84" customHeight="1">
      <c r="A38" s="2" t="inlineStr">
        <is>
          <t>ISS-016-IMG-08</t>
        </is>
      </c>
      <c r="B38" s="2" t="inlineStr">
        <is>
          <t>jeminise.com+christian-bedding-set-inspirational-bible-verse-comforter</t>
        </is>
      </c>
      <c r="C38" s="2" t="inlineStr">
        <is>
          <t>qaimg_b6f3b14622752957</t>
        </is>
      </c>
      <c r="D38" s="2" t="inlineStr">
        <is>
          <t>MINOR</t>
        </is>
      </c>
      <c r="E38" s="2" t="inlineStr">
        <is>
          <t>image_observation/alt_effective</t>
        </is>
      </c>
      <c r="F38" s="2" t="inlineStr">
        <is>
          <t>Additional product information image for size, care, personalization or bedding type. | Size or personalization guide for Personalized Christian Warrior Comforter Set</t>
        </is>
      </c>
      <c r="G38" s="2" t="inlineStr">
        <is>
          <t>Twin, Full, Queen and King dimension chart; heading reads SIZE DIMENTION.</t>
        </is>
      </c>
      <c r="H38" s="2" t="inlineStr">
        <is>
          <t>Observation hoặc alt được gán theo vị trí mẫu và không phản ánh đúng ảnh gốc.</t>
        </is>
      </c>
      <c r="I38" s="2" t="inlineStr">
        <is>
          <t>Christian bedding size chart for Twin through King</t>
        </is>
      </c>
      <c r="J38" s="2" t="inlineStr">
        <is>
          <t>seo_runs\jeminise.com\20260906_234129\evidence\images\16_christian-bedding-set-inspirational-bible-verse-comforter\image_08_47933840228551.jpg; seo_runs\jeminise.com\20260906_234129\evidence\contact_sheets\16_christian-bedding-set-inspirational-bible-verse-comforter.jpg; https://jeminise.com/products/christian-bedding-set-inspirational-bible-verse-comforter; https://cdn.shopify.com/s/files/1/0792/5098/1063/files/f21374c2239f926c348f6641a7e0f8929698fa199fd8f23e654037e1384e4214.jpg?v=1787237716</t>
        </is>
      </c>
      <c r="K38" s="2" t="inlineStr">
        <is>
          <t>Mở lại ảnh gốc và xác nhận observation/alt mới mô tả đúng ảnh.</t>
        </is>
      </c>
    </row>
    <row r="39" ht="84" customHeight="1">
      <c r="A39" s="3" t="inlineStr">
        <is>
          <t>ISS-017-IMG-04</t>
        </is>
      </c>
      <c r="B39" s="3" t="inlineStr">
        <is>
          <t>jeminise.com+christmas-bedding-quilt-soft-microfiber-holiday-bedsprea-design-01</t>
        </is>
      </c>
      <c r="C39" s="3" t="inlineStr">
        <is>
          <t>qaimg_2eab440c26c84af6</t>
        </is>
      </c>
      <c r="D39" s="3" t="inlineStr">
        <is>
          <t>MAJOR</t>
        </is>
      </c>
      <c r="E39" s="3" t="inlineStr">
        <is>
          <t>image_observation/alt_effective</t>
        </is>
      </c>
      <c r="F39" s="3" t="inlineStr">
        <is>
          <t>Room/folded product or fabric information image tied to the Christmas tree patchwork quilt in red, navy, green and cream squares design. | Christmas Tree Patchwork Quilt Set shown in a bedroom setting</t>
        </is>
      </c>
      <c r="G39" s="3" t="inlineStr">
        <is>
          <t>Close-up of the printed faux-patchwork surface and visible quilting lines.</t>
        </is>
      </c>
      <c r="H39" s="3" t="inlineStr">
        <is>
          <t>Observation hoặc alt được gán theo vị trí mẫu và không phản ánh đúng ảnh gốc.</t>
        </is>
      </c>
      <c r="I39" s="3" t="inlineStr">
        <is>
          <t>Close-up of Christmas tree patchwork quilt print and quilting</t>
        </is>
      </c>
      <c r="J39" s="3" t="inlineStr">
        <is>
          <t>seo_runs\jeminise.com\20260906_234129\evidence\images\17_christmas-bedding-quilt-soft-microfiber-holiday-bedsprea-design-01\image_04_47934037459143.jpg; seo_runs\jeminise.com\20260906_234129\evidence\contact_sheets\17_christmas-bedding-quilt-soft-microfiber-holiday-bedsprea-design-01.jpg; https://jeminise.com/products/christmas-bedding-quilt-soft-microfiber-holiday-bedsprea-design-01; https://cdn.shopify.com/s/files/1/0792/5098/1063/files/c7fc88ca9ec64e57ac466c010b032d865a04a5f7efbdb4acdfcaf38397afc4e5.jpg?v=1787239344</t>
        </is>
      </c>
      <c r="K39" s="3" t="inlineStr">
        <is>
          <t>Mở lại ảnh gốc và xác nhận observation/alt mới mô tả đúng ảnh.</t>
        </is>
      </c>
    </row>
    <row r="40" ht="84" customHeight="1">
      <c r="A40" s="2" t="inlineStr">
        <is>
          <t>ISS-018-IMG-03</t>
        </is>
      </c>
      <c r="B40" s="2" t="inlineStr">
        <is>
          <t>jeminise.com+christmas-bedding-quilt-soft-microfiber-holiday-bedsprea-design-02</t>
        </is>
      </c>
      <c r="C40" s="2" t="inlineStr">
        <is>
          <t>qaimg_f2b384723c7f1b30</t>
        </is>
      </c>
      <c r="D40" s="2" t="inlineStr">
        <is>
          <t>MAJOR</t>
        </is>
      </c>
      <c r="E40" s="2" t="inlineStr">
        <is>
          <t>image_observation/alt_effective</t>
        </is>
      </c>
      <c r="F40" s="2" t="inlineStr">
        <is>
          <t>Matching pillow sham or bedding detail using the same Santa, snowman, reindeer and Christmas tree patchwork quilt artwork. | Matching pillow sham for Santa and Snowman Christmas Quilt Set</t>
        </is>
      </c>
      <c r="G40" s="2" t="inlineStr">
        <is>
          <t>Close-up of the printed faux-patchwork surface and visible quilting lines.</t>
        </is>
      </c>
      <c r="H40" s="2" t="inlineStr">
        <is>
          <t>Observation hoặc alt được gán theo vị trí mẫu và không phản ánh đúng ảnh gốc.</t>
        </is>
      </c>
      <c r="I40" s="2" t="inlineStr">
        <is>
          <t>Close-up of Santa and snowman Christmas quilt print and quilting</t>
        </is>
      </c>
      <c r="J40" s="2" t="inlineStr">
        <is>
          <t>seo_runs\jeminise.com\20260906_234129\evidence\images\18_christmas-bedding-quilt-soft-microfiber-holiday-bedsprea-design-02\image_03_47934037983431.jpg; seo_runs\jeminise.com\20260906_234129\evidence\contact_sheets\18_christmas-bedding-quilt-soft-microfiber-holiday-bedsprea-design-02.jpg; https://jeminise.com/products/christmas-bedding-quilt-soft-microfiber-holiday-bedsprea-design-02; https://cdn.shopify.com/s/files/1/0792/5098/1063/files/0497bbb180b270bb821aa012be14278640ab96779bd2279f6fde75e9a69bc981.jpg?v=1787239348</t>
        </is>
      </c>
      <c r="K40" s="2" t="inlineStr">
        <is>
          <t>Mở lại ảnh gốc và xác nhận observation/alt mới mô tả đúng ảnh.</t>
        </is>
      </c>
    </row>
    <row r="41" ht="84" customHeight="1">
      <c r="A41" s="3" t="inlineStr">
        <is>
          <t>ISS-018-IMG-04</t>
        </is>
      </c>
      <c r="B41" s="3" t="inlineStr">
        <is>
          <t>jeminise.com+christmas-bedding-quilt-soft-microfiber-holiday-bedsprea-design-02</t>
        </is>
      </c>
      <c r="C41" s="3" t="inlineStr">
        <is>
          <t>qaimg_b9d194fcd7779d6b</t>
        </is>
      </c>
      <c r="D41" s="3" t="inlineStr">
        <is>
          <t>MAJOR</t>
        </is>
      </c>
      <c r="E41" s="3" t="inlineStr">
        <is>
          <t>image_observation/alt_effective</t>
        </is>
      </c>
      <c r="F41" s="3" t="inlineStr">
        <is>
          <t>Room/folded product or fabric information image tied to the Santa, snowman, reindeer and Christmas tree patchwork quilt design. | Santa and Snowman Christmas Quilt Set shown in a bedroom setting</t>
        </is>
      </c>
      <c r="G41" s="3" t="inlineStr">
        <is>
          <t>Isolated matching pillow sham with Santa, snowman, reindeer and tree blocks.</t>
        </is>
      </c>
      <c r="H41" s="3" t="inlineStr">
        <is>
          <t>Observation hoặc alt được gán theo vị trí mẫu và không phản ánh đúng ảnh gốc.</t>
        </is>
      </c>
      <c r="I41" s="3" t="inlineStr">
        <is>
          <t>Matching Santa and snowman Christmas quilt pillow sham</t>
        </is>
      </c>
      <c r="J41" s="3" t="inlineStr">
        <is>
          <t>seo_runs\jeminise.com\20260906_234129\evidence\images\18_christmas-bedding-quilt-soft-microfiber-holiday-bedsprea-design-02\image_04_47934038016199.jpg; seo_runs\jeminise.com\20260906_234129\evidence\contact_sheets\18_christmas-bedding-quilt-soft-microfiber-holiday-bedsprea-design-02.jpg; https://jeminise.com/products/christmas-bedding-quilt-soft-microfiber-holiday-bedsprea-design-02; https://cdn.shopify.com/s/files/1/0792/5098/1063/files/c905e081df2beed08b734c876c22d231c44cf1610294b7c0b8f756a1008190b1.jpg?v=1787239348</t>
        </is>
      </c>
      <c r="K41" s="3" t="inlineStr">
        <is>
          <t>Mở lại ảnh gốc và xác nhận observation/alt mới mô tả đúng ảnh.</t>
        </is>
      </c>
    </row>
    <row r="42" ht="84" customHeight="1">
      <c r="A42" s="2" t="inlineStr">
        <is>
          <t>ISS-019-IMG-03</t>
        </is>
      </c>
      <c r="B42" s="2" t="inlineStr">
        <is>
          <t>jeminise.com+christmas-bedding-quilt-soft-microfiber-holiday-bedsprea-design-03</t>
        </is>
      </c>
      <c r="C42" s="2" t="inlineStr">
        <is>
          <t>qaimg_57cd95af61fa1fa9</t>
        </is>
      </c>
      <c r="D42" s="2" t="inlineStr">
        <is>
          <t>MAJOR</t>
        </is>
      </c>
      <c r="E42" s="2" t="inlineStr">
        <is>
          <t>image_observation/alt_effective</t>
        </is>
      </c>
      <c r="F42" s="2" t="inlineStr">
        <is>
          <t>Matching pillow sham or bedding detail using the same gingerbread man Christmas quilt with candy cane and holly on a red background artwork. | Matching pillow sham for Gingerbread Christmas Quilt Set</t>
        </is>
      </c>
      <c r="G42" s="2" t="inlineStr">
        <is>
          <t>Close-up of the printed gingerbread surface and visible quilting lines.</t>
        </is>
      </c>
      <c r="H42" s="2" t="inlineStr">
        <is>
          <t>Observation hoặc alt được gán theo vị trí mẫu và không phản ánh đúng ảnh gốc.</t>
        </is>
      </c>
      <c r="I42" s="2" t="inlineStr">
        <is>
          <t>Close-up of gingerbread Christmas quilt print and quilting</t>
        </is>
      </c>
      <c r="J42" s="2" t="inlineStr">
        <is>
          <t>seo_runs\jeminise.com\20260906_234129\evidence\images\19_christmas-bedding-quilt-soft-microfiber-holiday-bedsprea-design-03\image_03_47934039326919.jpg; seo_runs\jeminise.com\20260906_234129\evidence\contact_sheets\19_christmas-bedding-quilt-soft-microfiber-holiday-bedsprea-design-03.jpg; https://jeminise.com/products/christmas-bedding-quilt-soft-microfiber-holiday-bedsprea-design-03; https://cdn.shopify.com/s/files/1/0792/5098/1063/files/fc9d9bb7a4157494e84e2760896b163917544674147d59e79260c06c7047b8fa.jpg?v=1787239363</t>
        </is>
      </c>
      <c r="K42" s="2" t="inlineStr">
        <is>
          <t>Mở lại ảnh gốc và xác nhận observation/alt mới mô tả đúng ảnh.</t>
        </is>
      </c>
    </row>
    <row r="43" ht="84" customHeight="1">
      <c r="A43" s="3" t="inlineStr">
        <is>
          <t>ISS-019-IMG-04</t>
        </is>
      </c>
      <c r="B43" s="3" t="inlineStr">
        <is>
          <t>jeminise.com+christmas-bedding-quilt-soft-microfiber-holiday-bedsprea-design-03</t>
        </is>
      </c>
      <c r="C43" s="3" t="inlineStr">
        <is>
          <t>qaimg_0720fd612d328acd</t>
        </is>
      </c>
      <c r="D43" s="3" t="inlineStr">
        <is>
          <t>MAJOR</t>
        </is>
      </c>
      <c r="E43" s="3" t="inlineStr">
        <is>
          <t>image_observation/alt_effective</t>
        </is>
      </c>
      <c r="F43" s="3" t="inlineStr">
        <is>
          <t>Room/folded product or fabric information image tied to the gingerbread man Christmas quilt with candy cane and holly on a red background design. | Gingerbread Christmas Quilt Set shown in a bedroom setting</t>
        </is>
      </c>
      <c r="G43" s="3" t="inlineStr">
        <is>
          <t>Isolated matching pillow sham with gingerbread man and candy cane artwork.</t>
        </is>
      </c>
      <c r="H43" s="3" t="inlineStr">
        <is>
          <t>Observation hoặc alt được gán theo vị trí mẫu và không phản ánh đúng ảnh gốc.</t>
        </is>
      </c>
      <c r="I43" s="3" t="inlineStr">
        <is>
          <t>Matching gingerbread Christmas quilt pillow sham</t>
        </is>
      </c>
      <c r="J43" s="3" t="inlineStr">
        <is>
          <t>seo_runs\jeminise.com\20260906_234129\evidence\images\19_christmas-bedding-quilt-soft-microfiber-holiday-bedsprea-design-03\image_04_47934039359687.jpg; seo_runs\jeminise.com\20260906_234129\evidence\contact_sheets\19_christmas-bedding-quilt-soft-microfiber-holiday-bedsprea-design-03.jpg; https://jeminise.com/products/christmas-bedding-quilt-soft-microfiber-holiday-bedsprea-design-03; https://cdn.shopify.com/s/files/1/0792/5098/1063/files/ed1f801ef63b58d7c0fa153b8385667b922eaf1d12c757a8abe5554bf16b8de3.jpg?v=1787239363</t>
        </is>
      </c>
      <c r="K43" s="3" t="inlineStr">
        <is>
          <t>Mở lại ảnh gốc và xác nhận observation/alt mới mô tả đúng ảnh.</t>
        </is>
      </c>
    </row>
    <row r="44" ht="84" customHeight="1">
      <c r="A44" s="2" t="inlineStr">
        <is>
          <t>ISS-020-IMG-03</t>
        </is>
      </c>
      <c r="B44" s="2" t="inlineStr">
        <is>
          <t>jeminise.com+christmas-bedding-quilt-soft-microfiber-holiday-bedsprea-design-04</t>
        </is>
      </c>
      <c r="C44" s="2" t="inlineStr">
        <is>
          <t>qaimg_8c124437c257a823</t>
        </is>
      </c>
      <c r="D44" s="2" t="inlineStr">
        <is>
          <t>MINOR</t>
        </is>
      </c>
      <c r="E44" s="2" t="inlineStr">
        <is>
          <t>image_observation/alt_effective</t>
        </is>
      </c>
      <c r="F44" s="2" t="inlineStr">
        <is>
          <t>Matching pillow sham or bedding detail using the same two gingerbread figures with Christmas gifts, candy cane and holly artwork. | Matching pillow sham for Gingerbread Gift Christmas Quilt Set</t>
        </is>
      </c>
      <c r="G44" s="2" t="inlineStr">
        <is>
          <t>Isolated matching pillow sham with two gingerbread figures and wrapped gifts.</t>
        </is>
      </c>
      <c r="H44" s="2" t="inlineStr">
        <is>
          <t>Observation hoặc alt được gán theo vị trí mẫu và không phản ánh đúng ảnh gốc.</t>
        </is>
      </c>
      <c r="I44" s="2" t="inlineStr">
        <is>
          <t>Matching gingerbread gift Christmas quilt pillow sham</t>
        </is>
      </c>
      <c r="J44" s="2" t="inlineStr">
        <is>
          <t>seo_runs\jeminise.com\20260906_234129\evidence\images\20_christmas-bedding-quilt-soft-microfiber-holiday-bedsprea-design-04\image_03_47934038704327.jpg; seo_runs\jeminise.com\20260906_234129\evidence\contact_sheets\20_christmas-bedding-quilt-soft-microfiber-holiday-bedsprea-design-04.jpg; https://jeminise.com/products/christmas-bedding-quilt-soft-microfiber-holiday-bedsprea-design-04; https://cdn.shopify.com/s/files/1/0792/5098/1063/files/e80ea2d2d8dcc4ea9023f55162873b983177fa3a8f595e088474768ad799ed5c.jpg?v=1787239355</t>
        </is>
      </c>
      <c r="K44" s="2" t="inlineStr">
        <is>
          <t>Mở lại ảnh gốc và xác nhận observation/alt mới mô tả đúng ảnh.</t>
        </is>
      </c>
    </row>
    <row r="45" ht="84" customHeight="1">
      <c r="A45" s="3" t="inlineStr">
        <is>
          <t>ISS-020-IMG-04</t>
        </is>
      </c>
      <c r="B45" s="3" t="inlineStr">
        <is>
          <t>jeminise.com+christmas-bedding-quilt-soft-microfiber-holiday-bedsprea-design-04</t>
        </is>
      </c>
      <c r="C45" s="3" t="inlineStr">
        <is>
          <t>qaimg_e39a54370ad87c7c</t>
        </is>
      </c>
      <c r="D45" s="3" t="inlineStr">
        <is>
          <t>MAJOR</t>
        </is>
      </c>
      <c r="E45" s="3" t="inlineStr">
        <is>
          <t>image_observation/alt_effective</t>
        </is>
      </c>
      <c r="F45" s="3" t="inlineStr">
        <is>
          <t>Room/folded product or fabric information image tied to the two gingerbread figures with Christmas gifts, candy cane and holly design. | Gingerbread Gift Christmas Quilt Set shown in a bedroom setting</t>
        </is>
      </c>
      <c r="G45" s="3" t="inlineStr">
        <is>
          <t>Close-up of the printed gingerbread surface and visible quilting lines.</t>
        </is>
      </c>
      <c r="H45" s="3" t="inlineStr">
        <is>
          <t>Observation hoặc alt được gán theo vị trí mẫu và không phản ánh đúng ảnh gốc.</t>
        </is>
      </c>
      <c r="I45" s="3" t="inlineStr">
        <is>
          <t>Close-up of gingerbread gift Christmas quilt print and quilting</t>
        </is>
      </c>
      <c r="J45" s="3" t="inlineStr">
        <is>
          <t>seo_runs\jeminise.com\20260906_234129\evidence\images\20_christmas-bedding-quilt-soft-microfiber-holiday-bedsprea-design-04\image_04_47934038737095.jpg; seo_runs\jeminise.com\20260906_234129\evidence\contact_sheets\20_christmas-bedding-quilt-soft-microfiber-holiday-bedsprea-design-04.jpg; https://jeminise.com/products/christmas-bedding-quilt-soft-microfiber-holiday-bedsprea-design-04; https://cdn.shopify.com/s/files/1/0792/5098/1063/files/f3fc13bb561a00481ad014ca51c18eab68958750857b4d44f0ceee5c393efef5.jpg?v=1787239355</t>
        </is>
      </c>
      <c r="K45" s="3" t="inlineStr">
        <is>
          <t>Mở lại ảnh gốc và xác nhận observation/alt mới mô tả đúng ảnh.</t>
        </is>
      </c>
    </row>
    <row r="46" ht="84" customHeight="1">
      <c r="A46" s="2" t="inlineStr">
        <is>
          <t>ISS-011-DESC</t>
        </is>
      </c>
      <c r="B46" s="2" t="inlineStr">
        <is>
          <t>jeminise.com+christian-bedding-set-inspirational-bible-verse-comforte-design-02</t>
        </is>
      </c>
      <c r="C46" s="2" t="inlineStr"/>
      <c r="D46" s="2" t="inlineStr">
        <is>
          <t>MAJOR</t>
        </is>
      </c>
      <c r="E46" s="2" t="inlineStr">
        <is>
          <t>description_proposed_html</t>
        </is>
      </c>
      <c r="F46" s="2" t="inlineStr">
        <is>
          <t>Review this draft against the live product page and Shopify export before approval.</t>
        </is>
      </c>
      <c r="G46" s="2" t="inlineStr">
        <is>
          <t>HTML kết thúc bằng lời nhắc review nội bộ.</t>
        </is>
      </c>
      <c r="H46" s="2" t="inlineStr">
        <is>
          <t>Nội dung quy trình nội bộ không được xuất hiện trên storefront.</t>
        </is>
      </c>
      <c r="I46" s="2" t="inlineStr">
        <is>
          <t>Rewrite as customer-facing English HTML and remove the internal review sentence.</t>
        </is>
      </c>
      <c r="J46" s="2" t="inlineStr">
        <is>
          <t>evidence_batch_002_011</t>
        </is>
      </c>
      <c r="K46" s="2" t="inlineStr">
        <is>
          <t>Render full HTML and confirm no drafting/QA instruction remains.</t>
        </is>
      </c>
    </row>
    <row r="47" ht="84" customHeight="1">
      <c r="A47" s="3" t="inlineStr">
        <is>
          <t>ISS-011-ENC</t>
        </is>
      </c>
      <c r="B47" s="3" t="inlineStr">
        <is>
          <t>jeminise.com+christian-bedding-set-inspirational-bible-verse-comforte-design-02</t>
        </is>
      </c>
      <c r="C47" s="3" t="inlineStr"/>
      <c r="D47" s="3" t="inlineStr">
        <is>
          <t>MINOR</t>
        </is>
      </c>
      <c r="E47" s="3" t="inlineStr">
        <is>
          <t>title_current/H1_current</t>
        </is>
      </c>
      <c r="F47" s="3" t="inlineStr">
        <is>
          <t>Christian Bedding Set – Inspirational Bible Verse Comforte - Design 02</t>
        </is>
      </c>
      <c r="G47" s="3" t="inlineStr">
        <is>
          <t>Christian Bedding Set – Inspirational Bible Verse Comforte - Design 02</t>
        </is>
      </c>
      <c r="H47" s="3" t="inlineStr">
        <is>
          <t>Title/H1 live chứa ký tự thay thế U+FFFD và từ bị cắt.</t>
        </is>
      </c>
      <c r="I47" s="3" t="inlineStr">
        <is>
          <t>Personalized God Says I Am Christian Comforter Set</t>
        </is>
      </c>
      <c r="J47" s="3" t="inlineStr">
        <is>
          <t>https://jeminise.com/products/christian-bedding-set-inspirational-bible-verse-comforte-design-02</t>
        </is>
      </c>
      <c r="K47" s="3" t="inlineStr">
        <is>
          <t>Rendered title and H1 no longer contain U+FFFD or truncated words.</t>
        </is>
      </c>
    </row>
    <row r="48" ht="84" customHeight="1">
      <c r="A48" s="2" t="inlineStr">
        <is>
          <t>ISS-012-DESC</t>
        </is>
      </c>
      <c r="B48" s="2" t="inlineStr">
        <is>
          <t>jeminise.com+christian-bedding-set-inspirational-bible-verse-comforte-design-03</t>
        </is>
      </c>
      <c r="C48" s="2" t="inlineStr"/>
      <c r="D48" s="2" t="inlineStr">
        <is>
          <t>MAJOR</t>
        </is>
      </c>
      <c r="E48" s="2" t="inlineStr">
        <is>
          <t>description_proposed_html</t>
        </is>
      </c>
      <c r="F48" s="2" t="inlineStr">
        <is>
          <t>Review this draft against the live product page and Shopify export before approval.</t>
        </is>
      </c>
      <c r="G48" s="2" t="inlineStr">
        <is>
          <t>HTML kết thúc bằng lời nhắc review nội bộ.</t>
        </is>
      </c>
      <c r="H48" s="2" t="inlineStr">
        <is>
          <t>Nội dung quy trình nội bộ không được xuất hiện trên storefront.</t>
        </is>
      </c>
      <c r="I48" s="2" t="inlineStr">
        <is>
          <t>Rewrite as customer-facing English HTML and remove the internal review sentence.</t>
        </is>
      </c>
      <c r="J48" s="2" t="inlineStr">
        <is>
          <t>evidence_batch_002_012</t>
        </is>
      </c>
      <c r="K48" s="2" t="inlineStr">
        <is>
          <t>Render full HTML and confirm no drafting/QA instruction remains.</t>
        </is>
      </c>
    </row>
    <row r="49" ht="84" customHeight="1">
      <c r="A49" s="3" t="inlineStr">
        <is>
          <t>ISS-012-ENC</t>
        </is>
      </c>
      <c r="B49" s="3" t="inlineStr">
        <is>
          <t>jeminise.com+christian-bedding-set-inspirational-bible-verse-comforte-design-03</t>
        </is>
      </c>
      <c r="C49" s="3" t="inlineStr"/>
      <c r="D49" s="3" t="inlineStr">
        <is>
          <t>MINOR</t>
        </is>
      </c>
      <c r="E49" s="3" t="inlineStr">
        <is>
          <t>title_current/H1_current</t>
        </is>
      </c>
      <c r="F49" s="3" t="inlineStr">
        <is>
          <t>Christian Bedding Set – Inspirational Bible Verse Comforte - Design 03</t>
        </is>
      </c>
      <c r="G49" s="3" t="inlineStr">
        <is>
          <t>Christian Bedding Set – Inspirational Bible Verse Comforte - Design 03</t>
        </is>
      </c>
      <c r="H49" s="3" t="inlineStr">
        <is>
          <t>Title/H1 live chứa ký tự thay thế U+FFFD và từ bị cắt.</t>
        </is>
      </c>
      <c r="I49" s="3" t="inlineStr">
        <is>
          <t>Personalized Christian Bible Verse Comforter Set</t>
        </is>
      </c>
      <c r="J49" s="3" t="inlineStr">
        <is>
          <t>https://jeminise.com/products/christian-bedding-set-inspirational-bible-verse-comforte-design-03</t>
        </is>
      </c>
      <c r="K49" s="3" t="inlineStr">
        <is>
          <t>Rendered title and H1 no longer contain U+FFFD or truncated words.</t>
        </is>
      </c>
    </row>
    <row r="50" ht="84" customHeight="1">
      <c r="A50" s="2" t="inlineStr">
        <is>
          <t>ISS-013-DESC</t>
        </is>
      </c>
      <c r="B50" s="2" t="inlineStr">
        <is>
          <t>jeminise.com+christian-bedding-set-inspirational-bible-verse-comforte-design-04</t>
        </is>
      </c>
      <c r="C50" s="2" t="inlineStr"/>
      <c r="D50" s="2" t="inlineStr">
        <is>
          <t>MAJOR</t>
        </is>
      </c>
      <c r="E50" s="2" t="inlineStr">
        <is>
          <t>description_proposed_html</t>
        </is>
      </c>
      <c r="F50" s="2" t="inlineStr">
        <is>
          <t>Review this draft against the live product page and Shopify export before approval.</t>
        </is>
      </c>
      <c r="G50" s="2" t="inlineStr">
        <is>
          <t>HTML kết thúc bằng lời nhắc review nội bộ.</t>
        </is>
      </c>
      <c r="H50" s="2" t="inlineStr">
        <is>
          <t>Nội dung quy trình nội bộ không được xuất hiện trên storefront.</t>
        </is>
      </c>
      <c r="I50" s="2" t="inlineStr">
        <is>
          <t>Rewrite as customer-facing English HTML and remove the internal review sentence.</t>
        </is>
      </c>
      <c r="J50" s="2" t="inlineStr">
        <is>
          <t>evidence_batch_002_013</t>
        </is>
      </c>
      <c r="K50" s="2" t="inlineStr">
        <is>
          <t>Render full HTML and confirm no drafting/QA instruction remains.</t>
        </is>
      </c>
    </row>
    <row r="51" ht="84" customHeight="1">
      <c r="A51" s="3" t="inlineStr">
        <is>
          <t>ISS-013-ENC</t>
        </is>
      </c>
      <c r="B51" s="3" t="inlineStr">
        <is>
          <t>jeminise.com+christian-bedding-set-inspirational-bible-verse-comforte-design-04</t>
        </is>
      </c>
      <c r="C51" s="3" t="inlineStr"/>
      <c r="D51" s="3" t="inlineStr">
        <is>
          <t>MINOR</t>
        </is>
      </c>
      <c r="E51" s="3" t="inlineStr">
        <is>
          <t>title_current/H1_current</t>
        </is>
      </c>
      <c r="F51" s="3" t="inlineStr">
        <is>
          <t>Christian Bedding Set – Inspirational Bible Verse Comforte - Design 04</t>
        </is>
      </c>
      <c r="G51" s="3" t="inlineStr">
        <is>
          <t>Christian Bedding Set – Inspirational Bible Verse Comforte - Design 04</t>
        </is>
      </c>
      <c r="H51" s="3" t="inlineStr">
        <is>
          <t>Title/H1 live chứa ký tự thay thế U+FFFD và từ bị cắt.</t>
        </is>
      </c>
      <c r="I51" s="3" t="inlineStr">
        <is>
          <t>Personalized God Is Within Her Christian Comforter</t>
        </is>
      </c>
      <c r="J51" s="3" t="inlineStr">
        <is>
          <t>https://jeminise.com/products/christian-bedding-set-inspirational-bible-verse-comforte-design-04</t>
        </is>
      </c>
      <c r="K51" s="3" t="inlineStr">
        <is>
          <t>Rendered title and H1 no longer contain U+FFFD or truncated words.</t>
        </is>
      </c>
    </row>
    <row r="52" ht="84" customHeight="1">
      <c r="A52" s="2" t="inlineStr">
        <is>
          <t>ISS-014-DESC</t>
        </is>
      </c>
      <c r="B52" s="2" t="inlineStr">
        <is>
          <t>jeminise.com+christian-bedding-set-inspirational-bible-verse-comforte-design-05</t>
        </is>
      </c>
      <c r="C52" s="2" t="inlineStr"/>
      <c r="D52" s="2" t="inlineStr">
        <is>
          <t>MAJOR</t>
        </is>
      </c>
      <c r="E52" s="2" t="inlineStr">
        <is>
          <t>description_proposed_html</t>
        </is>
      </c>
      <c r="F52" s="2" t="inlineStr">
        <is>
          <t>Review this draft against the live product page and Shopify export before approval.</t>
        </is>
      </c>
      <c r="G52" s="2" t="inlineStr">
        <is>
          <t>HTML kết thúc bằng lời nhắc review nội bộ.</t>
        </is>
      </c>
      <c r="H52" s="2" t="inlineStr">
        <is>
          <t>Nội dung quy trình nội bộ không được xuất hiện trên storefront.</t>
        </is>
      </c>
      <c r="I52" s="2" t="inlineStr">
        <is>
          <t>Rewrite as customer-facing English HTML and remove the internal review sentence.</t>
        </is>
      </c>
      <c r="J52" s="2" t="inlineStr">
        <is>
          <t>evidence_batch_002_014</t>
        </is>
      </c>
      <c r="K52" s="2" t="inlineStr">
        <is>
          <t>Render full HTML and confirm no drafting/QA instruction remains.</t>
        </is>
      </c>
    </row>
    <row r="53" ht="84" customHeight="1">
      <c r="A53" s="3" t="inlineStr">
        <is>
          <t>ISS-014-ENC</t>
        </is>
      </c>
      <c r="B53" s="3" t="inlineStr">
        <is>
          <t>jeminise.com+christian-bedding-set-inspirational-bible-verse-comforte-design-05</t>
        </is>
      </c>
      <c r="C53" s="3" t="inlineStr"/>
      <c r="D53" s="3" t="inlineStr">
        <is>
          <t>MINOR</t>
        </is>
      </c>
      <c r="E53" s="3" t="inlineStr">
        <is>
          <t>title_current/H1_current</t>
        </is>
      </c>
      <c r="F53" s="3" t="inlineStr">
        <is>
          <t>Christian Bedding Set – Inspirational Bible Verse Comforte - Design 05</t>
        </is>
      </c>
      <c r="G53" s="3" t="inlineStr">
        <is>
          <t>Christian Bedding Set – Inspirational Bible Verse Comforte - Design 05</t>
        </is>
      </c>
      <c r="H53" s="3" t="inlineStr">
        <is>
          <t>Title/H1 live chứa ký tự thay thế U+FFFD và từ bị cắt.</t>
        </is>
      </c>
      <c r="I53" s="3" t="inlineStr">
        <is>
          <t>Blue God Says I Am Christian Comforter Set</t>
        </is>
      </c>
      <c r="J53" s="3" t="inlineStr">
        <is>
          <t>https://jeminise.com/products/christian-bedding-set-inspirational-bible-verse-comforte-design-05</t>
        </is>
      </c>
      <c r="K53" s="3" t="inlineStr">
        <is>
          <t>Rendered title and H1 no longer contain U+FFFD or truncated words.</t>
        </is>
      </c>
    </row>
    <row r="54" ht="84" customHeight="1">
      <c r="A54" s="2" t="inlineStr">
        <is>
          <t>ISS-015-DESC</t>
        </is>
      </c>
      <c r="B54" s="2" t="inlineStr">
        <is>
          <t>jeminise.com+christian-bedding-set-inspirational-bible-verse-comforte-design-06</t>
        </is>
      </c>
      <c r="C54" s="2" t="inlineStr"/>
      <c r="D54" s="2" t="inlineStr">
        <is>
          <t>MAJOR</t>
        </is>
      </c>
      <c r="E54" s="2" t="inlineStr">
        <is>
          <t>description_proposed_html</t>
        </is>
      </c>
      <c r="F54" s="2" t="inlineStr">
        <is>
          <t>Review this draft against the live product page and Shopify export before approval.</t>
        </is>
      </c>
      <c r="G54" s="2" t="inlineStr">
        <is>
          <t>HTML kết thúc bằng lời nhắc review nội bộ.</t>
        </is>
      </c>
      <c r="H54" s="2" t="inlineStr">
        <is>
          <t>Nội dung quy trình nội bộ không được xuất hiện trên storefront.</t>
        </is>
      </c>
      <c r="I54" s="2" t="inlineStr">
        <is>
          <t>Rewrite as customer-facing English HTML and remove the internal review sentence.</t>
        </is>
      </c>
      <c r="J54" s="2" t="inlineStr">
        <is>
          <t>evidence_batch_002_015</t>
        </is>
      </c>
      <c r="K54" s="2" t="inlineStr">
        <is>
          <t>Render full HTML and confirm no drafting/QA instruction remains.</t>
        </is>
      </c>
    </row>
    <row r="55" ht="84" customHeight="1">
      <c r="A55" s="3" t="inlineStr">
        <is>
          <t>ISS-015-ENC</t>
        </is>
      </c>
      <c r="B55" s="3" t="inlineStr">
        <is>
          <t>jeminise.com+christian-bedding-set-inspirational-bible-verse-comforte-design-06</t>
        </is>
      </c>
      <c r="C55" s="3" t="inlineStr"/>
      <c r="D55" s="3" t="inlineStr">
        <is>
          <t>MINOR</t>
        </is>
      </c>
      <c r="E55" s="3" t="inlineStr">
        <is>
          <t>title_current/H1_current</t>
        </is>
      </c>
      <c r="F55" s="3" t="inlineStr">
        <is>
          <t>Christian Bedding Set – Inspirational Bible Verse Comforte - Design 06</t>
        </is>
      </c>
      <c r="G55" s="3" t="inlineStr">
        <is>
          <t>Christian Bedding Set – Inspirational Bible Verse Comforte - Design 06</t>
        </is>
      </c>
      <c r="H55" s="3" t="inlineStr">
        <is>
          <t>Title/H1 live chứa ký tự thay thế U+FFFD và từ bị cắt.</t>
        </is>
      </c>
      <c r="I55" s="3" t="inlineStr">
        <is>
          <t>Personalized Christian Butterfly Comforter Set</t>
        </is>
      </c>
      <c r="J55" s="3" t="inlineStr">
        <is>
          <t>https://jeminise.com/products/christian-bedding-set-inspirational-bible-verse-comforte-design-06</t>
        </is>
      </c>
      <c r="K55" s="3" t="inlineStr">
        <is>
          <t>Rendered title and H1 no longer contain U+FFFD or truncated words.</t>
        </is>
      </c>
    </row>
    <row r="56" ht="84" customHeight="1">
      <c r="A56" s="2" t="inlineStr">
        <is>
          <t>ISS-016-DESC</t>
        </is>
      </c>
      <c r="B56" s="2" t="inlineStr">
        <is>
          <t>jeminise.com+christian-bedding-set-inspirational-bible-verse-comforter</t>
        </is>
      </c>
      <c r="C56" s="2" t="inlineStr"/>
      <c r="D56" s="2" t="inlineStr">
        <is>
          <t>MAJOR</t>
        </is>
      </c>
      <c r="E56" s="2" t="inlineStr">
        <is>
          <t>description_proposed_html</t>
        </is>
      </c>
      <c r="F56" s="2" t="inlineStr">
        <is>
          <t>Review this draft against the live product page and Shopify export before approval.</t>
        </is>
      </c>
      <c r="G56" s="2" t="inlineStr">
        <is>
          <t>HTML kết thúc bằng lời nhắc review nội bộ.</t>
        </is>
      </c>
      <c r="H56" s="2" t="inlineStr">
        <is>
          <t>Nội dung quy trình nội bộ không được xuất hiện trên storefront.</t>
        </is>
      </c>
      <c r="I56" s="2" t="inlineStr">
        <is>
          <t>Rewrite as customer-facing English HTML and remove the internal review sentence.</t>
        </is>
      </c>
      <c r="J56" s="2" t="inlineStr">
        <is>
          <t>evidence_batch_002_016</t>
        </is>
      </c>
      <c r="K56" s="2" t="inlineStr">
        <is>
          <t>Render full HTML and confirm no drafting/QA instruction remains.</t>
        </is>
      </c>
    </row>
    <row r="57" ht="84" customHeight="1">
      <c r="A57" s="3" t="inlineStr">
        <is>
          <t>ISS-016-ENC</t>
        </is>
      </c>
      <c r="B57" s="3" t="inlineStr">
        <is>
          <t>jeminise.com+christian-bedding-set-inspirational-bible-verse-comforter</t>
        </is>
      </c>
      <c r="C57" s="3" t="inlineStr"/>
      <c r="D57" s="3" t="inlineStr">
        <is>
          <t>MINOR</t>
        </is>
      </c>
      <c r="E57" s="3" t="inlineStr">
        <is>
          <t>title_current/H1_current</t>
        </is>
      </c>
      <c r="F57" s="3" t="inlineStr">
        <is>
          <t>Christian Bedding Set – Inspirational Bible Verse Comforter</t>
        </is>
      </c>
      <c r="G57" s="3" t="inlineStr">
        <is>
          <t>Christian Bedding Set – Inspirational Bible Verse Comforter</t>
        </is>
      </c>
      <c r="H57" s="3" t="inlineStr">
        <is>
          <t>Title/H1 live chứa ký tự thay thế U+FFFD và từ bị cắt.</t>
        </is>
      </c>
      <c r="I57" s="3" t="inlineStr">
        <is>
          <t>Personalized Christian Warrior Comforter Set</t>
        </is>
      </c>
      <c r="J57" s="3" t="inlineStr">
        <is>
          <t>https://jeminise.com/products/christian-bedding-set-inspirational-bible-verse-comforter</t>
        </is>
      </c>
      <c r="K57" s="3" t="inlineStr">
        <is>
          <t>Rendered title and H1 no longer contain U+FFFD or truncated words.</t>
        </is>
      </c>
    </row>
    <row r="58" ht="84" customHeight="1">
      <c r="A58" s="2" t="inlineStr">
        <is>
          <t>ISS-017-DESC</t>
        </is>
      </c>
      <c r="B58" s="2" t="inlineStr">
        <is>
          <t>jeminise.com+christmas-bedding-quilt-soft-microfiber-holiday-bedsprea-design-01</t>
        </is>
      </c>
      <c r="C58" s="2" t="inlineStr"/>
      <c r="D58" s="2" t="inlineStr">
        <is>
          <t>MAJOR</t>
        </is>
      </c>
      <c r="E58" s="2" t="inlineStr">
        <is>
          <t>description_proposed_html</t>
        </is>
      </c>
      <c r="F58" s="2" t="inlineStr">
        <is>
          <t>Review this draft against the live product page and Shopify export before approval.</t>
        </is>
      </c>
      <c r="G58" s="2" t="inlineStr">
        <is>
          <t>HTML kết thúc bằng lời nhắc review nội bộ.</t>
        </is>
      </c>
      <c r="H58" s="2" t="inlineStr">
        <is>
          <t>Nội dung quy trình nội bộ không được xuất hiện trên storefront.</t>
        </is>
      </c>
      <c r="I58" s="2" t="inlineStr">
        <is>
          <t>Rewrite as customer-facing English HTML and remove the internal review sentence.</t>
        </is>
      </c>
      <c r="J58" s="2" t="inlineStr">
        <is>
          <t>evidence_batch_002_017</t>
        </is>
      </c>
      <c r="K58" s="2" t="inlineStr">
        <is>
          <t>Render full HTML and confirm no drafting/QA instruction remains.</t>
        </is>
      </c>
    </row>
    <row r="59" ht="84" customHeight="1">
      <c r="A59" s="3" t="inlineStr">
        <is>
          <t>ISS-017-ENC</t>
        </is>
      </c>
      <c r="B59" s="3" t="inlineStr">
        <is>
          <t>jeminise.com+christmas-bedding-quilt-soft-microfiber-holiday-bedsprea-design-01</t>
        </is>
      </c>
      <c r="C59" s="3" t="inlineStr"/>
      <c r="D59" s="3" t="inlineStr">
        <is>
          <t>MINOR</t>
        </is>
      </c>
      <c r="E59" s="3" t="inlineStr">
        <is>
          <t>title_current/H1_current</t>
        </is>
      </c>
      <c r="F59" s="3" t="inlineStr">
        <is>
          <t>Christmas Bedding Quilt – Soft Microfiber Holiday Bedsprea - Design 01</t>
        </is>
      </c>
      <c r="G59" s="3" t="inlineStr">
        <is>
          <t>Christmas Bedding Quilt – Soft Microfiber Holiday Bedsprea - Design 01</t>
        </is>
      </c>
      <c r="H59" s="3" t="inlineStr">
        <is>
          <t>Title/H1 live chứa ký tự thay thế U+FFFD và từ bị cắt.</t>
        </is>
      </c>
      <c r="I59" s="3" t="inlineStr">
        <is>
          <t>Christmas Tree Patchwork Quilt Set</t>
        </is>
      </c>
      <c r="J59" s="3" t="inlineStr">
        <is>
          <t>https://jeminise.com/products/christmas-bedding-quilt-soft-microfiber-holiday-bedsprea-design-01</t>
        </is>
      </c>
      <c r="K59" s="3" t="inlineStr">
        <is>
          <t>Rendered title and H1 no longer contain U+FFFD or truncated words.</t>
        </is>
      </c>
    </row>
    <row r="60" ht="84" customHeight="1">
      <c r="A60" s="2" t="inlineStr">
        <is>
          <t>ISS-018-DESC</t>
        </is>
      </c>
      <c r="B60" s="2" t="inlineStr">
        <is>
          <t>jeminise.com+christmas-bedding-quilt-soft-microfiber-holiday-bedsprea-design-02</t>
        </is>
      </c>
      <c r="C60" s="2" t="inlineStr"/>
      <c r="D60" s="2" t="inlineStr">
        <is>
          <t>MAJOR</t>
        </is>
      </c>
      <c r="E60" s="2" t="inlineStr">
        <is>
          <t>description_proposed_html</t>
        </is>
      </c>
      <c r="F60" s="2" t="inlineStr">
        <is>
          <t>Review this draft against the live product page and Shopify export before approval.</t>
        </is>
      </c>
      <c r="G60" s="2" t="inlineStr">
        <is>
          <t>HTML kết thúc bằng lời nhắc review nội bộ.</t>
        </is>
      </c>
      <c r="H60" s="2" t="inlineStr">
        <is>
          <t>Nội dung quy trình nội bộ không được xuất hiện trên storefront.</t>
        </is>
      </c>
      <c r="I60" s="2" t="inlineStr">
        <is>
          <t>Rewrite as customer-facing English HTML and remove the internal review sentence.</t>
        </is>
      </c>
      <c r="J60" s="2" t="inlineStr">
        <is>
          <t>evidence_batch_002_018</t>
        </is>
      </c>
      <c r="K60" s="2" t="inlineStr">
        <is>
          <t>Render full HTML and confirm no drafting/QA instruction remains.</t>
        </is>
      </c>
    </row>
    <row r="61" ht="84" customHeight="1">
      <c r="A61" s="3" t="inlineStr">
        <is>
          <t>ISS-018-ENC</t>
        </is>
      </c>
      <c r="B61" s="3" t="inlineStr">
        <is>
          <t>jeminise.com+christmas-bedding-quilt-soft-microfiber-holiday-bedsprea-design-02</t>
        </is>
      </c>
      <c r="C61" s="3" t="inlineStr"/>
      <c r="D61" s="3" t="inlineStr">
        <is>
          <t>MINOR</t>
        </is>
      </c>
      <c r="E61" s="3" t="inlineStr">
        <is>
          <t>title_current/H1_current</t>
        </is>
      </c>
      <c r="F61" s="3" t="inlineStr">
        <is>
          <t>Christmas Bedding Quilt – Soft Microfiber Holiday Bedsprea - Design 02</t>
        </is>
      </c>
      <c r="G61" s="3" t="inlineStr">
        <is>
          <t>Christmas Bedding Quilt – Soft Microfiber Holiday Bedsprea - Design 02</t>
        </is>
      </c>
      <c r="H61" s="3" t="inlineStr">
        <is>
          <t>Title/H1 live chứa ký tự thay thế U+FFFD và từ bị cắt.</t>
        </is>
      </c>
      <c r="I61" s="3" t="inlineStr">
        <is>
          <t>Santa and Snowman Christmas Quilt Set</t>
        </is>
      </c>
      <c r="J61" s="3" t="inlineStr">
        <is>
          <t>https://jeminise.com/products/christmas-bedding-quilt-soft-microfiber-holiday-bedsprea-design-02</t>
        </is>
      </c>
      <c r="K61" s="3" t="inlineStr">
        <is>
          <t>Rendered title and H1 no longer contain U+FFFD or truncated words.</t>
        </is>
      </c>
    </row>
    <row r="62" ht="84" customHeight="1">
      <c r="A62" s="2" t="inlineStr">
        <is>
          <t>ISS-019-DESC</t>
        </is>
      </c>
      <c r="B62" s="2" t="inlineStr">
        <is>
          <t>jeminise.com+christmas-bedding-quilt-soft-microfiber-holiday-bedsprea-design-03</t>
        </is>
      </c>
      <c r="C62" s="2" t="inlineStr"/>
      <c r="D62" s="2" t="inlineStr">
        <is>
          <t>MAJOR</t>
        </is>
      </c>
      <c r="E62" s="2" t="inlineStr">
        <is>
          <t>description_proposed_html</t>
        </is>
      </c>
      <c r="F62" s="2" t="inlineStr">
        <is>
          <t>Review this draft against the live product page and Shopify export before approval.</t>
        </is>
      </c>
      <c r="G62" s="2" t="inlineStr">
        <is>
          <t>HTML kết thúc bằng lời nhắc review nội bộ.</t>
        </is>
      </c>
      <c r="H62" s="2" t="inlineStr">
        <is>
          <t>Nội dung quy trình nội bộ không được xuất hiện trên storefront.</t>
        </is>
      </c>
      <c r="I62" s="2" t="inlineStr">
        <is>
          <t>Rewrite as customer-facing English HTML and remove the internal review sentence.</t>
        </is>
      </c>
      <c r="J62" s="2" t="inlineStr">
        <is>
          <t>evidence_batch_002_019</t>
        </is>
      </c>
      <c r="K62" s="2" t="inlineStr">
        <is>
          <t>Render full HTML and confirm no drafting/QA instruction remains.</t>
        </is>
      </c>
    </row>
    <row r="63" ht="84" customHeight="1">
      <c r="A63" s="3" t="inlineStr">
        <is>
          <t>ISS-019-ENC</t>
        </is>
      </c>
      <c r="B63" s="3" t="inlineStr">
        <is>
          <t>jeminise.com+christmas-bedding-quilt-soft-microfiber-holiday-bedsprea-design-03</t>
        </is>
      </c>
      <c r="C63" s="3" t="inlineStr"/>
      <c r="D63" s="3" t="inlineStr">
        <is>
          <t>MINOR</t>
        </is>
      </c>
      <c r="E63" s="3" t="inlineStr">
        <is>
          <t>title_current/H1_current</t>
        </is>
      </c>
      <c r="F63" s="3" t="inlineStr">
        <is>
          <t>Christmas Bedding Quilt – Soft Microfiber Holiday Bedsprea - Design 03</t>
        </is>
      </c>
      <c r="G63" s="3" t="inlineStr">
        <is>
          <t>Christmas Bedding Quilt – Soft Microfiber Holiday Bedsprea - Design 03</t>
        </is>
      </c>
      <c r="H63" s="3" t="inlineStr">
        <is>
          <t>Title/H1 live chứa ký tự thay thế U+FFFD và từ bị cắt.</t>
        </is>
      </c>
      <c r="I63" s="3" t="inlineStr">
        <is>
          <t>Gingerbread Christmas Quilt Set</t>
        </is>
      </c>
      <c r="J63" s="3" t="inlineStr">
        <is>
          <t>https://jeminise.com/products/christmas-bedding-quilt-soft-microfiber-holiday-bedsprea-design-03</t>
        </is>
      </c>
      <c r="K63" s="3" t="inlineStr">
        <is>
          <t>Rendered title and H1 no longer contain U+FFFD or truncated words.</t>
        </is>
      </c>
    </row>
    <row r="64" ht="84" customHeight="1">
      <c r="A64" s="2" t="inlineStr">
        <is>
          <t>ISS-020-DESC</t>
        </is>
      </c>
      <c r="B64" s="2" t="inlineStr">
        <is>
          <t>jeminise.com+christmas-bedding-quilt-soft-microfiber-holiday-bedsprea-design-04</t>
        </is>
      </c>
      <c r="C64" s="2" t="inlineStr"/>
      <c r="D64" s="2" t="inlineStr">
        <is>
          <t>MAJOR</t>
        </is>
      </c>
      <c r="E64" s="2" t="inlineStr">
        <is>
          <t>description_proposed_html</t>
        </is>
      </c>
      <c r="F64" s="2" t="inlineStr">
        <is>
          <t>Review this draft against the live product page and Shopify export before approval.</t>
        </is>
      </c>
      <c r="G64" s="2" t="inlineStr">
        <is>
          <t>HTML kết thúc bằng lời nhắc review nội bộ.</t>
        </is>
      </c>
      <c r="H64" s="2" t="inlineStr">
        <is>
          <t>Nội dung quy trình nội bộ không được xuất hiện trên storefront.</t>
        </is>
      </c>
      <c r="I64" s="2" t="inlineStr">
        <is>
          <t>Rewrite as customer-facing English HTML and remove the internal review sentence.</t>
        </is>
      </c>
      <c r="J64" s="2" t="inlineStr">
        <is>
          <t>evidence_batch_002_020</t>
        </is>
      </c>
      <c r="K64" s="2" t="inlineStr">
        <is>
          <t>Render full HTML and confirm no drafting/QA instruction remains.</t>
        </is>
      </c>
    </row>
    <row r="65" ht="84" customHeight="1">
      <c r="A65" s="3" t="inlineStr">
        <is>
          <t>ISS-020-ENC</t>
        </is>
      </c>
      <c r="B65" s="3" t="inlineStr">
        <is>
          <t>jeminise.com+christmas-bedding-quilt-soft-microfiber-holiday-bedsprea-design-04</t>
        </is>
      </c>
      <c r="C65" s="3" t="inlineStr"/>
      <c r="D65" s="3" t="inlineStr">
        <is>
          <t>MINOR</t>
        </is>
      </c>
      <c r="E65" s="3" t="inlineStr">
        <is>
          <t>title_current/H1_current</t>
        </is>
      </c>
      <c r="F65" s="3" t="inlineStr">
        <is>
          <t>Christmas Bedding Quilt – Soft Microfiber Holiday Bedsprea - Design 04</t>
        </is>
      </c>
      <c r="G65" s="3" t="inlineStr">
        <is>
          <t>Christmas Bedding Quilt – Soft Microfiber Holiday Bedsprea - Design 04</t>
        </is>
      </c>
      <c r="H65" s="3" t="inlineStr">
        <is>
          <t>Title/H1 live chứa ký tự thay thế U+FFFD và từ bị cắt.</t>
        </is>
      </c>
      <c r="I65" s="3" t="inlineStr">
        <is>
          <t>Gingerbread Gift Christmas Quilt Set</t>
        </is>
      </c>
      <c r="J65" s="3" t="inlineStr">
        <is>
          <t>https://jeminise.com/products/christmas-bedding-quilt-soft-microfiber-holiday-bedsprea-design-04</t>
        </is>
      </c>
      <c r="K65" s="3" t="inlineStr">
        <is>
          <t>Rendered title and H1 no longer contain U+FFFD or truncated words.</t>
        </is>
      </c>
    </row>
    <row r="66" ht="84" customHeight="1">
      <c r="A66" s="2" t="inlineStr">
        <is>
          <t>ISS-011-PERS</t>
        </is>
      </c>
      <c r="B66" s="2" t="inlineStr">
        <is>
          <t>jeminise.com+christian-bedding-set-inspirational-bible-verse-comforte-design-02</t>
        </is>
      </c>
      <c r="C66" s="2" t="inlineStr"/>
      <c r="D66" s="2" t="inlineStr">
        <is>
          <t>CRITICAL</t>
        </is>
      </c>
      <c r="E66" s="2" t="inlineStr">
        <is>
          <t>title/meta/description personalization claim</t>
        </is>
      </c>
      <c r="F66" s="2" t="inlineStr">
        <is>
          <t>Personalized / Personalize / custom name</t>
        </is>
      </c>
      <c r="G66" s="2" t="inlineStr">
        <is>
          <t>Product.js chỉ có type/size, pillowcases và flat-sheet options; không có input tên, verse hoặc birth flower.</t>
        </is>
      </c>
      <c r="H66" s="2" t="inlineStr">
        <is>
          <t>Personalization là thuộc tính mua hàng trọng yếu nhưng không thể thao tác trong purchase flow live.</t>
        </is>
      </c>
      <c r="I66" s="2" t="inlineStr">
        <is>
          <t>Remove personalization claims unless a working name/design input and fulfillment mapping are evidenced.</t>
        </is>
      </c>
      <c r="J66" s="2" t="inlineStr">
        <is>
          <t>https://jeminise.com/products/christian-bedding-set-inspirational-bible-verse-comforte-design-02; live product.js options=[{"name": "Choose Product Type &amp; Size", "position": 1, "values": ["Duvet Cover Twin (68\" x 88\")", "Duvet Cover  Full (78\" x 88\")", "Duvet Cover Queen (88\" x 88\")", "Duvet Cover King (104\" x 88\")", "Comforter Twin (68\"x90\")", "Comforter Full (79\"x90\")", "Comforter Queen (90\"x90\")", "Comforter King (104\"x90\")"]}, {"name": "Choose Pillowcases", "position": 2, "values": ["None", "1 Pillowcase (20''x30'')", "2 Pillowcases (20''x30'')"]}, {"name": "Additional Sheet Cover (Flat Sheet)", "position": 3, "values": ["None", "1 Sheet Cover (same size)"]}]</t>
        </is>
      </c>
      <c r="K66" s="2" t="inlineStr">
        <is>
          <t>Live purchase flow visibly accepts and preserves every claimed personalization value.</t>
        </is>
      </c>
    </row>
    <row r="67" ht="84" customHeight="1">
      <c r="A67" s="3" t="inlineStr">
        <is>
          <t>ISS-011-SERP</t>
        </is>
      </c>
      <c r="B67" s="3" t="inlineStr">
        <is>
          <t>jeminise.com+christian-bedding-set-inspirational-bible-verse-comforte-design-02</t>
        </is>
      </c>
      <c r="C67" s="3" t="inlineStr"/>
      <c r="D67" s="3" t="inlineStr">
        <is>
          <t>MAJOR</t>
        </is>
      </c>
      <c r="E67" s="3" t="inlineStr">
        <is>
          <t>SERP_evidence_references</t>
        </is>
      </c>
      <c r="F67" s="3" t="inlineStr">
        <is>
          <t>https://www.etsy.com/market/god_says_i_am_blanket; https://www.amazon.com/clp/B0F1Y2J2FD; https://www.etsy.com/listing/4410818176/christian-name-blanket-god-says-i-am</t>
        </is>
      </c>
      <c r="G67" s="3" t="inlineStr">
        <is>
          <t>Submitted references are dominated by blanket listings while the selected keyword targets a comforter/bedding product.</t>
        </is>
      </c>
      <c r="H67" s="3" t="inlineStr">
        <is>
          <t>Evidence does not cleanly validate the selected product-type intent and six drafts compete in one narrow personalization cluster.</t>
        </is>
      </c>
      <c r="I67" s="3" t="inlineStr">
        <is>
          <t>Use bedding/comforter product SERPs, document differentiation, and rerun keyword selection after resolving personalization.</t>
        </is>
      </c>
      <c r="J67" s="3" t="inlineStr">
        <is>
          <t>[["personalized God Says I Am comforter set", ["https://www.walmart.com/ip/19956661087"]], ["God Says I Am Christian bedding set", ["https://www.etsy.com/listing/4355382705/personalized-christian-blanket-god-says"]]]</t>
        </is>
      </c>
      <c r="K67" s="3" t="inlineStr">
        <is>
          <t>Two current US-intent product SERPs support the exact product type and unique design angle.</t>
        </is>
      </c>
    </row>
    <row r="68" ht="84" customHeight="1">
      <c r="A68" s="2" t="inlineStr">
        <is>
          <t>ISS-012-PERS</t>
        </is>
      </c>
      <c r="B68" s="2" t="inlineStr">
        <is>
          <t>jeminise.com+christian-bedding-set-inspirational-bible-verse-comforte-design-03</t>
        </is>
      </c>
      <c r="C68" s="2" t="inlineStr"/>
      <c r="D68" s="2" t="inlineStr">
        <is>
          <t>CRITICAL</t>
        </is>
      </c>
      <c r="E68" s="2" t="inlineStr">
        <is>
          <t>title/meta/description personalization claim</t>
        </is>
      </c>
      <c r="F68" s="2" t="inlineStr">
        <is>
          <t>Personalized / Personalize / custom name</t>
        </is>
      </c>
      <c r="G68" s="2" t="inlineStr">
        <is>
          <t>Product.js chỉ có type/size, pillowcases và flat-sheet options; không có input tên, verse hoặc birth flower.</t>
        </is>
      </c>
      <c r="H68" s="2" t="inlineStr">
        <is>
          <t>Personalization là thuộc tính mua hàng trọng yếu nhưng không thể thao tác trong purchase flow live.</t>
        </is>
      </c>
      <c r="I68" s="2" t="inlineStr">
        <is>
          <t>Remove personalization claims unless a working name/design input and fulfillment mapping are evidenced.</t>
        </is>
      </c>
      <c r="J68" s="2" t="inlineStr">
        <is>
          <t>https://jeminise.com/products/christian-bedding-set-inspirational-bible-verse-comforte-design-03; live product.js options=[{"name": "Choose Product Type &amp; Size", "position": 1, "values": ["Duvet Cover Twin (68\" x 88\")", "Duvet Cover  Full (78\" x 88\")", "Duvet Cover Queen (88\" x 88\")", "Duvet Cover King (104\" x 88\")", "Comforter Twin (68\"x90\")", "Comforter Full (79\"x90\")", "Comforter Queen (90\"x90\")", "Comforter King (104\"x90\")"]}, {"name": "Choose Pillowcases", "position": 2, "values": ["None", "1 Pillowcase (20''x30'')", "2 Pillowcases (20''x30'')"]}, {"name": "Additional Sheet Cover (Flat Sheet)", "position": 3, "values": ["None", "1 Sheet Cover (same size)"]}]</t>
        </is>
      </c>
      <c r="K68" s="2" t="inlineStr">
        <is>
          <t>Live purchase flow visibly accepts and preserves every claimed personalization value.</t>
        </is>
      </c>
    </row>
    <row r="69" ht="84" customHeight="1">
      <c r="A69" s="3" t="inlineStr">
        <is>
          <t>ISS-012-SERP</t>
        </is>
      </c>
      <c r="B69" s="3" t="inlineStr">
        <is>
          <t>jeminise.com+christian-bedding-set-inspirational-bible-verse-comforte-design-03</t>
        </is>
      </c>
      <c r="C69" s="3" t="inlineStr"/>
      <c r="D69" s="3" t="inlineStr">
        <is>
          <t>MAJOR</t>
        </is>
      </c>
      <c r="E69" s="3" t="inlineStr">
        <is>
          <t>SERP_evidence_references</t>
        </is>
      </c>
      <c r="F69" s="3" t="inlineStr">
        <is>
          <t>https://www.etsy.com/market/god_says_i_am_blanket; https://www.amazon.com/clp/B0F1Y2J2FD; https://www.etsy.com/listing/4410818176/christian-name-blanket-god-says-i-am</t>
        </is>
      </c>
      <c r="G69" s="3" t="inlineStr">
        <is>
          <t>Submitted references are dominated by blanket listings while the selected keyword targets a comforter/bedding product.</t>
        </is>
      </c>
      <c r="H69" s="3" t="inlineStr">
        <is>
          <t>Evidence does not cleanly validate the selected product-type intent and six drafts compete in one narrow personalization cluster.</t>
        </is>
      </c>
      <c r="I69" s="3" t="inlineStr">
        <is>
          <t>Use bedding/comforter product SERPs, document differentiation, and rerun keyword selection after resolving personalization.</t>
        </is>
      </c>
      <c r="J69" s="3" t="inlineStr">
        <is>
          <t>[["personalized Bible verse comforter set", ["https://www.etsy.com/listing/1633105230/woodland-lake-christian-bedding-set"]], ["Christian affirmation comforter set", ["https://www.etsy.com/listing/1633105230/woodland-lake-christian-bedding-set"]]]</t>
        </is>
      </c>
      <c r="K69" s="3" t="inlineStr">
        <is>
          <t>Two current US-intent product SERPs support the exact product type and unique design angle.</t>
        </is>
      </c>
    </row>
    <row r="70" ht="84" customHeight="1">
      <c r="A70" s="2" t="inlineStr">
        <is>
          <t>ISS-013-PERS</t>
        </is>
      </c>
      <c r="B70" s="2" t="inlineStr">
        <is>
          <t>jeminise.com+christian-bedding-set-inspirational-bible-verse-comforte-design-04</t>
        </is>
      </c>
      <c r="C70" s="2" t="inlineStr"/>
      <c r="D70" s="2" t="inlineStr">
        <is>
          <t>CRITICAL</t>
        </is>
      </c>
      <c r="E70" s="2" t="inlineStr">
        <is>
          <t>title/meta/description personalization claim</t>
        </is>
      </c>
      <c r="F70" s="2" t="inlineStr">
        <is>
          <t>Personalized / Personalize / custom name</t>
        </is>
      </c>
      <c r="G70" s="2" t="inlineStr">
        <is>
          <t>Product.js chỉ có type/size, pillowcases và flat-sheet options; không có input tên, verse hoặc birth flower.</t>
        </is>
      </c>
      <c r="H70" s="2" t="inlineStr">
        <is>
          <t>Personalization là thuộc tính mua hàng trọng yếu nhưng không thể thao tác trong purchase flow live.</t>
        </is>
      </c>
      <c r="I70" s="2" t="inlineStr">
        <is>
          <t>Remove personalization claims unless a working name/design input and fulfillment mapping are evidenced.</t>
        </is>
      </c>
      <c r="J70" s="2" t="inlineStr">
        <is>
          <t>https://jeminise.com/products/christian-bedding-set-inspirational-bible-verse-comforte-design-04; live product.js options=[{"name": "Choose Product Type &amp; Size", "position": 1, "values": ["Duvet Cover Twin (68\" x 88\")", "Duvet Cover  Full (78\" x 88\")", "Duvet Cover Queen (88\" x 88\")", "Duvet Cover King (104\" x 88\")", "Comforter Twin (68\"x90\")", "Comforter Full (79\"x90\")", "Comforter Queen (90\"x90\")", "Comforter King (104\"x90\")"]}, {"name": "Choose Pillowcases", "position": 2, "values": ["None", "1 Pillowcase (20''x30'')", "2 Pillowcases (20''x30'')"]}, {"name": "Additional Sheet Cover (Flat Sheet)", "position": 3, "values": ["None", "1 Sheet Cover (same size)"]}]</t>
        </is>
      </c>
      <c r="K70" s="2" t="inlineStr">
        <is>
          <t>Live purchase flow visibly accepts and preserves every claimed personalization value.</t>
        </is>
      </c>
    </row>
    <row r="71" ht="84" customHeight="1">
      <c r="A71" s="3" t="inlineStr">
        <is>
          <t>ISS-013-SERP</t>
        </is>
      </c>
      <c r="B71" s="3" t="inlineStr">
        <is>
          <t>jeminise.com+christian-bedding-set-inspirational-bible-verse-comforte-design-04</t>
        </is>
      </c>
      <c r="C71" s="3" t="inlineStr"/>
      <c r="D71" s="3" t="inlineStr">
        <is>
          <t>MAJOR</t>
        </is>
      </c>
      <c r="E71" s="3" t="inlineStr">
        <is>
          <t>SERP_evidence_references</t>
        </is>
      </c>
      <c r="F71" s="3" t="inlineStr">
        <is>
          <t>https://www.etsy.com/market/god_says_i_am_blanket; https://www.amazon.com/clp/B0F1Y2J2FD; https://www.etsy.com/listing/4410818176/christian-name-blanket-god-says-i-am</t>
        </is>
      </c>
      <c r="G71" s="3" t="inlineStr">
        <is>
          <t>Submitted references are dominated by blanket listings while the selected keyword targets a comforter/bedding product.</t>
        </is>
      </c>
      <c r="H71" s="3" t="inlineStr">
        <is>
          <t>Evidence does not cleanly validate the selected product-type intent and six drafts compete in one narrow personalization cluster.</t>
        </is>
      </c>
      <c r="I71" s="3" t="inlineStr">
        <is>
          <t>Use bedding/comforter product SERPs, document differentiation, and rerun keyword selection after resolving personalization.</t>
        </is>
      </c>
      <c r="J71" s="3" t="inlineStr">
        <is>
          <t>[["personalized Christian comforter for women", ["https://www.etsy.com/listing/4355382705/personalized-christian-blanket-god-says"]], ["God is within her comforter set", ["https://www.etsy.com/listing/1816067746/personalized-christian-blanket-for-girl"]]]</t>
        </is>
      </c>
      <c r="K71" s="3" t="inlineStr">
        <is>
          <t>Two current US-intent product SERPs support the exact product type and unique design angle.</t>
        </is>
      </c>
    </row>
    <row r="72" ht="84" customHeight="1">
      <c r="A72" s="2" t="inlineStr">
        <is>
          <t>ISS-014-PERS</t>
        </is>
      </c>
      <c r="B72" s="2" t="inlineStr">
        <is>
          <t>jeminise.com+christian-bedding-set-inspirational-bible-verse-comforte-design-05</t>
        </is>
      </c>
      <c r="C72" s="2" t="inlineStr"/>
      <c r="D72" s="2" t="inlineStr">
        <is>
          <t>CRITICAL</t>
        </is>
      </c>
      <c r="E72" s="2" t="inlineStr">
        <is>
          <t>title/meta/description personalization claim</t>
        </is>
      </c>
      <c r="F72" s="2" t="inlineStr">
        <is>
          <t>Personalized / Personalize / custom name</t>
        </is>
      </c>
      <c r="G72" s="2" t="inlineStr">
        <is>
          <t>Product.js chỉ có type/size, pillowcases và flat-sheet options; không có input tên, verse hoặc birth flower.</t>
        </is>
      </c>
      <c r="H72" s="2" t="inlineStr">
        <is>
          <t>Personalization là thuộc tính mua hàng trọng yếu nhưng không thể thao tác trong purchase flow live.</t>
        </is>
      </c>
      <c r="I72" s="2" t="inlineStr">
        <is>
          <t>Remove personalization claims unless a working name/design input and fulfillment mapping are evidenced.</t>
        </is>
      </c>
      <c r="J72" s="2" t="inlineStr">
        <is>
          <t>https://jeminise.com/products/christian-bedding-set-inspirational-bible-verse-comforte-design-05; live product.js options=[{"name": "Choose Product Type &amp; Size", "position": 1, "values": ["Duvet Cover Twin (68\" x 88\")", "Duvet Cover  Full (78\" x 88\")", "Duvet Cover Queen (88\" x 88\")", "Duvet Cover King (104\" x 88\")", "Comforter Twin (68\"x90\")", "Comforter Full (79\"x90\")", "Comforter Queen (90\"x90\")", "Comforter King (104\"x90\")"]}, {"name": "Choose Pillowcases", "position": 2, "values": ["None", "1 Pillowcase (20''x30'')", "2 Pillowcases (20''x30'')"]}, {"name": "Additional Sheet Cover (Flat Sheet)", "position": 3, "values": ["None", "1 Sheet Cover (same size)"]}]</t>
        </is>
      </c>
      <c r="K72" s="2" t="inlineStr">
        <is>
          <t>Live purchase flow visibly accepts and preserves every claimed personalization value.</t>
        </is>
      </c>
    </row>
    <row r="73" ht="84" customHeight="1">
      <c r="A73" s="3" t="inlineStr">
        <is>
          <t>ISS-014-SERP</t>
        </is>
      </c>
      <c r="B73" s="3" t="inlineStr">
        <is>
          <t>jeminise.com+christian-bedding-set-inspirational-bible-verse-comforte-design-05</t>
        </is>
      </c>
      <c r="C73" s="3" t="inlineStr"/>
      <c r="D73" s="3" t="inlineStr">
        <is>
          <t>MAJOR</t>
        </is>
      </c>
      <c r="E73" s="3" t="inlineStr">
        <is>
          <t>SERP_evidence_references</t>
        </is>
      </c>
      <c r="F73" s="3" t="inlineStr">
        <is>
          <t>https://www.etsy.com/market/god_says_i_am_blanket; https://www.amazon.com/clp/B0F1Y2J2FD; https://www.etsy.com/listing/4410818176/christian-name-blanket-god-says-i-am</t>
        </is>
      </c>
      <c r="G73" s="3" t="inlineStr">
        <is>
          <t>Submitted references are dominated by blanket listings while the selected keyword targets a comforter/bedding product.</t>
        </is>
      </c>
      <c r="H73" s="3" t="inlineStr">
        <is>
          <t>Evidence does not cleanly validate the selected product-type intent and six drafts compete in one narrow personalization cluster.</t>
        </is>
      </c>
      <c r="I73" s="3" t="inlineStr">
        <is>
          <t>Use bedding/comforter product SERPs, document differentiation, and rerun keyword selection after resolving personalization.</t>
        </is>
      </c>
      <c r="J73" s="3" t="inlineStr">
        <is>
          <t>[["blue personalized Christian comforter set", ["https://www.etsy.com/listing/1806586035/custom-bible-verse-blanket-personalized"]], ["God Says I Am blue bedding", ["https://www.etsy.com/listing/4388723618/personalized-god-says-i-am-blanket"]]]</t>
        </is>
      </c>
      <c r="K73" s="3" t="inlineStr">
        <is>
          <t>Two current US-intent product SERPs support the exact product type and unique design angle.</t>
        </is>
      </c>
    </row>
    <row r="74" ht="84" customHeight="1">
      <c r="A74" s="2" t="inlineStr">
        <is>
          <t>ISS-015-PERS</t>
        </is>
      </c>
      <c r="B74" s="2" t="inlineStr">
        <is>
          <t>jeminise.com+christian-bedding-set-inspirational-bible-verse-comforte-design-06</t>
        </is>
      </c>
      <c r="C74" s="2" t="inlineStr"/>
      <c r="D74" s="2" t="inlineStr">
        <is>
          <t>CRITICAL</t>
        </is>
      </c>
      <c r="E74" s="2" t="inlineStr">
        <is>
          <t>title/meta/description personalization claim</t>
        </is>
      </c>
      <c r="F74" s="2" t="inlineStr">
        <is>
          <t>Personalized / Personalize / custom name</t>
        </is>
      </c>
      <c r="G74" s="2" t="inlineStr">
        <is>
          <t>Product.js chỉ có type/size, pillowcases và flat-sheet options; không có input tên, verse hoặc birth flower.</t>
        </is>
      </c>
      <c r="H74" s="2" t="inlineStr">
        <is>
          <t>Personalization là thuộc tính mua hàng trọng yếu nhưng không thể thao tác trong purchase flow live.</t>
        </is>
      </c>
      <c r="I74" s="2" t="inlineStr">
        <is>
          <t>Remove personalization claims unless a working name/design input and fulfillment mapping are evidenced.</t>
        </is>
      </c>
      <c r="J74" s="2" t="inlineStr">
        <is>
          <t>https://jeminise.com/products/christian-bedding-set-inspirational-bible-verse-comforte-design-06; live product.js options=[{"name": "Choose Product Type &amp; Size", "position": 1, "values": ["Duvet Cover Twin (68\" x 88\")", "Duvet Cover  Full (78\" x 88\")", "Duvet Cover Queen (88\" x 88\")", "Duvet Cover King (104\" x 88\")", "Comforter Twin (68\"x90\")", "Comforter Full (79\"x90\")", "Comforter Queen (90\"x90\")", "Comforter King (104\"x90\")"]}, {"name": "Choose Pillowcases", "position": 2, "values": ["None", "1 Pillowcase (20''x30'')", "2 Pillowcases (20''x30'')"]}, {"name": "Additional Sheet Cover (Flat Sheet)", "position": 3, "values": ["None", "1 Sheet Cover (same size)"]}]</t>
        </is>
      </c>
      <c r="K74" s="2" t="inlineStr">
        <is>
          <t>Live purchase flow visibly accepts and preserves every claimed personalization value.</t>
        </is>
      </c>
    </row>
    <row r="75" ht="84" customHeight="1">
      <c r="A75" s="3" t="inlineStr">
        <is>
          <t>ISS-015-SERP</t>
        </is>
      </c>
      <c r="B75" s="3" t="inlineStr">
        <is>
          <t>jeminise.com+christian-bedding-set-inspirational-bible-verse-comforte-design-06</t>
        </is>
      </c>
      <c r="C75" s="3" t="inlineStr"/>
      <c r="D75" s="3" t="inlineStr">
        <is>
          <t>MAJOR</t>
        </is>
      </c>
      <c r="E75" s="3" t="inlineStr">
        <is>
          <t>SERP_evidence_references</t>
        </is>
      </c>
      <c r="F75" s="3" t="inlineStr">
        <is>
          <t>https://www.etsy.com/market/god_says_i_am_blanket; https://www.amazon.com/clp/B0F1Y2J2FD; https://www.etsy.com/listing/4410818176/christian-name-blanket-god-says-i-am</t>
        </is>
      </c>
      <c r="G75" s="3" t="inlineStr">
        <is>
          <t>Submitted references are dominated by blanket listings while the selected keyword targets a comforter/bedding product.</t>
        </is>
      </c>
      <c r="H75" s="3" t="inlineStr">
        <is>
          <t>Evidence does not cleanly validate the selected product-type intent and six drafts compete in one narrow personalization cluster.</t>
        </is>
      </c>
      <c r="I75" s="3" t="inlineStr">
        <is>
          <t>Use bedding/comforter product SERPs, document differentiation, and rerun keyword selection after resolving personalization.</t>
        </is>
      </c>
      <c r="J75" s="3" t="inlineStr">
        <is>
          <t>[["personalized Christian butterfly comforter", ["https://www.etsy.com/listing/1112803288/butterfly-duvet-cover-set-personalized"]], ["God is within her butterfly bedding", ["https://www.etsy.com/listing/4419478072/personalized-floral-butterfly-christian"]]]</t>
        </is>
      </c>
      <c r="K75" s="3" t="inlineStr">
        <is>
          <t>Two current US-intent product SERPs support the exact product type and unique design angle.</t>
        </is>
      </c>
    </row>
    <row r="76" ht="84" customHeight="1">
      <c r="A76" s="2" t="inlineStr">
        <is>
          <t>ISS-016-PERS</t>
        </is>
      </c>
      <c r="B76" s="2" t="inlineStr">
        <is>
          <t>jeminise.com+christian-bedding-set-inspirational-bible-verse-comforter</t>
        </is>
      </c>
      <c r="C76" s="2" t="inlineStr"/>
      <c r="D76" s="2" t="inlineStr">
        <is>
          <t>CRITICAL</t>
        </is>
      </c>
      <c r="E76" s="2" t="inlineStr">
        <is>
          <t>title/meta/description personalization claim</t>
        </is>
      </c>
      <c r="F76" s="2" t="inlineStr">
        <is>
          <t>Personalized / Personalize / custom name</t>
        </is>
      </c>
      <c r="G76" s="2" t="inlineStr">
        <is>
          <t>Product.js chỉ có type/size, pillowcases và flat-sheet options; không có input tên, verse hoặc birth flower.</t>
        </is>
      </c>
      <c r="H76" s="2" t="inlineStr">
        <is>
          <t>Personalization là thuộc tính mua hàng trọng yếu nhưng không thể thao tác trong purchase flow live.</t>
        </is>
      </c>
      <c r="I76" s="2" t="inlineStr">
        <is>
          <t>Remove personalization claims unless a working name/design input and fulfillment mapping are evidenced.</t>
        </is>
      </c>
      <c r="J76" s="2" t="inlineStr">
        <is>
          <t>https://jeminise.com/products/christian-bedding-set-inspirational-bible-verse-comforter; live product.js options=[{"name": "Choose Product Type &amp; Size", "position": 1, "values": ["Duvet Cover Twin (68\" x 88\")", "Duvet Cover  Full (78\" x 88\")", "Duvet Cover Queen (88\" x 88\")", "Duvet Cover King (104\" x 88\")", "Comforter Twin (68\"x90\")", "Comforter Full (79\"x90\")", "Comforter Queen (90\"x90\")", "Comforter King (104\"x90\")"]}, {"name": "Choose Pillowcases", "position": 2, "values": ["None", "1 Pillowcase (20''x30'')", "2 Pillowcases (20''x30'')"]}, {"name": "Additional Sheet Cover (Flat Sheet)", "position": 3, "values": ["None", "1 Sheet Cover (same size)"]}]</t>
        </is>
      </c>
      <c r="K76" s="2" t="inlineStr">
        <is>
          <t>Live purchase flow visibly accepts and preserves every claimed personalization value.</t>
        </is>
      </c>
    </row>
    <row r="77" ht="84" customHeight="1">
      <c r="A77" s="3" t="inlineStr">
        <is>
          <t>ISS-016-SERP</t>
        </is>
      </c>
      <c r="B77" s="3" t="inlineStr">
        <is>
          <t>jeminise.com+christian-bedding-set-inspirational-bible-verse-comforter</t>
        </is>
      </c>
      <c r="C77" s="3" t="inlineStr"/>
      <c r="D77" s="3" t="inlineStr">
        <is>
          <t>MAJOR</t>
        </is>
      </c>
      <c r="E77" s="3" t="inlineStr">
        <is>
          <t>SERP_evidence_references</t>
        </is>
      </c>
      <c r="F77" s="3" t="inlineStr">
        <is>
          <t>https://www.etsy.com/market/god_says_i_am_blanket; https://www.amazon.com/clp/B0F1Y2J2FD; https://www.etsy.com/listing/4410818176/christian-name-blanket-god-says-i-am</t>
        </is>
      </c>
      <c r="G77" s="3" t="inlineStr">
        <is>
          <t>Submitted references are dominated by blanket listings while the selected keyword targets a comforter/bedding product.</t>
        </is>
      </c>
      <c r="H77" s="3" t="inlineStr">
        <is>
          <t>Evidence does not cleanly validate the selected product-type intent and six drafts compete in one narrow personalization cluster.</t>
        </is>
      </c>
      <c r="I77" s="3" t="inlineStr">
        <is>
          <t>Use bedding/comforter product SERPs, document differentiation, and rerun keyword selection after resolving personalization.</t>
        </is>
      </c>
      <c r="J77" s="3" t="inlineStr">
        <is>
          <t>[["personalized Christian comforter for men", ["https://www.etsy.com/listing/4449422983/personalized-christian-blanket-for-men"]], ["Christian warrior lion comforter set", ["https://www.walmart.com/ip/19902816540"]]]</t>
        </is>
      </c>
      <c r="K77" s="3" t="inlineStr">
        <is>
          <t>Two current US-intent product SERPs support the exact product type and unique design angle.</t>
        </is>
      </c>
    </row>
    <row r="78" ht="84" customHeight="1">
      <c r="A78" s="2" t="inlineStr">
        <is>
          <t>ISS-013-FACT</t>
        </is>
      </c>
      <c r="B78" s="2" t="inlineStr">
        <is>
          <t>jeminise.com+christian-bedding-set-inspirational-bible-verse-comforte-design-04</t>
        </is>
      </c>
      <c r="C78" s="2" t="inlineStr"/>
      <c r="D78" s="2" t="inlineStr">
        <is>
          <t>MAJOR</t>
        </is>
      </c>
      <c r="E78" s="2" t="inlineStr">
        <is>
          <t>description_proposed_html/source facts</t>
        </is>
      </c>
      <c r="F78" s="2" t="inlineStr">
        <is>
          <t>Style: Christian Knight Templar</t>
        </is>
      </c>
      <c r="G78" s="2" t="inlineStr">
        <is>
          <t>Main bed mockup with black-and-gold Olivia design, woman silhouette, butterflies, flowers and God Is Within Her text.</t>
        </is>
      </c>
      <c r="H78" s="2" t="inlineStr">
        <is>
          <t>Structured style label conflicts with the visible women-focused God Is Within Her design and was copied into the draft.</t>
        </is>
      </c>
      <c r="I78" s="2" t="inlineStr">
        <is>
          <t>Remove 'Christian Knight Templar' from customer copy unless the admin source mapping is corrected and evidenced.</t>
        </is>
      </c>
      <c r="J78" s="2" t="inlineStr">
        <is>
          <t>evidence_batch_002_013; https://jeminise.com/products/christian-bedding-set-inspirational-bible-verse-comforte-design-04</t>
        </is>
      </c>
      <c r="K78" s="2" t="inlineStr">
        <is>
          <t>Revised source mapping and HTML agree with the visible design.</t>
        </is>
      </c>
    </row>
    <row r="79" ht="84" customHeight="1">
      <c r="A79" s="3" t="inlineStr">
        <is>
          <t>ISS-019-PERS</t>
        </is>
      </c>
      <c r="B79" s="3" t="inlineStr">
        <is>
          <t>jeminise.com+christmas-bedding-quilt-soft-microfiber-holiday-bedsprea-design-03</t>
        </is>
      </c>
      <c r="C79" s="3" t="inlineStr"/>
      <c r="D79" s="3" t="inlineStr">
        <is>
          <t>CRITICAL</t>
        </is>
      </c>
      <c r="E79" s="3" t="inlineStr">
        <is>
          <t>description_proposed_html personalization claim</t>
        </is>
      </c>
      <c r="F79" s="3" t="inlineStr">
        <is>
          <t>Customization: 1 text input</t>
        </is>
      </c>
      <c r="G79" s="3" t="inlineStr">
        <is>
          <t>Product.js exposes only quilt size and pillowcase quantity; no text input is present.</t>
        </is>
      </c>
      <c r="H79" s="3" t="inlineStr">
        <is>
          <t>The draft states an unavailable purchasing feature.</t>
        </is>
      </c>
      <c r="I79" s="3" t="inlineStr">
        <is>
          <t>Remove the customization statement or provide a working text input with fulfillment evidence.</t>
        </is>
      </c>
      <c r="J79" s="3" t="inlineStr">
        <is>
          <t>https://jeminise.com/products/christmas-bedding-quilt-soft-microfiber-holiday-bedsprea-design-03; live product.js options</t>
        </is>
      </c>
      <c r="K79" s="3" t="inlineStr">
        <is>
          <t>Live purchase flow accepts and preserves the claimed text value.</t>
        </is>
      </c>
    </row>
    <row r="80" ht="84" customHeight="1">
      <c r="A80" s="2" t="inlineStr">
        <is>
          <t>ISS-GLOBAL-ADMIN</t>
        </is>
      </c>
      <c r="B80" s="2" t="inlineStr"/>
      <c r="C80" s="2" t="inlineStr"/>
      <c r="D80" s="2" t="inlineStr">
        <is>
          <t>LIMITATION</t>
        </is>
      </c>
      <c r="E80" s="2" t="inlineStr">
        <is>
          <t>current admin SEO fields/current admin alt</t>
        </is>
      </c>
      <c r="F80" s="2" t="inlineStr">
        <is>
          <t>Not supplied</t>
        </is>
      </c>
      <c r="G80" s="2" t="inlineStr">
        <is>
          <t>Storefront metadata and product.js media alt were readable, but no Shopify admin export was provided.</t>
        </is>
      </c>
      <c r="H80" s="2" t="inlineStr">
        <is>
          <t>Storefront values cannot prove current admin fields or future import mapping.</t>
        </is>
      </c>
      <c r="I80" s="2" t="inlineStr">
        <is>
          <t>Provide a frozen Shopify admin/export snapshot before approval or import mapping.</t>
        </is>
      </c>
      <c r="J80" s="2" t="inlineStr">
        <is>
          <t>D:\Shopify_Workspace\jeminise_seo\resutls\jeminise.com\20260906_234129\batches\SEO_Product_Optimization_through_batch_034.xlsx</t>
        </is>
      </c>
      <c r="K80" s="2" t="inlineStr">
        <is>
          <t>Admin export revision and hash are frozen and compared to storefront/workbook.</t>
        </is>
      </c>
    </row>
  </sheetData>
  <autoFilter ref="A1:K80"/>
  <conditionalFormatting sqref="D2:D80">
    <cfRule type="expression" priority="1" dxfId="3">
      <formula>D2="CRITICAL"</formula>
    </cfRule>
    <cfRule type="expression" priority="2" dxfId="2">
      <formula>D2="MAJOR"</formula>
    </cfRule>
    <cfRule type="expression" priority="3" dxfId="1">
      <formula>D2="MINOR"</formula>
    </cfRule>
    <cfRule type="expression" priority="4" dxfId="4">
      <formula>D2="LIMITATION"</formula>
    </cfRule>
  </conditionalFormatting>
  <printOptions horizontalCentered="0"/>
  <pageMargins left="0.25" right="0.25" top="0.5" bottom="0.5" header="0.5" footer="0.5"/>
  <pageSetup orientation="landscape" fitToHeight="0" fitToWidth="2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2026-09-07T02:36:11Z</dcterms:created>
  <dcterms:modified xmlns:dcterms="http://purl.org/dc/terms/" xmlns:xsi="http://www.w3.org/2001/XMLSchema-instance" xsi:type="dcterms:W3CDTF">2026-09-07T02:36:12Z</dcterms:modified>
</cp:coreProperties>
</file>