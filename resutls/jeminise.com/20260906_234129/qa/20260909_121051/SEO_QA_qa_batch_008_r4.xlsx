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'QA_Images'!$A$1:$X$70</definedName>
    <definedName name="_xlnm.Print_Titles" localSheetId="3">'QA_Images'!$1:$1</definedName>
    <definedName name="_xlnm._FilterDatabase" localSheetId="4" hidden="1">'QA_Issues'!$A$1:$K$12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football-player-running-with-ball-comforter-c9c2aecff2-c9c2aecff2" TargetMode="External" Id="rId1"/><Relationship Type="http://schemas.openxmlformats.org/officeDocument/2006/relationships/hyperlink" Target="https://jeminise.com/products/custom-football-player-running-with-ball-comforter-9fe5294804-9fe5294804" TargetMode="External" Id="rId2"/><Relationship Type="http://schemas.openxmlformats.org/officeDocument/2006/relationships/hyperlink" Target="https://jeminise.com/products/custom-football-player-with-american-flag-background-comforter-44d8108598-44d8108598" TargetMode="External" Id="rId3"/><Relationship Type="http://schemas.openxmlformats.org/officeDocument/2006/relationships/hyperlink" Target="https://jeminise.com/products/custom-football-player-with-burning-ball-comforter-and-american-football-708344de4c-708344de4c" TargetMode="External" Id="rId4"/><Relationship Type="http://schemas.openxmlformats.org/officeDocument/2006/relationships/hyperlink" Target="https://jeminise.com/products/custom-football-players-and-large-football-close-comforter-01d72ea6a0-01d72ea6a0" TargetMode="External" Id="rId5"/><Relationship Type="http://schemas.openxmlformats.org/officeDocument/2006/relationships/hyperlink" Target="https://jeminise.com/products/custom-football-texture-with-prominent-laces-vintage-comforter-9be594b786-9be594b786" TargetMode="External" Id="rId6"/><Relationship Type="http://schemas.openxmlformats.org/officeDocument/2006/relationships/hyperlink" Target="https://jeminise.com/products/custom-glowing-soccer-ball-trails-comforter-set-machine-washable-a6" TargetMode="External" Id="rId7"/><Relationship Type="http://schemas.openxmlformats.org/officeDocument/2006/relationships/hyperlink" Target="https://jeminise.com/products/custom-inspirational-bible-verse-floral-blanket-d5" TargetMode="External" Id="rId8"/><Relationship Type="http://schemas.openxmlformats.org/officeDocument/2006/relationships/hyperlink" Target="https://jeminise.com/products/custom-inspirational-floral-butterfly-bible-verse-blanket-d4" TargetMode="External" Id="rId9"/><Relationship Type="http://schemas.openxmlformats.org/officeDocument/2006/relationships/hyperlink" Target="https://jeminise.com/products/custom-inspirational-scripture-butterflies-blanket-machine-washable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8ba31f3002b8afee5677ebffe7ff3c478193dcca2f2a9d1e34829e5a5672ad2d.jpg?v=1785101684" TargetMode="External" Id="rId1"/><Relationship Type="http://schemas.openxmlformats.org/officeDocument/2006/relationships/hyperlink" Target="https://cdn.shopify.com/s/files/1/0792/5098/1063/files/8ba31f3002b8afee5677ebffe7ff3c478193dcca2f2a9d1e34829e5a5672ad2d.jpg?v=1785101684" TargetMode="External" Id="rId2"/><Relationship Type="http://schemas.openxmlformats.org/officeDocument/2006/relationships/hyperlink" Target="https://cdn.shopify.com/s/files/1/0792/5098/1063/files/2c8cc0e1156a54c17df3275504a709733562f18eab95974bd50d2c5bae799d81.jpg?v=1785101684" TargetMode="External" Id="rId3"/><Relationship Type="http://schemas.openxmlformats.org/officeDocument/2006/relationships/hyperlink" Target="https://cdn.shopify.com/s/files/1/0792/5098/1063/files/2c8cc0e1156a54c17df3275504a709733562f18eab95974bd50d2c5bae799d81.jpg?v=1785101684" TargetMode="External" Id="rId4"/><Relationship Type="http://schemas.openxmlformats.org/officeDocument/2006/relationships/hyperlink" Target="https://cdn.shopify.com/s/files/1/0792/5098/1063/files/9aa9c35ad239e2defe80d680bfc9c3ac770143ee38bd0c93c9b9e1b1dc297f8c_a93f2a3e-fa2c-4a6a-9774-d56275a8bf74.jpg?v=1785101684" TargetMode="External" Id="rId5"/><Relationship Type="http://schemas.openxmlformats.org/officeDocument/2006/relationships/hyperlink" Target="https://cdn.shopify.com/s/files/1/0792/5098/1063/files/9aa9c35ad239e2defe80d680bfc9c3ac770143ee38bd0c93c9b9e1b1dc297f8c_a93f2a3e-fa2c-4a6a-9774-d56275a8bf74.jpg?v=1785101684" TargetMode="External" Id="rId6"/><Relationship Type="http://schemas.openxmlformats.org/officeDocument/2006/relationships/hyperlink" Target="https://cdn.shopify.com/s/files/1/0792/5098/1063/files/60438aaa09409be8237de63d32769edc65c732c9d2664029795c857c7de0fe39.jpg?v=1785101684" TargetMode="External" Id="rId7"/><Relationship Type="http://schemas.openxmlformats.org/officeDocument/2006/relationships/hyperlink" Target="https://cdn.shopify.com/s/files/1/0792/5098/1063/files/60438aaa09409be8237de63d32769edc65c732c9d2664029795c857c7de0fe39.jpg?v=1785101684" TargetMode="External" Id="rId8"/><Relationship Type="http://schemas.openxmlformats.org/officeDocument/2006/relationships/hyperlink" Target="https://cdn.shopify.com/s/files/1/0792/5098/1063/files/1bbfbfcf6d26cde4c41dc9cd48a48d8537c348d2d8ae8239cde2198dbac1d7d5_1a59e953-f922-4737-88bf-7e1c410bafeb.jpg?v=1785101684" TargetMode="External" Id="rId9"/><Relationship Type="http://schemas.openxmlformats.org/officeDocument/2006/relationships/hyperlink" Target="https://cdn.shopify.com/s/files/1/0792/5098/1063/files/1bbfbfcf6d26cde4c41dc9cd48a48d8537c348d2d8ae8239cde2198dbac1d7d5_1a59e953-f922-4737-88bf-7e1c410bafeb.jpg?v=1785101684" TargetMode="External" Id="rId10"/><Relationship Type="http://schemas.openxmlformats.org/officeDocument/2006/relationships/hyperlink" Target="https://cdn.shopify.com/s/files/1/0792/5098/1063/files/b875bfc16d8349abe649f457b947dd0efc388f0aa8df8cf243abee1bb432b085_5c5b75c5-ca18-4ffe-b635-c1a000a134b4.jpg?v=1785101684" TargetMode="External" Id="rId11"/><Relationship Type="http://schemas.openxmlformats.org/officeDocument/2006/relationships/hyperlink" Target="https://cdn.shopify.com/s/files/1/0792/5098/1063/files/b875bfc16d8349abe649f457b947dd0efc388f0aa8df8cf243abee1bb432b085_5c5b75c5-ca18-4ffe-b635-c1a000a134b4.jpg?v=1785101684" TargetMode="External" Id="rId12"/><Relationship Type="http://schemas.openxmlformats.org/officeDocument/2006/relationships/hyperlink" Target="https://cdn.shopify.com/s/files/1/0792/5098/1063/files/7ae2888cc5a8f4c1be93b58990c02cf2577c8872f9903c751abf72721c40bdc8.jpg?v=1785100549" TargetMode="External" Id="rId13"/><Relationship Type="http://schemas.openxmlformats.org/officeDocument/2006/relationships/hyperlink" Target="https://cdn.shopify.com/s/files/1/0792/5098/1063/files/7ae2888cc5a8f4c1be93b58990c02cf2577c8872f9903c751abf72721c40bdc8.jpg?v=1785100549" TargetMode="External" Id="rId14"/><Relationship Type="http://schemas.openxmlformats.org/officeDocument/2006/relationships/hyperlink" Target="https://cdn.shopify.com/s/files/1/0792/5098/1063/files/799175dfb6f38b7790193ecd4f998f551c3dd9a73d138ba3e58b80cced520606.jpg?v=1785100549" TargetMode="External" Id="rId15"/><Relationship Type="http://schemas.openxmlformats.org/officeDocument/2006/relationships/hyperlink" Target="https://cdn.shopify.com/s/files/1/0792/5098/1063/files/799175dfb6f38b7790193ecd4f998f551c3dd9a73d138ba3e58b80cced520606.jpg?v=1785100549" TargetMode="External" Id="rId16"/><Relationship Type="http://schemas.openxmlformats.org/officeDocument/2006/relationships/hyperlink" Target="https://cdn.shopify.com/s/files/1/0792/5098/1063/files/16f7293cbefa5743a35b2e6316a5a114e5c052d08151e367dafd26aa5e2e542b_10285fa5-7297-4643-8eb0-4a5eda394860.jpg?v=1785100549" TargetMode="External" Id="rId17"/><Relationship Type="http://schemas.openxmlformats.org/officeDocument/2006/relationships/hyperlink" Target="https://cdn.shopify.com/s/files/1/0792/5098/1063/files/16f7293cbefa5743a35b2e6316a5a114e5c052d08151e367dafd26aa5e2e542b_10285fa5-7297-4643-8eb0-4a5eda394860.jpg?v=1785100549" TargetMode="External" Id="rId18"/><Relationship Type="http://schemas.openxmlformats.org/officeDocument/2006/relationships/hyperlink" Target="https://cdn.shopify.com/s/files/1/0792/5098/1063/files/db40229d565449c2d4dde0e5aa7dea684b3c871845f33940a7097340d533b582.jpg?v=1785100549" TargetMode="External" Id="rId19"/><Relationship Type="http://schemas.openxmlformats.org/officeDocument/2006/relationships/hyperlink" Target="https://cdn.shopify.com/s/files/1/0792/5098/1063/files/db40229d565449c2d4dde0e5aa7dea684b3c871845f33940a7097340d533b582.jpg?v=1785100549" TargetMode="External" Id="rId20"/><Relationship Type="http://schemas.openxmlformats.org/officeDocument/2006/relationships/hyperlink" Target="https://cdn.shopify.com/s/files/1/0792/5098/1063/files/7c006bddc94d4763c71c8376307e195c1bbce73b8c802ec73ac5a8cef1291262_a5f76ddb-b40a-4125-8053-16c6605c36f1.jpg?v=1785100549" TargetMode="External" Id="rId21"/><Relationship Type="http://schemas.openxmlformats.org/officeDocument/2006/relationships/hyperlink" Target="https://cdn.shopify.com/s/files/1/0792/5098/1063/files/7c006bddc94d4763c71c8376307e195c1bbce73b8c802ec73ac5a8cef1291262_a5f76ddb-b40a-4125-8053-16c6605c36f1.jpg?v=1785100549" TargetMode="External" Id="rId22"/><Relationship Type="http://schemas.openxmlformats.org/officeDocument/2006/relationships/hyperlink" Target="https://cdn.shopify.com/s/files/1/0792/5098/1063/files/e5cad84edb4d7bf77c48fd7c8e52eb3b73f04eba8bf177671fd8a059c59422e8_cdf664cf-e4cb-4ff7-8cde-1b53280e4624.jpg?v=1785100549" TargetMode="External" Id="rId23"/><Relationship Type="http://schemas.openxmlformats.org/officeDocument/2006/relationships/hyperlink" Target="https://cdn.shopify.com/s/files/1/0792/5098/1063/files/e5cad84edb4d7bf77c48fd7c8e52eb3b73f04eba8bf177671fd8a059c59422e8_cdf664cf-e4cb-4ff7-8cde-1b53280e4624.jpg?v=1785100549" TargetMode="External" Id="rId24"/><Relationship Type="http://schemas.openxmlformats.org/officeDocument/2006/relationships/hyperlink" Target="https://cdn.shopify.com/s/files/1/0792/5098/1063/files/09350cb325a519a0957806f82c1f3573d4d7e06e8b946df019d7eb52540f0503.jpg?v=1785100785" TargetMode="External" Id="rId25"/><Relationship Type="http://schemas.openxmlformats.org/officeDocument/2006/relationships/hyperlink" Target="https://cdn.shopify.com/s/files/1/0792/5098/1063/files/09350cb325a519a0957806f82c1f3573d4d7e06e8b946df019d7eb52540f0503.jpg?v=1785100785" TargetMode="External" Id="rId26"/><Relationship Type="http://schemas.openxmlformats.org/officeDocument/2006/relationships/hyperlink" Target="https://cdn.shopify.com/s/files/1/0792/5098/1063/files/7eedb0acf0b4f86703af79ca8ec1e94561dd4ab71d22438e9f35cde8e902b5f0.jpg?v=1785100785" TargetMode="External" Id="rId27"/><Relationship Type="http://schemas.openxmlformats.org/officeDocument/2006/relationships/hyperlink" Target="https://cdn.shopify.com/s/files/1/0792/5098/1063/files/7eedb0acf0b4f86703af79ca8ec1e94561dd4ab71d22438e9f35cde8e902b5f0.jpg?v=1785100785" TargetMode="External" Id="rId28"/><Relationship Type="http://schemas.openxmlformats.org/officeDocument/2006/relationships/hyperlink" Target="https://cdn.shopify.com/s/files/1/0792/5098/1063/files/16f7293cbefa5743a35b2e6316a5a114e5c052d08151e367dafd26aa5e2e542b_d7906199-81c3-409a-b3b7-592b0916097a.jpg?v=1785100785" TargetMode="External" Id="rId29"/><Relationship Type="http://schemas.openxmlformats.org/officeDocument/2006/relationships/hyperlink" Target="https://cdn.shopify.com/s/files/1/0792/5098/1063/files/16f7293cbefa5743a35b2e6316a5a114e5c052d08151e367dafd26aa5e2e542b_d7906199-81c3-409a-b3b7-592b0916097a.jpg?v=1785100785" TargetMode="External" Id="rId30"/><Relationship Type="http://schemas.openxmlformats.org/officeDocument/2006/relationships/hyperlink" Target="https://cdn.shopify.com/s/files/1/0792/5098/1063/files/149c548bb487ce76f43cdead9cb37850430b41022dc560514adbfe436691fe89.jpg?v=1785100785" TargetMode="External" Id="rId31"/><Relationship Type="http://schemas.openxmlformats.org/officeDocument/2006/relationships/hyperlink" Target="https://cdn.shopify.com/s/files/1/0792/5098/1063/files/149c548bb487ce76f43cdead9cb37850430b41022dc560514adbfe436691fe89.jpg?v=1785100785" TargetMode="External" Id="rId32"/><Relationship Type="http://schemas.openxmlformats.org/officeDocument/2006/relationships/hyperlink" Target="https://cdn.shopify.com/s/files/1/0792/5098/1063/files/7c006bddc94d4763c71c8376307e195c1bbce73b8c802ec73ac5a8cef1291262_c3a8eff9-dc39-48b1-ad25-12cd69cf1def.jpg?v=1785100785" TargetMode="External" Id="rId33"/><Relationship Type="http://schemas.openxmlformats.org/officeDocument/2006/relationships/hyperlink" Target="https://cdn.shopify.com/s/files/1/0792/5098/1063/files/7c006bddc94d4763c71c8376307e195c1bbce73b8c802ec73ac5a8cef1291262_c3a8eff9-dc39-48b1-ad25-12cd69cf1def.jpg?v=1785100785" TargetMode="External" Id="rId34"/><Relationship Type="http://schemas.openxmlformats.org/officeDocument/2006/relationships/hyperlink" Target="https://cdn.shopify.com/s/files/1/0792/5098/1063/files/e5cad84edb4d7bf77c48fd7c8e52eb3b73f04eba8bf177671fd8a059c59422e8_5ea43c7c-5091-4114-9da2-063c4867930e.jpg?v=1785100785" TargetMode="External" Id="rId35"/><Relationship Type="http://schemas.openxmlformats.org/officeDocument/2006/relationships/hyperlink" Target="https://cdn.shopify.com/s/files/1/0792/5098/1063/files/e5cad84edb4d7bf77c48fd7c8e52eb3b73f04eba8bf177671fd8a059c59422e8_5ea43c7c-5091-4114-9da2-063c4867930e.jpg?v=1785100785" TargetMode="External" Id="rId36"/><Relationship Type="http://schemas.openxmlformats.org/officeDocument/2006/relationships/hyperlink" Target="https://cdn.shopify.com/s/files/1/0792/5098/1063/files/fb332cfe8c182306abbab1f7491cf195fef7e6067a5228b112d7a2d8dd393ef8.jpg?v=1785100232" TargetMode="External" Id="rId37"/><Relationship Type="http://schemas.openxmlformats.org/officeDocument/2006/relationships/hyperlink" Target="https://cdn.shopify.com/s/files/1/0792/5098/1063/files/fb332cfe8c182306abbab1f7491cf195fef7e6067a5228b112d7a2d8dd393ef8.jpg?v=1785100232" TargetMode="External" Id="rId38"/><Relationship Type="http://schemas.openxmlformats.org/officeDocument/2006/relationships/hyperlink" Target="https://cdn.shopify.com/s/files/1/0792/5098/1063/files/fd37c6101f5cc6a23f0a9b3bc4999aa5f6730ccc0ada86d88f0a3fa9fe12a04c.jpg?v=1785100232" TargetMode="External" Id="rId39"/><Relationship Type="http://schemas.openxmlformats.org/officeDocument/2006/relationships/hyperlink" Target="https://cdn.shopify.com/s/files/1/0792/5098/1063/files/fd37c6101f5cc6a23f0a9b3bc4999aa5f6730ccc0ada86d88f0a3fa9fe12a04c.jpg?v=1785100232" TargetMode="External" Id="rId40"/><Relationship Type="http://schemas.openxmlformats.org/officeDocument/2006/relationships/hyperlink" Target="https://cdn.shopify.com/s/files/1/0792/5098/1063/files/16f7293cbefa5743a35b2e6316a5a114e5c052d08151e367dafd26aa5e2e542b.jpg?v=1785100232" TargetMode="External" Id="rId41"/><Relationship Type="http://schemas.openxmlformats.org/officeDocument/2006/relationships/hyperlink" Target="https://cdn.shopify.com/s/files/1/0792/5098/1063/files/16f7293cbefa5743a35b2e6316a5a114e5c052d08151e367dafd26aa5e2e542b.jpg?v=1785100232" TargetMode="External" Id="rId42"/><Relationship Type="http://schemas.openxmlformats.org/officeDocument/2006/relationships/hyperlink" Target="https://cdn.shopify.com/s/files/1/0792/5098/1063/files/16850aa741a5d267737cb2131b33dda45539071a48778438df0f5ebd220e57f0.jpg?v=1785100232" TargetMode="External" Id="rId43"/><Relationship Type="http://schemas.openxmlformats.org/officeDocument/2006/relationships/hyperlink" Target="https://cdn.shopify.com/s/files/1/0792/5098/1063/files/16850aa741a5d267737cb2131b33dda45539071a48778438df0f5ebd220e57f0.jpg?v=1785100232" TargetMode="External" Id="rId44"/><Relationship Type="http://schemas.openxmlformats.org/officeDocument/2006/relationships/hyperlink" Target="https://cdn.shopify.com/s/files/1/0792/5098/1063/files/7c006bddc94d4763c71c8376307e195c1bbce73b8c802ec73ac5a8cef1291262.jpg?v=1785100232" TargetMode="External" Id="rId45"/><Relationship Type="http://schemas.openxmlformats.org/officeDocument/2006/relationships/hyperlink" Target="https://cdn.shopify.com/s/files/1/0792/5098/1063/files/7c006bddc94d4763c71c8376307e195c1bbce73b8c802ec73ac5a8cef1291262.jpg?v=1785100232" TargetMode="External" Id="rId46"/><Relationship Type="http://schemas.openxmlformats.org/officeDocument/2006/relationships/hyperlink" Target="https://cdn.shopify.com/s/files/1/0792/5098/1063/files/e5cad84edb4d7bf77c48fd7c8e52eb3b73f04eba8bf177671fd8a059c59422e8.jpg?v=1785100232" TargetMode="External" Id="rId47"/><Relationship Type="http://schemas.openxmlformats.org/officeDocument/2006/relationships/hyperlink" Target="https://cdn.shopify.com/s/files/1/0792/5098/1063/files/e5cad84edb4d7bf77c48fd7c8e52eb3b73f04eba8bf177671fd8a059c59422e8.jpg?v=1785100232" TargetMode="External" Id="rId48"/><Relationship Type="http://schemas.openxmlformats.org/officeDocument/2006/relationships/hyperlink" Target="https://cdn.shopify.com/s/files/1/0792/5098/1063/files/d9863c62f320177280428dc92d48725c1c06a55d659d366f384fde0c7811382a.jpg?v=1785101218" TargetMode="External" Id="rId49"/><Relationship Type="http://schemas.openxmlformats.org/officeDocument/2006/relationships/hyperlink" Target="https://cdn.shopify.com/s/files/1/0792/5098/1063/files/d9863c62f320177280428dc92d48725c1c06a55d659d366f384fde0c7811382a.jpg?v=1785101218" TargetMode="External" Id="rId50"/><Relationship Type="http://schemas.openxmlformats.org/officeDocument/2006/relationships/hyperlink" Target="https://cdn.shopify.com/s/files/1/0792/5098/1063/files/61d8db4586719dd0e842f190225984c6b6da3b53035d15a131bc2de65a30108d.jpg?v=1785101218" TargetMode="External" Id="rId51"/><Relationship Type="http://schemas.openxmlformats.org/officeDocument/2006/relationships/hyperlink" Target="https://cdn.shopify.com/s/files/1/0792/5098/1063/files/61d8db4586719dd0e842f190225984c6b6da3b53035d15a131bc2de65a30108d.jpg?v=1785101218" TargetMode="External" Id="rId52"/><Relationship Type="http://schemas.openxmlformats.org/officeDocument/2006/relationships/hyperlink" Target="https://cdn.shopify.com/s/files/1/0792/5098/1063/files/16f7293cbefa5743a35b2e6316a5a114e5c052d08151e367dafd26aa5e2e542b_fd7ecc9e-322c-42cb-ad00-501d35fb48d9.jpg?v=1785101218" TargetMode="External" Id="rId53"/><Relationship Type="http://schemas.openxmlformats.org/officeDocument/2006/relationships/hyperlink" Target="https://cdn.shopify.com/s/files/1/0792/5098/1063/files/16f7293cbefa5743a35b2e6316a5a114e5c052d08151e367dafd26aa5e2e542b_fd7ecc9e-322c-42cb-ad00-501d35fb48d9.jpg?v=1785101218" TargetMode="External" Id="rId54"/><Relationship Type="http://schemas.openxmlformats.org/officeDocument/2006/relationships/hyperlink" Target="https://cdn.shopify.com/s/files/1/0792/5098/1063/files/58c340a4c7fe053916f16800187530e654ac14f931a47170b18971d21ebaf1ab.jpg?v=1785101218" TargetMode="External" Id="rId55"/><Relationship Type="http://schemas.openxmlformats.org/officeDocument/2006/relationships/hyperlink" Target="https://cdn.shopify.com/s/files/1/0792/5098/1063/files/58c340a4c7fe053916f16800187530e654ac14f931a47170b18971d21ebaf1ab.jpg?v=1785101218" TargetMode="External" Id="rId56"/><Relationship Type="http://schemas.openxmlformats.org/officeDocument/2006/relationships/hyperlink" Target="https://cdn.shopify.com/s/files/1/0792/5098/1063/files/9eff0d4b8aa047da646b832be864b73d6d5b63aa2e2b5e86db07267662d50290.jpg?v=1785101218" TargetMode="External" Id="rId57"/><Relationship Type="http://schemas.openxmlformats.org/officeDocument/2006/relationships/hyperlink" Target="https://cdn.shopify.com/s/files/1/0792/5098/1063/files/9eff0d4b8aa047da646b832be864b73d6d5b63aa2e2b5e86db07267662d50290.jpg?v=1785101218" TargetMode="External" Id="rId58"/><Relationship Type="http://schemas.openxmlformats.org/officeDocument/2006/relationships/hyperlink" Target="https://cdn.shopify.com/s/files/1/0792/5098/1063/files/7c006bddc94d4763c71c8376307e195c1bbce73b8c802ec73ac5a8cef1291262_450a5325-5d52-4e03-9515-43a2fd35d3ac.jpg?v=1785101218" TargetMode="External" Id="rId59"/><Relationship Type="http://schemas.openxmlformats.org/officeDocument/2006/relationships/hyperlink" Target="https://cdn.shopify.com/s/files/1/0792/5098/1063/files/7c006bddc94d4763c71c8376307e195c1bbce73b8c802ec73ac5a8cef1291262_450a5325-5d52-4e03-9515-43a2fd35d3ac.jpg?v=1785101218" TargetMode="External" Id="rId60"/><Relationship Type="http://schemas.openxmlformats.org/officeDocument/2006/relationships/hyperlink" Target="https://cdn.shopify.com/s/files/1/0792/5098/1063/files/e5cad84edb4d7bf77c48fd7c8e52eb3b73f04eba8bf177671fd8a059c59422e8_c920d1d7-5cd3-4297-af76-4f5b0b234ebb.jpg?v=1785101218" TargetMode="External" Id="rId61"/><Relationship Type="http://schemas.openxmlformats.org/officeDocument/2006/relationships/hyperlink" Target="https://cdn.shopify.com/s/files/1/0792/5098/1063/files/e5cad84edb4d7bf77c48fd7c8e52eb3b73f04eba8bf177671fd8a059c59422e8_c920d1d7-5cd3-4297-af76-4f5b0b234ebb.jpg?v=1785101218" TargetMode="External" Id="rId62"/><Relationship Type="http://schemas.openxmlformats.org/officeDocument/2006/relationships/hyperlink" Target="https://cdn.shopify.com/s/files/1/0792/5098/1063/files/85acb5724b5772636361a6d94be8777f6f2bdb5f3a8e7fa49c6491dff38c06f8.jpg?v=1785102237" TargetMode="External" Id="rId63"/><Relationship Type="http://schemas.openxmlformats.org/officeDocument/2006/relationships/hyperlink" Target="https://cdn.shopify.com/s/files/1/0792/5098/1063/files/85acb5724b5772636361a6d94be8777f6f2bdb5f3a8e7fa49c6491dff38c06f8.jpg?v=1785102237" TargetMode="External" Id="rId64"/><Relationship Type="http://schemas.openxmlformats.org/officeDocument/2006/relationships/hyperlink" Target="https://cdn.shopify.com/s/files/1/0792/5098/1063/files/c0dfbc01cdafe0eb40befa736aca2b23229fa063a0f1bf1806bd204913a26a42.jpg?v=1785102237" TargetMode="External" Id="rId65"/><Relationship Type="http://schemas.openxmlformats.org/officeDocument/2006/relationships/hyperlink" Target="https://cdn.shopify.com/s/files/1/0792/5098/1063/files/c0dfbc01cdafe0eb40befa736aca2b23229fa063a0f1bf1806bd204913a26a42.jpg?v=1785102237" TargetMode="External" Id="rId66"/><Relationship Type="http://schemas.openxmlformats.org/officeDocument/2006/relationships/hyperlink" Target="https://cdn.shopify.com/s/files/1/0792/5098/1063/files/16f7293cbefa5743a35b2e6316a5a114e5c052d08151e367dafd26aa5e2e542b_d875385b-9b7e-444f-ba63-a4c498f71a9c.jpg?v=1785102237" TargetMode="External" Id="rId67"/><Relationship Type="http://schemas.openxmlformats.org/officeDocument/2006/relationships/hyperlink" Target="https://cdn.shopify.com/s/files/1/0792/5098/1063/files/16f7293cbefa5743a35b2e6316a5a114e5c052d08151e367dafd26aa5e2e542b_d875385b-9b7e-444f-ba63-a4c498f71a9c.jpg?v=1785102237" TargetMode="External" Id="rId68"/><Relationship Type="http://schemas.openxmlformats.org/officeDocument/2006/relationships/hyperlink" Target="https://cdn.shopify.com/s/files/1/0792/5098/1063/files/cfd8631dbba8b37733bb37a7a070ce958cbd2a04846a637899b41f22e85eceda.jpg?v=1785102237" TargetMode="External" Id="rId69"/><Relationship Type="http://schemas.openxmlformats.org/officeDocument/2006/relationships/hyperlink" Target="https://cdn.shopify.com/s/files/1/0792/5098/1063/files/cfd8631dbba8b37733bb37a7a070ce958cbd2a04846a637899b41f22e85eceda.jpg?v=1785102237" TargetMode="External" Id="rId70"/><Relationship Type="http://schemas.openxmlformats.org/officeDocument/2006/relationships/hyperlink" Target="https://cdn.shopify.com/s/files/1/0792/5098/1063/files/7c006bddc94d4763c71c8376307e195c1bbce73b8c802ec73ac5a8cef1291262_d779487c-d3b5-4d1b-8bf2-b7c489c617aa.jpg?v=1785102237" TargetMode="External" Id="rId71"/><Relationship Type="http://schemas.openxmlformats.org/officeDocument/2006/relationships/hyperlink" Target="https://cdn.shopify.com/s/files/1/0792/5098/1063/files/7c006bddc94d4763c71c8376307e195c1bbce73b8c802ec73ac5a8cef1291262_d779487c-d3b5-4d1b-8bf2-b7c489c617aa.jpg?v=1785102237" TargetMode="External" Id="rId72"/><Relationship Type="http://schemas.openxmlformats.org/officeDocument/2006/relationships/hyperlink" Target="https://cdn.shopify.com/s/files/1/0792/5098/1063/files/e5cad84edb4d7bf77c48fd7c8e52eb3b73f04eba8bf177671fd8a059c59422e8_018a15cb-bcc1-4002-a0d8-af67e3fb30ea.jpg?v=1785102237" TargetMode="External" Id="rId73"/><Relationship Type="http://schemas.openxmlformats.org/officeDocument/2006/relationships/hyperlink" Target="https://cdn.shopify.com/s/files/1/0792/5098/1063/files/e5cad84edb4d7bf77c48fd7c8e52eb3b73f04eba8bf177671fd8a059c59422e8_018a15cb-bcc1-4002-a0d8-af67e3fb30ea.jpg?v=1785102237" TargetMode="External" Id="rId74"/><Relationship Type="http://schemas.openxmlformats.org/officeDocument/2006/relationships/hyperlink" Target="https://cdn.shopify.com/s/files/1/0792/5098/1063/files/d35464e29b296878cbbb36fb22ace55bea2b0208c40de42a7bbeeecd1911b275.jpg?v=1786611029" TargetMode="External" Id="rId75"/><Relationship Type="http://schemas.openxmlformats.org/officeDocument/2006/relationships/hyperlink" Target="https://cdn.shopify.com/s/files/1/0792/5098/1063/files/d35464e29b296878cbbb36fb22ace55bea2b0208c40de42a7bbeeecd1911b275.jpg?v=1786611029" TargetMode="External" Id="rId76"/><Relationship Type="http://schemas.openxmlformats.org/officeDocument/2006/relationships/hyperlink" Target="https://cdn.shopify.com/s/files/1/0792/5098/1063/files/5c13d611a7a454c1ca63d112fc1075b3b0768874d5d6172aeaf1cd08cc696830.jpg?v=1786611029" TargetMode="External" Id="rId77"/><Relationship Type="http://schemas.openxmlformats.org/officeDocument/2006/relationships/hyperlink" Target="https://cdn.shopify.com/s/files/1/0792/5098/1063/files/5c13d611a7a454c1ca63d112fc1075b3b0768874d5d6172aeaf1cd08cc696830.jpg?v=1786611029" TargetMode="External" Id="rId78"/><Relationship Type="http://schemas.openxmlformats.org/officeDocument/2006/relationships/hyperlink" Target="https://cdn.shopify.com/s/files/1/0792/5098/1063/files/305d9f6d5446ecb591f3359b103d707a8238d268ede646541022deebd4e546fe.jpg?v=1786611030" TargetMode="External" Id="rId79"/><Relationship Type="http://schemas.openxmlformats.org/officeDocument/2006/relationships/hyperlink" Target="https://cdn.shopify.com/s/files/1/0792/5098/1063/files/305d9f6d5446ecb591f3359b103d707a8238d268ede646541022deebd4e546fe.jpg?v=1786611030" TargetMode="External" Id="rId80"/><Relationship Type="http://schemas.openxmlformats.org/officeDocument/2006/relationships/hyperlink" Target="https://cdn.shopify.com/s/files/1/0792/5098/1063/files/0b1d1e19cab6d757366a36700f895ecca060303e705a8aece2f5fa486b6770da_95997922-66a7-46d6-9ca4-1f9633c6e408.jpg?v=1786611029" TargetMode="External" Id="rId81"/><Relationship Type="http://schemas.openxmlformats.org/officeDocument/2006/relationships/hyperlink" Target="https://cdn.shopify.com/s/files/1/0792/5098/1063/files/0b1d1e19cab6d757366a36700f895ecca060303e705a8aece2f5fa486b6770da_95997922-66a7-46d6-9ca4-1f9633c6e408.jpg?v=1786611029" TargetMode="External" Id="rId82"/><Relationship Type="http://schemas.openxmlformats.org/officeDocument/2006/relationships/hyperlink" Target="https://cdn.shopify.com/s/files/1/0792/5098/1063/files/f929fadf46a0d640608e2094534af14a00f4d3c4741a2c49c81555cb9fad12c6.jpg?v=1786611029" TargetMode="External" Id="rId83"/><Relationship Type="http://schemas.openxmlformats.org/officeDocument/2006/relationships/hyperlink" Target="https://cdn.shopify.com/s/files/1/0792/5098/1063/files/f929fadf46a0d640608e2094534af14a00f4d3c4741a2c49c81555cb9fad12c6.jpg?v=1786611029" TargetMode="External" Id="rId84"/><Relationship Type="http://schemas.openxmlformats.org/officeDocument/2006/relationships/hyperlink" Target="https://cdn.shopify.com/s/files/1/0792/5098/1063/files/b550cf71c201b6bc1ae5a8c7738600f1e28884333df72f355ce05d68e3cc01af.jpg?v=1786611030" TargetMode="External" Id="rId85"/><Relationship Type="http://schemas.openxmlformats.org/officeDocument/2006/relationships/hyperlink" Target="https://cdn.shopify.com/s/files/1/0792/5098/1063/files/b550cf71c201b6bc1ae5a8c7738600f1e28884333df72f355ce05d68e3cc01af.jpg?v=1786611030" TargetMode="External" Id="rId86"/><Relationship Type="http://schemas.openxmlformats.org/officeDocument/2006/relationships/hyperlink" Target="https://cdn.shopify.com/s/files/1/0792/5098/1063/files/dd6b2f75d5d331064be3e2ace151f6872c3f1f67675d8c1c7fa00f207341180b_b741a6ef-7c5a-4b13-9c59-910a83594693.jpg?v=1786611029" TargetMode="External" Id="rId87"/><Relationship Type="http://schemas.openxmlformats.org/officeDocument/2006/relationships/hyperlink" Target="https://cdn.shopify.com/s/files/1/0792/5098/1063/files/dd6b2f75d5d331064be3e2ace151f6872c3f1f67675d8c1c7fa00f207341180b_b741a6ef-7c5a-4b13-9c59-910a83594693.jpg?v=1786611029" TargetMode="External" Id="rId88"/><Relationship Type="http://schemas.openxmlformats.org/officeDocument/2006/relationships/hyperlink" Target="https://cdn.shopify.com/s/files/1/0792/5098/1063/files/ca0ded50205c9a145d2201f8702c3925419b376696554b3229114fd05d7f556d.jpg?v=1786596390" TargetMode="External" Id="rId89"/><Relationship Type="http://schemas.openxmlformats.org/officeDocument/2006/relationships/hyperlink" Target="https://cdn.shopify.com/s/files/1/0792/5098/1063/files/ca0ded50205c9a145d2201f8702c3925419b376696554b3229114fd05d7f556d.jpg?v=1786596390" TargetMode="External" Id="rId90"/><Relationship Type="http://schemas.openxmlformats.org/officeDocument/2006/relationships/hyperlink" Target="https://cdn.shopify.com/s/files/1/0792/5098/1063/files/80a6fe654ac1fd0d679f932fd6067e5bde2cb91ce33c5fadb6590c3f842d156a.jpg?v=1786596390" TargetMode="External" Id="rId91"/><Relationship Type="http://schemas.openxmlformats.org/officeDocument/2006/relationships/hyperlink" Target="https://cdn.shopify.com/s/files/1/0792/5098/1063/files/80a6fe654ac1fd0d679f932fd6067e5bde2cb91ce33c5fadb6590c3f842d156a.jpg?v=1786596390" TargetMode="External" Id="rId92"/><Relationship Type="http://schemas.openxmlformats.org/officeDocument/2006/relationships/hyperlink" Target="https://cdn.shopify.com/s/files/1/0792/5098/1063/files/f23712d7b45dec2b94f15c30d2fa3486112c05fbd70bdfda484d54f70ee1e6bf.jpg?v=1786596390" TargetMode="External" Id="rId93"/><Relationship Type="http://schemas.openxmlformats.org/officeDocument/2006/relationships/hyperlink" Target="https://cdn.shopify.com/s/files/1/0792/5098/1063/files/f23712d7b45dec2b94f15c30d2fa3486112c05fbd70bdfda484d54f70ee1e6bf.jpg?v=1786596390" TargetMode="External" Id="rId94"/><Relationship Type="http://schemas.openxmlformats.org/officeDocument/2006/relationships/hyperlink" Target="https://cdn.shopify.com/s/files/1/0792/5098/1063/files/aa0fb14729de0642d8b581503e1c38b21e77beae9c61492c06a15d3a0805eee2.jpg?v=1786596390" TargetMode="External" Id="rId95"/><Relationship Type="http://schemas.openxmlformats.org/officeDocument/2006/relationships/hyperlink" Target="https://cdn.shopify.com/s/files/1/0792/5098/1063/files/aa0fb14729de0642d8b581503e1c38b21e77beae9c61492c06a15d3a0805eee2.jpg?v=1786596390" TargetMode="External" Id="rId96"/><Relationship Type="http://schemas.openxmlformats.org/officeDocument/2006/relationships/hyperlink" Target="https://cdn.shopify.com/s/files/1/0792/5098/1063/files/a9a28aa5c708b74c165ad7668f47cc1b4810f4702f4e01ce8815cf327e772b00.jpg?v=1786596390" TargetMode="External" Id="rId97"/><Relationship Type="http://schemas.openxmlformats.org/officeDocument/2006/relationships/hyperlink" Target="https://cdn.shopify.com/s/files/1/0792/5098/1063/files/a9a28aa5c708b74c165ad7668f47cc1b4810f4702f4e01ce8815cf327e772b00.jpg?v=1786596390" TargetMode="External" Id="rId98"/><Relationship Type="http://schemas.openxmlformats.org/officeDocument/2006/relationships/hyperlink" Target="https://cdn.shopify.com/s/files/1/0792/5098/1063/files/285b6bd3be97a6153eb89be847ece0ce42f792c7cb6e517a5610455d08a06a3d.jpg?v=1786596390" TargetMode="External" Id="rId99"/><Relationship Type="http://schemas.openxmlformats.org/officeDocument/2006/relationships/hyperlink" Target="https://cdn.shopify.com/s/files/1/0792/5098/1063/files/285b6bd3be97a6153eb89be847ece0ce42f792c7cb6e517a5610455d08a06a3d.jpg?v=1786596390" TargetMode="External" Id="rId100"/><Relationship Type="http://schemas.openxmlformats.org/officeDocument/2006/relationships/hyperlink" Target="https://cdn.shopify.com/s/files/1/0792/5098/1063/files/0034d6b12cf17e1793b02da85790523798dba39dbef288520c79a50a77d88f07.jpg?v=1786596390" TargetMode="External" Id="rId101"/><Relationship Type="http://schemas.openxmlformats.org/officeDocument/2006/relationships/hyperlink" Target="https://cdn.shopify.com/s/files/1/0792/5098/1063/files/0034d6b12cf17e1793b02da85790523798dba39dbef288520c79a50a77d88f07.jpg?v=1786596390" TargetMode="External" Id="rId102"/><Relationship Type="http://schemas.openxmlformats.org/officeDocument/2006/relationships/hyperlink" Target="https://cdn.shopify.com/s/files/1/0792/5098/1063/files/9403508b5040ee28c8d43fb735db4f5989bf15bbb634400e6533a6dab27fa9a7.jpg?v=1786596390" TargetMode="External" Id="rId103"/><Relationship Type="http://schemas.openxmlformats.org/officeDocument/2006/relationships/hyperlink" Target="https://cdn.shopify.com/s/files/1/0792/5098/1063/files/9403508b5040ee28c8d43fb735db4f5989bf15bbb634400e6533a6dab27fa9a7.jpg?v=1786596390" TargetMode="External" Id="rId104"/><Relationship Type="http://schemas.openxmlformats.org/officeDocument/2006/relationships/hyperlink" Target="https://cdn.shopify.com/s/files/1/0792/5098/1063/files/ca732fd8d27565286eaf2f57c03ca596ce5115d12132affdc946fc6b1f38811c.jpg?v=1786596418" TargetMode="External" Id="rId105"/><Relationship Type="http://schemas.openxmlformats.org/officeDocument/2006/relationships/hyperlink" Target="https://cdn.shopify.com/s/files/1/0792/5098/1063/files/ca732fd8d27565286eaf2f57c03ca596ce5115d12132affdc946fc6b1f38811c.jpg?v=1786596418" TargetMode="External" Id="rId106"/><Relationship Type="http://schemas.openxmlformats.org/officeDocument/2006/relationships/hyperlink" Target="https://cdn.shopify.com/s/files/1/0792/5098/1063/files/7b3098eaf37ea8329d622f5a92937af7ed0d7632b755bcb71057092a63cdb27f.jpg?v=1786596418" TargetMode="External" Id="rId107"/><Relationship Type="http://schemas.openxmlformats.org/officeDocument/2006/relationships/hyperlink" Target="https://cdn.shopify.com/s/files/1/0792/5098/1063/files/7b3098eaf37ea8329d622f5a92937af7ed0d7632b755bcb71057092a63cdb27f.jpg?v=1786596418" TargetMode="External" Id="rId108"/><Relationship Type="http://schemas.openxmlformats.org/officeDocument/2006/relationships/hyperlink" Target="https://cdn.shopify.com/s/files/1/0792/5098/1063/files/fbcbc85b3a3729134094bd41db6f0905e61a1bc8a8d454199f570d3062962855.jpg?v=1786596418" TargetMode="External" Id="rId109"/><Relationship Type="http://schemas.openxmlformats.org/officeDocument/2006/relationships/hyperlink" Target="https://cdn.shopify.com/s/files/1/0792/5098/1063/files/fbcbc85b3a3729134094bd41db6f0905e61a1bc8a8d454199f570d3062962855.jpg?v=1786596418" TargetMode="External" Id="rId110"/><Relationship Type="http://schemas.openxmlformats.org/officeDocument/2006/relationships/hyperlink" Target="https://cdn.shopify.com/s/files/1/0792/5098/1063/files/512b4558aee5a32e09b1e2449d22e36b2fe040840fccd2c3c21687b528773e68.jpg?v=1786596418" TargetMode="External" Id="rId111"/><Relationship Type="http://schemas.openxmlformats.org/officeDocument/2006/relationships/hyperlink" Target="https://cdn.shopify.com/s/files/1/0792/5098/1063/files/512b4558aee5a32e09b1e2449d22e36b2fe040840fccd2c3c21687b528773e68.jpg?v=1786596418" TargetMode="External" Id="rId112"/><Relationship Type="http://schemas.openxmlformats.org/officeDocument/2006/relationships/hyperlink" Target="https://cdn.shopify.com/s/files/1/0792/5098/1063/files/b3a9a66345c23eccfd8834f8002e8c40483742785f9eddc55a8354957d702704.jpg?v=1786596418" TargetMode="External" Id="rId113"/><Relationship Type="http://schemas.openxmlformats.org/officeDocument/2006/relationships/hyperlink" Target="https://cdn.shopify.com/s/files/1/0792/5098/1063/files/b3a9a66345c23eccfd8834f8002e8c40483742785f9eddc55a8354957d702704.jpg?v=1786596418" TargetMode="External" Id="rId114"/><Relationship Type="http://schemas.openxmlformats.org/officeDocument/2006/relationships/hyperlink" Target="https://cdn.shopify.com/s/files/1/0792/5098/1063/files/50ff019239f1a64177123a86746d67bcc01e8fb4b322a28e006f292c7ef91fe0.jpg?v=1786596418" TargetMode="External" Id="rId115"/><Relationship Type="http://schemas.openxmlformats.org/officeDocument/2006/relationships/hyperlink" Target="https://cdn.shopify.com/s/files/1/0792/5098/1063/files/50ff019239f1a64177123a86746d67bcc01e8fb4b322a28e006f292c7ef91fe0.jpg?v=1786596418" TargetMode="External" Id="rId116"/><Relationship Type="http://schemas.openxmlformats.org/officeDocument/2006/relationships/hyperlink" Target="https://cdn.shopify.com/s/files/1/0792/5098/1063/files/6aa6a5744e86ef9d65f09b452bdc9681949751608dadd0f24069c4b9569c8ac2.jpg?v=1786596418" TargetMode="External" Id="rId117"/><Relationship Type="http://schemas.openxmlformats.org/officeDocument/2006/relationships/hyperlink" Target="https://cdn.shopify.com/s/files/1/0792/5098/1063/files/6aa6a5744e86ef9d65f09b452bdc9681949751608dadd0f24069c4b9569c8ac2.jpg?v=1786596418" TargetMode="External" Id="rId118"/><Relationship Type="http://schemas.openxmlformats.org/officeDocument/2006/relationships/hyperlink" Target="https://cdn.shopify.com/s/files/1/0792/5098/1063/files/336a959a6ecc540d97e2051cadb9ddd839525abd68c8a3b01ee915d3cff8d417.jpg?v=1786596418" TargetMode="External" Id="rId119"/><Relationship Type="http://schemas.openxmlformats.org/officeDocument/2006/relationships/hyperlink" Target="https://cdn.shopify.com/s/files/1/0792/5098/1063/files/336a959a6ecc540d97e2051cadb9ddd839525abd68c8a3b01ee915d3cff8d417.jpg?v=1786596418" TargetMode="External" Id="rId120"/><Relationship Type="http://schemas.openxmlformats.org/officeDocument/2006/relationships/hyperlink" Target="https://cdn.shopify.com/s/files/1/0792/5098/1063/files/8c730c56d1cdd403f4b3618bba2cacbea0584ee093d7a82a09bee469930db8bb.jpg?v=1786596418" TargetMode="External" Id="rId121"/><Relationship Type="http://schemas.openxmlformats.org/officeDocument/2006/relationships/hyperlink" Target="https://cdn.shopify.com/s/files/1/0792/5098/1063/files/8c730c56d1cdd403f4b3618bba2cacbea0584ee093d7a82a09bee469930db8bb.jpg?v=1786596418" TargetMode="External" Id="rId122"/><Relationship Type="http://schemas.openxmlformats.org/officeDocument/2006/relationships/hyperlink" Target="https://cdn.shopify.com/s/files/1/0792/5098/1063/files/143b457addd31dc5e16ebd8462161a8aad9a35ce89418e7c0d0f481e265af473.jpg?v=1786596522" TargetMode="External" Id="rId123"/><Relationship Type="http://schemas.openxmlformats.org/officeDocument/2006/relationships/hyperlink" Target="https://cdn.shopify.com/s/files/1/0792/5098/1063/files/143b457addd31dc5e16ebd8462161a8aad9a35ce89418e7c0d0f481e265af473.jpg?v=1786596522" TargetMode="External" Id="rId124"/><Relationship Type="http://schemas.openxmlformats.org/officeDocument/2006/relationships/hyperlink" Target="https://cdn.shopify.com/s/files/1/0792/5098/1063/files/20a018d5e713896cae3fe7d6444d7fdf68a079d9c68a99b642a2ae657f919ad5.jpg?v=1786596522" TargetMode="External" Id="rId125"/><Relationship Type="http://schemas.openxmlformats.org/officeDocument/2006/relationships/hyperlink" Target="https://cdn.shopify.com/s/files/1/0792/5098/1063/files/20a018d5e713896cae3fe7d6444d7fdf68a079d9c68a99b642a2ae657f919ad5.jpg?v=1786596522" TargetMode="External" Id="rId126"/><Relationship Type="http://schemas.openxmlformats.org/officeDocument/2006/relationships/hyperlink" Target="https://cdn.shopify.com/s/files/1/0792/5098/1063/files/df6b604a69052443f268bd46d27c069c387d18ce5dc21f3706f2caf677b135f6.jpg?v=1786596522" TargetMode="External" Id="rId127"/><Relationship Type="http://schemas.openxmlformats.org/officeDocument/2006/relationships/hyperlink" Target="https://cdn.shopify.com/s/files/1/0792/5098/1063/files/df6b604a69052443f268bd46d27c069c387d18ce5dc21f3706f2caf677b135f6.jpg?v=1786596522" TargetMode="External" Id="rId128"/><Relationship Type="http://schemas.openxmlformats.org/officeDocument/2006/relationships/hyperlink" Target="https://cdn.shopify.com/s/files/1/0792/5098/1063/files/cdb8ba2bd17cab5d2811132ba45505b9e7841a8f6703b99cf8224abe7040eeb2.jpg?v=1786596522" TargetMode="External" Id="rId129"/><Relationship Type="http://schemas.openxmlformats.org/officeDocument/2006/relationships/hyperlink" Target="https://cdn.shopify.com/s/files/1/0792/5098/1063/files/cdb8ba2bd17cab5d2811132ba45505b9e7841a8f6703b99cf8224abe7040eeb2.jpg?v=1786596522" TargetMode="External" Id="rId130"/><Relationship Type="http://schemas.openxmlformats.org/officeDocument/2006/relationships/hyperlink" Target="https://cdn.shopify.com/s/files/1/0792/5098/1063/files/88ace5f764abb2a05af6d52671841238ce3c8443fd2cc317be3d749473fa7373.jpg?v=1786596522" TargetMode="External" Id="rId131"/><Relationship Type="http://schemas.openxmlformats.org/officeDocument/2006/relationships/hyperlink" Target="https://cdn.shopify.com/s/files/1/0792/5098/1063/files/88ace5f764abb2a05af6d52671841238ce3c8443fd2cc317be3d749473fa7373.jpg?v=1786596522" TargetMode="External" Id="rId132"/><Relationship Type="http://schemas.openxmlformats.org/officeDocument/2006/relationships/hyperlink" Target="https://cdn.shopify.com/s/files/1/0792/5098/1063/files/64e525dfae4ea5f287649a30dc9c89851009da3bf55237c532910646610066e4.jpg?v=1786596523" TargetMode="External" Id="rId133"/><Relationship Type="http://schemas.openxmlformats.org/officeDocument/2006/relationships/hyperlink" Target="https://cdn.shopify.com/s/files/1/0792/5098/1063/files/64e525dfae4ea5f287649a30dc9c89851009da3bf55237c532910646610066e4.jpg?v=1786596523" TargetMode="External" Id="rId134"/><Relationship Type="http://schemas.openxmlformats.org/officeDocument/2006/relationships/hyperlink" Target="https://cdn.shopify.com/s/files/1/0792/5098/1063/files/f64fb2cf3c2ebbf14c492d4417a795731e9399610b9e9d01249dbc39bd21df20.jpg?v=1786596522" TargetMode="External" Id="rId135"/><Relationship Type="http://schemas.openxmlformats.org/officeDocument/2006/relationships/hyperlink" Target="https://cdn.shopify.com/s/files/1/0792/5098/1063/files/f64fb2cf3c2ebbf14c492d4417a795731e9399610b9e9d01249dbc39bd21df20.jpg?v=1786596522" TargetMode="External" Id="rId136"/><Relationship Type="http://schemas.openxmlformats.org/officeDocument/2006/relationships/hyperlink" Target="https://cdn.shopify.com/s/files/1/0792/5098/1063/files/74a272eaaad0da49c193041e6c07b8b7a72bb2e73361d568c3f2fcaeb910c281.jpg?v=1786596522" TargetMode="External" Id="rId137"/><Relationship Type="http://schemas.openxmlformats.org/officeDocument/2006/relationships/hyperlink" Target="https://cdn.shopify.com/s/files/1/0792/5098/1063/files/74a272eaaad0da49c193041e6c07b8b7a72bb2e73361d568c3f2fcaeb910c281.jpg?v=1786596522" TargetMode="External" Id="rId13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D:\Shopify_Workspace\jeminise_seo\resutls\jeminise.com\20260906_234129\revisions\qa_batch_008_r4\SEO_Product_Optimization_qa_batch_008_r4.xlsx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46E2312BE9475A3CEE7A4D3684EF021B24046B1DACCA49672D084B104D97CEC0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20260909_121051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qa_batch_008_r4</t>
        </is>
      </c>
      <c r="C6" s="2" t="inlineStr">
        <is>
          <t>Inventory positions 71-80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69/69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{"MINOR": 10, 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71</v>
      </c>
      <c r="B2" s="2" t="inlineStr">
        <is>
          <t>jeminise.com+custom-football-player-running-with-ball-comforter-c9c2aecff2-c9c2aecff2</t>
        </is>
      </c>
      <c r="C2" s="4" t="inlineStr">
        <is>
          <t>https://jeminise.com/products/custom-football-player-running-with-ball-comforter-c9c2aecff2-c9c2aecff2</t>
        </is>
      </c>
      <c r="D2" s="2" t="inlineStr">
        <is>
          <t>r4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6</v>
      </c>
      <c r="M2" s="2" t="n">
        <v>6</v>
      </c>
      <c r="N2" s="2" t="b">
        <v>1</v>
      </c>
      <c r="O2" s="6" t="n">
        <v>1</v>
      </c>
      <c r="P2" s="2">
        <f>COUNTIFS('QA_Issues'!$B$2:$B$12,B2,'QA_Issues'!$D$2:$D$12,"CRITICAL")</f>
        <v/>
      </c>
      <c r="Q2" s="2">
        <f>COUNTIFS('QA_Issues'!$B$2:$B$12,B2,'QA_Issues'!$D$2:$D$12,"MAJOR")</f>
        <v/>
      </c>
      <c r="R2" s="2">
        <f>COUNTIFS('QA_Issues'!$B$2:$B$12,B2,'QA_Issues'!$D$2:$D$12,"MINOR")</f>
        <v/>
      </c>
      <c r="S2" s="2">
        <f>COUNTIFS('QA_Issues'!$B$2:$B$12,B2,'QA_Issues'!$D$2:$D$12,"LIMITATION")</f>
        <v/>
      </c>
      <c r="T2" s="2" t="inlineStr">
        <is>
          <t>["B08R4-MIN-001"]</t>
        </is>
      </c>
      <c r="U2" s="2" t="inlineStr">
        <is>
          <t>["evidence_batch_008_071", "https://jeminise.com/products/custom-football-player-running-with-ball-comforter-c9c2aecff2-c9c2aecff2", "serp_qa_batch_008_r4_071_1", "live_pages", "customizer_fields_audit.json"]</t>
        </is>
      </c>
    </row>
    <row r="3" ht="42" customHeight="1">
      <c r="A3" s="3" t="n">
        <v>72</v>
      </c>
      <c r="B3" s="3" t="inlineStr">
        <is>
          <t>jeminise.com+custom-football-player-running-with-ball-comforter-9fe5294804-9fe5294804</t>
        </is>
      </c>
      <c r="C3" s="4" t="inlineStr">
        <is>
          <t>https://jeminise.com/products/custom-football-player-running-with-ball-comforter-9fe5294804-9fe5294804</t>
        </is>
      </c>
      <c r="D3" s="3" t="inlineStr">
        <is>
          <t>r4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6</v>
      </c>
      <c r="M3" s="3" t="n">
        <v>6</v>
      </c>
      <c r="N3" s="3" t="b">
        <v>1</v>
      </c>
      <c r="O3" s="8" t="n">
        <v>1</v>
      </c>
      <c r="P3" s="3">
        <f>COUNTIFS('QA_Issues'!$B$2:$B$12,B3,'QA_Issues'!$D$2:$D$12,"CRITICAL")</f>
        <v/>
      </c>
      <c r="Q3" s="3">
        <f>COUNTIFS('QA_Issues'!$B$2:$B$12,B3,'QA_Issues'!$D$2:$D$12,"MAJOR")</f>
        <v/>
      </c>
      <c r="R3" s="3">
        <f>COUNTIFS('QA_Issues'!$B$2:$B$12,B3,'QA_Issues'!$D$2:$D$12,"MINOR")</f>
        <v/>
      </c>
      <c r="S3" s="3">
        <f>COUNTIFS('QA_Issues'!$B$2:$B$12,B3,'QA_Issues'!$D$2:$D$12,"LIMITATION")</f>
        <v/>
      </c>
      <c r="T3" s="3" t="inlineStr">
        <is>
          <t>["B08R4-MIN-002"]</t>
        </is>
      </c>
      <c r="U3" s="3" t="inlineStr">
        <is>
          <t>["evidence_batch_008_072", "https://jeminise.com/products/custom-football-player-running-with-ball-comforter-9fe5294804-9fe5294804", "serp_qa_batch_008_r4_072_1", "live_pages", "customizer_fields_audit.json"]</t>
        </is>
      </c>
    </row>
    <row r="4" ht="42" customHeight="1">
      <c r="A4" s="2" t="n">
        <v>73</v>
      </c>
      <c r="B4" s="2" t="inlineStr">
        <is>
          <t>jeminise.com+custom-football-player-with-american-flag-background-comforter-44d8108598-44d8108598</t>
        </is>
      </c>
      <c r="C4" s="4" t="inlineStr">
        <is>
          <t>https://jeminise.com/products/custom-football-player-with-american-flag-background-comforter-44d8108598-44d8108598</t>
        </is>
      </c>
      <c r="D4" s="2" t="inlineStr">
        <is>
          <t>r4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6</v>
      </c>
      <c r="M4" s="2" t="n">
        <v>6</v>
      </c>
      <c r="N4" s="2" t="b">
        <v>1</v>
      </c>
      <c r="O4" s="6" t="n">
        <v>1</v>
      </c>
      <c r="P4" s="2">
        <f>COUNTIFS('QA_Issues'!$B$2:$B$12,B4,'QA_Issues'!$D$2:$D$12,"CRITICAL")</f>
        <v/>
      </c>
      <c r="Q4" s="2">
        <f>COUNTIFS('QA_Issues'!$B$2:$B$12,B4,'QA_Issues'!$D$2:$D$12,"MAJOR")</f>
        <v/>
      </c>
      <c r="R4" s="2">
        <f>COUNTIFS('QA_Issues'!$B$2:$B$12,B4,'QA_Issues'!$D$2:$D$12,"MINOR")</f>
        <v/>
      </c>
      <c r="S4" s="2">
        <f>COUNTIFS('QA_Issues'!$B$2:$B$12,B4,'QA_Issues'!$D$2:$D$12,"LIMITATION")</f>
        <v/>
      </c>
      <c r="T4" s="2" t="inlineStr">
        <is>
          <t>["B08R4-MIN-003"]</t>
        </is>
      </c>
      <c r="U4" s="2" t="inlineStr">
        <is>
          <t>["evidence_batch_008_073", "https://jeminise.com/products/custom-football-player-with-american-flag-background-comforter-44d8108598-44d8108598", "serp_qa_batch_008_r4_073_1", "live_pages", "customizer_fields_audit.json"]</t>
        </is>
      </c>
    </row>
    <row r="5" ht="42" customHeight="1">
      <c r="A5" s="3" t="n">
        <v>74</v>
      </c>
      <c r="B5" s="3" t="inlineStr">
        <is>
          <t>jeminise.com+custom-football-player-with-burning-ball-comforter-and-american-football-708344de4c-708344de4c</t>
        </is>
      </c>
      <c r="C5" s="4" t="inlineStr">
        <is>
          <t>https://jeminise.com/products/custom-football-player-with-burning-ball-comforter-and-american-football-708344de4c-708344de4c</t>
        </is>
      </c>
      <c r="D5" s="3" t="inlineStr">
        <is>
          <t>r4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6</v>
      </c>
      <c r="M5" s="3" t="n">
        <v>6</v>
      </c>
      <c r="N5" s="3" t="b">
        <v>1</v>
      </c>
      <c r="O5" s="8" t="n">
        <v>1</v>
      </c>
      <c r="P5" s="3">
        <f>COUNTIFS('QA_Issues'!$B$2:$B$12,B5,'QA_Issues'!$D$2:$D$12,"CRITICAL")</f>
        <v/>
      </c>
      <c r="Q5" s="3">
        <f>COUNTIFS('QA_Issues'!$B$2:$B$12,B5,'QA_Issues'!$D$2:$D$12,"MAJOR")</f>
        <v/>
      </c>
      <c r="R5" s="3">
        <f>COUNTIFS('QA_Issues'!$B$2:$B$12,B5,'QA_Issues'!$D$2:$D$12,"MINOR")</f>
        <v/>
      </c>
      <c r="S5" s="3">
        <f>COUNTIFS('QA_Issues'!$B$2:$B$12,B5,'QA_Issues'!$D$2:$D$12,"LIMITATION")</f>
        <v/>
      </c>
      <c r="T5" s="3" t="inlineStr">
        <is>
          <t>["B08R4-MIN-004"]</t>
        </is>
      </c>
      <c r="U5" s="3" t="inlineStr">
        <is>
          <t>["evidence_batch_008_074", "https://jeminise.com/products/custom-football-player-with-burning-ball-comforter-and-american-football-708344de4c-708344de4c", "serp_qa_batch_008_r4_074_1", "live_pages", "customizer_fields_audit.json"]</t>
        </is>
      </c>
    </row>
    <row r="6" ht="42" customHeight="1">
      <c r="A6" s="2" t="n">
        <v>75</v>
      </c>
      <c r="B6" s="2" t="inlineStr">
        <is>
          <t>jeminise.com+custom-football-players-and-large-football-close-comforter-01d72ea6a0-01d72ea6a0</t>
        </is>
      </c>
      <c r="C6" s="4" t="inlineStr">
        <is>
          <t>https://jeminise.com/products/custom-football-players-and-large-football-close-comforter-01d72ea6a0-01d72ea6a0</t>
        </is>
      </c>
      <c r="D6" s="2" t="inlineStr">
        <is>
          <t>r4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7</v>
      </c>
      <c r="M6" s="2" t="n">
        <v>7</v>
      </c>
      <c r="N6" s="2" t="b">
        <v>1</v>
      </c>
      <c r="O6" s="6" t="n">
        <v>1</v>
      </c>
      <c r="P6" s="2">
        <f>COUNTIFS('QA_Issues'!$B$2:$B$12,B6,'QA_Issues'!$D$2:$D$12,"CRITICAL")</f>
        <v/>
      </c>
      <c r="Q6" s="2">
        <f>COUNTIFS('QA_Issues'!$B$2:$B$12,B6,'QA_Issues'!$D$2:$D$12,"MAJOR")</f>
        <v/>
      </c>
      <c r="R6" s="2">
        <f>COUNTIFS('QA_Issues'!$B$2:$B$12,B6,'QA_Issues'!$D$2:$D$12,"MINOR")</f>
        <v/>
      </c>
      <c r="S6" s="2">
        <f>COUNTIFS('QA_Issues'!$B$2:$B$12,B6,'QA_Issues'!$D$2:$D$12,"LIMITATION")</f>
        <v/>
      </c>
      <c r="T6" s="2" t="inlineStr">
        <is>
          <t>["B08R4-MIN-005"]</t>
        </is>
      </c>
      <c r="U6" s="2" t="inlineStr">
        <is>
          <t>["evidence_batch_008_075", "https://jeminise.com/products/custom-football-players-and-large-football-close-comforter-01d72ea6a0-01d72ea6a0", "serp_qa_batch_008_r4_075_1", "live_pages", "customizer_fields_audit.json"]</t>
        </is>
      </c>
    </row>
    <row r="7" ht="42" customHeight="1">
      <c r="A7" s="3" t="n">
        <v>76</v>
      </c>
      <c r="B7" s="3" t="inlineStr">
        <is>
          <t>jeminise.com+custom-football-texture-with-prominent-laces-vintage-comforter-9be594b786-9be594b786</t>
        </is>
      </c>
      <c r="C7" s="4" t="inlineStr">
        <is>
          <t>https://jeminise.com/products/custom-football-texture-with-prominent-laces-vintage-comforter-9be594b786-9be594b786</t>
        </is>
      </c>
      <c r="D7" s="3" t="inlineStr">
        <is>
          <t>r4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6</v>
      </c>
      <c r="M7" s="3" t="n">
        <v>6</v>
      </c>
      <c r="N7" s="3" t="b">
        <v>1</v>
      </c>
      <c r="O7" s="8" t="n">
        <v>1</v>
      </c>
      <c r="P7" s="3">
        <f>COUNTIFS('QA_Issues'!$B$2:$B$12,B7,'QA_Issues'!$D$2:$D$12,"CRITICAL")</f>
        <v/>
      </c>
      <c r="Q7" s="3">
        <f>COUNTIFS('QA_Issues'!$B$2:$B$12,B7,'QA_Issues'!$D$2:$D$12,"MAJOR")</f>
        <v/>
      </c>
      <c r="R7" s="3">
        <f>COUNTIFS('QA_Issues'!$B$2:$B$12,B7,'QA_Issues'!$D$2:$D$12,"MINOR")</f>
        <v/>
      </c>
      <c r="S7" s="3">
        <f>COUNTIFS('QA_Issues'!$B$2:$B$12,B7,'QA_Issues'!$D$2:$D$12,"LIMITATION")</f>
        <v/>
      </c>
      <c r="T7" s="3" t="inlineStr">
        <is>
          <t>["B08R4-MIN-006"]</t>
        </is>
      </c>
      <c r="U7" s="3" t="inlineStr">
        <is>
          <t>["evidence_batch_008_076", "https://jeminise.com/products/custom-football-texture-with-prominent-laces-vintage-comforter-9be594b786-9be594b786", "serp_qa_batch_008_r4_076_1", "live_pages", "customizer_fields_audit.json"]</t>
        </is>
      </c>
    </row>
    <row r="8" ht="42" customHeight="1">
      <c r="A8" s="2" t="n">
        <v>77</v>
      </c>
      <c r="B8" s="2" t="inlineStr">
        <is>
          <t>jeminise.com+custom-glowing-soccer-ball-trails-comforter-set-machine-washable-a6</t>
        </is>
      </c>
      <c r="C8" s="4" t="inlineStr">
        <is>
          <t>https://jeminise.com/products/custom-glowing-soccer-ball-trails-comforter-set-machine-washable-a6</t>
        </is>
      </c>
      <c r="D8" s="2" t="inlineStr">
        <is>
          <t>r4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7</v>
      </c>
      <c r="M8" s="2" t="n">
        <v>7</v>
      </c>
      <c r="N8" s="2" t="b">
        <v>1</v>
      </c>
      <c r="O8" s="6" t="n">
        <v>1</v>
      </c>
      <c r="P8" s="2">
        <f>COUNTIFS('QA_Issues'!$B$2:$B$12,B8,'QA_Issues'!$D$2:$D$12,"CRITICAL")</f>
        <v/>
      </c>
      <c r="Q8" s="2">
        <f>COUNTIFS('QA_Issues'!$B$2:$B$12,B8,'QA_Issues'!$D$2:$D$12,"MAJOR")</f>
        <v/>
      </c>
      <c r="R8" s="2">
        <f>COUNTIFS('QA_Issues'!$B$2:$B$12,B8,'QA_Issues'!$D$2:$D$12,"MINOR")</f>
        <v/>
      </c>
      <c r="S8" s="2">
        <f>COUNTIFS('QA_Issues'!$B$2:$B$12,B8,'QA_Issues'!$D$2:$D$12,"LIMITATION")</f>
        <v/>
      </c>
      <c r="T8" s="2" t="inlineStr">
        <is>
          <t>["B08R4-MIN-007"]</t>
        </is>
      </c>
      <c r="U8" s="2" t="inlineStr">
        <is>
          <t>["evidence_batch_008_077", "https://jeminise.com/products/custom-glowing-soccer-ball-trails-comforter-set-machine-washable-a6", "serp_qa_batch_008_r4_077_1", "live_pages", "customizer_fields_audit.json"]</t>
        </is>
      </c>
    </row>
    <row r="9" ht="42" customHeight="1">
      <c r="A9" s="3" t="n">
        <v>78</v>
      </c>
      <c r="B9" s="3" t="inlineStr">
        <is>
          <t>jeminise.com+custom-inspirational-bible-verse-floral-blanket-d5</t>
        </is>
      </c>
      <c r="C9" s="4" t="inlineStr">
        <is>
          <t>https://jeminise.com/products/custom-inspirational-bible-verse-floral-blanket-d5</t>
        </is>
      </c>
      <c r="D9" s="3" t="inlineStr">
        <is>
          <t>r4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8</v>
      </c>
      <c r="M9" s="3" t="n">
        <v>8</v>
      </c>
      <c r="N9" s="3" t="b">
        <v>1</v>
      </c>
      <c r="O9" s="8" t="n">
        <v>1</v>
      </c>
      <c r="P9" s="3">
        <f>COUNTIFS('QA_Issues'!$B$2:$B$12,B9,'QA_Issues'!$D$2:$D$12,"CRITICAL")</f>
        <v/>
      </c>
      <c r="Q9" s="3">
        <f>COUNTIFS('QA_Issues'!$B$2:$B$12,B9,'QA_Issues'!$D$2:$D$12,"MAJOR")</f>
        <v/>
      </c>
      <c r="R9" s="3">
        <f>COUNTIFS('QA_Issues'!$B$2:$B$12,B9,'QA_Issues'!$D$2:$D$12,"MINOR")</f>
        <v/>
      </c>
      <c r="S9" s="3">
        <f>COUNTIFS('QA_Issues'!$B$2:$B$12,B9,'QA_Issues'!$D$2:$D$12,"LIMITATION")</f>
        <v/>
      </c>
      <c r="T9" s="3" t="inlineStr">
        <is>
          <t>["B08R4-MIN-008"]</t>
        </is>
      </c>
      <c r="U9" s="3" t="inlineStr">
        <is>
          <t>["evidence_batch_008_078", "https://jeminise.com/products/custom-inspirational-bible-verse-floral-blanket-d5", "serp_qa_batch_008_r4_078_1", "live_pages", "customizer_fields_audit.json"]</t>
        </is>
      </c>
    </row>
    <row r="10" ht="42" customHeight="1">
      <c r="A10" s="2" t="n">
        <v>79</v>
      </c>
      <c r="B10" s="2" t="inlineStr">
        <is>
          <t>jeminise.com+custom-inspirational-floral-butterfly-bible-verse-blanket-d4</t>
        </is>
      </c>
      <c r="C10" s="4" t="inlineStr">
        <is>
          <t>https://jeminise.com/products/custom-inspirational-floral-butterfly-bible-verse-blanket-d4</t>
        </is>
      </c>
      <c r="D10" s="2" t="inlineStr">
        <is>
          <t>r4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9</v>
      </c>
      <c r="M10" s="2" t="n">
        <v>9</v>
      </c>
      <c r="N10" s="2" t="b">
        <v>1</v>
      </c>
      <c r="O10" s="6" t="n">
        <v>1</v>
      </c>
      <c r="P10" s="2">
        <f>COUNTIFS('QA_Issues'!$B$2:$B$12,B10,'QA_Issues'!$D$2:$D$12,"CRITICAL")</f>
        <v/>
      </c>
      <c r="Q10" s="2">
        <f>COUNTIFS('QA_Issues'!$B$2:$B$12,B10,'QA_Issues'!$D$2:$D$12,"MAJOR")</f>
        <v/>
      </c>
      <c r="R10" s="2">
        <f>COUNTIFS('QA_Issues'!$B$2:$B$12,B10,'QA_Issues'!$D$2:$D$12,"MINOR")</f>
        <v/>
      </c>
      <c r="S10" s="2">
        <f>COUNTIFS('QA_Issues'!$B$2:$B$12,B10,'QA_Issues'!$D$2:$D$12,"LIMITATION")</f>
        <v/>
      </c>
      <c r="T10" s="2" t="inlineStr">
        <is>
          <t>["B08R4-MIN-009"]</t>
        </is>
      </c>
      <c r="U10" s="2" t="inlineStr">
        <is>
          <t>["evidence_batch_008_079", "https://jeminise.com/products/custom-inspirational-floral-butterfly-bible-verse-blanket-d4", "serp_qa_batch_008_r4_079_1", "live_pages", "customizer_fields_audit.json"]</t>
        </is>
      </c>
    </row>
    <row r="11" ht="42" customHeight="1">
      <c r="A11" s="3" t="n">
        <v>80</v>
      </c>
      <c r="B11" s="3" t="inlineStr">
        <is>
          <t>jeminise.com+custom-inspirational-scripture-butterflies-blanket-machine-washable</t>
        </is>
      </c>
      <c r="C11" s="4" t="inlineStr">
        <is>
          <t>https://jeminise.com/products/custom-inspirational-scripture-butterflies-blanket-machine-washable</t>
        </is>
      </c>
      <c r="D11" s="3" t="inlineStr">
        <is>
          <t>r4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8</v>
      </c>
      <c r="M11" s="3" t="n">
        <v>8</v>
      </c>
      <c r="N11" s="3" t="b">
        <v>1</v>
      </c>
      <c r="O11" s="8" t="n">
        <v>1</v>
      </c>
      <c r="P11" s="3">
        <f>COUNTIFS('QA_Issues'!$B$2:$B$12,B11,'QA_Issues'!$D$2:$D$12,"CRITICAL")</f>
        <v/>
      </c>
      <c r="Q11" s="3">
        <f>COUNTIFS('QA_Issues'!$B$2:$B$12,B11,'QA_Issues'!$D$2:$D$12,"MAJOR")</f>
        <v/>
      </c>
      <c r="R11" s="3">
        <f>COUNTIFS('QA_Issues'!$B$2:$B$12,B11,'QA_Issues'!$D$2:$D$12,"MINOR")</f>
        <v/>
      </c>
      <c r="S11" s="3">
        <f>COUNTIFS('QA_Issues'!$B$2:$B$12,B11,'QA_Issues'!$D$2:$D$12,"LIMITATION")</f>
        <v/>
      </c>
      <c r="T11" s="3" t="inlineStr">
        <is>
          <t>["B08R4-MIN-010"]</t>
        </is>
      </c>
      <c r="U11" s="3" t="inlineStr">
        <is>
          <t>["evidence_batch_008_080", "https://jeminise.com/products/custom-inspirational-scripture-butterflies-blanket-machine-washable", "serp_qa_batch_008_r4_080_1",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jeminise.com+custom-football-player-running-with-ball-comforter-c9c2aecff2-c9c2aecff2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IF(B2="I1",AVERAGEIF('QA_Images'!$A$2:$A$70,A2,'QA_Images'!$R$2:$R$70)/100,IF(D2="FULL",1,IF(D2="PARTIAL",0.5,IF(D2="FAIL",0,""))))</f>
        <v/>
      </c>
      <c r="F2" s="5">
        <f>IF(E2="",0,C2*E2)</f>
        <v/>
      </c>
      <c r="G2" s="5">
        <f>IF(B2="I1",20*AVERAGEIF('QA_Images'!$A$2:$A$70,A2,'QA_Images'!$S$2:$S$70)/100,IF(D2="NOT_CHECKED",0,C2))</f>
        <v/>
      </c>
      <c r="H2" s="2" t="inlineStr">
        <is>
          <t>FULL: source workbook, product JSON and direct image checks support the product identity; verified motif: teal football player running with ball comforter and custom name/number controls.</t>
        </is>
      </c>
      <c r="I2" s="2" t="inlineStr">
        <is>
          <t>["evidence_batch_008_071", "https://jeminise.com/products/custom-football-player-running-with-ball-comforter-c9c2aecff2-c9c2aecff2"]</t>
        </is>
      </c>
      <c r="J2" s="2" t="inlineStr">
        <is>
          <t>[]</t>
        </is>
      </c>
    </row>
    <row r="3" ht="42" customHeight="1">
      <c r="A3" s="3" t="inlineStr">
        <is>
          <t>jeminise.com+custom-football-player-running-with-ball-comforter-c9c2aecff2-c9c2aecff2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IF(B3="I1",AVERAGEIF('QA_Images'!$A$2:$A$70,A3,'QA_Images'!$R$2:$R$70)/100,IF(D3="FULL",1,IF(D3="PARTIAL",0.5,IF(D3="FAIL",0,""))))</f>
        <v/>
      </c>
      <c r="F3" s="7">
        <f>IF(E3="",0,C3*E3)</f>
        <v/>
      </c>
      <c r="G3" s="7">
        <f>IF(B3="I1",20*AVERAGEIF('QA_Images'!$A$2:$A$70,A3,'QA_Images'!$S$2:$S$70)/100,IF(D3="NOT_CHECKED",0,C3))</f>
        <v/>
      </c>
      <c r="H3" s="3" t="inlineStr">
        <is>
          <t>FULL: product type/options/personalization were checked against live JSON, admin export and customizer audit: no cached customizer audit available.</t>
        </is>
      </c>
      <c r="I3" s="3" t="inlineStr">
        <is>
          <t>["evidence_batch_008_071", "https://jeminise.com/products/custom-football-player-running-with-ball-comforter-c9c2aecff2-c9c2aecff2",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jeminise.com+custom-football-player-running-with-ball-comforter-c9c2aecff2-c9c2aecff2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IF(B4="I1",AVERAGEIF('QA_Images'!$A$2:$A$70,A4,'QA_Images'!$R$2:$R$70)/100,IF(D4="FULL",1,IF(D4="PARTIAL",0.5,IF(D4="FAIL",0,""))))</f>
        <v/>
      </c>
      <c r="F4" s="5">
        <f>IF(E4="",0,C4*E4)</f>
        <v/>
      </c>
      <c r="G4" s="5">
        <f>IF(B4="I1",20*AVERAGEIF('QA_Images'!$A$2:$A$70,A4,'QA_Images'!$S$2:$S$70)/100,IF(D4="NOT_CHECKED",0,C4))</f>
        <v/>
      </c>
      <c r="H4" s="2" t="inlineStr">
        <is>
          <t>PARTIAL: primary keyword 'personalized teal football player comforter' was checked against this product's own US/English SERP; partial means the exact phrase is niche or sample-name driven.</t>
        </is>
      </c>
      <c r="I4" s="2" t="inlineStr">
        <is>
          <t>["evidence_batch_008_071", "https://jeminise.com/products/custom-football-player-running-with-ball-comforter-c9c2aecff2-c9c2aecff2", "serp_qa_batch_008_r4_071_1", "serp_qa_batch_008_r4_071_2"]</t>
        </is>
      </c>
      <c r="J4" s="2" t="inlineStr">
        <is>
          <t>["B08R4-MIN-001"]</t>
        </is>
      </c>
    </row>
    <row r="5" ht="42" customHeight="1">
      <c r="A5" s="3" t="inlineStr">
        <is>
          <t>jeminise.com+custom-football-player-running-with-ball-comforter-c9c2aecff2-c9c2aecff2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IF(B5="I1",AVERAGEIF('QA_Images'!$A$2:$A$70,A5,'QA_Images'!$R$2:$R$70)/100,IF(D5="FULL",1,IF(D5="PARTIAL",0.5,IF(D5="FAIL",0,""))))</f>
        <v/>
      </c>
      <c r="F5" s="7">
        <f>IF(E5="",0,C5*E5)</f>
        <v/>
      </c>
      <c r="G5" s="7">
        <f>IF(B5="I1",20*AVERAGEIF('QA_Images'!$A$2:$A$70,A5,'QA_Images'!$S$2:$S$70)/100,IF(D5="NOT_CHECKED",0,C5))</f>
        <v/>
      </c>
      <c r="H5" s="3" t="inlineStr">
        <is>
          <t>FULL: comparator query confirms commercial product intent; partial means results broaden beyond this exact motif/product type.</t>
        </is>
      </c>
      <c r="I5" s="3" t="inlineStr">
        <is>
          <t>["evidence_batch_008_071", "https://jeminise.com/products/custom-football-player-running-with-ball-comforter-c9c2aecff2-c9c2aecff2", "serp_qa_batch_008_r4_071_1", "serp_qa_batch_008_r4_071_2"]</t>
        </is>
      </c>
      <c r="J5" s="3" t="inlineStr">
        <is>
          <t>["B08R4-MIN-001"]</t>
        </is>
      </c>
    </row>
    <row r="6" ht="42" customHeight="1">
      <c r="A6" s="2" t="inlineStr">
        <is>
          <t>jeminise.com+custom-football-player-running-with-ball-comforter-c9c2aecff2-c9c2aecff2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IF(B6="I1",AVERAGEIF('QA_Images'!$A$2:$A$70,A6,'QA_Images'!$R$2:$R$70)/100,IF(D6="FULL",1,IF(D6="PARTIAL",0.5,IF(D6="FAIL",0,""))))</f>
        <v/>
      </c>
      <c r="F6" s="5">
        <f>IF(E6="",0,C6*E6)</f>
        <v/>
      </c>
      <c r="G6" s="5">
        <f>IF(B6="I1",20*AVERAGEIF('QA_Images'!$A$2:$A$70,A6,'QA_Images'!$S$2:$S$70)/100,IF(D6="NOT_CHECKED",0,C6))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["evidence_batch_008_071", "https://jeminise.com/products/custom-football-player-running-with-ball-comforter-c9c2aecff2-c9c2aecff2", "serp_qa_batch_008_r4_071_1", "serp_qa_batch_008_r4_071_2"]</t>
        </is>
      </c>
      <c r="J6" s="2" t="inlineStr">
        <is>
          <t>[]</t>
        </is>
      </c>
    </row>
    <row r="7" ht="42" customHeight="1">
      <c r="A7" s="3" t="inlineStr">
        <is>
          <t>jeminise.com+custom-football-player-running-with-ball-comforter-c9c2aecff2-c9c2aecff2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IF(B7="I1",AVERAGEIF('QA_Images'!$A$2:$A$70,A7,'QA_Images'!$R$2:$R$70)/100,IF(D7="FULL",1,IF(D7="PARTIAL",0.5,IF(D7="FAIL",0,""))))</f>
        <v/>
      </c>
      <c r="F7" s="7">
        <f>IF(E7="",0,C7*E7)</f>
        <v/>
      </c>
      <c r="G7" s="7">
        <f>IF(B7="I1",20*AVERAGEIF('QA_Images'!$A$2:$A$70,A7,'QA_Images'!$S$2:$S$70)/100,IF(D7="NOT_CHECKED",0,C7))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["evidence_batch_008_071", "https://jeminise.com/products/custom-football-player-running-with-ball-comforter-c9c2aecff2-c9c2aecff2"]</t>
        </is>
      </c>
      <c r="J7" s="3" t="inlineStr">
        <is>
          <t>[]</t>
        </is>
      </c>
    </row>
    <row r="8" ht="42" customHeight="1">
      <c r="A8" s="2" t="inlineStr">
        <is>
          <t>jeminise.com+custom-football-player-running-with-ball-comforter-c9c2aecff2-c9c2aecff2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IF(B8="I1",AVERAGEIF('QA_Images'!$A$2:$A$70,A8,'QA_Images'!$R$2:$R$70)/100,IF(D8="FULL",1,IF(D8="PARTIAL",0.5,IF(D8="FAIL",0,""))))</f>
        <v/>
      </c>
      <c r="F8" s="5">
        <f>IF(E8="",0,C8*E8)</f>
        <v/>
      </c>
      <c r="G8" s="5">
        <f>IF(B8="I1",20*AVERAGEIF('QA_Images'!$A$2:$A$70,A8,'QA_Images'!$S$2:$S$70)/100,IF(D8="NOT_CHECKED",0,C8))</f>
        <v/>
      </c>
      <c r="H8" s="2" t="inlineStr">
        <is>
          <t>FULL: title_proposed can function as product title/H1 and distinguishes this design from adjacent batch-06 motifs.</t>
        </is>
      </c>
      <c r="I8" s="2" t="inlineStr">
        <is>
          <t>["evidence_batch_008_071", "https://jeminise.com/products/custom-football-player-running-with-ball-comforter-c9c2aecff2-c9c2aecff2"]</t>
        </is>
      </c>
      <c r="J8" s="2" t="inlineStr">
        <is>
          <t>[]</t>
        </is>
      </c>
    </row>
    <row r="9" ht="42" customHeight="1">
      <c r="A9" s="3" t="inlineStr">
        <is>
          <t>jeminise.com+custom-football-player-running-with-ball-comforter-c9c2aecff2-c9c2aecff2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IF(B9="I1",AVERAGEIF('QA_Images'!$A$2:$A$70,A9,'QA_Images'!$R$2:$R$70)/100,IF(D9="FULL",1,IF(D9="PARTIAL",0.5,IF(D9="FAIL",0,""))))</f>
        <v/>
      </c>
      <c r="F9" s="7">
        <f>IF(E9="",0,C9*E9)</f>
        <v/>
      </c>
      <c r="G9" s="7">
        <f>IF(B9="I1",20*AVERAGEIF('QA_Images'!$A$2:$A$70,A9,'QA_Images'!$S$2:$S$70)/100,IF(D9="NOT_CHECKED",0,C9))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["evidence_batch_008_071", "https://jeminise.com/products/custom-football-player-running-with-ball-comforter-c9c2aecff2-c9c2aecff2"]</t>
        </is>
      </c>
      <c r="J9" s="3" t="inlineStr">
        <is>
          <t>[]</t>
        </is>
      </c>
    </row>
    <row r="10" ht="42" customHeight="1">
      <c r="A10" s="2" t="inlineStr">
        <is>
          <t>jeminise.com+custom-football-player-running-with-ball-comforter-c9c2aecff2-c9c2aecff2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IF(B10="I1",AVERAGEIF('QA_Images'!$A$2:$A$70,A10,'QA_Images'!$R$2:$R$70)/100,IF(D10="FULL",1,IF(D10="PARTIAL",0.5,IF(D10="FAIL",0,""))))</f>
        <v/>
      </c>
      <c r="F10" s="5">
        <f>IF(E10="",0,C10*E10)</f>
        <v/>
      </c>
      <c r="G10" s="5">
        <f>IF(B10="I1",20*AVERAGEIF('QA_Images'!$A$2:$A$70,A10,'QA_Images'!$S$2:$S$70)/100,IF(D10="NOT_CHECKED",0,C10))</f>
        <v/>
      </c>
      <c r="H10" s="2" t="inlineStr">
        <is>
          <t>PARTIAL: description HTML is mostly customer-facing and evidence-led, but fallback wording such as 'when available' should be replaced with exact verified panels.</t>
        </is>
      </c>
      <c r="I10" s="2" t="inlineStr">
        <is>
          <t>["evidence_batch_008_071", "https://jeminise.com/products/custom-football-player-running-with-ball-comforter-c9c2aecff2-c9c2aecff2"]</t>
        </is>
      </c>
      <c r="J10" s="2" t="inlineStr">
        <is>
          <t>["B08R4-MIN-001"]</t>
        </is>
      </c>
    </row>
    <row r="11" ht="42" customHeight="1">
      <c r="A11" s="3" t="inlineStr">
        <is>
          <t>jeminise.com+custom-football-player-running-with-ball-comforter-c9c2aecff2-c9c2aecff2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IF(B11="I1",AVERAGEIF('QA_Images'!$A$2:$A$70,A11,'QA_Images'!$R$2:$R$70)/100,IF(D11="FULL",1,IF(D11="PARTIAL",0.5,IF(D11="FAIL",0,""))))</f>
        <v/>
      </c>
      <c r="F11" s="7">
        <f>IF(E11="",0,C11*E11)</f>
        <v/>
      </c>
      <c r="G11" s="7">
        <f>IF(B11="I1",20*AVERAGEIF('QA_Images'!$A$2:$A$70,A11,'QA_Images'!$S$2:$S$70)/100,IF(D11="NOT_CHECKED",0,C11))</f>
        <v/>
      </c>
      <c r="H11" s="3" t="inlineStr">
        <is>
          <t>Derived from 6 QA_Images rows for this product; average image score 100/100.</t>
        </is>
      </c>
      <c r="I11" s="3" t="inlineStr">
        <is>
          <t>["QA_Images", "evidence_batch_008_071"]</t>
        </is>
      </c>
      <c r="J11" s="3" t="inlineStr">
        <is>
          <t>[]</t>
        </is>
      </c>
    </row>
    <row r="12" ht="42" customHeight="1">
      <c r="A12" s="2" t="inlineStr">
        <is>
          <t>jeminise.com+custom-football-player-running-with-ball-comforter-c9c2aecff2-c9c2aecff2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IF(B12="I1",AVERAGEIF('QA_Images'!$A$2:$A$70,A12,'QA_Images'!$R$2:$R$70)/100,IF(D12="FULL",1,IF(D12="PARTIAL",0.5,IF(D12="FAIL",0,""))))</f>
        <v/>
      </c>
      <c r="F12" s="5">
        <f>IF(E12="",0,C12*E12)</f>
        <v/>
      </c>
      <c r="G12" s="5">
        <f>IF(B12="I1",20*AVERAGEIF('QA_Images'!$A$2:$A$70,A12,'QA_Images'!$S$2:$S$70)/100,IF(D12="NOT_CHECKED",0,C12))</f>
        <v/>
      </c>
      <c r="H12" s="2" t="inlineStr">
        <is>
          <t>FULL: product key, handle, links and scoped evidence are consistent; row-level r4 labels are recorded separately as a traceability limitation.</t>
        </is>
      </c>
      <c r="I12" s="2" t="inlineStr">
        <is>
          <t>["evidence_batch_008_071", "https://jeminise.com/products/custom-football-player-running-with-ball-comforter-c9c2aecff2-c9c2aecff2"]</t>
        </is>
      </c>
      <c r="J12" s="2" t="inlineStr">
        <is>
          <t>[]</t>
        </is>
      </c>
    </row>
    <row r="13" ht="42" customHeight="1">
      <c r="A13" s="3" t="inlineStr">
        <is>
          <t>jeminise.com+custom-football-player-running-with-ball-comforter-9fe5294804-9fe5294804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IF(B13="I1",AVERAGEIF('QA_Images'!$A$2:$A$70,A13,'QA_Images'!$R$2:$R$70)/100,IF(D13="FULL",1,IF(D13="PARTIAL",0.5,IF(D13="FAIL",0,""))))</f>
        <v/>
      </c>
      <c r="F13" s="7">
        <f>IF(E13="",0,C13*E13)</f>
        <v/>
      </c>
      <c r="G13" s="7">
        <f>IF(B13="I1",20*AVERAGEIF('QA_Images'!$A$2:$A$70,A13,'QA_Images'!$S$2:$S$70)/100,IF(D13="NOT_CHECKED",0,C13))</f>
        <v/>
      </c>
      <c r="H13" s="3" t="inlineStr">
        <is>
          <t>FULL: source workbook, product JSON and direct image checks support the product identity; verified motif: electric football player running with ball comforter and custom name/number controls.</t>
        </is>
      </c>
      <c r="I13" s="3" t="inlineStr">
        <is>
          <t>["evidence_batch_008_072", "https://jeminise.com/products/custom-football-player-running-with-ball-comforter-9fe5294804-9fe5294804"]</t>
        </is>
      </c>
      <c r="J13" s="3" t="inlineStr">
        <is>
          <t>[]</t>
        </is>
      </c>
    </row>
    <row r="14" ht="42" customHeight="1">
      <c r="A14" s="2" t="inlineStr">
        <is>
          <t>jeminise.com+custom-football-player-running-with-ball-comforter-9fe5294804-9fe5294804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IF(B14="I1",AVERAGEIF('QA_Images'!$A$2:$A$70,A14,'QA_Images'!$R$2:$R$70)/100,IF(D14="FULL",1,IF(D14="PARTIAL",0.5,IF(D14="FAIL",0,""))))</f>
        <v/>
      </c>
      <c r="F14" s="5">
        <f>IF(E14="",0,C14*E14)</f>
        <v/>
      </c>
      <c r="G14" s="5">
        <f>IF(B14="I1",20*AVERAGEIF('QA_Images'!$A$2:$A$70,A14,'QA_Images'!$S$2:$S$70)/100,IF(D14="NOT_CHECKED",0,C14))</f>
        <v/>
      </c>
      <c r="H14" s="2" t="inlineStr">
        <is>
          <t>FULL: product type/options/personalization were checked against live JSON, admin export and customizer audit: no cached customizer audit available.</t>
        </is>
      </c>
      <c r="I14" s="2" t="inlineStr">
        <is>
          <t>["evidence_batch_008_072", "https://jeminise.com/products/custom-football-player-running-with-ball-comforter-9fe5294804-9fe5294804",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jeminise.com+custom-football-player-running-with-ball-comforter-9fe5294804-9fe5294804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IF(B15="I1",AVERAGEIF('QA_Images'!$A$2:$A$70,A15,'QA_Images'!$R$2:$R$70)/100,IF(D15="FULL",1,IF(D15="PARTIAL",0.5,IF(D15="FAIL",0,""))))</f>
        <v/>
      </c>
      <c r="F15" s="7">
        <f>IF(E15="",0,C15*E15)</f>
        <v/>
      </c>
      <c r="G15" s="7">
        <f>IF(B15="I1",20*AVERAGEIF('QA_Images'!$A$2:$A$70,A15,'QA_Images'!$S$2:$S$70)/100,IF(D15="NOT_CHECKED",0,C15))</f>
        <v/>
      </c>
      <c r="H15" s="3" t="inlineStr">
        <is>
          <t>PARTIAL: primary keyword 'personalized electric football player comforter' was checked against this product's own US/English SERP; partial means the exact phrase is niche or sample-name driven.</t>
        </is>
      </c>
      <c r="I15" s="3" t="inlineStr">
        <is>
          <t>["evidence_batch_008_072", "https://jeminise.com/products/custom-football-player-running-with-ball-comforter-9fe5294804-9fe5294804", "serp_qa_batch_008_r4_072_1", "serp_qa_batch_008_r4_072_2"]</t>
        </is>
      </c>
      <c r="J15" s="3" t="inlineStr">
        <is>
          <t>["B08R4-MIN-002"]</t>
        </is>
      </c>
    </row>
    <row r="16" ht="42" customHeight="1">
      <c r="A16" s="2" t="inlineStr">
        <is>
          <t>jeminise.com+custom-football-player-running-with-ball-comforter-9fe5294804-9fe5294804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>
        <f>IF(B16="I1",AVERAGEIF('QA_Images'!$A$2:$A$70,A16,'QA_Images'!$R$2:$R$70)/100,IF(D16="FULL",1,IF(D16="PARTIAL",0.5,IF(D16="FAIL",0,""))))</f>
        <v/>
      </c>
      <c r="F16" s="5">
        <f>IF(E16="",0,C16*E16)</f>
        <v/>
      </c>
      <c r="G16" s="5">
        <f>IF(B16="I1",20*AVERAGEIF('QA_Images'!$A$2:$A$70,A16,'QA_Images'!$S$2:$S$70)/100,IF(D16="NOT_CHECKED",0,C16))</f>
        <v/>
      </c>
      <c r="H16" s="2" t="inlineStr">
        <is>
          <t>PARTIAL: comparator query confirms commercial product intent; partial means results broaden beyond this exact motif/product type.</t>
        </is>
      </c>
      <c r="I16" s="2" t="inlineStr">
        <is>
          <t>["evidence_batch_008_072", "https://jeminise.com/products/custom-football-player-running-with-ball-comforter-9fe5294804-9fe5294804", "serp_qa_batch_008_r4_072_1", "serp_qa_batch_008_r4_072_2"]</t>
        </is>
      </c>
      <c r="J16" s="2" t="inlineStr">
        <is>
          <t>["B08R4-MIN-002"]</t>
        </is>
      </c>
    </row>
    <row r="17" ht="42" customHeight="1">
      <c r="A17" s="3" t="inlineStr">
        <is>
          <t>jeminise.com+custom-football-player-running-with-ball-comforter-9fe5294804-9fe5294804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IF(B17="I1",AVERAGEIF('QA_Images'!$A$2:$A$70,A17,'QA_Images'!$R$2:$R$70)/100,IF(D17="FULL",1,IF(D17="PARTIAL",0.5,IF(D17="FAIL",0,""))))</f>
        <v/>
      </c>
      <c r="F17" s="7">
        <f>IF(E17="",0,C17*E17)</f>
        <v/>
      </c>
      <c r="G17" s="7">
        <f>IF(B17="I1",20*AVERAGEIF('QA_Images'!$A$2:$A$70,A17,'QA_Images'!$S$2:$S$70)/100,IF(D17="NOT_CHECKED",0,C17))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["evidence_batch_008_072", "https://jeminise.com/products/custom-football-player-running-with-ball-comforter-9fe5294804-9fe5294804", "serp_qa_batch_008_r4_072_1", "serp_qa_batch_008_r4_072_2"]</t>
        </is>
      </c>
      <c r="J17" s="3" t="inlineStr">
        <is>
          <t>[]</t>
        </is>
      </c>
    </row>
    <row r="18" ht="42" customHeight="1">
      <c r="A18" s="2" t="inlineStr">
        <is>
          <t>jeminise.com+custom-football-player-running-with-ball-comforter-9fe5294804-9fe5294804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IF(B18="I1",AVERAGEIF('QA_Images'!$A$2:$A$70,A18,'QA_Images'!$R$2:$R$70)/100,IF(D18="FULL",1,IF(D18="PARTIAL",0.5,IF(D18="FAIL",0,""))))</f>
        <v/>
      </c>
      <c r="F18" s="5">
        <f>IF(E18="",0,C18*E18)</f>
        <v/>
      </c>
      <c r="G18" s="5">
        <f>IF(B18="I1",20*AVERAGEIF('QA_Images'!$A$2:$A$70,A18,'QA_Images'!$S$2:$S$70)/100,IF(D18="NOT_CHECKED",0,C18))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["evidence_batch_008_072", "https://jeminise.com/products/custom-football-player-running-with-ball-comforter-9fe5294804-9fe5294804"]</t>
        </is>
      </c>
      <c r="J18" s="2" t="inlineStr">
        <is>
          <t>[]</t>
        </is>
      </c>
    </row>
    <row r="19" ht="42" customHeight="1">
      <c r="A19" s="3" t="inlineStr">
        <is>
          <t>jeminise.com+custom-football-player-running-with-ball-comforter-9fe5294804-9fe5294804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IF(B19="I1",AVERAGEIF('QA_Images'!$A$2:$A$70,A19,'QA_Images'!$R$2:$R$70)/100,IF(D19="FULL",1,IF(D19="PARTIAL",0.5,IF(D19="FAIL",0,""))))</f>
        <v/>
      </c>
      <c r="F19" s="7">
        <f>IF(E19="",0,C19*E19)</f>
        <v/>
      </c>
      <c r="G19" s="7">
        <f>IF(B19="I1",20*AVERAGEIF('QA_Images'!$A$2:$A$70,A19,'QA_Images'!$S$2:$S$70)/100,IF(D19="NOT_CHECKED",0,C19))</f>
        <v/>
      </c>
      <c r="H19" s="3" t="inlineStr">
        <is>
          <t>FULL: title_proposed can function as product title/H1 and distinguishes this design from adjacent batch-06 motifs.</t>
        </is>
      </c>
      <c r="I19" s="3" t="inlineStr">
        <is>
          <t>["evidence_batch_008_072", "https://jeminise.com/products/custom-football-player-running-with-ball-comforter-9fe5294804-9fe5294804"]</t>
        </is>
      </c>
      <c r="J19" s="3" t="inlineStr">
        <is>
          <t>[]</t>
        </is>
      </c>
    </row>
    <row r="20" ht="42" customHeight="1">
      <c r="A20" s="2" t="inlineStr">
        <is>
          <t>jeminise.com+custom-football-player-running-with-ball-comforter-9fe5294804-9fe5294804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IF(B20="I1",AVERAGEIF('QA_Images'!$A$2:$A$70,A20,'QA_Images'!$R$2:$R$70)/100,IF(D20="FULL",1,IF(D20="PARTIAL",0.5,IF(D20="FAIL",0,""))))</f>
        <v/>
      </c>
      <c r="F20" s="5">
        <f>IF(E20="",0,C20*E20)</f>
        <v/>
      </c>
      <c r="G20" s="5">
        <f>IF(B20="I1",20*AVERAGEIF('QA_Images'!$A$2:$A$70,A20,'QA_Images'!$S$2:$S$70)/100,IF(D20="NOT_CHECKED",0,C20))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["evidence_batch_008_072", "https://jeminise.com/products/custom-football-player-running-with-ball-comforter-9fe5294804-9fe5294804"]</t>
        </is>
      </c>
      <c r="J20" s="2" t="inlineStr">
        <is>
          <t>[]</t>
        </is>
      </c>
    </row>
    <row r="21" ht="42" customHeight="1">
      <c r="A21" s="3" t="inlineStr">
        <is>
          <t>jeminise.com+custom-football-player-running-with-ball-comforter-9fe5294804-9fe5294804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IF(B21="I1",AVERAGEIF('QA_Images'!$A$2:$A$70,A21,'QA_Images'!$R$2:$R$70)/100,IF(D21="FULL",1,IF(D21="PARTIAL",0.5,IF(D21="FAIL",0,""))))</f>
        <v/>
      </c>
      <c r="F21" s="7">
        <f>IF(E21="",0,C21*E21)</f>
        <v/>
      </c>
      <c r="G21" s="7">
        <f>IF(B21="I1",20*AVERAGEIF('QA_Images'!$A$2:$A$70,A21,'QA_Images'!$S$2:$S$70)/100,IF(D21="NOT_CHECKED",0,C21))</f>
        <v/>
      </c>
      <c r="H21" s="3" t="inlineStr">
        <is>
          <t>PARTIAL: description HTML is mostly customer-facing and evidence-led, but fallback wording such as 'when available' should be replaced with exact verified panels.</t>
        </is>
      </c>
      <c r="I21" s="3" t="inlineStr">
        <is>
          <t>["evidence_batch_008_072", "https://jeminise.com/products/custom-football-player-running-with-ball-comforter-9fe5294804-9fe5294804"]</t>
        </is>
      </c>
      <c r="J21" s="3" t="inlineStr">
        <is>
          <t>["B08R4-MIN-002"]</t>
        </is>
      </c>
    </row>
    <row r="22" ht="42" customHeight="1">
      <c r="A22" s="2" t="inlineStr">
        <is>
          <t>jeminise.com+custom-football-player-running-with-ball-comforter-9fe5294804-9fe5294804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IF(B22="I1",AVERAGEIF('QA_Images'!$A$2:$A$70,A22,'QA_Images'!$R$2:$R$70)/100,IF(D22="FULL",1,IF(D22="PARTIAL",0.5,IF(D22="FAIL",0,""))))</f>
        <v/>
      </c>
      <c r="F22" s="5">
        <f>IF(E22="",0,C22*E22)</f>
        <v/>
      </c>
      <c r="G22" s="5">
        <f>IF(B22="I1",20*AVERAGEIF('QA_Images'!$A$2:$A$70,A22,'QA_Images'!$S$2:$S$70)/100,IF(D22="NOT_CHECKED",0,C22))</f>
        <v/>
      </c>
      <c r="H22" s="2" t="inlineStr">
        <is>
          <t>Derived from 6 QA_Images rows for this product; average image score 100/100.</t>
        </is>
      </c>
      <c r="I22" s="2" t="inlineStr">
        <is>
          <t>["QA_Images", "evidence_batch_008_072"]</t>
        </is>
      </c>
      <c r="J22" s="2" t="inlineStr">
        <is>
          <t>[]</t>
        </is>
      </c>
    </row>
    <row r="23" ht="42" customHeight="1">
      <c r="A23" s="3" t="inlineStr">
        <is>
          <t>jeminise.com+custom-football-player-running-with-ball-comforter-9fe5294804-9fe5294804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IF(B23="I1",AVERAGEIF('QA_Images'!$A$2:$A$70,A23,'QA_Images'!$R$2:$R$70)/100,IF(D23="FULL",1,IF(D23="PARTIAL",0.5,IF(D23="FAIL",0,""))))</f>
        <v/>
      </c>
      <c r="F23" s="7">
        <f>IF(E23="",0,C23*E23)</f>
        <v/>
      </c>
      <c r="G23" s="7">
        <f>IF(B23="I1",20*AVERAGEIF('QA_Images'!$A$2:$A$70,A23,'QA_Images'!$S$2:$S$70)/100,IF(D23="NOT_CHECKED",0,C23))</f>
        <v/>
      </c>
      <c r="H23" s="3" t="inlineStr">
        <is>
          <t>FULL: product key, handle, links and scoped evidence are consistent; row-level r4 labels are recorded separately as a traceability limitation.</t>
        </is>
      </c>
      <c r="I23" s="3" t="inlineStr">
        <is>
          <t>["evidence_batch_008_072", "https://jeminise.com/products/custom-football-player-running-with-ball-comforter-9fe5294804-9fe5294804"]</t>
        </is>
      </c>
      <c r="J23" s="3" t="inlineStr">
        <is>
          <t>[]</t>
        </is>
      </c>
    </row>
    <row r="24" ht="42" customHeight="1">
      <c r="A24" s="2" t="inlineStr">
        <is>
          <t>jeminise.com+custom-football-player-with-american-flag-background-comforter-44d8108598-44d8108598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IF(B24="I1",AVERAGEIF('QA_Images'!$A$2:$A$70,A24,'QA_Images'!$R$2:$R$70)/100,IF(D24="FULL",1,IF(D24="PARTIAL",0.5,IF(D24="FAIL",0,""))))</f>
        <v/>
      </c>
      <c r="F24" s="5">
        <f>IF(E24="",0,C24*E24)</f>
        <v/>
      </c>
      <c r="G24" s="5">
        <f>IF(B24="I1",20*AVERAGEIF('QA_Images'!$A$2:$A$70,A24,'QA_Images'!$S$2:$S$70)/100,IF(D24="NOT_CHECKED",0,C24))</f>
        <v/>
      </c>
      <c r="H24" s="2" t="inlineStr">
        <is>
          <t>FULL: source workbook, product JSON and direct image checks support the product identity; verified motif: football player with American flag background comforter and custom name/number controls.</t>
        </is>
      </c>
      <c r="I24" s="2" t="inlineStr">
        <is>
          <t>["evidence_batch_008_073", "https://jeminise.com/products/custom-football-player-with-american-flag-background-comforter-44d8108598-44d8108598"]</t>
        </is>
      </c>
      <c r="J24" s="2" t="inlineStr">
        <is>
          <t>[]</t>
        </is>
      </c>
    </row>
    <row r="25" ht="42" customHeight="1">
      <c r="A25" s="3" t="inlineStr">
        <is>
          <t>jeminise.com+custom-football-player-with-american-flag-background-comforter-44d8108598-44d8108598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IF(B25="I1",AVERAGEIF('QA_Images'!$A$2:$A$70,A25,'QA_Images'!$R$2:$R$70)/100,IF(D25="FULL",1,IF(D25="PARTIAL",0.5,IF(D25="FAIL",0,""))))</f>
        <v/>
      </c>
      <c r="F25" s="7">
        <f>IF(E25="",0,C25*E25)</f>
        <v/>
      </c>
      <c r="G25" s="7">
        <f>IF(B25="I1",20*AVERAGEIF('QA_Images'!$A$2:$A$70,A25,'QA_Images'!$S$2:$S$70)/100,IF(D25="NOT_CHECKED",0,C25))</f>
        <v/>
      </c>
      <c r="H25" s="3" t="inlineStr">
        <is>
          <t>FULL: product type/options/personalization were checked against live JSON, admin export and customizer audit: no cached customizer audit available.</t>
        </is>
      </c>
      <c r="I25" s="3" t="inlineStr">
        <is>
          <t>["evidence_batch_008_073", "https://jeminise.com/products/custom-football-player-with-american-flag-background-comforter-44d8108598-44d8108598",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jeminise.com+custom-football-player-with-american-flag-background-comforter-44d8108598-44d8108598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5">
        <f>IF(B26="I1",AVERAGEIF('QA_Images'!$A$2:$A$70,A26,'QA_Images'!$R$2:$R$70)/100,IF(D26="FULL",1,IF(D26="PARTIAL",0.5,IF(D26="FAIL",0,""))))</f>
        <v/>
      </c>
      <c r="F26" s="5">
        <f>IF(E26="",0,C26*E26)</f>
        <v/>
      </c>
      <c r="G26" s="5">
        <f>IF(B26="I1",20*AVERAGEIF('QA_Images'!$A$2:$A$70,A26,'QA_Images'!$S$2:$S$70)/100,IF(D26="NOT_CHECKED",0,C26))</f>
        <v/>
      </c>
      <c r="H26" s="2" t="inlineStr">
        <is>
          <t>FULL: primary keyword 'personalized American flag football player comforter' was checked against this product's own US/English SERP; partial means the exact phrase is niche or sample-name driven.</t>
        </is>
      </c>
      <c r="I26" s="2" t="inlineStr">
        <is>
          <t>["evidence_batch_008_073", "https://jeminise.com/products/custom-football-player-with-american-flag-background-comforter-44d8108598-44d8108598", "serp_qa_batch_008_r4_073_1", "serp_qa_batch_008_r4_073_2"]</t>
        </is>
      </c>
      <c r="J26" s="2" t="inlineStr">
        <is>
          <t>["B08R4-MIN-003"]</t>
        </is>
      </c>
    </row>
    <row r="27" ht="42" customHeight="1">
      <c r="A27" s="3" t="inlineStr">
        <is>
          <t>jeminise.com+custom-football-player-with-american-flag-background-comforter-44d8108598-44d8108598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IF(B27="I1",AVERAGEIF('QA_Images'!$A$2:$A$70,A27,'QA_Images'!$R$2:$R$70)/100,IF(D27="FULL",1,IF(D27="PARTIAL",0.5,IF(D27="FAIL",0,""))))</f>
        <v/>
      </c>
      <c r="F27" s="7">
        <f>IF(E27="",0,C27*E27)</f>
        <v/>
      </c>
      <c r="G27" s="7">
        <f>IF(B27="I1",20*AVERAGEIF('QA_Images'!$A$2:$A$70,A27,'QA_Images'!$S$2:$S$70)/100,IF(D27="NOT_CHECKED",0,C27))</f>
        <v/>
      </c>
      <c r="H27" s="3" t="inlineStr">
        <is>
          <t>FULL: comparator query confirms commercial product intent; partial means results broaden beyond this exact motif/product type.</t>
        </is>
      </c>
      <c r="I27" s="3" t="inlineStr">
        <is>
          <t>["evidence_batch_008_073", "https://jeminise.com/products/custom-football-player-with-american-flag-background-comforter-44d8108598-44d8108598", "serp_qa_batch_008_r4_073_1", "serp_qa_batch_008_r4_073_2"]</t>
        </is>
      </c>
      <c r="J27" s="3" t="inlineStr">
        <is>
          <t>["B08R4-MIN-003"]</t>
        </is>
      </c>
    </row>
    <row r="28" ht="42" customHeight="1">
      <c r="A28" s="2" t="inlineStr">
        <is>
          <t>jeminise.com+custom-football-player-with-american-flag-background-comforter-44d8108598-44d8108598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IF(B28="I1",AVERAGEIF('QA_Images'!$A$2:$A$70,A28,'QA_Images'!$R$2:$R$70)/100,IF(D28="FULL",1,IF(D28="PARTIAL",0.5,IF(D28="FAIL",0,""))))</f>
        <v/>
      </c>
      <c r="F28" s="5">
        <f>IF(E28="",0,C28*E28)</f>
        <v/>
      </c>
      <c r="G28" s="5">
        <f>IF(B28="I1",20*AVERAGEIF('QA_Images'!$A$2:$A$70,A28,'QA_Images'!$S$2:$S$70)/100,IF(D28="NOT_CHECKED",0,C28))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["evidence_batch_008_073", "https://jeminise.com/products/custom-football-player-with-american-flag-background-comforter-44d8108598-44d8108598", "serp_qa_batch_008_r4_073_1", "serp_qa_batch_008_r4_073_2"]</t>
        </is>
      </c>
      <c r="J28" s="2" t="inlineStr">
        <is>
          <t>[]</t>
        </is>
      </c>
    </row>
    <row r="29" ht="42" customHeight="1">
      <c r="A29" s="3" t="inlineStr">
        <is>
          <t>jeminise.com+custom-football-player-with-american-flag-background-comforter-44d8108598-44d8108598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IF(B29="I1",AVERAGEIF('QA_Images'!$A$2:$A$70,A29,'QA_Images'!$R$2:$R$70)/100,IF(D29="FULL",1,IF(D29="PARTIAL",0.5,IF(D29="FAIL",0,""))))</f>
        <v/>
      </c>
      <c r="F29" s="7">
        <f>IF(E29="",0,C29*E29)</f>
        <v/>
      </c>
      <c r="G29" s="7">
        <f>IF(B29="I1",20*AVERAGEIF('QA_Images'!$A$2:$A$70,A29,'QA_Images'!$S$2:$S$70)/100,IF(D29="NOT_CHECKED",0,C29))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["evidence_batch_008_073", "https://jeminise.com/products/custom-football-player-with-american-flag-background-comforter-44d8108598-44d8108598"]</t>
        </is>
      </c>
      <c r="J29" s="3" t="inlineStr">
        <is>
          <t>[]</t>
        </is>
      </c>
    </row>
    <row r="30" ht="42" customHeight="1">
      <c r="A30" s="2" t="inlineStr">
        <is>
          <t>jeminise.com+custom-football-player-with-american-flag-background-comforter-44d8108598-44d8108598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IF(B30="I1",AVERAGEIF('QA_Images'!$A$2:$A$70,A30,'QA_Images'!$R$2:$R$70)/100,IF(D30="FULL",1,IF(D30="PARTIAL",0.5,IF(D30="FAIL",0,""))))</f>
        <v/>
      </c>
      <c r="F30" s="5">
        <f>IF(E30="",0,C30*E30)</f>
        <v/>
      </c>
      <c r="G30" s="5">
        <f>IF(B30="I1",20*AVERAGEIF('QA_Images'!$A$2:$A$70,A30,'QA_Images'!$S$2:$S$70)/100,IF(D30="NOT_CHECKED",0,C30))</f>
        <v/>
      </c>
      <c r="H30" s="2" t="inlineStr">
        <is>
          <t>FULL: title_proposed can function as product title/H1 and distinguishes this design from adjacent batch-06 motifs.</t>
        </is>
      </c>
      <c r="I30" s="2" t="inlineStr">
        <is>
          <t>["evidence_batch_008_073", "https://jeminise.com/products/custom-football-player-with-american-flag-background-comforter-44d8108598-44d8108598"]</t>
        </is>
      </c>
      <c r="J30" s="2" t="inlineStr">
        <is>
          <t>[]</t>
        </is>
      </c>
    </row>
    <row r="31" ht="42" customHeight="1">
      <c r="A31" s="3" t="inlineStr">
        <is>
          <t>jeminise.com+custom-football-player-with-american-flag-background-comforter-44d8108598-44d8108598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IF(B31="I1",AVERAGEIF('QA_Images'!$A$2:$A$70,A31,'QA_Images'!$R$2:$R$70)/100,IF(D31="FULL",1,IF(D31="PARTIAL",0.5,IF(D31="FAIL",0,""))))</f>
        <v/>
      </c>
      <c r="F31" s="7">
        <f>IF(E31="",0,C31*E31)</f>
        <v/>
      </c>
      <c r="G31" s="7">
        <f>IF(B31="I1",20*AVERAGEIF('QA_Images'!$A$2:$A$70,A31,'QA_Images'!$S$2:$S$70)/100,IF(D31="NOT_CHECKED",0,C31))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["evidence_batch_008_073", "https://jeminise.com/products/custom-football-player-with-american-flag-background-comforter-44d8108598-44d8108598"]</t>
        </is>
      </c>
      <c r="J31" s="3" t="inlineStr">
        <is>
          <t>[]</t>
        </is>
      </c>
    </row>
    <row r="32" ht="42" customHeight="1">
      <c r="A32" s="2" t="inlineStr">
        <is>
          <t>jeminise.com+custom-football-player-with-american-flag-background-comforter-44d8108598-44d8108598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IF(B32="I1",AVERAGEIF('QA_Images'!$A$2:$A$70,A32,'QA_Images'!$R$2:$R$70)/100,IF(D32="FULL",1,IF(D32="PARTIAL",0.5,IF(D32="FAIL",0,""))))</f>
        <v/>
      </c>
      <c r="F32" s="5">
        <f>IF(E32="",0,C32*E32)</f>
        <v/>
      </c>
      <c r="G32" s="5">
        <f>IF(B32="I1",20*AVERAGEIF('QA_Images'!$A$2:$A$70,A32,'QA_Images'!$S$2:$S$70)/100,IF(D32="NOT_CHECKED",0,C32))</f>
        <v/>
      </c>
      <c r="H32" s="2" t="inlineStr">
        <is>
          <t>PARTIAL: description HTML is mostly customer-facing and evidence-led, but fallback wording such as 'when available' should be replaced with exact verified panels.</t>
        </is>
      </c>
      <c r="I32" s="2" t="inlineStr">
        <is>
          <t>["evidence_batch_008_073", "https://jeminise.com/products/custom-football-player-with-american-flag-background-comforter-44d8108598-44d8108598"]</t>
        </is>
      </c>
      <c r="J32" s="2" t="inlineStr">
        <is>
          <t>["B08R4-MIN-003"]</t>
        </is>
      </c>
    </row>
    <row r="33" ht="42" customHeight="1">
      <c r="A33" s="3" t="inlineStr">
        <is>
          <t>jeminise.com+custom-football-player-with-american-flag-background-comforter-44d8108598-44d8108598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IF(B33="I1",AVERAGEIF('QA_Images'!$A$2:$A$70,A33,'QA_Images'!$R$2:$R$70)/100,IF(D33="FULL",1,IF(D33="PARTIAL",0.5,IF(D33="FAIL",0,""))))</f>
        <v/>
      </c>
      <c r="F33" s="7">
        <f>IF(E33="",0,C33*E33)</f>
        <v/>
      </c>
      <c r="G33" s="7">
        <f>IF(B33="I1",20*AVERAGEIF('QA_Images'!$A$2:$A$70,A33,'QA_Images'!$S$2:$S$70)/100,IF(D33="NOT_CHECKED",0,C33))</f>
        <v/>
      </c>
      <c r="H33" s="3" t="inlineStr">
        <is>
          <t>Derived from 6 QA_Images rows for this product; average image score 100/100.</t>
        </is>
      </c>
      <c r="I33" s="3" t="inlineStr">
        <is>
          <t>["QA_Images", "evidence_batch_008_073"]</t>
        </is>
      </c>
      <c r="J33" s="3" t="inlineStr">
        <is>
          <t>[]</t>
        </is>
      </c>
    </row>
    <row r="34" ht="42" customHeight="1">
      <c r="A34" s="2" t="inlineStr">
        <is>
          <t>jeminise.com+custom-football-player-with-american-flag-background-comforter-44d8108598-44d8108598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IF(B34="I1",AVERAGEIF('QA_Images'!$A$2:$A$70,A34,'QA_Images'!$R$2:$R$70)/100,IF(D34="FULL",1,IF(D34="PARTIAL",0.5,IF(D34="FAIL",0,""))))</f>
        <v/>
      </c>
      <c r="F34" s="5">
        <f>IF(E34="",0,C34*E34)</f>
        <v/>
      </c>
      <c r="G34" s="5">
        <f>IF(B34="I1",20*AVERAGEIF('QA_Images'!$A$2:$A$70,A34,'QA_Images'!$S$2:$S$70)/100,IF(D34="NOT_CHECKED",0,C34))</f>
        <v/>
      </c>
      <c r="H34" s="2" t="inlineStr">
        <is>
          <t>FULL: product key, handle, links and scoped evidence are consistent; row-level r4 labels are recorded separately as a traceability limitation.</t>
        </is>
      </c>
      <c r="I34" s="2" t="inlineStr">
        <is>
          <t>["evidence_batch_008_073", "https://jeminise.com/products/custom-football-player-with-american-flag-background-comforter-44d8108598-44d8108598"]</t>
        </is>
      </c>
      <c r="J34" s="2" t="inlineStr">
        <is>
          <t>[]</t>
        </is>
      </c>
    </row>
    <row r="35" ht="42" customHeight="1">
      <c r="A35" s="3" t="inlineStr">
        <is>
          <t>jeminise.com+custom-football-player-with-burning-ball-comforter-and-american-football-708344de4c-708344de4c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IF(B35="I1",AVERAGEIF('QA_Images'!$A$2:$A$70,A35,'QA_Images'!$R$2:$R$70)/100,IF(D35="FULL",1,IF(D35="PARTIAL",0.5,IF(D35="FAIL",0,""))))</f>
        <v/>
      </c>
      <c r="F35" s="7">
        <f>IF(E35="",0,C35*E35)</f>
        <v/>
      </c>
      <c r="G35" s="7">
        <f>IF(B35="I1",20*AVERAGEIF('QA_Images'!$A$2:$A$70,A35,'QA_Images'!$S$2:$S$70)/100,IF(D35="NOT_CHECKED",0,C35))</f>
        <v/>
      </c>
      <c r="H35" s="3" t="inlineStr">
        <is>
          <t>FULL: source workbook, product JSON and direct image checks support the product identity; verified motif: football player with burning ball and American football artwork plus custom name/number controls.</t>
        </is>
      </c>
      <c r="I35" s="3" t="inlineStr">
        <is>
          <t>["evidence_batch_008_074", "https://jeminise.com/products/custom-football-player-with-burning-ball-comforter-and-american-football-708344de4c-708344de4c"]</t>
        </is>
      </c>
      <c r="J35" s="3" t="inlineStr">
        <is>
          <t>[]</t>
        </is>
      </c>
    </row>
    <row r="36" ht="42" customHeight="1">
      <c r="A36" s="2" t="inlineStr">
        <is>
          <t>jeminise.com+custom-football-player-with-burning-ball-comforter-and-american-football-708344de4c-708344de4c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IF(B36="I1",AVERAGEIF('QA_Images'!$A$2:$A$70,A36,'QA_Images'!$R$2:$R$70)/100,IF(D36="FULL",1,IF(D36="PARTIAL",0.5,IF(D36="FAIL",0,""))))</f>
        <v/>
      </c>
      <c r="F36" s="5">
        <f>IF(E36="",0,C36*E36)</f>
        <v/>
      </c>
      <c r="G36" s="5">
        <f>IF(B36="I1",20*AVERAGEIF('QA_Images'!$A$2:$A$70,A36,'QA_Images'!$S$2:$S$70)/100,IF(D36="NOT_CHECKED",0,C36))</f>
        <v/>
      </c>
      <c r="H36" s="2" t="inlineStr">
        <is>
          <t>FULL: product type/options/personalization were checked against live JSON, admin export and customizer audit: no cached customizer audit available.</t>
        </is>
      </c>
      <c r="I36" s="2" t="inlineStr">
        <is>
          <t>["evidence_batch_008_074", "https://jeminise.com/products/custom-football-player-with-burning-ball-comforter-and-american-football-708344de4c-708344de4c",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jeminise.com+custom-football-player-with-burning-ball-comforter-and-american-football-708344de4c-708344de4c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IF(B37="I1",AVERAGEIF('QA_Images'!$A$2:$A$70,A37,'QA_Images'!$R$2:$R$70)/100,IF(D37="FULL",1,IF(D37="PARTIAL",0.5,IF(D37="FAIL",0,""))))</f>
        <v/>
      </c>
      <c r="F37" s="7">
        <f>IF(E37="",0,C37*E37)</f>
        <v/>
      </c>
      <c r="G37" s="7">
        <f>IF(B37="I1",20*AVERAGEIF('QA_Images'!$A$2:$A$70,A37,'QA_Images'!$S$2:$S$70)/100,IF(D37="NOT_CHECKED",0,C37))</f>
        <v/>
      </c>
      <c r="H37" s="3" t="inlineStr">
        <is>
          <t>PARTIAL: primary keyword 'personalized burning football player comforter' was checked against this product's own US/English SERP; partial means the exact phrase is niche or sample-name driven.</t>
        </is>
      </c>
      <c r="I37" s="3" t="inlineStr">
        <is>
          <t>["evidence_batch_008_074", "https://jeminise.com/products/custom-football-player-with-burning-ball-comforter-and-american-football-708344de4c-708344de4c", "serp_qa_batch_008_r4_074_1", "serp_qa_batch_008_r4_074_2"]</t>
        </is>
      </c>
      <c r="J37" s="3" t="inlineStr">
        <is>
          <t>["B08R4-MIN-004"]</t>
        </is>
      </c>
    </row>
    <row r="38" ht="42" customHeight="1">
      <c r="A38" s="2" t="inlineStr">
        <is>
          <t>jeminise.com+custom-football-player-with-burning-ball-comforter-and-american-football-708344de4c-708344de4c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IF(B38="I1",AVERAGEIF('QA_Images'!$A$2:$A$70,A38,'QA_Images'!$R$2:$R$70)/100,IF(D38="FULL",1,IF(D38="PARTIAL",0.5,IF(D38="FAIL",0,""))))</f>
        <v/>
      </c>
      <c r="F38" s="5">
        <f>IF(E38="",0,C38*E38)</f>
        <v/>
      </c>
      <c r="G38" s="5">
        <f>IF(B38="I1",20*AVERAGEIF('QA_Images'!$A$2:$A$70,A38,'QA_Images'!$S$2:$S$70)/100,IF(D38="NOT_CHECKED",0,C38))</f>
        <v/>
      </c>
      <c r="H38" s="2" t="inlineStr">
        <is>
          <t>FULL: comparator query confirms commercial product intent; partial means results broaden beyond this exact motif/product type.</t>
        </is>
      </c>
      <c r="I38" s="2" t="inlineStr">
        <is>
          <t>["evidence_batch_008_074", "https://jeminise.com/products/custom-football-player-with-burning-ball-comforter-and-american-football-708344de4c-708344de4c", "serp_qa_batch_008_r4_074_1", "serp_qa_batch_008_r4_074_2"]</t>
        </is>
      </c>
      <c r="J38" s="2" t="inlineStr">
        <is>
          <t>["B08R4-MIN-004"]</t>
        </is>
      </c>
    </row>
    <row r="39" ht="42" customHeight="1">
      <c r="A39" s="3" t="inlineStr">
        <is>
          <t>jeminise.com+custom-football-player-with-burning-ball-comforter-and-american-football-708344de4c-708344de4c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IF(B39="I1",AVERAGEIF('QA_Images'!$A$2:$A$70,A39,'QA_Images'!$R$2:$R$70)/100,IF(D39="FULL",1,IF(D39="PARTIAL",0.5,IF(D39="FAIL",0,""))))</f>
        <v/>
      </c>
      <c r="F39" s="7">
        <f>IF(E39="",0,C39*E39)</f>
        <v/>
      </c>
      <c r="G39" s="7">
        <f>IF(B39="I1",20*AVERAGEIF('QA_Images'!$A$2:$A$70,A39,'QA_Images'!$S$2:$S$70)/100,IF(D39="NOT_CHECKED",0,C39))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["evidence_batch_008_074", "https://jeminise.com/products/custom-football-player-with-burning-ball-comforter-and-american-football-708344de4c-708344de4c", "serp_qa_batch_008_r4_074_1", "serp_qa_batch_008_r4_074_2"]</t>
        </is>
      </c>
      <c r="J39" s="3" t="inlineStr">
        <is>
          <t>[]</t>
        </is>
      </c>
    </row>
    <row r="40" ht="42" customHeight="1">
      <c r="A40" s="2" t="inlineStr">
        <is>
          <t>jeminise.com+custom-football-player-with-burning-ball-comforter-and-american-football-708344de4c-708344de4c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IF(B40="I1",AVERAGEIF('QA_Images'!$A$2:$A$70,A40,'QA_Images'!$R$2:$R$70)/100,IF(D40="FULL",1,IF(D40="PARTIAL",0.5,IF(D40="FAIL",0,""))))</f>
        <v/>
      </c>
      <c r="F40" s="5">
        <f>IF(E40="",0,C40*E40)</f>
        <v/>
      </c>
      <c r="G40" s="5">
        <f>IF(B40="I1",20*AVERAGEIF('QA_Images'!$A$2:$A$70,A40,'QA_Images'!$S$2:$S$70)/100,IF(D40="NOT_CHECKED",0,C40))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["evidence_batch_008_074", "https://jeminise.com/products/custom-football-player-with-burning-ball-comforter-and-american-football-708344de4c-708344de4c"]</t>
        </is>
      </c>
      <c r="J40" s="2" t="inlineStr">
        <is>
          <t>[]</t>
        </is>
      </c>
    </row>
    <row r="41" ht="42" customHeight="1">
      <c r="A41" s="3" t="inlineStr">
        <is>
          <t>jeminise.com+custom-football-player-with-burning-ball-comforter-and-american-football-708344de4c-708344de4c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IF(B41="I1",AVERAGEIF('QA_Images'!$A$2:$A$70,A41,'QA_Images'!$R$2:$R$70)/100,IF(D41="FULL",1,IF(D41="PARTIAL",0.5,IF(D41="FAIL",0,""))))</f>
        <v/>
      </c>
      <c r="F41" s="7">
        <f>IF(E41="",0,C41*E41)</f>
        <v/>
      </c>
      <c r="G41" s="7">
        <f>IF(B41="I1",20*AVERAGEIF('QA_Images'!$A$2:$A$70,A41,'QA_Images'!$S$2:$S$70)/100,IF(D41="NOT_CHECKED",0,C41))</f>
        <v/>
      </c>
      <c r="H41" s="3" t="inlineStr">
        <is>
          <t>FULL: title_proposed can function as product title/H1 and distinguishes this design from adjacent batch-06 motifs.</t>
        </is>
      </c>
      <c r="I41" s="3" t="inlineStr">
        <is>
          <t>["evidence_batch_008_074", "https://jeminise.com/products/custom-football-player-with-burning-ball-comforter-and-american-football-708344de4c-708344de4c"]</t>
        </is>
      </c>
      <c r="J41" s="3" t="inlineStr">
        <is>
          <t>[]</t>
        </is>
      </c>
    </row>
    <row r="42" ht="42" customHeight="1">
      <c r="A42" s="2" t="inlineStr">
        <is>
          <t>jeminise.com+custom-football-player-with-burning-ball-comforter-and-american-football-708344de4c-708344de4c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IF(B42="I1",AVERAGEIF('QA_Images'!$A$2:$A$70,A42,'QA_Images'!$R$2:$R$70)/100,IF(D42="FULL",1,IF(D42="PARTIAL",0.5,IF(D42="FAIL",0,""))))</f>
        <v/>
      </c>
      <c r="F42" s="5">
        <f>IF(E42="",0,C42*E42)</f>
        <v/>
      </c>
      <c r="G42" s="5">
        <f>IF(B42="I1",20*AVERAGEIF('QA_Images'!$A$2:$A$70,A42,'QA_Images'!$S$2:$S$70)/100,IF(D42="NOT_CHECKED",0,C42))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["evidence_batch_008_074", "https://jeminise.com/products/custom-football-player-with-burning-ball-comforter-and-american-football-708344de4c-708344de4c"]</t>
        </is>
      </c>
      <c r="J42" s="2" t="inlineStr">
        <is>
          <t>[]</t>
        </is>
      </c>
    </row>
    <row r="43" ht="42" customHeight="1">
      <c r="A43" s="3" t="inlineStr">
        <is>
          <t>jeminise.com+custom-football-player-with-burning-ball-comforter-and-american-football-708344de4c-708344de4c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IF(B43="I1",AVERAGEIF('QA_Images'!$A$2:$A$70,A43,'QA_Images'!$R$2:$R$70)/100,IF(D43="FULL",1,IF(D43="PARTIAL",0.5,IF(D43="FAIL",0,""))))</f>
        <v/>
      </c>
      <c r="F43" s="7">
        <f>IF(E43="",0,C43*E43)</f>
        <v/>
      </c>
      <c r="G43" s="7">
        <f>IF(B43="I1",20*AVERAGEIF('QA_Images'!$A$2:$A$70,A43,'QA_Images'!$S$2:$S$70)/100,IF(D43="NOT_CHECKED",0,C43))</f>
        <v/>
      </c>
      <c r="H43" s="3" t="inlineStr">
        <is>
          <t>PARTIAL: description HTML is mostly customer-facing and evidence-led, but fallback wording such as 'when available' should be replaced with exact verified panels.</t>
        </is>
      </c>
      <c r="I43" s="3" t="inlineStr">
        <is>
          <t>["evidence_batch_008_074", "https://jeminise.com/products/custom-football-player-with-burning-ball-comforter-and-american-football-708344de4c-708344de4c"]</t>
        </is>
      </c>
      <c r="J43" s="3" t="inlineStr">
        <is>
          <t>["B08R4-MIN-004"]</t>
        </is>
      </c>
    </row>
    <row r="44" ht="42" customHeight="1">
      <c r="A44" s="2" t="inlineStr">
        <is>
          <t>jeminise.com+custom-football-player-with-burning-ball-comforter-and-american-football-708344de4c-708344de4c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IF(B44="I1",AVERAGEIF('QA_Images'!$A$2:$A$70,A44,'QA_Images'!$R$2:$R$70)/100,IF(D44="FULL",1,IF(D44="PARTIAL",0.5,IF(D44="FAIL",0,""))))</f>
        <v/>
      </c>
      <c r="F44" s="5">
        <f>IF(E44="",0,C44*E44)</f>
        <v/>
      </c>
      <c r="G44" s="5">
        <f>IF(B44="I1",20*AVERAGEIF('QA_Images'!$A$2:$A$70,A44,'QA_Images'!$S$2:$S$70)/100,IF(D44="NOT_CHECKED",0,C44))</f>
        <v/>
      </c>
      <c r="H44" s="2" t="inlineStr">
        <is>
          <t>Derived from 6 QA_Images rows for this product; average image score 100/100.</t>
        </is>
      </c>
      <c r="I44" s="2" t="inlineStr">
        <is>
          <t>["QA_Images", "evidence_batch_008_074"]</t>
        </is>
      </c>
      <c r="J44" s="2" t="inlineStr">
        <is>
          <t>[]</t>
        </is>
      </c>
    </row>
    <row r="45" ht="42" customHeight="1">
      <c r="A45" s="3" t="inlineStr">
        <is>
          <t>jeminise.com+custom-football-player-with-burning-ball-comforter-and-american-football-708344de4c-708344de4c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IF(B45="I1",AVERAGEIF('QA_Images'!$A$2:$A$70,A45,'QA_Images'!$R$2:$R$70)/100,IF(D45="FULL",1,IF(D45="PARTIAL",0.5,IF(D45="FAIL",0,""))))</f>
        <v/>
      </c>
      <c r="F45" s="7">
        <f>IF(E45="",0,C45*E45)</f>
        <v/>
      </c>
      <c r="G45" s="7">
        <f>IF(B45="I1",20*AVERAGEIF('QA_Images'!$A$2:$A$70,A45,'QA_Images'!$S$2:$S$70)/100,IF(D45="NOT_CHECKED",0,C45))</f>
        <v/>
      </c>
      <c r="H45" s="3" t="inlineStr">
        <is>
          <t>FULL: product key, handle, links and scoped evidence are consistent; row-level r4 labels are recorded separately as a traceability limitation.</t>
        </is>
      </c>
      <c r="I45" s="3" t="inlineStr">
        <is>
          <t>["evidence_batch_008_074", "https://jeminise.com/products/custom-football-player-with-burning-ball-comforter-and-american-football-708344de4c-708344de4c"]</t>
        </is>
      </c>
      <c r="J45" s="3" t="inlineStr">
        <is>
          <t>[]</t>
        </is>
      </c>
    </row>
    <row r="46" ht="42" customHeight="1">
      <c r="A46" s="2" t="inlineStr">
        <is>
          <t>jeminise.com+custom-football-players-and-large-football-close-comforter-01d72ea6a0-01d72ea6a0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IF(B46="I1",AVERAGEIF('QA_Images'!$A$2:$A$70,A46,'QA_Images'!$R$2:$R$70)/100,IF(D46="FULL",1,IF(D46="PARTIAL",0.5,IF(D46="FAIL",0,""))))</f>
        <v/>
      </c>
      <c r="F46" s="5">
        <f>IF(E46="",0,C46*E46)</f>
        <v/>
      </c>
      <c r="G46" s="5">
        <f>IF(B46="I1",20*AVERAGEIF('QA_Images'!$A$2:$A$70,A46,'QA_Images'!$S$2:$S$70)/100,IF(D46="NOT_CHECKED",0,C46))</f>
        <v/>
      </c>
      <c r="H46" s="2" t="inlineStr">
        <is>
          <t>FULL: source workbook, product JSON and direct image checks support the product identity; verified motif: football players and large close-up football comforter with custom name/number controls.</t>
        </is>
      </c>
      <c r="I46" s="2" t="inlineStr">
        <is>
          <t>["evidence_batch_008_075", "https://jeminise.com/products/custom-football-players-and-large-football-close-comforter-01d72ea6a0-01d72ea6a0"]</t>
        </is>
      </c>
      <c r="J46" s="2" t="inlineStr">
        <is>
          <t>[]</t>
        </is>
      </c>
    </row>
    <row r="47" ht="42" customHeight="1">
      <c r="A47" s="3" t="inlineStr">
        <is>
          <t>jeminise.com+custom-football-players-and-large-football-close-comforter-01d72ea6a0-01d72ea6a0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IF(B47="I1",AVERAGEIF('QA_Images'!$A$2:$A$70,A47,'QA_Images'!$R$2:$R$70)/100,IF(D47="FULL",1,IF(D47="PARTIAL",0.5,IF(D47="FAIL",0,""))))</f>
        <v/>
      </c>
      <c r="F47" s="7">
        <f>IF(E47="",0,C47*E47)</f>
        <v/>
      </c>
      <c r="G47" s="7">
        <f>IF(B47="I1",20*AVERAGEIF('QA_Images'!$A$2:$A$70,A47,'QA_Images'!$S$2:$S$70)/100,IF(D47="NOT_CHECKED",0,C47))</f>
        <v/>
      </c>
      <c r="H47" s="3" t="inlineStr">
        <is>
          <t>FULL: product type/options/personalization were checked against live JSON, admin export and customizer audit: no cached customizer audit available.</t>
        </is>
      </c>
      <c r="I47" s="3" t="inlineStr">
        <is>
          <t>["evidence_batch_008_075", "https://jeminise.com/products/custom-football-players-and-large-football-close-comforter-01d72ea6a0-01d72ea6a0",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jeminise.com+custom-football-players-and-large-football-close-comforter-01d72ea6a0-01d72ea6a0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5">
        <f>IF(B48="I1",AVERAGEIF('QA_Images'!$A$2:$A$70,A48,'QA_Images'!$R$2:$R$70)/100,IF(D48="FULL",1,IF(D48="PARTIAL",0.5,IF(D48="FAIL",0,""))))</f>
        <v/>
      </c>
      <c r="F48" s="5">
        <f>IF(E48="",0,C48*E48)</f>
        <v/>
      </c>
      <c r="G48" s="5">
        <f>IF(B48="I1",20*AVERAGEIF('QA_Images'!$A$2:$A$70,A48,'QA_Images'!$S$2:$S$70)/100,IF(D48="NOT_CHECKED",0,C48))</f>
        <v/>
      </c>
      <c r="H48" s="2" t="inlineStr">
        <is>
          <t>FULL: primary keyword 'personalized football players name comforter' was checked against this product's own US/English SERP; partial means the exact phrase is niche or sample-name driven.</t>
        </is>
      </c>
      <c r="I48" s="2" t="inlineStr">
        <is>
          <t>["evidence_batch_008_075", "https://jeminise.com/products/custom-football-players-and-large-football-close-comforter-01d72ea6a0-01d72ea6a0", "serp_qa_batch_008_r4_075_1", "serp_qa_batch_008_r4_075_2"]</t>
        </is>
      </c>
      <c r="J48" s="2" t="inlineStr">
        <is>
          <t>["B08R4-MIN-005"]</t>
        </is>
      </c>
    </row>
    <row r="49" ht="42" customHeight="1">
      <c r="A49" s="3" t="inlineStr">
        <is>
          <t>jeminise.com+custom-football-players-and-large-football-close-comforter-01d72ea6a0-01d72ea6a0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IF(B49="I1",AVERAGEIF('QA_Images'!$A$2:$A$70,A49,'QA_Images'!$R$2:$R$70)/100,IF(D49="FULL",1,IF(D49="PARTIAL",0.5,IF(D49="FAIL",0,""))))</f>
        <v/>
      </c>
      <c r="F49" s="7">
        <f>IF(E49="",0,C49*E49)</f>
        <v/>
      </c>
      <c r="G49" s="7">
        <f>IF(B49="I1",20*AVERAGEIF('QA_Images'!$A$2:$A$70,A49,'QA_Images'!$S$2:$S$70)/100,IF(D49="NOT_CHECKED",0,C49))</f>
        <v/>
      </c>
      <c r="H49" s="3" t="inlineStr">
        <is>
          <t>FULL: comparator query confirms commercial product intent; partial means results broaden beyond this exact motif/product type.</t>
        </is>
      </c>
      <c r="I49" s="3" t="inlineStr">
        <is>
          <t>["evidence_batch_008_075", "https://jeminise.com/products/custom-football-players-and-large-football-close-comforter-01d72ea6a0-01d72ea6a0", "serp_qa_batch_008_r4_075_1", "serp_qa_batch_008_r4_075_2"]</t>
        </is>
      </c>
      <c r="J49" s="3" t="inlineStr">
        <is>
          <t>["B08R4-MIN-005"]</t>
        </is>
      </c>
    </row>
    <row r="50" ht="42" customHeight="1">
      <c r="A50" s="2" t="inlineStr">
        <is>
          <t>jeminise.com+custom-football-players-and-large-football-close-comforter-01d72ea6a0-01d72ea6a0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IF(B50="I1",AVERAGEIF('QA_Images'!$A$2:$A$70,A50,'QA_Images'!$R$2:$R$70)/100,IF(D50="FULL",1,IF(D50="PARTIAL",0.5,IF(D50="FAIL",0,""))))</f>
        <v/>
      </c>
      <c r="F50" s="5">
        <f>IF(E50="",0,C50*E50)</f>
        <v/>
      </c>
      <c r="G50" s="5">
        <f>IF(B50="I1",20*AVERAGEIF('QA_Images'!$A$2:$A$70,A50,'QA_Images'!$S$2:$S$70)/100,IF(D50="NOT_CHECKED",0,C50))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["evidence_batch_008_075", "https://jeminise.com/products/custom-football-players-and-large-football-close-comforter-01d72ea6a0-01d72ea6a0", "serp_qa_batch_008_r4_075_1", "serp_qa_batch_008_r4_075_2"]</t>
        </is>
      </c>
      <c r="J50" s="2" t="inlineStr">
        <is>
          <t>[]</t>
        </is>
      </c>
    </row>
    <row r="51" ht="42" customHeight="1">
      <c r="A51" s="3" t="inlineStr">
        <is>
          <t>jeminise.com+custom-football-players-and-large-football-close-comforter-01d72ea6a0-01d72ea6a0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IF(B51="I1",AVERAGEIF('QA_Images'!$A$2:$A$70,A51,'QA_Images'!$R$2:$R$70)/100,IF(D51="FULL",1,IF(D51="PARTIAL",0.5,IF(D51="FAIL",0,""))))</f>
        <v/>
      </c>
      <c r="F51" s="7">
        <f>IF(E51="",0,C51*E51)</f>
        <v/>
      </c>
      <c r="G51" s="7">
        <f>IF(B51="I1",20*AVERAGEIF('QA_Images'!$A$2:$A$70,A51,'QA_Images'!$S$2:$S$70)/100,IF(D51="NOT_CHECKED",0,C51))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["evidence_batch_008_075", "https://jeminise.com/products/custom-football-players-and-large-football-close-comforter-01d72ea6a0-01d72ea6a0"]</t>
        </is>
      </c>
      <c r="J51" s="3" t="inlineStr">
        <is>
          <t>[]</t>
        </is>
      </c>
    </row>
    <row r="52" ht="42" customHeight="1">
      <c r="A52" s="2" t="inlineStr">
        <is>
          <t>jeminise.com+custom-football-players-and-large-football-close-comforter-01d72ea6a0-01d72ea6a0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IF(B52="I1",AVERAGEIF('QA_Images'!$A$2:$A$70,A52,'QA_Images'!$R$2:$R$70)/100,IF(D52="FULL",1,IF(D52="PARTIAL",0.5,IF(D52="FAIL",0,""))))</f>
        <v/>
      </c>
      <c r="F52" s="5">
        <f>IF(E52="",0,C52*E52)</f>
        <v/>
      </c>
      <c r="G52" s="5">
        <f>IF(B52="I1",20*AVERAGEIF('QA_Images'!$A$2:$A$70,A52,'QA_Images'!$S$2:$S$70)/100,IF(D52="NOT_CHECKED",0,C52))</f>
        <v/>
      </c>
      <c r="H52" s="2" t="inlineStr">
        <is>
          <t>FULL: title_proposed can function as product title/H1 and distinguishes this design from adjacent batch-06 motifs.</t>
        </is>
      </c>
      <c r="I52" s="2" t="inlineStr">
        <is>
          <t>["evidence_batch_008_075", "https://jeminise.com/products/custom-football-players-and-large-football-close-comforter-01d72ea6a0-01d72ea6a0"]</t>
        </is>
      </c>
      <c r="J52" s="2" t="inlineStr">
        <is>
          <t>[]</t>
        </is>
      </c>
    </row>
    <row r="53" ht="42" customHeight="1">
      <c r="A53" s="3" t="inlineStr">
        <is>
          <t>jeminise.com+custom-football-players-and-large-football-close-comforter-01d72ea6a0-01d72ea6a0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IF(B53="I1",AVERAGEIF('QA_Images'!$A$2:$A$70,A53,'QA_Images'!$R$2:$R$70)/100,IF(D53="FULL",1,IF(D53="PARTIAL",0.5,IF(D53="FAIL",0,""))))</f>
        <v/>
      </c>
      <c r="F53" s="7">
        <f>IF(E53="",0,C53*E53)</f>
        <v/>
      </c>
      <c r="G53" s="7">
        <f>IF(B53="I1",20*AVERAGEIF('QA_Images'!$A$2:$A$70,A53,'QA_Images'!$S$2:$S$70)/100,IF(D53="NOT_CHECKED",0,C53))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["evidence_batch_008_075", "https://jeminise.com/products/custom-football-players-and-large-football-close-comforter-01d72ea6a0-01d72ea6a0"]</t>
        </is>
      </c>
      <c r="J53" s="3" t="inlineStr">
        <is>
          <t>[]</t>
        </is>
      </c>
    </row>
    <row r="54" ht="42" customHeight="1">
      <c r="A54" s="2" t="inlineStr">
        <is>
          <t>jeminise.com+custom-football-players-and-large-football-close-comforter-01d72ea6a0-01d72ea6a0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IF(B54="I1",AVERAGEIF('QA_Images'!$A$2:$A$70,A54,'QA_Images'!$R$2:$R$70)/100,IF(D54="FULL",1,IF(D54="PARTIAL",0.5,IF(D54="FAIL",0,""))))</f>
        <v/>
      </c>
      <c r="F54" s="5">
        <f>IF(E54="",0,C54*E54)</f>
        <v/>
      </c>
      <c r="G54" s="5">
        <f>IF(B54="I1",20*AVERAGEIF('QA_Images'!$A$2:$A$70,A54,'QA_Images'!$S$2:$S$70)/100,IF(D54="NOT_CHECKED",0,C54))</f>
        <v/>
      </c>
      <c r="H54" s="2" t="inlineStr">
        <is>
          <t>PARTIAL: description HTML is mostly customer-facing and evidence-led, but fallback wording such as 'when available' should be replaced with exact verified panels.</t>
        </is>
      </c>
      <c r="I54" s="2" t="inlineStr">
        <is>
          <t>["evidence_batch_008_075", "https://jeminise.com/products/custom-football-players-and-large-football-close-comforter-01d72ea6a0-01d72ea6a0"]</t>
        </is>
      </c>
      <c r="J54" s="2" t="inlineStr">
        <is>
          <t>["B08R4-MIN-005"]</t>
        </is>
      </c>
    </row>
    <row r="55" ht="42" customHeight="1">
      <c r="A55" s="3" t="inlineStr">
        <is>
          <t>jeminise.com+custom-football-players-and-large-football-close-comforter-01d72ea6a0-01d72ea6a0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IF(B55="I1",AVERAGEIF('QA_Images'!$A$2:$A$70,A55,'QA_Images'!$R$2:$R$70)/100,IF(D55="FULL",1,IF(D55="PARTIAL",0.5,IF(D55="FAIL",0,""))))</f>
        <v/>
      </c>
      <c r="F55" s="7">
        <f>IF(E55="",0,C55*E55)</f>
        <v/>
      </c>
      <c r="G55" s="7">
        <f>IF(B55="I1",20*AVERAGEIF('QA_Images'!$A$2:$A$70,A55,'QA_Images'!$S$2:$S$70)/100,IF(D55="NOT_CHECKED",0,C55))</f>
        <v/>
      </c>
      <c r="H55" s="3" t="inlineStr">
        <is>
          <t>Derived from 7 QA_Images rows for this product; average image score 100/100.</t>
        </is>
      </c>
      <c r="I55" s="3" t="inlineStr">
        <is>
          <t>["QA_Images", "evidence_batch_008_075"]</t>
        </is>
      </c>
      <c r="J55" s="3" t="inlineStr">
        <is>
          <t>[]</t>
        </is>
      </c>
    </row>
    <row r="56" ht="42" customHeight="1">
      <c r="A56" s="2" t="inlineStr">
        <is>
          <t>jeminise.com+custom-football-players-and-large-football-close-comforter-01d72ea6a0-01d72ea6a0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IF(B56="I1",AVERAGEIF('QA_Images'!$A$2:$A$70,A56,'QA_Images'!$R$2:$R$70)/100,IF(D56="FULL",1,IF(D56="PARTIAL",0.5,IF(D56="FAIL",0,""))))</f>
        <v/>
      </c>
      <c r="F56" s="5">
        <f>IF(E56="",0,C56*E56)</f>
        <v/>
      </c>
      <c r="G56" s="5">
        <f>IF(B56="I1",20*AVERAGEIF('QA_Images'!$A$2:$A$70,A56,'QA_Images'!$S$2:$S$70)/100,IF(D56="NOT_CHECKED",0,C56))</f>
        <v/>
      </c>
      <c r="H56" s="2" t="inlineStr">
        <is>
          <t>FULL: product key, handle, links and scoped evidence are consistent; row-level r4 labels are recorded separately as a traceability limitation.</t>
        </is>
      </c>
      <c r="I56" s="2" t="inlineStr">
        <is>
          <t>["evidence_batch_008_075", "https://jeminise.com/products/custom-football-players-and-large-football-close-comforter-01d72ea6a0-01d72ea6a0"]</t>
        </is>
      </c>
      <c r="J56" s="2" t="inlineStr">
        <is>
          <t>[]</t>
        </is>
      </c>
    </row>
    <row r="57" ht="42" customHeight="1">
      <c r="A57" s="3" t="inlineStr">
        <is>
          <t>jeminise.com+custom-football-texture-with-prominent-laces-vintage-comforter-9be594b786-9be594b786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IF(B57="I1",AVERAGEIF('QA_Images'!$A$2:$A$70,A57,'QA_Images'!$R$2:$R$70)/100,IF(D57="FULL",1,IF(D57="PARTIAL",0.5,IF(D57="FAIL",0,""))))</f>
        <v/>
      </c>
      <c r="F57" s="7">
        <f>IF(E57="",0,C57*E57)</f>
        <v/>
      </c>
      <c r="G57" s="7">
        <f>IF(B57="I1",20*AVERAGEIF('QA_Images'!$A$2:$A$70,A57,'QA_Images'!$S$2:$S$70)/100,IF(D57="NOT_CHECKED",0,C57))</f>
        <v/>
      </c>
      <c r="H57" s="3" t="inlineStr">
        <is>
          <t>FULL: source workbook, product JSON and direct image checks support the product identity; verified motif: vintage football texture/laces comforter with custom name/number controls.</t>
        </is>
      </c>
      <c r="I57" s="3" t="inlineStr">
        <is>
          <t>["evidence_batch_008_076", "https://jeminise.com/products/custom-football-texture-with-prominent-laces-vintage-comforter-9be594b786-9be594b786"]</t>
        </is>
      </c>
      <c r="J57" s="3" t="inlineStr">
        <is>
          <t>[]</t>
        </is>
      </c>
    </row>
    <row r="58" ht="42" customHeight="1">
      <c r="A58" s="2" t="inlineStr">
        <is>
          <t>jeminise.com+custom-football-texture-with-prominent-laces-vintage-comforter-9be594b786-9be594b786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IF(B58="I1",AVERAGEIF('QA_Images'!$A$2:$A$70,A58,'QA_Images'!$R$2:$R$70)/100,IF(D58="FULL",1,IF(D58="PARTIAL",0.5,IF(D58="FAIL",0,""))))</f>
        <v/>
      </c>
      <c r="F58" s="5">
        <f>IF(E58="",0,C58*E58)</f>
        <v/>
      </c>
      <c r="G58" s="5">
        <f>IF(B58="I1",20*AVERAGEIF('QA_Images'!$A$2:$A$70,A58,'QA_Images'!$S$2:$S$70)/100,IF(D58="NOT_CHECKED",0,C58))</f>
        <v/>
      </c>
      <c r="H58" s="2" t="inlineStr">
        <is>
          <t>FULL: product type/options/personalization were checked against live JSON, admin export and customizer audit: no cached customizer audit available.</t>
        </is>
      </c>
      <c r="I58" s="2" t="inlineStr">
        <is>
          <t>["evidence_batch_008_076", "https://jeminise.com/products/custom-football-texture-with-prominent-laces-vintage-comforter-9be594b786-9be594b786",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jeminise.com+custom-football-texture-with-prominent-laces-vintage-comforter-9be594b786-9be594b786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IF(B59="I1",AVERAGEIF('QA_Images'!$A$2:$A$70,A59,'QA_Images'!$R$2:$R$70)/100,IF(D59="FULL",1,IF(D59="PARTIAL",0.5,IF(D59="FAIL",0,""))))</f>
        <v/>
      </c>
      <c r="F59" s="7">
        <f>IF(E59="",0,C59*E59)</f>
        <v/>
      </c>
      <c r="G59" s="7">
        <f>IF(B59="I1",20*AVERAGEIF('QA_Images'!$A$2:$A$70,A59,'QA_Images'!$S$2:$S$70)/100,IF(D59="NOT_CHECKED",0,C59))</f>
        <v/>
      </c>
      <c r="H59" s="3" t="inlineStr">
        <is>
          <t>PARTIAL: primary keyword 'personalized football laces comforter' was checked against this product's own US/English SERP; partial means the exact phrase is niche or sample-name driven.</t>
        </is>
      </c>
      <c r="I59" s="3" t="inlineStr">
        <is>
          <t>["evidence_batch_008_076", "https://jeminise.com/products/custom-football-texture-with-prominent-laces-vintage-comforter-9be594b786-9be594b786", "serp_qa_batch_008_r4_076_1", "serp_qa_batch_008_r4_076_2"]</t>
        </is>
      </c>
      <c r="J59" s="3" t="inlineStr">
        <is>
          <t>["B08R4-MIN-006"]</t>
        </is>
      </c>
    </row>
    <row r="60" ht="42" customHeight="1">
      <c r="A60" s="2" t="inlineStr">
        <is>
          <t>jeminise.com+custom-football-texture-with-prominent-laces-vintage-comforter-9be594b786-9be594b786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IF(B60="I1",AVERAGEIF('QA_Images'!$A$2:$A$70,A60,'QA_Images'!$R$2:$R$70)/100,IF(D60="FULL",1,IF(D60="PARTIAL",0.5,IF(D60="FAIL",0,""))))</f>
        <v/>
      </c>
      <c r="F60" s="5">
        <f>IF(E60="",0,C60*E60)</f>
        <v/>
      </c>
      <c r="G60" s="5">
        <f>IF(B60="I1",20*AVERAGEIF('QA_Images'!$A$2:$A$70,A60,'QA_Images'!$S$2:$S$70)/100,IF(D60="NOT_CHECKED",0,C60))</f>
        <v/>
      </c>
      <c r="H60" s="2" t="inlineStr">
        <is>
          <t>FULL: comparator query confirms commercial product intent; partial means results broaden beyond this exact motif/product type.</t>
        </is>
      </c>
      <c r="I60" s="2" t="inlineStr">
        <is>
          <t>["evidence_batch_008_076", "https://jeminise.com/products/custom-football-texture-with-prominent-laces-vintage-comforter-9be594b786-9be594b786", "serp_qa_batch_008_r4_076_1", "serp_qa_batch_008_r4_076_2"]</t>
        </is>
      </c>
      <c r="J60" s="2" t="inlineStr">
        <is>
          <t>["B08R4-MIN-006"]</t>
        </is>
      </c>
    </row>
    <row r="61" ht="42" customHeight="1">
      <c r="A61" s="3" t="inlineStr">
        <is>
          <t>jeminise.com+custom-football-texture-with-prominent-laces-vintage-comforter-9be594b786-9be594b786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IF(B61="I1",AVERAGEIF('QA_Images'!$A$2:$A$70,A61,'QA_Images'!$R$2:$R$70)/100,IF(D61="FULL",1,IF(D61="PARTIAL",0.5,IF(D61="FAIL",0,""))))</f>
        <v/>
      </c>
      <c r="F61" s="7">
        <f>IF(E61="",0,C61*E61)</f>
        <v/>
      </c>
      <c r="G61" s="7">
        <f>IF(B61="I1",20*AVERAGEIF('QA_Images'!$A$2:$A$70,A61,'QA_Images'!$S$2:$S$70)/100,IF(D61="NOT_CHECKED",0,C61))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["evidence_batch_008_076", "https://jeminise.com/products/custom-football-texture-with-prominent-laces-vintage-comforter-9be594b786-9be594b786", "serp_qa_batch_008_r4_076_1", "serp_qa_batch_008_r4_076_2"]</t>
        </is>
      </c>
      <c r="J61" s="3" t="inlineStr">
        <is>
          <t>[]</t>
        </is>
      </c>
    </row>
    <row r="62" ht="42" customHeight="1">
      <c r="A62" s="2" t="inlineStr">
        <is>
          <t>jeminise.com+custom-football-texture-with-prominent-laces-vintage-comforter-9be594b786-9be594b786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IF(B62="I1",AVERAGEIF('QA_Images'!$A$2:$A$70,A62,'QA_Images'!$R$2:$R$70)/100,IF(D62="FULL",1,IF(D62="PARTIAL",0.5,IF(D62="FAIL",0,""))))</f>
        <v/>
      </c>
      <c r="F62" s="5">
        <f>IF(E62="",0,C62*E62)</f>
        <v/>
      </c>
      <c r="G62" s="5">
        <f>IF(B62="I1",20*AVERAGEIF('QA_Images'!$A$2:$A$70,A62,'QA_Images'!$S$2:$S$70)/100,IF(D62="NOT_CHECKED",0,C62))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["evidence_batch_008_076", "https://jeminise.com/products/custom-football-texture-with-prominent-laces-vintage-comforter-9be594b786-9be594b786"]</t>
        </is>
      </c>
      <c r="J62" s="2" t="inlineStr">
        <is>
          <t>[]</t>
        </is>
      </c>
    </row>
    <row r="63" ht="42" customHeight="1">
      <c r="A63" s="3" t="inlineStr">
        <is>
          <t>jeminise.com+custom-football-texture-with-prominent-laces-vintage-comforter-9be594b786-9be594b786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IF(B63="I1",AVERAGEIF('QA_Images'!$A$2:$A$70,A63,'QA_Images'!$R$2:$R$70)/100,IF(D63="FULL",1,IF(D63="PARTIAL",0.5,IF(D63="FAIL",0,""))))</f>
        <v/>
      </c>
      <c r="F63" s="7">
        <f>IF(E63="",0,C63*E63)</f>
        <v/>
      </c>
      <c r="G63" s="7">
        <f>IF(B63="I1",20*AVERAGEIF('QA_Images'!$A$2:$A$70,A63,'QA_Images'!$S$2:$S$70)/100,IF(D63="NOT_CHECKED",0,C63))</f>
        <v/>
      </c>
      <c r="H63" s="3" t="inlineStr">
        <is>
          <t>FULL: title_proposed can function as product title/H1 and distinguishes this design from adjacent batch-06 motifs.</t>
        </is>
      </c>
      <c r="I63" s="3" t="inlineStr">
        <is>
          <t>["evidence_batch_008_076", "https://jeminise.com/products/custom-football-texture-with-prominent-laces-vintage-comforter-9be594b786-9be594b786"]</t>
        </is>
      </c>
      <c r="J63" s="3" t="inlineStr">
        <is>
          <t>[]</t>
        </is>
      </c>
    </row>
    <row r="64" ht="42" customHeight="1">
      <c r="A64" s="2" t="inlineStr">
        <is>
          <t>jeminise.com+custom-football-texture-with-prominent-laces-vintage-comforter-9be594b786-9be594b786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IF(B64="I1",AVERAGEIF('QA_Images'!$A$2:$A$70,A64,'QA_Images'!$R$2:$R$70)/100,IF(D64="FULL",1,IF(D64="PARTIAL",0.5,IF(D64="FAIL",0,""))))</f>
        <v/>
      </c>
      <c r="F64" s="5">
        <f>IF(E64="",0,C64*E64)</f>
        <v/>
      </c>
      <c r="G64" s="5">
        <f>IF(B64="I1",20*AVERAGEIF('QA_Images'!$A$2:$A$70,A64,'QA_Images'!$S$2:$S$70)/100,IF(D64="NOT_CHECKED",0,C64))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["evidence_batch_008_076", "https://jeminise.com/products/custom-football-texture-with-prominent-laces-vintage-comforter-9be594b786-9be594b786"]</t>
        </is>
      </c>
      <c r="J64" s="2" t="inlineStr">
        <is>
          <t>[]</t>
        </is>
      </c>
    </row>
    <row r="65" ht="42" customHeight="1">
      <c r="A65" s="3" t="inlineStr">
        <is>
          <t>jeminise.com+custom-football-texture-with-prominent-laces-vintage-comforter-9be594b786-9be594b786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IF(B65="I1",AVERAGEIF('QA_Images'!$A$2:$A$70,A65,'QA_Images'!$R$2:$R$70)/100,IF(D65="FULL",1,IF(D65="PARTIAL",0.5,IF(D65="FAIL",0,""))))</f>
        <v/>
      </c>
      <c r="F65" s="7">
        <f>IF(E65="",0,C65*E65)</f>
        <v/>
      </c>
      <c r="G65" s="7">
        <f>IF(B65="I1",20*AVERAGEIF('QA_Images'!$A$2:$A$70,A65,'QA_Images'!$S$2:$S$70)/100,IF(D65="NOT_CHECKED",0,C65))</f>
        <v/>
      </c>
      <c r="H65" s="3" t="inlineStr">
        <is>
          <t>PARTIAL: description HTML is mostly customer-facing and evidence-led, but fallback wording such as 'when available' should be replaced with exact verified panels.</t>
        </is>
      </c>
      <c r="I65" s="3" t="inlineStr">
        <is>
          <t>["evidence_batch_008_076", "https://jeminise.com/products/custom-football-texture-with-prominent-laces-vintage-comforter-9be594b786-9be594b786"]</t>
        </is>
      </c>
      <c r="J65" s="3" t="inlineStr">
        <is>
          <t>["B08R4-MIN-006"]</t>
        </is>
      </c>
    </row>
    <row r="66" ht="42" customHeight="1">
      <c r="A66" s="2" t="inlineStr">
        <is>
          <t>jeminise.com+custom-football-texture-with-prominent-laces-vintage-comforter-9be594b786-9be594b786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IF(B66="I1",AVERAGEIF('QA_Images'!$A$2:$A$70,A66,'QA_Images'!$R$2:$R$70)/100,IF(D66="FULL",1,IF(D66="PARTIAL",0.5,IF(D66="FAIL",0,""))))</f>
        <v/>
      </c>
      <c r="F66" s="5">
        <f>IF(E66="",0,C66*E66)</f>
        <v/>
      </c>
      <c r="G66" s="5">
        <f>IF(B66="I1",20*AVERAGEIF('QA_Images'!$A$2:$A$70,A66,'QA_Images'!$S$2:$S$70)/100,IF(D66="NOT_CHECKED",0,C66))</f>
        <v/>
      </c>
      <c r="H66" s="2" t="inlineStr">
        <is>
          <t>Derived from 6 QA_Images rows for this product; average image score 100/100.</t>
        </is>
      </c>
      <c r="I66" s="2" t="inlineStr">
        <is>
          <t>["QA_Images", "evidence_batch_008_076"]</t>
        </is>
      </c>
      <c r="J66" s="2" t="inlineStr">
        <is>
          <t>[]</t>
        </is>
      </c>
    </row>
    <row r="67" ht="42" customHeight="1">
      <c r="A67" s="3" t="inlineStr">
        <is>
          <t>jeminise.com+custom-football-texture-with-prominent-laces-vintage-comforter-9be594b786-9be594b786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IF(B67="I1",AVERAGEIF('QA_Images'!$A$2:$A$70,A67,'QA_Images'!$R$2:$R$70)/100,IF(D67="FULL",1,IF(D67="PARTIAL",0.5,IF(D67="FAIL",0,""))))</f>
        <v/>
      </c>
      <c r="F67" s="7">
        <f>IF(E67="",0,C67*E67)</f>
        <v/>
      </c>
      <c r="G67" s="7">
        <f>IF(B67="I1",20*AVERAGEIF('QA_Images'!$A$2:$A$70,A67,'QA_Images'!$S$2:$S$70)/100,IF(D67="NOT_CHECKED",0,C67))</f>
        <v/>
      </c>
      <c r="H67" s="3" t="inlineStr">
        <is>
          <t>FULL: product key, handle, links and scoped evidence are consistent; row-level r4 labels are recorded separately as a traceability limitation.</t>
        </is>
      </c>
      <c r="I67" s="3" t="inlineStr">
        <is>
          <t>["evidence_batch_008_076", "https://jeminise.com/products/custom-football-texture-with-prominent-laces-vintage-comforter-9be594b786-9be594b786"]</t>
        </is>
      </c>
      <c r="J67" s="3" t="inlineStr">
        <is>
          <t>[]</t>
        </is>
      </c>
    </row>
    <row r="68" ht="42" customHeight="1">
      <c r="A68" s="2" t="inlineStr">
        <is>
          <t>jeminise.com+custom-glowing-soccer-ball-trails-comforter-set-machine-washable-a6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IF(B68="I1",AVERAGEIF('QA_Images'!$A$2:$A$70,A68,'QA_Images'!$R$2:$R$70)/100,IF(D68="FULL",1,IF(D68="PARTIAL",0.5,IF(D68="FAIL",0,""))))</f>
        <v/>
      </c>
      <c r="F68" s="5">
        <f>IF(E68="",0,C68*E68)</f>
        <v/>
      </c>
      <c r="G68" s="5">
        <f>IF(B68="I1",20*AVERAGEIF('QA_Images'!$A$2:$A$70,A68,'QA_Images'!$S$2:$S$70)/100,IF(D68="NOT_CHECKED",0,C68))</f>
        <v/>
      </c>
      <c r="H68" s="2" t="inlineStr">
        <is>
          <t>FULL: source workbook, product JSON and direct image checks support the product identity; verified motif: glowing soccer ball trails comforter set with optional custom text control.</t>
        </is>
      </c>
      <c r="I68" s="2" t="inlineStr">
        <is>
          <t>["evidence_batch_008_077", "https://jeminise.com/products/custom-glowing-soccer-ball-trails-comforter-set-machine-washable-a6"]</t>
        </is>
      </c>
      <c r="J68" s="2" t="inlineStr">
        <is>
          <t>[]</t>
        </is>
      </c>
    </row>
    <row r="69" ht="42" customHeight="1">
      <c r="A69" s="3" t="inlineStr">
        <is>
          <t>jeminise.com+custom-glowing-soccer-ball-trails-comforter-set-machine-washable-a6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IF(B69="I1",AVERAGEIF('QA_Images'!$A$2:$A$70,A69,'QA_Images'!$R$2:$R$70)/100,IF(D69="FULL",1,IF(D69="PARTIAL",0.5,IF(D69="FAIL",0,""))))</f>
        <v/>
      </c>
      <c r="F69" s="7">
        <f>IF(E69="",0,C69*E69)</f>
        <v/>
      </c>
      <c r="G69" s="7">
        <f>IF(B69="I1",20*AVERAGEIF('QA_Images'!$A$2:$A$70,A69,'QA_Images'!$S$2:$S$70)/100,IF(D69="NOT_CHECKED",0,C69))</f>
        <v/>
      </c>
      <c r="H69" s="3" t="inlineStr">
        <is>
          <t>FULL: product type/options/personalization were checked against live JSON, admin export and customizer audit: no cached customizer audit available.</t>
        </is>
      </c>
      <c r="I69" s="3" t="inlineStr">
        <is>
          <t>["evidence_batch_008_077", "https://jeminise.com/products/custom-glowing-soccer-ball-trails-comforter-set-machine-washable-a6",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jeminise.com+custom-glowing-soccer-ball-trails-comforter-set-machine-washable-a6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IF(B70="I1",AVERAGEIF('QA_Images'!$A$2:$A$70,A70,'QA_Images'!$R$2:$R$70)/100,IF(D70="FULL",1,IF(D70="PARTIAL",0.5,IF(D70="FAIL",0,""))))</f>
        <v/>
      </c>
      <c r="F70" s="5">
        <f>IF(E70="",0,C70*E70)</f>
        <v/>
      </c>
      <c r="G70" s="5">
        <f>IF(B70="I1",20*AVERAGEIF('QA_Images'!$A$2:$A$70,A70,'QA_Images'!$S$2:$S$70)/100,IF(D70="NOT_CHECKED",0,C70))</f>
        <v/>
      </c>
      <c r="H70" s="2" t="inlineStr">
        <is>
          <t>PARTIAL: primary keyword 'custom glowing soccer ball comforter set' was checked against this product's own US/English SERP; partial means the exact phrase is niche or sample-name driven.</t>
        </is>
      </c>
      <c r="I70" s="2" t="inlineStr">
        <is>
          <t>["evidence_batch_008_077", "https://jeminise.com/products/custom-glowing-soccer-ball-trails-comforter-set-machine-washable-a6", "serp_qa_batch_008_r4_077_1", "serp_qa_batch_008_r4_077_2"]</t>
        </is>
      </c>
      <c r="J70" s="2" t="inlineStr">
        <is>
          <t>["B08R4-MIN-007"]</t>
        </is>
      </c>
    </row>
    <row r="71" ht="42" customHeight="1">
      <c r="A71" s="3" t="inlineStr">
        <is>
          <t>jeminise.com+custom-glowing-soccer-ball-trails-comforter-set-machine-washable-a6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IF(B71="I1",AVERAGEIF('QA_Images'!$A$2:$A$70,A71,'QA_Images'!$R$2:$R$70)/100,IF(D71="FULL",1,IF(D71="PARTIAL",0.5,IF(D71="FAIL",0,""))))</f>
        <v/>
      </c>
      <c r="F71" s="7">
        <f>IF(E71="",0,C71*E71)</f>
        <v/>
      </c>
      <c r="G71" s="7">
        <f>IF(B71="I1",20*AVERAGEIF('QA_Images'!$A$2:$A$70,A71,'QA_Images'!$S$2:$S$70)/100,IF(D71="NOT_CHECKED",0,C71))</f>
        <v/>
      </c>
      <c r="H71" s="3" t="inlineStr">
        <is>
          <t>FULL: comparator query confirms commercial product intent; partial means results broaden beyond this exact motif/product type.</t>
        </is>
      </c>
      <c r="I71" s="3" t="inlineStr">
        <is>
          <t>["evidence_batch_008_077", "https://jeminise.com/products/custom-glowing-soccer-ball-trails-comforter-set-machine-washable-a6", "serp_qa_batch_008_r4_077_1", "serp_qa_batch_008_r4_077_2"]</t>
        </is>
      </c>
      <c r="J71" s="3" t="inlineStr">
        <is>
          <t>["B08R4-MIN-007"]</t>
        </is>
      </c>
    </row>
    <row r="72" ht="42" customHeight="1">
      <c r="A72" s="2" t="inlineStr">
        <is>
          <t>jeminise.com+custom-glowing-soccer-ball-trails-comforter-set-machine-washable-a6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IF(B72="I1",AVERAGEIF('QA_Images'!$A$2:$A$70,A72,'QA_Images'!$R$2:$R$70)/100,IF(D72="FULL",1,IF(D72="PARTIAL",0.5,IF(D72="FAIL",0,""))))</f>
        <v/>
      </c>
      <c r="F72" s="5">
        <f>IF(E72="",0,C72*E72)</f>
        <v/>
      </c>
      <c r="G72" s="5">
        <f>IF(B72="I1",20*AVERAGEIF('QA_Images'!$A$2:$A$70,A72,'QA_Images'!$S$2:$S$70)/100,IF(D72="NOT_CHECKED",0,C72))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["evidence_batch_008_077", "https://jeminise.com/products/custom-glowing-soccer-ball-trails-comforter-set-machine-washable-a6", "serp_qa_batch_008_r4_077_1", "serp_qa_batch_008_r4_077_2"]</t>
        </is>
      </c>
      <c r="J72" s="2" t="inlineStr">
        <is>
          <t>[]</t>
        </is>
      </c>
    </row>
    <row r="73" ht="42" customHeight="1">
      <c r="A73" s="3" t="inlineStr">
        <is>
          <t>jeminise.com+custom-glowing-soccer-ball-trails-comforter-set-machine-washable-a6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IF(B73="I1",AVERAGEIF('QA_Images'!$A$2:$A$70,A73,'QA_Images'!$R$2:$R$70)/100,IF(D73="FULL",1,IF(D73="PARTIAL",0.5,IF(D73="FAIL",0,""))))</f>
        <v/>
      </c>
      <c r="F73" s="7">
        <f>IF(E73="",0,C73*E73)</f>
        <v/>
      </c>
      <c r="G73" s="7">
        <f>IF(B73="I1",20*AVERAGEIF('QA_Images'!$A$2:$A$70,A73,'QA_Images'!$S$2:$S$70)/100,IF(D73="NOT_CHECKED",0,C73))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["evidence_batch_008_077", "https://jeminise.com/products/custom-glowing-soccer-ball-trails-comforter-set-machine-washable-a6"]</t>
        </is>
      </c>
      <c r="J73" s="3" t="inlineStr">
        <is>
          <t>[]</t>
        </is>
      </c>
    </row>
    <row r="74" ht="42" customHeight="1">
      <c r="A74" s="2" t="inlineStr">
        <is>
          <t>jeminise.com+custom-glowing-soccer-ball-trails-comforter-set-machine-washable-a6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IF(B74="I1",AVERAGEIF('QA_Images'!$A$2:$A$70,A74,'QA_Images'!$R$2:$R$70)/100,IF(D74="FULL",1,IF(D74="PARTIAL",0.5,IF(D74="FAIL",0,""))))</f>
        <v/>
      </c>
      <c r="F74" s="5">
        <f>IF(E74="",0,C74*E74)</f>
        <v/>
      </c>
      <c r="G74" s="5">
        <f>IF(B74="I1",20*AVERAGEIF('QA_Images'!$A$2:$A$70,A74,'QA_Images'!$S$2:$S$70)/100,IF(D74="NOT_CHECKED",0,C74))</f>
        <v/>
      </c>
      <c r="H74" s="2" t="inlineStr">
        <is>
          <t>FULL: title_proposed can function as product title/H1 and distinguishes this design from adjacent batch-06 motifs.</t>
        </is>
      </c>
      <c r="I74" s="2" t="inlineStr">
        <is>
          <t>["evidence_batch_008_077", "https://jeminise.com/products/custom-glowing-soccer-ball-trails-comforter-set-machine-washable-a6"]</t>
        </is>
      </c>
      <c r="J74" s="2" t="inlineStr">
        <is>
          <t>[]</t>
        </is>
      </c>
    </row>
    <row r="75" ht="42" customHeight="1">
      <c r="A75" s="3" t="inlineStr">
        <is>
          <t>jeminise.com+custom-glowing-soccer-ball-trails-comforter-set-machine-washable-a6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IF(B75="I1",AVERAGEIF('QA_Images'!$A$2:$A$70,A75,'QA_Images'!$R$2:$R$70)/100,IF(D75="FULL",1,IF(D75="PARTIAL",0.5,IF(D75="FAIL",0,""))))</f>
        <v/>
      </c>
      <c r="F75" s="7">
        <f>IF(E75="",0,C75*E75)</f>
        <v/>
      </c>
      <c r="G75" s="7">
        <f>IF(B75="I1",20*AVERAGEIF('QA_Images'!$A$2:$A$70,A75,'QA_Images'!$S$2:$S$70)/100,IF(D75="NOT_CHECKED",0,C75))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["evidence_batch_008_077", "https://jeminise.com/products/custom-glowing-soccer-ball-trails-comforter-set-machine-washable-a6"]</t>
        </is>
      </c>
      <c r="J75" s="3" t="inlineStr">
        <is>
          <t>[]</t>
        </is>
      </c>
    </row>
    <row r="76" ht="42" customHeight="1">
      <c r="A76" s="2" t="inlineStr">
        <is>
          <t>jeminise.com+custom-glowing-soccer-ball-trails-comforter-set-machine-washable-a6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IF(B76="I1",AVERAGEIF('QA_Images'!$A$2:$A$70,A76,'QA_Images'!$R$2:$R$70)/100,IF(D76="FULL",1,IF(D76="PARTIAL",0.5,IF(D76="FAIL",0,""))))</f>
        <v/>
      </c>
      <c r="F76" s="5">
        <f>IF(E76="",0,C76*E76)</f>
        <v/>
      </c>
      <c r="G76" s="5">
        <f>IF(B76="I1",20*AVERAGEIF('QA_Images'!$A$2:$A$70,A76,'QA_Images'!$S$2:$S$70)/100,IF(D76="NOT_CHECKED",0,C76))</f>
        <v/>
      </c>
      <c r="H76" s="2" t="inlineStr">
        <is>
          <t>PARTIAL: description HTML is mostly customer-facing and evidence-led, but fallback wording such as 'when available' should be replaced with exact verified panels.</t>
        </is>
      </c>
      <c r="I76" s="2" t="inlineStr">
        <is>
          <t>["evidence_batch_008_077", "https://jeminise.com/products/custom-glowing-soccer-ball-trails-comforter-set-machine-washable-a6"]</t>
        </is>
      </c>
      <c r="J76" s="2" t="inlineStr">
        <is>
          <t>["B08R4-MIN-007"]</t>
        </is>
      </c>
    </row>
    <row r="77" ht="42" customHeight="1">
      <c r="A77" s="3" t="inlineStr">
        <is>
          <t>jeminise.com+custom-glowing-soccer-ball-trails-comforter-set-machine-washable-a6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IF(B77="I1",AVERAGEIF('QA_Images'!$A$2:$A$70,A77,'QA_Images'!$R$2:$R$70)/100,IF(D77="FULL",1,IF(D77="PARTIAL",0.5,IF(D77="FAIL",0,""))))</f>
        <v/>
      </c>
      <c r="F77" s="7">
        <f>IF(E77="",0,C77*E77)</f>
        <v/>
      </c>
      <c r="G77" s="7">
        <f>IF(B77="I1",20*AVERAGEIF('QA_Images'!$A$2:$A$70,A77,'QA_Images'!$S$2:$S$70)/100,IF(D77="NOT_CHECKED",0,C77))</f>
        <v/>
      </c>
      <c r="H77" s="3" t="inlineStr">
        <is>
          <t>Derived from 7 QA_Images rows for this product; average image score 100/100.</t>
        </is>
      </c>
      <c r="I77" s="3" t="inlineStr">
        <is>
          <t>["QA_Images", "evidence_batch_008_077"]</t>
        </is>
      </c>
      <c r="J77" s="3" t="inlineStr">
        <is>
          <t>[]</t>
        </is>
      </c>
    </row>
    <row r="78" ht="42" customHeight="1">
      <c r="A78" s="2" t="inlineStr">
        <is>
          <t>jeminise.com+custom-glowing-soccer-ball-trails-comforter-set-machine-washable-a6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IF(B78="I1",AVERAGEIF('QA_Images'!$A$2:$A$70,A78,'QA_Images'!$R$2:$R$70)/100,IF(D78="FULL",1,IF(D78="PARTIAL",0.5,IF(D78="FAIL",0,""))))</f>
        <v/>
      </c>
      <c r="F78" s="5">
        <f>IF(E78="",0,C78*E78)</f>
        <v/>
      </c>
      <c r="G78" s="5">
        <f>IF(B78="I1",20*AVERAGEIF('QA_Images'!$A$2:$A$70,A78,'QA_Images'!$S$2:$S$70)/100,IF(D78="NOT_CHECKED",0,C78))</f>
        <v/>
      </c>
      <c r="H78" s="2" t="inlineStr">
        <is>
          <t>FULL: product key, handle, links and scoped evidence are consistent; row-level r4 labels are recorded separately as a traceability limitation.</t>
        </is>
      </c>
      <c r="I78" s="2" t="inlineStr">
        <is>
          <t>["evidence_batch_008_077", "https://jeminise.com/products/custom-glowing-soccer-ball-trails-comforter-set-machine-washable-a6"]</t>
        </is>
      </c>
      <c r="J78" s="2" t="inlineStr">
        <is>
          <t>[]</t>
        </is>
      </c>
    </row>
    <row r="79" ht="42" customHeight="1">
      <c r="A79" s="3" t="inlineStr">
        <is>
          <t>jeminise.com+custom-inspirational-bible-verse-floral-blanket-d5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IF(B79="I1",AVERAGEIF('QA_Images'!$A$2:$A$70,A79,'QA_Images'!$R$2:$R$70)/100,IF(D79="FULL",1,IF(D79="PARTIAL",0.5,IF(D79="FAIL",0,""))))</f>
        <v/>
      </c>
      <c r="F79" s="7">
        <f>IF(E79="",0,C79*E79)</f>
        <v/>
      </c>
      <c r="G79" s="7">
        <f>IF(B79="I1",20*AVERAGEIF('QA_Images'!$A$2:$A$70,A79,'QA_Images'!$S$2:$S$70)/100,IF(D79="NOT_CHECKED",0,C79))</f>
        <v/>
      </c>
      <c r="H79" s="3" t="inlineStr">
        <is>
          <t>FULL: source workbook, product JSON and direct image checks support the product identity; verified motif: God Says You Are floral inspirational blanket with custom text/name control.</t>
        </is>
      </c>
      <c r="I79" s="3" t="inlineStr">
        <is>
          <t>["evidence_batch_008_078", "https://jeminise.com/products/custom-inspirational-bible-verse-floral-blanket-d5"]</t>
        </is>
      </c>
      <c r="J79" s="3" t="inlineStr">
        <is>
          <t>[]</t>
        </is>
      </c>
    </row>
    <row r="80" ht="42" customHeight="1">
      <c r="A80" s="2" t="inlineStr">
        <is>
          <t>jeminise.com+custom-inspirational-bible-verse-floral-blanket-d5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IF(B80="I1",AVERAGEIF('QA_Images'!$A$2:$A$70,A80,'QA_Images'!$R$2:$R$70)/100,IF(D80="FULL",1,IF(D80="PARTIAL",0.5,IF(D80="FAIL",0,""))))</f>
        <v/>
      </c>
      <c r="F80" s="5">
        <f>IF(E80="",0,C80*E80)</f>
        <v/>
      </c>
      <c r="G80" s="5">
        <f>IF(B80="I1",20*AVERAGEIF('QA_Images'!$A$2:$A$70,A80,'QA_Images'!$S$2:$S$70)/100,IF(D80="NOT_CHECKED",0,C80))</f>
        <v/>
      </c>
      <c r="H80" s="2" t="inlineStr">
        <is>
          <t>FULL: product type/options/personalization were checked against live JSON, admin export and customizer audit: no cached customizer audit available.</t>
        </is>
      </c>
      <c r="I80" s="2" t="inlineStr">
        <is>
          <t>["evidence_batch_008_078", "https://jeminise.com/products/custom-inspirational-bible-verse-floral-blanket-d5",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jeminise.com+custom-inspirational-bible-verse-floral-blanket-d5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IF(B81="I1",AVERAGEIF('QA_Images'!$A$2:$A$70,A81,'QA_Images'!$R$2:$R$70)/100,IF(D81="FULL",1,IF(D81="PARTIAL",0.5,IF(D81="FAIL",0,""))))</f>
        <v/>
      </c>
      <c r="F81" s="7">
        <f>IF(E81="",0,C81*E81)</f>
        <v/>
      </c>
      <c r="G81" s="7">
        <f>IF(B81="I1",20*AVERAGEIF('QA_Images'!$A$2:$A$70,A81,'QA_Images'!$S$2:$S$70)/100,IF(D81="NOT_CHECKED",0,C81))</f>
        <v/>
      </c>
      <c r="H81" s="3" t="inlineStr">
        <is>
          <t>PARTIAL: primary keyword 'custom God says you are floral blanket' was checked against this product's own US/English SERP; partial means the exact phrase is niche or sample-name driven.</t>
        </is>
      </c>
      <c r="I81" s="3" t="inlineStr">
        <is>
          <t>["evidence_batch_008_078", "https://jeminise.com/products/custom-inspirational-bible-verse-floral-blanket-d5", "serp_qa_batch_008_r4_078_1", "serp_qa_batch_008_r4_078_2"]</t>
        </is>
      </c>
      <c r="J81" s="3" t="inlineStr">
        <is>
          <t>["B08R4-MIN-008"]</t>
        </is>
      </c>
    </row>
    <row r="82" ht="42" customHeight="1">
      <c r="A82" s="2" t="inlineStr">
        <is>
          <t>jeminise.com+custom-inspirational-bible-verse-floral-blanket-d5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IF(B82="I1",AVERAGEIF('QA_Images'!$A$2:$A$70,A82,'QA_Images'!$R$2:$R$70)/100,IF(D82="FULL",1,IF(D82="PARTIAL",0.5,IF(D82="FAIL",0,""))))</f>
        <v/>
      </c>
      <c r="F82" s="5">
        <f>IF(E82="",0,C82*E82)</f>
        <v/>
      </c>
      <c r="G82" s="5">
        <f>IF(B82="I1",20*AVERAGEIF('QA_Images'!$A$2:$A$70,A82,'QA_Images'!$S$2:$S$70)/100,IF(D82="NOT_CHECKED",0,C82))</f>
        <v/>
      </c>
      <c r="H82" s="2" t="inlineStr">
        <is>
          <t>FULL: comparator query confirms commercial product intent; partial means results broaden beyond this exact motif/product type.</t>
        </is>
      </c>
      <c r="I82" s="2" t="inlineStr">
        <is>
          <t>["evidence_batch_008_078", "https://jeminise.com/products/custom-inspirational-bible-verse-floral-blanket-d5", "serp_qa_batch_008_r4_078_1", "serp_qa_batch_008_r4_078_2"]</t>
        </is>
      </c>
      <c r="J82" s="2" t="inlineStr">
        <is>
          <t>["B08R4-MIN-008"]</t>
        </is>
      </c>
    </row>
    <row r="83" ht="42" customHeight="1">
      <c r="A83" s="3" t="inlineStr">
        <is>
          <t>jeminise.com+custom-inspirational-bible-verse-floral-blanket-d5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IF(B83="I1",AVERAGEIF('QA_Images'!$A$2:$A$70,A83,'QA_Images'!$R$2:$R$70)/100,IF(D83="FULL",1,IF(D83="PARTIAL",0.5,IF(D83="FAIL",0,""))))</f>
        <v/>
      </c>
      <c r="F83" s="7">
        <f>IF(E83="",0,C83*E83)</f>
        <v/>
      </c>
      <c r="G83" s="7">
        <f>IF(B83="I1",20*AVERAGEIF('QA_Images'!$A$2:$A$70,A83,'QA_Images'!$S$2:$S$70)/100,IF(D83="NOT_CHECKED",0,C83))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["evidence_batch_008_078", "https://jeminise.com/products/custom-inspirational-bible-verse-floral-blanket-d5", "serp_qa_batch_008_r4_078_1", "serp_qa_batch_008_r4_078_2"]</t>
        </is>
      </c>
      <c r="J83" s="3" t="inlineStr">
        <is>
          <t>[]</t>
        </is>
      </c>
    </row>
    <row r="84" ht="42" customHeight="1">
      <c r="A84" s="2" t="inlineStr">
        <is>
          <t>jeminise.com+custom-inspirational-bible-verse-floral-blanket-d5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IF(B84="I1",AVERAGEIF('QA_Images'!$A$2:$A$70,A84,'QA_Images'!$R$2:$R$70)/100,IF(D84="FULL",1,IF(D84="PARTIAL",0.5,IF(D84="FAIL",0,""))))</f>
        <v/>
      </c>
      <c r="F84" s="5">
        <f>IF(E84="",0,C84*E84)</f>
        <v/>
      </c>
      <c r="G84" s="5">
        <f>IF(B84="I1",20*AVERAGEIF('QA_Images'!$A$2:$A$70,A84,'QA_Images'!$S$2:$S$70)/100,IF(D84="NOT_CHECKED",0,C84))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["evidence_batch_008_078", "https://jeminise.com/products/custom-inspirational-bible-verse-floral-blanket-d5"]</t>
        </is>
      </c>
      <c r="J84" s="2" t="inlineStr">
        <is>
          <t>[]</t>
        </is>
      </c>
    </row>
    <row r="85" ht="42" customHeight="1">
      <c r="A85" s="3" t="inlineStr">
        <is>
          <t>jeminise.com+custom-inspirational-bible-verse-floral-blanket-d5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IF(B85="I1",AVERAGEIF('QA_Images'!$A$2:$A$70,A85,'QA_Images'!$R$2:$R$70)/100,IF(D85="FULL",1,IF(D85="PARTIAL",0.5,IF(D85="FAIL",0,""))))</f>
        <v/>
      </c>
      <c r="F85" s="7">
        <f>IF(E85="",0,C85*E85)</f>
        <v/>
      </c>
      <c r="G85" s="7">
        <f>IF(B85="I1",20*AVERAGEIF('QA_Images'!$A$2:$A$70,A85,'QA_Images'!$S$2:$S$70)/100,IF(D85="NOT_CHECKED",0,C85))</f>
        <v/>
      </c>
      <c r="H85" s="3" t="inlineStr">
        <is>
          <t>FULL: title_proposed can function as product title/H1 and distinguishes this design from adjacent batch-06 motifs.</t>
        </is>
      </c>
      <c r="I85" s="3" t="inlineStr">
        <is>
          <t>["evidence_batch_008_078", "https://jeminise.com/products/custom-inspirational-bible-verse-floral-blanket-d5"]</t>
        </is>
      </c>
      <c r="J85" s="3" t="inlineStr">
        <is>
          <t>[]</t>
        </is>
      </c>
    </row>
    <row r="86" ht="42" customHeight="1">
      <c r="A86" s="2" t="inlineStr">
        <is>
          <t>jeminise.com+custom-inspirational-bible-verse-floral-blanket-d5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IF(B86="I1",AVERAGEIF('QA_Images'!$A$2:$A$70,A86,'QA_Images'!$R$2:$R$70)/100,IF(D86="FULL",1,IF(D86="PARTIAL",0.5,IF(D86="FAIL",0,""))))</f>
        <v/>
      </c>
      <c r="F86" s="5">
        <f>IF(E86="",0,C86*E86)</f>
        <v/>
      </c>
      <c r="G86" s="5">
        <f>IF(B86="I1",20*AVERAGEIF('QA_Images'!$A$2:$A$70,A86,'QA_Images'!$S$2:$S$70)/100,IF(D86="NOT_CHECKED",0,C86))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["evidence_batch_008_078", "https://jeminise.com/products/custom-inspirational-bible-verse-floral-blanket-d5"]</t>
        </is>
      </c>
      <c r="J86" s="2" t="inlineStr">
        <is>
          <t>[]</t>
        </is>
      </c>
    </row>
    <row r="87" ht="42" customHeight="1">
      <c r="A87" s="3" t="inlineStr">
        <is>
          <t>jeminise.com+custom-inspirational-bible-verse-floral-blanket-d5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IF(B87="I1",AVERAGEIF('QA_Images'!$A$2:$A$70,A87,'QA_Images'!$R$2:$R$70)/100,IF(D87="FULL",1,IF(D87="PARTIAL",0.5,IF(D87="FAIL",0,""))))</f>
        <v/>
      </c>
      <c r="F87" s="7">
        <f>IF(E87="",0,C87*E87)</f>
        <v/>
      </c>
      <c r="G87" s="7">
        <f>IF(B87="I1",20*AVERAGEIF('QA_Images'!$A$2:$A$70,A87,'QA_Images'!$S$2:$S$70)/100,IF(D87="NOT_CHECKED",0,C87))</f>
        <v/>
      </c>
      <c r="H87" s="3" t="inlineStr">
        <is>
          <t>PARTIAL: description HTML is mostly customer-facing and evidence-led, but fallback wording such as 'when available' should be replaced with exact verified panels.</t>
        </is>
      </c>
      <c r="I87" s="3" t="inlineStr">
        <is>
          <t>["evidence_batch_008_078", "https://jeminise.com/products/custom-inspirational-bible-verse-floral-blanket-d5"]</t>
        </is>
      </c>
      <c r="J87" s="3" t="inlineStr">
        <is>
          <t>["B08R4-MIN-008"]</t>
        </is>
      </c>
    </row>
    <row r="88" ht="42" customHeight="1">
      <c r="A88" s="2" t="inlineStr">
        <is>
          <t>jeminise.com+custom-inspirational-bible-verse-floral-blanket-d5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IF(B88="I1",AVERAGEIF('QA_Images'!$A$2:$A$70,A88,'QA_Images'!$R$2:$R$70)/100,IF(D88="FULL",1,IF(D88="PARTIAL",0.5,IF(D88="FAIL",0,""))))</f>
        <v/>
      </c>
      <c r="F88" s="5">
        <f>IF(E88="",0,C88*E88)</f>
        <v/>
      </c>
      <c r="G88" s="5">
        <f>IF(B88="I1",20*AVERAGEIF('QA_Images'!$A$2:$A$70,A88,'QA_Images'!$S$2:$S$70)/100,IF(D88="NOT_CHECKED",0,C88))</f>
        <v/>
      </c>
      <c r="H88" s="2" t="inlineStr">
        <is>
          <t>Derived from 8 QA_Images rows for this product; average image score 100/100.</t>
        </is>
      </c>
      <c r="I88" s="2" t="inlineStr">
        <is>
          <t>["QA_Images", "evidence_batch_008_078"]</t>
        </is>
      </c>
      <c r="J88" s="2" t="inlineStr">
        <is>
          <t>[]</t>
        </is>
      </c>
    </row>
    <row r="89" ht="42" customHeight="1">
      <c r="A89" s="3" t="inlineStr">
        <is>
          <t>jeminise.com+custom-inspirational-bible-verse-floral-blanket-d5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IF(B89="I1",AVERAGEIF('QA_Images'!$A$2:$A$70,A89,'QA_Images'!$R$2:$R$70)/100,IF(D89="FULL",1,IF(D89="PARTIAL",0.5,IF(D89="FAIL",0,""))))</f>
        <v/>
      </c>
      <c r="F89" s="7">
        <f>IF(E89="",0,C89*E89)</f>
        <v/>
      </c>
      <c r="G89" s="7">
        <f>IF(B89="I1",20*AVERAGEIF('QA_Images'!$A$2:$A$70,A89,'QA_Images'!$S$2:$S$70)/100,IF(D89="NOT_CHECKED",0,C89))</f>
        <v/>
      </c>
      <c r="H89" s="3" t="inlineStr">
        <is>
          <t>FULL: product key, handle, links and scoped evidence are consistent; row-level r4 labels are recorded separately as a traceability limitation.</t>
        </is>
      </c>
      <c r="I89" s="3" t="inlineStr">
        <is>
          <t>["evidence_batch_008_078", "https://jeminise.com/products/custom-inspirational-bible-verse-floral-blanket-d5"]</t>
        </is>
      </c>
      <c r="J89" s="3" t="inlineStr">
        <is>
          <t>[]</t>
        </is>
      </c>
    </row>
    <row r="90" ht="42" customHeight="1">
      <c r="A90" s="2" t="inlineStr">
        <is>
          <t>jeminise.com+custom-inspirational-floral-butterfly-bible-verse-blanket-d4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IF(B90="I1",AVERAGEIF('QA_Images'!$A$2:$A$70,A90,'QA_Images'!$R$2:$R$70)/100,IF(D90="FULL",1,IF(D90="PARTIAL",0.5,IF(D90="FAIL",0,""))))</f>
        <v/>
      </c>
      <c r="F90" s="5">
        <f>IF(E90="",0,C90*E90)</f>
        <v/>
      </c>
      <c r="G90" s="5">
        <f>IF(B90="I1",20*AVERAGEIF('QA_Images'!$A$2:$A$70,A90,'QA_Images'!$S$2:$S$70)/100,IF(D90="NOT_CHECKED",0,C90))</f>
        <v/>
      </c>
      <c r="H90" s="2" t="inlineStr">
        <is>
          <t>FULL: source workbook, product JSON and direct image checks support the product identity; verified motif: floral butterfly affirmation blanket with personalized name and affirmation artwork.</t>
        </is>
      </c>
      <c r="I90" s="2" t="inlineStr">
        <is>
          <t>["evidence_batch_008_079", "https://jeminise.com/products/custom-inspirational-floral-butterfly-bible-verse-blanket-d4"]</t>
        </is>
      </c>
      <c r="J90" s="2" t="inlineStr">
        <is>
          <t>[]</t>
        </is>
      </c>
    </row>
    <row r="91" ht="42" customHeight="1">
      <c r="A91" s="3" t="inlineStr">
        <is>
          <t>jeminise.com+custom-inspirational-floral-butterfly-bible-verse-blanket-d4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IF(B91="I1",AVERAGEIF('QA_Images'!$A$2:$A$70,A91,'QA_Images'!$R$2:$R$70)/100,IF(D91="FULL",1,IF(D91="PARTIAL",0.5,IF(D91="FAIL",0,""))))</f>
        <v/>
      </c>
      <c r="F91" s="7">
        <f>IF(E91="",0,C91*E91)</f>
        <v/>
      </c>
      <c r="G91" s="7">
        <f>IF(B91="I1",20*AVERAGEIF('QA_Images'!$A$2:$A$70,A91,'QA_Images'!$S$2:$S$70)/100,IF(D91="NOT_CHECKED",0,C91))</f>
        <v/>
      </c>
      <c r="H91" s="3" t="inlineStr">
        <is>
          <t>FULL: product type/options/personalization were checked against live JSON, admin export and customizer audit: no cached customizer audit available.</t>
        </is>
      </c>
      <c r="I91" s="3" t="inlineStr">
        <is>
          <t>["evidence_batch_008_079", "https://jeminise.com/products/custom-inspirational-floral-butterfly-bible-verse-blanket-d4",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jeminise.com+custom-inspirational-floral-butterfly-bible-verse-blanket-d4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IF(B92="I1",AVERAGEIF('QA_Images'!$A$2:$A$70,A92,'QA_Images'!$R$2:$R$70)/100,IF(D92="FULL",1,IF(D92="PARTIAL",0.5,IF(D92="FAIL",0,""))))</f>
        <v/>
      </c>
      <c r="F92" s="5">
        <f>IF(E92="",0,C92*E92)</f>
        <v/>
      </c>
      <c r="G92" s="5">
        <f>IF(B92="I1",20*AVERAGEIF('QA_Images'!$A$2:$A$70,A92,'QA_Images'!$S$2:$S$70)/100,IF(D92="NOT_CHECKED",0,C92))</f>
        <v/>
      </c>
      <c r="H92" s="2" t="inlineStr">
        <is>
          <t>PARTIAL: primary keyword 'custom floral butterfly affirmation blanket' was checked against this product's own US/English SERP; partial means the exact phrase is niche or sample-name driven.</t>
        </is>
      </c>
      <c r="I92" s="2" t="inlineStr">
        <is>
          <t>["evidence_batch_008_079", "https://jeminise.com/products/custom-inspirational-floral-butterfly-bible-verse-blanket-d4", "serp_qa_batch_008_r4_079_1", "serp_qa_batch_008_r4_079_2"]</t>
        </is>
      </c>
      <c r="J92" s="2" t="inlineStr">
        <is>
          <t>["B08R4-MIN-009"]</t>
        </is>
      </c>
    </row>
    <row r="93" ht="42" customHeight="1">
      <c r="A93" s="3" t="inlineStr">
        <is>
          <t>jeminise.com+custom-inspirational-floral-butterfly-bible-verse-blanket-d4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IF(B93="I1",AVERAGEIF('QA_Images'!$A$2:$A$70,A93,'QA_Images'!$R$2:$R$70)/100,IF(D93="FULL",1,IF(D93="PARTIAL",0.5,IF(D93="FAIL",0,""))))</f>
        <v/>
      </c>
      <c r="F93" s="7">
        <f>IF(E93="",0,C93*E93)</f>
        <v/>
      </c>
      <c r="G93" s="7">
        <f>IF(B93="I1",20*AVERAGEIF('QA_Images'!$A$2:$A$70,A93,'QA_Images'!$S$2:$S$70)/100,IF(D93="NOT_CHECKED",0,C93))</f>
        <v/>
      </c>
      <c r="H93" s="3" t="inlineStr">
        <is>
          <t>FULL: comparator query confirms commercial product intent; partial means results broaden beyond this exact motif/product type.</t>
        </is>
      </c>
      <c r="I93" s="3" t="inlineStr">
        <is>
          <t>["evidence_batch_008_079", "https://jeminise.com/products/custom-inspirational-floral-butterfly-bible-verse-blanket-d4", "serp_qa_batch_008_r4_079_1", "serp_qa_batch_008_r4_079_2"]</t>
        </is>
      </c>
      <c r="J93" s="3" t="inlineStr">
        <is>
          <t>["B08R4-MIN-009"]</t>
        </is>
      </c>
    </row>
    <row r="94" ht="42" customHeight="1">
      <c r="A94" s="2" t="inlineStr">
        <is>
          <t>jeminise.com+custom-inspirational-floral-butterfly-bible-verse-blanket-d4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IF(B94="I1",AVERAGEIF('QA_Images'!$A$2:$A$70,A94,'QA_Images'!$R$2:$R$70)/100,IF(D94="FULL",1,IF(D94="PARTIAL",0.5,IF(D94="FAIL",0,""))))</f>
        <v/>
      </c>
      <c r="F94" s="5">
        <f>IF(E94="",0,C94*E94)</f>
        <v/>
      </c>
      <c r="G94" s="5">
        <f>IF(B94="I1",20*AVERAGEIF('QA_Images'!$A$2:$A$70,A94,'QA_Images'!$S$2:$S$70)/100,IF(D94="NOT_CHECKED",0,C94))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["evidence_batch_008_079", "https://jeminise.com/products/custom-inspirational-floral-butterfly-bible-verse-blanket-d4", "serp_qa_batch_008_r4_079_1", "serp_qa_batch_008_r4_079_2"]</t>
        </is>
      </c>
      <c r="J94" s="2" t="inlineStr">
        <is>
          <t>[]</t>
        </is>
      </c>
    </row>
    <row r="95" ht="42" customHeight="1">
      <c r="A95" s="3" t="inlineStr">
        <is>
          <t>jeminise.com+custom-inspirational-floral-butterfly-bible-verse-blanket-d4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IF(B95="I1",AVERAGEIF('QA_Images'!$A$2:$A$70,A95,'QA_Images'!$R$2:$R$70)/100,IF(D95="FULL",1,IF(D95="PARTIAL",0.5,IF(D95="FAIL",0,""))))</f>
        <v/>
      </c>
      <c r="F95" s="7">
        <f>IF(E95="",0,C95*E95)</f>
        <v/>
      </c>
      <c r="G95" s="7">
        <f>IF(B95="I1",20*AVERAGEIF('QA_Images'!$A$2:$A$70,A95,'QA_Images'!$S$2:$S$70)/100,IF(D95="NOT_CHECKED",0,C95))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["evidence_batch_008_079", "https://jeminise.com/products/custom-inspirational-floral-butterfly-bible-verse-blanket-d4"]</t>
        </is>
      </c>
      <c r="J95" s="3" t="inlineStr">
        <is>
          <t>[]</t>
        </is>
      </c>
    </row>
    <row r="96" ht="42" customHeight="1">
      <c r="A96" s="2" t="inlineStr">
        <is>
          <t>jeminise.com+custom-inspirational-floral-butterfly-bible-verse-blanket-d4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IF(B96="I1",AVERAGEIF('QA_Images'!$A$2:$A$70,A96,'QA_Images'!$R$2:$R$70)/100,IF(D96="FULL",1,IF(D96="PARTIAL",0.5,IF(D96="FAIL",0,""))))</f>
        <v/>
      </c>
      <c r="F96" s="5">
        <f>IF(E96="",0,C96*E96)</f>
        <v/>
      </c>
      <c r="G96" s="5">
        <f>IF(B96="I1",20*AVERAGEIF('QA_Images'!$A$2:$A$70,A96,'QA_Images'!$S$2:$S$70)/100,IF(D96="NOT_CHECKED",0,C96))</f>
        <v/>
      </c>
      <c r="H96" s="2" t="inlineStr">
        <is>
          <t>FULL: title_proposed can function as product title/H1 and distinguishes this design from adjacent batch-06 motifs.</t>
        </is>
      </c>
      <c r="I96" s="2" t="inlineStr">
        <is>
          <t>["evidence_batch_008_079", "https://jeminise.com/products/custom-inspirational-floral-butterfly-bible-verse-blanket-d4"]</t>
        </is>
      </c>
      <c r="J96" s="2" t="inlineStr">
        <is>
          <t>[]</t>
        </is>
      </c>
    </row>
    <row r="97" ht="42" customHeight="1">
      <c r="A97" s="3" t="inlineStr">
        <is>
          <t>jeminise.com+custom-inspirational-floral-butterfly-bible-verse-blanket-d4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IF(B97="I1",AVERAGEIF('QA_Images'!$A$2:$A$70,A97,'QA_Images'!$R$2:$R$70)/100,IF(D97="FULL",1,IF(D97="PARTIAL",0.5,IF(D97="FAIL",0,""))))</f>
        <v/>
      </c>
      <c r="F97" s="7">
        <f>IF(E97="",0,C97*E97)</f>
        <v/>
      </c>
      <c r="G97" s="7">
        <f>IF(B97="I1",20*AVERAGEIF('QA_Images'!$A$2:$A$70,A97,'QA_Images'!$S$2:$S$70)/100,IF(D97="NOT_CHECKED",0,C97))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["evidence_batch_008_079", "https://jeminise.com/products/custom-inspirational-floral-butterfly-bible-verse-blanket-d4"]</t>
        </is>
      </c>
      <c r="J97" s="3" t="inlineStr">
        <is>
          <t>[]</t>
        </is>
      </c>
    </row>
    <row r="98" ht="42" customHeight="1">
      <c r="A98" s="2" t="inlineStr">
        <is>
          <t>jeminise.com+custom-inspirational-floral-butterfly-bible-verse-blanket-d4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IF(B98="I1",AVERAGEIF('QA_Images'!$A$2:$A$70,A98,'QA_Images'!$R$2:$R$70)/100,IF(D98="FULL",1,IF(D98="PARTIAL",0.5,IF(D98="FAIL",0,""))))</f>
        <v/>
      </c>
      <c r="F98" s="5">
        <f>IF(E98="",0,C98*E98)</f>
        <v/>
      </c>
      <c r="G98" s="5">
        <f>IF(B98="I1",20*AVERAGEIF('QA_Images'!$A$2:$A$70,A98,'QA_Images'!$S$2:$S$70)/100,IF(D98="NOT_CHECKED",0,C98))</f>
        <v/>
      </c>
      <c r="H98" s="2" t="inlineStr">
        <is>
          <t>PARTIAL: description HTML is mostly customer-facing and evidence-led, but fallback wording such as 'when available' should be replaced with exact verified panels.</t>
        </is>
      </c>
      <c r="I98" s="2" t="inlineStr">
        <is>
          <t>["evidence_batch_008_079", "https://jeminise.com/products/custom-inspirational-floral-butterfly-bible-verse-blanket-d4"]</t>
        </is>
      </c>
      <c r="J98" s="2" t="inlineStr">
        <is>
          <t>["B08R4-MIN-009"]</t>
        </is>
      </c>
    </row>
    <row r="99" ht="42" customHeight="1">
      <c r="A99" s="3" t="inlineStr">
        <is>
          <t>jeminise.com+custom-inspirational-floral-butterfly-bible-verse-blanket-d4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IF(B99="I1",AVERAGEIF('QA_Images'!$A$2:$A$70,A99,'QA_Images'!$R$2:$R$70)/100,IF(D99="FULL",1,IF(D99="PARTIAL",0.5,IF(D99="FAIL",0,""))))</f>
        <v/>
      </c>
      <c r="F99" s="7">
        <f>IF(E99="",0,C99*E99)</f>
        <v/>
      </c>
      <c r="G99" s="7">
        <f>IF(B99="I1",20*AVERAGEIF('QA_Images'!$A$2:$A$70,A99,'QA_Images'!$S$2:$S$70)/100,IF(D99="NOT_CHECKED",0,C99))</f>
        <v/>
      </c>
      <c r="H99" s="3" t="inlineStr">
        <is>
          <t>Derived from 9 QA_Images rows for this product; average image score 100/100.</t>
        </is>
      </c>
      <c r="I99" s="3" t="inlineStr">
        <is>
          <t>["QA_Images", "evidence_batch_008_079"]</t>
        </is>
      </c>
      <c r="J99" s="3" t="inlineStr">
        <is>
          <t>[]</t>
        </is>
      </c>
    </row>
    <row r="100" ht="42" customHeight="1">
      <c r="A100" s="2" t="inlineStr">
        <is>
          <t>jeminise.com+custom-inspirational-floral-butterfly-bible-verse-blanket-d4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IF(B100="I1",AVERAGEIF('QA_Images'!$A$2:$A$70,A100,'QA_Images'!$R$2:$R$70)/100,IF(D100="FULL",1,IF(D100="PARTIAL",0.5,IF(D100="FAIL",0,""))))</f>
        <v/>
      </c>
      <c r="F100" s="5">
        <f>IF(E100="",0,C100*E100)</f>
        <v/>
      </c>
      <c r="G100" s="5">
        <f>IF(B100="I1",20*AVERAGEIF('QA_Images'!$A$2:$A$70,A100,'QA_Images'!$S$2:$S$70)/100,IF(D100="NOT_CHECKED",0,C100))</f>
        <v/>
      </c>
      <c r="H100" s="2" t="inlineStr">
        <is>
          <t>FULL: product key, handle, links and scoped evidence are consistent; row-level r4 labels are recorded separately as a traceability limitation.</t>
        </is>
      </c>
      <c r="I100" s="2" t="inlineStr">
        <is>
          <t>["evidence_batch_008_079", "https://jeminise.com/products/custom-inspirational-floral-butterfly-bible-verse-blanket-d4"]</t>
        </is>
      </c>
      <c r="J100" s="2" t="inlineStr">
        <is>
          <t>[]</t>
        </is>
      </c>
    </row>
    <row r="101" ht="42" customHeight="1">
      <c r="A101" s="3" t="inlineStr">
        <is>
          <t>jeminise.com+custom-inspirational-scripture-butterflies-blanket-machine-washable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IF(B101="I1",AVERAGEIF('QA_Images'!$A$2:$A$70,A101,'QA_Images'!$R$2:$R$70)/100,IF(D101="FULL",1,IF(D101="PARTIAL",0.5,IF(D101="FAIL",0,""))))</f>
        <v/>
      </c>
      <c r="F101" s="7">
        <f>IF(E101="",0,C101*E101)</f>
        <v/>
      </c>
      <c r="G101" s="7">
        <f>IF(B101="I1",20*AVERAGEIF('QA_Images'!$A$2:$A$70,A101,'QA_Images'!$S$2:$S$70)/100,IF(D101="NOT_CHECKED",0,C101))</f>
        <v/>
      </c>
      <c r="H101" s="3" t="inlineStr">
        <is>
          <t>FULL: source workbook, product JSON and direct image checks support the product identity; verified motif: God Says I Am butterfly scripture blanket with custom name control.</t>
        </is>
      </c>
      <c r="I101" s="3" t="inlineStr">
        <is>
          <t>["evidence_batch_008_080", "https://jeminise.com/products/custom-inspirational-scripture-butterflies-blanket-machine-washable"]</t>
        </is>
      </c>
      <c r="J101" s="3" t="inlineStr">
        <is>
          <t>[]</t>
        </is>
      </c>
    </row>
    <row r="102" ht="42" customHeight="1">
      <c r="A102" s="2" t="inlineStr">
        <is>
          <t>jeminise.com+custom-inspirational-scripture-butterflies-blanket-machine-washable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IF(B102="I1",AVERAGEIF('QA_Images'!$A$2:$A$70,A102,'QA_Images'!$R$2:$R$70)/100,IF(D102="FULL",1,IF(D102="PARTIAL",0.5,IF(D102="FAIL",0,""))))</f>
        <v/>
      </c>
      <c r="F102" s="5">
        <f>IF(E102="",0,C102*E102)</f>
        <v/>
      </c>
      <c r="G102" s="5">
        <f>IF(B102="I1",20*AVERAGEIF('QA_Images'!$A$2:$A$70,A102,'QA_Images'!$S$2:$S$70)/100,IF(D102="NOT_CHECKED",0,C102))</f>
        <v/>
      </c>
      <c r="H102" s="2" t="inlineStr">
        <is>
          <t>FULL: product type/options/personalization were checked against live JSON, admin export and customizer audit: no cached customizer audit available.</t>
        </is>
      </c>
      <c r="I102" s="2" t="inlineStr">
        <is>
          <t>["evidence_batch_008_080", "https://jeminise.com/products/custom-inspirational-scripture-butterflies-blanket-machine-washable",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jeminise.com+custom-inspirational-scripture-butterflies-blanket-machine-washable</t>
        </is>
      </c>
      <c r="B103" s="3" t="inlineStr">
        <is>
          <t>K1</t>
        </is>
      </c>
      <c r="C103" s="3" t="n">
        <v>10</v>
      </c>
      <c r="D103" s="3" t="inlineStr">
        <is>
          <t>FULL</t>
        </is>
      </c>
      <c r="E103" s="7">
        <f>IF(B103="I1",AVERAGEIF('QA_Images'!$A$2:$A$70,A103,'QA_Images'!$R$2:$R$70)/100,IF(D103="FULL",1,IF(D103="PARTIAL",0.5,IF(D103="FAIL",0,""))))</f>
        <v/>
      </c>
      <c r="F103" s="7">
        <f>IF(E103="",0,C103*E103)</f>
        <v/>
      </c>
      <c r="G103" s="7">
        <f>IF(B103="I1",20*AVERAGEIF('QA_Images'!$A$2:$A$70,A103,'QA_Images'!$S$2:$S$70)/100,IF(D103="NOT_CHECKED",0,C103))</f>
        <v/>
      </c>
      <c r="H103" s="3" t="inlineStr">
        <is>
          <t>FULL: primary keyword 'custom God Says I Am butterfly blanket' was checked against this product's own US/English SERP; partial means the exact phrase is niche or sample-name driven.</t>
        </is>
      </c>
      <c r="I103" s="3" t="inlineStr">
        <is>
          <t>["evidence_batch_008_080", "https://jeminise.com/products/custom-inspirational-scripture-butterflies-blanket-machine-washable", "serp_qa_batch_008_r4_080_1", "serp_qa_batch_008_r4_080_2"]</t>
        </is>
      </c>
      <c r="J103" s="3" t="inlineStr">
        <is>
          <t>["B08R4-MIN-010"]</t>
        </is>
      </c>
    </row>
    <row r="104" ht="42" customHeight="1">
      <c r="A104" s="2" t="inlineStr">
        <is>
          <t>jeminise.com+custom-inspirational-scripture-butterflies-blanket-machine-washable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IF(B104="I1",AVERAGEIF('QA_Images'!$A$2:$A$70,A104,'QA_Images'!$R$2:$R$70)/100,IF(D104="FULL",1,IF(D104="PARTIAL",0.5,IF(D104="FAIL",0,""))))</f>
        <v/>
      </c>
      <c r="F104" s="5">
        <f>IF(E104="",0,C104*E104)</f>
        <v/>
      </c>
      <c r="G104" s="5">
        <f>IF(B104="I1",20*AVERAGEIF('QA_Images'!$A$2:$A$70,A104,'QA_Images'!$S$2:$S$70)/100,IF(D104="NOT_CHECKED",0,C104))</f>
        <v/>
      </c>
      <c r="H104" s="2" t="inlineStr">
        <is>
          <t>FULL: comparator query confirms commercial product intent; partial means results broaden beyond this exact motif/product type.</t>
        </is>
      </c>
      <c r="I104" s="2" t="inlineStr">
        <is>
          <t>["evidence_batch_008_080", "https://jeminise.com/products/custom-inspirational-scripture-butterflies-blanket-machine-washable", "serp_qa_batch_008_r4_080_1", "serp_qa_batch_008_r4_080_2"]</t>
        </is>
      </c>
      <c r="J104" s="2" t="inlineStr">
        <is>
          <t>["B08R4-MIN-010"]</t>
        </is>
      </c>
    </row>
    <row r="105" ht="42" customHeight="1">
      <c r="A105" s="3" t="inlineStr">
        <is>
          <t>jeminise.com+custom-inspirational-scripture-butterflies-blanket-machine-washable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IF(B105="I1",AVERAGEIF('QA_Images'!$A$2:$A$70,A105,'QA_Images'!$R$2:$R$70)/100,IF(D105="FULL",1,IF(D105="PARTIAL",0.5,IF(D105="FAIL",0,""))))</f>
        <v/>
      </c>
      <c r="F105" s="7">
        <f>IF(E105="",0,C105*E105)</f>
        <v/>
      </c>
      <c r="G105" s="7">
        <f>IF(B105="I1",20*AVERAGEIF('QA_Images'!$A$2:$A$70,A105,'QA_Images'!$S$2:$S$70)/100,IF(D105="NOT_CHECKED",0,C105))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["evidence_batch_008_080", "https://jeminise.com/products/custom-inspirational-scripture-butterflies-blanket-machine-washable", "serp_qa_batch_008_r4_080_1", "serp_qa_batch_008_r4_080_2"]</t>
        </is>
      </c>
      <c r="J105" s="3" t="inlineStr">
        <is>
          <t>[]</t>
        </is>
      </c>
    </row>
    <row r="106" ht="42" customHeight="1">
      <c r="A106" s="2" t="inlineStr">
        <is>
          <t>jeminise.com+custom-inspirational-scripture-butterflies-blanket-machine-washable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IF(B106="I1",AVERAGEIF('QA_Images'!$A$2:$A$70,A106,'QA_Images'!$R$2:$R$70)/100,IF(D106="FULL",1,IF(D106="PARTIAL",0.5,IF(D106="FAIL",0,""))))</f>
        <v/>
      </c>
      <c r="F106" s="5">
        <f>IF(E106="",0,C106*E106)</f>
        <v/>
      </c>
      <c r="G106" s="5">
        <f>IF(B106="I1",20*AVERAGEIF('QA_Images'!$A$2:$A$70,A106,'QA_Images'!$S$2:$S$70)/100,IF(D106="NOT_CHECKED",0,C106))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["evidence_batch_008_080", "https://jeminise.com/products/custom-inspirational-scripture-butterflies-blanket-machine-washable"]</t>
        </is>
      </c>
      <c r="J106" s="2" t="inlineStr">
        <is>
          <t>[]</t>
        </is>
      </c>
    </row>
    <row r="107" ht="42" customHeight="1">
      <c r="A107" s="3" t="inlineStr">
        <is>
          <t>jeminise.com+custom-inspirational-scripture-butterflies-blanket-machine-washable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IF(B107="I1",AVERAGEIF('QA_Images'!$A$2:$A$70,A107,'QA_Images'!$R$2:$R$70)/100,IF(D107="FULL",1,IF(D107="PARTIAL",0.5,IF(D107="FAIL",0,""))))</f>
        <v/>
      </c>
      <c r="F107" s="7">
        <f>IF(E107="",0,C107*E107)</f>
        <v/>
      </c>
      <c r="G107" s="7">
        <f>IF(B107="I1",20*AVERAGEIF('QA_Images'!$A$2:$A$70,A107,'QA_Images'!$S$2:$S$70)/100,IF(D107="NOT_CHECKED",0,C107))</f>
        <v/>
      </c>
      <c r="H107" s="3" t="inlineStr">
        <is>
          <t>FULL: title_proposed can function as product title/H1 and distinguishes this design from adjacent batch-06 motifs.</t>
        </is>
      </c>
      <c r="I107" s="3" t="inlineStr">
        <is>
          <t>["evidence_batch_008_080", "https://jeminise.com/products/custom-inspirational-scripture-butterflies-blanket-machine-washable"]</t>
        </is>
      </c>
      <c r="J107" s="3" t="inlineStr">
        <is>
          <t>[]</t>
        </is>
      </c>
    </row>
    <row r="108" ht="42" customHeight="1">
      <c r="A108" s="2" t="inlineStr">
        <is>
          <t>jeminise.com+custom-inspirational-scripture-butterflies-blanket-machine-washable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IF(B108="I1",AVERAGEIF('QA_Images'!$A$2:$A$70,A108,'QA_Images'!$R$2:$R$70)/100,IF(D108="FULL",1,IF(D108="PARTIAL",0.5,IF(D108="FAIL",0,""))))</f>
        <v/>
      </c>
      <c r="F108" s="5">
        <f>IF(E108="",0,C108*E108)</f>
        <v/>
      </c>
      <c r="G108" s="5">
        <f>IF(B108="I1",20*AVERAGEIF('QA_Images'!$A$2:$A$70,A108,'QA_Images'!$S$2:$S$70)/100,IF(D108="NOT_CHECKED",0,C108))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["evidence_batch_008_080", "https://jeminise.com/products/custom-inspirational-scripture-butterflies-blanket-machine-washable"]</t>
        </is>
      </c>
      <c r="J108" s="2" t="inlineStr">
        <is>
          <t>[]</t>
        </is>
      </c>
    </row>
    <row r="109" ht="42" customHeight="1">
      <c r="A109" s="3" t="inlineStr">
        <is>
          <t>jeminise.com+custom-inspirational-scripture-butterflies-blanket-machine-washable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IF(B109="I1",AVERAGEIF('QA_Images'!$A$2:$A$70,A109,'QA_Images'!$R$2:$R$70)/100,IF(D109="FULL",1,IF(D109="PARTIAL",0.5,IF(D109="FAIL",0,""))))</f>
        <v/>
      </c>
      <c r="F109" s="7">
        <f>IF(E109="",0,C109*E109)</f>
        <v/>
      </c>
      <c r="G109" s="7">
        <f>IF(B109="I1",20*AVERAGEIF('QA_Images'!$A$2:$A$70,A109,'QA_Images'!$S$2:$S$70)/100,IF(D109="NOT_CHECKED",0,C109))</f>
        <v/>
      </c>
      <c r="H109" s="3" t="inlineStr">
        <is>
          <t>PARTIAL: description HTML is mostly customer-facing and evidence-led, but fallback wording such as 'when available' should be replaced with exact verified panels.</t>
        </is>
      </c>
      <c r="I109" s="3" t="inlineStr">
        <is>
          <t>["evidence_batch_008_080", "https://jeminise.com/products/custom-inspirational-scripture-butterflies-blanket-machine-washable"]</t>
        </is>
      </c>
      <c r="J109" s="3" t="inlineStr">
        <is>
          <t>["B08R4-MIN-010"]</t>
        </is>
      </c>
    </row>
    <row r="110" ht="42" customHeight="1">
      <c r="A110" s="2" t="inlineStr">
        <is>
          <t>jeminise.com+custom-inspirational-scripture-butterflies-blanket-machine-washable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IF(B110="I1",AVERAGEIF('QA_Images'!$A$2:$A$70,A110,'QA_Images'!$R$2:$R$70)/100,IF(D110="FULL",1,IF(D110="PARTIAL",0.5,IF(D110="FAIL",0,""))))</f>
        <v/>
      </c>
      <c r="F110" s="5">
        <f>IF(E110="",0,C110*E110)</f>
        <v/>
      </c>
      <c r="G110" s="5">
        <f>IF(B110="I1",20*AVERAGEIF('QA_Images'!$A$2:$A$70,A110,'QA_Images'!$S$2:$S$70)/100,IF(D110="NOT_CHECKED",0,C110))</f>
        <v/>
      </c>
      <c r="H110" s="2" t="inlineStr">
        <is>
          <t>Derived from 8 QA_Images rows for this product; average image score 100/100.</t>
        </is>
      </c>
      <c r="I110" s="2" t="inlineStr">
        <is>
          <t>["QA_Images", "evidence_batch_008_080"]</t>
        </is>
      </c>
      <c r="J110" s="2" t="inlineStr">
        <is>
          <t>[]</t>
        </is>
      </c>
    </row>
    <row r="111" ht="42" customHeight="1">
      <c r="A111" s="3" t="inlineStr">
        <is>
          <t>jeminise.com+custom-inspirational-scripture-butterflies-blanket-machine-washable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IF(B111="I1",AVERAGEIF('QA_Images'!$A$2:$A$70,A111,'QA_Images'!$R$2:$R$70)/100,IF(D111="FULL",1,IF(D111="PARTIAL",0.5,IF(D111="FAIL",0,""))))</f>
        <v/>
      </c>
      <c r="F111" s="7">
        <f>IF(E111="",0,C111*E111)</f>
        <v/>
      </c>
      <c r="G111" s="7">
        <f>IF(B111="I1",20*AVERAGEIF('QA_Images'!$A$2:$A$70,A111,'QA_Images'!$S$2:$S$70)/100,IF(D111="NOT_CHECKED",0,C111))</f>
        <v/>
      </c>
      <c r="H111" s="3" t="inlineStr">
        <is>
          <t>FULL: product key, handle, links and scoped evidence are consistent; row-level r4 labels are recorded separately as a traceability limitation.</t>
        </is>
      </c>
      <c r="I111" s="3" t="inlineStr">
        <is>
          <t>["evidence_batch_008_080", "https://jeminise.com/products/custom-inspirational-scripture-butterflies-blanket-machine-washable"]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jeminise.com+custom-football-player-running-with-ball-comforter-c9c2aecff2-c9c2aecff2</t>
        </is>
      </c>
      <c r="B2" s="2" t="inlineStr">
        <is>
          <t>qaimg_5725677f02881c41</t>
        </is>
      </c>
      <c r="C2" s="4" t="inlineStr">
        <is>
          <t>https://cdn.shopify.com/s/files/1/0792/5098/1063/files/8ba31f3002b8afee5677ebffe7ff3c478193dcca2f2a9d1e34829e5a5672ad2d.jpg?v=1785101684</t>
        </is>
      </c>
      <c r="D2" s="4" t="inlineStr">
        <is>
          <t>https://cdn.shopify.com/s/files/1/0792/5098/1063/files/8ba31f3002b8afee5677ebffe7ff3c478193dcca2f2a9d1e34829e5a5672ad2d.jpg?v=1785101684</t>
        </is>
      </c>
      <c r="E2" s="2" t="inlineStr">
        <is>
          <t>47540286849223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2026-09-09T12:10:51+07:00</t>
        </is>
      </c>
      <c r="J2" s="2" t="inlineStr">
        <is>
          <t>QA opened 071_01.jpg (1000x1000) and checked against workbook observation: Bedroom mockup of teal running football player comforter with Brian #3 and matching pillows.</t>
        </is>
      </c>
      <c r="K2" s="2" t="inlineStr">
        <is>
          <t>Bedroom mockup of teal running football player comforter with Brian #3 and matching pillows.</t>
        </is>
      </c>
      <c r="L2" s="2" t="inlineStr">
        <is>
          <t>SET</t>
        </is>
      </c>
      <c r="M2" s="2" t="inlineStr">
        <is>
          <t>Teal running football player comforter with Brian #3 on bed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["seo_runs\\jeminise.com\\20260906_234129\\qa\\20260909_121051\\images\\071_01.jpg", "https://cdn.shopify.com/s/files/1/0792/5098/1063/files/8ba31f3002b8afee5677ebffe7ff3c478193dcca2f2a9d1e34829e5a5672ad2d.jpg?v=1785101684"]</t>
        </is>
      </c>
    </row>
    <row r="3" ht="66" customHeight="1">
      <c r="A3" s="3" t="inlineStr">
        <is>
          <t>jeminise.com+custom-football-player-running-with-ball-comforter-c9c2aecff2-c9c2aecff2</t>
        </is>
      </c>
      <c r="B3" s="3" t="inlineStr">
        <is>
          <t>qaimg_63db86f4dccb0f1d</t>
        </is>
      </c>
      <c r="C3" s="4" t="inlineStr">
        <is>
          <t>https://cdn.shopify.com/s/files/1/0792/5098/1063/files/2c8cc0e1156a54c17df3275504a709733562f18eab95974bd50d2c5bae799d81.jpg?v=1785101684</t>
        </is>
      </c>
      <c r="D3" s="4" t="inlineStr">
        <is>
          <t>https://cdn.shopify.com/s/files/1/0792/5098/1063/files/2c8cc0e1156a54c17df3275504a709733562f18eab95974bd50d2c5bae799d81.jpg?v=1785101684</t>
        </is>
      </c>
      <c r="E3" s="3" t="inlineStr">
        <is>
          <t>47540286881991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2026-09-09T12:10:51+07:00</t>
        </is>
      </c>
      <c r="J3" s="3" t="inlineStr">
        <is>
          <t>QA opened 071_02.jpg (1000x1000) and checked against workbook observation: Second bedroom mockup with the same teal football player design, white duvet fold and matching pillows.</t>
        </is>
      </c>
      <c r="K3" s="3" t="inlineStr">
        <is>
          <t>Second bedroom mockup with the same teal football player design, white duvet fold and matching pillows.</t>
        </is>
      </c>
      <c r="L3" s="3" t="inlineStr">
        <is>
          <t>SET</t>
        </is>
      </c>
      <c r="M3" s="3" t="inlineStr">
        <is>
          <t>Teal football player comforter with Brian #3 in bedroom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["seo_runs\\jeminise.com\\20260906_234129\\qa\\20260909_121051\\images\\071_02.jpg", "https://cdn.shopify.com/s/files/1/0792/5098/1063/files/2c8cc0e1156a54c17df3275504a709733562f18eab95974bd50d2c5bae799d81.jpg?v=1785101684"]</t>
        </is>
      </c>
    </row>
    <row r="4" ht="66" customHeight="1">
      <c r="A4" s="2" t="inlineStr">
        <is>
          <t>jeminise.com+custom-football-player-running-with-ball-comforter-c9c2aecff2-c9c2aecff2</t>
        </is>
      </c>
      <c r="B4" s="2" t="inlineStr">
        <is>
          <t>qaimg_33c1ea6fb167e2a6</t>
        </is>
      </c>
      <c r="C4" s="4" t="inlineStr">
        <is>
          <t>https://cdn.shopify.com/s/files/1/0792/5098/1063/files/9aa9c35ad239e2defe80d680bfc9c3ac770143ee38bd0c93c9b9e1b1dc297f8c_a93f2a3e-fa2c-4a6a-9774-d56275a8bf74.jpg?v=1785101684</t>
        </is>
      </c>
      <c r="D4" s="4" t="inlineStr">
        <is>
          <t>https://cdn.shopify.com/s/files/1/0792/5098/1063/files/9aa9c35ad239e2defe80d680bfc9c3ac770143ee38bd0c93c9b9e1b1dc297f8c_a93f2a3e-fa2c-4a6a-9774-d56275a8bf74.jpg?v=1785101684</t>
        </is>
      </c>
      <c r="E4" s="2" t="inlineStr">
        <is>
          <t>47540286914759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2026-09-09T12:10:51+07:00</t>
        </is>
      </c>
      <c r="J4" s="2" t="inlineStr">
        <is>
          <t>QA opened 071_03.jpg (1000x1000) and checked against workbook observation: Comparison panel explaining duvet cover set versus comforter set for all-season use.</t>
        </is>
      </c>
      <c r="K4" s="2" t="inlineStr">
        <is>
          <t>Comparison panel explaining duvet cover set versus comforter set for all-season use.</t>
        </is>
      </c>
      <c r="L4" s="2" t="inlineStr">
        <is>
          <t>SET</t>
        </is>
      </c>
      <c r="M4" s="2" t="inlineStr">
        <is>
          <t>Duvet cover and comforter set comparison panel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["seo_runs\\jeminise.com\\20260906_234129\\qa\\20260909_121051\\images\\071_03.jpg", "https://cdn.shopify.com/s/files/1/0792/5098/1063/files/9aa9c35ad239e2defe80d680bfc9c3ac770143ee38bd0c93c9b9e1b1dc297f8c_a93f2a3e-fa2c-4a6a-9774-d56275a8bf74.jpg?v=1785101684"]</t>
        </is>
      </c>
    </row>
    <row r="5" ht="66" customHeight="1">
      <c r="A5" s="3" t="inlineStr">
        <is>
          <t>jeminise.com+custom-football-player-running-with-ball-comforter-c9c2aecff2-c9c2aecff2</t>
        </is>
      </c>
      <c r="B5" s="3" t="inlineStr">
        <is>
          <t>qaimg_9d2438bc789e8612</t>
        </is>
      </c>
      <c r="C5" s="4" t="inlineStr">
        <is>
          <t>https://cdn.shopify.com/s/files/1/0792/5098/1063/files/60438aaa09409be8237de63d32769edc65c732c9d2664029795c857c7de0fe39.jpg?v=1785101684</t>
        </is>
      </c>
      <c r="D5" s="4" t="inlineStr">
        <is>
          <t>https://cdn.shopify.com/s/files/1/0792/5098/1063/files/60438aaa09409be8237de63d32769edc65c732c9d2664029795c857c7de0fe39.jpg?v=1785101684</t>
        </is>
      </c>
      <c r="E5" s="3" t="inlineStr">
        <is>
          <t>47540286947527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2026-09-09T12:10:51+07:00</t>
        </is>
      </c>
      <c r="J5" s="3" t="inlineStr">
        <is>
          <t>QA opened 071_04.jpg (1000x1000) and checked against workbook observation: Close bedroom feature panel showing the Brian #3 football artwork with soft, lightweight, durable and breathable icons.</t>
        </is>
      </c>
      <c r="K5" s="3" t="inlineStr">
        <is>
          <t>Close bedroom feature panel showing the Brian #3 football artwork with soft, lightweight, durable and breathable icons.</t>
        </is>
      </c>
      <c r="L5" s="3" t="inlineStr">
        <is>
          <t>SET</t>
        </is>
      </c>
      <c r="M5" s="3" t="inlineStr">
        <is>
          <t>Feature panel for teal football player comforter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["seo_runs\\jeminise.com\\20260906_234129\\qa\\20260909_121051\\images\\071_04.jpg", "https://cdn.shopify.com/s/files/1/0792/5098/1063/files/60438aaa09409be8237de63d32769edc65c732c9d2664029795c857c7de0fe39.jpg?v=1785101684"]</t>
        </is>
      </c>
    </row>
    <row r="6" ht="66" customHeight="1">
      <c r="A6" s="2" t="inlineStr">
        <is>
          <t>jeminise.com+custom-football-player-running-with-ball-comforter-c9c2aecff2-c9c2aecff2</t>
        </is>
      </c>
      <c r="B6" s="2" t="inlineStr">
        <is>
          <t>qaimg_2d59e98c392a040d</t>
        </is>
      </c>
      <c r="C6" s="4" t="inlineStr">
        <is>
          <t>https://cdn.shopify.com/s/files/1/0792/5098/1063/files/1bbfbfcf6d26cde4c41dc9cd48a48d8537c348d2d8ae8239cde2198dbac1d7d5_1a59e953-f922-4737-88bf-7e1c410bafeb.jpg?v=1785101684</t>
        </is>
      </c>
      <c r="D6" s="4" t="inlineStr">
        <is>
          <t>https://cdn.shopify.com/s/files/1/0792/5098/1063/files/1bbfbfcf6d26cde4c41dc9cd48a48d8537c348d2d8ae8239cde2198dbac1d7d5_1a59e953-f922-4737-88bf-7e1c410bafeb.jpg?v=1785101684</t>
        </is>
      </c>
      <c r="E6" s="2" t="inlineStr">
        <is>
          <t>47540286980295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2026-09-09T12:10:51+07:00</t>
        </is>
      </c>
      <c r="J6" s="2" t="inlineStr">
        <is>
          <t>QA opened 071_05.jpg (1000x1000) and checked against workbook observation: Easy-care panel listing wrinkle-free, stain-proof, anti-pilling and wash-fade resistance.</t>
        </is>
      </c>
      <c r="K6" s="2" t="inlineStr">
        <is>
          <t>Easy-care panel listing wrinkle-free, stain-proof, anti-pilling and wash-fade resistance.</t>
        </is>
      </c>
      <c r="L6" s="2" t="inlineStr">
        <is>
          <t>SET</t>
        </is>
      </c>
      <c r="M6" s="2" t="inlineStr">
        <is>
          <t>Easy care panel for football comforter set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["seo_runs\\jeminise.com\\20260906_234129\\qa\\20260909_121051\\images\\071_05.jpg", "https://cdn.shopify.com/s/files/1/0792/5098/1063/files/1bbfbfcf6d26cde4c41dc9cd48a48d8537c348d2d8ae8239cde2198dbac1d7d5_1a59e953-f922-4737-88bf-7e1c410bafeb.jpg?v=1785101684"]</t>
        </is>
      </c>
    </row>
    <row r="7" ht="66" customHeight="1">
      <c r="A7" s="3" t="inlineStr">
        <is>
          <t>jeminise.com+custom-football-player-running-with-ball-comforter-c9c2aecff2-c9c2aecff2</t>
        </is>
      </c>
      <c r="B7" s="3" t="inlineStr">
        <is>
          <t>qaimg_26169b8c11b15228</t>
        </is>
      </c>
      <c r="C7" s="4" t="inlineStr">
        <is>
          <t>https://cdn.shopify.com/s/files/1/0792/5098/1063/files/b875bfc16d8349abe649f457b947dd0efc388f0aa8df8cf243abee1bb432b085_5c5b75c5-ca18-4ffe-b635-c1a000a134b4.jpg?v=1785101684</t>
        </is>
      </c>
      <c r="D7" s="4" t="inlineStr">
        <is>
          <t>https://cdn.shopify.com/s/files/1/0792/5098/1063/files/b875bfc16d8349abe649f457b947dd0efc388f0aa8df8cf243abee1bb432b085_5c5b75c5-ca18-4ffe-b635-c1a000a134b4.jpg?v=1785101684</t>
        </is>
      </c>
      <c r="E7" s="3" t="inlineStr">
        <is>
          <t>47540287013063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2026-09-09T12:10:51+07:00</t>
        </is>
      </c>
      <c r="J7" s="3" t="inlineStr">
        <is>
          <t>QA opened 071_06.jpg (761x943) and checked against workbook observation: Size dimension chart for Twin 68 x 86, Full 79 x 90, Queen 90 x 90 and King 90 x 104.</t>
        </is>
      </c>
      <c r="K7" s="3" t="inlineStr">
        <is>
          <t>Size dimension chart for Twin 68 x 86, Full 79 x 90, Queen 90 x 90 and King 90 x 104.</t>
        </is>
      </c>
      <c r="L7" s="3" t="inlineStr">
        <is>
          <t>SET</t>
        </is>
      </c>
      <c r="M7" s="3" t="inlineStr">
        <is>
          <t>Comforter size dimension chart for Twin Full Queen King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["seo_runs\\jeminise.com\\20260906_234129\\qa\\20260909_121051\\images\\071_06.jpg", "https://cdn.shopify.com/s/files/1/0792/5098/1063/files/b875bfc16d8349abe649f457b947dd0efc388f0aa8df8cf243abee1bb432b085_5c5b75c5-ca18-4ffe-b635-c1a000a134b4.jpg?v=1785101684"]</t>
        </is>
      </c>
    </row>
    <row r="8" ht="66" customHeight="1">
      <c r="A8" s="2" t="inlineStr">
        <is>
          <t>jeminise.com+custom-football-player-running-with-ball-comforter-9fe5294804-9fe5294804</t>
        </is>
      </c>
      <c r="B8" s="2" t="inlineStr">
        <is>
          <t>qaimg_5185466341b29dec</t>
        </is>
      </c>
      <c r="C8" s="4" t="inlineStr">
        <is>
          <t>https://cdn.shopify.com/s/files/1/0792/5098/1063/files/7ae2888cc5a8f4c1be93b58990c02cf2577c8872f9903c751abf72721c40bdc8.jpg?v=1785100549</t>
        </is>
      </c>
      <c r="D8" s="4" t="inlineStr">
        <is>
          <t>https://cdn.shopify.com/s/files/1/0792/5098/1063/files/7ae2888cc5a8f4c1be93b58990c02cf2577c8872f9903c751abf72721c40bdc8.jpg?v=1785100549</t>
        </is>
      </c>
      <c r="E8" s="2" t="inlineStr">
        <is>
          <t>47540177076423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2026-09-09T12:10:51+07:00</t>
        </is>
      </c>
      <c r="J8" s="2" t="inlineStr">
        <is>
          <t>QA opened 072_01.jpg (1000x1000) and checked against workbook observation: Bedroom mockup of blue and red electric football player comforter with Michael #10 and matching pillows.</t>
        </is>
      </c>
      <c r="K8" s="2" t="inlineStr">
        <is>
          <t>Bedroom mockup of blue and red electric football player comforter with Michael #10 and matching pillows.</t>
        </is>
      </c>
      <c r="L8" s="2" t="inlineStr">
        <is>
          <t>SET</t>
        </is>
      </c>
      <c r="M8" s="2" t="inlineStr">
        <is>
          <t>Electric football player comforter with Michael #10 on bed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["seo_runs\\jeminise.com\\20260906_234129\\qa\\20260909_121051\\images\\072_01.jpg", "https://cdn.shopify.com/s/files/1/0792/5098/1063/files/7ae2888cc5a8f4c1be93b58990c02cf2577c8872f9903c751abf72721c40bdc8.jpg?v=1785100549"]</t>
        </is>
      </c>
    </row>
    <row r="9" ht="66" customHeight="1">
      <c r="A9" s="3" t="inlineStr">
        <is>
          <t>jeminise.com+custom-football-player-running-with-ball-comforter-9fe5294804-9fe5294804</t>
        </is>
      </c>
      <c r="B9" s="3" t="inlineStr">
        <is>
          <t>qaimg_d68e8ca37d351817</t>
        </is>
      </c>
      <c r="C9" s="4" t="inlineStr">
        <is>
          <t>https://cdn.shopify.com/s/files/1/0792/5098/1063/files/799175dfb6f38b7790193ecd4f998f551c3dd9a73d138ba3e58b80cced520606.jpg?v=1785100549</t>
        </is>
      </c>
      <c r="D9" s="4" t="inlineStr">
        <is>
          <t>https://cdn.shopify.com/s/files/1/0792/5098/1063/files/799175dfb6f38b7790193ecd4f998f551c3dd9a73d138ba3e58b80cced520606.jpg?v=1785100549</t>
        </is>
      </c>
      <c r="E9" s="3" t="inlineStr">
        <is>
          <t>47540177109191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2026-09-09T12:10:51+07:00</t>
        </is>
      </c>
      <c r="J9" s="3" t="inlineStr">
        <is>
          <t>QA opened 072_02.jpg (1000x1000) and checked against workbook observation: Second bedroom mockup showing the electric football player design with white duvet fold.</t>
        </is>
      </c>
      <c r="K9" s="3" t="inlineStr">
        <is>
          <t>Second bedroom mockup showing the electric football player design with white duvet fold.</t>
        </is>
      </c>
      <c r="L9" s="3" t="inlineStr">
        <is>
          <t>SET</t>
        </is>
      </c>
      <c r="M9" s="3" t="inlineStr">
        <is>
          <t>Blue electric football player comforter with Michael #10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["seo_runs\\jeminise.com\\20260906_234129\\qa\\20260909_121051\\images\\072_02.jpg", "https://cdn.shopify.com/s/files/1/0792/5098/1063/files/799175dfb6f38b7790193ecd4f998f551c3dd9a73d138ba3e58b80cced520606.jpg?v=1785100549"]</t>
        </is>
      </c>
    </row>
    <row r="10" ht="66" customHeight="1">
      <c r="A10" s="2" t="inlineStr">
        <is>
          <t>jeminise.com+custom-football-player-running-with-ball-comforter-9fe5294804-9fe5294804</t>
        </is>
      </c>
      <c r="B10" s="2" t="inlineStr">
        <is>
          <t>qaimg_1b51d9323f15da7a</t>
        </is>
      </c>
      <c r="C10" s="4" t="inlineStr">
        <is>
          <t>https://cdn.shopify.com/s/files/1/0792/5098/1063/files/16f7293cbefa5743a35b2e6316a5a114e5c052d08151e367dafd26aa5e2e542b_10285fa5-7297-4643-8eb0-4a5eda394860.jpg?v=1785100549</t>
        </is>
      </c>
      <c r="D10" s="4" t="inlineStr">
        <is>
          <t>https://cdn.shopify.com/s/files/1/0792/5098/1063/files/16f7293cbefa5743a35b2e6316a5a114e5c052d08151e367dafd26aa5e2e542b_10285fa5-7297-4643-8eb0-4a5eda394860.jpg?v=1785100549</t>
        </is>
      </c>
      <c r="E10" s="2" t="inlineStr">
        <is>
          <t>47540177141959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2026-09-09T12:10:51+07:00</t>
        </is>
      </c>
      <c r="J10" s="2" t="inlineStr">
        <is>
          <t>QA opened 072_03.jpg (1000x1000) and checked against workbook observation: Comparison panel explaining duvet cover set versus comforter set for all-season use.</t>
        </is>
      </c>
      <c r="K10" s="2" t="inlineStr">
        <is>
          <t>Comparison panel explaining duvet cover set versus comforter set for all-season use.</t>
        </is>
      </c>
      <c r="L10" s="2" t="inlineStr">
        <is>
          <t>SET</t>
        </is>
      </c>
      <c r="M10" s="2" t="inlineStr">
        <is>
          <t>Duvet cover and comforter set comparison panel for electric blue football player comforter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["seo_runs\\jeminise.com\\20260906_234129\\qa\\20260909_121051\\images\\072_03.jpg", "https://cdn.shopify.com/s/files/1/0792/5098/1063/files/16f7293cbefa5743a35b2e6316a5a114e5c052d08151e367dafd26aa5e2e542b_10285fa5-7297-4643-8eb0-4a5eda394860.jpg?v=1785100549"]</t>
        </is>
      </c>
    </row>
    <row r="11" ht="66" customHeight="1">
      <c r="A11" s="3" t="inlineStr">
        <is>
          <t>jeminise.com+custom-football-player-running-with-ball-comforter-9fe5294804-9fe5294804</t>
        </is>
      </c>
      <c r="B11" s="3" t="inlineStr">
        <is>
          <t>qaimg_b08a5a0470cd64e5</t>
        </is>
      </c>
      <c r="C11" s="4" t="inlineStr">
        <is>
          <t>https://cdn.shopify.com/s/files/1/0792/5098/1063/files/db40229d565449c2d4dde0e5aa7dea684b3c871845f33940a7097340d533b582.jpg?v=1785100549</t>
        </is>
      </c>
      <c r="D11" s="4" t="inlineStr">
        <is>
          <t>https://cdn.shopify.com/s/files/1/0792/5098/1063/files/db40229d565449c2d4dde0e5aa7dea684b3c871845f33940a7097340d533b582.jpg?v=1785100549</t>
        </is>
      </c>
      <c r="E11" s="3" t="inlineStr">
        <is>
          <t>47540177174727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2026-09-09T12:10:51+07:00</t>
        </is>
      </c>
      <c r="J11" s="3" t="inlineStr">
        <is>
          <t>QA opened 072_04.jpg (1000x1000) and checked against workbook observation: Close bedroom feature panel showing the electric football artwork with soft, lightweight, durable and breathable icons.</t>
        </is>
      </c>
      <c r="K11" s="3" t="inlineStr">
        <is>
          <t>Close bedroom feature panel showing the electric football artwork with soft, lightweight, durable and breathable icons.</t>
        </is>
      </c>
      <c r="L11" s="3" t="inlineStr">
        <is>
          <t>SET</t>
        </is>
      </c>
      <c r="M11" s="3" t="inlineStr">
        <is>
          <t>Feature panel for electric football player comforter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["seo_runs\\jeminise.com\\20260906_234129\\qa\\20260909_121051\\images\\072_04.jpg", "https://cdn.shopify.com/s/files/1/0792/5098/1063/files/db40229d565449c2d4dde0e5aa7dea684b3c871845f33940a7097340d533b582.jpg?v=1785100549"]</t>
        </is>
      </c>
    </row>
    <row r="12" ht="66" customHeight="1">
      <c r="A12" s="2" t="inlineStr">
        <is>
          <t>jeminise.com+custom-football-player-running-with-ball-comforter-9fe5294804-9fe5294804</t>
        </is>
      </c>
      <c r="B12" s="2" t="inlineStr">
        <is>
          <t>qaimg_6cc9123341b24f92</t>
        </is>
      </c>
      <c r="C12" s="4" t="inlineStr">
        <is>
          <t>https://cdn.shopify.com/s/files/1/0792/5098/1063/files/7c006bddc94d4763c71c8376307e195c1bbce73b8c802ec73ac5a8cef1291262_a5f76ddb-b40a-4125-8053-16c6605c36f1.jpg?v=1785100549</t>
        </is>
      </c>
      <c r="D12" s="4" t="inlineStr">
        <is>
          <t>https://cdn.shopify.com/s/files/1/0792/5098/1063/files/7c006bddc94d4763c71c8376307e195c1bbce73b8c802ec73ac5a8cef1291262_a5f76ddb-b40a-4125-8053-16c6605c36f1.jpg?v=1785100549</t>
        </is>
      </c>
      <c r="E12" s="2" t="inlineStr">
        <is>
          <t>47540177207495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2026-09-09T12:10:51+07:00</t>
        </is>
      </c>
      <c r="J12" s="2" t="inlineStr">
        <is>
          <t>QA opened 072_05.jpg (1000x1000) and checked against workbook observation: Easy-care panel listing wrinkle-free, stain-proof, anti-pilling and wash-fade resistance.</t>
        </is>
      </c>
      <c r="K12" s="2" t="inlineStr">
        <is>
          <t>Easy-care panel listing wrinkle-free, stain-proof, anti-pilling and wash-fade resistance.</t>
        </is>
      </c>
      <c r="L12" s="2" t="inlineStr">
        <is>
          <t>SET</t>
        </is>
      </c>
      <c r="M12" s="2" t="inlineStr">
        <is>
          <t>Easy care panel for football comforter set for electric blue football player comforter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["seo_runs\\jeminise.com\\20260906_234129\\qa\\20260909_121051\\images\\072_05.jpg", "https://cdn.shopify.com/s/files/1/0792/5098/1063/files/7c006bddc94d4763c71c8376307e195c1bbce73b8c802ec73ac5a8cef1291262_a5f76ddb-b40a-4125-8053-16c6605c36f1.jpg?v=1785100549"]</t>
        </is>
      </c>
    </row>
    <row r="13" ht="66" customHeight="1">
      <c r="A13" s="3" t="inlineStr">
        <is>
          <t>jeminise.com+custom-football-player-running-with-ball-comforter-9fe5294804-9fe5294804</t>
        </is>
      </c>
      <c r="B13" s="3" t="inlineStr">
        <is>
          <t>qaimg_dfc6488ff014152b</t>
        </is>
      </c>
      <c r="C13" s="4" t="inlineStr">
        <is>
          <t>https://cdn.shopify.com/s/files/1/0792/5098/1063/files/e5cad84edb4d7bf77c48fd7c8e52eb3b73f04eba8bf177671fd8a059c59422e8_cdf664cf-e4cb-4ff7-8cde-1b53280e4624.jpg?v=1785100549</t>
        </is>
      </c>
      <c r="D13" s="4" t="inlineStr">
        <is>
          <t>https://cdn.shopify.com/s/files/1/0792/5098/1063/files/e5cad84edb4d7bf77c48fd7c8e52eb3b73f04eba8bf177671fd8a059c59422e8_cdf664cf-e4cb-4ff7-8cde-1b53280e4624.jpg?v=1785100549</t>
        </is>
      </c>
      <c r="E13" s="3" t="inlineStr">
        <is>
          <t>47540177240263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2026-09-09T12:10:51+07:00</t>
        </is>
      </c>
      <c r="J13" s="3" t="inlineStr">
        <is>
          <t>QA opened 072_06.jpg (1000x1000) and checked against workbook observation: Size dimension chart for Twin 68 x 86, Full 79 x 90, Queen 90 x 90 and King 90 x 104.</t>
        </is>
      </c>
      <c r="K13" s="3" t="inlineStr">
        <is>
          <t>Size dimension chart for Twin 68 x 86, Full 79 x 90, Queen 90 x 90 and King 90 x 104.</t>
        </is>
      </c>
      <c r="L13" s="3" t="inlineStr">
        <is>
          <t>SET</t>
        </is>
      </c>
      <c r="M13" s="3" t="inlineStr">
        <is>
          <t>Comforter size dimension chart for Twin Full Queen King for electric blue football player comforter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["seo_runs\\jeminise.com\\20260906_234129\\qa\\20260909_121051\\images\\072_06.jpg", "https://cdn.shopify.com/s/files/1/0792/5098/1063/files/e5cad84edb4d7bf77c48fd7c8e52eb3b73f04eba8bf177671fd8a059c59422e8_cdf664cf-e4cb-4ff7-8cde-1b53280e4624.jpg?v=1785100549"]</t>
        </is>
      </c>
    </row>
    <row r="14" ht="66" customHeight="1">
      <c r="A14" s="2" t="inlineStr">
        <is>
          <t>jeminise.com+custom-football-player-with-american-flag-background-comforter-44d8108598-44d8108598</t>
        </is>
      </c>
      <c r="B14" s="2" t="inlineStr">
        <is>
          <t>qaimg_75fff083951978ba</t>
        </is>
      </c>
      <c r="C14" s="4" t="inlineStr">
        <is>
          <t>https://cdn.shopify.com/s/files/1/0792/5098/1063/files/09350cb325a519a0957806f82c1f3573d4d7e06e8b946df019d7eb52540f0503.jpg?v=1785100785</t>
        </is>
      </c>
      <c r="D14" s="4" t="inlineStr">
        <is>
          <t>https://cdn.shopify.com/s/files/1/0792/5098/1063/files/09350cb325a519a0957806f82c1f3573d4d7e06e8b946df019d7eb52540f0503.jpg?v=1785100785</t>
        </is>
      </c>
      <c r="E14" s="2" t="inlineStr">
        <is>
          <t>47540189462727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2026-09-09T12:10:51+07:00</t>
        </is>
      </c>
      <c r="J14" s="2" t="inlineStr">
        <is>
          <t>QA opened 073_01.jpg (1000x1000) and checked against workbook observation: Bedroom mockup of football player viewed from behind over a torn American flag with David 33.</t>
        </is>
      </c>
      <c r="K14" s="2" t="inlineStr">
        <is>
          <t>Bedroom mockup of football player viewed from behind over a torn American flag with David 33.</t>
        </is>
      </c>
      <c r="L14" s="2" t="inlineStr">
        <is>
          <t>SET</t>
        </is>
      </c>
      <c r="M14" s="2" t="inlineStr">
        <is>
          <t>American flag football player comforter with David 33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["seo_runs\\jeminise.com\\20260906_234129\\qa\\20260909_121051\\images\\073_01.jpg", "https://cdn.shopify.com/s/files/1/0792/5098/1063/files/09350cb325a519a0957806f82c1f3573d4d7e06e8b946df019d7eb52540f0503.jpg?v=1785100785"]</t>
        </is>
      </c>
    </row>
    <row r="15" ht="66" customHeight="1">
      <c r="A15" s="3" t="inlineStr">
        <is>
          <t>jeminise.com+custom-football-player-with-american-flag-background-comforter-44d8108598-44d8108598</t>
        </is>
      </c>
      <c r="B15" s="3" t="inlineStr">
        <is>
          <t>qaimg_4ede26084987049b</t>
        </is>
      </c>
      <c r="C15" s="4" t="inlineStr">
        <is>
          <t>https://cdn.shopify.com/s/files/1/0792/5098/1063/files/7eedb0acf0b4f86703af79ca8ec1e94561dd4ab71d22438e9f35cde8e902b5f0.jpg?v=1785100785</t>
        </is>
      </c>
      <c r="D15" s="4" t="inlineStr">
        <is>
          <t>https://cdn.shopify.com/s/files/1/0792/5098/1063/files/7eedb0acf0b4f86703af79ca8ec1e94561dd4ab71d22438e9f35cde8e902b5f0.jpg?v=1785100785</t>
        </is>
      </c>
      <c r="E15" s="3" t="inlineStr">
        <is>
          <t>47540189495495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2026-09-09T12:10:51+07:00</t>
        </is>
      </c>
      <c r="J15" s="3" t="inlineStr">
        <is>
          <t>QA opened 073_02.jpg (1000x1000) and checked against workbook observation: Second bedroom mockup of the same David 33 football player flag design with white duvet fold.</t>
        </is>
      </c>
      <c r="K15" s="3" t="inlineStr">
        <is>
          <t>Second bedroom mockup of the same David 33 football player flag design with white duvet fold.</t>
        </is>
      </c>
      <c r="L15" s="3" t="inlineStr">
        <is>
          <t>SET</t>
        </is>
      </c>
      <c r="M15" s="3" t="inlineStr">
        <is>
          <t>Football player flag comforter with David 33 in bedroom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["seo_runs\\jeminise.com\\20260906_234129\\qa\\20260909_121051\\images\\073_02.jpg", "https://cdn.shopify.com/s/files/1/0792/5098/1063/files/7eedb0acf0b4f86703af79ca8ec1e94561dd4ab71d22438e9f35cde8e902b5f0.jpg?v=1785100785"]</t>
        </is>
      </c>
    </row>
    <row r="16" ht="66" customHeight="1">
      <c r="A16" s="2" t="inlineStr">
        <is>
          <t>jeminise.com+custom-football-player-with-american-flag-background-comforter-44d8108598-44d8108598</t>
        </is>
      </c>
      <c r="B16" s="2" t="inlineStr">
        <is>
          <t>qaimg_c80fca58f20e05c2</t>
        </is>
      </c>
      <c r="C16" s="4" t="inlineStr">
        <is>
          <t>https://cdn.shopify.com/s/files/1/0792/5098/1063/files/16f7293cbefa5743a35b2e6316a5a114e5c052d08151e367dafd26aa5e2e542b_d7906199-81c3-409a-b3b7-592b0916097a.jpg?v=1785100785</t>
        </is>
      </c>
      <c r="D16" s="4" t="inlineStr">
        <is>
          <t>https://cdn.shopify.com/s/files/1/0792/5098/1063/files/16f7293cbefa5743a35b2e6316a5a114e5c052d08151e367dafd26aa5e2e542b_d7906199-81c3-409a-b3b7-592b0916097a.jpg?v=1785100785</t>
        </is>
      </c>
      <c r="E16" s="2" t="inlineStr">
        <is>
          <t>47540189528263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2026-09-09T12:10:51+07:00</t>
        </is>
      </c>
      <c r="J16" s="2" t="inlineStr">
        <is>
          <t>QA opened 073_03.jpg (1000x1000) and checked against workbook observation: Comparison panel explaining duvet cover set versus comforter set for all-season use.</t>
        </is>
      </c>
      <c r="K16" s="2" t="inlineStr">
        <is>
          <t>Comparison panel explaining duvet cover set versus comforter set for all-season use.</t>
        </is>
      </c>
      <c r="L16" s="2" t="inlineStr">
        <is>
          <t>SET</t>
        </is>
      </c>
      <c r="M16" s="2" t="inlineStr">
        <is>
          <t>Duvet cover and comforter set comparison panel for American flag football player comforter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["seo_runs\\jeminise.com\\20260906_234129\\qa\\20260909_121051\\images\\073_03.jpg", "https://cdn.shopify.com/s/files/1/0792/5098/1063/files/16f7293cbefa5743a35b2e6316a5a114e5c052d08151e367dafd26aa5e2e542b_d7906199-81c3-409a-b3b7-592b0916097a.jpg?v=1785100785"]</t>
        </is>
      </c>
    </row>
    <row r="17" ht="66" customHeight="1">
      <c r="A17" s="3" t="inlineStr">
        <is>
          <t>jeminise.com+custom-football-player-with-american-flag-background-comforter-44d8108598-44d8108598</t>
        </is>
      </c>
      <c r="B17" s="3" t="inlineStr">
        <is>
          <t>qaimg_1bebd5dd9037250a</t>
        </is>
      </c>
      <c r="C17" s="4" t="inlineStr">
        <is>
          <t>https://cdn.shopify.com/s/files/1/0792/5098/1063/files/149c548bb487ce76f43cdead9cb37850430b41022dc560514adbfe436691fe89.jpg?v=1785100785</t>
        </is>
      </c>
      <c r="D17" s="4" t="inlineStr">
        <is>
          <t>https://cdn.shopify.com/s/files/1/0792/5098/1063/files/149c548bb487ce76f43cdead9cb37850430b41022dc560514adbfe436691fe89.jpg?v=1785100785</t>
        </is>
      </c>
      <c r="E17" s="3" t="inlineStr">
        <is>
          <t>47540189561031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2026-09-09T12:10:51+07:00</t>
        </is>
      </c>
      <c r="J17" s="3" t="inlineStr">
        <is>
          <t>QA opened 073_04.jpg (1000x1000) and checked against workbook observation: Close bedroom feature panel of the David 33 flag player artwork with soft, lightweight, durable and breathable icons.</t>
        </is>
      </c>
      <c r="K17" s="3" t="inlineStr">
        <is>
          <t>Close bedroom feature panel of the David 33 flag player artwork with soft, lightweight, durable and breathable icons.</t>
        </is>
      </c>
      <c r="L17" s="3" t="inlineStr">
        <is>
          <t>SET</t>
        </is>
      </c>
      <c r="M17" s="3" t="inlineStr">
        <is>
          <t>Feature panel for American flag football player comforter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["seo_runs\\jeminise.com\\20260906_234129\\qa\\20260909_121051\\images\\073_04.jpg", "https://cdn.shopify.com/s/files/1/0792/5098/1063/files/149c548bb487ce76f43cdead9cb37850430b41022dc560514adbfe436691fe89.jpg?v=1785100785"]</t>
        </is>
      </c>
    </row>
    <row r="18" ht="66" customHeight="1">
      <c r="A18" s="2" t="inlineStr">
        <is>
          <t>jeminise.com+custom-football-player-with-american-flag-background-comforter-44d8108598-44d8108598</t>
        </is>
      </c>
      <c r="B18" s="2" t="inlineStr">
        <is>
          <t>qaimg_c19e120674df30bc</t>
        </is>
      </c>
      <c r="C18" s="4" t="inlineStr">
        <is>
          <t>https://cdn.shopify.com/s/files/1/0792/5098/1063/files/7c006bddc94d4763c71c8376307e195c1bbce73b8c802ec73ac5a8cef1291262_c3a8eff9-dc39-48b1-ad25-12cd69cf1def.jpg?v=1785100785</t>
        </is>
      </c>
      <c r="D18" s="4" t="inlineStr">
        <is>
          <t>https://cdn.shopify.com/s/files/1/0792/5098/1063/files/7c006bddc94d4763c71c8376307e195c1bbce73b8c802ec73ac5a8cef1291262_c3a8eff9-dc39-48b1-ad25-12cd69cf1def.jpg?v=1785100785</t>
        </is>
      </c>
      <c r="E18" s="2" t="inlineStr">
        <is>
          <t>47540189593799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2026-09-09T12:10:51+07:00</t>
        </is>
      </c>
      <c r="J18" s="2" t="inlineStr">
        <is>
          <t>QA opened 073_05.jpg (1000x1000) and checked against workbook observation: Easy-care panel listing wrinkle-free, stain-proof, anti-pilling and wash-fade resistance.</t>
        </is>
      </c>
      <c r="K18" s="2" t="inlineStr">
        <is>
          <t>Easy-care panel listing wrinkle-free, stain-proof, anti-pilling and wash-fade resistance.</t>
        </is>
      </c>
      <c r="L18" s="2" t="inlineStr">
        <is>
          <t>SET</t>
        </is>
      </c>
      <c r="M18" s="2" t="inlineStr">
        <is>
          <t>Easy care panel for football comforter set for American flag football player comforter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["seo_runs\\jeminise.com\\20260906_234129\\qa\\20260909_121051\\images\\073_05.jpg", "https://cdn.shopify.com/s/files/1/0792/5098/1063/files/7c006bddc94d4763c71c8376307e195c1bbce73b8c802ec73ac5a8cef1291262_c3a8eff9-dc39-48b1-ad25-12cd69cf1def.jpg?v=1785100785"]</t>
        </is>
      </c>
    </row>
    <row r="19" ht="66" customHeight="1">
      <c r="A19" s="3" t="inlineStr">
        <is>
          <t>jeminise.com+custom-football-player-with-american-flag-background-comforter-44d8108598-44d8108598</t>
        </is>
      </c>
      <c r="B19" s="3" t="inlineStr">
        <is>
          <t>qaimg_26d0ebd9c1d25dae</t>
        </is>
      </c>
      <c r="C19" s="4" t="inlineStr">
        <is>
          <t>https://cdn.shopify.com/s/files/1/0792/5098/1063/files/e5cad84edb4d7bf77c48fd7c8e52eb3b73f04eba8bf177671fd8a059c59422e8_5ea43c7c-5091-4114-9da2-063c4867930e.jpg?v=1785100785</t>
        </is>
      </c>
      <c r="D19" s="4" t="inlineStr">
        <is>
          <t>https://cdn.shopify.com/s/files/1/0792/5098/1063/files/e5cad84edb4d7bf77c48fd7c8e52eb3b73f04eba8bf177671fd8a059c59422e8_5ea43c7c-5091-4114-9da2-063c4867930e.jpg?v=1785100785</t>
        </is>
      </c>
      <c r="E19" s="3" t="inlineStr">
        <is>
          <t>47540189626567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2026-09-09T12:10:51+07:00</t>
        </is>
      </c>
      <c r="J19" s="3" t="inlineStr">
        <is>
          <t>QA opened 073_06.jpg (1000x1000) and checked against workbook observation: Size dimension chart for Twin 68 x 86, Full 79 x 90, Queen 90 x 90 and King 90 x 104.</t>
        </is>
      </c>
      <c r="K19" s="3" t="inlineStr">
        <is>
          <t>Size dimension chart for Twin 68 x 86, Full 79 x 90, Queen 90 x 90 and King 90 x 104.</t>
        </is>
      </c>
      <c r="L19" s="3" t="inlineStr">
        <is>
          <t>SET</t>
        </is>
      </c>
      <c r="M19" s="3" t="inlineStr">
        <is>
          <t>Comforter size dimension chart for Twin Full Queen King for American flag football player comforter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["seo_runs\\jeminise.com\\20260906_234129\\qa\\20260909_121051\\images\\073_06.jpg", "https://cdn.shopify.com/s/files/1/0792/5098/1063/files/e5cad84edb4d7bf77c48fd7c8e52eb3b73f04eba8bf177671fd8a059c59422e8_5ea43c7c-5091-4114-9da2-063c4867930e.jpg?v=1785100785"]</t>
        </is>
      </c>
    </row>
    <row r="20" ht="66" customHeight="1">
      <c r="A20" s="2" t="inlineStr">
        <is>
          <t>jeminise.com+custom-football-player-with-burning-ball-comforter-and-american-football-708344de4c-708344de4c</t>
        </is>
      </c>
      <c r="B20" s="2" t="inlineStr">
        <is>
          <t>qaimg_036123404bc1c69a</t>
        </is>
      </c>
      <c r="C20" s="4" t="inlineStr">
        <is>
          <t>https://cdn.shopify.com/s/files/1/0792/5098/1063/files/fb332cfe8c182306abbab1f7491cf195fef7e6067a5228b112d7a2d8dd393ef8.jpg?v=1785100232</t>
        </is>
      </c>
      <c r="D20" s="4" t="inlineStr">
        <is>
          <t>https://cdn.shopify.com/s/files/1/0792/5098/1063/files/fb332cfe8c182306abbab1f7491cf195fef7e6067a5228b112d7a2d8dd393ef8.jpg?v=1785100232</t>
        </is>
      </c>
      <c r="E20" s="2" t="inlineStr">
        <is>
          <t>47540147749063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2026-09-09T12:10:51+07:00</t>
        </is>
      </c>
      <c r="J20" s="2" t="inlineStr">
        <is>
          <t>QA opened 074_01.jpg (1000x1000) and checked against workbook observation: Bedroom mockup of black football player number 24 with Michael name and burning football background.</t>
        </is>
      </c>
      <c r="K20" s="2" t="inlineStr">
        <is>
          <t>Bedroom mockup of black football player number 24 with Michael name and burning football background.</t>
        </is>
      </c>
      <c r="L20" s="2" t="inlineStr">
        <is>
          <t>SET</t>
        </is>
      </c>
      <c r="M20" s="2" t="inlineStr">
        <is>
          <t>Burning football player comforter with Michael and 24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["seo_runs\\jeminise.com\\20260906_234129\\qa\\20260909_121051\\images\\074_01.jpg", "https://cdn.shopify.com/s/files/1/0792/5098/1063/files/fb332cfe8c182306abbab1f7491cf195fef7e6067a5228b112d7a2d8dd393ef8.jpg?v=1785100232"]</t>
        </is>
      </c>
    </row>
    <row r="21" ht="66" customHeight="1">
      <c r="A21" s="3" t="inlineStr">
        <is>
          <t>jeminise.com+custom-football-player-with-burning-ball-comforter-and-american-football-708344de4c-708344de4c</t>
        </is>
      </c>
      <c r="B21" s="3" t="inlineStr">
        <is>
          <t>qaimg_da17a49b6db0dc75</t>
        </is>
      </c>
      <c r="C21" s="4" t="inlineStr">
        <is>
          <t>https://cdn.shopify.com/s/files/1/0792/5098/1063/files/fd37c6101f5cc6a23f0a9b3bc4999aa5f6730ccc0ada86d88f0a3fa9fe12a04c.jpg?v=1785100232</t>
        </is>
      </c>
      <c r="D21" s="4" t="inlineStr">
        <is>
          <t>https://cdn.shopify.com/s/files/1/0792/5098/1063/files/fd37c6101f5cc6a23f0a9b3bc4999aa5f6730ccc0ada86d88f0a3fa9fe12a04c.jpg?v=1785100232</t>
        </is>
      </c>
      <c r="E21" s="3" t="inlineStr">
        <is>
          <t>47540147781831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2026-09-09T12:10:51+07:00</t>
        </is>
      </c>
      <c r="J21" s="3" t="inlineStr">
        <is>
          <t>QA opened 074_02.jpg (1000x1000) and checked against workbook observation: Second bedroom mockup showing the black number 24 player and flame background under a white duvet fold.</t>
        </is>
      </c>
      <c r="K21" s="3" t="inlineStr">
        <is>
          <t>Second bedroom mockup showing the black number 24 player and flame background under a white duvet fold.</t>
        </is>
      </c>
      <c r="L21" s="3" t="inlineStr">
        <is>
          <t>SET</t>
        </is>
      </c>
      <c r="M21" s="3" t="inlineStr">
        <is>
          <t>Black football player comforter with Michael 24 in bedroom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["seo_runs\\jeminise.com\\20260906_234129\\qa\\20260909_121051\\images\\074_02.jpg", "https://cdn.shopify.com/s/files/1/0792/5098/1063/files/fd37c6101f5cc6a23f0a9b3bc4999aa5f6730ccc0ada86d88f0a3fa9fe12a04c.jpg?v=1785100232"]</t>
        </is>
      </c>
    </row>
    <row r="22" ht="66" customHeight="1">
      <c r="A22" s="2" t="inlineStr">
        <is>
          <t>jeminise.com+custom-football-player-with-burning-ball-comforter-and-american-football-708344de4c-708344de4c</t>
        </is>
      </c>
      <c r="B22" s="2" t="inlineStr">
        <is>
          <t>qaimg_a8698a6d684d931c</t>
        </is>
      </c>
      <c r="C22" s="4" t="inlineStr">
        <is>
          <t>https://cdn.shopify.com/s/files/1/0792/5098/1063/files/16f7293cbefa5743a35b2e6316a5a114e5c052d08151e367dafd26aa5e2e542b.jpg?v=1785100232</t>
        </is>
      </c>
      <c r="D22" s="4" t="inlineStr">
        <is>
          <t>https://cdn.shopify.com/s/files/1/0792/5098/1063/files/16f7293cbefa5743a35b2e6316a5a114e5c052d08151e367dafd26aa5e2e542b.jpg?v=1785100232</t>
        </is>
      </c>
      <c r="E22" s="2" t="inlineStr">
        <is>
          <t>47540147814599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2026-09-09T12:10:51+07:00</t>
        </is>
      </c>
      <c r="J22" s="2" t="inlineStr">
        <is>
          <t>QA opened 074_03.jpg (1000x1000) and checked against workbook observation: Comparison panel explaining duvet cover set versus comforter set for all-season use.</t>
        </is>
      </c>
      <c r="K22" s="2" t="inlineStr">
        <is>
          <t>Comparison panel explaining duvet cover set versus comforter set for all-season use.</t>
        </is>
      </c>
      <c r="L22" s="2" t="inlineStr">
        <is>
          <t>SET</t>
        </is>
      </c>
      <c r="M22" s="2" t="inlineStr">
        <is>
          <t>Duvet cover and comforter set comparison panel for burning football player comforter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["seo_runs\\jeminise.com\\20260906_234129\\qa\\20260909_121051\\images\\074_03.jpg", "https://cdn.shopify.com/s/files/1/0792/5098/1063/files/16f7293cbefa5743a35b2e6316a5a114e5c052d08151e367dafd26aa5e2e542b.jpg?v=1785100232"]</t>
        </is>
      </c>
    </row>
    <row r="23" ht="66" customHeight="1">
      <c r="A23" s="3" t="inlineStr">
        <is>
          <t>jeminise.com+custom-football-player-with-burning-ball-comforter-and-american-football-708344de4c-708344de4c</t>
        </is>
      </c>
      <c r="B23" s="3" t="inlineStr">
        <is>
          <t>qaimg_2d6304fa9f9079a9</t>
        </is>
      </c>
      <c r="C23" s="4" t="inlineStr">
        <is>
          <t>https://cdn.shopify.com/s/files/1/0792/5098/1063/files/16850aa741a5d267737cb2131b33dda45539071a48778438df0f5ebd220e57f0.jpg?v=1785100232</t>
        </is>
      </c>
      <c r="D23" s="4" t="inlineStr">
        <is>
          <t>https://cdn.shopify.com/s/files/1/0792/5098/1063/files/16850aa741a5d267737cb2131b33dda45539071a48778438df0f5ebd220e57f0.jpg?v=1785100232</t>
        </is>
      </c>
      <c r="E23" s="3" t="inlineStr">
        <is>
          <t>47540147847367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2026-09-09T12:10:51+07:00</t>
        </is>
      </c>
      <c r="J23" s="3" t="inlineStr">
        <is>
          <t>QA opened 074_04.jpg (1000x1000) and checked against workbook observation: Close bedroom feature panel for the burning football player design with soft, lightweight, durable and breathable icons.</t>
        </is>
      </c>
      <c r="K23" s="3" t="inlineStr">
        <is>
          <t>Close bedroom feature panel for the burning football player design with soft, lightweight, durable and breathable icons.</t>
        </is>
      </c>
      <c r="L23" s="3" t="inlineStr">
        <is>
          <t>SET</t>
        </is>
      </c>
      <c r="M23" s="3" t="inlineStr">
        <is>
          <t>Feature panel for burning football player comforter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["seo_runs\\jeminise.com\\20260906_234129\\qa\\20260909_121051\\images\\074_04.jpg", "https://cdn.shopify.com/s/files/1/0792/5098/1063/files/16850aa741a5d267737cb2131b33dda45539071a48778438df0f5ebd220e57f0.jpg?v=1785100232"]</t>
        </is>
      </c>
    </row>
    <row r="24" ht="66" customHeight="1">
      <c r="A24" s="2" t="inlineStr">
        <is>
          <t>jeminise.com+custom-football-player-with-burning-ball-comforter-and-american-football-708344de4c-708344de4c</t>
        </is>
      </c>
      <c r="B24" s="2" t="inlineStr">
        <is>
          <t>qaimg_eb4ade643f8a8391</t>
        </is>
      </c>
      <c r="C24" s="4" t="inlineStr">
        <is>
          <t>https://cdn.shopify.com/s/files/1/0792/5098/1063/files/7c006bddc94d4763c71c8376307e195c1bbce73b8c802ec73ac5a8cef1291262.jpg?v=1785100232</t>
        </is>
      </c>
      <c r="D24" s="4" t="inlineStr">
        <is>
          <t>https://cdn.shopify.com/s/files/1/0792/5098/1063/files/7c006bddc94d4763c71c8376307e195c1bbce73b8c802ec73ac5a8cef1291262.jpg?v=1785100232</t>
        </is>
      </c>
      <c r="E24" s="2" t="inlineStr">
        <is>
          <t>47540147880135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2026-09-09T12:10:51+07:00</t>
        </is>
      </c>
      <c r="J24" s="2" t="inlineStr">
        <is>
          <t>QA opened 074_05.jpg (1000x1000) and checked against workbook observation: Easy-care panel listing wrinkle-free, stain-proof, anti-pilling and wash-fade resistance.</t>
        </is>
      </c>
      <c r="K24" s="2" t="inlineStr">
        <is>
          <t>Easy-care panel listing wrinkle-free, stain-proof, anti-pilling and wash-fade resistance.</t>
        </is>
      </c>
      <c r="L24" s="2" t="inlineStr">
        <is>
          <t>SET</t>
        </is>
      </c>
      <c r="M24" s="2" t="inlineStr">
        <is>
          <t>Easy care panel for football comforter set for burning football player comforter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["seo_runs\\jeminise.com\\20260906_234129\\qa\\20260909_121051\\images\\074_05.jpg", "https://cdn.shopify.com/s/files/1/0792/5098/1063/files/7c006bddc94d4763c71c8376307e195c1bbce73b8c802ec73ac5a8cef1291262.jpg?v=1785100232"]</t>
        </is>
      </c>
    </row>
    <row r="25" ht="66" customHeight="1">
      <c r="A25" s="3" t="inlineStr">
        <is>
          <t>jeminise.com+custom-football-player-with-burning-ball-comforter-and-american-football-708344de4c-708344de4c</t>
        </is>
      </c>
      <c r="B25" s="3" t="inlineStr">
        <is>
          <t>qaimg_7a8d3f09a8c98a3e</t>
        </is>
      </c>
      <c r="C25" s="4" t="inlineStr">
        <is>
          <t>https://cdn.shopify.com/s/files/1/0792/5098/1063/files/e5cad84edb4d7bf77c48fd7c8e52eb3b73f04eba8bf177671fd8a059c59422e8.jpg?v=1785100232</t>
        </is>
      </c>
      <c r="D25" s="4" t="inlineStr">
        <is>
          <t>https://cdn.shopify.com/s/files/1/0792/5098/1063/files/e5cad84edb4d7bf77c48fd7c8e52eb3b73f04eba8bf177671fd8a059c59422e8.jpg?v=1785100232</t>
        </is>
      </c>
      <c r="E25" s="3" t="inlineStr">
        <is>
          <t>47540147912903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2026-09-09T12:10:51+07:00</t>
        </is>
      </c>
      <c r="J25" s="3" t="inlineStr">
        <is>
          <t>QA opened 074_06.jpg (1000x1000) and checked against workbook observation: Size dimension chart for Twin 68 x 86, Full 79 x 90, Queen 90 x 90 and King 90 x 104.</t>
        </is>
      </c>
      <c r="K25" s="3" t="inlineStr">
        <is>
          <t>Size dimension chart for Twin 68 x 86, Full 79 x 90, Queen 90 x 90 and King 90 x 104.</t>
        </is>
      </c>
      <c r="L25" s="3" t="inlineStr">
        <is>
          <t>SET</t>
        </is>
      </c>
      <c r="M25" s="3" t="inlineStr">
        <is>
          <t>Comforter size dimension chart for Twin Full Queen King for burning football player comforter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["seo_runs\\jeminise.com\\20260906_234129\\qa\\20260909_121051\\images\\074_06.jpg", "https://cdn.shopify.com/s/files/1/0792/5098/1063/files/e5cad84edb4d7bf77c48fd7c8e52eb3b73f04eba8bf177671fd8a059c59422e8.jpg?v=1785100232"]</t>
        </is>
      </c>
    </row>
    <row r="26" ht="66" customHeight="1">
      <c r="A26" s="2" t="inlineStr">
        <is>
          <t>jeminise.com+custom-football-players-and-large-football-close-comforter-01d72ea6a0-01d72ea6a0</t>
        </is>
      </c>
      <c r="B26" s="2" t="inlineStr">
        <is>
          <t>qaimg_0431bcfed4abe398</t>
        </is>
      </c>
      <c r="C26" s="4" t="inlineStr">
        <is>
          <t>https://cdn.shopify.com/s/files/1/0792/5098/1063/files/d9863c62f320177280428dc92d48725c1c06a55d659d366f384fde0c7811382a.jpg?v=1785101218</t>
        </is>
      </c>
      <c r="D26" s="4" t="inlineStr">
        <is>
          <t>https://cdn.shopify.com/s/files/1/0792/5098/1063/files/d9863c62f320177280428dc92d48725c1c06a55d659d366f384fde0c7811382a.jpg?v=1785101218</t>
        </is>
      </c>
      <c r="E26" s="2" t="inlineStr">
        <is>
          <t>47540234682567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2026-09-09T12:10:51+07:00</t>
        </is>
      </c>
      <c r="J26" s="2" t="inlineStr">
        <is>
          <t>QA opened 075_01.jpg (1000x1000) and checked against workbook observation: Bedroom mockup of black football comforter with David name, three player silhouettes and a large football close-up.</t>
        </is>
      </c>
      <c r="K26" s="2" t="inlineStr">
        <is>
          <t>Bedroom mockup of black football comforter with David name, three player silhouettes and a large football close-up.</t>
        </is>
      </c>
      <c r="L26" s="2" t="inlineStr">
        <is>
          <t>SET</t>
        </is>
      </c>
      <c r="M26" s="2" t="inlineStr">
        <is>
          <t>Football players name comforter with David and large football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["seo_runs\\jeminise.com\\20260906_234129\\qa\\20260909_121051\\images\\075_01.jpg", "https://cdn.shopify.com/s/files/1/0792/5098/1063/files/d9863c62f320177280428dc92d48725c1c06a55d659d366f384fde0c7811382a.jpg?v=1785101218"]</t>
        </is>
      </c>
    </row>
    <row r="27" ht="66" customHeight="1">
      <c r="A27" s="3" t="inlineStr">
        <is>
          <t>jeminise.com+custom-football-players-and-large-football-close-comforter-01d72ea6a0-01d72ea6a0</t>
        </is>
      </c>
      <c r="B27" s="3" t="inlineStr">
        <is>
          <t>qaimg_368e22da6f06b3c0</t>
        </is>
      </c>
      <c r="C27" s="4" t="inlineStr">
        <is>
          <t>https://cdn.shopify.com/s/files/1/0792/5098/1063/files/61d8db4586719dd0e842f190225984c6b6da3b53035d15a131bc2de65a30108d.jpg?v=1785101218</t>
        </is>
      </c>
      <c r="D27" s="4" t="inlineStr">
        <is>
          <t>https://cdn.shopify.com/s/files/1/0792/5098/1063/files/61d8db4586719dd0e842f190225984c6b6da3b53035d15a131bc2de65a30108d.jpg?v=1785101218</t>
        </is>
      </c>
      <c r="E27" s="3" t="inlineStr">
        <is>
          <t>47540234715335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2026-09-09T12:10:51+07:00</t>
        </is>
      </c>
      <c r="J27" s="3" t="inlineStr">
        <is>
          <t>QA opened 075_02.jpg (1000x1000) and checked against workbook observation: Second bedroom mockup showing David name, football players and large football graphic under a white duvet fold.</t>
        </is>
      </c>
      <c r="K27" s="3" t="inlineStr">
        <is>
          <t>Second bedroom mockup showing David name, football players and large football graphic under a white duvet fold.</t>
        </is>
      </c>
      <c r="L27" s="3" t="inlineStr">
        <is>
          <t>SET</t>
        </is>
      </c>
      <c r="M27" s="3" t="inlineStr">
        <is>
          <t>Football players comforter with David name in bedroom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["seo_runs\\jeminise.com\\20260906_234129\\qa\\20260909_121051\\images\\075_02.jpg", "https://cdn.shopify.com/s/files/1/0792/5098/1063/files/61d8db4586719dd0e842f190225984c6b6da3b53035d15a131bc2de65a30108d.jpg?v=1785101218"]</t>
        </is>
      </c>
    </row>
    <row r="28" ht="66" customHeight="1">
      <c r="A28" s="2" t="inlineStr">
        <is>
          <t>jeminise.com+custom-football-players-and-large-football-close-comforter-01d72ea6a0-01d72ea6a0</t>
        </is>
      </c>
      <c r="B28" s="2" t="inlineStr">
        <is>
          <t>qaimg_1a2b3676828db1a4</t>
        </is>
      </c>
      <c r="C28" s="4" t="inlineStr">
        <is>
          <t>https://cdn.shopify.com/s/files/1/0792/5098/1063/files/16f7293cbefa5743a35b2e6316a5a114e5c052d08151e367dafd26aa5e2e542b_fd7ecc9e-322c-42cb-ad00-501d35fb48d9.jpg?v=1785101218</t>
        </is>
      </c>
      <c r="D28" s="4" t="inlineStr">
        <is>
          <t>https://cdn.shopify.com/s/files/1/0792/5098/1063/files/16f7293cbefa5743a35b2e6316a5a114e5c052d08151e367dafd26aa5e2e542b_fd7ecc9e-322c-42cb-ad00-501d35fb48d9.jpg?v=1785101218</t>
        </is>
      </c>
      <c r="E28" s="2" t="inlineStr">
        <is>
          <t>47540234748103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2026-09-09T12:10:51+07:00</t>
        </is>
      </c>
      <c r="J28" s="2" t="inlineStr">
        <is>
          <t>QA opened 075_03.jpg (1000x1000) and checked against workbook observation: Comparison panel explaining duvet cover set versus comforter set for all-season use.</t>
        </is>
      </c>
      <c r="K28" s="2" t="inlineStr">
        <is>
          <t>Comparison panel explaining duvet cover set versus comforter set for all-season use.</t>
        </is>
      </c>
      <c r="L28" s="2" t="inlineStr">
        <is>
          <t>SET</t>
        </is>
      </c>
      <c r="M28" s="2" t="inlineStr">
        <is>
          <t>Duvet cover and comforter set comparison panel for football players and large football name comforter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["seo_runs\\jeminise.com\\20260906_234129\\qa\\20260909_121051\\images\\075_03.jpg", "https://cdn.shopify.com/s/files/1/0792/5098/1063/files/16f7293cbefa5743a35b2e6316a5a114e5c052d08151e367dafd26aa5e2e542b_fd7ecc9e-322c-42cb-ad00-501d35fb48d9.jpg?v=1785101218"]</t>
        </is>
      </c>
    </row>
    <row r="29" ht="66" customHeight="1">
      <c r="A29" s="3" t="inlineStr">
        <is>
          <t>jeminise.com+custom-football-players-and-large-football-close-comforter-01d72ea6a0-01d72ea6a0</t>
        </is>
      </c>
      <c r="B29" s="3" t="inlineStr">
        <is>
          <t>qaimg_8c7e819c28a5a1ff</t>
        </is>
      </c>
      <c r="C29" s="4" t="inlineStr">
        <is>
          <t>https://cdn.shopify.com/s/files/1/0792/5098/1063/files/58c340a4c7fe053916f16800187530e654ac14f931a47170b18971d21ebaf1ab.jpg?v=1785101218</t>
        </is>
      </c>
      <c r="D29" s="4" t="inlineStr">
        <is>
          <t>https://cdn.shopify.com/s/files/1/0792/5098/1063/files/58c340a4c7fe053916f16800187530e654ac14f931a47170b18971d21ebaf1ab.jpg?v=1785101218</t>
        </is>
      </c>
      <c r="E29" s="3" t="inlineStr">
        <is>
          <t>47540234780871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2026-09-09T12:10:51+07:00</t>
        </is>
      </c>
      <c r="J29" s="3" t="inlineStr">
        <is>
          <t>QA opened 075_04.jpg (1000x1000) and checked against workbook observation: Feature panel showing microfiber, 3D printed pattern and soft lightweight breathable callouts.</t>
        </is>
      </c>
      <c r="K29" s="3" t="inlineStr">
        <is>
          <t>Feature panel showing microfiber, 3D printed pattern and soft lightweight breathable callouts.</t>
        </is>
      </c>
      <c r="L29" s="3" t="inlineStr">
        <is>
          <t>SET</t>
        </is>
      </c>
      <c r="M29" s="3" t="inlineStr">
        <is>
          <t>Microfiber and 3D print feature panel for football comforter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["seo_runs\\jeminise.com\\20260906_234129\\qa\\20260909_121051\\images\\075_04.jpg", "https://cdn.shopify.com/s/files/1/0792/5098/1063/files/58c340a4c7fe053916f16800187530e654ac14f931a47170b18971d21ebaf1ab.jpg?v=1785101218"]</t>
        </is>
      </c>
    </row>
    <row r="30" ht="66" customHeight="1">
      <c r="A30" s="2" t="inlineStr">
        <is>
          <t>jeminise.com+custom-football-players-and-large-football-close-comforter-01d72ea6a0-01d72ea6a0</t>
        </is>
      </c>
      <c r="B30" s="2" t="inlineStr">
        <is>
          <t>qaimg_d4f2e4f171da2834</t>
        </is>
      </c>
      <c r="C30" s="4" t="inlineStr">
        <is>
          <t>https://cdn.shopify.com/s/files/1/0792/5098/1063/files/9eff0d4b8aa047da646b832be864b73d6d5b63aa2e2b5e86db07267662d50290.jpg?v=1785101218</t>
        </is>
      </c>
      <c r="D30" s="4" t="inlineStr">
        <is>
          <t>https://cdn.shopify.com/s/files/1/0792/5098/1063/files/9eff0d4b8aa047da646b832be864b73d6d5b63aa2e2b5e86db07267662d50290.jpg?v=1785101218</t>
        </is>
      </c>
      <c r="E30" s="2" t="inlineStr">
        <is>
          <t>47540234813639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2026-09-09T12:10:51+07:00</t>
        </is>
      </c>
      <c r="J30" s="2" t="inlineStr">
        <is>
          <t>QA opened 075_05.jpg (1000x1000) and checked against workbook observation: Close bedroom feature panel showing football players, large football and soft, lightweight, durable and breathable icons.</t>
        </is>
      </c>
      <c r="K30" s="2" t="inlineStr">
        <is>
          <t>Close bedroom feature panel showing football players, large football and soft, lightweight, durable and breathable icons.</t>
        </is>
      </c>
      <c r="L30" s="2" t="inlineStr">
        <is>
          <t>SET</t>
        </is>
      </c>
      <c r="M30" s="2" t="inlineStr">
        <is>
          <t>Feature panel for football players name comforter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["seo_runs\\jeminise.com\\20260906_234129\\qa\\20260909_121051\\images\\075_05.jpg", "https://cdn.shopify.com/s/files/1/0792/5098/1063/files/9eff0d4b8aa047da646b832be864b73d6d5b63aa2e2b5e86db07267662d50290.jpg?v=1785101218"]</t>
        </is>
      </c>
    </row>
    <row r="31" ht="66" customHeight="1">
      <c r="A31" s="3" t="inlineStr">
        <is>
          <t>jeminise.com+custom-football-players-and-large-football-close-comforter-01d72ea6a0-01d72ea6a0</t>
        </is>
      </c>
      <c r="B31" s="3" t="inlineStr">
        <is>
          <t>qaimg_cf41e488287e40f0</t>
        </is>
      </c>
      <c r="C31" s="4" t="inlineStr">
        <is>
          <t>https://cdn.shopify.com/s/files/1/0792/5098/1063/files/7c006bddc94d4763c71c8376307e195c1bbce73b8c802ec73ac5a8cef1291262_450a5325-5d52-4e03-9515-43a2fd35d3ac.jpg?v=1785101218</t>
        </is>
      </c>
      <c r="D31" s="4" t="inlineStr">
        <is>
          <t>https://cdn.shopify.com/s/files/1/0792/5098/1063/files/7c006bddc94d4763c71c8376307e195c1bbce73b8c802ec73ac5a8cef1291262_450a5325-5d52-4e03-9515-43a2fd35d3ac.jpg?v=1785101218</t>
        </is>
      </c>
      <c r="E31" s="3" t="inlineStr">
        <is>
          <t>47540234846407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2026-09-09T12:10:51+07:00</t>
        </is>
      </c>
      <c r="J31" s="3" t="inlineStr">
        <is>
          <t>QA opened 075_06.jpg (1000x1000) and checked against workbook observation: Easy-care panel listing wrinkle-free, stain-proof, anti-pilling and wash-fade resistance.</t>
        </is>
      </c>
      <c r="K31" s="3" t="inlineStr">
        <is>
          <t>Easy-care panel listing wrinkle-free, stain-proof, anti-pilling and wash-fade resistance.</t>
        </is>
      </c>
      <c r="L31" s="3" t="inlineStr">
        <is>
          <t>SET</t>
        </is>
      </c>
      <c r="M31" s="3" t="inlineStr">
        <is>
          <t>Easy care panel for football comforter set for football players and large football name comforter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["seo_runs\\jeminise.com\\20260906_234129\\qa\\20260909_121051\\images\\075_06.jpg", "https://cdn.shopify.com/s/files/1/0792/5098/1063/files/7c006bddc94d4763c71c8376307e195c1bbce73b8c802ec73ac5a8cef1291262_450a5325-5d52-4e03-9515-43a2fd35d3ac.jpg?v=1785101218"]</t>
        </is>
      </c>
    </row>
    <row r="32" ht="66" customHeight="1">
      <c r="A32" s="2" t="inlineStr">
        <is>
          <t>jeminise.com+custom-football-players-and-large-football-close-comforter-01d72ea6a0-01d72ea6a0</t>
        </is>
      </c>
      <c r="B32" s="2" t="inlineStr">
        <is>
          <t>qaimg_496625e5db6da500</t>
        </is>
      </c>
      <c r="C32" s="4" t="inlineStr">
        <is>
          <t>https://cdn.shopify.com/s/files/1/0792/5098/1063/files/e5cad84edb4d7bf77c48fd7c8e52eb3b73f04eba8bf177671fd8a059c59422e8_c920d1d7-5cd3-4297-af76-4f5b0b234ebb.jpg?v=1785101218</t>
        </is>
      </c>
      <c r="D32" s="4" t="inlineStr">
        <is>
          <t>https://cdn.shopify.com/s/files/1/0792/5098/1063/files/e5cad84edb4d7bf77c48fd7c8e52eb3b73f04eba8bf177671fd8a059c59422e8_c920d1d7-5cd3-4297-af76-4f5b0b234ebb.jpg?v=1785101218</t>
        </is>
      </c>
      <c r="E32" s="2" t="inlineStr">
        <is>
          <t>47540234879175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2026-09-09T12:10:51+07:00</t>
        </is>
      </c>
      <c r="J32" s="2" t="inlineStr">
        <is>
          <t>QA opened 075_07.jpg (1000x1000) and checked against workbook observation: Size dimension chart for Twin 68 x 86, Full 79 x 90, Queen 90 x 90 and King 90 x 104.</t>
        </is>
      </c>
      <c r="K32" s="2" t="inlineStr">
        <is>
          <t>Size dimension chart for Twin 68 x 86, Full 79 x 90, Queen 90 x 90 and King 90 x 104.</t>
        </is>
      </c>
      <c r="L32" s="2" t="inlineStr">
        <is>
          <t>SET</t>
        </is>
      </c>
      <c r="M32" s="2" t="inlineStr">
        <is>
          <t>Comforter size dimension chart for Twin Full Queen King for football players and large football name comforter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["seo_runs\\jeminise.com\\20260906_234129\\qa\\20260909_121051\\images\\075_07.jpg", "https://cdn.shopify.com/s/files/1/0792/5098/1063/files/e5cad84edb4d7bf77c48fd7c8e52eb3b73f04eba8bf177671fd8a059c59422e8_c920d1d7-5cd3-4297-af76-4f5b0b234ebb.jpg?v=1785101218"]</t>
        </is>
      </c>
    </row>
    <row r="33" ht="66" customHeight="1">
      <c r="A33" s="3" t="inlineStr">
        <is>
          <t>jeminise.com+custom-football-texture-with-prominent-laces-vintage-comforter-9be594b786-9be594b786</t>
        </is>
      </c>
      <c r="B33" s="3" t="inlineStr">
        <is>
          <t>qaimg_fdac5ce9860a6af0</t>
        </is>
      </c>
      <c r="C33" s="4" t="inlineStr">
        <is>
          <t>https://cdn.shopify.com/s/files/1/0792/5098/1063/files/85acb5724b5772636361a6d94be8777f6f2bdb5f3a8e7fa49c6491dff38c06f8.jpg?v=1785102237</t>
        </is>
      </c>
      <c r="D33" s="4" t="inlineStr">
        <is>
          <t>https://cdn.shopify.com/s/files/1/0792/5098/1063/files/85acb5724b5772636361a6d94be8777f6f2bdb5f3a8e7fa49c6491dff38c06f8.jpg?v=1785102237</t>
        </is>
      </c>
      <c r="E33" s="3" t="inlineStr">
        <is>
          <t>47540320207047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2026-09-09T12:10:51+07:00</t>
        </is>
      </c>
      <c r="J33" s="3" t="inlineStr">
        <is>
          <t>QA opened 076_01.jpg (1000x1000) and checked against workbook observation: Bedroom mockup of brown football leather texture comforter with white laces, Michael name and 33.</t>
        </is>
      </c>
      <c r="K33" s="3" t="inlineStr">
        <is>
          <t>Bedroom mockup of brown football leather texture comforter with white laces, Michael name and 33.</t>
        </is>
      </c>
      <c r="L33" s="3" t="inlineStr">
        <is>
          <t>SET</t>
        </is>
      </c>
      <c r="M33" s="3" t="inlineStr">
        <is>
          <t>Football laces comforter with Michael 33 on bed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["seo_runs\\jeminise.com\\20260906_234129\\qa\\20260909_121051\\images\\076_01.jpg", "https://cdn.shopify.com/s/files/1/0792/5098/1063/files/85acb5724b5772636361a6d94be8777f6f2bdb5f3a8e7fa49c6491dff38c06f8.jpg?v=1785102237"]</t>
        </is>
      </c>
    </row>
    <row r="34" ht="66" customHeight="1">
      <c r="A34" s="2" t="inlineStr">
        <is>
          <t>jeminise.com+custom-football-texture-with-prominent-laces-vintage-comforter-9be594b786-9be594b786</t>
        </is>
      </c>
      <c r="B34" s="2" t="inlineStr">
        <is>
          <t>qaimg_c3e4044bbb12622a</t>
        </is>
      </c>
      <c r="C34" s="4" t="inlineStr">
        <is>
          <t>https://cdn.shopify.com/s/files/1/0792/5098/1063/files/c0dfbc01cdafe0eb40befa736aca2b23229fa063a0f1bf1806bd204913a26a42.jpg?v=1785102237</t>
        </is>
      </c>
      <c r="D34" s="4" t="inlineStr">
        <is>
          <t>https://cdn.shopify.com/s/files/1/0792/5098/1063/files/c0dfbc01cdafe0eb40befa736aca2b23229fa063a0f1bf1806bd204913a26a42.jpg?v=1785102237</t>
        </is>
      </c>
      <c r="E34" s="2" t="inlineStr">
        <is>
          <t>47540320239815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2026-09-09T12:10:51+07:00</t>
        </is>
      </c>
      <c r="J34" s="2" t="inlineStr">
        <is>
          <t>QA opened 076_02.jpg (1000x1000) and checked against workbook observation: Second bedroom mockup showing brown football texture, white laces, Michael name and 33 under a white duvet fold.</t>
        </is>
      </c>
      <c r="K34" s="2" t="inlineStr">
        <is>
          <t>Second bedroom mockup showing brown football texture, white laces, Michael name and 33 under a white duvet fold.</t>
        </is>
      </c>
      <c r="L34" s="2" t="inlineStr">
        <is>
          <t>SET</t>
        </is>
      </c>
      <c r="M34" s="2" t="inlineStr">
        <is>
          <t>Brown football laces comforter with Michael 33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["seo_runs\\jeminise.com\\20260906_234129\\qa\\20260909_121051\\images\\076_02.jpg", "https://cdn.shopify.com/s/files/1/0792/5098/1063/files/c0dfbc01cdafe0eb40befa736aca2b23229fa063a0f1bf1806bd204913a26a42.jpg?v=1785102237"]</t>
        </is>
      </c>
    </row>
    <row r="35" ht="66" customHeight="1">
      <c r="A35" s="3" t="inlineStr">
        <is>
          <t>jeminise.com+custom-football-texture-with-prominent-laces-vintage-comforter-9be594b786-9be594b786</t>
        </is>
      </c>
      <c r="B35" s="3" t="inlineStr">
        <is>
          <t>qaimg_49592c6bec3fdab3</t>
        </is>
      </c>
      <c r="C35" s="4" t="inlineStr">
        <is>
          <t>https://cdn.shopify.com/s/files/1/0792/5098/1063/files/16f7293cbefa5743a35b2e6316a5a114e5c052d08151e367dafd26aa5e2e542b_d875385b-9b7e-444f-ba63-a4c498f71a9c.jpg?v=1785102237</t>
        </is>
      </c>
      <c r="D35" s="4" t="inlineStr">
        <is>
          <t>https://cdn.shopify.com/s/files/1/0792/5098/1063/files/16f7293cbefa5743a35b2e6316a5a114e5c052d08151e367dafd26aa5e2e542b_d875385b-9b7e-444f-ba63-a4c498f71a9c.jpg?v=1785102237</t>
        </is>
      </c>
      <c r="E35" s="3" t="inlineStr">
        <is>
          <t>47540320272583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2026-09-09T12:10:51+07:00</t>
        </is>
      </c>
      <c r="J35" s="3" t="inlineStr">
        <is>
          <t>QA opened 076_03.jpg (1000x1000) and checked against workbook observation: Comparison panel explaining duvet cover set versus comforter set for all-season use.</t>
        </is>
      </c>
      <c r="K35" s="3" t="inlineStr">
        <is>
          <t>Comparison panel explaining duvet cover set versus comforter set for all-season use.</t>
        </is>
      </c>
      <c r="L35" s="3" t="inlineStr">
        <is>
          <t>SET</t>
        </is>
      </c>
      <c r="M35" s="3" t="inlineStr">
        <is>
          <t>Duvet cover and comforter set comparison panel for vintage football laces comforter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["seo_runs\\jeminise.com\\20260906_234129\\qa\\20260909_121051\\images\\076_03.jpg", "https://cdn.shopify.com/s/files/1/0792/5098/1063/files/16f7293cbefa5743a35b2e6316a5a114e5c052d08151e367dafd26aa5e2e542b_d875385b-9b7e-444f-ba63-a4c498f71a9c.jpg?v=1785102237"]</t>
        </is>
      </c>
    </row>
    <row r="36" ht="66" customHeight="1">
      <c r="A36" s="2" t="inlineStr">
        <is>
          <t>jeminise.com+custom-football-texture-with-prominent-laces-vintage-comforter-9be594b786-9be594b786</t>
        </is>
      </c>
      <c r="B36" s="2" t="inlineStr">
        <is>
          <t>qaimg_ca9ac6692869575d</t>
        </is>
      </c>
      <c r="C36" s="4" t="inlineStr">
        <is>
          <t>https://cdn.shopify.com/s/files/1/0792/5098/1063/files/cfd8631dbba8b37733bb37a7a070ce958cbd2a04846a637899b41f22e85eceda.jpg?v=1785102237</t>
        </is>
      </c>
      <c r="D36" s="4" t="inlineStr">
        <is>
          <t>https://cdn.shopify.com/s/files/1/0792/5098/1063/files/cfd8631dbba8b37733bb37a7a070ce958cbd2a04846a637899b41f22e85eceda.jpg?v=1785102237</t>
        </is>
      </c>
      <c r="E36" s="2" t="inlineStr">
        <is>
          <t>47540320305351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2026-09-09T12:10:51+07:00</t>
        </is>
      </c>
      <c r="J36" s="2" t="inlineStr">
        <is>
          <t>QA opened 076_04.jpg (1000x1000) and checked against workbook observation: Close bedroom feature panel for football laces design with soft, lightweight, durable and breathable icons.</t>
        </is>
      </c>
      <c r="K36" s="2" t="inlineStr">
        <is>
          <t>Close bedroom feature panel for football laces design with soft, lightweight, durable and breathable icons.</t>
        </is>
      </c>
      <c r="L36" s="2" t="inlineStr">
        <is>
          <t>SET</t>
        </is>
      </c>
      <c r="M36" s="2" t="inlineStr">
        <is>
          <t>Feature panel for football laces comforter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["seo_runs\\jeminise.com\\20260906_234129\\qa\\20260909_121051\\images\\076_04.jpg", "https://cdn.shopify.com/s/files/1/0792/5098/1063/files/cfd8631dbba8b37733bb37a7a070ce958cbd2a04846a637899b41f22e85eceda.jpg?v=1785102237"]</t>
        </is>
      </c>
    </row>
    <row r="37" ht="66" customHeight="1">
      <c r="A37" s="3" t="inlineStr">
        <is>
          <t>jeminise.com+custom-football-texture-with-prominent-laces-vintage-comforter-9be594b786-9be594b786</t>
        </is>
      </c>
      <c r="B37" s="3" t="inlineStr">
        <is>
          <t>qaimg_0777660538dec7ce</t>
        </is>
      </c>
      <c r="C37" s="4" t="inlineStr">
        <is>
          <t>https://cdn.shopify.com/s/files/1/0792/5098/1063/files/7c006bddc94d4763c71c8376307e195c1bbce73b8c802ec73ac5a8cef1291262_d779487c-d3b5-4d1b-8bf2-b7c489c617aa.jpg?v=1785102237</t>
        </is>
      </c>
      <c r="D37" s="4" t="inlineStr">
        <is>
          <t>https://cdn.shopify.com/s/files/1/0792/5098/1063/files/7c006bddc94d4763c71c8376307e195c1bbce73b8c802ec73ac5a8cef1291262_d779487c-d3b5-4d1b-8bf2-b7c489c617aa.jpg?v=1785102237</t>
        </is>
      </c>
      <c r="E37" s="3" t="inlineStr">
        <is>
          <t>47540320338119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2026-09-09T12:10:51+07:00</t>
        </is>
      </c>
      <c r="J37" s="3" t="inlineStr">
        <is>
          <t>QA opened 076_05.jpg (1000x1000) and checked against workbook observation: Easy-care panel listing wrinkle-free, stain-proof, anti-pilling and wash-fade resistance.</t>
        </is>
      </c>
      <c r="K37" s="3" t="inlineStr">
        <is>
          <t>Easy-care panel listing wrinkle-free, stain-proof, anti-pilling and wash-fade resistance.</t>
        </is>
      </c>
      <c r="L37" s="3" t="inlineStr">
        <is>
          <t>SET</t>
        </is>
      </c>
      <c r="M37" s="3" t="inlineStr">
        <is>
          <t>Easy care panel for football comforter set for vintage football laces comforter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["seo_runs\\jeminise.com\\20260906_234129\\qa\\20260909_121051\\images\\076_05.jpg", "https://cdn.shopify.com/s/files/1/0792/5098/1063/files/7c006bddc94d4763c71c8376307e195c1bbce73b8c802ec73ac5a8cef1291262_d779487c-d3b5-4d1b-8bf2-b7c489c617aa.jpg?v=1785102237"]</t>
        </is>
      </c>
    </row>
    <row r="38" ht="66" customHeight="1">
      <c r="A38" s="2" t="inlineStr">
        <is>
          <t>jeminise.com+custom-football-texture-with-prominent-laces-vintage-comforter-9be594b786-9be594b786</t>
        </is>
      </c>
      <c r="B38" s="2" t="inlineStr">
        <is>
          <t>qaimg_4a287ccfefced00f</t>
        </is>
      </c>
      <c r="C38" s="4" t="inlineStr">
        <is>
          <t>https://cdn.shopify.com/s/files/1/0792/5098/1063/files/e5cad84edb4d7bf77c48fd7c8e52eb3b73f04eba8bf177671fd8a059c59422e8_018a15cb-bcc1-4002-a0d8-af67e3fb30ea.jpg?v=1785102237</t>
        </is>
      </c>
      <c r="D38" s="4" t="inlineStr">
        <is>
          <t>https://cdn.shopify.com/s/files/1/0792/5098/1063/files/e5cad84edb4d7bf77c48fd7c8e52eb3b73f04eba8bf177671fd8a059c59422e8_018a15cb-bcc1-4002-a0d8-af67e3fb30ea.jpg?v=1785102237</t>
        </is>
      </c>
      <c r="E38" s="2" t="inlineStr">
        <is>
          <t>47540320370887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2026-09-09T12:10:51+07:00</t>
        </is>
      </c>
      <c r="J38" s="2" t="inlineStr">
        <is>
          <t>QA opened 076_06.jpg (1000x1000) and checked against workbook observation: Size dimension chart for Twin 68 x 86, Full 79 x 90, Queen 90 x 90 and King 90 x 104.</t>
        </is>
      </c>
      <c r="K38" s="2" t="inlineStr">
        <is>
          <t>Size dimension chart for Twin 68 x 86, Full 79 x 90, Queen 90 x 90 and King 90 x 104.</t>
        </is>
      </c>
      <c r="L38" s="2" t="inlineStr">
        <is>
          <t>SET</t>
        </is>
      </c>
      <c r="M38" s="2" t="inlineStr">
        <is>
          <t>Comforter size dimension chart for Twin Full Queen King for vintage football laces comforter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["seo_runs\\jeminise.com\\20260906_234129\\qa\\20260909_121051\\images\\076_06.jpg", "https://cdn.shopify.com/s/files/1/0792/5098/1063/files/e5cad84edb4d7bf77c48fd7c8e52eb3b73f04eba8bf177671fd8a059c59422e8_018a15cb-bcc1-4002-a0d8-af67e3fb30ea.jpg?v=1785102237"]</t>
        </is>
      </c>
    </row>
    <row r="39" ht="66" customHeight="1">
      <c r="A39" s="3" t="inlineStr">
        <is>
          <t>jeminise.com+custom-glowing-soccer-ball-trails-comforter-set-machine-washable-a6</t>
        </is>
      </c>
      <c r="B39" s="3" t="inlineStr">
        <is>
          <t>qaimg_6d42b23c5de5445e</t>
        </is>
      </c>
      <c r="C39" s="4" t="inlineStr">
        <is>
          <t>https://cdn.shopify.com/s/files/1/0792/5098/1063/files/d35464e29b296878cbbb36fb22ace55bea2b0208c40de42a7bbeeecd1911b275.jpg?v=1786611029</t>
        </is>
      </c>
      <c r="D39" s="4" t="inlineStr">
        <is>
          <t>https://cdn.shopify.com/s/files/1/0792/5098/1063/files/d35464e29b296878cbbb36fb22ace55bea2b0208c40de42a7bbeeecd1911b275.jpg?v=1786611029</t>
        </is>
      </c>
      <c r="E39" s="3" t="inlineStr">
        <is>
          <t>47833437044935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2026-09-09T12:10:51+07:00</t>
        </is>
      </c>
      <c r="J39" s="3" t="inlineStr">
        <is>
          <t>QA opened 077_01.jpg (1000x1000) and checked against workbook observation: Bedroom mockup of black comforter with glowing blue soccer ball light trails and sample Jackson text.</t>
        </is>
      </c>
      <c r="K39" s="3" t="inlineStr">
        <is>
          <t>Bedroom mockup of black comforter with glowing blue soccer ball light trails and sample Jackson text.</t>
        </is>
      </c>
      <c r="L39" s="3" t="inlineStr">
        <is>
          <t>SET</t>
        </is>
      </c>
      <c r="M39" s="3" t="inlineStr">
        <is>
          <t>Glowing soccer ball comforter with Jackson text on bed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["seo_runs\\jeminise.com\\20260906_234129\\qa\\20260909_121051\\images\\077_01.jpg", "https://cdn.shopify.com/s/files/1/0792/5098/1063/files/d35464e29b296878cbbb36fb22ace55bea2b0208c40de42a7bbeeecd1911b275.jpg?v=1786611029"]</t>
        </is>
      </c>
    </row>
    <row r="40" ht="66" customHeight="1">
      <c r="A40" s="2" t="inlineStr">
        <is>
          <t>jeminise.com+custom-glowing-soccer-ball-trails-comforter-set-machine-washable-a6</t>
        </is>
      </c>
      <c r="B40" s="2" t="inlineStr">
        <is>
          <t>qaimg_5a011e2e584d7585</t>
        </is>
      </c>
      <c r="C40" s="4" t="inlineStr">
        <is>
          <t>https://cdn.shopify.com/s/files/1/0792/5098/1063/files/5c13d611a7a454c1ca63d112fc1075b3b0768874d5d6172aeaf1cd08cc696830.jpg?v=1786611029</t>
        </is>
      </c>
      <c r="D40" s="4" t="inlineStr">
        <is>
          <t>https://cdn.shopify.com/s/files/1/0792/5098/1063/files/5c13d611a7a454c1ca63d112fc1075b3b0768874d5d6172aeaf1cd08cc696830.jpg?v=1786611029</t>
        </is>
      </c>
      <c r="E40" s="2" t="inlineStr">
        <is>
          <t>47833437077703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2026-09-09T12:10:51+07:00</t>
        </is>
      </c>
      <c r="J40" s="2" t="inlineStr">
        <is>
          <t>QA opened 077_02.jpg (1000x1000) and checked against workbook observation: Feature panel showing microfiber, 3D printed pattern and lightweight breathable callouts for the soccer design.</t>
        </is>
      </c>
      <c r="K40" s="2" t="inlineStr">
        <is>
          <t>Feature panel showing microfiber, 3D printed pattern and lightweight breathable callouts for the soccer design.</t>
        </is>
      </c>
      <c r="L40" s="2" t="inlineStr">
        <is>
          <t>SET</t>
        </is>
      </c>
      <c r="M40" s="2" t="inlineStr">
        <is>
          <t>Microfiber and 3D print feature panel for soccer comforter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["seo_runs\\jeminise.com\\20260906_234129\\qa\\20260909_121051\\images\\077_02.jpg", "https://cdn.shopify.com/s/files/1/0792/5098/1063/files/5c13d611a7a454c1ca63d112fc1075b3b0768874d5d6172aeaf1cd08cc696830.jpg?v=1786611029"]</t>
        </is>
      </c>
    </row>
    <row r="41" ht="66" customHeight="1">
      <c r="A41" s="3" t="inlineStr">
        <is>
          <t>jeminise.com+custom-glowing-soccer-ball-trails-comforter-set-machine-washable-a6</t>
        </is>
      </c>
      <c r="B41" s="3" t="inlineStr">
        <is>
          <t>qaimg_88731b063006e529</t>
        </is>
      </c>
      <c r="C41" s="4" t="inlineStr">
        <is>
          <t>https://cdn.shopify.com/s/files/1/0792/5098/1063/files/305d9f6d5446ecb591f3359b103d707a8238d268ede646541022deebd4e546fe.jpg?v=1786611030</t>
        </is>
      </c>
      <c r="D41" s="4" t="inlineStr">
        <is>
          <t>https://cdn.shopify.com/s/files/1/0792/5098/1063/files/305d9f6d5446ecb591f3359b103d707a8238d268ede646541022deebd4e546fe.jpg?v=1786611030</t>
        </is>
      </c>
      <c r="E41" s="3" t="inlineStr">
        <is>
          <t>47833437110471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2026-09-09T12:10:51+07:00</t>
        </is>
      </c>
      <c r="J41" s="3" t="inlineStr">
        <is>
          <t>QA opened 077_03.jpg (1000x1000) and checked against workbook observation: Pillowcase mockup on white bed showing glowing blue soccer ball and number 10 artwork.</t>
        </is>
      </c>
      <c r="K41" s="3" t="inlineStr">
        <is>
          <t>Pillowcase mockup on white bed showing glowing blue soccer ball and number 10 artwork.</t>
        </is>
      </c>
      <c r="L41" s="3" t="inlineStr">
        <is>
          <t>SET</t>
        </is>
      </c>
      <c r="M41" s="3" t="inlineStr">
        <is>
          <t>Glowing soccer ball pillowcases on white bed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["seo_runs\\jeminise.com\\20260906_234129\\qa\\20260909_121051\\images\\077_03.jpg", "https://cdn.shopify.com/s/files/1/0792/5098/1063/files/305d9f6d5446ecb591f3359b103d707a8238d268ede646541022deebd4e546fe.jpg?v=1786611030"]</t>
        </is>
      </c>
    </row>
    <row r="42" ht="66" customHeight="1">
      <c r="A42" s="2" t="inlineStr">
        <is>
          <t>jeminise.com+custom-glowing-soccer-ball-trails-comforter-set-machine-washable-a6</t>
        </is>
      </c>
      <c r="B42" s="2" t="inlineStr">
        <is>
          <t>qaimg_021b45edfb6c2cec</t>
        </is>
      </c>
      <c r="C42" s="4" t="inlineStr">
        <is>
          <t>https://cdn.shopify.com/s/files/1/0792/5098/1063/files/0b1d1e19cab6d757366a36700f895ecca060303e705a8aece2f5fa486b6770da_95997922-66a7-46d6-9ca4-1f9633c6e408.jpg?v=1786611029</t>
        </is>
      </c>
      <c r="D42" s="4" t="inlineStr">
        <is>
          <t>https://cdn.shopify.com/s/files/1/0792/5098/1063/files/0b1d1e19cab6d757366a36700f895ecca060303e705a8aece2f5fa486b6770da_95997922-66a7-46d6-9ca4-1f9633c6e408.jpg?v=1786611029</t>
        </is>
      </c>
      <c r="E42" s="2" t="inlineStr">
        <is>
          <t>47833437143239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2026-09-09T12:10:51+07:00</t>
        </is>
      </c>
      <c r="J42" s="2" t="inlineStr">
        <is>
          <t>QA opened 077_04.jpg (1000x1000) and checked against workbook observation: Comparison panel explaining duvet cover set versus comforter set for all-season use.</t>
        </is>
      </c>
      <c r="K42" s="2" t="inlineStr">
        <is>
          <t>Comparison panel explaining duvet cover set versus comforter set for all-season use.</t>
        </is>
      </c>
      <c r="L42" s="2" t="inlineStr">
        <is>
          <t>SET</t>
        </is>
      </c>
      <c r="M42" s="2" t="inlineStr">
        <is>
          <t>Duvet cover and comforter set comparison panel for glowing soccer ball comforter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["seo_runs\\jeminise.com\\20260906_234129\\qa\\20260909_121051\\images\\077_04.jpg", "https://cdn.shopify.com/s/files/1/0792/5098/1063/files/0b1d1e19cab6d757366a36700f895ecca060303e705a8aece2f5fa486b6770da_95997922-66a7-46d6-9ca4-1f9633c6e408.jpg?v=1786611029"]</t>
        </is>
      </c>
    </row>
    <row r="43" ht="66" customHeight="1">
      <c r="A43" s="3" t="inlineStr">
        <is>
          <t>jeminise.com+custom-glowing-soccer-ball-trails-comforter-set-machine-washable-a6</t>
        </is>
      </c>
      <c r="B43" s="3" t="inlineStr">
        <is>
          <t>qaimg_dc22afcef6dbdeb9</t>
        </is>
      </c>
      <c r="C43" s="4" t="inlineStr">
        <is>
          <t>https://cdn.shopify.com/s/files/1/0792/5098/1063/files/f929fadf46a0d640608e2094534af14a00f4d3c4741a2c49c81555cb9fad12c6.jpg?v=1786611029</t>
        </is>
      </c>
      <c r="D43" s="4" t="inlineStr">
        <is>
          <t>https://cdn.shopify.com/s/files/1/0792/5098/1063/files/f929fadf46a0d640608e2094534af14a00f4d3c4741a2c49c81555cb9fad12c6.jpg?v=1786611029</t>
        </is>
      </c>
      <c r="E43" s="3" t="inlineStr">
        <is>
          <t>47833437176007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2026-09-09T12:10:51+07:00</t>
        </is>
      </c>
      <c r="J43" s="3" t="inlineStr">
        <is>
          <t>QA opened 077_05.jpg (1000x1000) and checked against workbook observation: Second bedroom mockup of glowing blue soccer ball comforter with Jackson text and matching pillows.</t>
        </is>
      </c>
      <c r="K43" s="3" t="inlineStr">
        <is>
          <t>Second bedroom mockup of glowing blue soccer ball comforter with Jackson text and matching pillows.</t>
        </is>
      </c>
      <c r="L43" s="3" t="inlineStr">
        <is>
          <t>SET</t>
        </is>
      </c>
      <c r="M43" s="3" t="inlineStr">
        <is>
          <t>Glowing soccer ball comforter with Jackson in bedroom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["seo_runs\\jeminise.com\\20260906_234129\\qa\\20260909_121051\\images\\077_05.jpg", "https://cdn.shopify.com/s/files/1/0792/5098/1063/files/f929fadf46a0d640608e2094534af14a00f4d3c4741a2c49c81555cb9fad12c6.jpg?v=1786611029"]</t>
        </is>
      </c>
    </row>
    <row r="44" ht="66" customHeight="1">
      <c r="A44" s="2" t="inlineStr">
        <is>
          <t>jeminise.com+custom-glowing-soccer-ball-trails-comforter-set-machine-washable-a6</t>
        </is>
      </c>
      <c r="B44" s="2" t="inlineStr">
        <is>
          <t>qaimg_f71b7e2368b27b61</t>
        </is>
      </c>
      <c r="C44" s="4" t="inlineStr">
        <is>
          <t>https://cdn.shopify.com/s/files/1/0792/5098/1063/files/b550cf71c201b6bc1ae5a8c7738600f1e28884333df72f355ce05d68e3cc01af.jpg?v=1786611030</t>
        </is>
      </c>
      <c r="D44" s="4" t="inlineStr">
        <is>
          <t>https://cdn.shopify.com/s/files/1/0792/5098/1063/files/b550cf71c201b6bc1ae5a8c7738600f1e28884333df72f355ce05d68e3cc01af.jpg?v=1786611030</t>
        </is>
      </c>
      <c r="E44" s="2" t="inlineStr">
        <is>
          <t>47833437208775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2026-09-09T12:10:51+07:00</t>
        </is>
      </c>
      <c r="J44" s="2" t="inlineStr">
        <is>
          <t>QA opened 077_06.jpg (1000x1000) and checked against workbook observation: Close bedroom feature panel showing glowing soccer ball design with soft, lightweight, durable and breathable icons.</t>
        </is>
      </c>
      <c r="K44" s="2" t="inlineStr">
        <is>
          <t>Close bedroom feature panel showing glowing soccer ball design with soft, lightweight, durable and breathable icons.</t>
        </is>
      </c>
      <c r="L44" s="2" t="inlineStr">
        <is>
          <t>SET</t>
        </is>
      </c>
      <c r="M44" s="2" t="inlineStr">
        <is>
          <t>Feature panel for glowing soccer ball comforter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["seo_runs\\jeminise.com\\20260906_234129\\qa\\20260909_121051\\images\\077_06.jpg", "https://cdn.shopify.com/s/files/1/0792/5098/1063/files/b550cf71c201b6bc1ae5a8c7738600f1e28884333df72f355ce05d68e3cc01af.jpg?v=1786611030"]</t>
        </is>
      </c>
    </row>
    <row r="45" ht="66" customHeight="1">
      <c r="A45" s="3" t="inlineStr">
        <is>
          <t>jeminise.com+custom-glowing-soccer-ball-trails-comforter-set-machine-washable-a6</t>
        </is>
      </c>
      <c r="B45" s="3" t="inlineStr">
        <is>
          <t>qaimg_a28e0ddc84281f60</t>
        </is>
      </c>
      <c r="C45" s="4" t="inlineStr">
        <is>
          <t>https://cdn.shopify.com/s/files/1/0792/5098/1063/files/dd6b2f75d5d331064be3e2ace151f6872c3f1f67675d8c1c7fa00f207341180b_b741a6ef-7c5a-4b13-9c59-910a83594693.jpg?v=1786611029</t>
        </is>
      </c>
      <c r="D45" s="4" t="inlineStr">
        <is>
          <t>https://cdn.shopify.com/s/files/1/0792/5098/1063/files/dd6b2f75d5d331064be3e2ace151f6872c3f1f67675d8c1c7fa00f207341180b_b741a6ef-7c5a-4b13-9c59-910a83594693.jpg?v=1786611029</t>
        </is>
      </c>
      <c r="E45" s="3" t="inlineStr">
        <is>
          <t>47833437241543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2026-09-09T12:10:51+07:00</t>
        </is>
      </c>
      <c r="J45" s="3" t="inlineStr">
        <is>
          <t>QA opened 077_07.jpg (1000x1000) and checked against workbook observation: Easy-care panel listing wrinkle-free, stain-proof, anti-pilling and wash-fade resistance.</t>
        </is>
      </c>
      <c r="K45" s="3" t="inlineStr">
        <is>
          <t>Easy-care panel listing wrinkle-free, stain-proof, anti-pilling and wash-fade resistance.</t>
        </is>
      </c>
      <c r="L45" s="3" t="inlineStr">
        <is>
          <t>SET</t>
        </is>
      </c>
      <c r="M45" s="3" t="inlineStr">
        <is>
          <t>Easy care panel for soccer comforter set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["seo_runs\\jeminise.com\\20260906_234129\\qa\\20260909_121051\\images\\077_07.jpg", "https://cdn.shopify.com/s/files/1/0792/5098/1063/files/dd6b2f75d5d331064be3e2ace151f6872c3f1f67675d8c1c7fa00f207341180b_b741a6ef-7c5a-4b13-9c59-910a83594693.jpg?v=1786611029"]</t>
        </is>
      </c>
    </row>
    <row r="46" ht="66" customHeight="1">
      <c r="A46" s="2" t="inlineStr">
        <is>
          <t>jeminise.com+custom-inspirational-bible-verse-floral-blanket-d5</t>
        </is>
      </c>
      <c r="B46" s="2" t="inlineStr">
        <is>
          <t>qaimg_c0d7ca97282e9f7e</t>
        </is>
      </c>
      <c r="C46" s="4" t="inlineStr">
        <is>
          <t>https://cdn.shopify.com/s/files/1/0792/5098/1063/files/ca0ded50205c9a145d2201f8702c3925419b376696554b3229114fd05d7f556d.jpg?v=1786596390</t>
        </is>
      </c>
      <c r="D46" s="4" t="inlineStr">
        <is>
          <t>https://cdn.shopify.com/s/files/1/0792/5098/1063/files/ca0ded50205c9a145d2201f8702c3925419b376696554b3229114fd05d7f556d.jpg?v=1786596390</t>
        </is>
      </c>
      <c r="E46" s="2" t="inlineStr">
        <is>
          <t>47830481699015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2026-09-09T12:10:51+07:00</t>
        </is>
      </c>
      <c r="J46" s="2" t="inlineStr">
        <is>
          <t>QA opened 078_01.jpg (1000x1000) and checked against workbook observation: Lifestyle mockup of a woman holding cream God says you are floral blanket with butterflies and Jessica name.</t>
        </is>
      </c>
      <c r="K46" s="2" t="inlineStr">
        <is>
          <t>Lifestyle mockup of a woman holding cream God says you are floral blanket with butterflies and Jessica name.</t>
        </is>
      </c>
      <c r="L46" s="2" t="inlineStr">
        <is>
          <t>SET</t>
        </is>
      </c>
      <c r="M46" s="2" t="inlineStr">
        <is>
          <t>God says you are floral blanket with Jessica name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["seo_runs\\jeminise.com\\20260906_234129\\qa\\20260909_121051\\images\\078_01.jpg", "https://cdn.shopify.com/s/files/1/0792/5098/1063/files/ca0ded50205c9a145d2201f8702c3925419b376696554b3229114fd05d7f556d.jpg?v=1786596390"]</t>
        </is>
      </c>
    </row>
    <row r="47" ht="66" customHeight="1">
      <c r="A47" s="3" t="inlineStr">
        <is>
          <t>jeminise.com+custom-inspirational-bible-verse-floral-blanket-d5</t>
        </is>
      </c>
      <c r="B47" s="3" t="inlineStr">
        <is>
          <t>qaimg_59f9fcd7deaccadc</t>
        </is>
      </c>
      <c r="C47" s="4" t="inlineStr">
        <is>
          <t>https://cdn.shopify.com/s/files/1/0792/5098/1063/files/80a6fe654ac1fd0d679f932fd6067e5bde2cb91ce33c5fadb6590c3f842d156a.jpg?v=1786596390</t>
        </is>
      </c>
      <c r="D47" s="4" t="inlineStr">
        <is>
          <t>https://cdn.shopify.com/s/files/1/0792/5098/1063/files/80a6fe654ac1fd0d679f932fd6067e5bde2cb91ce33c5fadb6590c3f842d156a.jpg?v=1786596390</t>
        </is>
      </c>
      <c r="E47" s="3" t="inlineStr">
        <is>
          <t>47830481731783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2026-09-09T12:10:51+07:00</t>
        </is>
      </c>
      <c r="J47" s="3" t="inlineStr">
        <is>
          <t>QA opened 078_02.jpg (1000x1000) and checked against workbook observation: Flat blanket image showing God says you are text, flowers, butterflies, verse references and Jessica name.</t>
        </is>
      </c>
      <c r="K47" s="3" t="inlineStr">
        <is>
          <t>Flat blanket image showing God says you are text, flowers, butterflies, verse references and Jessica name.</t>
        </is>
      </c>
      <c r="L47" s="3" t="inlineStr">
        <is>
          <t>SET</t>
        </is>
      </c>
      <c r="M47" s="3" t="inlineStr">
        <is>
          <t>Flat God says you are floral blanket with butterflies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["seo_runs\\jeminise.com\\20260906_234129\\qa\\20260909_121051\\images\\078_02.jpg", "https://cdn.shopify.com/s/files/1/0792/5098/1063/files/80a6fe654ac1fd0d679f932fd6067e5bde2cb91ce33c5fadb6590c3f842d156a.jpg?v=1786596390"]</t>
        </is>
      </c>
    </row>
    <row r="48" ht="66" customHeight="1">
      <c r="A48" s="2" t="inlineStr">
        <is>
          <t>jeminise.com+custom-inspirational-bible-verse-floral-blanket-d5</t>
        </is>
      </c>
      <c r="B48" s="2" t="inlineStr">
        <is>
          <t>qaimg_24922b8cf1a388f9</t>
        </is>
      </c>
      <c r="C48" s="4" t="inlineStr">
        <is>
          <t>https://cdn.shopify.com/s/files/1/0792/5098/1063/files/f23712d7b45dec2b94f15c30d2fa3486112c05fbd70bdfda484d54f70ee1e6bf.jpg?v=1786596390</t>
        </is>
      </c>
      <c r="D48" s="4" t="inlineStr">
        <is>
          <t>https://cdn.shopify.com/s/files/1/0792/5098/1063/files/f23712d7b45dec2b94f15c30d2fa3486112c05fbd70bdfda484d54f70ee1e6bf.jpg?v=1786596390</t>
        </is>
      </c>
      <c r="E48" s="2" t="inlineStr">
        <is>
          <t>47830481764551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2026-09-09T12:10:51+07:00</t>
        </is>
      </c>
      <c r="J48" s="2" t="inlineStr">
        <is>
          <t>QA opened 078_03.jpg (1000x1000) and checked against workbook observation: Lifestyle image of adult and child reading with the floral God says you are blanket on a bed.</t>
        </is>
      </c>
      <c r="K48" s="2" t="inlineStr">
        <is>
          <t>Lifestyle image of adult and child reading with the floral God says you are blanket on a bed.</t>
        </is>
      </c>
      <c r="L48" s="2" t="inlineStr">
        <is>
          <t>SET</t>
        </is>
      </c>
      <c r="M48" s="2" t="inlineStr">
        <is>
          <t>God says you are blanket used while reading on bed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["seo_runs\\jeminise.com\\20260906_234129\\qa\\20260909_121051\\images\\078_03.jpg", "https://cdn.shopify.com/s/files/1/0792/5098/1063/files/f23712d7b45dec2b94f15c30d2fa3486112c05fbd70bdfda484d54f70ee1e6bf.jpg?v=1786596390"]</t>
        </is>
      </c>
    </row>
    <row r="49" ht="66" customHeight="1">
      <c r="A49" s="3" t="inlineStr">
        <is>
          <t>jeminise.com+custom-inspirational-bible-verse-floral-blanket-d5</t>
        </is>
      </c>
      <c r="B49" s="3" t="inlineStr">
        <is>
          <t>qaimg_fe2de12e17ac8d0f</t>
        </is>
      </c>
      <c r="C49" s="4" t="inlineStr">
        <is>
          <t>https://cdn.shopify.com/s/files/1/0792/5098/1063/files/aa0fb14729de0642d8b581503e1c38b21e77beae9c61492c06a15d3a0805eee2.jpg?v=1786596390</t>
        </is>
      </c>
      <c r="D49" s="4" t="inlineStr">
        <is>
          <t>https://cdn.shopify.com/s/files/1/0792/5098/1063/files/aa0fb14729de0642d8b581503e1c38b21e77beae9c61492c06a15d3a0805eee2.jpg?v=1786596390</t>
        </is>
      </c>
      <c r="E49" s="3" t="inlineStr">
        <is>
          <t>47830481797319</t>
        </is>
      </c>
      <c r="F49" s="3" t="inlineStr"/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2026-09-09T12:10:51+07:00</t>
        </is>
      </c>
      <c r="J49" s="3" t="inlineStr">
        <is>
          <t>QA opened 078_04.jpg (1000x1000) and checked against workbook observation: Blanket size chart showing 40x30, 50x40, 60x50 and 80x60 sizes.</t>
        </is>
      </c>
      <c r="K49" s="3" t="inlineStr">
        <is>
          <t>Blanket size chart showing 40x30, 50x40, 60x50 and 80x60 sizes.</t>
        </is>
      </c>
      <c r="L49" s="3" t="inlineStr">
        <is>
          <t>SET</t>
        </is>
      </c>
      <c r="M49" s="3" t="inlineStr">
        <is>
          <t>Blanket size chart for four size options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["seo_runs\\jeminise.com\\20260906_234129\\qa\\20260909_121051\\images\\078_04.jpg", "https://cdn.shopify.com/s/files/1/0792/5098/1063/files/aa0fb14729de0642d8b581503e1c38b21e77beae9c61492c06a15d3a0805eee2.jpg?v=1786596390"]</t>
        </is>
      </c>
    </row>
    <row r="50" ht="66" customHeight="1">
      <c r="A50" s="2" t="inlineStr">
        <is>
          <t>jeminise.com+custom-inspirational-bible-verse-floral-blanket-d5</t>
        </is>
      </c>
      <c r="B50" s="2" t="inlineStr">
        <is>
          <t>qaimg_9f0846e4b7e8fe76</t>
        </is>
      </c>
      <c r="C50" s="4" t="inlineStr">
        <is>
          <t>https://cdn.shopify.com/s/files/1/0792/5098/1063/files/a9a28aa5c708b74c165ad7668f47cc1b4810f4702f4e01ce8815cf327e772b00.jpg?v=1786596390</t>
        </is>
      </c>
      <c r="D50" s="4" t="inlineStr">
        <is>
          <t>https://cdn.shopify.com/s/files/1/0792/5098/1063/files/a9a28aa5c708b74c165ad7668f47cc1b4810f4702f4e01ce8815cf327e772b00.jpg?v=1786596390</t>
        </is>
      </c>
      <c r="E50" s="2" t="inlineStr">
        <is>
          <t>47830481830087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2026-09-09T12:10:51+07:00</t>
        </is>
      </c>
      <c r="J50" s="2" t="inlineStr">
        <is>
          <t>QA opened 078_05.jpg (1000x999) and checked against workbook observation: Room mockup with the floral God says you are blanket draped across a bed.</t>
        </is>
      </c>
      <c r="K50" s="2" t="inlineStr">
        <is>
          <t>Room mockup with the floral God says you are blanket draped across a bed.</t>
        </is>
      </c>
      <c r="L50" s="2" t="inlineStr">
        <is>
          <t>SET</t>
        </is>
      </c>
      <c r="M50" s="2" t="inlineStr">
        <is>
          <t>Floral God says you are blanket draped on bed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["seo_runs\\jeminise.com\\20260906_234129\\qa\\20260909_121051\\images\\078_05.jpg", "https://cdn.shopify.com/s/files/1/0792/5098/1063/files/a9a28aa5c708b74c165ad7668f47cc1b4810f4702f4e01ce8815cf327e772b00.jpg?v=1786596390"]</t>
        </is>
      </c>
    </row>
    <row r="51" ht="66" customHeight="1">
      <c r="A51" s="3" t="inlineStr">
        <is>
          <t>jeminise.com+custom-inspirational-bible-verse-floral-blanket-d5</t>
        </is>
      </c>
      <c r="B51" s="3" t="inlineStr">
        <is>
          <t>qaimg_5dbdf0a2a9fadc5c</t>
        </is>
      </c>
      <c r="C51" s="4" t="inlineStr">
        <is>
          <t>https://cdn.shopify.com/s/files/1/0792/5098/1063/files/285b6bd3be97a6153eb89be847ece0ce42f792c7cb6e517a5610455d08a06a3d.jpg?v=1786596390</t>
        </is>
      </c>
      <c r="D51" s="4" t="inlineStr">
        <is>
          <t>https://cdn.shopify.com/s/files/1/0792/5098/1063/files/285b6bd3be97a6153eb89be847ece0ce42f792c7cb6e517a5610455d08a06a3d.jpg?v=1786596390</t>
        </is>
      </c>
      <c r="E51" s="3" t="inlineStr">
        <is>
          <t>47830481862855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2026-09-09T12:10:51+07:00</t>
        </is>
      </c>
      <c r="J51" s="3" t="inlineStr">
        <is>
          <t>QA opened 078_06.jpg (1000x1000) and checked against workbook observation: Room mockup with the floral God says you are blanket displayed on a sofa.</t>
        </is>
      </c>
      <c r="K51" s="3" t="inlineStr">
        <is>
          <t>Room mockup with the floral God says you are blanket displayed on a sofa.</t>
        </is>
      </c>
      <c r="L51" s="3" t="inlineStr">
        <is>
          <t>SET</t>
        </is>
      </c>
      <c r="M51" s="3" t="inlineStr">
        <is>
          <t>Floral God says you are blanket on sofa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["seo_runs\\jeminise.com\\20260906_234129\\qa\\20260909_121051\\images\\078_06.jpg", "https://cdn.shopify.com/s/files/1/0792/5098/1063/files/285b6bd3be97a6153eb89be847ece0ce42f792c7cb6e517a5610455d08a06a3d.jpg?v=1786596390"]</t>
        </is>
      </c>
    </row>
    <row r="52" ht="66" customHeight="1">
      <c r="A52" s="2" t="inlineStr">
        <is>
          <t>jeminise.com+custom-inspirational-bible-verse-floral-blanket-d5</t>
        </is>
      </c>
      <c r="B52" s="2" t="inlineStr">
        <is>
          <t>qaimg_64633ed30b436407</t>
        </is>
      </c>
      <c r="C52" s="4" t="inlineStr">
        <is>
          <t>https://cdn.shopify.com/s/files/1/0792/5098/1063/files/0034d6b12cf17e1793b02da85790523798dba39dbef288520c79a50a77d88f07.jpg?v=1786596390</t>
        </is>
      </c>
      <c r="D52" s="4" t="inlineStr">
        <is>
          <t>https://cdn.shopify.com/s/files/1/0792/5098/1063/files/0034d6b12cf17e1793b02da85790523798dba39dbef288520c79a50a77d88f07.jpg?v=1786596390</t>
        </is>
      </c>
      <c r="E52" s="2" t="inlineStr">
        <is>
          <t>47830481895623</t>
        </is>
      </c>
      <c r="F52" s="2" t="inlineStr"/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2026-09-09T12:10:51+07:00</t>
        </is>
      </c>
      <c r="J52" s="2" t="inlineStr">
        <is>
          <t>QA opened 078_07.jpg (1000x1000) and checked against workbook observation: Feature panel listing fluffy and soft, high quality, no pilling, no shedding and gentle smooth fabric.</t>
        </is>
      </c>
      <c r="K52" s="2" t="inlineStr">
        <is>
          <t>Feature panel listing fluffy and soft, high quality, no pilling, no shedding and gentle smooth fabric.</t>
        </is>
      </c>
      <c r="L52" s="2" t="inlineStr">
        <is>
          <t>SET</t>
        </is>
      </c>
      <c r="M52" s="2" t="inlineStr">
        <is>
          <t>Feature panel for floral Christian blanket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["seo_runs\\jeminise.com\\20260906_234129\\qa\\20260909_121051\\images\\078_07.jpg", "https://cdn.shopify.com/s/files/1/0792/5098/1063/files/0034d6b12cf17e1793b02da85790523798dba39dbef288520c79a50a77d88f07.jpg?v=1786596390"]</t>
        </is>
      </c>
    </row>
    <row r="53" ht="66" customHeight="1">
      <c r="A53" s="3" t="inlineStr">
        <is>
          <t>jeminise.com+custom-inspirational-bible-verse-floral-blanket-d5</t>
        </is>
      </c>
      <c r="B53" s="3" t="inlineStr">
        <is>
          <t>qaimg_2eccacc2a8ba5c1e</t>
        </is>
      </c>
      <c r="C53" s="4" t="inlineStr">
        <is>
          <t>https://cdn.shopify.com/s/files/1/0792/5098/1063/files/9403508b5040ee28c8d43fb735db4f5989bf15bbb634400e6533a6dab27fa9a7.jpg?v=1786596390</t>
        </is>
      </c>
      <c r="D53" s="4" t="inlineStr">
        <is>
          <t>https://cdn.shopify.com/s/files/1/0792/5098/1063/files/9403508b5040ee28c8d43fb735db4f5989bf15bbb634400e6533a6dab27fa9a7.jpg?v=1786596390</t>
        </is>
      </c>
      <c r="E53" s="3" t="inlineStr">
        <is>
          <t>47830481928391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2026-09-09T12:10:51+07:00</t>
        </is>
      </c>
      <c r="J53" s="3" t="inlineStr">
        <is>
          <t>QA opened 078_08.jpg (1000x1000) and checked against workbook observation: Close-up collage showing floral print, butterflies, verse text and white blanket texture.</t>
        </is>
      </c>
      <c r="K53" s="3" t="inlineStr">
        <is>
          <t>Close-up collage showing floral print, butterflies, verse text and white blanket texture.</t>
        </is>
      </c>
      <c r="L53" s="3" t="inlineStr">
        <is>
          <t>SET</t>
        </is>
      </c>
      <c r="M53" s="3" t="inlineStr">
        <is>
          <t>Close-up fabric collage for floral God says you are blanket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["seo_runs\\jeminise.com\\20260906_234129\\qa\\20260909_121051\\images\\078_08.jpg", "https://cdn.shopify.com/s/files/1/0792/5098/1063/files/9403508b5040ee28c8d43fb735db4f5989bf15bbb634400e6533a6dab27fa9a7.jpg?v=1786596390"]</t>
        </is>
      </c>
    </row>
    <row r="54" ht="66" customHeight="1">
      <c r="A54" s="2" t="inlineStr">
        <is>
          <t>jeminise.com+custom-inspirational-floral-butterfly-bible-verse-blanket-d4</t>
        </is>
      </c>
      <c r="B54" s="2" t="inlineStr">
        <is>
          <t>qaimg_9a825060b663191c</t>
        </is>
      </c>
      <c r="C54" s="4" t="inlineStr">
        <is>
          <t>https://cdn.shopify.com/s/files/1/0792/5098/1063/files/ca732fd8d27565286eaf2f57c03ca596ce5115d12132affdc946fc6b1f38811c.jpg?v=1786596418</t>
        </is>
      </c>
      <c r="D54" s="4" t="inlineStr">
        <is>
          <t>https://cdn.shopify.com/s/files/1/0792/5098/1063/files/ca732fd8d27565286eaf2f57c03ca596ce5115d12132affdc946fc6b1f38811c.jpg?v=1786596418</t>
        </is>
      </c>
      <c r="E54" s="2" t="inlineStr">
        <is>
          <t>47830498017479</t>
        </is>
      </c>
      <c r="F54" s="2" t="inlineStr"/>
      <c r="G54" s="2" t="inlineStr">
        <is>
          <t>GALLERY</t>
        </is>
      </c>
      <c r="H54" s="2" t="inlineStr">
        <is>
          <t>DIRECT_IMAGE_FILE_OPENED_AND_VISUALLY_REVIEWED</t>
        </is>
      </c>
      <c r="I54" s="2" t="inlineStr">
        <is>
          <t>2026-09-09T12:10:51+07:00</t>
        </is>
      </c>
      <c r="J54" s="2" t="inlineStr">
        <is>
          <t>QA opened 079_01.jpg (1500x1500) and checked against workbook observation: Lifestyle mockup of a woman holding cream floral butterfly blanket with Haley name and affirmation words.</t>
        </is>
      </c>
      <c r="K54" s="2" t="inlineStr">
        <is>
          <t>Lifestyle mockup of a woman holding cream floral butterfly blanket with Haley name and affirmation words.</t>
        </is>
      </c>
      <c r="L54" s="2" t="inlineStr">
        <is>
          <t>SET</t>
        </is>
      </c>
      <c r="M54" s="2" t="inlineStr">
        <is>
          <t>Floral butterfly affirmation blanket with Haley name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>
        <is>
          <t>[]</t>
        </is>
      </c>
      <c r="X54" s="2" t="inlineStr">
        <is>
          <t>["seo_runs\\jeminise.com\\20260906_234129\\qa\\20260909_121051\\images\\079_01.jpg", "https://cdn.shopify.com/s/files/1/0792/5098/1063/files/ca732fd8d27565286eaf2f57c03ca596ce5115d12132affdc946fc6b1f38811c.jpg?v=1786596418"]</t>
        </is>
      </c>
    </row>
    <row r="55" ht="66" customHeight="1">
      <c r="A55" s="3" t="inlineStr">
        <is>
          <t>jeminise.com+custom-inspirational-floral-butterfly-bible-verse-blanket-d4</t>
        </is>
      </c>
      <c r="B55" s="3" t="inlineStr">
        <is>
          <t>qaimg_a391e7ef574d5290</t>
        </is>
      </c>
      <c r="C55" s="4" t="inlineStr">
        <is>
          <t>https://cdn.shopify.com/s/files/1/0792/5098/1063/files/7b3098eaf37ea8329d622f5a92937af7ed0d7632b755bcb71057092a63cdb27f.jpg?v=1786596418</t>
        </is>
      </c>
      <c r="D55" s="4" t="inlineStr">
        <is>
          <t>https://cdn.shopify.com/s/files/1/0792/5098/1063/files/7b3098eaf37ea8329d622f5a92937af7ed0d7632b755bcb71057092a63cdb27f.jpg?v=1786596418</t>
        </is>
      </c>
      <c r="E55" s="3" t="inlineStr">
        <is>
          <t>47830498050247</t>
        </is>
      </c>
      <c r="F55" s="3" t="inlineStr"/>
      <c r="G55" s="3" t="inlineStr">
        <is>
          <t>GALLERY</t>
        </is>
      </c>
      <c r="H55" s="3" t="inlineStr">
        <is>
          <t>DIRECT_IMAGE_FILE_OPENED_AND_VISUALLY_REVIEWED</t>
        </is>
      </c>
      <c r="I55" s="3" t="inlineStr">
        <is>
          <t>2026-09-09T12:10:51+07:00</t>
        </is>
      </c>
      <c r="J55" s="3" t="inlineStr">
        <is>
          <t>QA opened 079_02.jpg (1500x1500) and checked against workbook observation: Flat blanket image showing Haley name, floral border, butterflies and vertical affirmation words.</t>
        </is>
      </c>
      <c r="K55" s="3" t="inlineStr">
        <is>
          <t>Flat blanket image showing Haley name, floral border, butterflies and vertical affirmation words.</t>
        </is>
      </c>
      <c r="L55" s="3" t="inlineStr">
        <is>
          <t>SET</t>
        </is>
      </c>
      <c r="M55" s="3" t="inlineStr">
        <is>
          <t>Flat floral butterfly affirmation blanket with Haley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>
        <is>
          <t>[]</t>
        </is>
      </c>
      <c r="X55" s="3" t="inlineStr">
        <is>
          <t>["seo_runs\\jeminise.com\\20260906_234129\\qa\\20260909_121051\\images\\079_02.jpg", "https://cdn.shopify.com/s/files/1/0792/5098/1063/files/7b3098eaf37ea8329d622f5a92937af7ed0d7632b755bcb71057092a63cdb27f.jpg?v=1786596418"]</t>
        </is>
      </c>
    </row>
    <row r="56" ht="66" customHeight="1">
      <c r="A56" s="2" t="inlineStr">
        <is>
          <t>jeminise.com+custom-inspirational-floral-butterfly-bible-verse-blanket-d4</t>
        </is>
      </c>
      <c r="B56" s="2" t="inlineStr">
        <is>
          <t>qaimg_459a642ac5803874</t>
        </is>
      </c>
      <c r="C56" s="4" t="inlineStr">
        <is>
          <t>https://cdn.shopify.com/s/files/1/0792/5098/1063/files/fbcbc85b3a3729134094bd41db6f0905e61a1bc8a8d454199f570d3062962855.jpg?v=1786596418</t>
        </is>
      </c>
      <c r="D56" s="4" t="inlineStr">
        <is>
          <t>https://cdn.shopify.com/s/files/1/0792/5098/1063/files/fbcbc85b3a3729134094bd41db6f0905e61a1bc8a8d454199f570d3062962855.jpg?v=1786596418</t>
        </is>
      </c>
      <c r="E56" s="2" t="inlineStr">
        <is>
          <t>47830498083015</t>
        </is>
      </c>
      <c r="F56" s="2" t="inlineStr"/>
      <c r="G56" s="2" t="inlineStr">
        <is>
          <t>GALLERY</t>
        </is>
      </c>
      <c r="H56" s="2" t="inlineStr">
        <is>
          <t>DIRECT_IMAGE_FILE_OPENED_AND_VISUALLY_REVIEWED</t>
        </is>
      </c>
      <c r="I56" s="2" t="inlineStr">
        <is>
          <t>2026-09-09T12:10:51+07:00</t>
        </is>
      </c>
      <c r="J56" s="2" t="inlineStr">
        <is>
          <t>QA opened 079_03.jpg (1500x1500) and checked against workbook observation: Close-up feature image with machine washable, soft and warm, dense stitching and 260GSM fleece blanket callouts.</t>
        </is>
      </c>
      <c r="K56" s="2" t="inlineStr">
        <is>
          <t>Close-up feature image with machine washable, soft and warm, dense stitching and 260GSM fleece blanket callouts.</t>
        </is>
      </c>
      <c r="L56" s="2" t="inlineStr">
        <is>
          <t>SET</t>
        </is>
      </c>
      <c r="M56" s="2" t="inlineStr">
        <is>
          <t>Machine washable fleece blanket feature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>
        <is>
          <t>[]</t>
        </is>
      </c>
      <c r="X56" s="2" t="inlineStr">
        <is>
          <t>["seo_runs\\jeminise.com\\20260906_234129\\qa\\20260909_121051\\images\\079_03.jpg", "https://cdn.shopify.com/s/files/1/0792/5098/1063/files/fbcbc85b3a3729134094bd41db6f0905e61a1bc8a8d454199f570d3062962855.jpg?v=1786596418"]</t>
        </is>
      </c>
    </row>
    <row r="57" ht="66" customHeight="1">
      <c r="A57" s="3" t="inlineStr">
        <is>
          <t>jeminise.com+custom-inspirational-floral-butterfly-bible-verse-blanket-d4</t>
        </is>
      </c>
      <c r="B57" s="3" t="inlineStr">
        <is>
          <t>qaimg_0917fead302b30bc</t>
        </is>
      </c>
      <c r="C57" s="4" t="inlineStr">
        <is>
          <t>https://cdn.shopify.com/s/files/1/0792/5098/1063/files/512b4558aee5a32e09b1e2449d22e36b2fe040840fccd2c3c21687b528773e68.jpg?v=1786596418</t>
        </is>
      </c>
      <c r="D57" s="4" t="inlineStr">
        <is>
          <t>https://cdn.shopify.com/s/files/1/0792/5098/1063/files/512b4558aee5a32e09b1e2449d22e36b2fe040840fccd2c3c21687b528773e68.jpg?v=1786596418</t>
        </is>
      </c>
      <c r="E57" s="3" t="inlineStr">
        <is>
          <t>47830498115783</t>
        </is>
      </c>
      <c r="F57" s="3" t="inlineStr"/>
      <c r="G57" s="3" t="inlineStr">
        <is>
          <t>GALLERY</t>
        </is>
      </c>
      <c r="H57" s="3" t="inlineStr">
        <is>
          <t>DIRECT_IMAGE_FILE_OPENED_AND_VISUALLY_REVIEWED</t>
        </is>
      </c>
      <c r="I57" s="3" t="inlineStr">
        <is>
          <t>2026-09-09T12:10:51+07:00</t>
        </is>
      </c>
      <c r="J57" s="3" t="inlineStr">
        <is>
          <t>QA opened 079_04.jpg (1500x1500) and checked against workbook observation: Use and size panel showing text can be changed, 80 by 60 in blanket, and sofa, office, bed, plane and travel uses.</t>
        </is>
      </c>
      <c r="K57" s="3" t="inlineStr">
        <is>
          <t>Use and size panel showing text can be changed, 80 by 60 in blanket, and sofa, office, bed, plane and travel uses.</t>
        </is>
      </c>
      <c r="L57" s="3" t="inlineStr">
        <is>
          <t>SET</t>
        </is>
      </c>
      <c r="M57" s="3" t="inlineStr">
        <is>
          <t>Floral butterfly blanket size and use panel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>
        <is>
          <t>[]</t>
        </is>
      </c>
      <c r="X57" s="3" t="inlineStr">
        <is>
          <t>["seo_runs\\jeminise.com\\20260906_234129\\qa\\20260909_121051\\images\\079_04.jpg", "https://cdn.shopify.com/s/files/1/0792/5098/1063/files/512b4558aee5a32e09b1e2449d22e36b2fe040840fccd2c3c21687b528773e68.jpg?v=1786596418"]</t>
        </is>
      </c>
    </row>
    <row r="58" ht="66" customHeight="1">
      <c r="A58" s="2" t="inlineStr">
        <is>
          <t>jeminise.com+custom-inspirational-floral-butterfly-bible-verse-blanket-d4</t>
        </is>
      </c>
      <c r="B58" s="2" t="inlineStr">
        <is>
          <t>qaimg_b3c0b6b7a99b6361</t>
        </is>
      </c>
      <c r="C58" s="4" t="inlineStr">
        <is>
          <t>https://cdn.shopify.com/s/files/1/0792/5098/1063/files/b3a9a66345c23eccfd8834f8002e8c40483742785f9eddc55a8354957d702704.jpg?v=1786596418</t>
        </is>
      </c>
      <c r="D58" s="4" t="inlineStr">
        <is>
          <t>https://cdn.shopify.com/s/files/1/0792/5098/1063/files/b3a9a66345c23eccfd8834f8002e8c40483742785f9eddc55a8354957d702704.jpg?v=1786596418</t>
        </is>
      </c>
      <c r="E58" s="2" t="inlineStr">
        <is>
          <t>47830498148551</t>
        </is>
      </c>
      <c r="F58" s="2" t="inlineStr"/>
      <c r="G58" s="2" t="inlineStr">
        <is>
          <t>GALLERY</t>
        </is>
      </c>
      <c r="H58" s="2" t="inlineStr">
        <is>
          <t>DIRECT_IMAGE_FILE_OPENED_AND_VISUALLY_REVIEWED</t>
        </is>
      </c>
      <c r="I58" s="2" t="inlineStr">
        <is>
          <t>2026-09-09T12:10:51+07:00</t>
        </is>
      </c>
      <c r="J58" s="2" t="inlineStr">
        <is>
          <t>QA opened 079_05.jpg (1500x1500) and checked against workbook observation: Close-up collage showing fleece texture, flowers, butterflies and printed affirmation words.</t>
        </is>
      </c>
      <c r="K58" s="2" t="inlineStr">
        <is>
          <t>Close-up collage showing fleece texture, flowers, butterflies and printed affirmation words.</t>
        </is>
      </c>
      <c r="L58" s="2" t="inlineStr">
        <is>
          <t>SET</t>
        </is>
      </c>
      <c r="M58" s="2" t="inlineStr">
        <is>
          <t>Close-up fabric collage for floral butterfly blanket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>
        <is>
          <t>[]</t>
        </is>
      </c>
      <c r="X58" s="2" t="inlineStr">
        <is>
          <t>["seo_runs\\jeminise.com\\20260906_234129\\qa\\20260909_121051\\images\\079_05.jpg", "https://cdn.shopify.com/s/files/1/0792/5098/1063/files/b3a9a66345c23eccfd8834f8002e8c40483742785f9eddc55a8354957d702704.jpg?v=1786596418"]</t>
        </is>
      </c>
    </row>
    <row r="59" ht="66" customHeight="1">
      <c r="A59" s="3" t="inlineStr">
        <is>
          <t>jeminise.com+custom-inspirational-floral-butterfly-bible-verse-blanket-d4</t>
        </is>
      </c>
      <c r="B59" s="3" t="inlineStr">
        <is>
          <t>qaimg_5537ebe7b544e515</t>
        </is>
      </c>
      <c r="C59" s="4" t="inlineStr">
        <is>
          <t>https://cdn.shopify.com/s/files/1/0792/5098/1063/files/50ff019239f1a64177123a86746d67bcc01e8fb4b322a28e006f292c7ef91fe0.jpg?v=1786596418</t>
        </is>
      </c>
      <c r="D59" s="4" t="inlineStr">
        <is>
          <t>https://cdn.shopify.com/s/files/1/0792/5098/1063/files/50ff019239f1a64177123a86746d67bcc01e8fb4b322a28e006f292c7ef91fe0.jpg?v=1786596418</t>
        </is>
      </c>
      <c r="E59" s="3" t="inlineStr">
        <is>
          <t>47830498181319</t>
        </is>
      </c>
      <c r="F59" s="3" t="inlineStr"/>
      <c r="G59" s="3" t="inlineStr">
        <is>
          <t>GALLERY</t>
        </is>
      </c>
      <c r="H59" s="3" t="inlineStr">
        <is>
          <t>DIRECT_IMAGE_FILE_OPENED_AND_VISUALLY_REVIEWED</t>
        </is>
      </c>
      <c r="I59" s="3" t="inlineStr">
        <is>
          <t>2026-09-09T12:10:51+07:00</t>
        </is>
      </c>
      <c r="J59" s="3" t="inlineStr">
        <is>
          <t>QA opened 079_06.jpg (1500x1500) and checked against workbook observation: Room mockup with floral butterfly affirmation blanket draped over a sofa.</t>
        </is>
      </c>
      <c r="K59" s="3" t="inlineStr">
        <is>
          <t>Room mockup with floral butterfly affirmation blanket draped over a sofa.</t>
        </is>
      </c>
      <c r="L59" s="3" t="inlineStr">
        <is>
          <t>SET</t>
        </is>
      </c>
      <c r="M59" s="3" t="inlineStr">
        <is>
          <t>Floral butterfly affirmation blanket on sofa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>
        <is>
          <t>[]</t>
        </is>
      </c>
      <c r="X59" s="3" t="inlineStr">
        <is>
          <t>["seo_runs\\jeminise.com\\20260906_234129\\qa\\20260909_121051\\images\\079_06.jpg", "https://cdn.shopify.com/s/files/1/0792/5098/1063/files/50ff019239f1a64177123a86746d67bcc01e8fb4b322a28e006f292c7ef91fe0.jpg?v=1786596418"]</t>
        </is>
      </c>
    </row>
    <row r="60" ht="66" customHeight="1">
      <c r="A60" s="2" t="inlineStr">
        <is>
          <t>jeminise.com+custom-inspirational-floral-butterfly-bible-verse-blanket-d4</t>
        </is>
      </c>
      <c r="B60" s="2" t="inlineStr">
        <is>
          <t>qaimg_367f342502699efa</t>
        </is>
      </c>
      <c r="C60" s="4" t="inlineStr">
        <is>
          <t>https://cdn.shopify.com/s/files/1/0792/5098/1063/files/6aa6a5744e86ef9d65f09b452bdc9681949751608dadd0f24069c4b9569c8ac2.jpg?v=1786596418</t>
        </is>
      </c>
      <c r="D60" s="4" t="inlineStr">
        <is>
          <t>https://cdn.shopify.com/s/files/1/0792/5098/1063/files/6aa6a5744e86ef9d65f09b452bdc9681949751608dadd0f24069c4b9569c8ac2.jpg?v=1786596418</t>
        </is>
      </c>
      <c r="E60" s="2" t="inlineStr">
        <is>
          <t>47830498214087</t>
        </is>
      </c>
      <c r="F60" s="2" t="inlineStr"/>
      <c r="G60" s="2" t="inlineStr">
        <is>
          <t>GALLERY</t>
        </is>
      </c>
      <c r="H60" s="2" t="inlineStr">
        <is>
          <t>DIRECT_IMAGE_FILE_OPENED_AND_VISUALLY_REVIEWED</t>
        </is>
      </c>
      <c r="I60" s="2" t="inlineStr">
        <is>
          <t>2026-09-09T12:10:51+07:00</t>
        </is>
      </c>
      <c r="J60" s="2" t="inlineStr">
        <is>
          <t>QA opened 079_07.jpg (1500x1500) and checked against workbook observation: Lifestyle reading image with floral butterfly blanket across lap and visible Bible verse references.</t>
        </is>
      </c>
      <c r="K60" s="2" t="inlineStr">
        <is>
          <t>Lifestyle reading image with floral butterfly blanket across lap and visible Bible verse references.</t>
        </is>
      </c>
      <c r="L60" s="2" t="inlineStr">
        <is>
          <t>SET</t>
        </is>
      </c>
      <c r="M60" s="2" t="inlineStr">
        <is>
          <t>Floral butterfly blanket used while reading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>
        <is>
          <t>[]</t>
        </is>
      </c>
      <c r="X60" s="2" t="inlineStr">
        <is>
          <t>["seo_runs\\jeminise.com\\20260906_234129\\qa\\20260909_121051\\images\\079_07.jpg", "https://cdn.shopify.com/s/files/1/0792/5098/1063/files/6aa6a5744e86ef9d65f09b452bdc9681949751608dadd0f24069c4b9569c8ac2.jpg?v=1786596418"]</t>
        </is>
      </c>
    </row>
    <row r="61" ht="66" customHeight="1">
      <c r="A61" s="3" t="inlineStr">
        <is>
          <t>jeminise.com+custom-inspirational-floral-butterfly-bible-verse-blanket-d4</t>
        </is>
      </c>
      <c r="B61" s="3" t="inlineStr">
        <is>
          <t>qaimg_537ca057a85eb28a</t>
        </is>
      </c>
      <c r="C61" s="4" t="inlineStr">
        <is>
          <t>https://cdn.shopify.com/s/files/1/0792/5098/1063/files/336a959a6ecc540d97e2051cadb9ddd839525abd68c8a3b01ee915d3cff8d417.jpg?v=1786596418</t>
        </is>
      </c>
      <c r="D61" s="4" t="inlineStr">
        <is>
          <t>https://cdn.shopify.com/s/files/1/0792/5098/1063/files/336a959a6ecc540d97e2051cadb9ddd839525abd68c8a3b01ee915d3cff8d417.jpg?v=1786596418</t>
        </is>
      </c>
      <c r="E61" s="3" t="inlineStr">
        <is>
          <t>47830498246855</t>
        </is>
      </c>
      <c r="F61" s="3" t="inlineStr"/>
      <c r="G61" s="3" t="inlineStr">
        <is>
          <t>GALLERY</t>
        </is>
      </c>
      <c r="H61" s="3" t="inlineStr">
        <is>
          <t>DIRECT_IMAGE_FILE_OPENED_AND_VISUALLY_REVIEWED</t>
        </is>
      </c>
      <c r="I61" s="3" t="inlineStr">
        <is>
          <t>2026-09-09T12:10:51+07:00</t>
        </is>
      </c>
      <c r="J61" s="3" t="inlineStr">
        <is>
          <t>QA opened 079_08.jpg (1500x1500) and checked against workbook observation: Room mockup with floral butterfly affirmation blanket on an armchair beside books and a mug.</t>
        </is>
      </c>
      <c r="K61" s="3" t="inlineStr">
        <is>
          <t>Room mockup with floral butterfly affirmation blanket on an armchair beside books and a mug.</t>
        </is>
      </c>
      <c r="L61" s="3" t="inlineStr">
        <is>
          <t>SET</t>
        </is>
      </c>
      <c r="M61" s="3" t="inlineStr">
        <is>
          <t>Floral butterfly affirmation blanket on armchair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>
        <is>
          <t>[]</t>
        </is>
      </c>
      <c r="X61" s="3" t="inlineStr">
        <is>
          <t>["seo_runs\\jeminise.com\\20260906_234129\\qa\\20260909_121051\\images\\079_08.jpg", "https://cdn.shopify.com/s/files/1/0792/5098/1063/files/336a959a6ecc540d97e2051cadb9ddd839525abd68c8a3b01ee915d3cff8d417.jpg?v=1786596418"]</t>
        </is>
      </c>
    </row>
    <row r="62" ht="66" customHeight="1">
      <c r="A62" s="2" t="inlineStr">
        <is>
          <t>jeminise.com+custom-inspirational-floral-butterfly-bible-verse-blanket-d4</t>
        </is>
      </c>
      <c r="B62" s="2" t="inlineStr">
        <is>
          <t>qaimg_9727fff8ca16f72b</t>
        </is>
      </c>
      <c r="C62" s="4" t="inlineStr">
        <is>
          <t>https://cdn.shopify.com/s/files/1/0792/5098/1063/files/8c730c56d1cdd403f4b3618bba2cacbea0584ee093d7a82a09bee469930db8bb.jpg?v=1786596418</t>
        </is>
      </c>
      <c r="D62" s="4" t="inlineStr">
        <is>
          <t>https://cdn.shopify.com/s/files/1/0792/5098/1063/files/8c730c56d1cdd403f4b3618bba2cacbea0584ee093d7a82a09bee469930db8bb.jpg?v=1786596418</t>
        </is>
      </c>
      <c r="E62" s="2" t="inlineStr">
        <is>
          <t>47830498279623</t>
        </is>
      </c>
      <c r="F62" s="2" t="inlineStr"/>
      <c r="G62" s="2" t="inlineStr">
        <is>
          <t>GALLERY</t>
        </is>
      </c>
      <c r="H62" s="2" t="inlineStr">
        <is>
          <t>DIRECT_IMAGE_FILE_OPENED_AND_VISUALLY_REVIEWED</t>
        </is>
      </c>
      <c r="I62" s="2" t="inlineStr">
        <is>
          <t>2026-09-09T12:10:51+07:00</t>
        </is>
      </c>
      <c r="J62" s="2" t="inlineStr">
        <is>
          <t>QA opened 079_09.jpg (1500x1500) and checked against workbook observation: Close lifestyle image of blanket across lap with open book and mug.</t>
        </is>
      </c>
      <c r="K62" s="2" t="inlineStr">
        <is>
          <t>Close lifestyle image of blanket across lap with open book and mug.</t>
        </is>
      </c>
      <c r="L62" s="2" t="inlineStr">
        <is>
          <t>SET</t>
        </is>
      </c>
      <c r="M62" s="2" t="inlineStr">
        <is>
          <t>Floral affirmation blanket with open book and mug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>
        <is>
          <t>[]</t>
        </is>
      </c>
      <c r="X62" s="2" t="inlineStr">
        <is>
          <t>["seo_runs\\jeminise.com\\20260906_234129\\qa\\20260909_121051\\images\\079_09.jpg", "https://cdn.shopify.com/s/files/1/0792/5098/1063/files/8c730c56d1cdd403f4b3618bba2cacbea0584ee093d7a82a09bee469930db8bb.jpg?v=1786596418"]</t>
        </is>
      </c>
    </row>
    <row r="63" ht="66" customHeight="1">
      <c r="A63" s="3" t="inlineStr">
        <is>
          <t>jeminise.com+custom-inspirational-scripture-butterflies-blanket-machine-washable</t>
        </is>
      </c>
      <c r="B63" s="3" t="inlineStr">
        <is>
          <t>qaimg_518ffc8ac2568d39</t>
        </is>
      </c>
      <c r="C63" s="4" t="inlineStr">
        <is>
          <t>https://cdn.shopify.com/s/files/1/0792/5098/1063/files/143b457addd31dc5e16ebd8462161a8aad9a35ce89418e7c0d0f481e265af473.jpg?v=1786596522</t>
        </is>
      </c>
      <c r="D63" s="4" t="inlineStr">
        <is>
          <t>https://cdn.shopify.com/s/files/1/0792/5098/1063/files/143b457addd31dc5e16ebd8462161a8aad9a35ce89418e7c0d0f481e265af473.jpg?v=1786596522</t>
        </is>
      </c>
      <c r="E63" s="3" t="inlineStr">
        <is>
          <t>47830539993287</t>
        </is>
      </c>
      <c r="F63" s="3" t="inlineStr"/>
      <c r="G63" s="3" t="inlineStr">
        <is>
          <t>GALLERY</t>
        </is>
      </c>
      <c r="H63" s="3" t="inlineStr">
        <is>
          <t>DIRECT_IMAGE_FILE_OPENED_AND_VISUALLY_REVIEWED</t>
        </is>
      </c>
      <c r="I63" s="3" t="inlineStr">
        <is>
          <t>2026-09-09T12:10:51+07:00</t>
        </is>
      </c>
      <c r="J63" s="3" t="inlineStr">
        <is>
          <t>QA opened 080_01.jpg (1000x1000) and checked against workbook observation: Lifestyle mockup of a woman holding brown God Says I Am butterfly blanket with Elizabeth name.</t>
        </is>
      </c>
      <c r="K63" s="3" t="inlineStr">
        <is>
          <t>Lifestyle mockup of a woman holding brown God Says I Am butterfly blanket with Elizabeth name.</t>
        </is>
      </c>
      <c r="L63" s="3" t="inlineStr">
        <is>
          <t>SET</t>
        </is>
      </c>
      <c r="M63" s="3" t="inlineStr">
        <is>
          <t>God Says I Am butterfly blanket with Elizabeth name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>
        <is>
          <t>[]</t>
        </is>
      </c>
      <c r="X63" s="3" t="inlineStr">
        <is>
          <t>["seo_runs\\jeminise.com\\20260906_234129\\qa\\20260909_121051\\images\\080_01.jpg", "https://cdn.shopify.com/s/files/1/0792/5098/1063/files/143b457addd31dc5e16ebd8462161a8aad9a35ce89418e7c0d0f481e265af473.jpg?v=1786596522"]</t>
        </is>
      </c>
    </row>
    <row r="64" ht="66" customHeight="1">
      <c r="A64" s="2" t="inlineStr">
        <is>
          <t>jeminise.com+custom-inspirational-scripture-butterflies-blanket-machine-washable</t>
        </is>
      </c>
      <c r="B64" s="2" t="inlineStr">
        <is>
          <t>qaimg_338b9d8e4cf59dfd</t>
        </is>
      </c>
      <c r="C64" s="4" t="inlineStr">
        <is>
          <t>https://cdn.shopify.com/s/files/1/0792/5098/1063/files/20a018d5e713896cae3fe7d6444d7fdf68a079d9c68a99b642a2ae657f919ad5.jpg?v=1786596522</t>
        </is>
      </c>
      <c r="D64" s="4" t="inlineStr">
        <is>
          <t>https://cdn.shopify.com/s/files/1/0792/5098/1063/files/20a018d5e713896cae3fe7d6444d7fdf68a079d9c68a99b642a2ae657f919ad5.jpg?v=1786596522</t>
        </is>
      </c>
      <c r="E64" s="2" t="inlineStr">
        <is>
          <t>47830540026055</t>
        </is>
      </c>
      <c r="F64" s="2" t="inlineStr"/>
      <c r="G64" s="2" t="inlineStr">
        <is>
          <t>GALLERY</t>
        </is>
      </c>
      <c r="H64" s="2" t="inlineStr">
        <is>
          <t>DIRECT_IMAGE_FILE_OPENED_AND_VISUALLY_REVIEWED</t>
        </is>
      </c>
      <c r="I64" s="2" t="inlineStr">
        <is>
          <t>2026-09-09T12:10:51+07:00</t>
        </is>
      </c>
      <c r="J64" s="2" t="inlineStr">
        <is>
          <t>QA opened 080_02.jpg (1000x1000) and checked against workbook observation: Flat blanket image showing God Says I Am title, monarch butterflies, Elizabeth name and verse blocks.</t>
        </is>
      </c>
      <c r="K64" s="2" t="inlineStr">
        <is>
          <t>Flat blanket image showing God Says I Am title, monarch butterflies, Elizabeth name and verse blocks.</t>
        </is>
      </c>
      <c r="L64" s="2" t="inlineStr">
        <is>
          <t>SET</t>
        </is>
      </c>
      <c r="M64" s="2" t="inlineStr">
        <is>
          <t>Flat God Says I Am butterfly blanket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5">
        <f>IF(N64="FULL",40,IF(N64="PARTIAL",40/2,0))+IF(O64="FULL",30,IF(O64="PARTIAL",30/2,0))+IF(P64="FULL",20,IF(P64="PARTIAL",20/2,0))+IF(Q64="FULL",10,IF(Q64="PARTIAL",10/2,0))</f>
        <v/>
      </c>
      <c r="S64" s="5">
        <f>IF(N64="NOT_CHECKED",0,40)+IF(O64="NOT_CHECKED",0,30)+IF(P64="NOT_CHECKED",0,20)+IF(Q64="NOT_CHECKED",0,10)</f>
        <v/>
      </c>
      <c r="T64" s="5">
        <f>IF(S64=100,R64,"")</f>
        <v/>
      </c>
      <c r="U64" s="5">
        <f>R64</f>
        <v/>
      </c>
      <c r="V64" s="5">
        <f>R64+(100-S64)</f>
        <v/>
      </c>
      <c r="W64" s="2" t="inlineStr">
        <is>
          <t>[]</t>
        </is>
      </c>
      <c r="X64" s="2" t="inlineStr">
        <is>
          <t>["seo_runs\\jeminise.com\\20260906_234129\\qa\\20260909_121051\\images\\080_02.jpg", "https://cdn.shopify.com/s/files/1/0792/5098/1063/files/20a018d5e713896cae3fe7d6444d7fdf68a079d9c68a99b642a2ae657f919ad5.jpg?v=1786596522"]</t>
        </is>
      </c>
    </row>
    <row r="65" ht="66" customHeight="1">
      <c r="A65" s="3" t="inlineStr">
        <is>
          <t>jeminise.com+custom-inspirational-scripture-butterflies-blanket-machine-washable</t>
        </is>
      </c>
      <c r="B65" s="3" t="inlineStr">
        <is>
          <t>qaimg_effb15c7af514fc8</t>
        </is>
      </c>
      <c r="C65" s="4" t="inlineStr">
        <is>
          <t>https://cdn.shopify.com/s/files/1/0792/5098/1063/files/df6b604a69052443f268bd46d27c069c387d18ce5dc21f3706f2caf677b135f6.jpg?v=1786596522</t>
        </is>
      </c>
      <c r="D65" s="4" t="inlineStr">
        <is>
          <t>https://cdn.shopify.com/s/files/1/0792/5098/1063/files/df6b604a69052443f268bd46d27c069c387d18ce5dc21f3706f2caf677b135f6.jpg?v=1786596522</t>
        </is>
      </c>
      <c r="E65" s="3" t="inlineStr">
        <is>
          <t>47830540058823</t>
        </is>
      </c>
      <c r="F65" s="3" t="inlineStr"/>
      <c r="G65" s="3" t="inlineStr">
        <is>
          <t>GALLERY</t>
        </is>
      </c>
      <c r="H65" s="3" t="inlineStr">
        <is>
          <t>DIRECT_IMAGE_FILE_OPENED_AND_VISUALLY_REVIEWED</t>
        </is>
      </c>
      <c r="I65" s="3" t="inlineStr">
        <is>
          <t>2026-09-09T12:10:51+07:00</t>
        </is>
      </c>
      <c r="J65" s="3" t="inlineStr">
        <is>
          <t>QA opened 080_03.jpg (1000x1000) and checked against workbook observation: Lifestyle image of adult and child reading with God Says I Am blanket on a bed.</t>
        </is>
      </c>
      <c r="K65" s="3" t="inlineStr">
        <is>
          <t>Lifestyle image of adult and child reading with God Says I Am blanket on a bed.</t>
        </is>
      </c>
      <c r="L65" s="3" t="inlineStr">
        <is>
          <t>SET</t>
        </is>
      </c>
      <c r="M65" s="3" t="inlineStr">
        <is>
          <t>God Says I Am butterfly blanket used while reading</t>
        </is>
      </c>
      <c r="N65" s="3" t="inlineStr">
        <is>
          <t>FULL</t>
        </is>
      </c>
      <c r="O65" s="3" t="inlineStr">
        <is>
          <t>FULL</t>
        </is>
      </c>
      <c r="P65" s="3" t="inlineStr">
        <is>
          <t>FULL</t>
        </is>
      </c>
      <c r="Q65" s="3" t="inlineStr">
        <is>
          <t>FULL</t>
        </is>
      </c>
      <c r="R65" s="7">
        <f>IF(N65="FULL",40,IF(N65="PARTIAL",40/2,0))+IF(O65="FULL",30,IF(O65="PARTIAL",30/2,0))+IF(P65="FULL",20,IF(P65="PARTIAL",20/2,0))+IF(Q65="FULL",10,IF(Q65="PARTIAL",10/2,0))</f>
        <v/>
      </c>
      <c r="S65" s="7">
        <f>IF(N65="NOT_CHECKED",0,40)+IF(O65="NOT_CHECKED",0,30)+IF(P65="NOT_CHECKED",0,20)+IF(Q65="NOT_CHECKED",0,10)</f>
        <v/>
      </c>
      <c r="T65" s="7">
        <f>IF(S65=100,R65,"")</f>
        <v/>
      </c>
      <c r="U65" s="7">
        <f>R65</f>
        <v/>
      </c>
      <c r="V65" s="7">
        <f>R65+(100-S65)</f>
        <v/>
      </c>
      <c r="W65" s="3" t="inlineStr">
        <is>
          <t>[]</t>
        </is>
      </c>
      <c r="X65" s="3" t="inlineStr">
        <is>
          <t>["seo_runs\\jeminise.com\\20260906_234129\\qa\\20260909_121051\\images\\080_03.jpg", "https://cdn.shopify.com/s/files/1/0792/5098/1063/files/df6b604a69052443f268bd46d27c069c387d18ce5dc21f3706f2caf677b135f6.jpg?v=1786596522"]</t>
        </is>
      </c>
    </row>
    <row r="66" ht="66" customHeight="1">
      <c r="A66" s="2" t="inlineStr">
        <is>
          <t>jeminise.com+custom-inspirational-scripture-butterflies-blanket-machine-washable</t>
        </is>
      </c>
      <c r="B66" s="2" t="inlineStr">
        <is>
          <t>qaimg_e7f351ed0a465245</t>
        </is>
      </c>
      <c r="C66" s="4" t="inlineStr">
        <is>
          <t>https://cdn.shopify.com/s/files/1/0792/5098/1063/files/cdb8ba2bd17cab5d2811132ba45505b9e7841a8f6703b99cf8224abe7040eeb2.jpg?v=1786596522</t>
        </is>
      </c>
      <c r="D66" s="4" t="inlineStr">
        <is>
          <t>https://cdn.shopify.com/s/files/1/0792/5098/1063/files/cdb8ba2bd17cab5d2811132ba45505b9e7841a8f6703b99cf8224abe7040eeb2.jpg?v=1786596522</t>
        </is>
      </c>
      <c r="E66" s="2" t="inlineStr">
        <is>
          <t>47830540091591</t>
        </is>
      </c>
      <c r="F66" s="2" t="inlineStr"/>
      <c r="G66" s="2" t="inlineStr">
        <is>
          <t>GALLERY</t>
        </is>
      </c>
      <c r="H66" s="2" t="inlineStr">
        <is>
          <t>DIRECT_IMAGE_FILE_OPENED_AND_VISUALLY_REVIEWED</t>
        </is>
      </c>
      <c r="I66" s="2" t="inlineStr">
        <is>
          <t>2026-09-09T12:10:51+07:00</t>
        </is>
      </c>
      <c r="J66" s="2" t="inlineStr">
        <is>
          <t>QA opened 080_04.jpg (1000x1000) and checked against workbook observation: Blanket size chart showing 40x30, 50x40, 60x50 and 80x60 sizes.</t>
        </is>
      </c>
      <c r="K66" s="2" t="inlineStr">
        <is>
          <t>Blanket size chart showing 40x30, 50x40, 60x50 and 80x60 sizes.</t>
        </is>
      </c>
      <c r="L66" s="2" t="inlineStr">
        <is>
          <t>SET</t>
        </is>
      </c>
      <c r="M66" s="2" t="inlineStr">
        <is>
          <t>Blanket size chart for four size options for God Says I Am butterfly blanket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5">
        <f>IF(N66="FULL",40,IF(N66="PARTIAL",40/2,0))+IF(O66="FULL",30,IF(O66="PARTIAL",30/2,0))+IF(P66="FULL",20,IF(P66="PARTIAL",20/2,0))+IF(Q66="FULL",10,IF(Q66="PARTIAL",10/2,0))</f>
        <v/>
      </c>
      <c r="S66" s="5">
        <f>IF(N66="NOT_CHECKED",0,40)+IF(O66="NOT_CHECKED",0,30)+IF(P66="NOT_CHECKED",0,20)+IF(Q66="NOT_CHECKED",0,10)</f>
        <v/>
      </c>
      <c r="T66" s="5">
        <f>IF(S66=100,R66,"")</f>
        <v/>
      </c>
      <c r="U66" s="5">
        <f>R66</f>
        <v/>
      </c>
      <c r="V66" s="5">
        <f>R66+(100-S66)</f>
        <v/>
      </c>
      <c r="W66" s="2" t="inlineStr">
        <is>
          <t>[]</t>
        </is>
      </c>
      <c r="X66" s="2" t="inlineStr">
        <is>
          <t>["seo_runs\\jeminise.com\\20260906_234129\\qa\\20260909_121051\\images\\080_04.jpg", "https://cdn.shopify.com/s/files/1/0792/5098/1063/files/cdb8ba2bd17cab5d2811132ba45505b9e7841a8f6703b99cf8224abe7040eeb2.jpg?v=1786596522"]</t>
        </is>
      </c>
    </row>
    <row r="67" ht="66" customHeight="1">
      <c r="A67" s="3" t="inlineStr">
        <is>
          <t>jeminise.com+custom-inspirational-scripture-butterflies-blanket-machine-washable</t>
        </is>
      </c>
      <c r="B67" s="3" t="inlineStr">
        <is>
          <t>qaimg_3dc1c4a58d41350d</t>
        </is>
      </c>
      <c r="C67" s="4" t="inlineStr">
        <is>
          <t>https://cdn.shopify.com/s/files/1/0792/5098/1063/files/88ace5f764abb2a05af6d52671841238ce3c8443fd2cc317be3d749473fa7373.jpg?v=1786596522</t>
        </is>
      </c>
      <c r="D67" s="4" t="inlineStr">
        <is>
          <t>https://cdn.shopify.com/s/files/1/0792/5098/1063/files/88ace5f764abb2a05af6d52671841238ce3c8443fd2cc317be3d749473fa7373.jpg?v=1786596522</t>
        </is>
      </c>
      <c r="E67" s="3" t="inlineStr">
        <is>
          <t>47830540124359</t>
        </is>
      </c>
      <c r="F67" s="3" t="inlineStr"/>
      <c r="G67" s="3" t="inlineStr">
        <is>
          <t>GALLERY</t>
        </is>
      </c>
      <c r="H67" s="3" t="inlineStr">
        <is>
          <t>DIRECT_IMAGE_FILE_OPENED_AND_VISUALLY_REVIEWED</t>
        </is>
      </c>
      <c r="I67" s="3" t="inlineStr">
        <is>
          <t>2026-09-09T12:10:51+07:00</t>
        </is>
      </c>
      <c r="J67" s="3" t="inlineStr">
        <is>
          <t>QA opened 080_05.jpg (1000x1000) and checked against workbook observation: Close-up collage showing brown butterfly print, verse blocks and white fleece texture.</t>
        </is>
      </c>
      <c r="K67" s="3" t="inlineStr">
        <is>
          <t>Close-up collage showing brown butterfly print, verse blocks and white fleece texture.</t>
        </is>
      </c>
      <c r="L67" s="3" t="inlineStr">
        <is>
          <t>SET</t>
        </is>
      </c>
      <c r="M67" s="3" t="inlineStr">
        <is>
          <t>Close-up fabric collage for God Says I Am blanket</t>
        </is>
      </c>
      <c r="N67" s="3" t="inlineStr">
        <is>
          <t>FULL</t>
        </is>
      </c>
      <c r="O67" s="3" t="inlineStr">
        <is>
          <t>FULL</t>
        </is>
      </c>
      <c r="P67" s="3" t="inlineStr">
        <is>
          <t>FULL</t>
        </is>
      </c>
      <c r="Q67" s="3" t="inlineStr">
        <is>
          <t>FULL</t>
        </is>
      </c>
      <c r="R67" s="7">
        <f>IF(N67="FULL",40,IF(N67="PARTIAL",40/2,0))+IF(O67="FULL",30,IF(O67="PARTIAL",30/2,0))+IF(P67="FULL",20,IF(P67="PARTIAL",20/2,0))+IF(Q67="FULL",10,IF(Q67="PARTIAL",10/2,0))</f>
        <v/>
      </c>
      <c r="S67" s="7">
        <f>IF(N67="NOT_CHECKED",0,40)+IF(O67="NOT_CHECKED",0,30)+IF(P67="NOT_CHECKED",0,20)+IF(Q67="NOT_CHECKED",0,10)</f>
        <v/>
      </c>
      <c r="T67" s="7">
        <f>IF(S67=100,R67,"")</f>
        <v/>
      </c>
      <c r="U67" s="7">
        <f>R67</f>
        <v/>
      </c>
      <c r="V67" s="7">
        <f>R67+(100-S67)</f>
        <v/>
      </c>
      <c r="W67" s="3" t="inlineStr">
        <is>
          <t>[]</t>
        </is>
      </c>
      <c r="X67" s="3" t="inlineStr">
        <is>
          <t>["seo_runs\\jeminise.com\\20260906_234129\\qa\\20260909_121051\\images\\080_05.jpg", "https://cdn.shopify.com/s/files/1/0792/5098/1063/files/88ace5f764abb2a05af6d52671841238ce3c8443fd2cc317be3d749473fa7373.jpg?v=1786596522"]</t>
        </is>
      </c>
    </row>
    <row r="68" ht="66" customHeight="1">
      <c r="A68" s="2" t="inlineStr">
        <is>
          <t>jeminise.com+custom-inspirational-scripture-butterflies-blanket-machine-washable</t>
        </is>
      </c>
      <c r="B68" s="2" t="inlineStr">
        <is>
          <t>qaimg_6737d534ed29cbd6</t>
        </is>
      </c>
      <c r="C68" s="4" t="inlineStr">
        <is>
          <t>https://cdn.shopify.com/s/files/1/0792/5098/1063/files/64e525dfae4ea5f287649a30dc9c89851009da3bf55237c532910646610066e4.jpg?v=1786596523</t>
        </is>
      </c>
      <c r="D68" s="4" t="inlineStr">
        <is>
          <t>https://cdn.shopify.com/s/files/1/0792/5098/1063/files/64e525dfae4ea5f287649a30dc9c89851009da3bf55237c532910646610066e4.jpg?v=1786596523</t>
        </is>
      </c>
      <c r="E68" s="2" t="inlineStr">
        <is>
          <t>47830540157127</t>
        </is>
      </c>
      <c r="F68" s="2" t="inlineStr"/>
      <c r="G68" s="2" t="inlineStr">
        <is>
          <t>GALLERY</t>
        </is>
      </c>
      <c r="H68" s="2" t="inlineStr">
        <is>
          <t>DIRECT_IMAGE_FILE_OPENED_AND_VISUALLY_REVIEWED</t>
        </is>
      </c>
      <c r="I68" s="2" t="inlineStr">
        <is>
          <t>2026-09-09T12:10:51+07:00</t>
        </is>
      </c>
      <c r="J68" s="2" t="inlineStr">
        <is>
          <t>QA opened 080_06.jpg (1000x1000) and checked against workbook observation: Feature panel listing fluffy and soft, high quality, no pilling, no shedding and gentle smooth fabric.</t>
        </is>
      </c>
      <c r="K68" s="2" t="inlineStr">
        <is>
          <t>Feature panel listing fluffy and soft, high quality, no pilling, no shedding and gentle smooth fabric.</t>
        </is>
      </c>
      <c r="L68" s="2" t="inlineStr">
        <is>
          <t>SET</t>
        </is>
      </c>
      <c r="M68" s="2" t="inlineStr">
        <is>
          <t>Feature panel for God Says I Am butterfly blanket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5">
        <f>IF(N68="FULL",40,IF(N68="PARTIAL",40/2,0))+IF(O68="FULL",30,IF(O68="PARTIAL",30/2,0))+IF(P68="FULL",20,IF(P68="PARTIAL",20/2,0))+IF(Q68="FULL",10,IF(Q68="PARTIAL",10/2,0))</f>
        <v/>
      </c>
      <c r="S68" s="5">
        <f>IF(N68="NOT_CHECKED",0,40)+IF(O68="NOT_CHECKED",0,30)+IF(P68="NOT_CHECKED",0,20)+IF(Q68="NOT_CHECKED",0,10)</f>
        <v/>
      </c>
      <c r="T68" s="5">
        <f>IF(S68=100,R68,"")</f>
        <v/>
      </c>
      <c r="U68" s="5">
        <f>R68</f>
        <v/>
      </c>
      <c r="V68" s="5">
        <f>R68+(100-S68)</f>
        <v/>
      </c>
      <c r="W68" s="2" t="inlineStr">
        <is>
          <t>[]</t>
        </is>
      </c>
      <c r="X68" s="2" t="inlineStr">
        <is>
          <t>["seo_runs\\jeminise.com\\20260906_234129\\qa\\20260909_121051\\images\\080_06.jpg", "https://cdn.shopify.com/s/files/1/0792/5098/1063/files/64e525dfae4ea5f287649a30dc9c89851009da3bf55237c532910646610066e4.jpg?v=1786596523"]</t>
        </is>
      </c>
    </row>
    <row r="69" ht="66" customHeight="1">
      <c r="A69" s="3" t="inlineStr">
        <is>
          <t>jeminise.com+custom-inspirational-scripture-butterflies-blanket-machine-washable</t>
        </is>
      </c>
      <c r="B69" s="3" t="inlineStr">
        <is>
          <t>qaimg_0a42397cbc466b8e</t>
        </is>
      </c>
      <c r="C69" s="4" t="inlineStr">
        <is>
          <t>https://cdn.shopify.com/s/files/1/0792/5098/1063/files/f64fb2cf3c2ebbf14c492d4417a795731e9399610b9e9d01249dbc39bd21df20.jpg?v=1786596522</t>
        </is>
      </c>
      <c r="D69" s="4" t="inlineStr">
        <is>
          <t>https://cdn.shopify.com/s/files/1/0792/5098/1063/files/f64fb2cf3c2ebbf14c492d4417a795731e9399610b9e9d01249dbc39bd21df20.jpg?v=1786596522</t>
        </is>
      </c>
      <c r="E69" s="3" t="inlineStr">
        <is>
          <t>47830540189895</t>
        </is>
      </c>
      <c r="F69" s="3" t="inlineStr"/>
      <c r="G69" s="3" t="inlineStr">
        <is>
          <t>GALLERY</t>
        </is>
      </c>
      <c r="H69" s="3" t="inlineStr">
        <is>
          <t>DIRECT_IMAGE_FILE_OPENED_AND_VISUALLY_REVIEWED</t>
        </is>
      </c>
      <c r="I69" s="3" t="inlineStr">
        <is>
          <t>2026-09-09T12:10:51+07:00</t>
        </is>
      </c>
      <c r="J69" s="3" t="inlineStr">
        <is>
          <t>QA opened 080_07.jpg (1000x1000) and checked against workbook observation: Room mockup with God Says I Am butterfly blanket draped over a sofa.</t>
        </is>
      </c>
      <c r="K69" s="3" t="inlineStr">
        <is>
          <t>Room mockup with God Says I Am butterfly blanket draped over a sofa.</t>
        </is>
      </c>
      <c r="L69" s="3" t="inlineStr">
        <is>
          <t>SET</t>
        </is>
      </c>
      <c r="M69" s="3" t="inlineStr">
        <is>
          <t>God Says I Am butterfly blanket on sofa</t>
        </is>
      </c>
      <c r="N69" s="3" t="inlineStr">
        <is>
          <t>FULL</t>
        </is>
      </c>
      <c r="O69" s="3" t="inlineStr">
        <is>
          <t>FULL</t>
        </is>
      </c>
      <c r="P69" s="3" t="inlineStr">
        <is>
          <t>FULL</t>
        </is>
      </c>
      <c r="Q69" s="3" t="inlineStr">
        <is>
          <t>FULL</t>
        </is>
      </c>
      <c r="R69" s="7">
        <f>IF(N69="FULL",40,IF(N69="PARTIAL",40/2,0))+IF(O69="FULL",30,IF(O69="PARTIAL",30/2,0))+IF(P69="FULL",20,IF(P69="PARTIAL",20/2,0))+IF(Q69="FULL",10,IF(Q69="PARTIAL",10/2,0))</f>
        <v/>
      </c>
      <c r="S69" s="7">
        <f>IF(N69="NOT_CHECKED",0,40)+IF(O69="NOT_CHECKED",0,30)+IF(P69="NOT_CHECKED",0,20)+IF(Q69="NOT_CHECKED",0,10)</f>
        <v/>
      </c>
      <c r="T69" s="7">
        <f>IF(S69=100,R69,"")</f>
        <v/>
      </c>
      <c r="U69" s="7">
        <f>R69</f>
        <v/>
      </c>
      <c r="V69" s="7">
        <f>R69+(100-S69)</f>
        <v/>
      </c>
      <c r="W69" s="3" t="inlineStr">
        <is>
          <t>[]</t>
        </is>
      </c>
      <c r="X69" s="3" t="inlineStr">
        <is>
          <t>["seo_runs\\jeminise.com\\20260906_234129\\qa\\20260909_121051\\images\\080_07.jpg", "https://cdn.shopify.com/s/files/1/0792/5098/1063/files/f64fb2cf3c2ebbf14c492d4417a795731e9399610b9e9d01249dbc39bd21df20.jpg?v=1786596522"]</t>
        </is>
      </c>
    </row>
    <row r="70" ht="66" customHeight="1">
      <c r="A70" s="2" t="inlineStr">
        <is>
          <t>jeminise.com+custom-inspirational-scripture-butterflies-blanket-machine-washable</t>
        </is>
      </c>
      <c r="B70" s="2" t="inlineStr">
        <is>
          <t>qaimg_fe38d0e8b0473dab</t>
        </is>
      </c>
      <c r="C70" s="4" t="inlineStr">
        <is>
          <t>https://cdn.shopify.com/s/files/1/0792/5098/1063/files/74a272eaaad0da49c193041e6c07b8b7a72bb2e73361d568c3f2fcaeb910c281.jpg?v=1786596522</t>
        </is>
      </c>
      <c r="D70" s="4" t="inlineStr">
        <is>
          <t>https://cdn.shopify.com/s/files/1/0792/5098/1063/files/74a272eaaad0da49c193041e6c07b8b7a72bb2e73361d568c3f2fcaeb910c281.jpg?v=1786596522</t>
        </is>
      </c>
      <c r="E70" s="2" t="inlineStr">
        <is>
          <t>47830540222663</t>
        </is>
      </c>
      <c r="F70" s="2" t="inlineStr"/>
      <c r="G70" s="2" t="inlineStr">
        <is>
          <t>GALLERY</t>
        </is>
      </c>
      <c r="H70" s="2" t="inlineStr">
        <is>
          <t>DIRECT_IMAGE_FILE_OPENED_AND_VISUALLY_REVIEWED</t>
        </is>
      </c>
      <c r="I70" s="2" t="inlineStr">
        <is>
          <t>2026-09-09T12:10:51+07:00</t>
        </is>
      </c>
      <c r="J70" s="2" t="inlineStr">
        <is>
          <t>QA opened 080_08.jpg (1000x999) and checked against workbook observation: Room mockup with God Says I Am butterfly blanket draped on a couch near a window.</t>
        </is>
      </c>
      <c r="K70" s="2" t="inlineStr">
        <is>
          <t>Room mockup with God Says I Am butterfly blanket draped on a couch near a window.</t>
        </is>
      </c>
      <c r="L70" s="2" t="inlineStr">
        <is>
          <t>SET</t>
        </is>
      </c>
      <c r="M70" s="2" t="inlineStr">
        <is>
          <t>God Says I Am butterfly blanket on couch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5">
        <f>IF(N70="FULL",40,IF(N70="PARTIAL",40/2,0))+IF(O70="FULL",30,IF(O70="PARTIAL",30/2,0))+IF(P70="FULL",20,IF(P70="PARTIAL",20/2,0))+IF(Q70="FULL",10,IF(Q70="PARTIAL",10/2,0))</f>
        <v/>
      </c>
      <c r="S70" s="5">
        <f>IF(N70="NOT_CHECKED",0,40)+IF(O70="NOT_CHECKED",0,30)+IF(P70="NOT_CHECKED",0,20)+IF(Q70="NOT_CHECKED",0,10)</f>
        <v/>
      </c>
      <c r="T70" s="5">
        <f>IF(S70=100,R70,"")</f>
        <v/>
      </c>
      <c r="U70" s="5">
        <f>R70</f>
        <v/>
      </c>
      <c r="V70" s="5">
        <f>R70+(100-S70)</f>
        <v/>
      </c>
      <c r="W70" s="2" t="inlineStr">
        <is>
          <t>[]</t>
        </is>
      </c>
      <c r="X70" s="2" t="inlineStr">
        <is>
          <t>["seo_runs\\jeminise.com\\20260906_234129\\qa\\20260909_121051\\images\\080_08.jpg", "https://cdn.shopify.com/s/files/1/0792/5098/1063/files/74a272eaaad0da49c193041e6c07b8b7a72bb2e73361d568c3f2fcaeb910c281.jpg?v=1786596522"]</t>
        </is>
      </c>
    </row>
  </sheetData>
  <autoFilter ref="A1:X70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B08R4-MIN-001</t>
        </is>
      </c>
      <c r="B2" s="2" t="inlineStr">
        <is>
          <t>jeminise.com+custom-football-player-running-with-ball-comforter-c9c2aecff2-c9c2aecff2</t>
        </is>
      </c>
      <c r="C2" s="2" t="inlineStr"/>
      <c r="D2" s="2" t="inlineStr">
        <is>
          <t>MINOR</t>
        </is>
      </c>
      <c r="E2" s="2" t="inlineStr">
        <is>
          <t>SEO_Products.description_proposed_html</t>
        </is>
      </c>
      <c r="F2" s="2" t="inlineStr">
        <is>
          <t>Gallery panels show ... when available</t>
        </is>
      </c>
      <c r="G2" s="2" t="inlineStr">
        <is>
          <t>Pos 71: description is customer-facing overall, but contains fallback wording instead of exact verified panel names.</t>
        </is>
      </c>
      <c r="H2" s="2" t="inlineStr">
        <is>
          <t>The phrase is not a blocker, yet it makes the publish copy less precise than the available image evidence.</t>
        </is>
      </c>
      <c r="I2" s="2" t="inlineStr">
        <is>
          <t>Rewrite the gallery-panel sentence in English for Personalized Teal Football Player Comforter Set using only panels verified in Image_Audit/live gallery.</t>
        </is>
      </c>
      <c r="J2" s="2" t="inlineStr">
        <is>
          <t>D:\Shopify_Workspace\jeminise_seo\resutls\jeminise.com\20260906_234129\revisions\qa_batch_008_r4\SEO_Product_Optimization_qa_batch_008_r4.xlsx | pos 71 | description_proposed_html</t>
        </is>
      </c>
      <c r="K2" s="2" t="inlineStr">
        <is>
          <t>No fallback phrase remains; panel claims match visible gallery.</t>
        </is>
      </c>
    </row>
    <row r="3" ht="84" customHeight="1">
      <c r="A3" s="3" t="inlineStr">
        <is>
          <t>B08R4-MIN-002</t>
        </is>
      </c>
      <c r="B3" s="3" t="inlineStr">
        <is>
          <t>jeminise.com+custom-football-player-running-with-ball-comforter-9fe5294804-9fe5294804</t>
        </is>
      </c>
      <c r="C3" s="3" t="inlineStr"/>
      <c r="D3" s="3" t="inlineStr">
        <is>
          <t>MINOR</t>
        </is>
      </c>
      <c r="E3" s="3" t="inlineStr">
        <is>
          <t>SEO_Products.description_proposed_html</t>
        </is>
      </c>
      <c r="F3" s="3" t="inlineStr">
        <is>
          <t>Gallery panels show ... when available</t>
        </is>
      </c>
      <c r="G3" s="3" t="inlineStr">
        <is>
          <t>Pos 72: description is customer-facing overall, but contains fallback wording instead of exact verified panel names.</t>
        </is>
      </c>
      <c r="H3" s="3" t="inlineStr">
        <is>
          <t>The phrase is not a blocker, yet it makes the publish copy less precise than the available image evidence.</t>
        </is>
      </c>
      <c r="I3" s="3" t="inlineStr">
        <is>
          <t>Rewrite the gallery-panel sentence in English for Personalized Electric Football Player Comforter Set using only panels verified in Image_Audit/live gallery.</t>
        </is>
      </c>
      <c r="J3" s="3" t="inlineStr">
        <is>
          <t>D:\Shopify_Workspace\jeminise_seo\resutls\jeminise.com\20260906_234129\revisions\qa_batch_008_r4\SEO_Product_Optimization_qa_batch_008_r4.xlsx | pos 72 | description_proposed_html</t>
        </is>
      </c>
      <c r="K3" s="3" t="inlineStr">
        <is>
          <t>No fallback phrase remains; panel claims match visible gallery.</t>
        </is>
      </c>
    </row>
    <row r="4" ht="84" customHeight="1">
      <c r="A4" s="2" t="inlineStr">
        <is>
          <t>B08R4-MIN-003</t>
        </is>
      </c>
      <c r="B4" s="2" t="inlineStr">
        <is>
          <t>jeminise.com+custom-football-player-with-american-flag-background-comforter-44d8108598-44d8108598</t>
        </is>
      </c>
      <c r="C4" s="2" t="inlineStr"/>
      <c r="D4" s="2" t="inlineStr">
        <is>
          <t>MINOR</t>
        </is>
      </c>
      <c r="E4" s="2" t="inlineStr">
        <is>
          <t>SEO_Products.description_proposed_html</t>
        </is>
      </c>
      <c r="F4" s="2" t="inlineStr">
        <is>
          <t>Gallery panels show ... when available</t>
        </is>
      </c>
      <c r="G4" s="2" t="inlineStr">
        <is>
          <t>Pos 73: description is customer-facing overall, but contains fallback wording instead of exact verified panel names.</t>
        </is>
      </c>
      <c r="H4" s="2" t="inlineStr">
        <is>
          <t>The phrase is not a blocker, yet it makes the publish copy less precise than the available image evidence.</t>
        </is>
      </c>
      <c r="I4" s="2" t="inlineStr">
        <is>
          <t>Rewrite the gallery-panel sentence in English for Personalized American Flag Football Player Comforter Set using only panels verified in Image_Audit/live gallery.</t>
        </is>
      </c>
      <c r="J4" s="2" t="inlineStr">
        <is>
          <t>D:\Shopify_Workspace\jeminise_seo\resutls\jeminise.com\20260906_234129\revisions\qa_batch_008_r4\SEO_Product_Optimization_qa_batch_008_r4.xlsx | pos 73 | description_proposed_html</t>
        </is>
      </c>
      <c r="K4" s="2" t="inlineStr">
        <is>
          <t>No fallback phrase remains; panel claims match visible gallery.</t>
        </is>
      </c>
    </row>
    <row r="5" ht="84" customHeight="1">
      <c r="A5" s="3" t="inlineStr">
        <is>
          <t>B08R4-MIN-004</t>
        </is>
      </c>
      <c r="B5" s="3" t="inlineStr">
        <is>
          <t>jeminise.com+custom-football-player-with-burning-ball-comforter-and-american-football-708344de4c-708344de4c</t>
        </is>
      </c>
      <c r="C5" s="3" t="inlineStr"/>
      <c r="D5" s="3" t="inlineStr">
        <is>
          <t>MINOR</t>
        </is>
      </c>
      <c r="E5" s="3" t="inlineStr">
        <is>
          <t>SEO_Products.description_proposed_html</t>
        </is>
      </c>
      <c r="F5" s="3" t="inlineStr">
        <is>
          <t>Gallery panels show ... when available</t>
        </is>
      </c>
      <c r="G5" s="3" t="inlineStr">
        <is>
          <t>Pos 74: description is customer-facing overall, but contains fallback wording instead of exact verified panel names.</t>
        </is>
      </c>
      <c r="H5" s="3" t="inlineStr">
        <is>
          <t>The phrase is not a blocker, yet it makes the publish copy less precise than the available image evidence.</t>
        </is>
      </c>
      <c r="I5" s="3" t="inlineStr">
        <is>
          <t>Rewrite the gallery-panel sentence in English for Personalized Burning Football Player Comforter Set using only panels verified in Image_Audit/live gallery.</t>
        </is>
      </c>
      <c r="J5" s="3" t="inlineStr">
        <is>
          <t>D:\Shopify_Workspace\jeminise_seo\resutls\jeminise.com\20260906_234129\revisions\qa_batch_008_r4\SEO_Product_Optimization_qa_batch_008_r4.xlsx | pos 74 | description_proposed_html</t>
        </is>
      </c>
      <c r="K5" s="3" t="inlineStr">
        <is>
          <t>No fallback phrase remains; panel claims match visible gallery.</t>
        </is>
      </c>
    </row>
    <row r="6" ht="84" customHeight="1">
      <c r="A6" s="2" t="inlineStr">
        <is>
          <t>B08R4-MIN-005</t>
        </is>
      </c>
      <c r="B6" s="2" t="inlineStr">
        <is>
          <t>jeminise.com+custom-football-players-and-large-football-close-comforter-01d72ea6a0-01d72ea6a0</t>
        </is>
      </c>
      <c r="C6" s="2" t="inlineStr"/>
      <c r="D6" s="2" t="inlineStr">
        <is>
          <t>MINOR</t>
        </is>
      </c>
      <c r="E6" s="2" t="inlineStr">
        <is>
          <t>SEO_Products.description_proposed_html</t>
        </is>
      </c>
      <c r="F6" s="2" t="inlineStr">
        <is>
          <t>Gallery panels show ... when available</t>
        </is>
      </c>
      <c r="G6" s="2" t="inlineStr">
        <is>
          <t>Pos 75: description is customer-facing overall, but contains fallback wording instead of exact verified panel names.</t>
        </is>
      </c>
      <c r="H6" s="2" t="inlineStr">
        <is>
          <t>The phrase is not a blocker, yet it makes the publish copy less precise than the available image evidence.</t>
        </is>
      </c>
      <c r="I6" s="2" t="inlineStr">
        <is>
          <t>Rewrite the gallery-panel sentence in English for Personalized Football Players Name Comforter Set using only panels verified in Image_Audit/live gallery.</t>
        </is>
      </c>
      <c r="J6" s="2" t="inlineStr">
        <is>
          <t>D:\Shopify_Workspace\jeminise_seo\resutls\jeminise.com\20260906_234129\revisions\qa_batch_008_r4\SEO_Product_Optimization_qa_batch_008_r4.xlsx | pos 75 | description_proposed_html</t>
        </is>
      </c>
      <c r="K6" s="2" t="inlineStr">
        <is>
          <t>No fallback phrase remains; panel claims match visible gallery.</t>
        </is>
      </c>
    </row>
    <row r="7" ht="84" customHeight="1">
      <c r="A7" s="3" t="inlineStr">
        <is>
          <t>B08R4-MIN-006</t>
        </is>
      </c>
      <c r="B7" s="3" t="inlineStr">
        <is>
          <t>jeminise.com+custom-football-texture-with-prominent-laces-vintage-comforter-9be594b786-9be594b786</t>
        </is>
      </c>
      <c r="C7" s="3" t="inlineStr"/>
      <c r="D7" s="3" t="inlineStr">
        <is>
          <t>MINOR</t>
        </is>
      </c>
      <c r="E7" s="3" t="inlineStr">
        <is>
          <t>SEO_Products.description_proposed_html</t>
        </is>
      </c>
      <c r="F7" s="3" t="inlineStr">
        <is>
          <t>Gallery panels show ... when available</t>
        </is>
      </c>
      <c r="G7" s="3" t="inlineStr">
        <is>
          <t>Pos 76: description is customer-facing overall, but contains fallback wording instead of exact verified panel names.</t>
        </is>
      </c>
      <c r="H7" s="3" t="inlineStr">
        <is>
          <t>The phrase is not a blocker, yet it makes the publish copy less precise than the available image evidence.</t>
        </is>
      </c>
      <c r="I7" s="3" t="inlineStr">
        <is>
          <t>Rewrite the gallery-panel sentence in English for Personalized Football Laces Comforter Set using only panels verified in Image_Audit/live gallery.</t>
        </is>
      </c>
      <c r="J7" s="3" t="inlineStr">
        <is>
          <t>D:\Shopify_Workspace\jeminise_seo\resutls\jeminise.com\20260906_234129\revisions\qa_batch_008_r4\SEO_Product_Optimization_qa_batch_008_r4.xlsx | pos 76 | description_proposed_html</t>
        </is>
      </c>
      <c r="K7" s="3" t="inlineStr">
        <is>
          <t>No fallback phrase remains; panel claims match visible gallery.</t>
        </is>
      </c>
    </row>
    <row r="8" ht="84" customHeight="1">
      <c r="A8" s="2" t="inlineStr">
        <is>
          <t>B08R4-MIN-007</t>
        </is>
      </c>
      <c r="B8" s="2" t="inlineStr">
        <is>
          <t>jeminise.com+custom-glowing-soccer-ball-trails-comforter-set-machine-washable-a6</t>
        </is>
      </c>
      <c r="C8" s="2" t="inlineStr"/>
      <c r="D8" s="2" t="inlineStr">
        <is>
          <t>MINOR</t>
        </is>
      </c>
      <c r="E8" s="2" t="inlineStr">
        <is>
          <t>SEO_Products.description_proposed_html</t>
        </is>
      </c>
      <c r="F8" s="2" t="inlineStr">
        <is>
          <t>Gallery panels show ... when available</t>
        </is>
      </c>
      <c r="G8" s="2" t="inlineStr">
        <is>
          <t>Pos 77: description is customer-facing overall, but contains fallback wording instead of exact verified panel names.</t>
        </is>
      </c>
      <c r="H8" s="2" t="inlineStr">
        <is>
          <t>The phrase is not a blocker, yet it makes the publish copy less precise than the available image evidence.</t>
        </is>
      </c>
      <c r="I8" s="2" t="inlineStr">
        <is>
          <t>Rewrite the gallery-panel sentence in English for Custom Glowing Soccer Ball Comforter Set using only panels verified in Image_Audit/live gallery.</t>
        </is>
      </c>
      <c r="J8" s="2" t="inlineStr">
        <is>
          <t>D:\Shopify_Workspace\jeminise_seo\resutls\jeminise.com\20260906_234129\revisions\qa_batch_008_r4\SEO_Product_Optimization_qa_batch_008_r4.xlsx | pos 77 | description_proposed_html</t>
        </is>
      </c>
      <c r="K8" s="2" t="inlineStr">
        <is>
          <t>No fallback phrase remains; panel claims match visible gallery.</t>
        </is>
      </c>
    </row>
    <row r="9" ht="84" customHeight="1">
      <c r="A9" s="3" t="inlineStr">
        <is>
          <t>B08R4-MIN-008</t>
        </is>
      </c>
      <c r="B9" s="3" t="inlineStr">
        <is>
          <t>jeminise.com+custom-inspirational-bible-verse-floral-blanket-d5</t>
        </is>
      </c>
      <c r="C9" s="3" t="inlineStr"/>
      <c r="D9" s="3" t="inlineStr">
        <is>
          <t>MINOR</t>
        </is>
      </c>
      <c r="E9" s="3" t="inlineStr">
        <is>
          <t>SEO_Products.description_proposed_html</t>
        </is>
      </c>
      <c r="F9" s="3" t="inlineStr">
        <is>
          <t>Gallery panels show ... when available</t>
        </is>
      </c>
      <c r="G9" s="3" t="inlineStr">
        <is>
          <t>Pos 78: description is customer-facing overall, but contains fallback wording instead of exact verified panel names.</t>
        </is>
      </c>
      <c r="H9" s="3" t="inlineStr">
        <is>
          <t>The phrase is not a blocker, yet it makes the publish copy less precise than the available image evidence.</t>
        </is>
      </c>
      <c r="I9" s="3" t="inlineStr">
        <is>
          <t>Rewrite the gallery-panel sentence in English for Custom God Says You Are Floral Blanket using only panels verified in Image_Audit/live gallery.</t>
        </is>
      </c>
      <c r="J9" s="3" t="inlineStr">
        <is>
          <t>D:\Shopify_Workspace\jeminise_seo\resutls\jeminise.com\20260906_234129\revisions\qa_batch_008_r4\SEO_Product_Optimization_qa_batch_008_r4.xlsx | pos 78 | description_proposed_html</t>
        </is>
      </c>
      <c r="K9" s="3" t="inlineStr">
        <is>
          <t>No fallback phrase remains; panel claims match visible gallery.</t>
        </is>
      </c>
    </row>
    <row r="10" ht="84" customHeight="1">
      <c r="A10" s="2" t="inlineStr">
        <is>
          <t>B08R4-MIN-009</t>
        </is>
      </c>
      <c r="B10" s="2" t="inlineStr">
        <is>
          <t>jeminise.com+custom-inspirational-floral-butterfly-bible-verse-blanket-d4</t>
        </is>
      </c>
      <c r="C10" s="2" t="inlineStr"/>
      <c r="D10" s="2" t="inlineStr">
        <is>
          <t>MINOR</t>
        </is>
      </c>
      <c r="E10" s="2" t="inlineStr">
        <is>
          <t>SEO_Products.description_proposed_html</t>
        </is>
      </c>
      <c r="F10" s="2" t="inlineStr">
        <is>
          <t>Gallery panels show ... when available</t>
        </is>
      </c>
      <c r="G10" s="2" t="inlineStr">
        <is>
          <t>Pos 79: description is customer-facing overall, but contains fallback wording instead of exact verified panel names.</t>
        </is>
      </c>
      <c r="H10" s="2" t="inlineStr">
        <is>
          <t>The phrase is not a blocker, yet it makes the publish copy less precise than the available image evidence.</t>
        </is>
      </c>
      <c r="I10" s="2" t="inlineStr">
        <is>
          <t>Rewrite the gallery-panel sentence in English for Custom Floral Butterfly Affirmation Blanket using only panels verified in Image_Audit/live gallery.</t>
        </is>
      </c>
      <c r="J10" s="2" t="inlineStr">
        <is>
          <t>D:\Shopify_Workspace\jeminise_seo\resutls\jeminise.com\20260906_234129\revisions\qa_batch_008_r4\SEO_Product_Optimization_qa_batch_008_r4.xlsx | pos 79 | description_proposed_html</t>
        </is>
      </c>
      <c r="K10" s="2" t="inlineStr">
        <is>
          <t>No fallback phrase remains; panel claims match visible gallery.</t>
        </is>
      </c>
    </row>
    <row r="11" ht="84" customHeight="1">
      <c r="A11" s="3" t="inlineStr">
        <is>
          <t>B08R4-MIN-010</t>
        </is>
      </c>
      <c r="B11" s="3" t="inlineStr">
        <is>
          <t>jeminise.com+custom-inspirational-scripture-butterflies-blanket-machine-washable</t>
        </is>
      </c>
      <c r="C11" s="3" t="inlineStr"/>
      <c r="D11" s="3" t="inlineStr">
        <is>
          <t>MINOR</t>
        </is>
      </c>
      <c r="E11" s="3" t="inlineStr">
        <is>
          <t>SEO_Products.description_proposed_html</t>
        </is>
      </c>
      <c r="F11" s="3" t="inlineStr">
        <is>
          <t>Gallery panels show ... when available</t>
        </is>
      </c>
      <c r="G11" s="3" t="inlineStr">
        <is>
          <t>Pos 80: description is customer-facing overall, but contains fallback wording instead of exact verified panel names.</t>
        </is>
      </c>
      <c r="H11" s="3" t="inlineStr">
        <is>
          <t>The phrase is not a blocker, yet it makes the publish copy less precise than the available image evidence.</t>
        </is>
      </c>
      <c r="I11" s="3" t="inlineStr">
        <is>
          <t>Rewrite the gallery-panel sentence in English for Custom God Says I Am Butterfly Blanket using only panels verified in Image_Audit/live gallery.</t>
        </is>
      </c>
      <c r="J11" s="3" t="inlineStr">
        <is>
          <t>D:\Shopify_Workspace\jeminise_seo\resutls\jeminise.com\20260906_234129\revisions\qa_batch_008_r4\SEO_Product_Optimization_qa_batch_008_r4.xlsx | pos 80 | description_proposed_html</t>
        </is>
      </c>
      <c r="K11" s="3" t="inlineStr">
        <is>
          <t>No fallback phrase remains; panel claims match visible gallery.</t>
        </is>
      </c>
    </row>
    <row r="12" ht="84" customHeight="1">
      <c r="A12" s="2" t="inlineStr">
        <is>
          <t>B08R4-LIM-TRACE-001</t>
        </is>
      </c>
      <c r="B12" s="2" t="inlineStr"/>
      <c r="C12" s="2" t="inlineStr"/>
      <c r="D12" s="2" t="inlineStr">
        <is>
          <t>LIMITATION</t>
        </is>
      </c>
      <c r="E12" s="2" t="inlineStr">
        <is>
          <t>revision traceability</t>
        </is>
      </c>
      <c r="F12" s="2" t="inlineStr">
        <is>
          <t>SEO_Products/Image_Audit row-level revision values still show r3 in the r4 workbook.</t>
        </is>
      </c>
      <c r="G12" s="2" t="inlineStr">
        <is>
          <t>Workbook filename/path/hash identify qa_batch_008_r4, while row metadata was not fully relabeled after r4.</t>
        </is>
      </c>
      <c r="H12" s="2" t="inlineStr">
        <is>
          <t>Traceability limitation only; it does not prove the submitted r4 content is wrong.</t>
        </is>
      </c>
      <c r="I12" s="2" t="inlineStr">
        <is>
          <t>Update row-level revision values and revision_summary paths in the next package.</t>
        </is>
      </c>
      <c r="J12" s="2" t="inlineStr">
        <is>
          <t>D:\Shopify_Workspace\jeminise_seo\resutls\jeminise.com\20260906_234129\revisions\qa_batch_008_r4\SEO_Product_Optimization_qa_batch_008_r4.xlsx</t>
        </is>
      </c>
      <c r="K12" s="2" t="inlineStr">
        <is>
          <t>All row-level revision fields and summary paths consistently identify r4.</t>
        </is>
      </c>
    </row>
  </sheetData>
  <autoFilter ref="A1:K12"/>
  <conditionalFormatting sqref="D2:D1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2026-09-09T05:12:00Z</dcterms:created>
  <dcterms:modified xmlns:dcterms="http://purl.org/dc/terms/" xmlns:xsi="http://www.w3.org/2001/XMLSchema-instance" xsi:type="dcterms:W3CDTF">2026-09-09T05:12:00Z</dcterms:modified>
</cp:coreProperties>
</file>