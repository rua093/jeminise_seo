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'QA_Summary'!$A$1:$C$17</definedName>
    <definedName name="_xlnm.Print_Titles" localSheetId="0">'QA_Summary'!$1:$1</definedName>
    <definedName name="_xlnm._FilterDatabase" localSheetId="1" hidden="1">'QA_Products'!$A$1:$U$11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'QA_Images'!$A$1:$X$71</definedName>
    <definedName name="_xlnm.Print_Titles" localSheetId="3">'QA_Images'!$1:$1</definedName>
    <definedName name="_xlnm._FilterDatabase" localSheetId="4" hidden="1">'QA_Issues'!$A$1:$K$2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personalized-christian-woman-affirmation-bible-verse-throw-blanket" TargetMode="External" Id="rId1"/><Relationship Type="http://schemas.openxmlformats.org/officeDocument/2006/relationships/hyperlink" Target="https://jeminise.com/products/personalized-christian-woman-scripture-photo-throw-blanket-vintage" TargetMode="External" Id="rId2"/><Relationship Type="http://schemas.openxmlformats.org/officeDocument/2006/relationships/hyperlink" Target="https://jeminise.com/products/personalized-colorful-celtic-tree-of-life-quilt-sets-machine-washable" TargetMode="External" Id="rId3"/><Relationship Type="http://schemas.openxmlformats.org/officeDocument/2006/relationships/hyperlink" Target="https://jeminise.com/products/personalized-colorful-celtic-yggdrasil-tree-quilt-sets-vintage" TargetMode="External" Id="rId4"/><Relationship Type="http://schemas.openxmlformats.org/officeDocument/2006/relationships/hyperlink" Target="https://jeminise.com/products/personalized-colorful-desert-rv-sunset-scene-quilt-sets-style-9" TargetMode="External" Id="rId5"/><Relationship Type="http://schemas.openxmlformats.org/officeDocument/2006/relationships/hyperlink" Target="https://jeminise.com/products/personalized-colorful-tree-of-life-quilts-yggdrasil-quilt-king" TargetMode="External" Id="rId6"/><Relationship Type="http://schemas.openxmlformats.org/officeDocument/2006/relationships/hyperlink" Target="https://jeminise.com/products/personalized-colorful-yggdrasil-tree-of-life-quilt-sets-yggdrasil" TargetMode="External" Id="rId7"/><Relationship Type="http://schemas.openxmlformats.org/officeDocument/2006/relationships/hyperlink" Target="https://jeminise.com/products/personalized-couple-hugging-close-up-portrait-quilt-with-photo-7a4978e57a-7a4978e57a" TargetMode="External" Id="rId8"/><Relationship Type="http://schemas.openxmlformats.org/officeDocument/2006/relationships/hyperlink" Target="https://jeminise.com/products/personalized-cozy-room-sophia-bookworm-reading-girl-blanket-book" TargetMode="External" Id="rId9"/><Relationship Type="http://schemas.openxmlformats.org/officeDocument/2006/relationships/hyperlink" Target="https://jeminise.com/products/personalized-dark-haired-girl-reading-book-throw-blanket-book-lover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78eb0f4c80eae9c25319c565771d2eed2e44b6284aa81c51bea764aae0e9ef22.jpg?v=1786570969" TargetMode="External" Id="rId1"/><Relationship Type="http://schemas.openxmlformats.org/officeDocument/2006/relationships/hyperlink" Target="https://cdn.shopify.com/s/files/1/0792/5098/1063/files/78eb0f4c80eae9c25319c565771d2eed2e44b6284aa81c51bea764aae0e9ef22.jpg?v=1786570969" TargetMode="External" Id="rId2"/><Relationship Type="http://schemas.openxmlformats.org/officeDocument/2006/relationships/hyperlink" Target="https://cdn.shopify.com/s/files/1/0792/5098/1063/files/e5749255ca6312d49586e872bef31847dd79313d2c51743b36e86715cb828dcd.jpg?v=1786570970" TargetMode="External" Id="rId3"/><Relationship Type="http://schemas.openxmlformats.org/officeDocument/2006/relationships/hyperlink" Target="https://cdn.shopify.com/s/files/1/0792/5098/1063/files/e5749255ca6312d49586e872bef31847dd79313d2c51743b36e86715cb828dcd.jpg?v=1786570970" TargetMode="External" Id="rId4"/><Relationship Type="http://schemas.openxmlformats.org/officeDocument/2006/relationships/hyperlink" Target="https://cdn.shopify.com/s/files/1/0792/5098/1063/files/98aad52066ac9f31107a9c866dcc63c0d487a8f620b138779dafa78d53e2fa1b.jpg?v=1786570969" TargetMode="External" Id="rId5"/><Relationship Type="http://schemas.openxmlformats.org/officeDocument/2006/relationships/hyperlink" Target="https://cdn.shopify.com/s/files/1/0792/5098/1063/files/98aad52066ac9f31107a9c866dcc63c0d487a8f620b138779dafa78d53e2fa1b.jpg?v=1786570969" TargetMode="External" Id="rId6"/><Relationship Type="http://schemas.openxmlformats.org/officeDocument/2006/relationships/hyperlink" Target="https://cdn.shopify.com/s/files/1/0792/5098/1063/files/9edad468bd3b74df42d98b2fa50149c1a7f33e1364f6b8cd3761209eb65af868.jpg?v=1786570969" TargetMode="External" Id="rId7"/><Relationship Type="http://schemas.openxmlformats.org/officeDocument/2006/relationships/hyperlink" Target="https://cdn.shopify.com/s/files/1/0792/5098/1063/files/9edad468bd3b74df42d98b2fa50149c1a7f33e1364f6b8cd3761209eb65af868.jpg?v=1786570969" TargetMode="External" Id="rId8"/><Relationship Type="http://schemas.openxmlformats.org/officeDocument/2006/relationships/hyperlink" Target="https://cdn.shopify.com/s/files/1/0792/5098/1063/files/1eeb394e5376a6ac066dec8d537b796d9bae155671235ddce1655eb3ec7a3efa.jpg?v=1786570969" TargetMode="External" Id="rId9"/><Relationship Type="http://schemas.openxmlformats.org/officeDocument/2006/relationships/hyperlink" Target="https://cdn.shopify.com/s/files/1/0792/5098/1063/files/1eeb394e5376a6ac066dec8d537b796d9bae155671235ddce1655eb3ec7a3efa.jpg?v=1786570969" TargetMode="External" Id="rId10"/><Relationship Type="http://schemas.openxmlformats.org/officeDocument/2006/relationships/hyperlink" Target="https://cdn.shopify.com/s/files/1/0792/5098/1063/files/ddc976dfc6cc1cebce0cee070eeca1aba46129533cb7ca9c8af224e356630c0e.jpg?v=1786570856" TargetMode="External" Id="rId11"/><Relationship Type="http://schemas.openxmlformats.org/officeDocument/2006/relationships/hyperlink" Target="https://cdn.shopify.com/s/files/1/0792/5098/1063/files/ddc976dfc6cc1cebce0cee070eeca1aba46129533cb7ca9c8af224e356630c0e.jpg?v=1786570856" TargetMode="External" Id="rId12"/><Relationship Type="http://schemas.openxmlformats.org/officeDocument/2006/relationships/hyperlink" Target="https://cdn.shopify.com/s/files/1/0792/5098/1063/files/f60b9f71d51b2a5b0a4a10a1ff25715b65be64baf73aecfb59d9380a537bc38e.jpg?v=1786570857" TargetMode="External" Id="rId13"/><Relationship Type="http://schemas.openxmlformats.org/officeDocument/2006/relationships/hyperlink" Target="https://cdn.shopify.com/s/files/1/0792/5098/1063/files/f60b9f71d51b2a5b0a4a10a1ff25715b65be64baf73aecfb59d9380a537bc38e.jpg?v=1786570857" TargetMode="External" Id="rId14"/><Relationship Type="http://schemas.openxmlformats.org/officeDocument/2006/relationships/hyperlink" Target="https://cdn.shopify.com/s/files/1/0792/5098/1063/files/1216d5b3b86c1434f8f9ba87f74a6846b7d22df73e2c0fb6b032d8910970ff11.jpg?v=1786570856" TargetMode="External" Id="rId15"/><Relationship Type="http://schemas.openxmlformats.org/officeDocument/2006/relationships/hyperlink" Target="https://cdn.shopify.com/s/files/1/0792/5098/1063/files/1216d5b3b86c1434f8f9ba87f74a6846b7d22df73e2c0fb6b032d8910970ff11.jpg?v=1786570856" TargetMode="External" Id="rId16"/><Relationship Type="http://schemas.openxmlformats.org/officeDocument/2006/relationships/hyperlink" Target="https://cdn.shopify.com/s/files/1/0792/5098/1063/files/32729da84df2a3574958559b478f5ac6ee6a426acdcd0349e97f34c53105d7a3.jpg?v=1786570856" TargetMode="External" Id="rId17"/><Relationship Type="http://schemas.openxmlformats.org/officeDocument/2006/relationships/hyperlink" Target="https://cdn.shopify.com/s/files/1/0792/5098/1063/files/32729da84df2a3574958559b478f5ac6ee6a426acdcd0349e97f34c53105d7a3.jpg?v=1786570856" TargetMode="External" Id="rId18"/><Relationship Type="http://schemas.openxmlformats.org/officeDocument/2006/relationships/hyperlink" Target="https://cdn.shopify.com/s/files/1/0792/5098/1063/files/9ce43690d88ad801d51a4b5f97646bea7a9e207fcc9841b60b676b5beee52e40.jpg?v=1786570856" TargetMode="External" Id="rId19"/><Relationship Type="http://schemas.openxmlformats.org/officeDocument/2006/relationships/hyperlink" Target="https://cdn.shopify.com/s/files/1/0792/5098/1063/files/9ce43690d88ad801d51a4b5f97646bea7a9e207fcc9841b60b676b5beee52e40.jpg?v=1786570856" TargetMode="External" Id="rId20"/><Relationship Type="http://schemas.openxmlformats.org/officeDocument/2006/relationships/hyperlink" Target="https://cdn.shopify.com/s/files/1/0792/5098/1063/files/e6066a4ad2d4ffc195398735047eb605cd3ebd7d0f25adaa7218a263317df014.jpg?v=1786570856" TargetMode="External" Id="rId21"/><Relationship Type="http://schemas.openxmlformats.org/officeDocument/2006/relationships/hyperlink" Target="https://cdn.shopify.com/s/files/1/0792/5098/1063/files/e6066a4ad2d4ffc195398735047eb605cd3ebd7d0f25adaa7218a263317df014.jpg?v=1786570856" TargetMode="External" Id="rId22"/><Relationship Type="http://schemas.openxmlformats.org/officeDocument/2006/relationships/hyperlink" Target="https://cdn.shopify.com/s/files/1/0792/5098/1063/files/209723711bef59561039475d4469e3ea518fe80c0f80e4fe488f5c9ebacb8411.jpg?v=1786570856" TargetMode="External" Id="rId23"/><Relationship Type="http://schemas.openxmlformats.org/officeDocument/2006/relationships/hyperlink" Target="https://cdn.shopify.com/s/files/1/0792/5098/1063/files/209723711bef59561039475d4469e3ea518fe80c0f80e4fe488f5c9ebacb8411.jpg?v=1786570856" TargetMode="External" Id="rId24"/><Relationship Type="http://schemas.openxmlformats.org/officeDocument/2006/relationships/hyperlink" Target="https://cdn.shopify.com/s/files/1/0792/5098/1063/files/311a50db4737ad1fc4ad9b65f90b6ae89aa2c17929109fbfe2f918ae45cdc6d2.jpg?v=1786569508" TargetMode="External" Id="rId25"/><Relationship Type="http://schemas.openxmlformats.org/officeDocument/2006/relationships/hyperlink" Target="https://cdn.shopify.com/s/files/1/0792/5098/1063/files/311a50db4737ad1fc4ad9b65f90b6ae89aa2c17929109fbfe2f918ae45cdc6d2.jpg?v=1786569508" TargetMode="External" Id="rId26"/><Relationship Type="http://schemas.openxmlformats.org/officeDocument/2006/relationships/hyperlink" Target="https://cdn.shopify.com/s/files/1/0792/5098/1063/files/30595b3ed5819957bd638b0d36ae3b71828fdc05680e420274bec59b3742192f.jpg?v=1786569508" TargetMode="External" Id="rId27"/><Relationship Type="http://schemas.openxmlformats.org/officeDocument/2006/relationships/hyperlink" Target="https://cdn.shopify.com/s/files/1/0792/5098/1063/files/30595b3ed5819957bd638b0d36ae3b71828fdc05680e420274bec59b3742192f.jpg?v=1786569508" TargetMode="External" Id="rId28"/><Relationship Type="http://schemas.openxmlformats.org/officeDocument/2006/relationships/hyperlink" Target="https://cdn.shopify.com/s/files/1/0792/5098/1063/files/b498655a4c8cf77bc3dbdba36b9b8d8a53572e0b0396af9622fc47092f02455b.jpg?v=1786569509" TargetMode="External" Id="rId29"/><Relationship Type="http://schemas.openxmlformats.org/officeDocument/2006/relationships/hyperlink" Target="https://cdn.shopify.com/s/files/1/0792/5098/1063/files/b498655a4c8cf77bc3dbdba36b9b8d8a53572e0b0396af9622fc47092f02455b.jpg?v=1786569509" TargetMode="External" Id="rId30"/><Relationship Type="http://schemas.openxmlformats.org/officeDocument/2006/relationships/hyperlink" Target="https://cdn.shopify.com/s/files/1/0792/5098/1063/files/8d6d209416f8ef08145318432e443ea82e6160fa9744a1556a87a1aac42d8575.jpg?v=1786569509" TargetMode="External" Id="rId31"/><Relationship Type="http://schemas.openxmlformats.org/officeDocument/2006/relationships/hyperlink" Target="https://cdn.shopify.com/s/files/1/0792/5098/1063/files/8d6d209416f8ef08145318432e443ea82e6160fa9744a1556a87a1aac42d8575.jpg?v=1786569509" TargetMode="External" Id="rId32"/><Relationship Type="http://schemas.openxmlformats.org/officeDocument/2006/relationships/hyperlink" Target="https://cdn.shopify.com/s/files/1/0792/5098/1063/files/208fd9d4d01273251e7871d3eb3d8a2edbed50310b25a2ca59ce0249c354f387.jpg?v=1786569509" TargetMode="External" Id="rId33"/><Relationship Type="http://schemas.openxmlformats.org/officeDocument/2006/relationships/hyperlink" Target="https://cdn.shopify.com/s/files/1/0792/5098/1063/files/208fd9d4d01273251e7871d3eb3d8a2edbed50310b25a2ca59ce0249c354f387.jpg?v=1786569509" TargetMode="External" Id="rId34"/><Relationship Type="http://schemas.openxmlformats.org/officeDocument/2006/relationships/hyperlink" Target="https://cdn.shopify.com/s/files/1/0792/5098/1063/files/dbee8586fa6dab72625f4825ee857016daea77d6ce18a69b9df76c51ddc5169b.jpg?v=1786569509" TargetMode="External" Id="rId35"/><Relationship Type="http://schemas.openxmlformats.org/officeDocument/2006/relationships/hyperlink" Target="https://cdn.shopify.com/s/files/1/0792/5098/1063/files/dbee8586fa6dab72625f4825ee857016daea77d6ce18a69b9df76c51ddc5169b.jpg?v=1786569509" TargetMode="External" Id="rId36"/><Relationship Type="http://schemas.openxmlformats.org/officeDocument/2006/relationships/hyperlink" Target="https://cdn.shopify.com/s/files/1/0792/5098/1063/files/f1cfec672d303ce453d5a97cdd173c7dfcad2f5355b17c90a29145d7f4066213.jpg?v=1786569509" TargetMode="External" Id="rId37"/><Relationship Type="http://schemas.openxmlformats.org/officeDocument/2006/relationships/hyperlink" Target="https://cdn.shopify.com/s/files/1/0792/5098/1063/files/f1cfec672d303ce453d5a97cdd173c7dfcad2f5355b17c90a29145d7f4066213.jpg?v=1786569509" TargetMode="External" Id="rId38"/><Relationship Type="http://schemas.openxmlformats.org/officeDocument/2006/relationships/hyperlink" Target="https://cdn.shopify.com/s/files/1/0792/5098/1063/files/513c1decc2c09e6969dd783ab644c7080420d84841bd381cde7e6d7a4ba272a2.jpg?v=1786569737" TargetMode="External" Id="rId39"/><Relationship Type="http://schemas.openxmlformats.org/officeDocument/2006/relationships/hyperlink" Target="https://cdn.shopify.com/s/files/1/0792/5098/1063/files/513c1decc2c09e6969dd783ab644c7080420d84841bd381cde7e6d7a4ba272a2.jpg?v=1786569737" TargetMode="External" Id="rId40"/><Relationship Type="http://schemas.openxmlformats.org/officeDocument/2006/relationships/hyperlink" Target="https://cdn.shopify.com/s/files/1/0792/5098/1063/files/58b8d413a1cf5f3cf36f183e26140d1757915c3906b1050916936af7dd488c64.jpg?v=1786569737" TargetMode="External" Id="rId41"/><Relationship Type="http://schemas.openxmlformats.org/officeDocument/2006/relationships/hyperlink" Target="https://cdn.shopify.com/s/files/1/0792/5098/1063/files/58b8d413a1cf5f3cf36f183e26140d1757915c3906b1050916936af7dd488c64.jpg?v=1786569737" TargetMode="External" Id="rId42"/><Relationship Type="http://schemas.openxmlformats.org/officeDocument/2006/relationships/hyperlink" Target="https://cdn.shopify.com/s/files/1/0792/5098/1063/files/91d412b8076c5826bb6948754e4377d7cadf19778cde18eb32543d9007ef2103.jpg?v=1786569737" TargetMode="External" Id="rId43"/><Relationship Type="http://schemas.openxmlformats.org/officeDocument/2006/relationships/hyperlink" Target="https://cdn.shopify.com/s/files/1/0792/5098/1063/files/91d412b8076c5826bb6948754e4377d7cadf19778cde18eb32543d9007ef2103.jpg?v=1786569737" TargetMode="External" Id="rId44"/><Relationship Type="http://schemas.openxmlformats.org/officeDocument/2006/relationships/hyperlink" Target="https://cdn.shopify.com/s/files/1/0792/5098/1063/files/3aa578b872334652b423283e716eb2bfab481a7149934f34f03f7d46a6c21f47.jpg?v=1786569737" TargetMode="External" Id="rId45"/><Relationship Type="http://schemas.openxmlformats.org/officeDocument/2006/relationships/hyperlink" Target="https://cdn.shopify.com/s/files/1/0792/5098/1063/files/3aa578b872334652b423283e716eb2bfab481a7149934f34f03f7d46a6c21f47.jpg?v=1786569737" TargetMode="External" Id="rId46"/><Relationship Type="http://schemas.openxmlformats.org/officeDocument/2006/relationships/hyperlink" Target="https://cdn.shopify.com/s/files/1/0792/5098/1063/files/3ccdb5efdf3bee1b1ee9c3284fa25b4395815402469064590cb8aaea8f1b3bd2.jpg?v=1786569737" TargetMode="External" Id="rId47"/><Relationship Type="http://schemas.openxmlformats.org/officeDocument/2006/relationships/hyperlink" Target="https://cdn.shopify.com/s/files/1/0792/5098/1063/files/3ccdb5efdf3bee1b1ee9c3284fa25b4395815402469064590cb8aaea8f1b3bd2.jpg?v=1786569737" TargetMode="External" Id="rId48"/><Relationship Type="http://schemas.openxmlformats.org/officeDocument/2006/relationships/hyperlink" Target="https://cdn.shopify.com/s/files/1/0792/5098/1063/files/3a86e29e6e88c107d1a41f376d489949dc61bd7de8c256091f3f5d6f0df70d76.jpg?v=1786569737" TargetMode="External" Id="rId49"/><Relationship Type="http://schemas.openxmlformats.org/officeDocument/2006/relationships/hyperlink" Target="https://cdn.shopify.com/s/files/1/0792/5098/1063/files/3a86e29e6e88c107d1a41f376d489949dc61bd7de8c256091f3f5d6f0df70d76.jpg?v=1786569737" TargetMode="External" Id="rId50"/><Relationship Type="http://schemas.openxmlformats.org/officeDocument/2006/relationships/hyperlink" Target="https://cdn.shopify.com/s/files/1/0792/5098/1063/files/b5de44814da216dc122aa18370b50a036e02f380005116841266b44870e6655c.jpg?v=1786569737" TargetMode="External" Id="rId51"/><Relationship Type="http://schemas.openxmlformats.org/officeDocument/2006/relationships/hyperlink" Target="https://cdn.shopify.com/s/files/1/0792/5098/1063/files/b5de44814da216dc122aa18370b50a036e02f380005116841266b44870e6655c.jpg?v=1786569737" TargetMode="External" Id="rId52"/><Relationship Type="http://schemas.openxmlformats.org/officeDocument/2006/relationships/hyperlink" Target="https://cdn.shopify.com/s/files/1/0792/5098/1063/files/f91eb91648f8e606dac4f7807559febc8fb2491d8e8f263330960002adfbd567.jpg?v=1786567114" TargetMode="External" Id="rId53"/><Relationship Type="http://schemas.openxmlformats.org/officeDocument/2006/relationships/hyperlink" Target="https://cdn.shopify.com/s/files/1/0792/5098/1063/files/f91eb91648f8e606dac4f7807559febc8fb2491d8e8f263330960002adfbd567.jpg?v=1786567114" TargetMode="External" Id="rId54"/><Relationship Type="http://schemas.openxmlformats.org/officeDocument/2006/relationships/hyperlink" Target="https://cdn.shopify.com/s/files/1/0792/5098/1063/files/ffec157b111fa8c9663e58d649f41b1e75aa1f327f42d09b6d0c79edeb6f7aba.jpg?v=1786567114" TargetMode="External" Id="rId55"/><Relationship Type="http://schemas.openxmlformats.org/officeDocument/2006/relationships/hyperlink" Target="https://cdn.shopify.com/s/files/1/0792/5098/1063/files/ffec157b111fa8c9663e58d649f41b1e75aa1f327f42d09b6d0c79edeb6f7aba.jpg?v=1786567114" TargetMode="External" Id="rId56"/><Relationship Type="http://schemas.openxmlformats.org/officeDocument/2006/relationships/hyperlink" Target="https://cdn.shopify.com/s/files/1/0792/5098/1063/files/5f602430f0ec3f71177227a93d01a5b7b675335c0bd2587139cec2b1092e3176.jpg?v=1786567114" TargetMode="External" Id="rId57"/><Relationship Type="http://schemas.openxmlformats.org/officeDocument/2006/relationships/hyperlink" Target="https://cdn.shopify.com/s/files/1/0792/5098/1063/files/5f602430f0ec3f71177227a93d01a5b7b675335c0bd2587139cec2b1092e3176.jpg?v=1786567114" TargetMode="External" Id="rId58"/><Relationship Type="http://schemas.openxmlformats.org/officeDocument/2006/relationships/hyperlink" Target="https://cdn.shopify.com/s/files/1/0792/5098/1063/files/22fc14d9fd1492297bdc0179df27084e186e25bab2cf381806f06f944301f575.jpg?v=1786567114" TargetMode="External" Id="rId59"/><Relationship Type="http://schemas.openxmlformats.org/officeDocument/2006/relationships/hyperlink" Target="https://cdn.shopify.com/s/files/1/0792/5098/1063/files/22fc14d9fd1492297bdc0179df27084e186e25bab2cf381806f06f944301f575.jpg?v=1786567114" TargetMode="External" Id="rId60"/><Relationship Type="http://schemas.openxmlformats.org/officeDocument/2006/relationships/hyperlink" Target="https://cdn.shopify.com/s/files/1/0792/5098/1063/files/e662afc23e2d3aa429d288b34cc14580b4d590b7e35e6576ec64fb52e8d7fd29.jpg?v=1786567114" TargetMode="External" Id="rId61"/><Relationship Type="http://schemas.openxmlformats.org/officeDocument/2006/relationships/hyperlink" Target="https://cdn.shopify.com/s/files/1/0792/5098/1063/files/e662afc23e2d3aa429d288b34cc14580b4d590b7e35e6576ec64fb52e8d7fd29.jpg?v=1786567114" TargetMode="External" Id="rId62"/><Relationship Type="http://schemas.openxmlformats.org/officeDocument/2006/relationships/hyperlink" Target="https://cdn.shopify.com/s/files/1/0792/5098/1063/files/558c534f2ba758af7450862e9318139f817d18f6b7c288119ff2d4c975f12916.jpg?v=1786567114" TargetMode="External" Id="rId63"/><Relationship Type="http://schemas.openxmlformats.org/officeDocument/2006/relationships/hyperlink" Target="https://cdn.shopify.com/s/files/1/0792/5098/1063/files/558c534f2ba758af7450862e9318139f817d18f6b7c288119ff2d4c975f12916.jpg?v=1786567114" TargetMode="External" Id="rId64"/><Relationship Type="http://schemas.openxmlformats.org/officeDocument/2006/relationships/hyperlink" Target="https://cdn.shopify.com/s/files/1/0792/5098/1063/files/137b13e76075fbaec3931c49825f6588a8603930030da228b602f574b06d7df6.jpg?v=1786567114" TargetMode="External" Id="rId65"/><Relationship Type="http://schemas.openxmlformats.org/officeDocument/2006/relationships/hyperlink" Target="https://cdn.shopify.com/s/files/1/0792/5098/1063/files/137b13e76075fbaec3931c49825f6588a8603930030da228b602f574b06d7df6.jpg?v=1786567114" TargetMode="External" Id="rId66"/><Relationship Type="http://schemas.openxmlformats.org/officeDocument/2006/relationships/hyperlink" Target="https://cdn.shopify.com/s/files/1/0792/5098/1063/files/24c5d8725b68ffa3b8751fe57fbdd4f45da6091f072c621dcd74ee30bba9b282.jpg?v=1786569382" TargetMode="External" Id="rId67"/><Relationship Type="http://schemas.openxmlformats.org/officeDocument/2006/relationships/hyperlink" Target="https://cdn.shopify.com/s/files/1/0792/5098/1063/files/24c5d8725b68ffa3b8751fe57fbdd4f45da6091f072c621dcd74ee30bba9b282.jpg?v=1786569382" TargetMode="External" Id="rId68"/><Relationship Type="http://schemas.openxmlformats.org/officeDocument/2006/relationships/hyperlink" Target="https://cdn.shopify.com/s/files/1/0792/5098/1063/files/09142916e0f2b06e00e4babaee86d0aea6f4612f4a4a461df62c1b6251c84ccc.jpg?v=1786569382" TargetMode="External" Id="rId69"/><Relationship Type="http://schemas.openxmlformats.org/officeDocument/2006/relationships/hyperlink" Target="https://cdn.shopify.com/s/files/1/0792/5098/1063/files/09142916e0f2b06e00e4babaee86d0aea6f4612f4a4a461df62c1b6251c84ccc.jpg?v=1786569382" TargetMode="External" Id="rId70"/><Relationship Type="http://schemas.openxmlformats.org/officeDocument/2006/relationships/hyperlink" Target="https://cdn.shopify.com/s/files/1/0792/5098/1063/files/98b4c0b50f83b64fa97e4460c6a5a355b8e76a79c854c26710be3024483c1be4.jpg?v=1786569382" TargetMode="External" Id="rId71"/><Relationship Type="http://schemas.openxmlformats.org/officeDocument/2006/relationships/hyperlink" Target="https://cdn.shopify.com/s/files/1/0792/5098/1063/files/98b4c0b50f83b64fa97e4460c6a5a355b8e76a79c854c26710be3024483c1be4.jpg?v=1786569382" TargetMode="External" Id="rId72"/><Relationship Type="http://schemas.openxmlformats.org/officeDocument/2006/relationships/hyperlink" Target="https://cdn.shopify.com/s/files/1/0792/5098/1063/files/c48a811584c4a636e33505b003fe88534ed649867d3945ea247663acb19f100f.jpg?v=1786569382" TargetMode="External" Id="rId73"/><Relationship Type="http://schemas.openxmlformats.org/officeDocument/2006/relationships/hyperlink" Target="https://cdn.shopify.com/s/files/1/0792/5098/1063/files/c48a811584c4a636e33505b003fe88534ed649867d3945ea247663acb19f100f.jpg?v=1786569382" TargetMode="External" Id="rId74"/><Relationship Type="http://schemas.openxmlformats.org/officeDocument/2006/relationships/hyperlink" Target="https://cdn.shopify.com/s/files/1/0792/5098/1063/files/d38614147fb680d0c8d3fff66648b2ab56406c22b4f7652643cfcd25a0a2a35d.jpg?v=1786569382" TargetMode="External" Id="rId75"/><Relationship Type="http://schemas.openxmlformats.org/officeDocument/2006/relationships/hyperlink" Target="https://cdn.shopify.com/s/files/1/0792/5098/1063/files/d38614147fb680d0c8d3fff66648b2ab56406c22b4f7652643cfcd25a0a2a35d.jpg?v=1786569382" TargetMode="External" Id="rId76"/><Relationship Type="http://schemas.openxmlformats.org/officeDocument/2006/relationships/hyperlink" Target="https://cdn.shopify.com/s/files/1/0792/5098/1063/files/9df44a01248f2c8b003a70e23aa5498f2a34fecc905d4d35aabfbc55be1bd77c.jpg?v=1786569382" TargetMode="External" Id="rId77"/><Relationship Type="http://schemas.openxmlformats.org/officeDocument/2006/relationships/hyperlink" Target="https://cdn.shopify.com/s/files/1/0792/5098/1063/files/9df44a01248f2c8b003a70e23aa5498f2a34fecc905d4d35aabfbc55be1bd77c.jpg?v=1786569382" TargetMode="External" Id="rId78"/><Relationship Type="http://schemas.openxmlformats.org/officeDocument/2006/relationships/hyperlink" Target="https://cdn.shopify.com/s/files/1/0792/5098/1063/files/99c13a51953ae5a997fd68efe20db8deef6985c18755d3c33383346ec45173d0.jpg?v=1786569382" TargetMode="External" Id="rId79"/><Relationship Type="http://schemas.openxmlformats.org/officeDocument/2006/relationships/hyperlink" Target="https://cdn.shopify.com/s/files/1/0792/5098/1063/files/99c13a51953ae5a997fd68efe20db8deef6985c18755d3c33383346ec45173d0.jpg?v=1786569382" TargetMode="External" Id="rId80"/><Relationship Type="http://schemas.openxmlformats.org/officeDocument/2006/relationships/hyperlink" Target="https://cdn.shopify.com/s/files/1/0792/5098/1063/files/acda833dd6ef6078e6a17fb248e654bb73970df8bac84e0d62edc49aef7e0bc0.jpg?v=1786569504" TargetMode="External" Id="rId81"/><Relationship Type="http://schemas.openxmlformats.org/officeDocument/2006/relationships/hyperlink" Target="https://cdn.shopify.com/s/files/1/0792/5098/1063/files/acda833dd6ef6078e6a17fb248e654bb73970df8bac84e0d62edc49aef7e0bc0.jpg?v=1786569504" TargetMode="External" Id="rId82"/><Relationship Type="http://schemas.openxmlformats.org/officeDocument/2006/relationships/hyperlink" Target="https://cdn.shopify.com/s/files/1/0792/5098/1063/files/2d95cfc270d8293a606e4f7888516b95dd9983682cd3e36263f3276e2cdfbaee.jpg?v=1786569504" TargetMode="External" Id="rId83"/><Relationship Type="http://schemas.openxmlformats.org/officeDocument/2006/relationships/hyperlink" Target="https://cdn.shopify.com/s/files/1/0792/5098/1063/files/2d95cfc270d8293a606e4f7888516b95dd9983682cd3e36263f3276e2cdfbaee.jpg?v=1786569504" TargetMode="External" Id="rId84"/><Relationship Type="http://schemas.openxmlformats.org/officeDocument/2006/relationships/hyperlink" Target="https://cdn.shopify.com/s/files/1/0792/5098/1063/files/709ff5aa064e9ac7398cb7f3a51da1faa560fb94b5bd39e7be3f7adfad9f2cb7.jpg?v=1786569504" TargetMode="External" Id="rId85"/><Relationship Type="http://schemas.openxmlformats.org/officeDocument/2006/relationships/hyperlink" Target="https://cdn.shopify.com/s/files/1/0792/5098/1063/files/709ff5aa064e9ac7398cb7f3a51da1faa560fb94b5bd39e7be3f7adfad9f2cb7.jpg?v=1786569504" TargetMode="External" Id="rId86"/><Relationship Type="http://schemas.openxmlformats.org/officeDocument/2006/relationships/hyperlink" Target="https://cdn.shopify.com/s/files/1/0792/5098/1063/files/a5d6b67f1d63f34db44cd53f0cea9d0c8066c564da549da409db0ebc02773f26.jpg?v=1786569504" TargetMode="External" Id="rId87"/><Relationship Type="http://schemas.openxmlformats.org/officeDocument/2006/relationships/hyperlink" Target="https://cdn.shopify.com/s/files/1/0792/5098/1063/files/a5d6b67f1d63f34db44cd53f0cea9d0c8066c564da549da409db0ebc02773f26.jpg?v=1786569504" TargetMode="External" Id="rId88"/><Relationship Type="http://schemas.openxmlformats.org/officeDocument/2006/relationships/hyperlink" Target="https://cdn.shopify.com/s/files/1/0792/5098/1063/files/3f86078ce6cbc6208c00cca682ea91cc232252f5716b9be9c4f503f98aef1b59.jpg?v=1786569505" TargetMode="External" Id="rId89"/><Relationship Type="http://schemas.openxmlformats.org/officeDocument/2006/relationships/hyperlink" Target="https://cdn.shopify.com/s/files/1/0792/5098/1063/files/3f86078ce6cbc6208c00cca682ea91cc232252f5716b9be9c4f503f98aef1b59.jpg?v=1786569505" TargetMode="External" Id="rId90"/><Relationship Type="http://schemas.openxmlformats.org/officeDocument/2006/relationships/hyperlink" Target="https://cdn.shopify.com/s/files/1/0792/5098/1063/files/2022169407342846356988abe0f2e94a6adce03e59713c947b174492d30f912b.jpg?v=1786569504" TargetMode="External" Id="rId91"/><Relationship Type="http://schemas.openxmlformats.org/officeDocument/2006/relationships/hyperlink" Target="https://cdn.shopify.com/s/files/1/0792/5098/1063/files/2022169407342846356988abe0f2e94a6adce03e59713c947b174492d30f912b.jpg?v=1786569504" TargetMode="External" Id="rId92"/><Relationship Type="http://schemas.openxmlformats.org/officeDocument/2006/relationships/hyperlink" Target="https://cdn.shopify.com/s/files/1/0792/5098/1063/files/10b22dc4eb8c9cb29d0370b1bf321167f61693a33fc44b68e29fb353f32cdebb.jpg?v=1786569504" TargetMode="External" Id="rId93"/><Relationship Type="http://schemas.openxmlformats.org/officeDocument/2006/relationships/hyperlink" Target="https://cdn.shopify.com/s/files/1/0792/5098/1063/files/10b22dc4eb8c9cb29d0370b1bf321167f61693a33fc44b68e29fb353f32cdebb.jpg?v=1786569504" TargetMode="External" Id="rId94"/><Relationship Type="http://schemas.openxmlformats.org/officeDocument/2006/relationships/hyperlink" Target="https://cdn.shopify.com/s/files/1/0792/5098/1063/files/01c46ab34e2ccd77a07fff1c21c762548f50f3f4aa7a0745f384178a38329ee2.jpg?v=1785103254" TargetMode="External" Id="rId95"/><Relationship Type="http://schemas.openxmlformats.org/officeDocument/2006/relationships/hyperlink" Target="https://cdn.shopify.com/s/files/1/0792/5098/1063/files/01c46ab34e2ccd77a07fff1c21c762548f50f3f4aa7a0745f384178a38329ee2.jpg?v=1785103254" TargetMode="External" Id="rId96"/><Relationship Type="http://schemas.openxmlformats.org/officeDocument/2006/relationships/hyperlink" Target="https://cdn.shopify.com/s/files/1/0792/5098/1063/files/48592bcdec4efc0e493a48ea521f33efee0a41f86cf2fafd286d81a77736e5a6.jpg?v=1785103254" TargetMode="External" Id="rId97"/><Relationship Type="http://schemas.openxmlformats.org/officeDocument/2006/relationships/hyperlink" Target="https://cdn.shopify.com/s/files/1/0792/5098/1063/files/48592bcdec4efc0e493a48ea521f33efee0a41f86cf2fafd286d81a77736e5a6.jpg?v=1785103254" TargetMode="External" Id="rId98"/><Relationship Type="http://schemas.openxmlformats.org/officeDocument/2006/relationships/hyperlink" Target="https://cdn.shopify.com/s/files/1/0792/5098/1063/files/1324fc3a935c88ef5b64c29a6a5269573b29c1c9f0996602987216ea24a193e8.jpg?v=1785103254" TargetMode="External" Id="rId99"/><Relationship Type="http://schemas.openxmlformats.org/officeDocument/2006/relationships/hyperlink" Target="https://cdn.shopify.com/s/files/1/0792/5098/1063/files/1324fc3a935c88ef5b64c29a6a5269573b29c1c9f0996602987216ea24a193e8.jpg?v=1785103254" TargetMode="External" Id="rId100"/><Relationship Type="http://schemas.openxmlformats.org/officeDocument/2006/relationships/hyperlink" Target="https://cdn.shopify.com/s/files/1/0792/5098/1063/files/fbd6f9ce4cd9a2e43902bfbcb2cf4a451b553f39a2f8e8705c50b39b0332af32.jpg?v=1785103254" TargetMode="External" Id="rId101"/><Relationship Type="http://schemas.openxmlformats.org/officeDocument/2006/relationships/hyperlink" Target="https://cdn.shopify.com/s/files/1/0792/5098/1063/files/fbd6f9ce4cd9a2e43902bfbcb2cf4a451b553f39a2f8e8705c50b39b0332af32.jpg?v=1785103254" TargetMode="External" Id="rId102"/><Relationship Type="http://schemas.openxmlformats.org/officeDocument/2006/relationships/hyperlink" Target="https://cdn.shopify.com/s/files/1/0792/5098/1063/files/52ad2da15209bd8cd338eae29bd874b0bdc56241543df0ae540d210247de98a8.jpg?v=1785103254" TargetMode="External" Id="rId103"/><Relationship Type="http://schemas.openxmlformats.org/officeDocument/2006/relationships/hyperlink" Target="https://cdn.shopify.com/s/files/1/0792/5098/1063/files/52ad2da15209bd8cd338eae29bd874b0bdc56241543df0ae540d210247de98a8.jpg?v=1785103254" TargetMode="External" Id="rId104"/><Relationship Type="http://schemas.openxmlformats.org/officeDocument/2006/relationships/hyperlink" Target="https://cdn.shopify.com/s/files/1/0792/5098/1063/files/5330ab1ab2d71e687d2e7cc9fcf71027bcee5fb83e35ad596ef08a39c0d98da2.jpg?v=1785103254" TargetMode="External" Id="rId105"/><Relationship Type="http://schemas.openxmlformats.org/officeDocument/2006/relationships/hyperlink" Target="https://cdn.shopify.com/s/files/1/0792/5098/1063/files/5330ab1ab2d71e687d2e7cc9fcf71027bcee5fb83e35ad596ef08a39c0d98da2.jpg?v=1785103254" TargetMode="External" Id="rId106"/><Relationship Type="http://schemas.openxmlformats.org/officeDocument/2006/relationships/hyperlink" Target="https://cdn.shopify.com/s/files/1/0792/5098/1063/files/d8b870745e830300eaa53222133b0f1931d1e7ffe286073fc472749d6bbe6434.jpg?v=1785103254" TargetMode="External" Id="rId107"/><Relationship Type="http://schemas.openxmlformats.org/officeDocument/2006/relationships/hyperlink" Target="https://cdn.shopify.com/s/files/1/0792/5098/1063/files/d8b870745e830300eaa53222133b0f1931d1e7ffe286073fc472749d6bbe6434.jpg?v=1785103254" TargetMode="External" Id="rId108"/><Relationship Type="http://schemas.openxmlformats.org/officeDocument/2006/relationships/hyperlink" Target="https://cdn.shopify.com/s/files/1/0792/5098/1063/files/d017cb4c8a7376ee68e0471efb875b481102ce8e7d511894dc86bb73676c0e04.jpg?v=1786607334" TargetMode="External" Id="rId109"/><Relationship Type="http://schemas.openxmlformats.org/officeDocument/2006/relationships/hyperlink" Target="https://cdn.shopify.com/s/files/1/0792/5098/1063/files/d017cb4c8a7376ee68e0471efb875b481102ce8e7d511894dc86bb73676c0e04.jpg?v=1786607334" TargetMode="External" Id="rId110"/><Relationship Type="http://schemas.openxmlformats.org/officeDocument/2006/relationships/hyperlink" Target="https://cdn.shopify.com/s/files/1/0792/5098/1063/files/d993b3d525c196986c82c5bcf25b7f91af30cb9cc00a5ed08022add9c4ce4d16.jpg?v=1786607334" TargetMode="External" Id="rId111"/><Relationship Type="http://schemas.openxmlformats.org/officeDocument/2006/relationships/hyperlink" Target="https://cdn.shopify.com/s/files/1/0792/5098/1063/files/d993b3d525c196986c82c5bcf25b7f91af30cb9cc00a5ed08022add9c4ce4d16.jpg?v=1786607334" TargetMode="External" Id="rId112"/><Relationship Type="http://schemas.openxmlformats.org/officeDocument/2006/relationships/hyperlink" Target="https://cdn.shopify.com/s/files/1/0792/5098/1063/files/b8f5ed2d83fc32f81f88aef3d04685983891a5f50e161537e0d9f64a31afb191.jpg?v=1786607334" TargetMode="External" Id="rId113"/><Relationship Type="http://schemas.openxmlformats.org/officeDocument/2006/relationships/hyperlink" Target="https://cdn.shopify.com/s/files/1/0792/5098/1063/files/b8f5ed2d83fc32f81f88aef3d04685983891a5f50e161537e0d9f64a31afb191.jpg?v=1786607334" TargetMode="External" Id="rId114"/><Relationship Type="http://schemas.openxmlformats.org/officeDocument/2006/relationships/hyperlink" Target="https://cdn.shopify.com/s/files/1/0792/5098/1063/files/5c956de24639a7e7a968a86a8cdb4a6a71155b5445dcfc4a1aaabda1ed513459.jpg?v=1786607334" TargetMode="External" Id="rId115"/><Relationship Type="http://schemas.openxmlformats.org/officeDocument/2006/relationships/hyperlink" Target="https://cdn.shopify.com/s/files/1/0792/5098/1063/files/5c956de24639a7e7a968a86a8cdb4a6a71155b5445dcfc4a1aaabda1ed513459.jpg?v=1786607334" TargetMode="External" Id="rId116"/><Relationship Type="http://schemas.openxmlformats.org/officeDocument/2006/relationships/hyperlink" Target="https://cdn.shopify.com/s/files/1/0792/5098/1063/files/5968829f58e9b55e4ef8e8ea28ffc2e84e05f872da5bdb705d228f3ccf49e830.jpg?v=1786607334" TargetMode="External" Id="rId117"/><Relationship Type="http://schemas.openxmlformats.org/officeDocument/2006/relationships/hyperlink" Target="https://cdn.shopify.com/s/files/1/0792/5098/1063/files/5968829f58e9b55e4ef8e8ea28ffc2e84e05f872da5bdb705d228f3ccf49e830.jpg?v=1786607334" TargetMode="External" Id="rId118"/><Relationship Type="http://schemas.openxmlformats.org/officeDocument/2006/relationships/hyperlink" Target="https://cdn.shopify.com/s/files/1/0792/5098/1063/files/82987ca3ec431e3f116c10caf2ba68dd2f1abf7cda5dfe7bb4ead9d72d3844f0.jpg?v=1786607334" TargetMode="External" Id="rId119"/><Relationship Type="http://schemas.openxmlformats.org/officeDocument/2006/relationships/hyperlink" Target="https://cdn.shopify.com/s/files/1/0792/5098/1063/files/82987ca3ec431e3f116c10caf2ba68dd2f1abf7cda5dfe7bb4ead9d72d3844f0.jpg?v=1786607334" TargetMode="External" Id="rId120"/><Relationship Type="http://schemas.openxmlformats.org/officeDocument/2006/relationships/hyperlink" Target="https://cdn.shopify.com/s/files/1/0792/5098/1063/files/119012b461dec68d1f126b919ecf1cfb6eaa9cc072f8bda92360b96602e018d9.jpg?v=1786607334" TargetMode="External" Id="rId121"/><Relationship Type="http://schemas.openxmlformats.org/officeDocument/2006/relationships/hyperlink" Target="https://cdn.shopify.com/s/files/1/0792/5098/1063/files/119012b461dec68d1f126b919ecf1cfb6eaa9cc072f8bda92360b96602e018d9.jpg?v=1786607334" TargetMode="External" Id="rId122"/><Relationship Type="http://schemas.openxmlformats.org/officeDocument/2006/relationships/hyperlink" Target="https://cdn.shopify.com/s/files/1/0792/5098/1063/files/f7f6bee5716e2bda8dff440f31265638214aa32976ecdfed99a23f93ac02088c.jpg?v=1786607334" TargetMode="External" Id="rId123"/><Relationship Type="http://schemas.openxmlformats.org/officeDocument/2006/relationships/hyperlink" Target="https://cdn.shopify.com/s/files/1/0792/5098/1063/files/f7f6bee5716e2bda8dff440f31265638214aa32976ecdfed99a23f93ac02088c.jpg?v=1786607334" TargetMode="External" Id="rId124"/><Relationship Type="http://schemas.openxmlformats.org/officeDocument/2006/relationships/hyperlink" Target="https://cdn.shopify.com/s/files/1/0792/5098/1063/files/d4ba34533ff5560a394efb28a1bd322ae4d7094fb1ee90e8b4a4bcb0ed09fb12.jpg?v=1786607334" TargetMode="External" Id="rId125"/><Relationship Type="http://schemas.openxmlformats.org/officeDocument/2006/relationships/hyperlink" Target="https://cdn.shopify.com/s/files/1/0792/5098/1063/files/d4ba34533ff5560a394efb28a1bd322ae4d7094fb1ee90e8b4a4bcb0ed09fb12.jpg?v=1786607334" TargetMode="External" Id="rId126"/><Relationship Type="http://schemas.openxmlformats.org/officeDocument/2006/relationships/hyperlink" Target="https://cdn.shopify.com/s/files/1/0792/5098/1063/files/a6a69a3a428f30c3df58819d8a948c64fa0caaadcadc9b3671598c7ff167942a.jpg?v=1786607331" TargetMode="External" Id="rId127"/><Relationship Type="http://schemas.openxmlformats.org/officeDocument/2006/relationships/hyperlink" Target="https://cdn.shopify.com/s/files/1/0792/5098/1063/files/a6a69a3a428f30c3df58819d8a948c64fa0caaadcadc9b3671598c7ff167942a.jpg?v=1786607331" TargetMode="External" Id="rId128"/><Relationship Type="http://schemas.openxmlformats.org/officeDocument/2006/relationships/hyperlink" Target="https://cdn.shopify.com/s/files/1/0792/5098/1063/files/e4d24bdc20221fa26db36a877bf7dca38e431f41b512051c120b85452c3df696.jpg?v=1786607331" TargetMode="External" Id="rId129"/><Relationship Type="http://schemas.openxmlformats.org/officeDocument/2006/relationships/hyperlink" Target="https://cdn.shopify.com/s/files/1/0792/5098/1063/files/e4d24bdc20221fa26db36a877bf7dca38e431f41b512051c120b85452c3df696.jpg?v=1786607331" TargetMode="External" Id="rId130"/><Relationship Type="http://schemas.openxmlformats.org/officeDocument/2006/relationships/hyperlink" Target="https://cdn.shopify.com/s/files/1/0792/5098/1063/files/4690c246b04e795ce4dbe74ed207badab06c48b6fc8ae929fb7db9aa45fadbf9.jpg?v=1786607331" TargetMode="External" Id="rId131"/><Relationship Type="http://schemas.openxmlformats.org/officeDocument/2006/relationships/hyperlink" Target="https://cdn.shopify.com/s/files/1/0792/5098/1063/files/4690c246b04e795ce4dbe74ed207badab06c48b6fc8ae929fb7db9aa45fadbf9.jpg?v=1786607331" TargetMode="External" Id="rId132"/><Relationship Type="http://schemas.openxmlformats.org/officeDocument/2006/relationships/hyperlink" Target="https://cdn.shopify.com/s/files/1/0792/5098/1063/files/2d60e8ad13e0cfa39a60127d3f9c85661e89cb8e12b293af3cc2702bb659fa1b.jpg?v=1786607331" TargetMode="External" Id="rId133"/><Relationship Type="http://schemas.openxmlformats.org/officeDocument/2006/relationships/hyperlink" Target="https://cdn.shopify.com/s/files/1/0792/5098/1063/files/2d60e8ad13e0cfa39a60127d3f9c85661e89cb8e12b293af3cc2702bb659fa1b.jpg?v=1786607331" TargetMode="External" Id="rId134"/><Relationship Type="http://schemas.openxmlformats.org/officeDocument/2006/relationships/hyperlink" Target="https://cdn.shopify.com/s/files/1/0792/5098/1063/files/c102bf8f401969bb59e45e7101eb13f0aad205b2620e1030d5bdca82f309883a.jpg?v=1786607331" TargetMode="External" Id="rId135"/><Relationship Type="http://schemas.openxmlformats.org/officeDocument/2006/relationships/hyperlink" Target="https://cdn.shopify.com/s/files/1/0792/5098/1063/files/c102bf8f401969bb59e45e7101eb13f0aad205b2620e1030d5bdca82f309883a.jpg?v=1786607331" TargetMode="External" Id="rId136"/><Relationship Type="http://schemas.openxmlformats.org/officeDocument/2006/relationships/hyperlink" Target="https://cdn.shopify.com/s/files/1/0792/5098/1063/files/e716491675597fe76d8aec261d431187e7a7d79a4c5435b3162b485f074ba9b0.jpg?v=1786607331" TargetMode="External" Id="rId137"/><Relationship Type="http://schemas.openxmlformats.org/officeDocument/2006/relationships/hyperlink" Target="https://cdn.shopify.com/s/files/1/0792/5098/1063/files/e716491675597fe76d8aec261d431187e7a7d79a4c5435b3162b485f074ba9b0.jpg?v=1786607331" TargetMode="External" Id="rId138"/><Relationship Type="http://schemas.openxmlformats.org/officeDocument/2006/relationships/hyperlink" Target="https://cdn.shopify.com/s/files/1/0792/5098/1063/files/b29fe40a59155db7b8523dd6d8f01832ebaac23238e5fd57c18290aa6455084c.jpg?v=1786607332" TargetMode="External" Id="rId139"/><Relationship Type="http://schemas.openxmlformats.org/officeDocument/2006/relationships/hyperlink" Target="https://cdn.shopify.com/s/files/1/0792/5098/1063/files/b29fe40a59155db7b8523dd6d8f01832ebaac23238e5fd57c18290aa6455084c.jpg?v=1786607332" TargetMode="External" Id="rId14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v1.0; meta description 145-165 is editorial guidance only</t>
        </is>
      </c>
      <c r="C2" s="2" t="inlineStr">
        <is>
          <t>Rubric used.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D:\Shopify_Workspace\jeminise_seo\resutls\jeminise.com\20260906_234129\revisions\qa_batch_027_r4\SEO_Product_Optimization_qa_batch_027_r4.xlsx</t>
        </is>
      </c>
      <c r="C3" s="3" t="inlineStr">
        <is>
          <t>Frozen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5413FA231BB7DD63F0FE199F037919B7C6FF6735B05C2BD70785F2C432AB6B34</t>
        </is>
      </c>
      <c r="C4" s="2" t="inlineStr">
        <is>
          <t>Hash before/after QA; snapshot matched.</t>
        </is>
      </c>
    </row>
    <row r="5" ht="42" customHeight="1">
      <c r="A5" s="3" t="inlineStr">
        <is>
          <t>qa_run_id</t>
        </is>
      </c>
      <c r="B5" s="3" t="inlineStr">
        <is>
          <t>20260909_134616</t>
        </is>
      </c>
      <c r="C5" s="3" t="inlineStr">
        <is>
          <t>New independent QA run.</t>
        </is>
      </c>
    </row>
    <row r="6" ht="42" customHeight="1">
      <c r="A6" s="2" t="inlineStr">
        <is>
          <t>batch_id</t>
        </is>
      </c>
      <c r="B6" s="2" t="inlineStr">
        <is>
          <t>qa_batch_027_r4</t>
        </is>
      </c>
      <c r="C6" s="2" t="inlineStr">
        <is>
          <t>Inventory positions 261-270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Locked by product_key.</t>
        </is>
      </c>
    </row>
    <row r="8" ht="42" customHeight="1">
      <c r="A8" s="2" t="inlineStr">
        <is>
          <t>images_checked</t>
        </is>
      </c>
      <c r="B8" s="2" t="inlineStr">
        <is>
          <t>70/70</t>
        </is>
      </c>
      <c r="C8" s="2" t="inlineStr">
        <is>
          <t>Full image coverage.</t>
        </is>
      </c>
    </row>
    <row r="9" ht="42" customHeight="1">
      <c r="A9" s="3" t="inlineStr">
        <is>
          <t>keyword_rows_checked</t>
        </is>
      </c>
      <c r="B9" s="3" t="n">
        <v>40</v>
      </c>
      <c r="C9" s="3" t="inlineStr">
        <is>
          <t>Scoped Keyword_Map rows.</t>
        </is>
      </c>
    </row>
    <row r="10" ht="42" customHeight="1">
      <c r="A10" s="2" t="inlineStr">
        <is>
          <t>buyer_rows_checked</t>
        </is>
      </c>
      <c r="B10" s="2" t="n">
        <v>10</v>
      </c>
      <c r="C10" s="2" t="inlineStr">
        <is>
          <t>Scoped buyer rows.</t>
        </is>
      </c>
    </row>
    <row r="11" ht="42" customHeight="1">
      <c r="A11" s="3" t="inlineStr">
        <is>
          <t>batch_final_score</t>
        </is>
      </c>
      <c r="B11" s="3">
        <f>AVERAGE('QA_Products'!$I$2:$I$11)</f>
        <v/>
      </c>
      <c r="C11" s="3" t="inlineStr">
        <is>
          <t>Average final score.</t>
        </is>
      </c>
    </row>
    <row r="12" ht="42" customHeight="1">
      <c r="A12" s="2" t="inlineStr">
        <is>
          <t>batch_result</t>
        </is>
      </c>
      <c r="B12" s="2">
        <f>IF(COUNTIF('QA_Products'!$J$2:$J$11,"QA_PASS")=ROWS('QA_Products'!$J$2:$J$11),"PASSED","NOT_PASSED")</f>
        <v/>
      </c>
      <c r="C12" s="2" t="inlineStr">
        <is>
          <t>All products must pass.</t>
        </is>
      </c>
    </row>
    <row r="13" ht="42" customHeight="1">
      <c r="A13" s="3" t="inlineStr">
        <is>
          <t>status_counts</t>
        </is>
      </c>
      <c r="B13" s="3">
        <f>"PASS="&amp;COUNTIF('QA_Products'!$J$2:$J$11,"QA_PASS")&amp;"; REVISE="&amp;COUNTIF('QA_Products'!$J$2:$J$11,"QA_REVISE")&amp;"; FAIL="&amp;COUNTIF('QA_Products'!$J$2:$J$11,"QA_FAIL")&amp;"; INCOMPLETE="&amp;COUNTIF('QA_Products'!$J$2:$J$11,"QA_INCOMPLETE")</f>
        <v/>
      </c>
      <c r="C13" s="3" t="inlineStr">
        <is>
          <t>Status counts.</t>
        </is>
      </c>
    </row>
    <row r="14" ht="42" customHeight="1">
      <c r="A14" s="2" t="inlineStr">
        <is>
          <t>issue_counts</t>
        </is>
      </c>
      <c r="B14" s="2" t="inlineStr">
        <is>
          <t>{"LIMITATION": 1}</t>
        </is>
      </c>
      <c r="C14" s="2" t="inlineStr">
        <is>
          <t>Severity counts.</t>
        </is>
      </c>
    </row>
    <row r="15" ht="42" customHeight="1">
      <c r="A15" s="3" t="inlineStr">
        <is>
          <t>historical_admin_export</t>
        </is>
      </c>
      <c r="B15" s="3" t="inlineStr">
        <is>
          <t>729CBD9B3E0248F5D9196D999A49222DBDACA85C2F3CF8524BEEC549B57D738C</t>
        </is>
      </c>
      <c r="C15" s="3" t="inlineStr">
        <is>
          <t>Restored from git f3e38d54.</t>
        </is>
      </c>
    </row>
    <row r="16" ht="42" customHeight="1">
      <c r="A16" s="2" t="inlineStr">
        <is>
          <t>current_admin_export</t>
        </is>
      </c>
      <c r="B16" s="2" t="inlineStr">
        <is>
          <t>97AA8DC283CFC927BF3B6F41A3EA8926C96C0723B6942CF7C1D147CD854FBA83</t>
        </is>
      </c>
      <c r="C16" s="2" t="inlineStr">
        <is>
          <t>Current export kept separate.</t>
        </is>
      </c>
    </row>
    <row r="17" ht="42" customHeight="1">
      <c r="A17" s="3" t="inlineStr">
        <is>
          <t>xlsx_status</t>
        </is>
      </c>
      <c r="B17" s="3" t="inlineStr">
        <is>
          <t>COMPLETE</t>
        </is>
      </c>
      <c r="C17" s="3" t="inlineStr">
        <is>
          <t>Five-sheet workbook.</t>
        </is>
      </c>
    </row>
  </sheetData>
  <autoFilter ref="A1:C17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11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0" customWidth="1" min="10" max="10"/>
    <col width="38" customWidth="1" min="11" max="11"/>
    <col width="17" customWidth="1" min="12" max="12"/>
    <col width="16" customWidth="1" min="13" max="13"/>
    <col width="24" customWidth="1" min="14" max="14"/>
    <col width="16" customWidth="1" min="15" max="15"/>
    <col width="24" customWidth="1" min="16" max="16"/>
    <col width="24" customWidth="1" min="17" max="17"/>
    <col width="24" customWidth="1" min="18" max="18"/>
    <col width="24" customWidth="1" min="19" max="19"/>
    <col width="42" customWidth="1" min="20" max="20"/>
    <col width="42" customWidth="1" min="21" max="21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revision</t>
        </is>
      </c>
      <c r="E1" s="1" t="inlineStr">
        <is>
          <t>verified_points</t>
        </is>
      </c>
      <c r="F1" s="1" t="inlineStr">
        <is>
          <t>assessed_weight</t>
        </is>
      </c>
      <c r="G1" s="1" t="inlineStr">
        <is>
          <t>score_lower_bound</t>
        </is>
      </c>
      <c r="H1" s="1" t="inlineStr">
        <is>
          <t>score_upper_bound</t>
        </is>
      </c>
      <c r="I1" s="1" t="inlineStr">
        <is>
          <t>final_score</t>
        </is>
      </c>
      <c r="J1" s="1" t="inlineStr">
        <is>
          <t>qa_status</t>
        </is>
      </c>
      <c r="K1" s="1" t="inlineStr">
        <is>
          <t>keyword_evidence_level</t>
        </is>
      </c>
      <c r="L1" s="1" t="inlineStr">
        <is>
          <t>images_expected</t>
        </is>
      </c>
      <c r="M1" s="1" t="inlineStr">
        <is>
          <t>images_checked</t>
        </is>
      </c>
      <c r="N1" s="1" t="inlineStr">
        <is>
          <t>image_inventory_complete</t>
        </is>
      </c>
      <c r="O1" s="1" t="inlineStr">
        <is>
          <t>image_coverage</t>
        </is>
      </c>
      <c r="P1" s="1" t="inlineStr">
        <is>
          <t>critical_count</t>
        </is>
      </c>
      <c r="Q1" s="1" t="inlineStr">
        <is>
          <t>major_count</t>
        </is>
      </c>
      <c r="R1" s="1" t="inlineStr">
        <is>
          <t>minor_count</t>
        </is>
      </c>
      <c r="S1" s="1" t="inlineStr">
        <is>
          <t>limitation_count</t>
        </is>
      </c>
      <c r="T1" s="1" t="inlineStr">
        <is>
          <t>issue_refs</t>
        </is>
      </c>
      <c r="U1" s="1" t="inlineStr">
        <is>
          <t>evidence_refs</t>
        </is>
      </c>
    </row>
    <row r="2" ht="42" customHeight="1">
      <c r="A2" s="2" t="n">
        <v>261</v>
      </c>
      <c r="B2" s="2" t="inlineStr">
        <is>
          <t>jeminise.com+personalized-christian-woman-affirmation-bible-verse-throw-blanket</t>
        </is>
      </c>
      <c r="C2" s="4" t="inlineStr">
        <is>
          <t>https://jeminise.com/products/personalized-christian-woman-affirmation-bible-verse-throw-blanket</t>
        </is>
      </c>
      <c r="D2" s="2" t="inlineStr">
        <is>
          <t>r4</t>
        </is>
      </c>
      <c r="E2" s="5">
        <f>SUMIF('QA_Criteria'!$A$2:$A$111,B2,'QA_Criteria'!$F$2:$F$111)</f>
        <v/>
      </c>
      <c r="F2" s="5">
        <f>SUMIF('QA_Criteria'!$A$2:$A$111,B2,'QA_Criteria'!$G$2:$G$111)</f>
        <v/>
      </c>
      <c r="G2" s="5">
        <f>E2</f>
        <v/>
      </c>
      <c r="H2" s="5">
        <f>E2+(100-F2)</f>
        <v/>
      </c>
      <c r="I2" s="5">
        <f>IF(AND(F2=100,O2=1,N2=TRUE),E2,"")</f>
        <v/>
      </c>
      <c r="J2" s="2">
        <f>IF(P2&gt;0,"QA_FAIL",IF(I2="","QA_INCOMPLETE",IF(I2&lt;70,"QA_FAIL",IF(OR(I2&lt;85,Q2&gt;0),"QA_REVISE","QA_PASS"))))</f>
        <v/>
      </c>
      <c r="K2" s="2" t="inlineStr">
        <is>
          <t>SERP_ONLY</t>
        </is>
      </c>
      <c r="L2" s="2" t="n">
        <v>5</v>
      </c>
      <c r="M2" s="2" t="n">
        <v>5</v>
      </c>
      <c r="N2" s="2" t="b">
        <v>1</v>
      </c>
      <c r="O2" s="6" t="n">
        <v>1</v>
      </c>
      <c r="P2" s="2">
        <f>COUNTIFS('QA_Issues'!$B$2:$B$2,B2,'QA_Issues'!$D$2:$D$2,"CRITICAL")</f>
        <v/>
      </c>
      <c r="Q2" s="2">
        <f>COUNTIFS('QA_Issues'!$B$2:$B$2,B2,'QA_Issues'!$D$2:$D$2,"MAJOR")</f>
        <v/>
      </c>
      <c r="R2" s="2">
        <f>COUNTIFS('QA_Issues'!$B$2:$B$2,B2,'QA_Issues'!$D$2:$D$2,"MINOR")</f>
        <v/>
      </c>
      <c r="S2" s="2">
        <f>COUNTIFS('QA_Issues'!$B$2:$B$2,B2,'QA_Issues'!$D$2:$D$2,"LIMITATION")</f>
        <v/>
      </c>
      <c r="T2" s="2" t="inlineStr">
        <is>
          <t>[]</t>
        </is>
      </c>
      <c r="U2" s="2" t="inlineStr">
        <is>
          <t>["evidence_batch_027_261", "https://jeminise.com/products/personalized-christian-woman-affirmation-bible-verse-throw-blanket", "serp_qa_batch_027_r4_261_1", "live_pages", "customizer_fields_audit.json"]</t>
        </is>
      </c>
    </row>
    <row r="3" ht="42" customHeight="1">
      <c r="A3" s="3" t="n">
        <v>262</v>
      </c>
      <c r="B3" s="3" t="inlineStr">
        <is>
          <t>jeminise.com+personalized-christian-woman-scripture-photo-throw-blanket-vintage</t>
        </is>
      </c>
      <c r="C3" s="4" t="inlineStr">
        <is>
          <t>https://jeminise.com/products/personalized-christian-woman-scripture-photo-throw-blanket-vintage</t>
        </is>
      </c>
      <c r="D3" s="3" t="inlineStr">
        <is>
          <t>r4</t>
        </is>
      </c>
      <c r="E3" s="7">
        <f>SUMIF('QA_Criteria'!$A$2:$A$111,B3,'QA_Criteria'!$F$2:$F$111)</f>
        <v/>
      </c>
      <c r="F3" s="7">
        <f>SUMIF('QA_Criteria'!$A$2:$A$111,B3,'QA_Criteria'!$G$2:$G$111)</f>
        <v/>
      </c>
      <c r="G3" s="7">
        <f>E3</f>
        <v/>
      </c>
      <c r="H3" s="7">
        <f>E3+(100-F3)</f>
        <v/>
      </c>
      <c r="I3" s="7">
        <f>IF(AND(F3=100,O3=1,N3=TRUE),E3,"")</f>
        <v/>
      </c>
      <c r="J3" s="3">
        <f>IF(P3&gt;0,"QA_FAIL",IF(I3="","QA_INCOMPLETE",IF(I3&lt;70,"QA_FAIL",IF(OR(I3&lt;85,Q3&gt;0),"QA_REVISE","QA_PASS"))))</f>
        <v/>
      </c>
      <c r="K3" s="3" t="inlineStr">
        <is>
          <t>SERP_ONLY</t>
        </is>
      </c>
      <c r="L3" s="3" t="n">
        <v>7</v>
      </c>
      <c r="M3" s="3" t="n">
        <v>7</v>
      </c>
      <c r="N3" s="3" t="b">
        <v>1</v>
      </c>
      <c r="O3" s="8" t="n">
        <v>1</v>
      </c>
      <c r="P3" s="3">
        <f>COUNTIFS('QA_Issues'!$B$2:$B$2,B3,'QA_Issues'!$D$2:$D$2,"CRITICAL")</f>
        <v/>
      </c>
      <c r="Q3" s="3">
        <f>COUNTIFS('QA_Issues'!$B$2:$B$2,B3,'QA_Issues'!$D$2:$D$2,"MAJOR")</f>
        <v/>
      </c>
      <c r="R3" s="3">
        <f>COUNTIFS('QA_Issues'!$B$2:$B$2,B3,'QA_Issues'!$D$2:$D$2,"MINOR")</f>
        <v/>
      </c>
      <c r="S3" s="3">
        <f>COUNTIFS('QA_Issues'!$B$2:$B$2,B3,'QA_Issues'!$D$2:$D$2,"LIMITATION")</f>
        <v/>
      </c>
      <c r="T3" s="3" t="inlineStr">
        <is>
          <t>[]</t>
        </is>
      </c>
      <c r="U3" s="3" t="inlineStr">
        <is>
          <t>["evidence_batch_027_262", "https://jeminise.com/products/personalized-christian-woman-scripture-photo-throw-blanket-vintage", "serp_qa_batch_027_r4_262_1", "live_pages", "customizer_fields_audit.json"]</t>
        </is>
      </c>
    </row>
    <row r="4" ht="42" customHeight="1">
      <c r="A4" s="2" t="n">
        <v>263</v>
      </c>
      <c r="B4" s="2" t="inlineStr">
        <is>
          <t>jeminise.com+personalized-colorful-celtic-tree-of-life-quilt-sets-machine-washable</t>
        </is>
      </c>
      <c r="C4" s="4" t="inlineStr">
        <is>
          <t>https://jeminise.com/products/personalized-colorful-celtic-tree-of-life-quilt-sets-machine-washable</t>
        </is>
      </c>
      <c r="D4" s="2" t="inlineStr">
        <is>
          <t>r4</t>
        </is>
      </c>
      <c r="E4" s="5">
        <f>SUMIF('QA_Criteria'!$A$2:$A$111,B4,'QA_Criteria'!$F$2:$F$111)</f>
        <v/>
      </c>
      <c r="F4" s="5">
        <f>SUMIF('QA_Criteria'!$A$2:$A$111,B4,'QA_Criteria'!$G$2:$G$111)</f>
        <v/>
      </c>
      <c r="G4" s="5">
        <f>E4</f>
        <v/>
      </c>
      <c r="H4" s="5">
        <f>E4+(100-F4)</f>
        <v/>
      </c>
      <c r="I4" s="5">
        <f>IF(AND(F4=100,O4=1,N4=TRUE),E4,"")</f>
        <v/>
      </c>
      <c r="J4" s="2">
        <f>IF(P4&gt;0,"QA_FAIL",IF(I4="","QA_INCOMPLETE",IF(I4&lt;70,"QA_FAIL",IF(OR(I4&lt;85,Q4&gt;0),"QA_REVISE","QA_PASS"))))</f>
        <v/>
      </c>
      <c r="K4" s="2" t="inlineStr">
        <is>
          <t>SERP_ONLY</t>
        </is>
      </c>
      <c r="L4" s="2" t="n">
        <v>7</v>
      </c>
      <c r="M4" s="2" t="n">
        <v>7</v>
      </c>
      <c r="N4" s="2" t="b">
        <v>1</v>
      </c>
      <c r="O4" s="6" t="n">
        <v>1</v>
      </c>
      <c r="P4" s="2">
        <f>COUNTIFS('QA_Issues'!$B$2:$B$2,B4,'QA_Issues'!$D$2:$D$2,"CRITICAL")</f>
        <v/>
      </c>
      <c r="Q4" s="2">
        <f>COUNTIFS('QA_Issues'!$B$2:$B$2,B4,'QA_Issues'!$D$2:$D$2,"MAJOR")</f>
        <v/>
      </c>
      <c r="R4" s="2">
        <f>COUNTIFS('QA_Issues'!$B$2:$B$2,B4,'QA_Issues'!$D$2:$D$2,"MINOR")</f>
        <v/>
      </c>
      <c r="S4" s="2">
        <f>COUNTIFS('QA_Issues'!$B$2:$B$2,B4,'QA_Issues'!$D$2:$D$2,"LIMITATION")</f>
        <v/>
      </c>
      <c r="T4" s="2" t="inlineStr">
        <is>
          <t>[]</t>
        </is>
      </c>
      <c r="U4" s="2" t="inlineStr">
        <is>
          <t>["evidence_batch_027_263", "https://jeminise.com/products/personalized-colorful-celtic-tree-of-life-quilt-sets-machine-washable", "serp_qa_batch_027_r4_263_1", "live_pages", "customizer_fields_audit.json"]</t>
        </is>
      </c>
    </row>
    <row r="5" ht="42" customHeight="1">
      <c r="A5" s="3" t="n">
        <v>264</v>
      </c>
      <c r="B5" s="3" t="inlineStr">
        <is>
          <t>jeminise.com+personalized-colorful-celtic-yggdrasil-tree-quilt-sets-vintage</t>
        </is>
      </c>
      <c r="C5" s="4" t="inlineStr">
        <is>
          <t>https://jeminise.com/products/personalized-colorful-celtic-yggdrasil-tree-quilt-sets-vintage</t>
        </is>
      </c>
      <c r="D5" s="3" t="inlineStr">
        <is>
          <t>r4</t>
        </is>
      </c>
      <c r="E5" s="7">
        <f>SUMIF('QA_Criteria'!$A$2:$A$111,B5,'QA_Criteria'!$F$2:$F$111)</f>
        <v/>
      </c>
      <c r="F5" s="7">
        <f>SUMIF('QA_Criteria'!$A$2:$A$111,B5,'QA_Criteria'!$G$2:$G$111)</f>
        <v/>
      </c>
      <c r="G5" s="7">
        <f>E5</f>
        <v/>
      </c>
      <c r="H5" s="7">
        <f>E5+(100-F5)</f>
        <v/>
      </c>
      <c r="I5" s="7">
        <f>IF(AND(F5=100,O5=1,N5=TRUE),E5,"")</f>
        <v/>
      </c>
      <c r="J5" s="3">
        <f>IF(P5&gt;0,"QA_FAIL",IF(I5="","QA_INCOMPLETE",IF(I5&lt;70,"QA_FAIL",IF(OR(I5&lt;85,Q5&gt;0),"QA_REVISE","QA_PASS"))))</f>
        <v/>
      </c>
      <c r="K5" s="3" t="inlineStr">
        <is>
          <t>SERP_ONLY</t>
        </is>
      </c>
      <c r="L5" s="3" t="n">
        <v>7</v>
      </c>
      <c r="M5" s="3" t="n">
        <v>7</v>
      </c>
      <c r="N5" s="3" t="b">
        <v>1</v>
      </c>
      <c r="O5" s="8" t="n">
        <v>1</v>
      </c>
      <c r="P5" s="3">
        <f>COUNTIFS('QA_Issues'!$B$2:$B$2,B5,'QA_Issues'!$D$2:$D$2,"CRITICAL")</f>
        <v/>
      </c>
      <c r="Q5" s="3">
        <f>COUNTIFS('QA_Issues'!$B$2:$B$2,B5,'QA_Issues'!$D$2:$D$2,"MAJOR")</f>
        <v/>
      </c>
      <c r="R5" s="3">
        <f>COUNTIFS('QA_Issues'!$B$2:$B$2,B5,'QA_Issues'!$D$2:$D$2,"MINOR")</f>
        <v/>
      </c>
      <c r="S5" s="3">
        <f>COUNTIFS('QA_Issues'!$B$2:$B$2,B5,'QA_Issues'!$D$2:$D$2,"LIMITATION")</f>
        <v/>
      </c>
      <c r="T5" s="3" t="inlineStr">
        <is>
          <t>[]</t>
        </is>
      </c>
      <c r="U5" s="3" t="inlineStr">
        <is>
          <t>["evidence_batch_027_264", "https://jeminise.com/products/personalized-colorful-celtic-yggdrasil-tree-quilt-sets-vintage", "serp_qa_batch_027_r4_264_1", "live_pages", "customizer_fields_audit.json"]</t>
        </is>
      </c>
    </row>
    <row r="6" ht="42" customHeight="1">
      <c r="A6" s="2" t="n">
        <v>265</v>
      </c>
      <c r="B6" s="2" t="inlineStr">
        <is>
          <t>jeminise.com+personalized-colorful-desert-rv-sunset-scene-quilt-sets-style-9</t>
        </is>
      </c>
      <c r="C6" s="4" t="inlineStr">
        <is>
          <t>https://jeminise.com/products/personalized-colorful-desert-rv-sunset-scene-quilt-sets-style-9</t>
        </is>
      </c>
      <c r="D6" s="2" t="inlineStr">
        <is>
          <t>r4</t>
        </is>
      </c>
      <c r="E6" s="5">
        <f>SUMIF('QA_Criteria'!$A$2:$A$111,B6,'QA_Criteria'!$F$2:$F$111)</f>
        <v/>
      </c>
      <c r="F6" s="5">
        <f>SUMIF('QA_Criteria'!$A$2:$A$111,B6,'QA_Criteria'!$G$2:$G$111)</f>
        <v/>
      </c>
      <c r="G6" s="5">
        <f>E6</f>
        <v/>
      </c>
      <c r="H6" s="5">
        <f>E6+(100-F6)</f>
        <v/>
      </c>
      <c r="I6" s="5">
        <f>IF(AND(F6=100,O6=1,N6=TRUE),E6,"")</f>
        <v/>
      </c>
      <c r="J6" s="2">
        <f>IF(P6&gt;0,"QA_FAIL",IF(I6="","QA_INCOMPLETE",IF(I6&lt;70,"QA_FAIL",IF(OR(I6&lt;85,Q6&gt;0),"QA_REVISE","QA_PASS"))))</f>
        <v/>
      </c>
      <c r="K6" s="2" t="inlineStr">
        <is>
          <t>SERP_ONLY</t>
        </is>
      </c>
      <c r="L6" s="2" t="n">
        <v>7</v>
      </c>
      <c r="M6" s="2" t="n">
        <v>7</v>
      </c>
      <c r="N6" s="2" t="b">
        <v>1</v>
      </c>
      <c r="O6" s="6" t="n">
        <v>1</v>
      </c>
      <c r="P6" s="2">
        <f>COUNTIFS('QA_Issues'!$B$2:$B$2,B6,'QA_Issues'!$D$2:$D$2,"CRITICAL")</f>
        <v/>
      </c>
      <c r="Q6" s="2">
        <f>COUNTIFS('QA_Issues'!$B$2:$B$2,B6,'QA_Issues'!$D$2:$D$2,"MAJOR")</f>
        <v/>
      </c>
      <c r="R6" s="2">
        <f>COUNTIFS('QA_Issues'!$B$2:$B$2,B6,'QA_Issues'!$D$2:$D$2,"MINOR")</f>
        <v/>
      </c>
      <c r="S6" s="2">
        <f>COUNTIFS('QA_Issues'!$B$2:$B$2,B6,'QA_Issues'!$D$2:$D$2,"LIMITATION")</f>
        <v/>
      </c>
      <c r="T6" s="2" t="inlineStr">
        <is>
          <t>[]</t>
        </is>
      </c>
      <c r="U6" s="2" t="inlineStr">
        <is>
          <t>["evidence_batch_027_265", "https://jeminise.com/products/personalized-colorful-desert-rv-sunset-scene-quilt-sets-style-9", "serp_qa_batch_027_r4_265_1", "live_pages", "customizer_fields_audit.json"]</t>
        </is>
      </c>
    </row>
    <row r="7" ht="42" customHeight="1">
      <c r="A7" s="3" t="n">
        <v>266</v>
      </c>
      <c r="B7" s="3" t="inlineStr">
        <is>
          <t>jeminise.com+personalized-colorful-tree-of-life-quilts-yggdrasil-quilt-king</t>
        </is>
      </c>
      <c r="C7" s="4" t="inlineStr">
        <is>
          <t>https://jeminise.com/products/personalized-colorful-tree-of-life-quilts-yggdrasil-quilt-king</t>
        </is>
      </c>
      <c r="D7" s="3" t="inlineStr">
        <is>
          <t>r4</t>
        </is>
      </c>
      <c r="E7" s="7">
        <f>SUMIF('QA_Criteria'!$A$2:$A$111,B7,'QA_Criteria'!$F$2:$F$111)</f>
        <v/>
      </c>
      <c r="F7" s="7">
        <f>SUMIF('QA_Criteria'!$A$2:$A$111,B7,'QA_Criteria'!$G$2:$G$111)</f>
        <v/>
      </c>
      <c r="G7" s="7">
        <f>E7</f>
        <v/>
      </c>
      <c r="H7" s="7">
        <f>E7+(100-F7)</f>
        <v/>
      </c>
      <c r="I7" s="7">
        <f>IF(AND(F7=100,O7=1,N7=TRUE),E7,"")</f>
        <v/>
      </c>
      <c r="J7" s="3">
        <f>IF(P7&gt;0,"QA_FAIL",IF(I7="","QA_INCOMPLETE",IF(I7&lt;70,"QA_FAIL",IF(OR(I7&lt;85,Q7&gt;0),"QA_REVISE","QA_PASS"))))</f>
        <v/>
      </c>
      <c r="K7" s="3" t="inlineStr">
        <is>
          <t>SERP_ONLY</t>
        </is>
      </c>
      <c r="L7" s="3" t="n">
        <v>7</v>
      </c>
      <c r="M7" s="3" t="n">
        <v>7</v>
      </c>
      <c r="N7" s="3" t="b">
        <v>1</v>
      </c>
      <c r="O7" s="8" t="n">
        <v>1</v>
      </c>
      <c r="P7" s="3">
        <f>COUNTIFS('QA_Issues'!$B$2:$B$2,B7,'QA_Issues'!$D$2:$D$2,"CRITICAL")</f>
        <v/>
      </c>
      <c r="Q7" s="3">
        <f>COUNTIFS('QA_Issues'!$B$2:$B$2,B7,'QA_Issues'!$D$2:$D$2,"MAJOR")</f>
        <v/>
      </c>
      <c r="R7" s="3">
        <f>COUNTIFS('QA_Issues'!$B$2:$B$2,B7,'QA_Issues'!$D$2:$D$2,"MINOR")</f>
        <v/>
      </c>
      <c r="S7" s="3">
        <f>COUNTIFS('QA_Issues'!$B$2:$B$2,B7,'QA_Issues'!$D$2:$D$2,"LIMITATION")</f>
        <v/>
      </c>
      <c r="T7" s="3" t="inlineStr">
        <is>
          <t>[]</t>
        </is>
      </c>
      <c r="U7" s="3" t="inlineStr">
        <is>
          <t>["evidence_batch_027_266", "https://jeminise.com/products/personalized-colorful-tree-of-life-quilts-yggdrasil-quilt-king", "serp_qa_batch_027_r4_266_1", "live_pages", "customizer_fields_audit.json"]</t>
        </is>
      </c>
    </row>
    <row r="8" ht="42" customHeight="1">
      <c r="A8" s="2" t="n">
        <v>267</v>
      </c>
      <c r="B8" s="2" t="inlineStr">
        <is>
          <t>jeminise.com+personalized-colorful-yggdrasil-tree-of-life-quilt-sets-yggdrasil</t>
        </is>
      </c>
      <c r="C8" s="4" t="inlineStr">
        <is>
          <t>https://jeminise.com/products/personalized-colorful-yggdrasil-tree-of-life-quilt-sets-yggdrasil</t>
        </is>
      </c>
      <c r="D8" s="2" t="inlineStr">
        <is>
          <t>r4</t>
        </is>
      </c>
      <c r="E8" s="5">
        <f>SUMIF('QA_Criteria'!$A$2:$A$111,B8,'QA_Criteria'!$F$2:$F$111)</f>
        <v/>
      </c>
      <c r="F8" s="5">
        <f>SUMIF('QA_Criteria'!$A$2:$A$111,B8,'QA_Criteria'!$G$2:$G$111)</f>
        <v/>
      </c>
      <c r="G8" s="5">
        <f>E8</f>
        <v/>
      </c>
      <c r="H8" s="5">
        <f>E8+(100-F8)</f>
        <v/>
      </c>
      <c r="I8" s="5">
        <f>IF(AND(F8=100,O8=1,N8=TRUE),E8,"")</f>
        <v/>
      </c>
      <c r="J8" s="2">
        <f>IF(P8&gt;0,"QA_FAIL",IF(I8="","QA_INCOMPLETE",IF(I8&lt;70,"QA_FAIL",IF(OR(I8&lt;85,Q8&gt;0),"QA_REVISE","QA_PASS"))))</f>
        <v/>
      </c>
      <c r="K8" s="2" t="inlineStr">
        <is>
          <t>SERP_ONLY</t>
        </is>
      </c>
      <c r="L8" s="2" t="n">
        <v>7</v>
      </c>
      <c r="M8" s="2" t="n">
        <v>7</v>
      </c>
      <c r="N8" s="2" t="b">
        <v>1</v>
      </c>
      <c r="O8" s="6" t="n">
        <v>1</v>
      </c>
      <c r="P8" s="2">
        <f>COUNTIFS('QA_Issues'!$B$2:$B$2,B8,'QA_Issues'!$D$2:$D$2,"CRITICAL")</f>
        <v/>
      </c>
      <c r="Q8" s="2">
        <f>COUNTIFS('QA_Issues'!$B$2:$B$2,B8,'QA_Issues'!$D$2:$D$2,"MAJOR")</f>
        <v/>
      </c>
      <c r="R8" s="2">
        <f>COUNTIFS('QA_Issues'!$B$2:$B$2,B8,'QA_Issues'!$D$2:$D$2,"MINOR")</f>
        <v/>
      </c>
      <c r="S8" s="2">
        <f>COUNTIFS('QA_Issues'!$B$2:$B$2,B8,'QA_Issues'!$D$2:$D$2,"LIMITATION")</f>
        <v/>
      </c>
      <c r="T8" s="2" t="inlineStr">
        <is>
          <t>[]</t>
        </is>
      </c>
      <c r="U8" s="2" t="inlineStr">
        <is>
          <t>["evidence_batch_027_267", "https://jeminise.com/products/personalized-colorful-yggdrasil-tree-of-life-quilt-sets-yggdrasil", "serp_qa_batch_027_r4_267_1", "live_pages", "customizer_fields_audit.json"]</t>
        </is>
      </c>
    </row>
    <row r="9" ht="42" customHeight="1">
      <c r="A9" s="3" t="n">
        <v>268</v>
      </c>
      <c r="B9" s="3" t="inlineStr">
        <is>
          <t>jeminise.com+personalized-couple-hugging-close-up-portrait-quilt-with-photo-7a4978e57a-7a4978e57a</t>
        </is>
      </c>
      <c r="C9" s="4" t="inlineStr">
        <is>
          <t>https://jeminise.com/products/personalized-couple-hugging-close-up-portrait-quilt-with-photo-7a4978e57a-7a4978e57a</t>
        </is>
      </c>
      <c r="D9" s="3" t="inlineStr">
        <is>
          <t>r4</t>
        </is>
      </c>
      <c r="E9" s="7">
        <f>SUMIF('QA_Criteria'!$A$2:$A$111,B9,'QA_Criteria'!$F$2:$F$111)</f>
        <v/>
      </c>
      <c r="F9" s="7">
        <f>SUMIF('QA_Criteria'!$A$2:$A$111,B9,'QA_Criteria'!$G$2:$G$111)</f>
        <v/>
      </c>
      <c r="G9" s="7">
        <f>E9</f>
        <v/>
      </c>
      <c r="H9" s="7">
        <f>E9+(100-F9)</f>
        <v/>
      </c>
      <c r="I9" s="7">
        <f>IF(AND(F9=100,O9=1,N9=TRUE),E9,"")</f>
        <v/>
      </c>
      <c r="J9" s="3">
        <f>IF(P9&gt;0,"QA_FAIL",IF(I9="","QA_INCOMPLETE",IF(I9&lt;70,"QA_FAIL",IF(OR(I9&lt;85,Q9&gt;0),"QA_REVISE","QA_PASS"))))</f>
        <v/>
      </c>
      <c r="K9" s="3" t="inlineStr">
        <is>
          <t>SERP_ONLY</t>
        </is>
      </c>
      <c r="L9" s="3" t="n">
        <v>7</v>
      </c>
      <c r="M9" s="3" t="n">
        <v>7</v>
      </c>
      <c r="N9" s="3" t="b">
        <v>1</v>
      </c>
      <c r="O9" s="8" t="n">
        <v>1</v>
      </c>
      <c r="P9" s="3">
        <f>COUNTIFS('QA_Issues'!$B$2:$B$2,B9,'QA_Issues'!$D$2:$D$2,"CRITICAL")</f>
        <v/>
      </c>
      <c r="Q9" s="3">
        <f>COUNTIFS('QA_Issues'!$B$2:$B$2,B9,'QA_Issues'!$D$2:$D$2,"MAJOR")</f>
        <v/>
      </c>
      <c r="R9" s="3">
        <f>COUNTIFS('QA_Issues'!$B$2:$B$2,B9,'QA_Issues'!$D$2:$D$2,"MINOR")</f>
        <v/>
      </c>
      <c r="S9" s="3">
        <f>COUNTIFS('QA_Issues'!$B$2:$B$2,B9,'QA_Issues'!$D$2:$D$2,"LIMITATION")</f>
        <v/>
      </c>
      <c r="T9" s="3" t="inlineStr">
        <is>
          <t>[]</t>
        </is>
      </c>
      <c r="U9" s="3" t="inlineStr">
        <is>
          <t>["evidence_batch_027_268", "https://jeminise.com/products/personalized-couple-hugging-close-up-portrait-quilt-with-photo-7a4978e57a-7a4978e57a", "serp_qa_batch_027_r4_268_1", "live_pages", "customizer_fields_audit.json"]</t>
        </is>
      </c>
    </row>
    <row r="10" ht="42" customHeight="1">
      <c r="A10" s="2" t="n">
        <v>269</v>
      </c>
      <c r="B10" s="2" t="inlineStr">
        <is>
          <t>jeminise.com+personalized-cozy-room-sophia-bookworm-reading-girl-blanket-book</t>
        </is>
      </c>
      <c r="C10" s="4" t="inlineStr">
        <is>
          <t>https://jeminise.com/products/personalized-cozy-room-sophia-bookworm-reading-girl-blanket-book</t>
        </is>
      </c>
      <c r="D10" s="2" t="inlineStr">
        <is>
          <t>r4</t>
        </is>
      </c>
      <c r="E10" s="5">
        <f>SUMIF('QA_Criteria'!$A$2:$A$111,B10,'QA_Criteria'!$F$2:$F$111)</f>
        <v/>
      </c>
      <c r="F10" s="5">
        <f>SUMIF('QA_Criteria'!$A$2:$A$111,B10,'QA_Criteria'!$G$2:$G$111)</f>
        <v/>
      </c>
      <c r="G10" s="5">
        <f>E10</f>
        <v/>
      </c>
      <c r="H10" s="5">
        <f>E10+(100-F10)</f>
        <v/>
      </c>
      <c r="I10" s="5">
        <f>IF(AND(F10=100,O10=1,N10=TRUE),E10,"")</f>
        <v/>
      </c>
      <c r="J10" s="2">
        <f>IF(P10&gt;0,"QA_FAIL",IF(I10="","QA_INCOMPLETE",IF(I10&lt;70,"QA_FAIL",IF(OR(I10&lt;85,Q10&gt;0),"QA_REVISE","QA_PASS"))))</f>
        <v/>
      </c>
      <c r="K10" s="2" t="inlineStr">
        <is>
          <t>SERP_ONLY</t>
        </is>
      </c>
      <c r="L10" s="2" t="n">
        <v>9</v>
      </c>
      <c r="M10" s="2" t="n">
        <v>9</v>
      </c>
      <c r="N10" s="2" t="b">
        <v>1</v>
      </c>
      <c r="O10" s="6" t="n">
        <v>1</v>
      </c>
      <c r="P10" s="2">
        <f>COUNTIFS('QA_Issues'!$B$2:$B$2,B10,'QA_Issues'!$D$2:$D$2,"CRITICAL")</f>
        <v/>
      </c>
      <c r="Q10" s="2">
        <f>COUNTIFS('QA_Issues'!$B$2:$B$2,B10,'QA_Issues'!$D$2:$D$2,"MAJOR")</f>
        <v/>
      </c>
      <c r="R10" s="2">
        <f>COUNTIFS('QA_Issues'!$B$2:$B$2,B10,'QA_Issues'!$D$2:$D$2,"MINOR")</f>
        <v/>
      </c>
      <c r="S10" s="2">
        <f>COUNTIFS('QA_Issues'!$B$2:$B$2,B10,'QA_Issues'!$D$2:$D$2,"LIMITATION")</f>
        <v/>
      </c>
      <c r="T10" s="2" t="inlineStr">
        <is>
          <t>[]</t>
        </is>
      </c>
      <c r="U10" s="2" t="inlineStr">
        <is>
          <t>["evidence_batch_027_269", "https://jeminise.com/products/personalized-cozy-room-sophia-bookworm-reading-girl-blanket-book", "serp_qa_batch_027_r4_269_1", "live_pages", "customizer_fields_audit.json"]</t>
        </is>
      </c>
    </row>
    <row r="11" ht="42" customHeight="1">
      <c r="A11" s="3" t="n">
        <v>270</v>
      </c>
      <c r="B11" s="3" t="inlineStr">
        <is>
          <t>jeminise.com+personalized-dark-haired-girl-reading-book-throw-blanket-book-lover</t>
        </is>
      </c>
      <c r="C11" s="4" t="inlineStr">
        <is>
          <t>https://jeminise.com/products/personalized-dark-haired-girl-reading-book-throw-blanket-book-lover</t>
        </is>
      </c>
      <c r="D11" s="3" t="inlineStr">
        <is>
          <t>r4</t>
        </is>
      </c>
      <c r="E11" s="7">
        <f>SUMIF('QA_Criteria'!$A$2:$A$111,B11,'QA_Criteria'!$F$2:$F$111)</f>
        <v/>
      </c>
      <c r="F11" s="7">
        <f>SUMIF('QA_Criteria'!$A$2:$A$111,B11,'QA_Criteria'!$G$2:$G$111)</f>
        <v/>
      </c>
      <c r="G11" s="7">
        <f>E11</f>
        <v/>
      </c>
      <c r="H11" s="7">
        <f>E11+(100-F11)</f>
        <v/>
      </c>
      <c r="I11" s="7">
        <f>IF(AND(F11=100,O11=1,N11=TRUE),E11,"")</f>
        <v/>
      </c>
      <c r="J11" s="3">
        <f>IF(P11&gt;0,"QA_FAIL",IF(I11="","QA_INCOMPLETE",IF(I11&lt;70,"QA_FAIL",IF(OR(I11&lt;85,Q11&gt;0),"QA_REVISE","QA_PASS"))))</f>
        <v/>
      </c>
      <c r="K11" s="3" t="inlineStr">
        <is>
          <t>SERP_ONLY</t>
        </is>
      </c>
      <c r="L11" s="3" t="n">
        <v>7</v>
      </c>
      <c r="M11" s="3" t="n">
        <v>7</v>
      </c>
      <c r="N11" s="3" t="b">
        <v>1</v>
      </c>
      <c r="O11" s="8" t="n">
        <v>1</v>
      </c>
      <c r="P11" s="3">
        <f>COUNTIFS('QA_Issues'!$B$2:$B$2,B11,'QA_Issues'!$D$2:$D$2,"CRITICAL")</f>
        <v/>
      </c>
      <c r="Q11" s="3">
        <f>COUNTIFS('QA_Issues'!$B$2:$B$2,B11,'QA_Issues'!$D$2:$D$2,"MAJOR")</f>
        <v/>
      </c>
      <c r="R11" s="3">
        <f>COUNTIFS('QA_Issues'!$B$2:$B$2,B11,'QA_Issues'!$D$2:$D$2,"MINOR")</f>
        <v/>
      </c>
      <c r="S11" s="3">
        <f>COUNTIFS('QA_Issues'!$B$2:$B$2,B11,'QA_Issues'!$D$2:$D$2,"LIMITATION")</f>
        <v/>
      </c>
      <c r="T11" s="3" t="inlineStr">
        <is>
          <t>[]</t>
        </is>
      </c>
      <c r="U11" s="3" t="inlineStr">
        <is>
          <t>["evidence_batch_027_270", "https://jeminise.com/products/personalized-dark-haired-girl-reading-book-throw-blanket-book-lover", "serp_qa_batch_027_r4_270_1", "live_pages", "customizer_fields_audit.json"]</t>
        </is>
      </c>
    </row>
  </sheetData>
  <autoFilter ref="A1:U11"/>
  <conditionalFormatting sqref="J2:J11">
    <cfRule type="expression" priority="1" dxfId="0">
      <formula>J2="QA_PASS"</formula>
    </cfRule>
    <cfRule type="expression" priority="2" dxfId="1">
      <formula>J2="QA_REVISE"</formula>
    </cfRule>
    <cfRule type="expression" priority="3" dxfId="2">
      <formula>J2="QA_FAIL"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jeminise.com+personalized-christian-woman-affirmation-bible-verse-throw-blanket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IF(B2="I1",AVERAGEIF('QA_Images'!$A$2:$A$71,A2,'QA_Images'!$R$2:$R$71)/100,IF(D2="FULL",1,IF(D2="PARTIAL",0.5,IF(D2="FAIL",0,""))))</f>
        <v/>
      </c>
      <c r="F2" s="5">
        <f>IF(E2="",0,C2*E2)</f>
        <v/>
      </c>
      <c r="G2" s="5">
        <f>IF(B2="I1",20*AVERAGEIF('QA_Images'!$A$2:$A$71,A2,'QA_Images'!$S$2:$S$71)/100,IF(D2="NOT_CHECKED",0,C2))</f>
        <v/>
      </c>
      <c r="H2" s="2" t="inlineStr">
        <is>
          <t>FULL: product identity, handle and live product data match inventory scope for batch 27.</t>
        </is>
      </c>
      <c r="I2" s="2" t="inlineStr">
        <is>
          <t>["evidence_batch_027_261", "https://jeminise.com/products/personalized-christian-woman-affirmation-bible-verse-throw-blanket"]</t>
        </is>
      </c>
      <c r="J2" s="2" t="inlineStr">
        <is>
          <t>[]</t>
        </is>
      </c>
    </row>
    <row r="3" ht="42" customHeight="1">
      <c r="A3" s="3" t="inlineStr">
        <is>
          <t>jeminise.com+personalized-christian-woman-affirmation-bible-verse-throw-blanket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IF(B3="I1",AVERAGEIF('QA_Images'!$A$2:$A$71,A3,'QA_Images'!$R$2:$R$71)/100,IF(D3="FULL",1,IF(D3="PARTIAL",0.5,IF(D3="FAIL",0,""))))</f>
        <v/>
      </c>
      <c r="F3" s="7">
        <f>IF(E3="",0,C3*E3)</f>
        <v/>
      </c>
      <c r="G3" s="7">
        <f>IF(B3="I1",20*AVERAGEIF('QA_Images'!$A$2:$A$71,A3,'QA_Images'!$S$2:$S$71)/100,IF(D3="NOT_CHECKED",0,C3))</f>
        <v/>
      </c>
      <c r="H3" s="3" t="inlineStr">
        <is>
          <t>FULL: personalization/product-option claims were checked against live/cache customizer evidence for this product.</t>
        </is>
      </c>
      <c r="I3" s="3" t="inlineStr">
        <is>
          <t>["evidence_batch_027_261", "https://jeminise.com/products/personalized-christian-woman-affirmation-bible-verse-throw-blanket", "customizer_fields_audit.json", "live_pages"]</t>
        </is>
      </c>
      <c r="J3" s="3" t="inlineStr">
        <is>
          <t>[]</t>
        </is>
      </c>
    </row>
    <row r="4" ht="42" customHeight="1">
      <c r="A4" s="2" t="inlineStr">
        <is>
          <t>jeminise.com+personalized-christian-woman-affirmation-bible-verse-throw-blanket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5">
        <f>IF(B4="I1",AVERAGEIF('QA_Images'!$A$2:$A$71,A4,'QA_Images'!$R$2:$R$71)/100,IF(D4="FULL",1,IF(D4="PARTIAL",0.5,IF(D4="FAIL",0,""))))</f>
        <v/>
      </c>
      <c r="F4" s="5">
        <f>IF(E4="",0,C4*E4)</f>
        <v/>
      </c>
      <c r="G4" s="5">
        <f>IF(B4="I1",20*AVERAGEIF('QA_Images'!$A$2:$A$71,A4,'QA_Images'!$S$2:$S$71)/100,IF(D4="NOT_CHECKED",0,C4))</f>
        <v/>
      </c>
      <c r="H4" s="2" t="inlineStr">
        <is>
          <t>FULL: primary keyword 'personalized Christian woman affirmation blanket' was checked against this product's own US/English SERP; partial means the exact visual modifier is niche.</t>
        </is>
      </c>
      <c r="I4" s="2" t="inlineStr">
        <is>
          <t>["evidence_batch_027_261", "https://jeminise.com/products/personalized-christian-woman-affirmation-bible-verse-throw-blanket", "serp_qa_batch_027_r4_261_1", "serp_qa_batch_027_r4_261_2"]</t>
        </is>
      </c>
      <c r="J4" s="2" t="inlineStr">
        <is>
          <t>[]</t>
        </is>
      </c>
    </row>
    <row r="5" ht="42" customHeight="1">
      <c r="A5" s="3" t="inlineStr">
        <is>
          <t>jeminise.com+personalized-christian-woman-affirmation-bible-verse-throw-blanket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IF(B5="I1",AVERAGEIF('QA_Images'!$A$2:$A$71,A5,'QA_Images'!$R$2:$R$71)/100,IF(D5="FULL",1,IF(D5="PARTIAL",0.5,IF(D5="FAIL",0,""))))</f>
        <v/>
      </c>
      <c r="F5" s="7">
        <f>IF(E5="",0,C5*E5)</f>
        <v/>
      </c>
      <c r="G5" s="7">
        <f>IF(B5="I1",20*AVERAGEIF('QA_Images'!$A$2:$A$71,A5,'QA_Images'!$S$2:$S$71)/100,IF(D5="NOT_CHECKED",0,C5))</f>
        <v/>
      </c>
      <c r="H5" s="3" t="inlineStr">
        <is>
          <t>FULL: comparator query supports commercial quilt/blanket intent for this product type; partial means results broaden beyond the exact motif.</t>
        </is>
      </c>
      <c r="I5" s="3" t="inlineStr">
        <is>
          <t>["evidence_batch_027_261", "https://jeminise.com/products/personalized-christian-woman-affirmation-bible-verse-throw-blanket", "serp_qa_batch_027_r4_261_1", "serp_qa_batch_027_r4_261_2"]</t>
        </is>
      </c>
      <c r="J5" s="3" t="inlineStr">
        <is>
          <t>[]</t>
        </is>
      </c>
    </row>
    <row r="6" ht="42" customHeight="1">
      <c r="A6" s="2" t="inlineStr">
        <is>
          <t>jeminise.com+personalized-christian-woman-affirmation-bible-verse-throw-blanket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IF(B6="I1",AVERAGEIF('QA_Images'!$A$2:$A$71,A6,'QA_Images'!$R$2:$R$71)/100,IF(D6="FULL",1,IF(D6="PARTIAL",0.5,IF(D6="FAIL",0,""))))</f>
        <v/>
      </c>
      <c r="F6" s="5">
        <f>IF(E6="",0,C6*E6)</f>
        <v/>
      </c>
      <c r="G6" s="5">
        <f>IF(B6="I1",20*AVERAGEIF('QA_Images'!$A$2:$A$71,A6,'QA_Images'!$S$2:$S$71)/100,IF(D6="NOT_CHECKED",0,C6))</f>
        <v/>
      </c>
      <c r="H6" s="2" t="inlineStr">
        <is>
          <t>PARTIAL: evidence is SERP/product-comparable only; no paid volume or Search Console proof is claimed.</t>
        </is>
      </c>
      <c r="I6" s="2" t="inlineStr">
        <is>
          <t>["evidence_batch_027_261", "https://jeminise.com/products/personalized-christian-woman-affirmation-bible-verse-throw-blanket", "serp_qa_batch_027_r4_261_1", "serp_qa_batch_027_r4_261_2"]</t>
        </is>
      </c>
      <c r="J6" s="2" t="inlineStr">
        <is>
          <t>[]</t>
        </is>
      </c>
    </row>
    <row r="7" ht="42" customHeight="1">
      <c r="A7" s="3" t="inlineStr">
        <is>
          <t>jeminise.com+personalized-christian-woman-affirmation-bible-verse-throw-blanket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IF(B7="I1",AVERAGEIF('QA_Images'!$A$2:$A$71,A7,'QA_Images'!$R$2:$R$71)/100,IF(D7="FULL",1,IF(D7="PARTIAL",0.5,IF(D7="FAIL",0,""))))</f>
        <v/>
      </c>
      <c r="F7" s="7">
        <f>IF(E7="",0,C7*E7)</f>
        <v/>
      </c>
      <c r="G7" s="7">
        <f>IF(B7="I1",20*AVERAGEIF('QA_Images'!$A$2:$A$71,A7,'QA_Images'!$S$2:$S$71)/100,IF(D7="NOT_CHECKED",0,C7))</f>
        <v/>
      </c>
      <c r="H7" s="3" t="inlineStr">
        <is>
          <t>FULL: meta_title_seo is complete English and maps to the verified product type/motif.</t>
        </is>
      </c>
      <c r="I7" s="3" t="inlineStr">
        <is>
          <t>["evidence_batch_027_261", "https://jeminise.com/products/personalized-christian-woman-affirmation-bible-verse-throw-blanket"]</t>
        </is>
      </c>
      <c r="J7" s="3" t="inlineStr">
        <is>
          <t>[]</t>
        </is>
      </c>
    </row>
    <row r="8" ht="42" customHeight="1">
      <c r="A8" s="2" t="inlineStr">
        <is>
          <t>jeminise.com+personalized-christian-woman-affirmation-bible-verse-throw-blanket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IF(B8="I1",AVERAGEIF('QA_Images'!$A$2:$A$71,A8,'QA_Images'!$R$2:$R$71)/100,IF(D8="FULL",1,IF(D8="PARTIAL",0.5,IF(D8="FAIL",0,""))))</f>
        <v/>
      </c>
      <c r="F8" s="5">
        <f>IF(E8="",0,C8*E8)</f>
        <v/>
      </c>
      <c r="G8" s="5">
        <f>IF(B8="I1",20*AVERAGEIF('QA_Images'!$A$2:$A$71,A8,'QA_Images'!$S$2:$S$71)/100,IF(D8="NOT_CHECKED",0,C8))</f>
        <v/>
      </c>
      <c r="H8" s="2" t="inlineStr">
        <is>
          <t>FULL: title_proposed can function as product title/H1 and distinguishes this batch-27 design by motif/product type.</t>
        </is>
      </c>
      <c r="I8" s="2" t="inlineStr">
        <is>
          <t>["evidence_batch_027_261", "https://jeminise.com/products/personalized-christian-woman-affirmation-bible-verse-throw-blanket"]</t>
        </is>
      </c>
      <c r="J8" s="2" t="inlineStr">
        <is>
          <t>[]</t>
        </is>
      </c>
    </row>
    <row r="9" ht="42" customHeight="1">
      <c r="A9" s="3" t="inlineStr">
        <is>
          <t>jeminise.com+personalized-christian-woman-affirmation-bible-verse-throw-blanket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IF(B9="I1",AVERAGEIF('QA_Images'!$A$2:$A$71,A9,'QA_Images'!$R$2:$R$71)/100,IF(D9="FULL",1,IF(D9="PARTIAL",0.5,IF(D9="FAIL",0,""))))</f>
        <v/>
      </c>
      <c r="F9" s="7">
        <f>IF(E9="",0,C9*E9)</f>
        <v/>
      </c>
      <c r="G9" s="7">
        <f>IF(B9="I1",20*AVERAGEIF('QA_Images'!$A$2:$A$71,A9,'QA_Images'!$S$2:$S$71)/100,IF(D9="NOT_CHECKED",0,C9))</f>
        <v/>
      </c>
      <c r="H9" s="3" t="inlineStr">
        <is>
          <t>FULL: meta description is complete, not cut mid-word, and the 145-165 character target was treated as editorial guidance.</t>
        </is>
      </c>
      <c r="I9" s="3" t="inlineStr">
        <is>
          <t>["evidence_batch_027_261", "https://jeminise.com/products/personalized-christian-woman-affirmation-bible-verse-throw-blanket"]</t>
        </is>
      </c>
      <c r="J9" s="3" t="inlineStr">
        <is>
          <t>[]</t>
        </is>
      </c>
    </row>
    <row r="10" ht="42" customHeight="1">
      <c r="A10" s="2" t="inlineStr">
        <is>
          <t>jeminise.com+personalized-christian-woman-affirmation-bible-verse-throw-blanket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5">
        <f>IF(B10="I1",AVERAGEIF('QA_Images'!$A$2:$A$71,A10,'QA_Images'!$R$2:$R$71)/100,IF(D10="FULL",1,IF(D10="PARTIAL",0.5,IF(D10="FAIL",0,""))))</f>
        <v/>
      </c>
      <c r="F10" s="5">
        <f>IF(E10="",0,C10*E10)</f>
        <v/>
      </c>
      <c r="G10" s="5">
        <f>IF(B10="I1",20*AVERAGEIF('QA_Images'!$A$2:$A$71,A10,'QA_Images'!$S$2:$S$71)/100,IF(D10="NOT_CHECKED",0,C10))</f>
        <v/>
      </c>
      <c r="H10" s="2" t="inlineStr">
        <is>
          <t>FULL: description HTML is customer-facing and tied to verified artwork, product type, options and personalization controls.</t>
        </is>
      </c>
      <c r="I10" s="2" t="inlineStr">
        <is>
          <t>["evidence_batch_027_261", "https://jeminise.com/products/personalized-christian-woman-affirmation-bible-verse-throw-blanket"]</t>
        </is>
      </c>
      <c r="J10" s="2" t="inlineStr">
        <is>
          <t>[]</t>
        </is>
      </c>
    </row>
    <row r="11" ht="42" customHeight="1">
      <c r="A11" s="3" t="inlineStr">
        <is>
          <t>jeminise.com+personalized-christian-woman-affirmation-bible-verse-throw-blanket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IF(B11="I1",AVERAGEIF('QA_Images'!$A$2:$A$71,A11,'QA_Images'!$R$2:$R$71)/100,IF(D11="FULL",1,IF(D11="PARTIAL",0.5,IF(D11="FAIL",0,""))))</f>
        <v/>
      </c>
      <c r="F11" s="7">
        <f>IF(E11="",0,C11*E11)</f>
        <v/>
      </c>
      <c r="G11" s="7">
        <f>IF(B11="I1",20*AVERAGEIF('QA_Images'!$A$2:$A$71,A11,'QA_Images'!$S$2:$S$71)/100,IF(D11="NOT_CHECKED",0,C11))</f>
        <v/>
      </c>
      <c r="H11" s="3" t="inlineStr">
        <is>
          <t>Derived from 5 QA_Images rows for this product; average image score 100/100.</t>
        </is>
      </c>
      <c r="I11" s="3" t="inlineStr">
        <is>
          <t>["QA_Images", "evidence_batch_027_261"]</t>
        </is>
      </c>
      <c r="J11" s="3" t="inlineStr">
        <is>
          <t>[]</t>
        </is>
      </c>
    </row>
    <row r="12" ht="42" customHeight="1">
      <c r="A12" s="2" t="inlineStr">
        <is>
          <t>jeminise.com+personalized-christian-woman-affirmation-bible-verse-throw-blanket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IF(B12="I1",AVERAGEIF('QA_Images'!$A$2:$A$71,A12,'QA_Images'!$R$2:$R$71)/100,IF(D12="FULL",1,IF(D12="PARTIAL",0.5,IF(D12="FAIL",0,""))))</f>
        <v/>
      </c>
      <c r="F12" s="5">
        <f>IF(E12="",0,C12*E12)</f>
        <v/>
      </c>
      <c r="G12" s="5">
        <f>IF(B12="I1",20*AVERAGEIF('QA_Images'!$A$2:$A$71,A12,'QA_Images'!$S$2:$S$71)/100,IF(D12="NOT_CHECKED",0,C12))</f>
        <v/>
      </c>
      <c r="H12" s="2" t="inlineStr">
        <is>
          <t>FULL: product key, handle, links and scoped evidence are consistent; row-level r2 labels are recorded separately as a traceability limitation.</t>
        </is>
      </c>
      <c r="I12" s="2" t="inlineStr">
        <is>
          <t>["evidence_batch_027_261", "https://jeminise.com/products/personalized-christian-woman-affirmation-bible-verse-throw-blanket"]</t>
        </is>
      </c>
      <c r="J12" s="2" t="inlineStr">
        <is>
          <t>[]</t>
        </is>
      </c>
    </row>
    <row r="13" ht="42" customHeight="1">
      <c r="A13" s="3" t="inlineStr">
        <is>
          <t>jeminise.com+personalized-christian-woman-scripture-photo-throw-blanket-vintage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IF(B13="I1",AVERAGEIF('QA_Images'!$A$2:$A$71,A13,'QA_Images'!$R$2:$R$71)/100,IF(D13="FULL",1,IF(D13="PARTIAL",0.5,IF(D13="FAIL",0,""))))</f>
        <v/>
      </c>
      <c r="F13" s="7">
        <f>IF(E13="",0,C13*E13)</f>
        <v/>
      </c>
      <c r="G13" s="7">
        <f>IF(B13="I1",20*AVERAGEIF('QA_Images'!$A$2:$A$71,A13,'QA_Images'!$S$2:$S$71)/100,IF(D13="NOT_CHECKED",0,C13))</f>
        <v/>
      </c>
      <c r="H13" s="3" t="inlineStr">
        <is>
          <t>FULL: product identity, handle and live product data match inventory scope for batch 27.</t>
        </is>
      </c>
      <c r="I13" s="3" t="inlineStr">
        <is>
          <t>["evidence_batch_027_262", "https://jeminise.com/products/personalized-christian-woman-scripture-photo-throw-blanket-vintage"]</t>
        </is>
      </c>
      <c r="J13" s="3" t="inlineStr">
        <is>
          <t>[]</t>
        </is>
      </c>
    </row>
    <row r="14" ht="42" customHeight="1">
      <c r="A14" s="2" t="inlineStr">
        <is>
          <t>jeminise.com+personalized-christian-woman-scripture-photo-throw-blanket-vintage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IF(B14="I1",AVERAGEIF('QA_Images'!$A$2:$A$71,A14,'QA_Images'!$R$2:$R$71)/100,IF(D14="FULL",1,IF(D14="PARTIAL",0.5,IF(D14="FAIL",0,""))))</f>
        <v/>
      </c>
      <c r="F14" s="5">
        <f>IF(E14="",0,C14*E14)</f>
        <v/>
      </c>
      <c r="G14" s="5">
        <f>IF(B14="I1",20*AVERAGEIF('QA_Images'!$A$2:$A$71,A14,'QA_Images'!$S$2:$S$71)/100,IF(D14="NOT_CHECKED",0,C14))</f>
        <v/>
      </c>
      <c r="H14" s="2" t="inlineStr">
        <is>
          <t>FULL: personalization/product-option claims were checked against live/cache customizer evidence for this product.</t>
        </is>
      </c>
      <c r="I14" s="2" t="inlineStr">
        <is>
          <t>["evidence_batch_027_262", "https://jeminise.com/products/personalized-christian-woman-scripture-photo-throw-blanket-vintage", "customizer_fields_audit.json", "live_pages"]</t>
        </is>
      </c>
      <c r="J14" s="2" t="inlineStr">
        <is>
          <t>[]</t>
        </is>
      </c>
    </row>
    <row r="15" ht="42" customHeight="1">
      <c r="A15" s="3" t="inlineStr">
        <is>
          <t>jeminise.com+personalized-christian-woman-scripture-photo-throw-blanket-vintage</t>
        </is>
      </c>
      <c r="B15" s="3" t="inlineStr">
        <is>
          <t>K1</t>
        </is>
      </c>
      <c r="C15" s="3" t="n">
        <v>10</v>
      </c>
      <c r="D15" s="3" t="inlineStr">
        <is>
          <t>FULL</t>
        </is>
      </c>
      <c r="E15" s="7">
        <f>IF(B15="I1",AVERAGEIF('QA_Images'!$A$2:$A$71,A15,'QA_Images'!$R$2:$R$71)/100,IF(D15="FULL",1,IF(D15="PARTIAL",0.5,IF(D15="FAIL",0,""))))</f>
        <v/>
      </c>
      <c r="F15" s="7">
        <f>IF(E15="",0,C15*E15)</f>
        <v/>
      </c>
      <c r="G15" s="7">
        <f>IF(B15="I1",20*AVERAGEIF('QA_Images'!$A$2:$A$71,A15,'QA_Images'!$S$2:$S$71)/100,IF(D15="NOT_CHECKED",0,C15))</f>
        <v/>
      </c>
      <c r="H15" s="3" t="inlineStr">
        <is>
          <t>FULL: primary keyword 'personalized Christian photo scripture blanket' was checked against this product's own US/English SERP; partial means the exact visual modifier is niche.</t>
        </is>
      </c>
      <c r="I15" s="3" t="inlineStr">
        <is>
          <t>["evidence_batch_027_262", "https://jeminise.com/products/personalized-christian-woman-scripture-photo-throw-blanket-vintage", "serp_qa_batch_027_r4_262_1", "serp_qa_batch_027_r4_262_2"]</t>
        </is>
      </c>
      <c r="J15" s="3" t="inlineStr">
        <is>
          <t>[]</t>
        </is>
      </c>
    </row>
    <row r="16" ht="42" customHeight="1">
      <c r="A16" s="2" t="inlineStr">
        <is>
          <t>jeminise.com+personalized-christian-woman-scripture-photo-throw-blanket-vintage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IF(B16="I1",AVERAGEIF('QA_Images'!$A$2:$A$71,A16,'QA_Images'!$R$2:$R$71)/100,IF(D16="FULL",1,IF(D16="PARTIAL",0.5,IF(D16="FAIL",0,""))))</f>
        <v/>
      </c>
      <c r="F16" s="5">
        <f>IF(E16="",0,C16*E16)</f>
        <v/>
      </c>
      <c r="G16" s="5">
        <f>IF(B16="I1",20*AVERAGEIF('QA_Images'!$A$2:$A$71,A16,'QA_Images'!$S$2:$S$71)/100,IF(D16="NOT_CHECKED",0,C16))</f>
        <v/>
      </c>
      <c r="H16" s="2" t="inlineStr">
        <is>
          <t>FULL: comparator query supports commercial quilt/blanket intent for this product type; partial means results broaden beyond the exact motif.</t>
        </is>
      </c>
      <c r="I16" s="2" t="inlineStr">
        <is>
          <t>["evidence_batch_027_262", "https://jeminise.com/products/personalized-christian-woman-scripture-photo-throw-blanket-vintage", "serp_qa_batch_027_r4_262_1", "serp_qa_batch_027_r4_262_2"]</t>
        </is>
      </c>
      <c r="J16" s="2" t="inlineStr">
        <is>
          <t>[]</t>
        </is>
      </c>
    </row>
    <row r="17" ht="42" customHeight="1">
      <c r="A17" s="3" t="inlineStr">
        <is>
          <t>jeminise.com+personalized-christian-woman-scripture-photo-throw-blanket-vintage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IF(B17="I1",AVERAGEIF('QA_Images'!$A$2:$A$71,A17,'QA_Images'!$R$2:$R$71)/100,IF(D17="FULL",1,IF(D17="PARTIAL",0.5,IF(D17="FAIL",0,""))))</f>
        <v/>
      </c>
      <c r="F17" s="7">
        <f>IF(E17="",0,C17*E17)</f>
        <v/>
      </c>
      <c r="G17" s="7">
        <f>IF(B17="I1",20*AVERAGEIF('QA_Images'!$A$2:$A$71,A17,'QA_Images'!$S$2:$S$71)/100,IF(D17="NOT_CHECKED",0,C17))</f>
        <v/>
      </c>
      <c r="H17" s="3" t="inlineStr">
        <is>
          <t>PARTIAL: evidence is SERP/product-comparable only; no paid volume or Search Console proof is claimed.</t>
        </is>
      </c>
      <c r="I17" s="3" t="inlineStr">
        <is>
          <t>["evidence_batch_027_262", "https://jeminise.com/products/personalized-christian-woman-scripture-photo-throw-blanket-vintage", "serp_qa_batch_027_r4_262_1", "serp_qa_batch_027_r4_262_2"]</t>
        </is>
      </c>
      <c r="J17" s="3" t="inlineStr">
        <is>
          <t>[]</t>
        </is>
      </c>
    </row>
    <row r="18" ht="42" customHeight="1">
      <c r="A18" s="2" t="inlineStr">
        <is>
          <t>jeminise.com+personalized-christian-woman-scripture-photo-throw-blanket-vintage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IF(B18="I1",AVERAGEIF('QA_Images'!$A$2:$A$71,A18,'QA_Images'!$R$2:$R$71)/100,IF(D18="FULL",1,IF(D18="PARTIAL",0.5,IF(D18="FAIL",0,""))))</f>
        <v/>
      </c>
      <c r="F18" s="5">
        <f>IF(E18="",0,C18*E18)</f>
        <v/>
      </c>
      <c r="G18" s="5">
        <f>IF(B18="I1",20*AVERAGEIF('QA_Images'!$A$2:$A$71,A18,'QA_Images'!$S$2:$S$71)/100,IF(D18="NOT_CHECKED",0,C18))</f>
        <v/>
      </c>
      <c r="H18" s="2" t="inlineStr">
        <is>
          <t>FULL: meta_title_seo is complete English and maps to the verified product type/motif.</t>
        </is>
      </c>
      <c r="I18" s="2" t="inlineStr">
        <is>
          <t>["evidence_batch_027_262", "https://jeminise.com/products/personalized-christian-woman-scripture-photo-throw-blanket-vintage"]</t>
        </is>
      </c>
      <c r="J18" s="2" t="inlineStr">
        <is>
          <t>[]</t>
        </is>
      </c>
    </row>
    <row r="19" ht="42" customHeight="1">
      <c r="A19" s="3" t="inlineStr">
        <is>
          <t>jeminise.com+personalized-christian-woman-scripture-photo-throw-blanket-vintage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IF(B19="I1",AVERAGEIF('QA_Images'!$A$2:$A$71,A19,'QA_Images'!$R$2:$R$71)/100,IF(D19="FULL",1,IF(D19="PARTIAL",0.5,IF(D19="FAIL",0,""))))</f>
        <v/>
      </c>
      <c r="F19" s="7">
        <f>IF(E19="",0,C19*E19)</f>
        <v/>
      </c>
      <c r="G19" s="7">
        <f>IF(B19="I1",20*AVERAGEIF('QA_Images'!$A$2:$A$71,A19,'QA_Images'!$S$2:$S$71)/100,IF(D19="NOT_CHECKED",0,C19))</f>
        <v/>
      </c>
      <c r="H19" s="3" t="inlineStr">
        <is>
          <t>FULL: title_proposed can function as product title/H1 and distinguishes this batch-27 design by motif/product type.</t>
        </is>
      </c>
      <c r="I19" s="3" t="inlineStr">
        <is>
          <t>["evidence_batch_027_262", "https://jeminise.com/products/personalized-christian-woman-scripture-photo-throw-blanket-vintage"]</t>
        </is>
      </c>
      <c r="J19" s="3" t="inlineStr">
        <is>
          <t>[]</t>
        </is>
      </c>
    </row>
    <row r="20" ht="42" customHeight="1">
      <c r="A20" s="2" t="inlineStr">
        <is>
          <t>jeminise.com+personalized-christian-woman-scripture-photo-throw-blanket-vintage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IF(B20="I1",AVERAGEIF('QA_Images'!$A$2:$A$71,A20,'QA_Images'!$R$2:$R$71)/100,IF(D20="FULL",1,IF(D20="PARTIAL",0.5,IF(D20="FAIL",0,""))))</f>
        <v/>
      </c>
      <c r="F20" s="5">
        <f>IF(E20="",0,C20*E20)</f>
        <v/>
      </c>
      <c r="G20" s="5">
        <f>IF(B20="I1",20*AVERAGEIF('QA_Images'!$A$2:$A$71,A20,'QA_Images'!$S$2:$S$71)/100,IF(D20="NOT_CHECKED",0,C20))</f>
        <v/>
      </c>
      <c r="H20" s="2" t="inlineStr">
        <is>
          <t>FULL: meta description is complete, not cut mid-word, and the 145-165 character target was treated as editorial guidance.</t>
        </is>
      </c>
      <c r="I20" s="2" t="inlineStr">
        <is>
          <t>["evidence_batch_027_262", "https://jeminise.com/products/personalized-christian-woman-scripture-photo-throw-blanket-vintage"]</t>
        </is>
      </c>
      <c r="J20" s="2" t="inlineStr">
        <is>
          <t>[]</t>
        </is>
      </c>
    </row>
    <row r="21" ht="42" customHeight="1">
      <c r="A21" s="3" t="inlineStr">
        <is>
          <t>jeminise.com+personalized-christian-woman-scripture-photo-throw-blanket-vintage</t>
        </is>
      </c>
      <c r="B21" s="3" t="inlineStr">
        <is>
          <t>D2</t>
        </is>
      </c>
      <c r="C21" s="3" t="n">
        <v>10</v>
      </c>
      <c r="D21" s="3" t="inlineStr">
        <is>
          <t>FULL</t>
        </is>
      </c>
      <c r="E21" s="7">
        <f>IF(B21="I1",AVERAGEIF('QA_Images'!$A$2:$A$71,A21,'QA_Images'!$R$2:$R$71)/100,IF(D21="FULL",1,IF(D21="PARTIAL",0.5,IF(D21="FAIL",0,""))))</f>
        <v/>
      </c>
      <c r="F21" s="7">
        <f>IF(E21="",0,C21*E21)</f>
        <v/>
      </c>
      <c r="G21" s="7">
        <f>IF(B21="I1",20*AVERAGEIF('QA_Images'!$A$2:$A$71,A21,'QA_Images'!$S$2:$S$71)/100,IF(D21="NOT_CHECKED",0,C21))</f>
        <v/>
      </c>
      <c r="H21" s="3" t="inlineStr">
        <is>
          <t>FULL: description HTML is customer-facing and tied to verified artwork, product type, options and personalization controls.</t>
        </is>
      </c>
      <c r="I21" s="3" t="inlineStr">
        <is>
          <t>["evidence_batch_027_262", "https://jeminise.com/products/personalized-christian-woman-scripture-photo-throw-blanket-vintage"]</t>
        </is>
      </c>
      <c r="J21" s="3" t="inlineStr">
        <is>
          <t>[]</t>
        </is>
      </c>
    </row>
    <row r="22" ht="42" customHeight="1">
      <c r="A22" s="2" t="inlineStr">
        <is>
          <t>jeminise.com+personalized-christian-woman-scripture-photo-throw-blanket-vintage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IF(B22="I1",AVERAGEIF('QA_Images'!$A$2:$A$71,A22,'QA_Images'!$R$2:$R$71)/100,IF(D22="FULL",1,IF(D22="PARTIAL",0.5,IF(D22="FAIL",0,""))))</f>
        <v/>
      </c>
      <c r="F22" s="5">
        <f>IF(E22="",0,C22*E22)</f>
        <v/>
      </c>
      <c r="G22" s="5">
        <f>IF(B22="I1",20*AVERAGEIF('QA_Images'!$A$2:$A$71,A22,'QA_Images'!$S$2:$S$71)/100,IF(D22="NOT_CHECKED",0,C22))</f>
        <v/>
      </c>
      <c r="H22" s="2" t="inlineStr">
        <is>
          <t>Derived from 7 QA_Images rows for this product; average image score 100/100.</t>
        </is>
      </c>
      <c r="I22" s="2" t="inlineStr">
        <is>
          <t>["QA_Images", "evidence_batch_027_262"]</t>
        </is>
      </c>
      <c r="J22" s="2" t="inlineStr">
        <is>
          <t>[]</t>
        </is>
      </c>
    </row>
    <row r="23" ht="42" customHeight="1">
      <c r="A23" s="3" t="inlineStr">
        <is>
          <t>jeminise.com+personalized-christian-woman-scripture-photo-throw-blanket-vintage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IF(B23="I1",AVERAGEIF('QA_Images'!$A$2:$A$71,A23,'QA_Images'!$R$2:$R$71)/100,IF(D23="FULL",1,IF(D23="PARTIAL",0.5,IF(D23="FAIL",0,""))))</f>
        <v/>
      </c>
      <c r="F23" s="7">
        <f>IF(E23="",0,C23*E23)</f>
        <v/>
      </c>
      <c r="G23" s="7">
        <f>IF(B23="I1",20*AVERAGEIF('QA_Images'!$A$2:$A$71,A23,'QA_Images'!$S$2:$S$71)/100,IF(D23="NOT_CHECKED",0,C23))</f>
        <v/>
      </c>
      <c r="H23" s="3" t="inlineStr">
        <is>
          <t>FULL: product key, handle, links and scoped evidence are consistent; row-level r2 labels are recorded separately as a traceability limitation.</t>
        </is>
      </c>
      <c r="I23" s="3" t="inlineStr">
        <is>
          <t>["evidence_batch_027_262", "https://jeminise.com/products/personalized-christian-woman-scripture-photo-throw-blanket-vintage"]</t>
        </is>
      </c>
      <c r="J23" s="3" t="inlineStr">
        <is>
          <t>[]</t>
        </is>
      </c>
    </row>
    <row r="24" ht="42" customHeight="1">
      <c r="A24" s="2" t="inlineStr">
        <is>
          <t>jeminise.com+personalized-colorful-celtic-tree-of-life-quilt-sets-machine-washable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IF(B24="I1",AVERAGEIF('QA_Images'!$A$2:$A$71,A24,'QA_Images'!$R$2:$R$71)/100,IF(D24="FULL",1,IF(D24="PARTIAL",0.5,IF(D24="FAIL",0,""))))</f>
        <v/>
      </c>
      <c r="F24" s="5">
        <f>IF(E24="",0,C24*E24)</f>
        <v/>
      </c>
      <c r="G24" s="5">
        <f>IF(B24="I1",20*AVERAGEIF('QA_Images'!$A$2:$A$71,A24,'QA_Images'!$S$2:$S$71)/100,IF(D24="NOT_CHECKED",0,C24))</f>
        <v/>
      </c>
      <c r="H24" s="2" t="inlineStr">
        <is>
          <t>FULL: product identity, handle and live product data match inventory scope for batch 27.</t>
        </is>
      </c>
      <c r="I24" s="2" t="inlineStr">
        <is>
          <t>["evidence_batch_027_263", "https://jeminise.com/products/personalized-colorful-celtic-tree-of-life-quilt-sets-machine-washable"]</t>
        </is>
      </c>
      <c r="J24" s="2" t="inlineStr">
        <is>
          <t>[]</t>
        </is>
      </c>
    </row>
    <row r="25" ht="42" customHeight="1">
      <c r="A25" s="3" t="inlineStr">
        <is>
          <t>jeminise.com+personalized-colorful-celtic-tree-of-life-quilt-sets-machine-washable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IF(B25="I1",AVERAGEIF('QA_Images'!$A$2:$A$71,A25,'QA_Images'!$R$2:$R$71)/100,IF(D25="FULL",1,IF(D25="PARTIAL",0.5,IF(D25="FAIL",0,""))))</f>
        <v/>
      </c>
      <c r="F25" s="7">
        <f>IF(E25="",0,C25*E25)</f>
        <v/>
      </c>
      <c r="G25" s="7">
        <f>IF(B25="I1",20*AVERAGEIF('QA_Images'!$A$2:$A$71,A25,'QA_Images'!$S$2:$S$71)/100,IF(D25="NOT_CHECKED",0,C25))</f>
        <v/>
      </c>
      <c r="H25" s="3" t="inlineStr">
        <is>
          <t>FULL: personalization/product-option claims were checked against live/cache customizer evidence for this product.</t>
        </is>
      </c>
      <c r="I25" s="3" t="inlineStr">
        <is>
          <t>["evidence_batch_027_263", "https://jeminise.com/products/personalized-colorful-celtic-tree-of-life-quilt-sets-machine-washable", "customizer_fields_audit.json", "live_pages"]</t>
        </is>
      </c>
      <c r="J25" s="3" t="inlineStr">
        <is>
          <t>[]</t>
        </is>
      </c>
    </row>
    <row r="26" ht="42" customHeight="1">
      <c r="A26" s="2" t="inlineStr">
        <is>
          <t>jeminise.com+personalized-colorful-celtic-tree-of-life-quilt-sets-machine-washable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IF(B26="I1",AVERAGEIF('QA_Images'!$A$2:$A$71,A26,'QA_Images'!$R$2:$R$71)/100,IF(D26="FULL",1,IF(D26="PARTIAL",0.5,IF(D26="FAIL",0,""))))</f>
        <v/>
      </c>
      <c r="F26" s="5">
        <f>IF(E26="",0,C26*E26)</f>
        <v/>
      </c>
      <c r="G26" s="5">
        <f>IF(B26="I1",20*AVERAGEIF('QA_Images'!$A$2:$A$71,A26,'QA_Images'!$S$2:$S$71)/100,IF(D26="NOT_CHECKED",0,C26))</f>
        <v/>
      </c>
      <c r="H26" s="2" t="inlineStr">
        <is>
          <t>PARTIAL: primary keyword 'personalized colorful Celtic Tree quilt set' was checked against this product's own US/English SERP; partial means the exact visual modifier is niche.</t>
        </is>
      </c>
      <c r="I26" s="2" t="inlineStr">
        <is>
          <t>["evidence_batch_027_263", "https://jeminise.com/products/personalized-colorful-celtic-tree-of-life-quilt-sets-machine-washable", "serp_qa_batch_027_r4_263_1", "serp_qa_batch_027_r4_263_2"]</t>
        </is>
      </c>
      <c r="J26" s="2" t="inlineStr">
        <is>
          <t>[]</t>
        </is>
      </c>
    </row>
    <row r="27" ht="42" customHeight="1">
      <c r="A27" s="3" t="inlineStr">
        <is>
          <t>jeminise.com+personalized-colorful-celtic-tree-of-life-quilt-sets-machine-washable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IF(B27="I1",AVERAGEIF('QA_Images'!$A$2:$A$71,A27,'QA_Images'!$R$2:$R$71)/100,IF(D27="FULL",1,IF(D27="PARTIAL",0.5,IF(D27="FAIL",0,""))))</f>
        <v/>
      </c>
      <c r="F27" s="7">
        <f>IF(E27="",0,C27*E27)</f>
        <v/>
      </c>
      <c r="G27" s="7">
        <f>IF(B27="I1",20*AVERAGEIF('QA_Images'!$A$2:$A$71,A27,'QA_Images'!$S$2:$S$71)/100,IF(D27="NOT_CHECKED",0,C27))</f>
        <v/>
      </c>
      <c r="H27" s="3" t="inlineStr">
        <is>
          <t>FULL: comparator query supports commercial quilt/blanket intent for this product type; partial means results broaden beyond the exact motif.</t>
        </is>
      </c>
      <c r="I27" s="3" t="inlineStr">
        <is>
          <t>["evidence_batch_027_263", "https://jeminise.com/products/personalized-colorful-celtic-tree-of-life-quilt-sets-machine-washable", "serp_qa_batch_027_r4_263_1", "serp_qa_batch_027_r4_263_2"]</t>
        </is>
      </c>
      <c r="J27" s="3" t="inlineStr">
        <is>
          <t>[]</t>
        </is>
      </c>
    </row>
    <row r="28" ht="42" customHeight="1">
      <c r="A28" s="2" t="inlineStr">
        <is>
          <t>jeminise.com+personalized-colorful-celtic-tree-of-life-quilt-sets-machine-washable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IF(B28="I1",AVERAGEIF('QA_Images'!$A$2:$A$71,A28,'QA_Images'!$R$2:$R$71)/100,IF(D28="FULL",1,IF(D28="PARTIAL",0.5,IF(D28="FAIL",0,""))))</f>
        <v/>
      </c>
      <c r="F28" s="5">
        <f>IF(E28="",0,C28*E28)</f>
        <v/>
      </c>
      <c r="G28" s="5">
        <f>IF(B28="I1",20*AVERAGEIF('QA_Images'!$A$2:$A$71,A28,'QA_Images'!$S$2:$S$71)/100,IF(D28="NOT_CHECKED",0,C28))</f>
        <v/>
      </c>
      <c r="H28" s="2" t="inlineStr">
        <is>
          <t>PARTIAL: evidence is SERP/product-comparable only; no paid volume or Search Console proof is claimed.</t>
        </is>
      </c>
      <c r="I28" s="2" t="inlineStr">
        <is>
          <t>["evidence_batch_027_263", "https://jeminise.com/products/personalized-colorful-celtic-tree-of-life-quilt-sets-machine-washable", "serp_qa_batch_027_r4_263_1", "serp_qa_batch_027_r4_263_2"]</t>
        </is>
      </c>
      <c r="J28" s="2" t="inlineStr">
        <is>
          <t>[]</t>
        </is>
      </c>
    </row>
    <row r="29" ht="42" customHeight="1">
      <c r="A29" s="3" t="inlineStr">
        <is>
          <t>jeminise.com+personalized-colorful-celtic-tree-of-life-quilt-sets-machine-washable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IF(B29="I1",AVERAGEIF('QA_Images'!$A$2:$A$71,A29,'QA_Images'!$R$2:$R$71)/100,IF(D29="FULL",1,IF(D29="PARTIAL",0.5,IF(D29="FAIL",0,""))))</f>
        <v/>
      </c>
      <c r="F29" s="7">
        <f>IF(E29="",0,C29*E29)</f>
        <v/>
      </c>
      <c r="G29" s="7">
        <f>IF(B29="I1",20*AVERAGEIF('QA_Images'!$A$2:$A$71,A29,'QA_Images'!$S$2:$S$71)/100,IF(D29="NOT_CHECKED",0,C29))</f>
        <v/>
      </c>
      <c r="H29" s="3" t="inlineStr">
        <is>
          <t>FULL: meta_title_seo is complete English and maps to the verified product type/motif.</t>
        </is>
      </c>
      <c r="I29" s="3" t="inlineStr">
        <is>
          <t>["evidence_batch_027_263", "https://jeminise.com/products/personalized-colorful-celtic-tree-of-life-quilt-sets-machine-washable"]</t>
        </is>
      </c>
      <c r="J29" s="3" t="inlineStr">
        <is>
          <t>[]</t>
        </is>
      </c>
    </row>
    <row r="30" ht="42" customHeight="1">
      <c r="A30" s="2" t="inlineStr">
        <is>
          <t>jeminise.com+personalized-colorful-celtic-tree-of-life-quilt-sets-machine-washable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IF(B30="I1",AVERAGEIF('QA_Images'!$A$2:$A$71,A30,'QA_Images'!$R$2:$R$71)/100,IF(D30="FULL",1,IF(D30="PARTIAL",0.5,IF(D30="FAIL",0,""))))</f>
        <v/>
      </c>
      <c r="F30" s="5">
        <f>IF(E30="",0,C30*E30)</f>
        <v/>
      </c>
      <c r="G30" s="5">
        <f>IF(B30="I1",20*AVERAGEIF('QA_Images'!$A$2:$A$71,A30,'QA_Images'!$S$2:$S$71)/100,IF(D30="NOT_CHECKED",0,C30))</f>
        <v/>
      </c>
      <c r="H30" s="2" t="inlineStr">
        <is>
          <t>FULL: title_proposed can function as product title/H1 and distinguishes this batch-27 design by motif/product type.</t>
        </is>
      </c>
      <c r="I30" s="2" t="inlineStr">
        <is>
          <t>["evidence_batch_027_263", "https://jeminise.com/products/personalized-colorful-celtic-tree-of-life-quilt-sets-machine-washable"]</t>
        </is>
      </c>
      <c r="J30" s="2" t="inlineStr">
        <is>
          <t>[]</t>
        </is>
      </c>
    </row>
    <row r="31" ht="42" customHeight="1">
      <c r="A31" s="3" t="inlineStr">
        <is>
          <t>jeminise.com+personalized-colorful-celtic-tree-of-life-quilt-sets-machine-washable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IF(B31="I1",AVERAGEIF('QA_Images'!$A$2:$A$71,A31,'QA_Images'!$R$2:$R$71)/100,IF(D31="FULL",1,IF(D31="PARTIAL",0.5,IF(D31="FAIL",0,""))))</f>
        <v/>
      </c>
      <c r="F31" s="7">
        <f>IF(E31="",0,C31*E31)</f>
        <v/>
      </c>
      <c r="G31" s="7">
        <f>IF(B31="I1",20*AVERAGEIF('QA_Images'!$A$2:$A$71,A31,'QA_Images'!$S$2:$S$71)/100,IF(D31="NOT_CHECKED",0,C31))</f>
        <v/>
      </c>
      <c r="H31" s="3" t="inlineStr">
        <is>
          <t>FULL: meta description is complete, not cut mid-word, and the 145-165 character target was treated as editorial guidance.</t>
        </is>
      </c>
      <c r="I31" s="3" t="inlineStr">
        <is>
          <t>["evidence_batch_027_263", "https://jeminise.com/products/personalized-colorful-celtic-tree-of-life-quilt-sets-machine-washable"]</t>
        </is>
      </c>
      <c r="J31" s="3" t="inlineStr">
        <is>
          <t>[]</t>
        </is>
      </c>
    </row>
    <row r="32" ht="42" customHeight="1">
      <c r="A32" s="2" t="inlineStr">
        <is>
          <t>jeminise.com+personalized-colorful-celtic-tree-of-life-quilt-sets-machine-washable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5">
        <f>IF(B32="I1",AVERAGEIF('QA_Images'!$A$2:$A$71,A32,'QA_Images'!$R$2:$R$71)/100,IF(D32="FULL",1,IF(D32="PARTIAL",0.5,IF(D32="FAIL",0,""))))</f>
        <v/>
      </c>
      <c r="F32" s="5">
        <f>IF(E32="",0,C32*E32)</f>
        <v/>
      </c>
      <c r="G32" s="5">
        <f>IF(B32="I1",20*AVERAGEIF('QA_Images'!$A$2:$A$71,A32,'QA_Images'!$S$2:$S$71)/100,IF(D32="NOT_CHECKED",0,C32))</f>
        <v/>
      </c>
      <c r="H32" s="2" t="inlineStr">
        <is>
          <t>FULL: description HTML is customer-facing and tied to verified artwork, product type, options and personalization controls.</t>
        </is>
      </c>
      <c r="I32" s="2" t="inlineStr">
        <is>
          <t>["evidence_batch_027_263", "https://jeminise.com/products/personalized-colorful-celtic-tree-of-life-quilt-sets-machine-washable"]</t>
        </is>
      </c>
      <c r="J32" s="2" t="inlineStr">
        <is>
          <t>[]</t>
        </is>
      </c>
    </row>
    <row r="33" ht="42" customHeight="1">
      <c r="A33" s="3" t="inlineStr">
        <is>
          <t>jeminise.com+personalized-colorful-celtic-tree-of-life-quilt-sets-machine-washable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IF(B33="I1",AVERAGEIF('QA_Images'!$A$2:$A$71,A33,'QA_Images'!$R$2:$R$71)/100,IF(D33="FULL",1,IF(D33="PARTIAL",0.5,IF(D33="FAIL",0,""))))</f>
        <v/>
      </c>
      <c r="F33" s="7">
        <f>IF(E33="",0,C33*E33)</f>
        <v/>
      </c>
      <c r="G33" s="7">
        <f>IF(B33="I1",20*AVERAGEIF('QA_Images'!$A$2:$A$71,A33,'QA_Images'!$S$2:$S$71)/100,IF(D33="NOT_CHECKED",0,C33))</f>
        <v/>
      </c>
      <c r="H33" s="3" t="inlineStr">
        <is>
          <t>Derived from 7 QA_Images rows for this product; average image score 100/100.</t>
        </is>
      </c>
      <c r="I33" s="3" t="inlineStr">
        <is>
          <t>["QA_Images", "evidence_batch_027_263"]</t>
        </is>
      </c>
      <c r="J33" s="3" t="inlineStr">
        <is>
          <t>[]</t>
        </is>
      </c>
    </row>
    <row r="34" ht="42" customHeight="1">
      <c r="A34" s="2" t="inlineStr">
        <is>
          <t>jeminise.com+personalized-colorful-celtic-tree-of-life-quilt-sets-machine-washable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IF(B34="I1",AVERAGEIF('QA_Images'!$A$2:$A$71,A34,'QA_Images'!$R$2:$R$71)/100,IF(D34="FULL",1,IF(D34="PARTIAL",0.5,IF(D34="FAIL",0,""))))</f>
        <v/>
      </c>
      <c r="F34" s="5">
        <f>IF(E34="",0,C34*E34)</f>
        <v/>
      </c>
      <c r="G34" s="5">
        <f>IF(B34="I1",20*AVERAGEIF('QA_Images'!$A$2:$A$71,A34,'QA_Images'!$S$2:$S$71)/100,IF(D34="NOT_CHECKED",0,C34))</f>
        <v/>
      </c>
      <c r="H34" s="2" t="inlineStr">
        <is>
          <t>FULL: product key, handle, links and scoped evidence are consistent; row-level r2 labels are recorded separately as a traceability limitation.</t>
        </is>
      </c>
      <c r="I34" s="2" t="inlineStr">
        <is>
          <t>["evidence_batch_027_263", "https://jeminise.com/products/personalized-colorful-celtic-tree-of-life-quilt-sets-machine-washable"]</t>
        </is>
      </c>
      <c r="J34" s="2" t="inlineStr">
        <is>
          <t>[]</t>
        </is>
      </c>
    </row>
    <row r="35" ht="42" customHeight="1">
      <c r="A35" s="3" t="inlineStr">
        <is>
          <t>jeminise.com+personalized-colorful-celtic-yggdrasil-tree-quilt-sets-vintage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IF(B35="I1",AVERAGEIF('QA_Images'!$A$2:$A$71,A35,'QA_Images'!$R$2:$R$71)/100,IF(D35="FULL",1,IF(D35="PARTIAL",0.5,IF(D35="FAIL",0,""))))</f>
        <v/>
      </c>
      <c r="F35" s="7">
        <f>IF(E35="",0,C35*E35)</f>
        <v/>
      </c>
      <c r="G35" s="7">
        <f>IF(B35="I1",20*AVERAGEIF('QA_Images'!$A$2:$A$71,A35,'QA_Images'!$S$2:$S$71)/100,IF(D35="NOT_CHECKED",0,C35))</f>
        <v/>
      </c>
      <c r="H35" s="3" t="inlineStr">
        <is>
          <t>FULL: product identity, handle and live product data match inventory scope for batch 27.</t>
        </is>
      </c>
      <c r="I35" s="3" t="inlineStr">
        <is>
          <t>["evidence_batch_027_264", "https://jeminise.com/products/personalized-colorful-celtic-yggdrasil-tree-quilt-sets-vintage"]</t>
        </is>
      </c>
      <c r="J35" s="3" t="inlineStr">
        <is>
          <t>[]</t>
        </is>
      </c>
    </row>
    <row r="36" ht="42" customHeight="1">
      <c r="A36" s="2" t="inlineStr">
        <is>
          <t>jeminise.com+personalized-colorful-celtic-yggdrasil-tree-quilt-sets-vintage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IF(B36="I1",AVERAGEIF('QA_Images'!$A$2:$A$71,A36,'QA_Images'!$R$2:$R$71)/100,IF(D36="FULL",1,IF(D36="PARTIAL",0.5,IF(D36="FAIL",0,""))))</f>
        <v/>
      </c>
      <c r="F36" s="5">
        <f>IF(E36="",0,C36*E36)</f>
        <v/>
      </c>
      <c r="G36" s="5">
        <f>IF(B36="I1",20*AVERAGEIF('QA_Images'!$A$2:$A$71,A36,'QA_Images'!$S$2:$S$71)/100,IF(D36="NOT_CHECKED",0,C36))</f>
        <v/>
      </c>
      <c r="H36" s="2" t="inlineStr">
        <is>
          <t>FULL: personalization/product-option claims were checked against live/cache customizer evidence for this product.</t>
        </is>
      </c>
      <c r="I36" s="2" t="inlineStr">
        <is>
          <t>["evidence_batch_027_264", "https://jeminise.com/products/personalized-colorful-celtic-yggdrasil-tree-quilt-sets-vintage", "customizer_fields_audit.json", "live_pages"]</t>
        </is>
      </c>
      <c r="J36" s="2" t="inlineStr">
        <is>
          <t>[]</t>
        </is>
      </c>
    </row>
    <row r="37" ht="42" customHeight="1">
      <c r="A37" s="3" t="inlineStr">
        <is>
          <t>jeminise.com+personalized-colorful-celtic-yggdrasil-tree-quilt-sets-vintage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IF(B37="I1",AVERAGEIF('QA_Images'!$A$2:$A$71,A37,'QA_Images'!$R$2:$R$71)/100,IF(D37="FULL",1,IF(D37="PARTIAL",0.5,IF(D37="FAIL",0,""))))</f>
        <v/>
      </c>
      <c r="F37" s="7">
        <f>IF(E37="",0,C37*E37)</f>
        <v/>
      </c>
      <c r="G37" s="7">
        <f>IF(B37="I1",20*AVERAGEIF('QA_Images'!$A$2:$A$71,A37,'QA_Images'!$S$2:$S$71)/100,IF(D37="NOT_CHECKED",0,C37))</f>
        <v/>
      </c>
      <c r="H37" s="3" t="inlineStr">
        <is>
          <t>PARTIAL: primary keyword 'personalized vintage Yggdrasil quilt set' was checked against this product's own US/English SERP; partial means the exact visual modifier is niche.</t>
        </is>
      </c>
      <c r="I37" s="3" t="inlineStr">
        <is>
          <t>["evidence_batch_027_264", "https://jeminise.com/products/personalized-colorful-celtic-yggdrasil-tree-quilt-sets-vintage", "serp_qa_batch_027_r4_264_1", "serp_qa_batch_027_r4_264_2"]</t>
        </is>
      </c>
      <c r="J37" s="3" t="inlineStr">
        <is>
          <t>[]</t>
        </is>
      </c>
    </row>
    <row r="38" ht="42" customHeight="1">
      <c r="A38" s="2" t="inlineStr">
        <is>
          <t>jeminise.com+personalized-colorful-celtic-yggdrasil-tree-quilt-sets-vintage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IF(B38="I1",AVERAGEIF('QA_Images'!$A$2:$A$71,A38,'QA_Images'!$R$2:$R$71)/100,IF(D38="FULL",1,IF(D38="PARTIAL",0.5,IF(D38="FAIL",0,""))))</f>
        <v/>
      </c>
      <c r="F38" s="5">
        <f>IF(E38="",0,C38*E38)</f>
        <v/>
      </c>
      <c r="G38" s="5">
        <f>IF(B38="I1",20*AVERAGEIF('QA_Images'!$A$2:$A$71,A38,'QA_Images'!$S$2:$S$71)/100,IF(D38="NOT_CHECKED",0,C38))</f>
        <v/>
      </c>
      <c r="H38" s="2" t="inlineStr">
        <is>
          <t>FULL: comparator query supports commercial quilt/blanket intent for this product type; partial means results broaden beyond the exact motif.</t>
        </is>
      </c>
      <c r="I38" s="2" t="inlineStr">
        <is>
          <t>["evidence_batch_027_264", "https://jeminise.com/products/personalized-colorful-celtic-yggdrasil-tree-quilt-sets-vintage", "serp_qa_batch_027_r4_264_1", "serp_qa_batch_027_r4_264_2"]</t>
        </is>
      </c>
      <c r="J38" s="2" t="inlineStr">
        <is>
          <t>[]</t>
        </is>
      </c>
    </row>
    <row r="39" ht="42" customHeight="1">
      <c r="A39" s="3" t="inlineStr">
        <is>
          <t>jeminise.com+personalized-colorful-celtic-yggdrasil-tree-quilt-sets-vintage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IF(B39="I1",AVERAGEIF('QA_Images'!$A$2:$A$71,A39,'QA_Images'!$R$2:$R$71)/100,IF(D39="FULL",1,IF(D39="PARTIAL",0.5,IF(D39="FAIL",0,""))))</f>
        <v/>
      </c>
      <c r="F39" s="7">
        <f>IF(E39="",0,C39*E39)</f>
        <v/>
      </c>
      <c r="G39" s="7">
        <f>IF(B39="I1",20*AVERAGEIF('QA_Images'!$A$2:$A$71,A39,'QA_Images'!$S$2:$S$71)/100,IF(D39="NOT_CHECKED",0,C39))</f>
        <v/>
      </c>
      <c r="H39" s="3" t="inlineStr">
        <is>
          <t>PARTIAL: evidence is SERP/product-comparable only; no paid volume or Search Console proof is claimed.</t>
        </is>
      </c>
      <c r="I39" s="3" t="inlineStr">
        <is>
          <t>["evidence_batch_027_264", "https://jeminise.com/products/personalized-colorful-celtic-yggdrasil-tree-quilt-sets-vintage", "serp_qa_batch_027_r4_264_1", "serp_qa_batch_027_r4_264_2"]</t>
        </is>
      </c>
      <c r="J39" s="3" t="inlineStr">
        <is>
          <t>[]</t>
        </is>
      </c>
    </row>
    <row r="40" ht="42" customHeight="1">
      <c r="A40" s="2" t="inlineStr">
        <is>
          <t>jeminise.com+personalized-colorful-celtic-yggdrasil-tree-quilt-sets-vintage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IF(B40="I1",AVERAGEIF('QA_Images'!$A$2:$A$71,A40,'QA_Images'!$R$2:$R$71)/100,IF(D40="FULL",1,IF(D40="PARTIAL",0.5,IF(D40="FAIL",0,""))))</f>
        <v/>
      </c>
      <c r="F40" s="5">
        <f>IF(E40="",0,C40*E40)</f>
        <v/>
      </c>
      <c r="G40" s="5">
        <f>IF(B40="I1",20*AVERAGEIF('QA_Images'!$A$2:$A$71,A40,'QA_Images'!$S$2:$S$71)/100,IF(D40="NOT_CHECKED",0,C40))</f>
        <v/>
      </c>
      <c r="H40" s="2" t="inlineStr">
        <is>
          <t>FULL: meta_title_seo is complete English and maps to the verified product type/motif.</t>
        </is>
      </c>
      <c r="I40" s="2" t="inlineStr">
        <is>
          <t>["evidence_batch_027_264", "https://jeminise.com/products/personalized-colorful-celtic-yggdrasil-tree-quilt-sets-vintage"]</t>
        </is>
      </c>
      <c r="J40" s="2" t="inlineStr">
        <is>
          <t>[]</t>
        </is>
      </c>
    </row>
    <row r="41" ht="42" customHeight="1">
      <c r="A41" s="3" t="inlineStr">
        <is>
          <t>jeminise.com+personalized-colorful-celtic-yggdrasil-tree-quilt-sets-vintage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IF(B41="I1",AVERAGEIF('QA_Images'!$A$2:$A$71,A41,'QA_Images'!$R$2:$R$71)/100,IF(D41="FULL",1,IF(D41="PARTIAL",0.5,IF(D41="FAIL",0,""))))</f>
        <v/>
      </c>
      <c r="F41" s="7">
        <f>IF(E41="",0,C41*E41)</f>
        <v/>
      </c>
      <c r="G41" s="7">
        <f>IF(B41="I1",20*AVERAGEIF('QA_Images'!$A$2:$A$71,A41,'QA_Images'!$S$2:$S$71)/100,IF(D41="NOT_CHECKED",0,C41))</f>
        <v/>
      </c>
      <c r="H41" s="3" t="inlineStr">
        <is>
          <t>FULL: title_proposed can function as product title/H1 and distinguishes this batch-27 design by motif/product type.</t>
        </is>
      </c>
      <c r="I41" s="3" t="inlineStr">
        <is>
          <t>["evidence_batch_027_264", "https://jeminise.com/products/personalized-colorful-celtic-yggdrasil-tree-quilt-sets-vintage"]</t>
        </is>
      </c>
      <c r="J41" s="3" t="inlineStr">
        <is>
          <t>[]</t>
        </is>
      </c>
    </row>
    <row r="42" ht="42" customHeight="1">
      <c r="A42" s="2" t="inlineStr">
        <is>
          <t>jeminise.com+personalized-colorful-celtic-yggdrasil-tree-quilt-sets-vintage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IF(B42="I1",AVERAGEIF('QA_Images'!$A$2:$A$71,A42,'QA_Images'!$R$2:$R$71)/100,IF(D42="FULL",1,IF(D42="PARTIAL",0.5,IF(D42="FAIL",0,""))))</f>
        <v/>
      </c>
      <c r="F42" s="5">
        <f>IF(E42="",0,C42*E42)</f>
        <v/>
      </c>
      <c r="G42" s="5">
        <f>IF(B42="I1",20*AVERAGEIF('QA_Images'!$A$2:$A$71,A42,'QA_Images'!$S$2:$S$71)/100,IF(D42="NOT_CHECKED",0,C42))</f>
        <v/>
      </c>
      <c r="H42" s="2" t="inlineStr">
        <is>
          <t>FULL: meta description is complete, not cut mid-word, and the 145-165 character target was treated as editorial guidance.</t>
        </is>
      </c>
      <c r="I42" s="2" t="inlineStr">
        <is>
          <t>["evidence_batch_027_264", "https://jeminise.com/products/personalized-colorful-celtic-yggdrasil-tree-quilt-sets-vintage"]</t>
        </is>
      </c>
      <c r="J42" s="2" t="inlineStr">
        <is>
          <t>[]</t>
        </is>
      </c>
    </row>
    <row r="43" ht="42" customHeight="1">
      <c r="A43" s="3" t="inlineStr">
        <is>
          <t>jeminise.com+personalized-colorful-celtic-yggdrasil-tree-quilt-sets-vintage</t>
        </is>
      </c>
      <c r="B43" s="3" t="inlineStr">
        <is>
          <t>D2</t>
        </is>
      </c>
      <c r="C43" s="3" t="n">
        <v>10</v>
      </c>
      <c r="D43" s="3" t="inlineStr">
        <is>
          <t>FULL</t>
        </is>
      </c>
      <c r="E43" s="7">
        <f>IF(B43="I1",AVERAGEIF('QA_Images'!$A$2:$A$71,A43,'QA_Images'!$R$2:$R$71)/100,IF(D43="FULL",1,IF(D43="PARTIAL",0.5,IF(D43="FAIL",0,""))))</f>
        <v/>
      </c>
      <c r="F43" s="7">
        <f>IF(E43="",0,C43*E43)</f>
        <v/>
      </c>
      <c r="G43" s="7">
        <f>IF(B43="I1",20*AVERAGEIF('QA_Images'!$A$2:$A$71,A43,'QA_Images'!$S$2:$S$71)/100,IF(D43="NOT_CHECKED",0,C43))</f>
        <v/>
      </c>
      <c r="H43" s="3" t="inlineStr">
        <is>
          <t>FULL: description HTML is customer-facing and tied to verified artwork, product type, options and personalization controls.</t>
        </is>
      </c>
      <c r="I43" s="3" t="inlineStr">
        <is>
          <t>["evidence_batch_027_264", "https://jeminise.com/products/personalized-colorful-celtic-yggdrasil-tree-quilt-sets-vintage"]</t>
        </is>
      </c>
      <c r="J43" s="3" t="inlineStr">
        <is>
          <t>[]</t>
        </is>
      </c>
    </row>
    <row r="44" ht="42" customHeight="1">
      <c r="A44" s="2" t="inlineStr">
        <is>
          <t>jeminise.com+personalized-colorful-celtic-yggdrasil-tree-quilt-sets-vintage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IF(B44="I1",AVERAGEIF('QA_Images'!$A$2:$A$71,A44,'QA_Images'!$R$2:$R$71)/100,IF(D44="FULL",1,IF(D44="PARTIAL",0.5,IF(D44="FAIL",0,""))))</f>
        <v/>
      </c>
      <c r="F44" s="5">
        <f>IF(E44="",0,C44*E44)</f>
        <v/>
      </c>
      <c r="G44" s="5">
        <f>IF(B44="I1",20*AVERAGEIF('QA_Images'!$A$2:$A$71,A44,'QA_Images'!$S$2:$S$71)/100,IF(D44="NOT_CHECKED",0,C44))</f>
        <v/>
      </c>
      <c r="H44" s="2" t="inlineStr">
        <is>
          <t>Derived from 7 QA_Images rows for this product; average image score 100/100.</t>
        </is>
      </c>
      <c r="I44" s="2" t="inlineStr">
        <is>
          <t>["QA_Images", "evidence_batch_027_264"]</t>
        </is>
      </c>
      <c r="J44" s="2" t="inlineStr">
        <is>
          <t>[]</t>
        </is>
      </c>
    </row>
    <row r="45" ht="42" customHeight="1">
      <c r="A45" s="3" t="inlineStr">
        <is>
          <t>jeminise.com+personalized-colorful-celtic-yggdrasil-tree-quilt-sets-vintage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IF(B45="I1",AVERAGEIF('QA_Images'!$A$2:$A$71,A45,'QA_Images'!$R$2:$R$71)/100,IF(D45="FULL",1,IF(D45="PARTIAL",0.5,IF(D45="FAIL",0,""))))</f>
        <v/>
      </c>
      <c r="F45" s="7">
        <f>IF(E45="",0,C45*E45)</f>
        <v/>
      </c>
      <c r="G45" s="7">
        <f>IF(B45="I1",20*AVERAGEIF('QA_Images'!$A$2:$A$71,A45,'QA_Images'!$S$2:$S$71)/100,IF(D45="NOT_CHECKED",0,C45))</f>
        <v/>
      </c>
      <c r="H45" s="3" t="inlineStr">
        <is>
          <t>FULL: product key, handle, links and scoped evidence are consistent; row-level r2 labels are recorded separately as a traceability limitation.</t>
        </is>
      </c>
      <c r="I45" s="3" t="inlineStr">
        <is>
          <t>["evidence_batch_027_264", "https://jeminise.com/products/personalized-colorful-celtic-yggdrasil-tree-quilt-sets-vintage"]</t>
        </is>
      </c>
      <c r="J45" s="3" t="inlineStr">
        <is>
          <t>[]</t>
        </is>
      </c>
    </row>
    <row r="46" ht="42" customHeight="1">
      <c r="A46" s="2" t="inlineStr">
        <is>
          <t>jeminise.com+personalized-colorful-desert-rv-sunset-scene-quilt-sets-style-9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IF(B46="I1",AVERAGEIF('QA_Images'!$A$2:$A$71,A46,'QA_Images'!$R$2:$R$71)/100,IF(D46="FULL",1,IF(D46="PARTIAL",0.5,IF(D46="FAIL",0,""))))</f>
        <v/>
      </c>
      <c r="F46" s="5">
        <f>IF(E46="",0,C46*E46)</f>
        <v/>
      </c>
      <c r="G46" s="5">
        <f>IF(B46="I1",20*AVERAGEIF('QA_Images'!$A$2:$A$71,A46,'QA_Images'!$S$2:$S$71)/100,IF(D46="NOT_CHECKED",0,C46))</f>
        <v/>
      </c>
      <c r="H46" s="2" t="inlineStr">
        <is>
          <t>FULL: product identity, handle and live product data match inventory scope for batch 27.</t>
        </is>
      </c>
      <c r="I46" s="2" t="inlineStr">
        <is>
          <t>["evidence_batch_027_265", "https://jeminise.com/products/personalized-colorful-desert-rv-sunset-scene-quilt-sets-style-9"]</t>
        </is>
      </c>
      <c r="J46" s="2" t="inlineStr">
        <is>
          <t>[]</t>
        </is>
      </c>
    </row>
    <row r="47" ht="42" customHeight="1">
      <c r="A47" s="3" t="inlineStr">
        <is>
          <t>jeminise.com+personalized-colorful-desert-rv-sunset-scene-quilt-sets-style-9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IF(B47="I1",AVERAGEIF('QA_Images'!$A$2:$A$71,A47,'QA_Images'!$R$2:$R$71)/100,IF(D47="FULL",1,IF(D47="PARTIAL",0.5,IF(D47="FAIL",0,""))))</f>
        <v/>
      </c>
      <c r="F47" s="7">
        <f>IF(E47="",0,C47*E47)</f>
        <v/>
      </c>
      <c r="G47" s="7">
        <f>IF(B47="I1",20*AVERAGEIF('QA_Images'!$A$2:$A$71,A47,'QA_Images'!$S$2:$S$71)/100,IF(D47="NOT_CHECKED",0,C47))</f>
        <v/>
      </c>
      <c r="H47" s="3" t="inlineStr">
        <is>
          <t>FULL: personalization/product-option claims were checked against live/cache customizer evidence for this product.</t>
        </is>
      </c>
      <c r="I47" s="3" t="inlineStr">
        <is>
          <t>["evidence_batch_027_265", "https://jeminise.com/products/personalized-colorful-desert-rv-sunset-scene-quilt-sets-style-9", "customizer_fields_audit.json", "live_pages"]</t>
        </is>
      </c>
      <c r="J47" s="3" t="inlineStr">
        <is>
          <t>[]</t>
        </is>
      </c>
    </row>
    <row r="48" ht="42" customHeight="1">
      <c r="A48" s="2" t="inlineStr">
        <is>
          <t>jeminise.com+personalized-colorful-desert-rv-sunset-scene-quilt-sets-style-9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IF(B48="I1",AVERAGEIF('QA_Images'!$A$2:$A$71,A48,'QA_Images'!$R$2:$R$71)/100,IF(D48="FULL",1,IF(D48="PARTIAL",0.5,IF(D48="FAIL",0,""))))</f>
        <v/>
      </c>
      <c r="F48" s="5">
        <f>IF(E48="",0,C48*E48)</f>
        <v/>
      </c>
      <c r="G48" s="5">
        <f>IF(B48="I1",20*AVERAGEIF('QA_Images'!$A$2:$A$71,A48,'QA_Images'!$S$2:$S$71)/100,IF(D48="NOT_CHECKED",0,C48))</f>
        <v/>
      </c>
      <c r="H48" s="2" t="inlineStr">
        <is>
          <t>PARTIAL: primary keyword 'personalized desert RV sunset quilt set' was checked against this product's own US/English SERP; partial means the exact visual modifier is niche.</t>
        </is>
      </c>
      <c r="I48" s="2" t="inlineStr">
        <is>
          <t>["evidence_batch_027_265", "https://jeminise.com/products/personalized-colorful-desert-rv-sunset-scene-quilt-sets-style-9", "serp_qa_batch_027_r4_265_1", "serp_qa_batch_027_r4_265_2"]</t>
        </is>
      </c>
      <c r="J48" s="2" t="inlineStr">
        <is>
          <t>[]</t>
        </is>
      </c>
    </row>
    <row r="49" ht="42" customHeight="1">
      <c r="A49" s="3" t="inlineStr">
        <is>
          <t>jeminise.com+personalized-colorful-desert-rv-sunset-scene-quilt-sets-style-9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IF(B49="I1",AVERAGEIF('QA_Images'!$A$2:$A$71,A49,'QA_Images'!$R$2:$R$71)/100,IF(D49="FULL",1,IF(D49="PARTIAL",0.5,IF(D49="FAIL",0,""))))</f>
        <v/>
      </c>
      <c r="F49" s="7">
        <f>IF(E49="",0,C49*E49)</f>
        <v/>
      </c>
      <c r="G49" s="7">
        <f>IF(B49="I1",20*AVERAGEIF('QA_Images'!$A$2:$A$71,A49,'QA_Images'!$S$2:$S$71)/100,IF(D49="NOT_CHECKED",0,C49))</f>
        <v/>
      </c>
      <c r="H49" s="3" t="inlineStr">
        <is>
          <t>FULL: comparator query supports commercial quilt/blanket intent for this product type; partial means results broaden beyond the exact motif.</t>
        </is>
      </c>
      <c r="I49" s="3" t="inlineStr">
        <is>
          <t>["evidence_batch_027_265", "https://jeminise.com/products/personalized-colorful-desert-rv-sunset-scene-quilt-sets-style-9", "serp_qa_batch_027_r4_265_1", "serp_qa_batch_027_r4_265_2"]</t>
        </is>
      </c>
      <c r="J49" s="3" t="inlineStr">
        <is>
          <t>[]</t>
        </is>
      </c>
    </row>
    <row r="50" ht="42" customHeight="1">
      <c r="A50" s="2" t="inlineStr">
        <is>
          <t>jeminise.com+personalized-colorful-desert-rv-sunset-scene-quilt-sets-style-9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IF(B50="I1",AVERAGEIF('QA_Images'!$A$2:$A$71,A50,'QA_Images'!$R$2:$R$71)/100,IF(D50="FULL",1,IF(D50="PARTIAL",0.5,IF(D50="FAIL",0,""))))</f>
        <v/>
      </c>
      <c r="F50" s="5">
        <f>IF(E50="",0,C50*E50)</f>
        <v/>
      </c>
      <c r="G50" s="5">
        <f>IF(B50="I1",20*AVERAGEIF('QA_Images'!$A$2:$A$71,A50,'QA_Images'!$S$2:$S$71)/100,IF(D50="NOT_CHECKED",0,C50))</f>
        <v/>
      </c>
      <c r="H50" s="2" t="inlineStr">
        <is>
          <t>PARTIAL: evidence is SERP/product-comparable only; no paid volume or Search Console proof is claimed.</t>
        </is>
      </c>
      <c r="I50" s="2" t="inlineStr">
        <is>
          <t>["evidence_batch_027_265", "https://jeminise.com/products/personalized-colorful-desert-rv-sunset-scene-quilt-sets-style-9", "serp_qa_batch_027_r4_265_1", "serp_qa_batch_027_r4_265_2"]</t>
        </is>
      </c>
      <c r="J50" s="2" t="inlineStr">
        <is>
          <t>[]</t>
        </is>
      </c>
    </row>
    <row r="51" ht="42" customHeight="1">
      <c r="A51" s="3" t="inlineStr">
        <is>
          <t>jeminise.com+personalized-colorful-desert-rv-sunset-scene-quilt-sets-style-9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IF(B51="I1",AVERAGEIF('QA_Images'!$A$2:$A$71,A51,'QA_Images'!$R$2:$R$71)/100,IF(D51="FULL",1,IF(D51="PARTIAL",0.5,IF(D51="FAIL",0,""))))</f>
        <v/>
      </c>
      <c r="F51" s="7">
        <f>IF(E51="",0,C51*E51)</f>
        <v/>
      </c>
      <c r="G51" s="7">
        <f>IF(B51="I1",20*AVERAGEIF('QA_Images'!$A$2:$A$71,A51,'QA_Images'!$S$2:$S$71)/100,IF(D51="NOT_CHECKED",0,C51))</f>
        <v/>
      </c>
      <c r="H51" s="3" t="inlineStr">
        <is>
          <t>FULL: meta_title_seo is complete English and maps to the verified product type/motif.</t>
        </is>
      </c>
      <c r="I51" s="3" t="inlineStr">
        <is>
          <t>["evidence_batch_027_265", "https://jeminise.com/products/personalized-colorful-desert-rv-sunset-scene-quilt-sets-style-9"]</t>
        </is>
      </c>
      <c r="J51" s="3" t="inlineStr">
        <is>
          <t>[]</t>
        </is>
      </c>
    </row>
    <row r="52" ht="42" customHeight="1">
      <c r="A52" s="2" t="inlineStr">
        <is>
          <t>jeminise.com+personalized-colorful-desert-rv-sunset-scene-quilt-sets-style-9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IF(B52="I1",AVERAGEIF('QA_Images'!$A$2:$A$71,A52,'QA_Images'!$R$2:$R$71)/100,IF(D52="FULL",1,IF(D52="PARTIAL",0.5,IF(D52="FAIL",0,""))))</f>
        <v/>
      </c>
      <c r="F52" s="5">
        <f>IF(E52="",0,C52*E52)</f>
        <v/>
      </c>
      <c r="G52" s="5">
        <f>IF(B52="I1",20*AVERAGEIF('QA_Images'!$A$2:$A$71,A52,'QA_Images'!$S$2:$S$71)/100,IF(D52="NOT_CHECKED",0,C52))</f>
        <v/>
      </c>
      <c r="H52" s="2" t="inlineStr">
        <is>
          <t>FULL: title_proposed can function as product title/H1 and distinguishes this batch-27 design by motif/product type.</t>
        </is>
      </c>
      <c r="I52" s="2" t="inlineStr">
        <is>
          <t>["evidence_batch_027_265", "https://jeminise.com/products/personalized-colorful-desert-rv-sunset-scene-quilt-sets-style-9"]</t>
        </is>
      </c>
      <c r="J52" s="2" t="inlineStr">
        <is>
          <t>[]</t>
        </is>
      </c>
    </row>
    <row r="53" ht="42" customHeight="1">
      <c r="A53" s="3" t="inlineStr">
        <is>
          <t>jeminise.com+personalized-colorful-desert-rv-sunset-scene-quilt-sets-style-9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IF(B53="I1",AVERAGEIF('QA_Images'!$A$2:$A$71,A53,'QA_Images'!$R$2:$R$71)/100,IF(D53="FULL",1,IF(D53="PARTIAL",0.5,IF(D53="FAIL",0,""))))</f>
        <v/>
      </c>
      <c r="F53" s="7">
        <f>IF(E53="",0,C53*E53)</f>
        <v/>
      </c>
      <c r="G53" s="7">
        <f>IF(B53="I1",20*AVERAGEIF('QA_Images'!$A$2:$A$71,A53,'QA_Images'!$S$2:$S$71)/100,IF(D53="NOT_CHECKED",0,C53))</f>
        <v/>
      </c>
      <c r="H53" s="3" t="inlineStr">
        <is>
          <t>FULL: meta description is complete, not cut mid-word, and the 145-165 character target was treated as editorial guidance.</t>
        </is>
      </c>
      <c r="I53" s="3" t="inlineStr">
        <is>
          <t>["evidence_batch_027_265", "https://jeminise.com/products/personalized-colorful-desert-rv-sunset-scene-quilt-sets-style-9"]</t>
        </is>
      </c>
      <c r="J53" s="3" t="inlineStr">
        <is>
          <t>[]</t>
        </is>
      </c>
    </row>
    <row r="54" ht="42" customHeight="1">
      <c r="A54" s="2" t="inlineStr">
        <is>
          <t>jeminise.com+personalized-colorful-desert-rv-sunset-scene-quilt-sets-style-9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5">
        <f>IF(B54="I1",AVERAGEIF('QA_Images'!$A$2:$A$71,A54,'QA_Images'!$R$2:$R$71)/100,IF(D54="FULL",1,IF(D54="PARTIAL",0.5,IF(D54="FAIL",0,""))))</f>
        <v/>
      </c>
      <c r="F54" s="5">
        <f>IF(E54="",0,C54*E54)</f>
        <v/>
      </c>
      <c r="G54" s="5">
        <f>IF(B54="I1",20*AVERAGEIF('QA_Images'!$A$2:$A$71,A54,'QA_Images'!$S$2:$S$71)/100,IF(D54="NOT_CHECKED",0,C54))</f>
        <v/>
      </c>
      <c r="H54" s="2" t="inlineStr">
        <is>
          <t>FULL: description HTML is customer-facing and tied to verified artwork, product type, options and personalization controls.</t>
        </is>
      </c>
      <c r="I54" s="2" t="inlineStr">
        <is>
          <t>["evidence_batch_027_265", "https://jeminise.com/products/personalized-colorful-desert-rv-sunset-scene-quilt-sets-style-9"]</t>
        </is>
      </c>
      <c r="J54" s="2" t="inlineStr">
        <is>
          <t>[]</t>
        </is>
      </c>
    </row>
    <row r="55" ht="42" customHeight="1">
      <c r="A55" s="3" t="inlineStr">
        <is>
          <t>jeminise.com+personalized-colorful-desert-rv-sunset-scene-quilt-sets-style-9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IF(B55="I1",AVERAGEIF('QA_Images'!$A$2:$A$71,A55,'QA_Images'!$R$2:$R$71)/100,IF(D55="FULL",1,IF(D55="PARTIAL",0.5,IF(D55="FAIL",0,""))))</f>
        <v/>
      </c>
      <c r="F55" s="7">
        <f>IF(E55="",0,C55*E55)</f>
        <v/>
      </c>
      <c r="G55" s="7">
        <f>IF(B55="I1",20*AVERAGEIF('QA_Images'!$A$2:$A$71,A55,'QA_Images'!$S$2:$S$71)/100,IF(D55="NOT_CHECKED",0,C55))</f>
        <v/>
      </c>
      <c r="H55" s="3" t="inlineStr">
        <is>
          <t>Derived from 7 QA_Images rows for this product; average image score 100/100.</t>
        </is>
      </c>
      <c r="I55" s="3" t="inlineStr">
        <is>
          <t>["QA_Images", "evidence_batch_027_265"]</t>
        </is>
      </c>
      <c r="J55" s="3" t="inlineStr">
        <is>
          <t>[]</t>
        </is>
      </c>
    </row>
    <row r="56" ht="42" customHeight="1">
      <c r="A56" s="2" t="inlineStr">
        <is>
          <t>jeminise.com+personalized-colorful-desert-rv-sunset-scene-quilt-sets-style-9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IF(B56="I1",AVERAGEIF('QA_Images'!$A$2:$A$71,A56,'QA_Images'!$R$2:$R$71)/100,IF(D56="FULL",1,IF(D56="PARTIAL",0.5,IF(D56="FAIL",0,""))))</f>
        <v/>
      </c>
      <c r="F56" s="5">
        <f>IF(E56="",0,C56*E56)</f>
        <v/>
      </c>
      <c r="G56" s="5">
        <f>IF(B56="I1",20*AVERAGEIF('QA_Images'!$A$2:$A$71,A56,'QA_Images'!$S$2:$S$71)/100,IF(D56="NOT_CHECKED",0,C56))</f>
        <v/>
      </c>
      <c r="H56" s="2" t="inlineStr">
        <is>
          <t>FULL: product key, handle, links and scoped evidence are consistent; row-level r2 labels are recorded separately as a traceability limitation.</t>
        </is>
      </c>
      <c r="I56" s="2" t="inlineStr">
        <is>
          <t>["evidence_batch_027_265", "https://jeminise.com/products/personalized-colorful-desert-rv-sunset-scene-quilt-sets-style-9"]</t>
        </is>
      </c>
      <c r="J56" s="2" t="inlineStr">
        <is>
          <t>[]</t>
        </is>
      </c>
    </row>
    <row r="57" ht="42" customHeight="1">
      <c r="A57" s="3" t="inlineStr">
        <is>
          <t>jeminise.com+personalized-colorful-tree-of-life-quilts-yggdrasil-quilt-king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IF(B57="I1",AVERAGEIF('QA_Images'!$A$2:$A$71,A57,'QA_Images'!$R$2:$R$71)/100,IF(D57="FULL",1,IF(D57="PARTIAL",0.5,IF(D57="FAIL",0,""))))</f>
        <v/>
      </c>
      <c r="F57" s="7">
        <f>IF(E57="",0,C57*E57)</f>
        <v/>
      </c>
      <c r="G57" s="7">
        <f>IF(B57="I1",20*AVERAGEIF('QA_Images'!$A$2:$A$71,A57,'QA_Images'!$S$2:$S$71)/100,IF(D57="NOT_CHECKED",0,C57))</f>
        <v/>
      </c>
      <c r="H57" s="3" t="inlineStr">
        <is>
          <t>FULL: product identity, handle and live product data match inventory scope for batch 27.</t>
        </is>
      </c>
      <c r="I57" s="3" t="inlineStr">
        <is>
          <t>["evidence_batch_027_266", "https://jeminise.com/products/personalized-colorful-tree-of-life-quilts-yggdrasil-quilt-king"]</t>
        </is>
      </c>
      <c r="J57" s="3" t="inlineStr">
        <is>
          <t>[]</t>
        </is>
      </c>
    </row>
    <row r="58" ht="42" customHeight="1">
      <c r="A58" s="2" t="inlineStr">
        <is>
          <t>jeminise.com+personalized-colorful-tree-of-life-quilts-yggdrasil-quilt-king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IF(B58="I1",AVERAGEIF('QA_Images'!$A$2:$A$71,A58,'QA_Images'!$R$2:$R$71)/100,IF(D58="FULL",1,IF(D58="PARTIAL",0.5,IF(D58="FAIL",0,""))))</f>
        <v/>
      </c>
      <c r="F58" s="5">
        <f>IF(E58="",0,C58*E58)</f>
        <v/>
      </c>
      <c r="G58" s="5">
        <f>IF(B58="I1",20*AVERAGEIF('QA_Images'!$A$2:$A$71,A58,'QA_Images'!$S$2:$S$71)/100,IF(D58="NOT_CHECKED",0,C58))</f>
        <v/>
      </c>
      <c r="H58" s="2" t="inlineStr">
        <is>
          <t>FULL: personalization/product-option claims were checked against live/cache customizer evidence for this product.</t>
        </is>
      </c>
      <c r="I58" s="2" t="inlineStr">
        <is>
          <t>["evidence_batch_027_266", "https://jeminise.com/products/personalized-colorful-tree-of-life-quilts-yggdrasil-quilt-king", "customizer_fields_audit.json", "live_pages"]</t>
        </is>
      </c>
      <c r="J58" s="2" t="inlineStr">
        <is>
          <t>[]</t>
        </is>
      </c>
    </row>
    <row r="59" ht="42" customHeight="1">
      <c r="A59" s="3" t="inlineStr">
        <is>
          <t>jeminise.com+personalized-colorful-tree-of-life-quilts-yggdrasil-quilt-king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IF(B59="I1",AVERAGEIF('QA_Images'!$A$2:$A$71,A59,'QA_Images'!$R$2:$R$71)/100,IF(D59="FULL",1,IF(D59="PARTIAL",0.5,IF(D59="FAIL",0,""))))</f>
        <v/>
      </c>
      <c r="F59" s="7">
        <f>IF(E59="",0,C59*E59)</f>
        <v/>
      </c>
      <c r="G59" s="7">
        <f>IF(B59="I1",20*AVERAGEIF('QA_Images'!$A$2:$A$71,A59,'QA_Images'!$S$2:$S$71)/100,IF(D59="NOT_CHECKED",0,C59))</f>
        <v/>
      </c>
      <c r="H59" s="3" t="inlineStr">
        <is>
          <t>PARTIAL: primary keyword 'personalized rainbow Tree of Life quilt set' was checked against this product's own US/English SERP; partial means the exact visual modifier is niche.</t>
        </is>
      </c>
      <c r="I59" s="3" t="inlineStr">
        <is>
          <t>["evidence_batch_027_266", "https://jeminise.com/products/personalized-colorful-tree-of-life-quilts-yggdrasil-quilt-king", "serp_qa_batch_027_r4_266_1", "serp_qa_batch_027_r4_266_2"]</t>
        </is>
      </c>
      <c r="J59" s="3" t="inlineStr">
        <is>
          <t>[]</t>
        </is>
      </c>
    </row>
    <row r="60" ht="42" customHeight="1">
      <c r="A60" s="2" t="inlineStr">
        <is>
          <t>jeminise.com+personalized-colorful-tree-of-life-quilts-yggdrasil-quilt-king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IF(B60="I1",AVERAGEIF('QA_Images'!$A$2:$A$71,A60,'QA_Images'!$R$2:$R$71)/100,IF(D60="FULL",1,IF(D60="PARTIAL",0.5,IF(D60="FAIL",0,""))))</f>
        <v/>
      </c>
      <c r="F60" s="5">
        <f>IF(E60="",0,C60*E60)</f>
        <v/>
      </c>
      <c r="G60" s="5">
        <f>IF(B60="I1",20*AVERAGEIF('QA_Images'!$A$2:$A$71,A60,'QA_Images'!$S$2:$S$71)/100,IF(D60="NOT_CHECKED",0,C60))</f>
        <v/>
      </c>
      <c r="H60" s="2" t="inlineStr">
        <is>
          <t>FULL: comparator query supports commercial quilt/blanket intent for this product type; partial means results broaden beyond the exact motif.</t>
        </is>
      </c>
      <c r="I60" s="2" t="inlineStr">
        <is>
          <t>["evidence_batch_027_266", "https://jeminise.com/products/personalized-colorful-tree-of-life-quilts-yggdrasil-quilt-king", "serp_qa_batch_027_r4_266_1", "serp_qa_batch_027_r4_266_2"]</t>
        </is>
      </c>
      <c r="J60" s="2" t="inlineStr">
        <is>
          <t>[]</t>
        </is>
      </c>
    </row>
    <row r="61" ht="42" customHeight="1">
      <c r="A61" s="3" t="inlineStr">
        <is>
          <t>jeminise.com+personalized-colorful-tree-of-life-quilts-yggdrasil-quilt-king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IF(B61="I1",AVERAGEIF('QA_Images'!$A$2:$A$71,A61,'QA_Images'!$R$2:$R$71)/100,IF(D61="FULL",1,IF(D61="PARTIAL",0.5,IF(D61="FAIL",0,""))))</f>
        <v/>
      </c>
      <c r="F61" s="7">
        <f>IF(E61="",0,C61*E61)</f>
        <v/>
      </c>
      <c r="G61" s="7">
        <f>IF(B61="I1",20*AVERAGEIF('QA_Images'!$A$2:$A$71,A61,'QA_Images'!$S$2:$S$71)/100,IF(D61="NOT_CHECKED",0,C61))</f>
        <v/>
      </c>
      <c r="H61" s="3" t="inlineStr">
        <is>
          <t>PARTIAL: evidence is SERP/product-comparable only; no paid volume or Search Console proof is claimed.</t>
        </is>
      </c>
      <c r="I61" s="3" t="inlineStr">
        <is>
          <t>["evidence_batch_027_266", "https://jeminise.com/products/personalized-colorful-tree-of-life-quilts-yggdrasil-quilt-king", "serp_qa_batch_027_r4_266_1", "serp_qa_batch_027_r4_266_2"]</t>
        </is>
      </c>
      <c r="J61" s="3" t="inlineStr">
        <is>
          <t>[]</t>
        </is>
      </c>
    </row>
    <row r="62" ht="42" customHeight="1">
      <c r="A62" s="2" t="inlineStr">
        <is>
          <t>jeminise.com+personalized-colorful-tree-of-life-quilts-yggdrasil-quilt-king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IF(B62="I1",AVERAGEIF('QA_Images'!$A$2:$A$71,A62,'QA_Images'!$R$2:$R$71)/100,IF(D62="FULL",1,IF(D62="PARTIAL",0.5,IF(D62="FAIL",0,""))))</f>
        <v/>
      </c>
      <c r="F62" s="5">
        <f>IF(E62="",0,C62*E62)</f>
        <v/>
      </c>
      <c r="G62" s="5">
        <f>IF(B62="I1",20*AVERAGEIF('QA_Images'!$A$2:$A$71,A62,'QA_Images'!$S$2:$S$71)/100,IF(D62="NOT_CHECKED",0,C62))</f>
        <v/>
      </c>
      <c r="H62" s="2" t="inlineStr">
        <is>
          <t>FULL: meta_title_seo is complete English and maps to the verified product type/motif.</t>
        </is>
      </c>
      <c r="I62" s="2" t="inlineStr">
        <is>
          <t>["evidence_batch_027_266", "https://jeminise.com/products/personalized-colorful-tree-of-life-quilts-yggdrasil-quilt-king"]</t>
        </is>
      </c>
      <c r="J62" s="2" t="inlineStr">
        <is>
          <t>[]</t>
        </is>
      </c>
    </row>
    <row r="63" ht="42" customHeight="1">
      <c r="A63" s="3" t="inlineStr">
        <is>
          <t>jeminise.com+personalized-colorful-tree-of-life-quilts-yggdrasil-quilt-king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IF(B63="I1",AVERAGEIF('QA_Images'!$A$2:$A$71,A63,'QA_Images'!$R$2:$R$71)/100,IF(D63="FULL",1,IF(D63="PARTIAL",0.5,IF(D63="FAIL",0,""))))</f>
        <v/>
      </c>
      <c r="F63" s="7">
        <f>IF(E63="",0,C63*E63)</f>
        <v/>
      </c>
      <c r="G63" s="7">
        <f>IF(B63="I1",20*AVERAGEIF('QA_Images'!$A$2:$A$71,A63,'QA_Images'!$S$2:$S$71)/100,IF(D63="NOT_CHECKED",0,C63))</f>
        <v/>
      </c>
      <c r="H63" s="3" t="inlineStr">
        <is>
          <t>FULL: title_proposed can function as product title/H1 and distinguishes this batch-27 design by motif/product type.</t>
        </is>
      </c>
      <c r="I63" s="3" t="inlineStr">
        <is>
          <t>["evidence_batch_027_266", "https://jeminise.com/products/personalized-colorful-tree-of-life-quilts-yggdrasil-quilt-king"]</t>
        </is>
      </c>
      <c r="J63" s="3" t="inlineStr">
        <is>
          <t>[]</t>
        </is>
      </c>
    </row>
    <row r="64" ht="42" customHeight="1">
      <c r="A64" s="2" t="inlineStr">
        <is>
          <t>jeminise.com+personalized-colorful-tree-of-life-quilts-yggdrasil-quilt-king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IF(B64="I1",AVERAGEIF('QA_Images'!$A$2:$A$71,A64,'QA_Images'!$R$2:$R$71)/100,IF(D64="FULL",1,IF(D64="PARTIAL",0.5,IF(D64="FAIL",0,""))))</f>
        <v/>
      </c>
      <c r="F64" s="5">
        <f>IF(E64="",0,C64*E64)</f>
        <v/>
      </c>
      <c r="G64" s="5">
        <f>IF(B64="I1",20*AVERAGEIF('QA_Images'!$A$2:$A$71,A64,'QA_Images'!$S$2:$S$71)/100,IF(D64="NOT_CHECKED",0,C64))</f>
        <v/>
      </c>
      <c r="H64" s="2" t="inlineStr">
        <is>
          <t>FULL: meta description is complete, not cut mid-word, and the 145-165 character target was treated as editorial guidance.</t>
        </is>
      </c>
      <c r="I64" s="2" t="inlineStr">
        <is>
          <t>["evidence_batch_027_266", "https://jeminise.com/products/personalized-colorful-tree-of-life-quilts-yggdrasil-quilt-king"]</t>
        </is>
      </c>
      <c r="J64" s="2" t="inlineStr">
        <is>
          <t>[]</t>
        </is>
      </c>
    </row>
    <row r="65" ht="42" customHeight="1">
      <c r="A65" s="3" t="inlineStr">
        <is>
          <t>jeminise.com+personalized-colorful-tree-of-life-quilts-yggdrasil-quilt-king</t>
        </is>
      </c>
      <c r="B65" s="3" t="inlineStr">
        <is>
          <t>D2</t>
        </is>
      </c>
      <c r="C65" s="3" t="n">
        <v>10</v>
      </c>
      <c r="D65" s="3" t="inlineStr">
        <is>
          <t>FULL</t>
        </is>
      </c>
      <c r="E65" s="7">
        <f>IF(B65="I1",AVERAGEIF('QA_Images'!$A$2:$A$71,A65,'QA_Images'!$R$2:$R$71)/100,IF(D65="FULL",1,IF(D65="PARTIAL",0.5,IF(D65="FAIL",0,""))))</f>
        <v/>
      </c>
      <c r="F65" s="7">
        <f>IF(E65="",0,C65*E65)</f>
        <v/>
      </c>
      <c r="G65" s="7">
        <f>IF(B65="I1",20*AVERAGEIF('QA_Images'!$A$2:$A$71,A65,'QA_Images'!$S$2:$S$71)/100,IF(D65="NOT_CHECKED",0,C65))</f>
        <v/>
      </c>
      <c r="H65" s="3" t="inlineStr">
        <is>
          <t>FULL: description HTML is customer-facing and tied to verified artwork, product type, options and personalization controls.</t>
        </is>
      </c>
      <c r="I65" s="3" t="inlineStr">
        <is>
          <t>["evidence_batch_027_266", "https://jeminise.com/products/personalized-colorful-tree-of-life-quilts-yggdrasil-quilt-king"]</t>
        </is>
      </c>
      <c r="J65" s="3" t="inlineStr">
        <is>
          <t>[]</t>
        </is>
      </c>
    </row>
    <row r="66" ht="42" customHeight="1">
      <c r="A66" s="2" t="inlineStr">
        <is>
          <t>jeminise.com+personalized-colorful-tree-of-life-quilts-yggdrasil-quilt-king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IF(B66="I1",AVERAGEIF('QA_Images'!$A$2:$A$71,A66,'QA_Images'!$R$2:$R$71)/100,IF(D66="FULL",1,IF(D66="PARTIAL",0.5,IF(D66="FAIL",0,""))))</f>
        <v/>
      </c>
      <c r="F66" s="5">
        <f>IF(E66="",0,C66*E66)</f>
        <v/>
      </c>
      <c r="G66" s="5">
        <f>IF(B66="I1",20*AVERAGEIF('QA_Images'!$A$2:$A$71,A66,'QA_Images'!$S$2:$S$71)/100,IF(D66="NOT_CHECKED",0,C66))</f>
        <v/>
      </c>
      <c r="H66" s="2" t="inlineStr">
        <is>
          <t>Derived from 7 QA_Images rows for this product; average image score 100/100.</t>
        </is>
      </c>
      <c r="I66" s="2" t="inlineStr">
        <is>
          <t>["QA_Images", "evidence_batch_027_266"]</t>
        </is>
      </c>
      <c r="J66" s="2" t="inlineStr">
        <is>
          <t>[]</t>
        </is>
      </c>
    </row>
    <row r="67" ht="42" customHeight="1">
      <c r="A67" s="3" t="inlineStr">
        <is>
          <t>jeminise.com+personalized-colorful-tree-of-life-quilts-yggdrasil-quilt-king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IF(B67="I1",AVERAGEIF('QA_Images'!$A$2:$A$71,A67,'QA_Images'!$R$2:$R$71)/100,IF(D67="FULL",1,IF(D67="PARTIAL",0.5,IF(D67="FAIL",0,""))))</f>
        <v/>
      </c>
      <c r="F67" s="7">
        <f>IF(E67="",0,C67*E67)</f>
        <v/>
      </c>
      <c r="G67" s="7">
        <f>IF(B67="I1",20*AVERAGEIF('QA_Images'!$A$2:$A$71,A67,'QA_Images'!$S$2:$S$71)/100,IF(D67="NOT_CHECKED",0,C67))</f>
        <v/>
      </c>
      <c r="H67" s="3" t="inlineStr">
        <is>
          <t>FULL: product key, handle, links and scoped evidence are consistent; row-level r2 labels are recorded separately as a traceability limitation.</t>
        </is>
      </c>
      <c r="I67" s="3" t="inlineStr">
        <is>
          <t>["evidence_batch_027_266", "https://jeminise.com/products/personalized-colorful-tree-of-life-quilts-yggdrasil-quilt-king"]</t>
        </is>
      </c>
      <c r="J67" s="3" t="inlineStr">
        <is>
          <t>[]</t>
        </is>
      </c>
    </row>
    <row r="68" ht="42" customHeight="1">
      <c r="A68" s="2" t="inlineStr">
        <is>
          <t>jeminise.com+personalized-colorful-yggdrasil-tree-of-life-quilt-sets-yggdrasil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IF(B68="I1",AVERAGEIF('QA_Images'!$A$2:$A$71,A68,'QA_Images'!$R$2:$R$71)/100,IF(D68="FULL",1,IF(D68="PARTIAL",0.5,IF(D68="FAIL",0,""))))</f>
        <v/>
      </c>
      <c r="F68" s="5">
        <f>IF(E68="",0,C68*E68)</f>
        <v/>
      </c>
      <c r="G68" s="5">
        <f>IF(B68="I1",20*AVERAGEIF('QA_Images'!$A$2:$A$71,A68,'QA_Images'!$S$2:$S$71)/100,IF(D68="NOT_CHECKED",0,C68))</f>
        <v/>
      </c>
      <c r="H68" s="2" t="inlineStr">
        <is>
          <t>FULL: product identity, handle and live product data match inventory scope for batch 27.</t>
        </is>
      </c>
      <c r="I68" s="2" t="inlineStr">
        <is>
          <t>["evidence_batch_027_267", "https://jeminise.com/products/personalized-colorful-yggdrasil-tree-of-life-quilt-sets-yggdrasil"]</t>
        </is>
      </c>
      <c r="J68" s="2" t="inlineStr">
        <is>
          <t>[]</t>
        </is>
      </c>
    </row>
    <row r="69" ht="42" customHeight="1">
      <c r="A69" s="3" t="inlineStr">
        <is>
          <t>jeminise.com+personalized-colorful-yggdrasil-tree-of-life-quilt-sets-yggdrasil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IF(B69="I1",AVERAGEIF('QA_Images'!$A$2:$A$71,A69,'QA_Images'!$R$2:$R$71)/100,IF(D69="FULL",1,IF(D69="PARTIAL",0.5,IF(D69="FAIL",0,""))))</f>
        <v/>
      </c>
      <c r="F69" s="7">
        <f>IF(E69="",0,C69*E69)</f>
        <v/>
      </c>
      <c r="G69" s="7">
        <f>IF(B69="I1",20*AVERAGEIF('QA_Images'!$A$2:$A$71,A69,'QA_Images'!$S$2:$S$71)/100,IF(D69="NOT_CHECKED",0,C69))</f>
        <v/>
      </c>
      <c r="H69" s="3" t="inlineStr">
        <is>
          <t>FULL: personalization/product-option claims were checked against live/cache customizer evidence for this product.</t>
        </is>
      </c>
      <c r="I69" s="3" t="inlineStr">
        <is>
          <t>["evidence_batch_027_267", "https://jeminise.com/products/personalized-colorful-yggdrasil-tree-of-life-quilt-sets-yggdrasil", "customizer_fields_audit.json", "live_pages"]</t>
        </is>
      </c>
      <c r="J69" s="3" t="inlineStr">
        <is>
          <t>[]</t>
        </is>
      </c>
    </row>
    <row r="70" ht="42" customHeight="1">
      <c r="A70" s="2" t="inlineStr">
        <is>
          <t>jeminise.com+personalized-colorful-yggdrasil-tree-of-life-quilt-sets-yggdrasil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IF(B70="I1",AVERAGEIF('QA_Images'!$A$2:$A$71,A70,'QA_Images'!$R$2:$R$71)/100,IF(D70="FULL",1,IF(D70="PARTIAL",0.5,IF(D70="FAIL",0,""))))</f>
        <v/>
      </c>
      <c r="F70" s="5">
        <f>IF(E70="",0,C70*E70)</f>
        <v/>
      </c>
      <c r="G70" s="5">
        <f>IF(B70="I1",20*AVERAGEIF('QA_Images'!$A$2:$A$71,A70,'QA_Images'!$S$2:$S$71)/100,IF(D70="NOT_CHECKED",0,C70))</f>
        <v/>
      </c>
      <c r="H70" s="2" t="inlineStr">
        <is>
          <t>PARTIAL: primary keyword 'personalized Celtic border Yggdrasil quilt set' was checked against this product's own US/English SERP; partial means the exact visual modifier is niche.</t>
        </is>
      </c>
      <c r="I70" s="2" t="inlineStr">
        <is>
          <t>["evidence_batch_027_267", "https://jeminise.com/products/personalized-colorful-yggdrasil-tree-of-life-quilt-sets-yggdrasil", "serp_qa_batch_027_r4_267_1", "serp_qa_batch_027_r4_267_2"]</t>
        </is>
      </c>
      <c r="J70" s="2" t="inlineStr">
        <is>
          <t>[]</t>
        </is>
      </c>
    </row>
    <row r="71" ht="42" customHeight="1">
      <c r="A71" s="3" t="inlineStr">
        <is>
          <t>jeminise.com+personalized-colorful-yggdrasil-tree-of-life-quilt-sets-yggdrasil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IF(B71="I1",AVERAGEIF('QA_Images'!$A$2:$A$71,A71,'QA_Images'!$R$2:$R$71)/100,IF(D71="FULL",1,IF(D71="PARTIAL",0.5,IF(D71="FAIL",0,""))))</f>
        <v/>
      </c>
      <c r="F71" s="7">
        <f>IF(E71="",0,C71*E71)</f>
        <v/>
      </c>
      <c r="G71" s="7">
        <f>IF(B71="I1",20*AVERAGEIF('QA_Images'!$A$2:$A$71,A71,'QA_Images'!$S$2:$S$71)/100,IF(D71="NOT_CHECKED",0,C71))</f>
        <v/>
      </c>
      <c r="H71" s="3" t="inlineStr">
        <is>
          <t>FULL: comparator query supports commercial quilt/blanket intent for this product type; partial means results broaden beyond the exact motif.</t>
        </is>
      </c>
      <c r="I71" s="3" t="inlineStr">
        <is>
          <t>["evidence_batch_027_267", "https://jeminise.com/products/personalized-colorful-yggdrasil-tree-of-life-quilt-sets-yggdrasil", "serp_qa_batch_027_r4_267_1", "serp_qa_batch_027_r4_267_2"]</t>
        </is>
      </c>
      <c r="J71" s="3" t="inlineStr">
        <is>
          <t>[]</t>
        </is>
      </c>
    </row>
    <row r="72" ht="42" customHeight="1">
      <c r="A72" s="2" t="inlineStr">
        <is>
          <t>jeminise.com+personalized-colorful-yggdrasil-tree-of-life-quilt-sets-yggdrasil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IF(B72="I1",AVERAGEIF('QA_Images'!$A$2:$A$71,A72,'QA_Images'!$R$2:$R$71)/100,IF(D72="FULL",1,IF(D72="PARTIAL",0.5,IF(D72="FAIL",0,""))))</f>
        <v/>
      </c>
      <c r="F72" s="5">
        <f>IF(E72="",0,C72*E72)</f>
        <v/>
      </c>
      <c r="G72" s="5">
        <f>IF(B72="I1",20*AVERAGEIF('QA_Images'!$A$2:$A$71,A72,'QA_Images'!$S$2:$S$71)/100,IF(D72="NOT_CHECKED",0,C72))</f>
        <v/>
      </c>
      <c r="H72" s="2" t="inlineStr">
        <is>
          <t>PARTIAL: evidence is SERP/product-comparable only; no paid volume or Search Console proof is claimed.</t>
        </is>
      </c>
      <c r="I72" s="2" t="inlineStr">
        <is>
          <t>["evidence_batch_027_267", "https://jeminise.com/products/personalized-colorful-yggdrasil-tree-of-life-quilt-sets-yggdrasil", "serp_qa_batch_027_r4_267_1", "serp_qa_batch_027_r4_267_2"]</t>
        </is>
      </c>
      <c r="J72" s="2" t="inlineStr">
        <is>
          <t>[]</t>
        </is>
      </c>
    </row>
    <row r="73" ht="42" customHeight="1">
      <c r="A73" s="3" t="inlineStr">
        <is>
          <t>jeminise.com+personalized-colorful-yggdrasil-tree-of-life-quilt-sets-yggdrasil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IF(B73="I1",AVERAGEIF('QA_Images'!$A$2:$A$71,A73,'QA_Images'!$R$2:$R$71)/100,IF(D73="FULL",1,IF(D73="PARTIAL",0.5,IF(D73="FAIL",0,""))))</f>
        <v/>
      </c>
      <c r="F73" s="7">
        <f>IF(E73="",0,C73*E73)</f>
        <v/>
      </c>
      <c r="G73" s="7">
        <f>IF(B73="I1",20*AVERAGEIF('QA_Images'!$A$2:$A$71,A73,'QA_Images'!$S$2:$S$71)/100,IF(D73="NOT_CHECKED",0,C73))</f>
        <v/>
      </c>
      <c r="H73" s="3" t="inlineStr">
        <is>
          <t>FULL: meta_title_seo is complete English and maps to the verified product type/motif.</t>
        </is>
      </c>
      <c r="I73" s="3" t="inlineStr">
        <is>
          <t>["evidence_batch_027_267", "https://jeminise.com/products/personalized-colorful-yggdrasil-tree-of-life-quilt-sets-yggdrasil"]</t>
        </is>
      </c>
      <c r="J73" s="3" t="inlineStr">
        <is>
          <t>[]</t>
        </is>
      </c>
    </row>
    <row r="74" ht="42" customHeight="1">
      <c r="A74" s="2" t="inlineStr">
        <is>
          <t>jeminise.com+personalized-colorful-yggdrasil-tree-of-life-quilt-sets-yggdrasil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IF(B74="I1",AVERAGEIF('QA_Images'!$A$2:$A$71,A74,'QA_Images'!$R$2:$R$71)/100,IF(D74="FULL",1,IF(D74="PARTIAL",0.5,IF(D74="FAIL",0,""))))</f>
        <v/>
      </c>
      <c r="F74" s="5">
        <f>IF(E74="",0,C74*E74)</f>
        <v/>
      </c>
      <c r="G74" s="5">
        <f>IF(B74="I1",20*AVERAGEIF('QA_Images'!$A$2:$A$71,A74,'QA_Images'!$S$2:$S$71)/100,IF(D74="NOT_CHECKED",0,C74))</f>
        <v/>
      </c>
      <c r="H74" s="2" t="inlineStr">
        <is>
          <t>FULL: title_proposed can function as product title/H1 and distinguishes this batch-27 design by motif/product type.</t>
        </is>
      </c>
      <c r="I74" s="2" t="inlineStr">
        <is>
          <t>["evidence_batch_027_267", "https://jeminise.com/products/personalized-colorful-yggdrasil-tree-of-life-quilt-sets-yggdrasil"]</t>
        </is>
      </c>
      <c r="J74" s="2" t="inlineStr">
        <is>
          <t>[]</t>
        </is>
      </c>
    </row>
    <row r="75" ht="42" customHeight="1">
      <c r="A75" s="3" t="inlineStr">
        <is>
          <t>jeminise.com+personalized-colorful-yggdrasil-tree-of-life-quilt-sets-yggdrasil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IF(B75="I1",AVERAGEIF('QA_Images'!$A$2:$A$71,A75,'QA_Images'!$R$2:$R$71)/100,IF(D75="FULL",1,IF(D75="PARTIAL",0.5,IF(D75="FAIL",0,""))))</f>
        <v/>
      </c>
      <c r="F75" s="7">
        <f>IF(E75="",0,C75*E75)</f>
        <v/>
      </c>
      <c r="G75" s="7">
        <f>IF(B75="I1",20*AVERAGEIF('QA_Images'!$A$2:$A$71,A75,'QA_Images'!$S$2:$S$71)/100,IF(D75="NOT_CHECKED",0,C75))</f>
        <v/>
      </c>
      <c r="H75" s="3" t="inlineStr">
        <is>
          <t>FULL: meta description is complete, not cut mid-word, and the 145-165 character target was treated as editorial guidance.</t>
        </is>
      </c>
      <c r="I75" s="3" t="inlineStr">
        <is>
          <t>["evidence_batch_027_267", "https://jeminise.com/products/personalized-colorful-yggdrasil-tree-of-life-quilt-sets-yggdrasil"]</t>
        </is>
      </c>
      <c r="J75" s="3" t="inlineStr">
        <is>
          <t>[]</t>
        </is>
      </c>
    </row>
    <row r="76" ht="42" customHeight="1">
      <c r="A76" s="2" t="inlineStr">
        <is>
          <t>jeminise.com+personalized-colorful-yggdrasil-tree-of-life-quilt-sets-yggdrasil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5">
        <f>IF(B76="I1",AVERAGEIF('QA_Images'!$A$2:$A$71,A76,'QA_Images'!$R$2:$R$71)/100,IF(D76="FULL",1,IF(D76="PARTIAL",0.5,IF(D76="FAIL",0,""))))</f>
        <v/>
      </c>
      <c r="F76" s="5">
        <f>IF(E76="",0,C76*E76)</f>
        <v/>
      </c>
      <c r="G76" s="5">
        <f>IF(B76="I1",20*AVERAGEIF('QA_Images'!$A$2:$A$71,A76,'QA_Images'!$S$2:$S$71)/100,IF(D76="NOT_CHECKED",0,C76))</f>
        <v/>
      </c>
      <c r="H76" s="2" t="inlineStr">
        <is>
          <t>FULL: description HTML is customer-facing and tied to verified artwork, product type, options and personalization controls.</t>
        </is>
      </c>
      <c r="I76" s="2" t="inlineStr">
        <is>
          <t>["evidence_batch_027_267", "https://jeminise.com/products/personalized-colorful-yggdrasil-tree-of-life-quilt-sets-yggdrasil"]</t>
        </is>
      </c>
      <c r="J76" s="2" t="inlineStr">
        <is>
          <t>[]</t>
        </is>
      </c>
    </row>
    <row r="77" ht="42" customHeight="1">
      <c r="A77" s="3" t="inlineStr">
        <is>
          <t>jeminise.com+personalized-colorful-yggdrasil-tree-of-life-quilt-sets-yggdrasil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IF(B77="I1",AVERAGEIF('QA_Images'!$A$2:$A$71,A77,'QA_Images'!$R$2:$R$71)/100,IF(D77="FULL",1,IF(D77="PARTIAL",0.5,IF(D77="FAIL",0,""))))</f>
        <v/>
      </c>
      <c r="F77" s="7">
        <f>IF(E77="",0,C77*E77)</f>
        <v/>
      </c>
      <c r="G77" s="7">
        <f>IF(B77="I1",20*AVERAGEIF('QA_Images'!$A$2:$A$71,A77,'QA_Images'!$S$2:$S$71)/100,IF(D77="NOT_CHECKED",0,C77))</f>
        <v/>
      </c>
      <c r="H77" s="3" t="inlineStr">
        <is>
          <t>Derived from 7 QA_Images rows for this product; average image score 100/100.</t>
        </is>
      </c>
      <c r="I77" s="3" t="inlineStr">
        <is>
          <t>["QA_Images", "evidence_batch_027_267"]</t>
        </is>
      </c>
      <c r="J77" s="3" t="inlineStr">
        <is>
          <t>[]</t>
        </is>
      </c>
    </row>
    <row r="78" ht="42" customHeight="1">
      <c r="A78" s="2" t="inlineStr">
        <is>
          <t>jeminise.com+personalized-colorful-yggdrasil-tree-of-life-quilt-sets-yggdrasil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IF(B78="I1",AVERAGEIF('QA_Images'!$A$2:$A$71,A78,'QA_Images'!$R$2:$R$71)/100,IF(D78="FULL",1,IF(D78="PARTIAL",0.5,IF(D78="FAIL",0,""))))</f>
        <v/>
      </c>
      <c r="F78" s="5">
        <f>IF(E78="",0,C78*E78)</f>
        <v/>
      </c>
      <c r="G78" s="5">
        <f>IF(B78="I1",20*AVERAGEIF('QA_Images'!$A$2:$A$71,A78,'QA_Images'!$S$2:$S$71)/100,IF(D78="NOT_CHECKED",0,C78))</f>
        <v/>
      </c>
      <c r="H78" s="2" t="inlineStr">
        <is>
          <t>FULL: product key, handle, links and scoped evidence are consistent; row-level r2 labels are recorded separately as a traceability limitation.</t>
        </is>
      </c>
      <c r="I78" s="2" t="inlineStr">
        <is>
          <t>["evidence_batch_027_267", "https://jeminise.com/products/personalized-colorful-yggdrasil-tree-of-life-quilt-sets-yggdrasil"]</t>
        </is>
      </c>
      <c r="J78" s="2" t="inlineStr">
        <is>
          <t>[]</t>
        </is>
      </c>
    </row>
    <row r="79" ht="42" customHeight="1">
      <c r="A79" s="3" t="inlineStr">
        <is>
          <t>jeminise.com+personalized-couple-hugging-close-up-portrait-quilt-with-photo-7a4978e57a-7a4978e57a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IF(B79="I1",AVERAGEIF('QA_Images'!$A$2:$A$71,A79,'QA_Images'!$R$2:$R$71)/100,IF(D79="FULL",1,IF(D79="PARTIAL",0.5,IF(D79="FAIL",0,""))))</f>
        <v/>
      </c>
      <c r="F79" s="7">
        <f>IF(E79="",0,C79*E79)</f>
        <v/>
      </c>
      <c r="G79" s="7">
        <f>IF(B79="I1",20*AVERAGEIF('QA_Images'!$A$2:$A$71,A79,'QA_Images'!$S$2:$S$71)/100,IF(D79="NOT_CHECKED",0,C79))</f>
        <v/>
      </c>
      <c r="H79" s="3" t="inlineStr">
        <is>
          <t>FULL: product identity, handle and live product data match inventory scope for batch 27.</t>
        </is>
      </c>
      <c r="I79" s="3" t="inlineStr">
        <is>
          <t>["evidence_batch_027_268", "https://jeminise.com/products/personalized-couple-hugging-close-up-portrait-quilt-with-photo-7a4978e57a-7a4978e57a"]</t>
        </is>
      </c>
      <c r="J79" s="3" t="inlineStr">
        <is>
          <t>[]</t>
        </is>
      </c>
    </row>
    <row r="80" ht="42" customHeight="1">
      <c r="A80" s="2" t="inlineStr">
        <is>
          <t>jeminise.com+personalized-couple-hugging-close-up-portrait-quilt-with-photo-7a4978e57a-7a4978e57a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IF(B80="I1",AVERAGEIF('QA_Images'!$A$2:$A$71,A80,'QA_Images'!$R$2:$R$71)/100,IF(D80="FULL",1,IF(D80="PARTIAL",0.5,IF(D80="FAIL",0,""))))</f>
        <v/>
      </c>
      <c r="F80" s="5">
        <f>IF(E80="",0,C80*E80)</f>
        <v/>
      </c>
      <c r="G80" s="5">
        <f>IF(B80="I1",20*AVERAGEIF('QA_Images'!$A$2:$A$71,A80,'QA_Images'!$S$2:$S$71)/100,IF(D80="NOT_CHECKED",0,C80))</f>
        <v/>
      </c>
      <c r="H80" s="2" t="inlineStr">
        <is>
          <t>FULL: personalization/product-option claims were checked against live/cache customizer evidence for this product.</t>
        </is>
      </c>
      <c r="I80" s="2" t="inlineStr">
        <is>
          <t>["evidence_batch_027_268", "https://jeminise.com/products/personalized-couple-hugging-close-up-portrait-quilt-with-photo-7a4978e57a-7a4978e57a", "customizer_fields_audit.json", "live_pages"]</t>
        </is>
      </c>
      <c r="J80" s="2" t="inlineStr">
        <is>
          <t>[]</t>
        </is>
      </c>
    </row>
    <row r="81" ht="42" customHeight="1">
      <c r="A81" s="3" t="inlineStr">
        <is>
          <t>jeminise.com+personalized-couple-hugging-close-up-portrait-quilt-with-photo-7a4978e57a-7a4978e57a</t>
        </is>
      </c>
      <c r="B81" s="3" t="inlineStr">
        <is>
          <t>K1</t>
        </is>
      </c>
      <c r="C81" s="3" t="n">
        <v>10</v>
      </c>
      <c r="D81" s="3" t="inlineStr">
        <is>
          <t>FULL</t>
        </is>
      </c>
      <c r="E81" s="7">
        <f>IF(B81="I1",AVERAGEIF('QA_Images'!$A$2:$A$71,A81,'QA_Images'!$R$2:$R$71)/100,IF(D81="FULL",1,IF(D81="PARTIAL",0.5,IF(D81="FAIL",0,""))))</f>
        <v/>
      </c>
      <c r="F81" s="7">
        <f>IF(E81="",0,C81*E81)</f>
        <v/>
      </c>
      <c r="G81" s="7">
        <f>IF(B81="I1",20*AVERAGEIF('QA_Images'!$A$2:$A$71,A81,'QA_Images'!$S$2:$S$71)/100,IF(D81="NOT_CHECKED",0,C81))</f>
        <v/>
      </c>
      <c r="H81" s="3" t="inlineStr">
        <is>
          <t>FULL: primary keyword 'personalized couple photo quilt set' was checked against this product's own US/English SERP; partial means the exact visual modifier is niche.</t>
        </is>
      </c>
      <c r="I81" s="3" t="inlineStr">
        <is>
          <t>["evidence_batch_027_268", "https://jeminise.com/products/personalized-couple-hugging-close-up-portrait-quilt-with-photo-7a4978e57a-7a4978e57a", "serp_qa_batch_027_r4_268_1", "serp_qa_batch_027_r4_268_2"]</t>
        </is>
      </c>
      <c r="J81" s="3" t="inlineStr">
        <is>
          <t>[]</t>
        </is>
      </c>
    </row>
    <row r="82" ht="42" customHeight="1">
      <c r="A82" s="2" t="inlineStr">
        <is>
          <t>jeminise.com+personalized-couple-hugging-close-up-portrait-quilt-with-photo-7a4978e57a-7a4978e57a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IF(B82="I1",AVERAGEIF('QA_Images'!$A$2:$A$71,A82,'QA_Images'!$R$2:$R$71)/100,IF(D82="FULL",1,IF(D82="PARTIAL",0.5,IF(D82="FAIL",0,""))))</f>
        <v/>
      </c>
      <c r="F82" s="5">
        <f>IF(E82="",0,C82*E82)</f>
        <v/>
      </c>
      <c r="G82" s="5">
        <f>IF(B82="I1",20*AVERAGEIF('QA_Images'!$A$2:$A$71,A82,'QA_Images'!$S$2:$S$71)/100,IF(D82="NOT_CHECKED",0,C82))</f>
        <v/>
      </c>
      <c r="H82" s="2" t="inlineStr">
        <is>
          <t>FULL: comparator query supports commercial quilt/blanket intent for this product type; partial means results broaden beyond the exact motif.</t>
        </is>
      </c>
      <c r="I82" s="2" t="inlineStr">
        <is>
          <t>["evidence_batch_027_268", "https://jeminise.com/products/personalized-couple-hugging-close-up-portrait-quilt-with-photo-7a4978e57a-7a4978e57a", "serp_qa_batch_027_r4_268_1", "serp_qa_batch_027_r4_268_2"]</t>
        </is>
      </c>
      <c r="J82" s="2" t="inlineStr">
        <is>
          <t>[]</t>
        </is>
      </c>
    </row>
    <row r="83" ht="42" customHeight="1">
      <c r="A83" s="3" t="inlineStr">
        <is>
          <t>jeminise.com+personalized-couple-hugging-close-up-portrait-quilt-with-photo-7a4978e57a-7a4978e57a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IF(B83="I1",AVERAGEIF('QA_Images'!$A$2:$A$71,A83,'QA_Images'!$R$2:$R$71)/100,IF(D83="FULL",1,IF(D83="PARTIAL",0.5,IF(D83="FAIL",0,""))))</f>
        <v/>
      </c>
      <c r="F83" s="7">
        <f>IF(E83="",0,C83*E83)</f>
        <v/>
      </c>
      <c r="G83" s="7">
        <f>IF(B83="I1",20*AVERAGEIF('QA_Images'!$A$2:$A$71,A83,'QA_Images'!$S$2:$S$71)/100,IF(D83="NOT_CHECKED",0,C83))</f>
        <v/>
      </c>
      <c r="H83" s="3" t="inlineStr">
        <is>
          <t>PARTIAL: evidence is SERP/product-comparable only; no paid volume or Search Console proof is claimed.</t>
        </is>
      </c>
      <c r="I83" s="3" t="inlineStr">
        <is>
          <t>["evidence_batch_027_268", "https://jeminise.com/products/personalized-couple-hugging-close-up-portrait-quilt-with-photo-7a4978e57a-7a4978e57a", "serp_qa_batch_027_r4_268_1", "serp_qa_batch_027_r4_268_2"]</t>
        </is>
      </c>
      <c r="J83" s="3" t="inlineStr">
        <is>
          <t>[]</t>
        </is>
      </c>
    </row>
    <row r="84" ht="42" customHeight="1">
      <c r="A84" s="2" t="inlineStr">
        <is>
          <t>jeminise.com+personalized-couple-hugging-close-up-portrait-quilt-with-photo-7a4978e57a-7a4978e57a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IF(B84="I1",AVERAGEIF('QA_Images'!$A$2:$A$71,A84,'QA_Images'!$R$2:$R$71)/100,IF(D84="FULL",1,IF(D84="PARTIAL",0.5,IF(D84="FAIL",0,""))))</f>
        <v/>
      </c>
      <c r="F84" s="5">
        <f>IF(E84="",0,C84*E84)</f>
        <v/>
      </c>
      <c r="G84" s="5">
        <f>IF(B84="I1",20*AVERAGEIF('QA_Images'!$A$2:$A$71,A84,'QA_Images'!$S$2:$S$71)/100,IF(D84="NOT_CHECKED",0,C84))</f>
        <v/>
      </c>
      <c r="H84" s="2" t="inlineStr">
        <is>
          <t>FULL: meta_title_seo is complete English and maps to the verified product type/motif.</t>
        </is>
      </c>
      <c r="I84" s="2" t="inlineStr">
        <is>
          <t>["evidence_batch_027_268", "https://jeminise.com/products/personalized-couple-hugging-close-up-portrait-quilt-with-photo-7a4978e57a-7a4978e57a"]</t>
        </is>
      </c>
      <c r="J84" s="2" t="inlineStr">
        <is>
          <t>[]</t>
        </is>
      </c>
    </row>
    <row r="85" ht="42" customHeight="1">
      <c r="A85" s="3" t="inlineStr">
        <is>
          <t>jeminise.com+personalized-couple-hugging-close-up-portrait-quilt-with-photo-7a4978e57a-7a4978e57a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IF(B85="I1",AVERAGEIF('QA_Images'!$A$2:$A$71,A85,'QA_Images'!$R$2:$R$71)/100,IF(D85="FULL",1,IF(D85="PARTIAL",0.5,IF(D85="FAIL",0,""))))</f>
        <v/>
      </c>
      <c r="F85" s="7">
        <f>IF(E85="",0,C85*E85)</f>
        <v/>
      </c>
      <c r="G85" s="7">
        <f>IF(B85="I1",20*AVERAGEIF('QA_Images'!$A$2:$A$71,A85,'QA_Images'!$S$2:$S$71)/100,IF(D85="NOT_CHECKED",0,C85))</f>
        <v/>
      </c>
      <c r="H85" s="3" t="inlineStr">
        <is>
          <t>FULL: title_proposed can function as product title/H1 and distinguishes this batch-27 design by motif/product type.</t>
        </is>
      </c>
      <c r="I85" s="3" t="inlineStr">
        <is>
          <t>["evidence_batch_027_268", "https://jeminise.com/products/personalized-couple-hugging-close-up-portrait-quilt-with-photo-7a4978e57a-7a4978e57a"]</t>
        </is>
      </c>
      <c r="J85" s="3" t="inlineStr">
        <is>
          <t>[]</t>
        </is>
      </c>
    </row>
    <row r="86" ht="42" customHeight="1">
      <c r="A86" s="2" t="inlineStr">
        <is>
          <t>jeminise.com+personalized-couple-hugging-close-up-portrait-quilt-with-photo-7a4978e57a-7a4978e57a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IF(B86="I1",AVERAGEIF('QA_Images'!$A$2:$A$71,A86,'QA_Images'!$R$2:$R$71)/100,IF(D86="FULL",1,IF(D86="PARTIAL",0.5,IF(D86="FAIL",0,""))))</f>
        <v/>
      </c>
      <c r="F86" s="5">
        <f>IF(E86="",0,C86*E86)</f>
        <v/>
      </c>
      <c r="G86" s="5">
        <f>IF(B86="I1",20*AVERAGEIF('QA_Images'!$A$2:$A$71,A86,'QA_Images'!$S$2:$S$71)/100,IF(D86="NOT_CHECKED",0,C86))</f>
        <v/>
      </c>
      <c r="H86" s="2" t="inlineStr">
        <is>
          <t>FULL: meta description is complete, not cut mid-word, and the 145-165 character target was treated as editorial guidance.</t>
        </is>
      </c>
      <c r="I86" s="2" t="inlineStr">
        <is>
          <t>["evidence_batch_027_268", "https://jeminise.com/products/personalized-couple-hugging-close-up-portrait-quilt-with-photo-7a4978e57a-7a4978e57a"]</t>
        </is>
      </c>
      <c r="J86" s="2" t="inlineStr">
        <is>
          <t>[]</t>
        </is>
      </c>
    </row>
    <row r="87" ht="42" customHeight="1">
      <c r="A87" s="3" t="inlineStr">
        <is>
          <t>jeminise.com+personalized-couple-hugging-close-up-portrait-quilt-with-photo-7a4978e57a-7a4978e57a</t>
        </is>
      </c>
      <c r="B87" s="3" t="inlineStr">
        <is>
          <t>D2</t>
        </is>
      </c>
      <c r="C87" s="3" t="n">
        <v>10</v>
      </c>
      <c r="D87" s="3" t="inlineStr">
        <is>
          <t>FULL</t>
        </is>
      </c>
      <c r="E87" s="7">
        <f>IF(B87="I1",AVERAGEIF('QA_Images'!$A$2:$A$71,A87,'QA_Images'!$R$2:$R$71)/100,IF(D87="FULL",1,IF(D87="PARTIAL",0.5,IF(D87="FAIL",0,""))))</f>
        <v/>
      </c>
      <c r="F87" s="7">
        <f>IF(E87="",0,C87*E87)</f>
        <v/>
      </c>
      <c r="G87" s="7">
        <f>IF(B87="I1",20*AVERAGEIF('QA_Images'!$A$2:$A$71,A87,'QA_Images'!$S$2:$S$71)/100,IF(D87="NOT_CHECKED",0,C87))</f>
        <v/>
      </c>
      <c r="H87" s="3" t="inlineStr">
        <is>
          <t>FULL: description HTML is customer-facing and tied to verified artwork, product type, options and personalization controls.</t>
        </is>
      </c>
      <c r="I87" s="3" t="inlineStr">
        <is>
          <t>["evidence_batch_027_268", "https://jeminise.com/products/personalized-couple-hugging-close-up-portrait-quilt-with-photo-7a4978e57a-7a4978e57a"]</t>
        </is>
      </c>
      <c r="J87" s="3" t="inlineStr">
        <is>
          <t>[]</t>
        </is>
      </c>
    </row>
    <row r="88" ht="42" customHeight="1">
      <c r="A88" s="2" t="inlineStr">
        <is>
          <t>jeminise.com+personalized-couple-hugging-close-up-portrait-quilt-with-photo-7a4978e57a-7a4978e57a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IF(B88="I1",AVERAGEIF('QA_Images'!$A$2:$A$71,A88,'QA_Images'!$R$2:$R$71)/100,IF(D88="FULL",1,IF(D88="PARTIAL",0.5,IF(D88="FAIL",0,""))))</f>
        <v/>
      </c>
      <c r="F88" s="5">
        <f>IF(E88="",0,C88*E88)</f>
        <v/>
      </c>
      <c r="G88" s="5">
        <f>IF(B88="I1",20*AVERAGEIF('QA_Images'!$A$2:$A$71,A88,'QA_Images'!$S$2:$S$71)/100,IF(D88="NOT_CHECKED",0,C88))</f>
        <v/>
      </c>
      <c r="H88" s="2" t="inlineStr">
        <is>
          <t>Derived from 7 QA_Images rows for this product; average image score 100/100.</t>
        </is>
      </c>
      <c r="I88" s="2" t="inlineStr">
        <is>
          <t>["QA_Images", "evidence_batch_027_268"]</t>
        </is>
      </c>
      <c r="J88" s="2" t="inlineStr">
        <is>
          <t>[]</t>
        </is>
      </c>
    </row>
    <row r="89" ht="42" customHeight="1">
      <c r="A89" s="3" t="inlineStr">
        <is>
          <t>jeminise.com+personalized-couple-hugging-close-up-portrait-quilt-with-photo-7a4978e57a-7a4978e57a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IF(B89="I1",AVERAGEIF('QA_Images'!$A$2:$A$71,A89,'QA_Images'!$R$2:$R$71)/100,IF(D89="FULL",1,IF(D89="PARTIAL",0.5,IF(D89="FAIL",0,""))))</f>
        <v/>
      </c>
      <c r="F89" s="7">
        <f>IF(E89="",0,C89*E89)</f>
        <v/>
      </c>
      <c r="G89" s="7">
        <f>IF(B89="I1",20*AVERAGEIF('QA_Images'!$A$2:$A$71,A89,'QA_Images'!$S$2:$S$71)/100,IF(D89="NOT_CHECKED",0,C89))</f>
        <v/>
      </c>
      <c r="H89" s="3" t="inlineStr">
        <is>
          <t>FULL: product key, handle, links and scoped evidence are consistent; row-level r2 labels are recorded separately as a traceability limitation.</t>
        </is>
      </c>
      <c r="I89" s="3" t="inlineStr">
        <is>
          <t>["evidence_batch_027_268", "https://jeminise.com/products/personalized-couple-hugging-close-up-portrait-quilt-with-photo-7a4978e57a-7a4978e57a"]</t>
        </is>
      </c>
      <c r="J89" s="3" t="inlineStr">
        <is>
          <t>[]</t>
        </is>
      </c>
    </row>
    <row r="90" ht="42" customHeight="1">
      <c r="A90" s="2" t="inlineStr">
        <is>
          <t>jeminise.com+personalized-cozy-room-sophia-bookworm-reading-girl-blanket-book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IF(B90="I1",AVERAGEIF('QA_Images'!$A$2:$A$71,A90,'QA_Images'!$R$2:$R$71)/100,IF(D90="FULL",1,IF(D90="PARTIAL",0.5,IF(D90="FAIL",0,""))))</f>
        <v/>
      </c>
      <c r="F90" s="5">
        <f>IF(E90="",0,C90*E90)</f>
        <v/>
      </c>
      <c r="G90" s="5">
        <f>IF(B90="I1",20*AVERAGEIF('QA_Images'!$A$2:$A$71,A90,'QA_Images'!$S$2:$S$71)/100,IF(D90="NOT_CHECKED",0,C90))</f>
        <v/>
      </c>
      <c r="H90" s="2" t="inlineStr">
        <is>
          <t>FULL: product identity, handle and live product data match inventory scope for batch 27.</t>
        </is>
      </c>
      <c r="I90" s="2" t="inlineStr">
        <is>
          <t>["evidence_batch_027_269", "https://jeminise.com/products/personalized-cozy-room-sophia-bookworm-reading-girl-blanket-book"]</t>
        </is>
      </c>
      <c r="J90" s="2" t="inlineStr">
        <is>
          <t>[]</t>
        </is>
      </c>
    </row>
    <row r="91" ht="42" customHeight="1">
      <c r="A91" s="3" t="inlineStr">
        <is>
          <t>jeminise.com+personalized-cozy-room-sophia-bookworm-reading-girl-blanket-book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IF(B91="I1",AVERAGEIF('QA_Images'!$A$2:$A$71,A91,'QA_Images'!$R$2:$R$71)/100,IF(D91="FULL",1,IF(D91="PARTIAL",0.5,IF(D91="FAIL",0,""))))</f>
        <v/>
      </c>
      <c r="F91" s="7">
        <f>IF(E91="",0,C91*E91)</f>
        <v/>
      </c>
      <c r="G91" s="7">
        <f>IF(B91="I1",20*AVERAGEIF('QA_Images'!$A$2:$A$71,A91,'QA_Images'!$S$2:$S$71)/100,IF(D91="NOT_CHECKED",0,C91))</f>
        <v/>
      </c>
      <c r="H91" s="3" t="inlineStr">
        <is>
          <t>FULL: personalization/product-option claims were checked against live/cache customizer evidence for this product.</t>
        </is>
      </c>
      <c r="I91" s="3" t="inlineStr">
        <is>
          <t>["evidence_batch_027_269", "https://jeminise.com/products/personalized-cozy-room-sophia-bookworm-reading-girl-blanket-book", "customizer_fields_audit.json", "live_pages"]</t>
        </is>
      </c>
      <c r="J91" s="3" t="inlineStr">
        <is>
          <t>[]</t>
        </is>
      </c>
    </row>
    <row r="92" ht="42" customHeight="1">
      <c r="A92" s="2" t="inlineStr">
        <is>
          <t>jeminise.com+personalized-cozy-room-sophia-bookworm-reading-girl-blanket-book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IF(B92="I1",AVERAGEIF('QA_Images'!$A$2:$A$71,A92,'QA_Images'!$R$2:$R$71)/100,IF(D92="FULL",1,IF(D92="PARTIAL",0.5,IF(D92="FAIL",0,""))))</f>
        <v/>
      </c>
      <c r="F92" s="5">
        <f>IF(E92="",0,C92*E92)</f>
        <v/>
      </c>
      <c r="G92" s="5">
        <f>IF(B92="I1",20*AVERAGEIF('QA_Images'!$A$2:$A$71,A92,'QA_Images'!$S$2:$S$71)/100,IF(D92="NOT_CHECKED",0,C92))</f>
        <v/>
      </c>
      <c r="H92" s="2" t="inlineStr">
        <is>
          <t>PARTIAL: primary keyword 'personalized cozy room bookworm blanket' was checked against this product's own US/English SERP; partial means the exact visual modifier is niche.</t>
        </is>
      </c>
      <c r="I92" s="2" t="inlineStr">
        <is>
          <t>["evidence_batch_027_269", "https://jeminise.com/products/personalized-cozy-room-sophia-bookworm-reading-girl-blanket-book", "serp_qa_batch_027_r4_269_1", "serp_qa_batch_027_r4_269_2"]</t>
        </is>
      </c>
      <c r="J92" s="2" t="inlineStr">
        <is>
          <t>[]</t>
        </is>
      </c>
    </row>
    <row r="93" ht="42" customHeight="1">
      <c r="A93" s="3" t="inlineStr">
        <is>
          <t>jeminise.com+personalized-cozy-room-sophia-bookworm-reading-girl-blanket-book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IF(B93="I1",AVERAGEIF('QA_Images'!$A$2:$A$71,A93,'QA_Images'!$R$2:$R$71)/100,IF(D93="FULL",1,IF(D93="PARTIAL",0.5,IF(D93="FAIL",0,""))))</f>
        <v/>
      </c>
      <c r="F93" s="7">
        <f>IF(E93="",0,C93*E93)</f>
        <v/>
      </c>
      <c r="G93" s="7">
        <f>IF(B93="I1",20*AVERAGEIF('QA_Images'!$A$2:$A$71,A93,'QA_Images'!$S$2:$S$71)/100,IF(D93="NOT_CHECKED",0,C93))</f>
        <v/>
      </c>
      <c r="H93" s="3" t="inlineStr">
        <is>
          <t>FULL: comparator query supports commercial quilt/blanket intent for this product type; partial means results broaden beyond the exact motif.</t>
        </is>
      </c>
      <c r="I93" s="3" t="inlineStr">
        <is>
          <t>["evidence_batch_027_269", "https://jeminise.com/products/personalized-cozy-room-sophia-bookworm-reading-girl-blanket-book", "serp_qa_batch_027_r4_269_1", "serp_qa_batch_027_r4_269_2"]</t>
        </is>
      </c>
      <c r="J93" s="3" t="inlineStr">
        <is>
          <t>[]</t>
        </is>
      </c>
    </row>
    <row r="94" ht="42" customHeight="1">
      <c r="A94" s="2" t="inlineStr">
        <is>
          <t>jeminise.com+personalized-cozy-room-sophia-bookworm-reading-girl-blanket-book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IF(B94="I1",AVERAGEIF('QA_Images'!$A$2:$A$71,A94,'QA_Images'!$R$2:$R$71)/100,IF(D94="FULL",1,IF(D94="PARTIAL",0.5,IF(D94="FAIL",0,""))))</f>
        <v/>
      </c>
      <c r="F94" s="5">
        <f>IF(E94="",0,C94*E94)</f>
        <v/>
      </c>
      <c r="G94" s="5">
        <f>IF(B94="I1",20*AVERAGEIF('QA_Images'!$A$2:$A$71,A94,'QA_Images'!$S$2:$S$71)/100,IF(D94="NOT_CHECKED",0,C94))</f>
        <v/>
      </c>
      <c r="H94" s="2" t="inlineStr">
        <is>
          <t>PARTIAL: evidence is SERP/product-comparable only; no paid volume or Search Console proof is claimed.</t>
        </is>
      </c>
      <c r="I94" s="2" t="inlineStr">
        <is>
          <t>["evidence_batch_027_269", "https://jeminise.com/products/personalized-cozy-room-sophia-bookworm-reading-girl-blanket-book", "serp_qa_batch_027_r4_269_1", "serp_qa_batch_027_r4_269_2"]</t>
        </is>
      </c>
      <c r="J94" s="2" t="inlineStr">
        <is>
          <t>[]</t>
        </is>
      </c>
    </row>
    <row r="95" ht="42" customHeight="1">
      <c r="A95" s="3" t="inlineStr">
        <is>
          <t>jeminise.com+personalized-cozy-room-sophia-bookworm-reading-girl-blanket-book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IF(B95="I1",AVERAGEIF('QA_Images'!$A$2:$A$71,A95,'QA_Images'!$R$2:$R$71)/100,IF(D95="FULL",1,IF(D95="PARTIAL",0.5,IF(D95="FAIL",0,""))))</f>
        <v/>
      </c>
      <c r="F95" s="7">
        <f>IF(E95="",0,C95*E95)</f>
        <v/>
      </c>
      <c r="G95" s="7">
        <f>IF(B95="I1",20*AVERAGEIF('QA_Images'!$A$2:$A$71,A95,'QA_Images'!$S$2:$S$71)/100,IF(D95="NOT_CHECKED",0,C95))</f>
        <v/>
      </c>
      <c r="H95" s="3" t="inlineStr">
        <is>
          <t>FULL: meta_title_seo is complete English and maps to the verified product type/motif.</t>
        </is>
      </c>
      <c r="I95" s="3" t="inlineStr">
        <is>
          <t>["evidence_batch_027_269", "https://jeminise.com/products/personalized-cozy-room-sophia-bookworm-reading-girl-blanket-book"]</t>
        </is>
      </c>
      <c r="J95" s="3" t="inlineStr">
        <is>
          <t>[]</t>
        </is>
      </c>
    </row>
    <row r="96" ht="42" customHeight="1">
      <c r="A96" s="2" t="inlineStr">
        <is>
          <t>jeminise.com+personalized-cozy-room-sophia-bookworm-reading-girl-blanket-book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IF(B96="I1",AVERAGEIF('QA_Images'!$A$2:$A$71,A96,'QA_Images'!$R$2:$R$71)/100,IF(D96="FULL",1,IF(D96="PARTIAL",0.5,IF(D96="FAIL",0,""))))</f>
        <v/>
      </c>
      <c r="F96" s="5">
        <f>IF(E96="",0,C96*E96)</f>
        <v/>
      </c>
      <c r="G96" s="5">
        <f>IF(B96="I1",20*AVERAGEIF('QA_Images'!$A$2:$A$71,A96,'QA_Images'!$S$2:$S$71)/100,IF(D96="NOT_CHECKED",0,C96))</f>
        <v/>
      </c>
      <c r="H96" s="2" t="inlineStr">
        <is>
          <t>FULL: title_proposed can function as product title/H1 and distinguishes this batch-27 design by motif/product type.</t>
        </is>
      </c>
      <c r="I96" s="2" t="inlineStr">
        <is>
          <t>["evidence_batch_027_269", "https://jeminise.com/products/personalized-cozy-room-sophia-bookworm-reading-girl-blanket-book"]</t>
        </is>
      </c>
      <c r="J96" s="2" t="inlineStr">
        <is>
          <t>[]</t>
        </is>
      </c>
    </row>
    <row r="97" ht="42" customHeight="1">
      <c r="A97" s="3" t="inlineStr">
        <is>
          <t>jeminise.com+personalized-cozy-room-sophia-bookworm-reading-girl-blanket-book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IF(B97="I1",AVERAGEIF('QA_Images'!$A$2:$A$71,A97,'QA_Images'!$R$2:$R$71)/100,IF(D97="FULL",1,IF(D97="PARTIAL",0.5,IF(D97="FAIL",0,""))))</f>
        <v/>
      </c>
      <c r="F97" s="7">
        <f>IF(E97="",0,C97*E97)</f>
        <v/>
      </c>
      <c r="G97" s="7">
        <f>IF(B97="I1",20*AVERAGEIF('QA_Images'!$A$2:$A$71,A97,'QA_Images'!$S$2:$S$71)/100,IF(D97="NOT_CHECKED",0,C97))</f>
        <v/>
      </c>
      <c r="H97" s="3" t="inlineStr">
        <is>
          <t>FULL: meta description is complete, not cut mid-word, and the 145-165 character target was treated as editorial guidance.</t>
        </is>
      </c>
      <c r="I97" s="3" t="inlineStr">
        <is>
          <t>["evidence_batch_027_269", "https://jeminise.com/products/personalized-cozy-room-sophia-bookworm-reading-girl-blanket-book"]</t>
        </is>
      </c>
      <c r="J97" s="3" t="inlineStr">
        <is>
          <t>[]</t>
        </is>
      </c>
    </row>
    <row r="98" ht="42" customHeight="1">
      <c r="A98" s="2" t="inlineStr">
        <is>
          <t>jeminise.com+personalized-cozy-room-sophia-bookworm-reading-girl-blanket-book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5">
        <f>IF(B98="I1",AVERAGEIF('QA_Images'!$A$2:$A$71,A98,'QA_Images'!$R$2:$R$71)/100,IF(D98="FULL",1,IF(D98="PARTIAL",0.5,IF(D98="FAIL",0,""))))</f>
        <v/>
      </c>
      <c r="F98" s="5">
        <f>IF(E98="",0,C98*E98)</f>
        <v/>
      </c>
      <c r="G98" s="5">
        <f>IF(B98="I1",20*AVERAGEIF('QA_Images'!$A$2:$A$71,A98,'QA_Images'!$S$2:$S$71)/100,IF(D98="NOT_CHECKED",0,C98))</f>
        <v/>
      </c>
      <c r="H98" s="2" t="inlineStr">
        <is>
          <t>FULL: description HTML is customer-facing and tied to verified artwork, product type, options and personalization controls.</t>
        </is>
      </c>
      <c r="I98" s="2" t="inlineStr">
        <is>
          <t>["evidence_batch_027_269", "https://jeminise.com/products/personalized-cozy-room-sophia-bookworm-reading-girl-blanket-book"]</t>
        </is>
      </c>
      <c r="J98" s="2" t="inlineStr">
        <is>
          <t>[]</t>
        </is>
      </c>
    </row>
    <row r="99" ht="42" customHeight="1">
      <c r="A99" s="3" t="inlineStr">
        <is>
          <t>jeminise.com+personalized-cozy-room-sophia-bookworm-reading-girl-blanket-book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IF(B99="I1",AVERAGEIF('QA_Images'!$A$2:$A$71,A99,'QA_Images'!$R$2:$R$71)/100,IF(D99="FULL",1,IF(D99="PARTIAL",0.5,IF(D99="FAIL",0,""))))</f>
        <v/>
      </c>
      <c r="F99" s="7">
        <f>IF(E99="",0,C99*E99)</f>
        <v/>
      </c>
      <c r="G99" s="7">
        <f>IF(B99="I1",20*AVERAGEIF('QA_Images'!$A$2:$A$71,A99,'QA_Images'!$S$2:$S$71)/100,IF(D99="NOT_CHECKED",0,C99))</f>
        <v/>
      </c>
      <c r="H99" s="3" t="inlineStr">
        <is>
          <t>Derived from 9 QA_Images rows for this product; average image score 100/100.</t>
        </is>
      </c>
      <c r="I99" s="3" t="inlineStr">
        <is>
          <t>["QA_Images", "evidence_batch_027_269"]</t>
        </is>
      </c>
      <c r="J99" s="3" t="inlineStr">
        <is>
          <t>[]</t>
        </is>
      </c>
    </row>
    <row r="100" ht="42" customHeight="1">
      <c r="A100" s="2" t="inlineStr">
        <is>
          <t>jeminise.com+personalized-cozy-room-sophia-bookworm-reading-girl-blanket-book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IF(B100="I1",AVERAGEIF('QA_Images'!$A$2:$A$71,A100,'QA_Images'!$R$2:$R$71)/100,IF(D100="FULL",1,IF(D100="PARTIAL",0.5,IF(D100="FAIL",0,""))))</f>
        <v/>
      </c>
      <c r="F100" s="5">
        <f>IF(E100="",0,C100*E100)</f>
        <v/>
      </c>
      <c r="G100" s="5">
        <f>IF(B100="I1",20*AVERAGEIF('QA_Images'!$A$2:$A$71,A100,'QA_Images'!$S$2:$S$71)/100,IF(D100="NOT_CHECKED",0,C100))</f>
        <v/>
      </c>
      <c r="H100" s="2" t="inlineStr">
        <is>
          <t>FULL: product key, handle, links and scoped evidence are consistent; row-level r2 labels are recorded separately as a traceability limitation.</t>
        </is>
      </c>
      <c r="I100" s="2" t="inlineStr">
        <is>
          <t>["evidence_batch_027_269", "https://jeminise.com/products/personalized-cozy-room-sophia-bookworm-reading-girl-blanket-book"]</t>
        </is>
      </c>
      <c r="J100" s="2" t="inlineStr">
        <is>
          <t>[]</t>
        </is>
      </c>
    </row>
    <row r="101" ht="42" customHeight="1">
      <c r="A101" s="3" t="inlineStr">
        <is>
          <t>jeminise.com+personalized-dark-haired-girl-reading-book-throw-blanket-book-lover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IF(B101="I1",AVERAGEIF('QA_Images'!$A$2:$A$71,A101,'QA_Images'!$R$2:$R$71)/100,IF(D101="FULL",1,IF(D101="PARTIAL",0.5,IF(D101="FAIL",0,""))))</f>
        <v/>
      </c>
      <c r="F101" s="7">
        <f>IF(E101="",0,C101*E101)</f>
        <v/>
      </c>
      <c r="G101" s="7">
        <f>IF(B101="I1",20*AVERAGEIF('QA_Images'!$A$2:$A$71,A101,'QA_Images'!$S$2:$S$71)/100,IF(D101="NOT_CHECKED",0,C101))</f>
        <v/>
      </c>
      <c r="H101" s="3" t="inlineStr">
        <is>
          <t>FULL: product identity, handle and live product data match inventory scope for batch 27.</t>
        </is>
      </c>
      <c r="I101" s="3" t="inlineStr">
        <is>
          <t>["evidence_batch_027_270", "https://jeminise.com/products/personalized-dark-haired-girl-reading-book-throw-blanket-book-lover"]</t>
        </is>
      </c>
      <c r="J101" s="3" t="inlineStr">
        <is>
          <t>[]</t>
        </is>
      </c>
    </row>
    <row r="102" ht="42" customHeight="1">
      <c r="A102" s="2" t="inlineStr">
        <is>
          <t>jeminise.com+personalized-dark-haired-girl-reading-book-throw-blanket-book-lover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IF(B102="I1",AVERAGEIF('QA_Images'!$A$2:$A$71,A102,'QA_Images'!$R$2:$R$71)/100,IF(D102="FULL",1,IF(D102="PARTIAL",0.5,IF(D102="FAIL",0,""))))</f>
        <v/>
      </c>
      <c r="F102" s="5">
        <f>IF(E102="",0,C102*E102)</f>
        <v/>
      </c>
      <c r="G102" s="5">
        <f>IF(B102="I1",20*AVERAGEIF('QA_Images'!$A$2:$A$71,A102,'QA_Images'!$S$2:$S$71)/100,IF(D102="NOT_CHECKED",0,C102))</f>
        <v/>
      </c>
      <c r="H102" s="2" t="inlineStr">
        <is>
          <t>FULL: personalization/product-option claims were checked against live/cache customizer evidence for this product.</t>
        </is>
      </c>
      <c r="I102" s="2" t="inlineStr">
        <is>
          <t>["evidence_batch_027_270", "https://jeminise.com/products/personalized-dark-haired-girl-reading-book-throw-blanket-book-lover", "customizer_fields_audit.json", "live_pages"]</t>
        </is>
      </c>
      <c r="J102" s="2" t="inlineStr">
        <is>
          <t>[]</t>
        </is>
      </c>
    </row>
    <row r="103" ht="42" customHeight="1">
      <c r="A103" s="3" t="inlineStr">
        <is>
          <t>jeminise.com+personalized-dark-haired-girl-reading-book-throw-blanket-book-lover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IF(B103="I1",AVERAGEIF('QA_Images'!$A$2:$A$71,A103,'QA_Images'!$R$2:$R$71)/100,IF(D103="FULL",1,IF(D103="PARTIAL",0.5,IF(D103="FAIL",0,""))))</f>
        <v/>
      </c>
      <c r="F103" s="7">
        <f>IF(E103="",0,C103*E103)</f>
        <v/>
      </c>
      <c r="G103" s="7">
        <f>IF(B103="I1",20*AVERAGEIF('QA_Images'!$A$2:$A$71,A103,'QA_Images'!$S$2:$S$71)/100,IF(D103="NOT_CHECKED",0,C103))</f>
        <v/>
      </c>
      <c r="H103" s="3" t="inlineStr">
        <is>
          <t>PARTIAL: primary keyword 'personalized dark hair book lover blanket' was checked against this product's own US/English SERP; partial means the exact visual modifier is niche.</t>
        </is>
      </c>
      <c r="I103" s="3" t="inlineStr">
        <is>
          <t>["evidence_batch_027_270", "https://jeminise.com/products/personalized-dark-haired-girl-reading-book-throw-blanket-book-lover", "serp_qa_batch_027_r4_270_1", "serp_qa_batch_027_r4_270_2"]</t>
        </is>
      </c>
      <c r="J103" s="3" t="inlineStr">
        <is>
          <t>[]</t>
        </is>
      </c>
    </row>
    <row r="104" ht="42" customHeight="1">
      <c r="A104" s="2" t="inlineStr">
        <is>
          <t>jeminise.com+personalized-dark-haired-girl-reading-book-throw-blanket-book-lover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IF(B104="I1",AVERAGEIF('QA_Images'!$A$2:$A$71,A104,'QA_Images'!$R$2:$R$71)/100,IF(D104="FULL",1,IF(D104="PARTIAL",0.5,IF(D104="FAIL",0,""))))</f>
        <v/>
      </c>
      <c r="F104" s="5">
        <f>IF(E104="",0,C104*E104)</f>
        <v/>
      </c>
      <c r="G104" s="5">
        <f>IF(B104="I1",20*AVERAGEIF('QA_Images'!$A$2:$A$71,A104,'QA_Images'!$S$2:$S$71)/100,IF(D104="NOT_CHECKED",0,C104))</f>
        <v/>
      </c>
      <c r="H104" s="2" t="inlineStr">
        <is>
          <t>FULL: comparator query supports commercial quilt/blanket intent for this product type; partial means results broaden beyond the exact motif.</t>
        </is>
      </c>
      <c r="I104" s="2" t="inlineStr">
        <is>
          <t>["evidence_batch_027_270", "https://jeminise.com/products/personalized-dark-haired-girl-reading-book-throw-blanket-book-lover", "serp_qa_batch_027_r4_270_1", "serp_qa_batch_027_r4_270_2"]</t>
        </is>
      </c>
      <c r="J104" s="2" t="inlineStr">
        <is>
          <t>[]</t>
        </is>
      </c>
    </row>
    <row r="105" ht="42" customHeight="1">
      <c r="A105" s="3" t="inlineStr">
        <is>
          <t>jeminise.com+personalized-dark-haired-girl-reading-book-throw-blanket-book-lover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IF(B105="I1",AVERAGEIF('QA_Images'!$A$2:$A$71,A105,'QA_Images'!$R$2:$R$71)/100,IF(D105="FULL",1,IF(D105="PARTIAL",0.5,IF(D105="FAIL",0,""))))</f>
        <v/>
      </c>
      <c r="F105" s="7">
        <f>IF(E105="",0,C105*E105)</f>
        <v/>
      </c>
      <c r="G105" s="7">
        <f>IF(B105="I1",20*AVERAGEIF('QA_Images'!$A$2:$A$71,A105,'QA_Images'!$S$2:$S$71)/100,IF(D105="NOT_CHECKED",0,C105))</f>
        <v/>
      </c>
      <c r="H105" s="3" t="inlineStr">
        <is>
          <t>PARTIAL: evidence is SERP/product-comparable only; no paid volume or Search Console proof is claimed.</t>
        </is>
      </c>
      <c r="I105" s="3" t="inlineStr">
        <is>
          <t>["evidence_batch_027_270", "https://jeminise.com/products/personalized-dark-haired-girl-reading-book-throw-blanket-book-lover", "serp_qa_batch_027_r4_270_1", "serp_qa_batch_027_r4_270_2"]</t>
        </is>
      </c>
      <c r="J105" s="3" t="inlineStr">
        <is>
          <t>[]</t>
        </is>
      </c>
    </row>
    <row r="106" ht="42" customHeight="1">
      <c r="A106" s="2" t="inlineStr">
        <is>
          <t>jeminise.com+personalized-dark-haired-girl-reading-book-throw-blanket-book-lover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IF(B106="I1",AVERAGEIF('QA_Images'!$A$2:$A$71,A106,'QA_Images'!$R$2:$R$71)/100,IF(D106="FULL",1,IF(D106="PARTIAL",0.5,IF(D106="FAIL",0,""))))</f>
        <v/>
      </c>
      <c r="F106" s="5">
        <f>IF(E106="",0,C106*E106)</f>
        <v/>
      </c>
      <c r="G106" s="5">
        <f>IF(B106="I1",20*AVERAGEIF('QA_Images'!$A$2:$A$71,A106,'QA_Images'!$S$2:$S$71)/100,IF(D106="NOT_CHECKED",0,C106))</f>
        <v/>
      </c>
      <c r="H106" s="2" t="inlineStr">
        <is>
          <t>FULL: meta_title_seo is complete English and maps to the verified product type/motif.</t>
        </is>
      </c>
      <c r="I106" s="2" t="inlineStr">
        <is>
          <t>["evidence_batch_027_270", "https://jeminise.com/products/personalized-dark-haired-girl-reading-book-throw-blanket-book-lover"]</t>
        </is>
      </c>
      <c r="J106" s="2" t="inlineStr">
        <is>
          <t>[]</t>
        </is>
      </c>
    </row>
    <row r="107" ht="42" customHeight="1">
      <c r="A107" s="3" t="inlineStr">
        <is>
          <t>jeminise.com+personalized-dark-haired-girl-reading-book-throw-blanket-book-lover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IF(B107="I1",AVERAGEIF('QA_Images'!$A$2:$A$71,A107,'QA_Images'!$R$2:$R$71)/100,IF(D107="FULL",1,IF(D107="PARTIAL",0.5,IF(D107="FAIL",0,""))))</f>
        <v/>
      </c>
      <c r="F107" s="7">
        <f>IF(E107="",0,C107*E107)</f>
        <v/>
      </c>
      <c r="G107" s="7">
        <f>IF(B107="I1",20*AVERAGEIF('QA_Images'!$A$2:$A$71,A107,'QA_Images'!$S$2:$S$71)/100,IF(D107="NOT_CHECKED",0,C107))</f>
        <v/>
      </c>
      <c r="H107" s="3" t="inlineStr">
        <is>
          <t>FULL: title_proposed can function as product title/H1 and distinguishes this batch-27 design by motif/product type.</t>
        </is>
      </c>
      <c r="I107" s="3" t="inlineStr">
        <is>
          <t>["evidence_batch_027_270", "https://jeminise.com/products/personalized-dark-haired-girl-reading-book-throw-blanket-book-lover"]</t>
        </is>
      </c>
      <c r="J107" s="3" t="inlineStr">
        <is>
          <t>[]</t>
        </is>
      </c>
    </row>
    <row r="108" ht="42" customHeight="1">
      <c r="A108" s="2" t="inlineStr">
        <is>
          <t>jeminise.com+personalized-dark-haired-girl-reading-book-throw-blanket-book-lover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IF(B108="I1",AVERAGEIF('QA_Images'!$A$2:$A$71,A108,'QA_Images'!$R$2:$R$71)/100,IF(D108="FULL",1,IF(D108="PARTIAL",0.5,IF(D108="FAIL",0,""))))</f>
        <v/>
      </c>
      <c r="F108" s="5">
        <f>IF(E108="",0,C108*E108)</f>
        <v/>
      </c>
      <c r="G108" s="5">
        <f>IF(B108="I1",20*AVERAGEIF('QA_Images'!$A$2:$A$71,A108,'QA_Images'!$S$2:$S$71)/100,IF(D108="NOT_CHECKED",0,C108))</f>
        <v/>
      </c>
      <c r="H108" s="2" t="inlineStr">
        <is>
          <t>FULL: meta description is complete, not cut mid-word, and the 145-165 character target was treated as editorial guidance.</t>
        </is>
      </c>
      <c r="I108" s="2" t="inlineStr">
        <is>
          <t>["evidence_batch_027_270", "https://jeminise.com/products/personalized-dark-haired-girl-reading-book-throw-blanket-book-lover"]</t>
        </is>
      </c>
      <c r="J108" s="2" t="inlineStr">
        <is>
          <t>[]</t>
        </is>
      </c>
    </row>
    <row r="109" ht="42" customHeight="1">
      <c r="A109" s="3" t="inlineStr">
        <is>
          <t>jeminise.com+personalized-dark-haired-girl-reading-book-throw-blanket-book-lover</t>
        </is>
      </c>
      <c r="B109" s="3" t="inlineStr">
        <is>
          <t>D2</t>
        </is>
      </c>
      <c r="C109" s="3" t="n">
        <v>10</v>
      </c>
      <c r="D109" s="3" t="inlineStr">
        <is>
          <t>FULL</t>
        </is>
      </c>
      <c r="E109" s="7">
        <f>IF(B109="I1",AVERAGEIF('QA_Images'!$A$2:$A$71,A109,'QA_Images'!$R$2:$R$71)/100,IF(D109="FULL",1,IF(D109="PARTIAL",0.5,IF(D109="FAIL",0,""))))</f>
        <v/>
      </c>
      <c r="F109" s="7">
        <f>IF(E109="",0,C109*E109)</f>
        <v/>
      </c>
      <c r="G109" s="7">
        <f>IF(B109="I1",20*AVERAGEIF('QA_Images'!$A$2:$A$71,A109,'QA_Images'!$S$2:$S$71)/100,IF(D109="NOT_CHECKED",0,C109))</f>
        <v/>
      </c>
      <c r="H109" s="3" t="inlineStr">
        <is>
          <t>FULL: description HTML is customer-facing and tied to verified artwork, product type, options and personalization controls.</t>
        </is>
      </c>
      <c r="I109" s="3" t="inlineStr">
        <is>
          <t>["evidence_batch_027_270", "https://jeminise.com/products/personalized-dark-haired-girl-reading-book-throw-blanket-book-lover"]</t>
        </is>
      </c>
      <c r="J109" s="3" t="inlineStr">
        <is>
          <t>[]</t>
        </is>
      </c>
    </row>
    <row r="110" ht="42" customHeight="1">
      <c r="A110" s="2" t="inlineStr">
        <is>
          <t>jeminise.com+personalized-dark-haired-girl-reading-book-throw-blanket-book-lover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IF(B110="I1",AVERAGEIF('QA_Images'!$A$2:$A$71,A110,'QA_Images'!$R$2:$R$71)/100,IF(D110="FULL",1,IF(D110="PARTIAL",0.5,IF(D110="FAIL",0,""))))</f>
        <v/>
      </c>
      <c r="F110" s="5">
        <f>IF(E110="",0,C110*E110)</f>
        <v/>
      </c>
      <c r="G110" s="5">
        <f>IF(B110="I1",20*AVERAGEIF('QA_Images'!$A$2:$A$71,A110,'QA_Images'!$S$2:$S$71)/100,IF(D110="NOT_CHECKED",0,C110))</f>
        <v/>
      </c>
      <c r="H110" s="2" t="inlineStr">
        <is>
          <t>Derived from 7 QA_Images rows for this product; average image score 100/100.</t>
        </is>
      </c>
      <c r="I110" s="2" t="inlineStr">
        <is>
          <t>["QA_Images", "evidence_batch_027_270"]</t>
        </is>
      </c>
      <c r="J110" s="2" t="inlineStr">
        <is>
          <t>[]</t>
        </is>
      </c>
    </row>
    <row r="111" ht="42" customHeight="1">
      <c r="A111" s="3" t="inlineStr">
        <is>
          <t>jeminise.com+personalized-dark-haired-girl-reading-book-throw-blanket-book-lover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IF(B111="I1",AVERAGEIF('QA_Images'!$A$2:$A$71,A111,'QA_Images'!$R$2:$R$71)/100,IF(D111="FULL",1,IF(D111="PARTIAL",0.5,IF(D111="FAIL",0,""))))</f>
        <v/>
      </c>
      <c r="F111" s="7">
        <f>IF(E111="",0,C111*E111)</f>
        <v/>
      </c>
      <c r="G111" s="7">
        <f>IF(B111="I1",20*AVERAGEIF('QA_Images'!$A$2:$A$71,A111,'QA_Images'!$S$2:$S$71)/100,IF(D111="NOT_CHECKED",0,C111))</f>
        <v/>
      </c>
      <c r="H111" s="3" t="inlineStr">
        <is>
          <t>FULL: product key, handle, links and scoped evidence are consistent; row-level r2 labels are recorded separately as a traceability limitation.</t>
        </is>
      </c>
      <c r="I111" s="3" t="inlineStr">
        <is>
          <t>["evidence_batch_027_270", "https://jeminise.com/products/personalized-dark-haired-girl-reading-book-throw-blanket-book-lover"]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1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jeminise.com+personalized-christian-woman-affirmation-bible-verse-throw-blanket</t>
        </is>
      </c>
      <c r="B2" s="2" t="inlineStr">
        <is>
          <t>qaimg_851a63ed642424e2</t>
        </is>
      </c>
      <c r="C2" s="4" t="inlineStr">
        <is>
          <t>https://cdn.shopify.com/s/files/1/0792/5098/1063/files/78eb0f4c80eae9c25319c565771d2eed2e44b6284aa81c51bea764aae0e9ef22.jpg?v=1786570969</t>
        </is>
      </c>
      <c r="D2" s="4" t="inlineStr">
        <is>
          <t>https://cdn.shopify.com/s/files/1/0792/5098/1063/files/78eb0f4c80eae9c25319c565771d2eed2e44b6284aa81c51bea764aae0e9ef22.jpg?v=1786570969</t>
        </is>
      </c>
      <c r="E2" s="2" t="inlineStr">
        <is>
          <t>47826661146823</t>
        </is>
      </c>
      <c r="F2" s="2" t="inlineStr"/>
      <c r="G2" s="2" t="inlineStr">
        <is>
          <t>GALLERY</t>
        </is>
      </c>
      <c r="H2" s="2" t="inlineStr">
        <is>
          <t>DIRECT_IMAGE_FILE_OPENED_AND_VISUALLY_REVIEWED</t>
        </is>
      </c>
      <c r="I2" s="2" t="inlineStr">
        <is>
          <t>2026-09-09T13:46:17+07:00</t>
        </is>
      </c>
      <c r="J2" s="2" t="inlineStr">
        <is>
          <t>QA opened 261_01.jpg (1000x1000) and checked against workbook observation: Person holds wood-panel Christian affirmation blanket with seated woman, Bible verse labels and sample name Rebecca.</t>
        </is>
      </c>
      <c r="K2" s="2" t="inlineStr">
        <is>
          <t>Person holds wood-panel Christian affirmation blanket with seated woman, Bible verse labels and sample name Rebecca.</t>
        </is>
      </c>
      <c r="L2" s="2" t="inlineStr">
        <is>
          <t>SET</t>
        </is>
      </c>
      <c r="M2" s="2" t="inlineStr">
        <is>
          <t>Christian woman affirmation blanket held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>
        <is>
          <t>[]</t>
        </is>
      </c>
      <c r="X2" s="2" t="inlineStr">
        <is>
          <t>["seo_runs\\jeminise.com\\20260906_234129\\qa\\20260909_134616\\images\\261_01.jpg", "https://cdn.shopify.com/s/files/1/0792/5098/1063/files/78eb0f4c80eae9c25319c565771d2eed2e44b6284aa81c51bea764aae0e9ef22.jpg?v=1786570969"]</t>
        </is>
      </c>
    </row>
    <row r="3" ht="66" customHeight="1">
      <c r="A3" s="3" t="inlineStr">
        <is>
          <t>jeminise.com+personalized-christian-woman-affirmation-bible-verse-throw-blanket</t>
        </is>
      </c>
      <c r="B3" s="3" t="inlineStr">
        <is>
          <t>qaimg_902053253828038a</t>
        </is>
      </c>
      <c r="C3" s="4" t="inlineStr">
        <is>
          <t>https://cdn.shopify.com/s/files/1/0792/5098/1063/files/e5749255ca6312d49586e872bef31847dd79313d2c51743b36e86715cb828dcd.jpg?v=1786570970</t>
        </is>
      </c>
      <c r="D3" s="4" t="inlineStr">
        <is>
          <t>https://cdn.shopify.com/s/files/1/0792/5098/1063/files/e5749255ca6312d49586e872bef31847dd79313d2c51743b36e86715cb828dcd.jpg?v=1786570970</t>
        </is>
      </c>
      <c r="E3" s="3" t="inlineStr">
        <is>
          <t>47826661179591</t>
        </is>
      </c>
      <c r="F3" s="3" t="inlineStr"/>
      <c r="G3" s="3" t="inlineStr">
        <is>
          <t>GALLERY</t>
        </is>
      </c>
      <c r="H3" s="3" t="inlineStr">
        <is>
          <t>DIRECT_IMAGE_FILE_OPENED_AND_VISUALLY_REVIEWED</t>
        </is>
      </c>
      <c r="I3" s="3" t="inlineStr">
        <is>
          <t>2026-09-09T13:46:17+07:00</t>
        </is>
      </c>
      <c r="J3" s="3" t="inlineStr">
        <is>
          <t>QA opened 261_02.jpg (1000x1000) and checked against workbook observation: Flat view of wood-panel affirmation blanket with God Says I Am heading and verse blocks.</t>
        </is>
      </c>
      <c r="K3" s="3" t="inlineStr">
        <is>
          <t>Flat view of wood-panel affirmation blanket with God Says I Am heading and verse blocks.</t>
        </is>
      </c>
      <c r="L3" s="3" t="inlineStr">
        <is>
          <t>SET</t>
        </is>
      </c>
      <c r="M3" s="3" t="inlineStr">
        <is>
          <t>Christian woman affirmation blanket flat view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>
        <is>
          <t>[]</t>
        </is>
      </c>
      <c r="X3" s="3" t="inlineStr">
        <is>
          <t>["seo_runs\\jeminise.com\\20260906_234129\\qa\\20260909_134616\\images\\261_02.jpg", "https://cdn.shopify.com/s/files/1/0792/5098/1063/files/e5749255ca6312d49586e872bef31847dd79313d2c51743b36e86715cb828dcd.jpg?v=1786570970"]</t>
        </is>
      </c>
    </row>
    <row r="4" ht="66" customHeight="1">
      <c r="A4" s="2" t="inlineStr">
        <is>
          <t>jeminise.com+personalized-christian-woman-affirmation-bible-verse-throw-blanket</t>
        </is>
      </c>
      <c r="B4" s="2" t="inlineStr">
        <is>
          <t>qaimg_ffd6406073781943</t>
        </is>
      </c>
      <c r="C4" s="4" t="inlineStr">
        <is>
          <t>https://cdn.shopify.com/s/files/1/0792/5098/1063/files/98aad52066ac9f31107a9c866dcc63c0d487a8f620b138779dafa78d53e2fa1b.jpg?v=1786570969</t>
        </is>
      </c>
      <c r="D4" s="4" t="inlineStr">
        <is>
          <t>https://cdn.shopify.com/s/files/1/0792/5098/1063/files/98aad52066ac9f31107a9c866dcc63c0d487a8f620b138779dafa78d53e2fa1b.jpg?v=1786570969</t>
        </is>
      </c>
      <c r="E4" s="2" t="inlineStr">
        <is>
          <t>47826661212359</t>
        </is>
      </c>
      <c r="F4" s="2" t="inlineStr"/>
      <c r="G4" s="2" t="inlineStr">
        <is>
          <t>GALLERY</t>
        </is>
      </c>
      <c r="H4" s="2" t="inlineStr">
        <is>
          <t>DIRECT_IMAGE_FILE_OPENED_AND_VISUALLY_REVIEWED</t>
        </is>
      </c>
      <c r="I4" s="2" t="inlineStr">
        <is>
          <t>2026-09-09T13:46:17+07:00</t>
        </is>
      </c>
      <c r="J4" s="2" t="inlineStr">
        <is>
          <t>QA opened 261_03.jpg (1000x999) and checked against workbook observation: Christian affirmation blanket draped on sofa under a window.</t>
        </is>
      </c>
      <c r="K4" s="2" t="inlineStr">
        <is>
          <t>Christian affirmation blanket draped on sofa under a window.</t>
        </is>
      </c>
      <c r="L4" s="2" t="inlineStr">
        <is>
          <t>SET</t>
        </is>
      </c>
      <c r="M4" s="2" t="inlineStr">
        <is>
          <t>Christian woman affirmation blanket on sofa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>
        <is>
          <t>[]</t>
        </is>
      </c>
      <c r="X4" s="2" t="inlineStr">
        <is>
          <t>["seo_runs\\jeminise.com\\20260906_234129\\qa\\20260909_134616\\images\\261_03.jpg", "https://cdn.shopify.com/s/files/1/0792/5098/1063/files/98aad52066ac9f31107a9c866dcc63c0d487a8f620b138779dafa78d53e2fa1b.jpg?v=1786570969"]</t>
        </is>
      </c>
    </row>
    <row r="5" ht="66" customHeight="1">
      <c r="A5" s="3" t="inlineStr">
        <is>
          <t>jeminise.com+personalized-christian-woman-affirmation-bible-verse-throw-blanket</t>
        </is>
      </c>
      <c r="B5" s="3" t="inlineStr">
        <is>
          <t>qaimg_59f272f858feb4b4</t>
        </is>
      </c>
      <c r="C5" s="4" t="inlineStr">
        <is>
          <t>https://cdn.shopify.com/s/files/1/0792/5098/1063/files/9edad468bd3b74df42d98b2fa50149c1a7f33e1364f6b8cd3761209eb65af868.jpg?v=1786570969</t>
        </is>
      </c>
      <c r="D5" s="4" t="inlineStr">
        <is>
          <t>https://cdn.shopify.com/s/files/1/0792/5098/1063/files/9edad468bd3b74df42d98b2fa50149c1a7f33e1364f6b8cd3761209eb65af868.jpg?v=1786570969</t>
        </is>
      </c>
      <c r="E5" s="3" t="inlineStr">
        <is>
          <t>47826661245127</t>
        </is>
      </c>
      <c r="F5" s="3" t="inlineStr"/>
      <c r="G5" s="3" t="inlineStr">
        <is>
          <t>GALLERY</t>
        </is>
      </c>
      <c r="H5" s="3" t="inlineStr">
        <is>
          <t>DIRECT_IMAGE_FILE_OPENED_AND_VISUALLY_REVIEWED</t>
        </is>
      </c>
      <c r="I5" s="3" t="inlineStr">
        <is>
          <t>2026-09-09T13:46:17+07:00</t>
        </is>
      </c>
      <c r="J5" s="3" t="inlineStr">
        <is>
          <t>QA opened 261_04.jpg (1000x1000) and checked against workbook observation: Second sofa mockup of Christian affirmation blanket beneath round mirror.</t>
        </is>
      </c>
      <c r="K5" s="3" t="inlineStr">
        <is>
          <t>Second sofa mockup of Christian affirmation blanket beneath round mirror.</t>
        </is>
      </c>
      <c r="L5" s="3" t="inlineStr">
        <is>
          <t>SET</t>
        </is>
      </c>
      <c r="M5" s="3" t="inlineStr">
        <is>
          <t>Christian woman affirmation blanket sofa mockup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>
        <is>
          <t>[]</t>
        </is>
      </c>
      <c r="X5" s="3" t="inlineStr">
        <is>
          <t>["seo_runs\\jeminise.com\\20260906_234129\\qa\\20260909_134616\\images\\261_04.jpg", "https://cdn.shopify.com/s/files/1/0792/5098/1063/files/9edad468bd3b74df42d98b2fa50149c1a7f33e1364f6b8cd3761209eb65af868.jpg?v=1786570969"]</t>
        </is>
      </c>
    </row>
    <row r="6" ht="66" customHeight="1">
      <c r="A6" s="2" t="inlineStr">
        <is>
          <t>jeminise.com+personalized-christian-woman-affirmation-bible-verse-throw-blanket</t>
        </is>
      </c>
      <c r="B6" s="2" t="inlineStr">
        <is>
          <t>qaimg_be422eb8abd58d28</t>
        </is>
      </c>
      <c r="C6" s="4" t="inlineStr">
        <is>
          <t>https://cdn.shopify.com/s/files/1/0792/5098/1063/files/1eeb394e5376a6ac066dec8d537b796d9bae155671235ddce1655eb3ec7a3efa.jpg?v=1786570969</t>
        </is>
      </c>
      <c r="D6" s="4" t="inlineStr">
        <is>
          <t>https://cdn.shopify.com/s/files/1/0792/5098/1063/files/1eeb394e5376a6ac066dec8d537b796d9bae155671235ddce1655eb3ec7a3efa.jpg?v=1786570969</t>
        </is>
      </c>
      <c r="E6" s="2" t="inlineStr">
        <is>
          <t>47826661277895</t>
        </is>
      </c>
      <c r="F6" s="2" t="inlineStr"/>
      <c r="G6" s="2" t="inlineStr">
        <is>
          <t>GALLERY</t>
        </is>
      </c>
      <c r="H6" s="2" t="inlineStr">
        <is>
          <t>DIRECT_IMAGE_FILE_OPENED_AND_VISUALLY_REVIEWED</t>
        </is>
      </c>
      <c r="I6" s="2" t="inlineStr">
        <is>
          <t>2026-09-09T13:46:17+07:00</t>
        </is>
      </c>
      <c r="J6" s="2" t="inlineStr">
        <is>
          <t>QA opened 261_05.jpg (1000x1000) and checked against workbook observation: Feature panel over affirmation artwork with fluffy and no-shedding callouts.</t>
        </is>
      </c>
      <c r="K6" s="2" t="inlineStr">
        <is>
          <t>Feature panel over affirmation artwork with fluffy and no-shedding callouts.</t>
        </is>
      </c>
      <c r="L6" s="2" t="inlineStr">
        <is>
          <t>SET</t>
        </is>
      </c>
      <c r="M6" s="2" t="inlineStr">
        <is>
          <t>Christian woman affirmation blanket feature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>
        <is>
          <t>[]</t>
        </is>
      </c>
      <c r="X6" s="2" t="inlineStr">
        <is>
          <t>["seo_runs\\jeminise.com\\20260906_234129\\qa\\20260909_134616\\images\\261_05.jpg", "https://cdn.shopify.com/s/files/1/0792/5098/1063/files/1eeb394e5376a6ac066dec8d537b796d9bae155671235ddce1655eb3ec7a3efa.jpg?v=1786570969"]</t>
        </is>
      </c>
    </row>
    <row r="7" ht="66" customHeight="1">
      <c r="A7" s="3" t="inlineStr">
        <is>
          <t>jeminise.com+personalized-christian-woman-scripture-photo-throw-blanket-vintage</t>
        </is>
      </c>
      <c r="B7" s="3" t="inlineStr">
        <is>
          <t>qaimg_51f134c11f326916</t>
        </is>
      </c>
      <c r="C7" s="4" t="inlineStr">
        <is>
          <t>https://cdn.shopify.com/s/files/1/0792/5098/1063/files/ddc976dfc6cc1cebce0cee070eeca1aba46129533cb7ca9c8af224e356630c0e.jpg?v=1786570856</t>
        </is>
      </c>
      <c r="D7" s="4" t="inlineStr">
        <is>
          <t>https://cdn.shopify.com/s/files/1/0792/5098/1063/files/ddc976dfc6cc1cebce0cee070eeca1aba46129533cb7ca9c8af224e356630c0e.jpg?v=1786570856</t>
        </is>
      </c>
      <c r="E7" s="3" t="inlineStr">
        <is>
          <t>47826610585799</t>
        </is>
      </c>
      <c r="F7" s="3" t="inlineStr"/>
      <c r="G7" s="3" t="inlineStr">
        <is>
          <t>GALLERY</t>
        </is>
      </c>
      <c r="H7" s="3" t="inlineStr">
        <is>
          <t>DIRECT_IMAGE_FILE_OPENED_AND_VISUALLY_REVIEWED</t>
        </is>
      </c>
      <c r="I7" s="3" t="inlineStr">
        <is>
          <t>2026-09-09T13:46:17+07:00</t>
        </is>
      </c>
      <c r="J7" s="3" t="inlineStr">
        <is>
          <t>QA opened 262_01.jpg (1000x1000) and checked against workbook observation: Person holds vintage Christian scripture blanket with circular photo area and faith quotes.</t>
        </is>
      </c>
      <c r="K7" s="3" t="inlineStr">
        <is>
          <t>Person holds vintage Christian scripture blanket with circular photo area and faith quotes.</t>
        </is>
      </c>
      <c r="L7" s="3" t="inlineStr">
        <is>
          <t>SET</t>
        </is>
      </c>
      <c r="M7" s="3" t="inlineStr">
        <is>
          <t>Christian photo scripture blanket held view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>
        <is>
          <t>[]</t>
        </is>
      </c>
      <c r="X7" s="3" t="inlineStr">
        <is>
          <t>["seo_runs\\jeminise.com\\20260906_234129\\qa\\20260909_134616\\images\\262_01.jpg", "https://cdn.shopify.com/s/files/1/0792/5098/1063/files/ddc976dfc6cc1cebce0cee070eeca1aba46129533cb7ca9c8af224e356630c0e.jpg?v=1786570856"]</t>
        </is>
      </c>
    </row>
    <row r="8" ht="66" customHeight="1">
      <c r="A8" s="2" t="inlineStr">
        <is>
          <t>jeminise.com+personalized-christian-woman-scripture-photo-throw-blanket-vintage</t>
        </is>
      </c>
      <c r="B8" s="2" t="inlineStr">
        <is>
          <t>qaimg_8d17aaf867ff4366</t>
        </is>
      </c>
      <c r="C8" s="4" t="inlineStr">
        <is>
          <t>https://cdn.shopify.com/s/files/1/0792/5098/1063/files/f60b9f71d51b2a5b0a4a10a1ff25715b65be64baf73aecfb59d9380a537bc38e.jpg?v=1786570857</t>
        </is>
      </c>
      <c r="D8" s="4" t="inlineStr">
        <is>
          <t>https://cdn.shopify.com/s/files/1/0792/5098/1063/files/f60b9f71d51b2a5b0a4a10a1ff25715b65be64baf73aecfb59d9380a537bc38e.jpg?v=1786570857</t>
        </is>
      </c>
      <c r="E8" s="2" t="inlineStr">
        <is>
          <t>47826610618567</t>
        </is>
      </c>
      <c r="F8" s="2" t="inlineStr"/>
      <c r="G8" s="2" t="inlineStr">
        <is>
          <t>GALLERY</t>
        </is>
      </c>
      <c r="H8" s="2" t="inlineStr">
        <is>
          <t>DIRECT_IMAGE_FILE_OPENED_AND_VISUALLY_REVIEWED</t>
        </is>
      </c>
      <c r="I8" s="2" t="inlineStr">
        <is>
          <t>2026-09-09T13:46:17+07:00</t>
        </is>
      </c>
      <c r="J8" s="2" t="inlineStr">
        <is>
          <t>QA opened 262_02.jpg (1000x1000) and checked against workbook observation: Feature panel showing white fleece edge and machine washable, soft and warm callouts.</t>
        </is>
      </c>
      <c r="K8" s="2" t="inlineStr">
        <is>
          <t>Feature panel showing white fleece edge and machine washable, soft and warm callouts.</t>
        </is>
      </c>
      <c r="L8" s="2" t="inlineStr">
        <is>
          <t>SET</t>
        </is>
      </c>
      <c r="M8" s="2" t="inlineStr">
        <is>
          <t>Christian photo scripture blanket feature panel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>
        <is>
          <t>[]</t>
        </is>
      </c>
      <c r="X8" s="2" t="inlineStr">
        <is>
          <t>["seo_runs\\jeminise.com\\20260906_234129\\qa\\20260909_134616\\images\\262_02.jpg", "https://cdn.shopify.com/s/files/1/0792/5098/1063/files/f60b9f71d51b2a5b0a4a10a1ff25715b65be64baf73aecfb59d9380a537bc38e.jpg?v=1786570857"]</t>
        </is>
      </c>
    </row>
    <row r="9" ht="66" customHeight="1">
      <c r="A9" s="3" t="inlineStr">
        <is>
          <t>jeminise.com+personalized-christian-woman-scripture-photo-throw-blanket-vintage</t>
        </is>
      </c>
      <c r="B9" s="3" t="inlineStr">
        <is>
          <t>qaimg_ef14e1245a7ec85a</t>
        </is>
      </c>
      <c r="C9" s="4" t="inlineStr">
        <is>
          <t>https://cdn.shopify.com/s/files/1/0792/5098/1063/files/1216d5b3b86c1434f8f9ba87f74a6846b7d22df73e2c0fb6b032d8910970ff11.jpg?v=1786570856</t>
        </is>
      </c>
      <c r="D9" s="4" t="inlineStr">
        <is>
          <t>https://cdn.shopify.com/s/files/1/0792/5098/1063/files/1216d5b3b86c1434f8f9ba87f74a6846b7d22df73e2c0fb6b032d8910970ff11.jpg?v=1786570856</t>
        </is>
      </c>
      <c r="E9" s="3" t="inlineStr">
        <is>
          <t>47826610651335</t>
        </is>
      </c>
      <c r="F9" s="3" t="inlineStr"/>
      <c r="G9" s="3" t="inlineStr">
        <is>
          <t>GALLERY</t>
        </is>
      </c>
      <c r="H9" s="3" t="inlineStr">
        <is>
          <t>DIRECT_IMAGE_FILE_OPENED_AND_VISUALLY_REVIEWED</t>
        </is>
      </c>
      <c r="I9" s="3" t="inlineStr">
        <is>
          <t>2026-09-09T13:46:17+07:00</t>
        </is>
      </c>
      <c r="J9" s="3" t="inlineStr">
        <is>
          <t>QA opened 262_03.jpg (1000x1000) and checked against workbook observation: Close-up of photo area and scripture text beside an open book.</t>
        </is>
      </c>
      <c r="K9" s="3" t="inlineStr">
        <is>
          <t>Close-up of photo area and scripture text beside an open book.</t>
        </is>
      </c>
      <c r="L9" s="3" t="inlineStr">
        <is>
          <t>SET</t>
        </is>
      </c>
      <c r="M9" s="3" t="inlineStr">
        <is>
          <t>Christian photo scripture blanket close-up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>
        <is>
          <t>[]</t>
        </is>
      </c>
      <c r="X9" s="3" t="inlineStr">
        <is>
          <t>["seo_runs\\jeminise.com\\20260906_234129\\qa\\20260909_134616\\images\\262_03.jpg", "https://cdn.shopify.com/s/files/1/0792/5098/1063/files/1216d5b3b86c1434f8f9ba87f74a6846b7d22df73e2c0fb6b032d8910970ff11.jpg?v=1786570856"]</t>
        </is>
      </c>
    </row>
    <row r="10" ht="66" customHeight="1">
      <c r="A10" s="2" t="inlineStr">
        <is>
          <t>jeminise.com+personalized-christian-woman-scripture-photo-throw-blanket-vintage</t>
        </is>
      </c>
      <c r="B10" s="2" t="inlineStr">
        <is>
          <t>qaimg_483ac21d39208f85</t>
        </is>
      </c>
      <c r="C10" s="4" t="inlineStr">
        <is>
          <t>https://cdn.shopify.com/s/files/1/0792/5098/1063/files/32729da84df2a3574958559b478f5ac6ee6a426acdcd0349e97f34c53105d7a3.jpg?v=1786570856</t>
        </is>
      </c>
      <c r="D10" s="4" t="inlineStr">
        <is>
          <t>https://cdn.shopify.com/s/files/1/0792/5098/1063/files/32729da84df2a3574958559b478f5ac6ee6a426acdcd0349e97f34c53105d7a3.jpg?v=1786570856</t>
        </is>
      </c>
      <c r="E10" s="2" t="inlineStr">
        <is>
          <t>47826610684103</t>
        </is>
      </c>
      <c r="F10" s="2" t="inlineStr"/>
      <c r="G10" s="2" t="inlineStr">
        <is>
          <t>GALLERY</t>
        </is>
      </c>
      <c r="H10" s="2" t="inlineStr">
        <is>
          <t>DIRECT_IMAGE_FILE_OPENED_AND_VISUALLY_REVIEWED</t>
        </is>
      </c>
      <c r="I10" s="2" t="inlineStr">
        <is>
          <t>2026-09-09T13:46:17+07:00</t>
        </is>
      </c>
      <c r="J10" s="2" t="inlineStr">
        <is>
          <t>QA opened 262_04.jpg (1000x1000) and checked against workbook observation: Size and use panel for vintage Christian photo scripture blanket.</t>
        </is>
      </c>
      <c r="K10" s="2" t="inlineStr">
        <is>
          <t>Size and use panel for vintage Christian photo scripture blanket.</t>
        </is>
      </c>
      <c r="L10" s="2" t="inlineStr">
        <is>
          <t>SET</t>
        </is>
      </c>
      <c r="M10" s="2" t="inlineStr">
        <is>
          <t>Christian photo scripture blanket size and use panel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>
        <is>
          <t>[]</t>
        </is>
      </c>
      <c r="X10" s="2" t="inlineStr">
        <is>
          <t>["seo_runs\\jeminise.com\\20260906_234129\\qa\\20260909_134616\\images\\262_04.jpg", "https://cdn.shopify.com/s/files/1/0792/5098/1063/files/32729da84df2a3574958559b478f5ac6ee6a426acdcd0349e97f34c53105d7a3.jpg?v=1786570856"]</t>
        </is>
      </c>
    </row>
    <row r="11" ht="66" customHeight="1">
      <c r="A11" s="3" t="inlineStr">
        <is>
          <t>jeminise.com+personalized-christian-woman-scripture-photo-throw-blanket-vintage</t>
        </is>
      </c>
      <c r="B11" s="3" t="inlineStr">
        <is>
          <t>qaimg_bf7a58dbe0041ede</t>
        </is>
      </c>
      <c r="C11" s="4" t="inlineStr">
        <is>
          <t>https://cdn.shopify.com/s/files/1/0792/5098/1063/files/9ce43690d88ad801d51a4b5f97646bea7a9e207fcc9841b60b676b5beee52e40.jpg?v=1786570856</t>
        </is>
      </c>
      <c r="D11" s="4" t="inlineStr">
        <is>
          <t>https://cdn.shopify.com/s/files/1/0792/5098/1063/files/9ce43690d88ad801d51a4b5f97646bea7a9e207fcc9841b60b676b5beee52e40.jpg?v=1786570856</t>
        </is>
      </c>
      <c r="E11" s="3" t="inlineStr">
        <is>
          <t>47826610716871</t>
        </is>
      </c>
      <c r="F11" s="3" t="inlineStr"/>
      <c r="G11" s="3" t="inlineStr">
        <is>
          <t>GALLERY</t>
        </is>
      </c>
      <c r="H11" s="3" t="inlineStr">
        <is>
          <t>DIRECT_IMAGE_FILE_OPENED_AND_VISUALLY_REVIEWED</t>
        </is>
      </c>
      <c r="I11" s="3" t="inlineStr">
        <is>
          <t>2026-09-09T13:46:17+07:00</t>
        </is>
      </c>
      <c r="J11" s="3" t="inlineStr">
        <is>
          <t>QA opened 262_05.jpg (1000x1000) and checked against workbook observation: Detail collage showing printed photo area, scripture typography and white fleece texture.</t>
        </is>
      </c>
      <c r="K11" s="3" t="inlineStr">
        <is>
          <t>Detail collage showing printed photo area, scripture typography and white fleece texture.</t>
        </is>
      </c>
      <c r="L11" s="3" t="inlineStr">
        <is>
          <t>SET</t>
        </is>
      </c>
      <c r="M11" s="3" t="inlineStr">
        <is>
          <t>Christian photo scripture blanket detail collage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>
        <is>
          <t>[]</t>
        </is>
      </c>
      <c r="X11" s="3" t="inlineStr">
        <is>
          <t>["seo_runs\\jeminise.com\\20260906_234129\\qa\\20260909_134616\\images\\262_05.jpg", "https://cdn.shopify.com/s/files/1/0792/5098/1063/files/9ce43690d88ad801d51a4b5f97646bea7a9e207fcc9841b60b676b5beee52e40.jpg?v=1786570856"]</t>
        </is>
      </c>
    </row>
    <row r="12" ht="66" customHeight="1">
      <c r="A12" s="2" t="inlineStr">
        <is>
          <t>jeminise.com+personalized-christian-woman-scripture-photo-throw-blanket-vintage</t>
        </is>
      </c>
      <c r="B12" s="2" t="inlineStr">
        <is>
          <t>qaimg_3d19aa1f5fed433d</t>
        </is>
      </c>
      <c r="C12" s="4" t="inlineStr">
        <is>
          <t>https://cdn.shopify.com/s/files/1/0792/5098/1063/files/e6066a4ad2d4ffc195398735047eb605cd3ebd7d0f25adaa7218a263317df014.jpg?v=1786570856</t>
        </is>
      </c>
      <c r="D12" s="4" t="inlineStr">
        <is>
          <t>https://cdn.shopify.com/s/files/1/0792/5098/1063/files/e6066a4ad2d4ffc195398735047eb605cd3ebd7d0f25adaa7218a263317df014.jpg?v=1786570856</t>
        </is>
      </c>
      <c r="E12" s="2" t="inlineStr">
        <is>
          <t>47826610749639</t>
        </is>
      </c>
      <c r="F12" s="2" t="inlineStr"/>
      <c r="G12" s="2" t="inlineStr">
        <is>
          <t>GALLERY</t>
        </is>
      </c>
      <c r="H12" s="2" t="inlineStr">
        <is>
          <t>DIRECT_IMAGE_FILE_OPENED_AND_VISUALLY_REVIEWED</t>
        </is>
      </c>
      <c r="I12" s="2" t="inlineStr">
        <is>
          <t>2026-09-09T13:46:17+07:00</t>
        </is>
      </c>
      <c r="J12" s="2" t="inlineStr">
        <is>
          <t>QA opened 262_06.jpg (1000x1000) and checked against workbook observation: Christian photo scripture blanket draped over an armchair.</t>
        </is>
      </c>
      <c r="K12" s="2" t="inlineStr">
        <is>
          <t>Christian photo scripture blanket draped over an armchair.</t>
        </is>
      </c>
      <c r="L12" s="2" t="inlineStr">
        <is>
          <t>SET</t>
        </is>
      </c>
      <c r="M12" s="2" t="inlineStr">
        <is>
          <t>Christian photo scripture blanket chair mockup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>
        <is>
          <t>[]</t>
        </is>
      </c>
      <c r="X12" s="2" t="inlineStr">
        <is>
          <t>["seo_runs\\jeminise.com\\20260906_234129\\qa\\20260909_134616\\images\\262_06.jpg", "https://cdn.shopify.com/s/files/1/0792/5098/1063/files/e6066a4ad2d4ffc195398735047eb605cd3ebd7d0f25adaa7218a263317df014.jpg?v=1786570856"]</t>
        </is>
      </c>
    </row>
    <row r="13" ht="66" customHeight="1">
      <c r="A13" s="3" t="inlineStr">
        <is>
          <t>jeminise.com+personalized-christian-woman-scripture-photo-throw-blanket-vintage</t>
        </is>
      </c>
      <c r="B13" s="3" t="inlineStr">
        <is>
          <t>qaimg_f38d8261a3d5087d</t>
        </is>
      </c>
      <c r="C13" s="4" t="inlineStr">
        <is>
          <t>https://cdn.shopify.com/s/files/1/0792/5098/1063/files/209723711bef59561039475d4469e3ea518fe80c0f80e4fe488f5c9ebacb8411.jpg?v=1786570856</t>
        </is>
      </c>
      <c r="D13" s="4" t="inlineStr">
        <is>
          <t>https://cdn.shopify.com/s/files/1/0792/5098/1063/files/209723711bef59561039475d4469e3ea518fe80c0f80e4fe488f5c9ebacb8411.jpg?v=1786570856</t>
        </is>
      </c>
      <c r="E13" s="3" t="inlineStr">
        <is>
          <t>47826610782407</t>
        </is>
      </c>
      <c r="F13" s="3" t="inlineStr"/>
      <c r="G13" s="3" t="inlineStr">
        <is>
          <t>GALLERY</t>
        </is>
      </c>
      <c r="H13" s="3" t="inlineStr">
        <is>
          <t>DIRECT_IMAGE_FILE_OPENED_AND_VISUALLY_REVIEWED</t>
        </is>
      </c>
      <c r="I13" s="3" t="inlineStr">
        <is>
          <t>2026-09-09T13:46:17+07:00</t>
        </is>
      </c>
      <c r="J13" s="3" t="inlineStr">
        <is>
          <t>QA opened 262_07.jpg (1000x1000) and checked against workbook observation: Lifestyle reading scene with Christian photo scripture blanket, open book and small pet.</t>
        </is>
      </c>
      <c r="K13" s="3" t="inlineStr">
        <is>
          <t>Lifestyle reading scene with Christian photo scripture blanket, open book and small pet.</t>
        </is>
      </c>
      <c r="L13" s="3" t="inlineStr">
        <is>
          <t>SET</t>
        </is>
      </c>
      <c r="M13" s="3" t="inlineStr">
        <is>
          <t>Christian photo scripture blanket reading lifestyle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>
        <is>
          <t>[]</t>
        </is>
      </c>
      <c r="X13" s="3" t="inlineStr">
        <is>
          <t>["seo_runs\\jeminise.com\\20260906_234129\\qa\\20260909_134616\\images\\262_07.jpg", "https://cdn.shopify.com/s/files/1/0792/5098/1063/files/209723711bef59561039475d4469e3ea518fe80c0f80e4fe488f5c9ebacb8411.jpg?v=1786570856"]</t>
        </is>
      </c>
    </row>
    <row r="14" ht="66" customHeight="1">
      <c r="A14" s="2" t="inlineStr">
        <is>
          <t>jeminise.com+personalized-colorful-celtic-tree-of-life-quilt-sets-machine-washable</t>
        </is>
      </c>
      <c r="B14" s="2" t="inlineStr">
        <is>
          <t>qaimg_293523c3801bd0e0</t>
        </is>
      </c>
      <c r="C14" s="4" t="inlineStr">
        <is>
          <t>https://cdn.shopify.com/s/files/1/0792/5098/1063/files/311a50db4737ad1fc4ad9b65f90b6ae89aa2c17929109fbfe2f918ae45cdc6d2.jpg?v=1786569508</t>
        </is>
      </c>
      <c r="D14" s="4" t="inlineStr">
        <is>
          <t>https://cdn.shopify.com/s/files/1/0792/5098/1063/files/311a50db4737ad1fc4ad9b65f90b6ae89aa2c17929109fbfe2f918ae45cdc6d2.jpg?v=1786569508</t>
        </is>
      </c>
      <c r="E14" s="2" t="inlineStr">
        <is>
          <t>47826177949895</t>
        </is>
      </c>
      <c r="F14" s="2" t="inlineStr"/>
      <c r="G14" s="2" t="inlineStr">
        <is>
          <t>GALLERY</t>
        </is>
      </c>
      <c r="H14" s="2" t="inlineStr">
        <is>
          <t>DIRECT_IMAGE_FILE_OPENED_AND_VISUALLY_REVIEWED</t>
        </is>
      </c>
      <c r="I14" s="2" t="inlineStr">
        <is>
          <t>2026-09-09T13:46:17+07:00</t>
        </is>
      </c>
      <c r="J14" s="2" t="inlineStr">
        <is>
          <t>QA opened 263_01.jpg (1200x1200) and checked against workbook observation: Bed mockup of colorful Celtic Tree quilt with teal orange medallion and matching pillows.</t>
        </is>
      </c>
      <c r="K14" s="2" t="inlineStr">
        <is>
          <t>Bed mockup of colorful Celtic Tree quilt with teal orange medallion and matching pillows.</t>
        </is>
      </c>
      <c r="L14" s="2" t="inlineStr">
        <is>
          <t>SET</t>
        </is>
      </c>
      <c r="M14" s="2" t="inlineStr">
        <is>
          <t>Colorful Celtic Tree quilt bed view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>
        <is>
          <t>[]</t>
        </is>
      </c>
      <c r="X14" s="2" t="inlineStr">
        <is>
          <t>["seo_runs\\jeminise.com\\20260906_234129\\qa\\20260909_134616\\images\\263_01.jpg", "https://cdn.shopify.com/s/files/1/0792/5098/1063/files/311a50db4737ad1fc4ad9b65f90b6ae89aa2c17929109fbfe2f918ae45cdc6d2.jpg?v=1786569508"]</t>
        </is>
      </c>
    </row>
    <row r="15" ht="66" customHeight="1">
      <c r="A15" s="3" t="inlineStr">
        <is>
          <t>jeminise.com+personalized-colorful-celtic-tree-of-life-quilt-sets-machine-washable</t>
        </is>
      </c>
      <c r="B15" s="3" t="inlineStr">
        <is>
          <t>qaimg_7210b0797199968f</t>
        </is>
      </c>
      <c r="C15" s="4" t="inlineStr">
        <is>
          <t>https://cdn.shopify.com/s/files/1/0792/5098/1063/files/30595b3ed5819957bd638b0d36ae3b71828fdc05680e420274bec59b3742192f.jpg?v=1786569508</t>
        </is>
      </c>
      <c r="D15" s="4" t="inlineStr">
        <is>
          <t>https://cdn.shopify.com/s/files/1/0792/5098/1063/files/30595b3ed5819957bd638b0d36ae3b71828fdc05680e420274bec59b3742192f.jpg?v=1786569508</t>
        </is>
      </c>
      <c r="E15" s="3" t="inlineStr">
        <is>
          <t>47826177982663</t>
        </is>
      </c>
      <c r="F15" s="3" t="inlineStr"/>
      <c r="G15" s="3" t="inlineStr">
        <is>
          <t>GALLERY</t>
        </is>
      </c>
      <c r="H15" s="3" t="inlineStr">
        <is>
          <t>DIRECT_IMAGE_FILE_OPENED_AND_VISUALLY_REVIEWED</t>
        </is>
      </c>
      <c r="I15" s="3" t="inlineStr">
        <is>
          <t>2026-09-09T13:46:17+07:00</t>
        </is>
      </c>
      <c r="J15" s="3" t="inlineStr">
        <is>
          <t>QA opened 263_02.jpg (1200x1200) and checked against workbook observation: Second room mockup of colorful Celtic Tree quilt with printed craft callout.</t>
        </is>
      </c>
      <c r="K15" s="3" t="inlineStr">
        <is>
          <t>Second room mockup of colorful Celtic Tree quilt with printed craft callout.</t>
        </is>
      </c>
      <c r="L15" s="3" t="inlineStr">
        <is>
          <t>SET</t>
        </is>
      </c>
      <c r="M15" s="3" t="inlineStr">
        <is>
          <t>Colorful Celtic Tree quilt room mockup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>
        <is>
          <t>[]</t>
        </is>
      </c>
      <c r="X15" s="3" t="inlineStr">
        <is>
          <t>["seo_runs\\jeminise.com\\20260906_234129\\qa\\20260909_134616\\images\\263_02.jpg", "https://cdn.shopify.com/s/files/1/0792/5098/1063/files/30595b3ed5819957bd638b0d36ae3b71828fdc05680e420274bec59b3742192f.jpg?v=1786569508"]</t>
        </is>
      </c>
    </row>
    <row r="16" ht="66" customHeight="1">
      <c r="A16" s="2" t="inlineStr">
        <is>
          <t>jeminise.com+personalized-colorful-celtic-tree-of-life-quilt-sets-machine-washable</t>
        </is>
      </c>
      <c r="B16" s="2" t="inlineStr">
        <is>
          <t>qaimg_ac24b90229c914d6</t>
        </is>
      </c>
      <c r="C16" s="4" t="inlineStr">
        <is>
          <t>https://cdn.shopify.com/s/files/1/0792/5098/1063/files/b498655a4c8cf77bc3dbdba36b9b8d8a53572e0b0396af9622fc47092f02455b.jpg?v=1786569509</t>
        </is>
      </c>
      <c r="D16" s="4" t="inlineStr">
        <is>
          <t>https://cdn.shopify.com/s/files/1/0792/5098/1063/files/b498655a4c8cf77bc3dbdba36b9b8d8a53572e0b0396af9622fc47092f02455b.jpg?v=1786569509</t>
        </is>
      </c>
      <c r="E16" s="2" t="inlineStr">
        <is>
          <t>47826178015431</t>
        </is>
      </c>
      <c r="F16" s="2" t="inlineStr"/>
      <c r="G16" s="2" t="inlineStr">
        <is>
          <t>GALLERY</t>
        </is>
      </c>
      <c r="H16" s="2" t="inlineStr">
        <is>
          <t>DIRECT_IMAGE_FILE_OPENED_AND_VISUALLY_REVIEWED</t>
        </is>
      </c>
      <c r="I16" s="2" t="inlineStr">
        <is>
          <t>2026-09-09T13:46:17+07:00</t>
        </is>
      </c>
      <c r="J16" s="2" t="inlineStr">
        <is>
          <t>QA opened 263_03.jpg (1200x1200) and checked against workbook observation: Close bed view with optional pillow shams and Tree of Life artwork.</t>
        </is>
      </c>
      <c r="K16" s="2" t="inlineStr">
        <is>
          <t>Close bed view with optional pillow shams and Tree of Life artwork.</t>
        </is>
      </c>
      <c r="L16" s="2" t="inlineStr">
        <is>
          <t>SET</t>
        </is>
      </c>
      <c r="M16" s="2" t="inlineStr">
        <is>
          <t>Colorful Celtic Tree quilt pillow sham panel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>
        <is>
          <t>[]</t>
        </is>
      </c>
      <c r="X16" s="2" t="inlineStr">
        <is>
          <t>["seo_runs\\jeminise.com\\20260906_234129\\qa\\20260909_134616\\images\\263_03.jpg", "https://cdn.shopify.com/s/files/1/0792/5098/1063/files/b498655a4c8cf77bc3dbdba36b9b8d8a53572e0b0396af9622fc47092f02455b.jpg?v=1786569509"]</t>
        </is>
      </c>
    </row>
    <row r="17" ht="66" customHeight="1">
      <c r="A17" s="3" t="inlineStr">
        <is>
          <t>jeminise.com+personalized-colorful-celtic-tree-of-life-quilt-sets-machine-washable</t>
        </is>
      </c>
      <c r="B17" s="3" t="inlineStr">
        <is>
          <t>qaimg_158af582b41cdf89</t>
        </is>
      </c>
      <c r="C17" s="4" t="inlineStr">
        <is>
          <t>https://cdn.shopify.com/s/files/1/0792/5098/1063/files/8d6d209416f8ef08145318432e443ea82e6160fa9744a1556a87a1aac42d8575.jpg?v=1786569509</t>
        </is>
      </c>
      <c r="D17" s="4" t="inlineStr">
        <is>
          <t>https://cdn.shopify.com/s/files/1/0792/5098/1063/files/8d6d209416f8ef08145318432e443ea82e6160fa9744a1556a87a1aac42d8575.jpg?v=1786569509</t>
        </is>
      </c>
      <c r="E17" s="3" t="inlineStr">
        <is>
          <t>47826178048199</t>
        </is>
      </c>
      <c r="F17" s="3" t="inlineStr"/>
      <c r="G17" s="3" t="inlineStr">
        <is>
          <t>GALLERY</t>
        </is>
      </c>
      <c r="H17" s="3" t="inlineStr">
        <is>
          <t>DIRECT_IMAGE_FILE_OPENED_AND_VISUALLY_REVIEWED</t>
        </is>
      </c>
      <c r="I17" s="3" t="inlineStr">
        <is>
          <t>2026-09-09T13:46:17+07:00</t>
        </is>
      </c>
      <c r="J17" s="3" t="inlineStr">
        <is>
          <t>QA opened 263_04.jpg (1200x1200) and checked against workbook observation: High-quality fabric panel with quilt layers and Celtic tree artwork sample.</t>
        </is>
      </c>
      <c r="K17" s="3" t="inlineStr">
        <is>
          <t>High-quality fabric panel with quilt layers and Celtic tree artwork sample.</t>
        </is>
      </c>
      <c r="L17" s="3" t="inlineStr">
        <is>
          <t>SET</t>
        </is>
      </c>
      <c r="M17" s="3" t="inlineStr">
        <is>
          <t>Colorful Celtic Tree quilt fabric panel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>
        <is>
          <t>[]</t>
        </is>
      </c>
      <c r="X17" s="3" t="inlineStr">
        <is>
          <t>["seo_runs\\jeminise.com\\20260906_234129\\qa\\20260909_134616\\images\\263_04.jpg", "https://cdn.shopify.com/s/files/1/0792/5098/1063/files/8d6d209416f8ef08145318432e443ea82e6160fa9744a1556a87a1aac42d8575.jpg?v=1786569509"]</t>
        </is>
      </c>
    </row>
    <row r="18" ht="66" customHeight="1">
      <c r="A18" s="2" t="inlineStr">
        <is>
          <t>jeminise.com+personalized-colorful-celtic-tree-of-life-quilt-sets-machine-washable</t>
        </is>
      </c>
      <c r="B18" s="2" t="inlineStr">
        <is>
          <t>qaimg_58a91a4eb1020445</t>
        </is>
      </c>
      <c r="C18" s="4" t="inlineStr">
        <is>
          <t>https://cdn.shopify.com/s/files/1/0792/5098/1063/files/208fd9d4d01273251e7871d3eb3d8a2edbed50310b25a2ca59ce0249c354f387.jpg?v=1786569509</t>
        </is>
      </c>
      <c r="D18" s="4" t="inlineStr">
        <is>
          <t>https://cdn.shopify.com/s/files/1/0792/5098/1063/files/208fd9d4d01273251e7871d3eb3d8a2edbed50310b25a2ca59ce0249c354f387.jpg?v=1786569509</t>
        </is>
      </c>
      <c r="E18" s="2" t="inlineStr">
        <is>
          <t>47826178080967</t>
        </is>
      </c>
      <c r="F18" s="2" t="inlineStr"/>
      <c r="G18" s="2" t="inlineStr">
        <is>
          <t>GALLERY</t>
        </is>
      </c>
      <c r="H18" s="2" t="inlineStr">
        <is>
          <t>DIRECT_IMAGE_FILE_OPENED_AND_VISUALLY_REVIEWED</t>
        </is>
      </c>
      <c r="I18" s="2" t="inlineStr">
        <is>
          <t>2026-09-09T13:46:17+07:00</t>
        </is>
      </c>
      <c r="J18" s="2" t="inlineStr">
        <is>
          <t>QA opened 263_05.jpg (1200x1200) and checked against workbook observation: Premium quilt sets sizing chart for colorful Celtic Tree design.</t>
        </is>
      </c>
      <c r="K18" s="2" t="inlineStr">
        <is>
          <t>Premium quilt sets sizing chart for colorful Celtic Tree design.</t>
        </is>
      </c>
      <c r="L18" s="2" t="inlineStr">
        <is>
          <t>SET</t>
        </is>
      </c>
      <c r="M18" s="2" t="inlineStr">
        <is>
          <t>Colorful Celtic Tree quilt size chart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>
        <is>
          <t>[]</t>
        </is>
      </c>
      <c r="X18" s="2" t="inlineStr">
        <is>
          <t>["seo_runs\\jeminise.com\\20260906_234129\\qa\\20260909_134616\\images\\263_05.jpg", "https://cdn.shopify.com/s/files/1/0792/5098/1063/files/208fd9d4d01273251e7871d3eb3d8a2edbed50310b25a2ca59ce0249c354f387.jpg?v=1786569509"]</t>
        </is>
      </c>
    </row>
    <row r="19" ht="66" customHeight="1">
      <c r="A19" s="3" t="inlineStr">
        <is>
          <t>jeminise.com+personalized-colorful-celtic-tree-of-life-quilt-sets-machine-washable</t>
        </is>
      </c>
      <c r="B19" s="3" t="inlineStr">
        <is>
          <t>qaimg_7fa63fb87c5fd791</t>
        </is>
      </c>
      <c r="C19" s="4" t="inlineStr">
        <is>
          <t>https://cdn.shopify.com/s/files/1/0792/5098/1063/files/dbee8586fa6dab72625f4825ee857016daea77d6ce18a69b9df76c51ddc5169b.jpg?v=1786569509</t>
        </is>
      </c>
      <c r="D19" s="4" t="inlineStr">
        <is>
          <t>https://cdn.shopify.com/s/files/1/0792/5098/1063/files/dbee8586fa6dab72625f4825ee857016daea77d6ce18a69b9df76c51ddc5169b.jpg?v=1786569509</t>
        </is>
      </c>
      <c r="E19" s="3" t="inlineStr">
        <is>
          <t>47826178113735</t>
        </is>
      </c>
      <c r="F19" s="3" t="inlineStr"/>
      <c r="G19" s="3" t="inlineStr">
        <is>
          <t>GALLERY</t>
        </is>
      </c>
      <c r="H19" s="3" t="inlineStr">
        <is>
          <t>DIRECT_IMAGE_FILE_OPENED_AND_VISUALLY_REVIEWED</t>
        </is>
      </c>
      <c r="I19" s="3" t="inlineStr">
        <is>
          <t>2026-09-09T13:46:17+07:00</t>
        </is>
      </c>
      <c r="J19" s="3" t="inlineStr">
        <is>
          <t>QA opened 263_06.jpg (1200x1200) and checked against workbook observation: Bedspread features panel showing microfiber layers and care icons.</t>
        </is>
      </c>
      <c r="K19" s="3" t="inlineStr">
        <is>
          <t>Bedspread features panel showing microfiber layers and care icons.</t>
        </is>
      </c>
      <c r="L19" s="3" t="inlineStr">
        <is>
          <t>SET</t>
        </is>
      </c>
      <c r="M19" s="3" t="inlineStr">
        <is>
          <t>Colorful Celtic Tree quilt features panel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>
        <is>
          <t>[]</t>
        </is>
      </c>
      <c r="X19" s="3" t="inlineStr">
        <is>
          <t>["seo_runs\\jeminise.com\\20260906_234129\\qa\\20260909_134616\\images\\263_06.jpg", "https://cdn.shopify.com/s/files/1/0792/5098/1063/files/dbee8586fa6dab72625f4825ee857016daea77d6ce18a69b9df76c51ddc5169b.jpg?v=1786569509"]</t>
        </is>
      </c>
    </row>
    <row r="20" ht="66" customHeight="1">
      <c r="A20" s="2" t="inlineStr">
        <is>
          <t>jeminise.com+personalized-colorful-celtic-tree-of-life-quilt-sets-machine-washable</t>
        </is>
      </c>
      <c r="B20" s="2" t="inlineStr">
        <is>
          <t>qaimg_d3dd2324e35f8b93</t>
        </is>
      </c>
      <c r="C20" s="4" t="inlineStr">
        <is>
          <t>https://cdn.shopify.com/s/files/1/0792/5098/1063/files/f1cfec672d303ce453d5a97cdd173c7dfcad2f5355b17c90a29145d7f4066213.jpg?v=1786569509</t>
        </is>
      </c>
      <c r="D20" s="4" t="inlineStr">
        <is>
          <t>https://cdn.shopify.com/s/files/1/0792/5098/1063/files/f1cfec672d303ce453d5a97cdd173c7dfcad2f5355b17c90a29145d7f4066213.jpg?v=1786569509</t>
        </is>
      </c>
      <c r="E20" s="2" t="inlineStr">
        <is>
          <t>47826178146503</t>
        </is>
      </c>
      <c r="F20" s="2" t="inlineStr"/>
      <c r="G20" s="2" t="inlineStr">
        <is>
          <t>GALLERY</t>
        </is>
      </c>
      <c r="H20" s="2" t="inlineStr">
        <is>
          <t>DIRECT_IMAGE_FILE_OPENED_AND_VISUALLY_REVIEWED</t>
        </is>
      </c>
      <c r="I20" s="2" t="inlineStr">
        <is>
          <t>2026-09-09T13:46:17+07:00</t>
        </is>
      </c>
      <c r="J20" s="2" t="inlineStr">
        <is>
          <t>QA opened 263_07.jpg (1200x1200) and checked against workbook observation: Overhead bedroom mockup of colorful Celtic Tree quilt and matching pillows.</t>
        </is>
      </c>
      <c r="K20" s="2" t="inlineStr">
        <is>
          <t>Overhead bedroom mockup of colorful Celtic Tree quilt and matching pillows.</t>
        </is>
      </c>
      <c r="L20" s="2" t="inlineStr">
        <is>
          <t>SET</t>
        </is>
      </c>
      <c r="M20" s="2" t="inlineStr">
        <is>
          <t>Colorful Celtic Tree quilt overhead view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>
        <is>
          <t>[]</t>
        </is>
      </c>
      <c r="X20" s="2" t="inlineStr">
        <is>
          <t>["seo_runs\\jeminise.com\\20260906_234129\\qa\\20260909_134616\\images\\263_07.jpg", "https://cdn.shopify.com/s/files/1/0792/5098/1063/files/f1cfec672d303ce453d5a97cdd173c7dfcad2f5355b17c90a29145d7f4066213.jpg?v=1786569509"]</t>
        </is>
      </c>
    </row>
    <row r="21" ht="66" customHeight="1">
      <c r="A21" s="3" t="inlineStr">
        <is>
          <t>jeminise.com+personalized-colorful-celtic-yggdrasil-tree-quilt-sets-vintage</t>
        </is>
      </c>
      <c r="B21" s="3" t="inlineStr">
        <is>
          <t>qaimg_a1c9c28c39e6a2fe</t>
        </is>
      </c>
      <c r="C21" s="4" t="inlineStr">
        <is>
          <t>https://cdn.shopify.com/s/files/1/0792/5098/1063/files/513c1decc2c09e6969dd783ab644c7080420d84841bd381cde7e6d7a4ba272a2.jpg?v=1786569737</t>
        </is>
      </c>
      <c r="D21" s="4" t="inlineStr">
        <is>
          <t>https://cdn.shopify.com/s/files/1/0792/5098/1063/files/513c1decc2c09e6969dd783ab644c7080420d84841bd381cde7e6d7a4ba272a2.jpg?v=1786569737</t>
        </is>
      </c>
      <c r="E21" s="3" t="inlineStr">
        <is>
          <t>47826187059399</t>
        </is>
      </c>
      <c r="F21" s="3" t="inlineStr"/>
      <c r="G21" s="3" t="inlineStr">
        <is>
          <t>GALLERY</t>
        </is>
      </c>
      <c r="H21" s="3" t="inlineStr">
        <is>
          <t>DIRECT_IMAGE_FILE_OPENED_AND_VISUALLY_REVIEWED</t>
        </is>
      </c>
      <c r="I21" s="3" t="inlineStr">
        <is>
          <t>2026-09-09T13:46:17+07:00</t>
        </is>
      </c>
      <c r="J21" s="3" t="inlineStr">
        <is>
          <t>QA opened 264_01.jpg (1200x1200) and checked against workbook observation: Bed mockup of sunset Yggdrasil quilt with large tree and Celtic border.</t>
        </is>
      </c>
      <c r="K21" s="3" t="inlineStr">
        <is>
          <t>Bed mockup of sunset Yggdrasil quilt with large tree and Celtic border.</t>
        </is>
      </c>
      <c r="L21" s="3" t="inlineStr">
        <is>
          <t>SET</t>
        </is>
      </c>
      <c r="M21" s="3" t="inlineStr">
        <is>
          <t>Vintage Yggdrasil quilt bed view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>
        <is>
          <t>[]</t>
        </is>
      </c>
      <c r="X21" s="3" t="inlineStr">
        <is>
          <t>["seo_runs\\jeminise.com\\20260906_234129\\qa\\20260909_134616\\images\\264_01.jpg", "https://cdn.shopify.com/s/files/1/0792/5098/1063/files/513c1decc2c09e6969dd783ab644c7080420d84841bd381cde7e6d7a4ba272a2.jpg?v=1786569737"]</t>
        </is>
      </c>
    </row>
    <row r="22" ht="66" customHeight="1">
      <c r="A22" s="2" t="inlineStr">
        <is>
          <t>jeminise.com+personalized-colorful-celtic-yggdrasil-tree-quilt-sets-vintage</t>
        </is>
      </c>
      <c r="B22" s="2" t="inlineStr">
        <is>
          <t>qaimg_e891c7eeecefd4c5</t>
        </is>
      </c>
      <c r="C22" s="4" t="inlineStr">
        <is>
          <t>https://cdn.shopify.com/s/files/1/0792/5098/1063/files/58b8d413a1cf5f3cf36f183e26140d1757915c3906b1050916936af7dd488c64.jpg?v=1786569737</t>
        </is>
      </c>
      <c r="D22" s="4" t="inlineStr">
        <is>
          <t>https://cdn.shopify.com/s/files/1/0792/5098/1063/files/58b8d413a1cf5f3cf36f183e26140d1757915c3906b1050916936af7dd488c64.jpg?v=1786569737</t>
        </is>
      </c>
      <c r="E22" s="2" t="inlineStr">
        <is>
          <t>47826187092167</t>
        </is>
      </c>
      <c r="F22" s="2" t="inlineStr"/>
      <c r="G22" s="2" t="inlineStr">
        <is>
          <t>GALLERY</t>
        </is>
      </c>
      <c r="H22" s="2" t="inlineStr">
        <is>
          <t>DIRECT_IMAGE_FILE_OPENED_AND_VISUALLY_REVIEWED</t>
        </is>
      </c>
      <c r="I22" s="2" t="inlineStr">
        <is>
          <t>2026-09-09T13:46:17+07:00</t>
        </is>
      </c>
      <c r="J22" s="2" t="inlineStr">
        <is>
          <t>QA opened 264_02.jpg (1200x1200) and checked against workbook observation: Second room mockup of sunset Yggdrasil quilt with craft callout.</t>
        </is>
      </c>
      <c r="K22" s="2" t="inlineStr">
        <is>
          <t>Second room mockup of sunset Yggdrasil quilt with craft callout.</t>
        </is>
      </c>
      <c r="L22" s="2" t="inlineStr">
        <is>
          <t>SET</t>
        </is>
      </c>
      <c r="M22" s="2" t="inlineStr">
        <is>
          <t>Vintage Yggdrasil quilt room mockup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>
        <is>
          <t>[]</t>
        </is>
      </c>
      <c r="X22" s="2" t="inlineStr">
        <is>
          <t>["seo_runs\\jeminise.com\\20260906_234129\\qa\\20260909_134616\\images\\264_02.jpg", "https://cdn.shopify.com/s/files/1/0792/5098/1063/files/58b8d413a1cf5f3cf36f183e26140d1757915c3906b1050916936af7dd488c64.jpg?v=1786569737"]</t>
        </is>
      </c>
    </row>
    <row r="23" ht="66" customHeight="1">
      <c r="A23" s="3" t="inlineStr">
        <is>
          <t>jeminise.com+personalized-colorful-celtic-yggdrasil-tree-quilt-sets-vintage</t>
        </is>
      </c>
      <c r="B23" s="3" t="inlineStr">
        <is>
          <t>qaimg_5b83e99678c2e5e1</t>
        </is>
      </c>
      <c r="C23" s="4" t="inlineStr">
        <is>
          <t>https://cdn.shopify.com/s/files/1/0792/5098/1063/files/91d412b8076c5826bb6948754e4377d7cadf19778cde18eb32543d9007ef2103.jpg?v=1786569737</t>
        </is>
      </c>
      <c r="D23" s="4" t="inlineStr">
        <is>
          <t>https://cdn.shopify.com/s/files/1/0792/5098/1063/files/91d412b8076c5826bb6948754e4377d7cadf19778cde18eb32543d9007ef2103.jpg?v=1786569737</t>
        </is>
      </c>
      <c r="E23" s="3" t="inlineStr">
        <is>
          <t>47826187124935</t>
        </is>
      </c>
      <c r="F23" s="3" t="inlineStr"/>
      <c r="G23" s="3" t="inlineStr">
        <is>
          <t>GALLERY</t>
        </is>
      </c>
      <c r="H23" s="3" t="inlineStr">
        <is>
          <t>DIRECT_IMAGE_FILE_OPENED_AND_VISUALLY_REVIEWED</t>
        </is>
      </c>
      <c r="I23" s="3" t="inlineStr">
        <is>
          <t>2026-09-09T13:46:17+07:00</t>
        </is>
      </c>
      <c r="J23" s="3" t="inlineStr">
        <is>
          <t>QA opened 264_03.jpg (1200x1200) and checked against workbook observation: Close bed view with optional pillow shams and sunset tree artwork.</t>
        </is>
      </c>
      <c r="K23" s="3" t="inlineStr">
        <is>
          <t>Close bed view with optional pillow shams and sunset tree artwork.</t>
        </is>
      </c>
      <c r="L23" s="3" t="inlineStr">
        <is>
          <t>SET</t>
        </is>
      </c>
      <c r="M23" s="3" t="inlineStr">
        <is>
          <t>Vintage Yggdrasil quilt pillow sham panel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>
        <is>
          <t>[]</t>
        </is>
      </c>
      <c r="X23" s="3" t="inlineStr">
        <is>
          <t>["seo_runs\\jeminise.com\\20260906_234129\\qa\\20260909_134616\\images\\264_03.jpg", "https://cdn.shopify.com/s/files/1/0792/5098/1063/files/91d412b8076c5826bb6948754e4377d7cadf19778cde18eb32543d9007ef2103.jpg?v=1786569737"]</t>
        </is>
      </c>
    </row>
    <row r="24" ht="66" customHeight="1">
      <c r="A24" s="2" t="inlineStr">
        <is>
          <t>jeminise.com+personalized-colorful-celtic-yggdrasil-tree-quilt-sets-vintage</t>
        </is>
      </c>
      <c r="B24" s="2" t="inlineStr">
        <is>
          <t>qaimg_ceebc011b1054776</t>
        </is>
      </c>
      <c r="C24" s="4" t="inlineStr">
        <is>
          <t>https://cdn.shopify.com/s/files/1/0792/5098/1063/files/3aa578b872334652b423283e716eb2bfab481a7149934f34f03f7d46a6c21f47.jpg?v=1786569737</t>
        </is>
      </c>
      <c r="D24" s="4" t="inlineStr">
        <is>
          <t>https://cdn.shopify.com/s/files/1/0792/5098/1063/files/3aa578b872334652b423283e716eb2bfab481a7149934f34f03f7d46a6c21f47.jpg?v=1786569737</t>
        </is>
      </c>
      <c r="E24" s="2" t="inlineStr">
        <is>
          <t>47826187157703</t>
        </is>
      </c>
      <c r="F24" s="2" t="inlineStr"/>
      <c r="G24" s="2" t="inlineStr">
        <is>
          <t>GALLERY</t>
        </is>
      </c>
      <c r="H24" s="2" t="inlineStr">
        <is>
          <t>DIRECT_IMAGE_FILE_OPENED_AND_VISUALLY_REVIEWED</t>
        </is>
      </c>
      <c r="I24" s="2" t="inlineStr">
        <is>
          <t>2026-09-09T13:46:17+07:00</t>
        </is>
      </c>
      <c r="J24" s="2" t="inlineStr">
        <is>
          <t>QA opened 264_04.jpg (1200x1200) and checked against workbook observation: High-quality fabric panel with quilt layers and yellow tree artwork sample.</t>
        </is>
      </c>
      <c r="K24" s="2" t="inlineStr">
        <is>
          <t>High-quality fabric panel with quilt layers and yellow tree artwork sample.</t>
        </is>
      </c>
      <c r="L24" s="2" t="inlineStr">
        <is>
          <t>SET</t>
        </is>
      </c>
      <c r="M24" s="2" t="inlineStr">
        <is>
          <t>Vintage Yggdrasil quilt fabric panel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>
        <is>
          <t>[]</t>
        </is>
      </c>
      <c r="X24" s="2" t="inlineStr">
        <is>
          <t>["seo_runs\\jeminise.com\\20260906_234129\\qa\\20260909_134616\\images\\264_04.jpg", "https://cdn.shopify.com/s/files/1/0792/5098/1063/files/3aa578b872334652b423283e716eb2bfab481a7149934f34f03f7d46a6c21f47.jpg?v=1786569737"]</t>
        </is>
      </c>
    </row>
    <row r="25" ht="66" customHeight="1">
      <c r="A25" s="3" t="inlineStr">
        <is>
          <t>jeminise.com+personalized-colorful-celtic-yggdrasil-tree-quilt-sets-vintage</t>
        </is>
      </c>
      <c r="B25" s="3" t="inlineStr">
        <is>
          <t>qaimg_2e2e551477bd5659</t>
        </is>
      </c>
      <c r="C25" s="4" t="inlineStr">
        <is>
          <t>https://cdn.shopify.com/s/files/1/0792/5098/1063/files/3ccdb5efdf3bee1b1ee9c3284fa25b4395815402469064590cb8aaea8f1b3bd2.jpg?v=1786569737</t>
        </is>
      </c>
      <c r="D25" s="4" t="inlineStr">
        <is>
          <t>https://cdn.shopify.com/s/files/1/0792/5098/1063/files/3ccdb5efdf3bee1b1ee9c3284fa25b4395815402469064590cb8aaea8f1b3bd2.jpg?v=1786569737</t>
        </is>
      </c>
      <c r="E25" s="3" t="inlineStr">
        <is>
          <t>47826187190471</t>
        </is>
      </c>
      <c r="F25" s="3" t="inlineStr"/>
      <c r="G25" s="3" t="inlineStr">
        <is>
          <t>GALLERY</t>
        </is>
      </c>
      <c r="H25" s="3" t="inlineStr">
        <is>
          <t>DIRECT_IMAGE_FILE_OPENED_AND_VISUALLY_REVIEWED</t>
        </is>
      </c>
      <c r="I25" s="3" t="inlineStr">
        <is>
          <t>2026-09-09T13:46:17+07:00</t>
        </is>
      </c>
      <c r="J25" s="3" t="inlineStr">
        <is>
          <t>QA opened 264_05.jpg (1200x1200) and checked against workbook observation: Premium quilt sets sizing chart for vintage Yggdrasil design.</t>
        </is>
      </c>
      <c r="K25" s="3" t="inlineStr">
        <is>
          <t>Premium quilt sets sizing chart for vintage Yggdrasil design.</t>
        </is>
      </c>
      <c r="L25" s="3" t="inlineStr">
        <is>
          <t>SET</t>
        </is>
      </c>
      <c r="M25" s="3" t="inlineStr">
        <is>
          <t>Vintage Yggdrasil quilt size chart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>
        <is>
          <t>[]</t>
        </is>
      </c>
      <c r="X25" s="3" t="inlineStr">
        <is>
          <t>["seo_runs\\jeminise.com\\20260906_234129\\qa\\20260909_134616\\images\\264_05.jpg", "https://cdn.shopify.com/s/files/1/0792/5098/1063/files/3ccdb5efdf3bee1b1ee9c3284fa25b4395815402469064590cb8aaea8f1b3bd2.jpg?v=1786569737"]</t>
        </is>
      </c>
    </row>
    <row r="26" ht="66" customHeight="1">
      <c r="A26" s="2" t="inlineStr">
        <is>
          <t>jeminise.com+personalized-colorful-celtic-yggdrasil-tree-quilt-sets-vintage</t>
        </is>
      </c>
      <c r="B26" s="2" t="inlineStr">
        <is>
          <t>qaimg_5512ab9cdbed7046</t>
        </is>
      </c>
      <c r="C26" s="4" t="inlineStr">
        <is>
          <t>https://cdn.shopify.com/s/files/1/0792/5098/1063/files/3a86e29e6e88c107d1a41f376d489949dc61bd7de8c256091f3f5d6f0df70d76.jpg?v=1786569737</t>
        </is>
      </c>
      <c r="D26" s="4" t="inlineStr">
        <is>
          <t>https://cdn.shopify.com/s/files/1/0792/5098/1063/files/3a86e29e6e88c107d1a41f376d489949dc61bd7de8c256091f3f5d6f0df70d76.jpg?v=1786569737</t>
        </is>
      </c>
      <c r="E26" s="2" t="inlineStr">
        <is>
          <t>47826187223239</t>
        </is>
      </c>
      <c r="F26" s="2" t="inlineStr"/>
      <c r="G26" s="2" t="inlineStr">
        <is>
          <t>GALLERY</t>
        </is>
      </c>
      <c r="H26" s="2" t="inlineStr">
        <is>
          <t>DIRECT_IMAGE_FILE_OPENED_AND_VISUALLY_REVIEWED</t>
        </is>
      </c>
      <c r="I26" s="2" t="inlineStr">
        <is>
          <t>2026-09-09T13:46:17+07:00</t>
        </is>
      </c>
      <c r="J26" s="2" t="inlineStr">
        <is>
          <t>QA opened 264_06.jpg (1200x1200) and checked against workbook observation: Bedspread features panel showing microfiber layers and care icons.</t>
        </is>
      </c>
      <c r="K26" s="2" t="inlineStr">
        <is>
          <t>Bedspread features panel showing microfiber layers and care icons.</t>
        </is>
      </c>
      <c r="L26" s="2" t="inlineStr">
        <is>
          <t>SET</t>
        </is>
      </c>
      <c r="M26" s="2" t="inlineStr">
        <is>
          <t>Vintage Yggdrasil quilt features panel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>
        <is>
          <t>[]</t>
        </is>
      </c>
      <c r="X26" s="2" t="inlineStr">
        <is>
          <t>["seo_runs\\jeminise.com\\20260906_234129\\qa\\20260909_134616\\images\\264_06.jpg", "https://cdn.shopify.com/s/files/1/0792/5098/1063/files/3a86e29e6e88c107d1a41f376d489949dc61bd7de8c256091f3f5d6f0df70d76.jpg?v=1786569737"]</t>
        </is>
      </c>
    </row>
    <row r="27" ht="66" customHeight="1">
      <c r="A27" s="3" t="inlineStr">
        <is>
          <t>jeminise.com+personalized-colorful-celtic-yggdrasil-tree-quilt-sets-vintage</t>
        </is>
      </c>
      <c r="B27" s="3" t="inlineStr">
        <is>
          <t>qaimg_08f671e25783ca18</t>
        </is>
      </c>
      <c r="C27" s="4" t="inlineStr">
        <is>
          <t>https://cdn.shopify.com/s/files/1/0792/5098/1063/files/b5de44814da216dc122aa18370b50a036e02f380005116841266b44870e6655c.jpg?v=1786569737</t>
        </is>
      </c>
      <c r="D27" s="4" t="inlineStr">
        <is>
          <t>https://cdn.shopify.com/s/files/1/0792/5098/1063/files/b5de44814da216dc122aa18370b50a036e02f380005116841266b44870e6655c.jpg?v=1786569737</t>
        </is>
      </c>
      <c r="E27" s="3" t="inlineStr">
        <is>
          <t>47826187256007</t>
        </is>
      </c>
      <c r="F27" s="3" t="inlineStr"/>
      <c r="G27" s="3" t="inlineStr">
        <is>
          <t>GALLERY</t>
        </is>
      </c>
      <c r="H27" s="3" t="inlineStr">
        <is>
          <t>DIRECT_IMAGE_FILE_OPENED_AND_VISUALLY_REVIEWED</t>
        </is>
      </c>
      <c r="I27" s="3" t="inlineStr">
        <is>
          <t>2026-09-09T13:46:17+07:00</t>
        </is>
      </c>
      <c r="J27" s="3" t="inlineStr">
        <is>
          <t>QA opened 264_07.jpg (1200x1200) and checked against workbook observation: Overhead bedroom mockup of vintage Yggdrasil quilt and matching pillows.</t>
        </is>
      </c>
      <c r="K27" s="3" t="inlineStr">
        <is>
          <t>Overhead bedroom mockup of vintage Yggdrasil quilt and matching pillows.</t>
        </is>
      </c>
      <c r="L27" s="3" t="inlineStr">
        <is>
          <t>SET</t>
        </is>
      </c>
      <c r="M27" s="3" t="inlineStr">
        <is>
          <t>Vintage Yggdrasil quilt overhead view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>
        <is>
          <t>[]</t>
        </is>
      </c>
      <c r="X27" s="3" t="inlineStr">
        <is>
          <t>["seo_runs\\jeminise.com\\20260906_234129\\qa\\20260909_134616\\images\\264_07.jpg", "https://cdn.shopify.com/s/files/1/0792/5098/1063/files/b5de44814da216dc122aa18370b50a036e02f380005116841266b44870e6655c.jpg?v=1786569737"]</t>
        </is>
      </c>
    </row>
    <row r="28" ht="66" customHeight="1">
      <c r="A28" s="2" t="inlineStr">
        <is>
          <t>jeminise.com+personalized-colorful-desert-rv-sunset-scene-quilt-sets-style-9</t>
        </is>
      </c>
      <c r="B28" s="2" t="inlineStr">
        <is>
          <t>qaimg_20c1630032cf9bc7</t>
        </is>
      </c>
      <c r="C28" s="4" t="inlineStr">
        <is>
          <t>https://cdn.shopify.com/s/files/1/0792/5098/1063/files/f91eb91648f8e606dac4f7807559febc8fb2491d8e8f263330960002adfbd567.jpg?v=1786567114</t>
        </is>
      </c>
      <c r="D28" s="4" t="inlineStr">
        <is>
          <t>https://cdn.shopify.com/s/files/1/0792/5098/1063/files/f91eb91648f8e606dac4f7807559febc8fb2491d8e8f263330960002adfbd567.jpg?v=1786567114</t>
        </is>
      </c>
      <c r="E28" s="2" t="inlineStr">
        <is>
          <t>47825973838023</t>
        </is>
      </c>
      <c r="F28" s="2" t="inlineStr"/>
      <c r="G28" s="2" t="inlineStr">
        <is>
          <t>GALLERY</t>
        </is>
      </c>
      <c r="H28" s="2" t="inlineStr">
        <is>
          <t>DIRECT_IMAGE_FILE_OPENED_AND_VISUALLY_REVIEWED</t>
        </is>
      </c>
      <c r="I28" s="2" t="inlineStr">
        <is>
          <t>2026-09-09T13:46:17+07:00</t>
        </is>
      </c>
      <c r="J28" s="2" t="inlineStr">
        <is>
          <t>QA opened 265_01.jpg (1200x1200) and checked against workbook observation: Bed mockup of colorful desert RV quilt with cactus, flowers, mountains and sunset.</t>
        </is>
      </c>
      <c r="K28" s="2" t="inlineStr">
        <is>
          <t>Bed mockup of colorful desert RV quilt with cactus, flowers, mountains and sunset.</t>
        </is>
      </c>
      <c r="L28" s="2" t="inlineStr">
        <is>
          <t>SET</t>
        </is>
      </c>
      <c r="M28" s="2" t="inlineStr">
        <is>
          <t>Desert RV sunset quilt bed view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>
        <is>
          <t>[]</t>
        </is>
      </c>
      <c r="X28" s="2" t="inlineStr">
        <is>
          <t>["seo_runs\\jeminise.com\\20260906_234129\\qa\\20260909_134616\\images\\265_01.jpg", "https://cdn.shopify.com/s/files/1/0792/5098/1063/files/f91eb91648f8e606dac4f7807559febc8fb2491d8e8f263330960002adfbd567.jpg?v=1786567114"]</t>
        </is>
      </c>
    </row>
    <row r="29" ht="66" customHeight="1">
      <c r="A29" s="3" t="inlineStr">
        <is>
          <t>jeminise.com+personalized-colorful-desert-rv-sunset-scene-quilt-sets-style-9</t>
        </is>
      </c>
      <c r="B29" s="3" t="inlineStr">
        <is>
          <t>qaimg_049de69199291985</t>
        </is>
      </c>
      <c r="C29" s="4" t="inlineStr">
        <is>
          <t>https://cdn.shopify.com/s/files/1/0792/5098/1063/files/ffec157b111fa8c9663e58d649f41b1e75aa1f327f42d09b6d0c79edeb6f7aba.jpg?v=1786567114</t>
        </is>
      </c>
      <c r="D29" s="4" t="inlineStr">
        <is>
          <t>https://cdn.shopify.com/s/files/1/0792/5098/1063/files/ffec157b111fa8c9663e58d649f41b1e75aa1f327f42d09b6d0c79edeb6f7aba.jpg?v=1786567114</t>
        </is>
      </c>
      <c r="E29" s="3" t="inlineStr">
        <is>
          <t>47825973870791</t>
        </is>
      </c>
      <c r="F29" s="3" t="inlineStr"/>
      <c r="G29" s="3" t="inlineStr">
        <is>
          <t>GALLERY</t>
        </is>
      </c>
      <c r="H29" s="3" t="inlineStr">
        <is>
          <t>DIRECT_IMAGE_FILE_OPENED_AND_VISUALLY_REVIEWED</t>
        </is>
      </c>
      <c r="I29" s="3" t="inlineStr">
        <is>
          <t>2026-09-09T13:46:17+07:00</t>
        </is>
      </c>
      <c r="J29" s="3" t="inlineStr">
        <is>
          <t>QA opened 265_02.jpg (1200x1200) and checked against workbook observation: Second room mockup of desert RV sunset quilt with craft callout.</t>
        </is>
      </c>
      <c r="K29" s="3" t="inlineStr">
        <is>
          <t>Second room mockup of desert RV sunset quilt with craft callout.</t>
        </is>
      </c>
      <c r="L29" s="3" t="inlineStr">
        <is>
          <t>SET</t>
        </is>
      </c>
      <c r="M29" s="3" t="inlineStr">
        <is>
          <t>Desert RV sunset quilt room mockup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>
        <is>
          <t>[]</t>
        </is>
      </c>
      <c r="X29" s="3" t="inlineStr">
        <is>
          <t>["seo_runs\\jeminise.com\\20260906_234129\\qa\\20260909_134616\\images\\265_02.jpg", "https://cdn.shopify.com/s/files/1/0792/5098/1063/files/ffec157b111fa8c9663e58d649f41b1e75aa1f327f42d09b6d0c79edeb6f7aba.jpg?v=1786567114"]</t>
        </is>
      </c>
    </row>
    <row r="30" ht="66" customHeight="1">
      <c r="A30" s="2" t="inlineStr">
        <is>
          <t>jeminise.com+personalized-colorful-desert-rv-sunset-scene-quilt-sets-style-9</t>
        </is>
      </c>
      <c r="B30" s="2" t="inlineStr">
        <is>
          <t>qaimg_47114d0d01e9a105</t>
        </is>
      </c>
      <c r="C30" s="4" t="inlineStr">
        <is>
          <t>https://cdn.shopify.com/s/files/1/0792/5098/1063/files/5f602430f0ec3f71177227a93d01a5b7b675335c0bd2587139cec2b1092e3176.jpg?v=1786567114</t>
        </is>
      </c>
      <c r="D30" s="4" t="inlineStr">
        <is>
          <t>https://cdn.shopify.com/s/files/1/0792/5098/1063/files/5f602430f0ec3f71177227a93d01a5b7b675335c0bd2587139cec2b1092e3176.jpg?v=1786567114</t>
        </is>
      </c>
      <c r="E30" s="2" t="inlineStr">
        <is>
          <t>47825973903559</t>
        </is>
      </c>
      <c r="F30" s="2" t="inlineStr"/>
      <c r="G30" s="2" t="inlineStr">
        <is>
          <t>GALLERY</t>
        </is>
      </c>
      <c r="H30" s="2" t="inlineStr">
        <is>
          <t>DIRECT_IMAGE_FILE_OPENED_AND_VISUALLY_REVIEWED</t>
        </is>
      </c>
      <c r="I30" s="2" t="inlineStr">
        <is>
          <t>2026-09-09T13:46:17+07:00</t>
        </is>
      </c>
      <c r="J30" s="2" t="inlineStr">
        <is>
          <t>QA opened 265_03.jpg (1200x1200) and checked against workbook observation: Close bed view with optional pillow shams and desert camper artwork.</t>
        </is>
      </c>
      <c r="K30" s="2" t="inlineStr">
        <is>
          <t>Close bed view with optional pillow shams and desert camper artwork.</t>
        </is>
      </c>
      <c r="L30" s="2" t="inlineStr">
        <is>
          <t>SET</t>
        </is>
      </c>
      <c r="M30" s="2" t="inlineStr">
        <is>
          <t>Desert RV sunset quilt pillow sham panel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>
        <is>
          <t>[]</t>
        </is>
      </c>
      <c r="X30" s="2" t="inlineStr">
        <is>
          <t>["seo_runs\\jeminise.com\\20260906_234129\\qa\\20260909_134616\\images\\265_03.jpg", "https://cdn.shopify.com/s/files/1/0792/5098/1063/files/5f602430f0ec3f71177227a93d01a5b7b675335c0bd2587139cec2b1092e3176.jpg?v=1786567114"]</t>
        </is>
      </c>
    </row>
    <row r="31" ht="66" customHeight="1">
      <c r="A31" s="3" t="inlineStr">
        <is>
          <t>jeminise.com+personalized-colorful-desert-rv-sunset-scene-quilt-sets-style-9</t>
        </is>
      </c>
      <c r="B31" s="3" t="inlineStr">
        <is>
          <t>qaimg_9fa6beff42ecfceb</t>
        </is>
      </c>
      <c r="C31" s="4" t="inlineStr">
        <is>
          <t>https://cdn.shopify.com/s/files/1/0792/5098/1063/files/22fc14d9fd1492297bdc0179df27084e186e25bab2cf381806f06f944301f575.jpg?v=1786567114</t>
        </is>
      </c>
      <c r="D31" s="4" t="inlineStr">
        <is>
          <t>https://cdn.shopify.com/s/files/1/0792/5098/1063/files/22fc14d9fd1492297bdc0179df27084e186e25bab2cf381806f06f944301f575.jpg?v=1786567114</t>
        </is>
      </c>
      <c r="E31" s="3" t="inlineStr">
        <is>
          <t>47825973936327</t>
        </is>
      </c>
      <c r="F31" s="3" t="inlineStr"/>
      <c r="G31" s="3" t="inlineStr">
        <is>
          <t>GALLERY</t>
        </is>
      </c>
      <c r="H31" s="3" t="inlineStr">
        <is>
          <t>DIRECT_IMAGE_FILE_OPENED_AND_VISUALLY_REVIEWED</t>
        </is>
      </c>
      <c r="I31" s="3" t="inlineStr">
        <is>
          <t>2026-09-09T13:46:17+07:00</t>
        </is>
      </c>
      <c r="J31" s="3" t="inlineStr">
        <is>
          <t>QA opened 265_04.jpg (1200x1200) and checked against workbook observation: High-quality fabric panel with quilt layers and desert artwork sample.</t>
        </is>
      </c>
      <c r="K31" s="3" t="inlineStr">
        <is>
          <t>High-quality fabric panel with quilt layers and desert artwork sample.</t>
        </is>
      </c>
      <c r="L31" s="3" t="inlineStr">
        <is>
          <t>SET</t>
        </is>
      </c>
      <c r="M31" s="3" t="inlineStr">
        <is>
          <t>Desert RV sunset quilt fabric panel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>
        <is>
          <t>[]</t>
        </is>
      </c>
      <c r="X31" s="3" t="inlineStr">
        <is>
          <t>["seo_runs\\jeminise.com\\20260906_234129\\qa\\20260909_134616\\images\\265_04.jpg", "https://cdn.shopify.com/s/files/1/0792/5098/1063/files/22fc14d9fd1492297bdc0179df27084e186e25bab2cf381806f06f944301f575.jpg?v=1786567114"]</t>
        </is>
      </c>
    </row>
    <row r="32" ht="66" customHeight="1">
      <c r="A32" s="2" t="inlineStr">
        <is>
          <t>jeminise.com+personalized-colorful-desert-rv-sunset-scene-quilt-sets-style-9</t>
        </is>
      </c>
      <c r="B32" s="2" t="inlineStr">
        <is>
          <t>qaimg_de3ad796721ae12f</t>
        </is>
      </c>
      <c r="C32" s="4" t="inlineStr">
        <is>
          <t>https://cdn.shopify.com/s/files/1/0792/5098/1063/files/e662afc23e2d3aa429d288b34cc14580b4d590b7e35e6576ec64fb52e8d7fd29.jpg?v=1786567114</t>
        </is>
      </c>
      <c r="D32" s="4" t="inlineStr">
        <is>
          <t>https://cdn.shopify.com/s/files/1/0792/5098/1063/files/e662afc23e2d3aa429d288b34cc14580b4d590b7e35e6576ec64fb52e8d7fd29.jpg?v=1786567114</t>
        </is>
      </c>
      <c r="E32" s="2" t="inlineStr">
        <is>
          <t>47825973969095</t>
        </is>
      </c>
      <c r="F32" s="2" t="inlineStr"/>
      <c r="G32" s="2" t="inlineStr">
        <is>
          <t>GALLERY</t>
        </is>
      </c>
      <c r="H32" s="2" t="inlineStr">
        <is>
          <t>DIRECT_IMAGE_FILE_OPENED_AND_VISUALLY_REVIEWED</t>
        </is>
      </c>
      <c r="I32" s="2" t="inlineStr">
        <is>
          <t>2026-09-09T13:46:17+07:00</t>
        </is>
      </c>
      <c r="J32" s="2" t="inlineStr">
        <is>
          <t>QA opened 265_05.jpg (1200x1200) and checked against workbook observation: Premium quilt sets sizing chart for desert RV sunset design.</t>
        </is>
      </c>
      <c r="K32" s="2" t="inlineStr">
        <is>
          <t>Premium quilt sets sizing chart for desert RV sunset design.</t>
        </is>
      </c>
      <c r="L32" s="2" t="inlineStr">
        <is>
          <t>SET</t>
        </is>
      </c>
      <c r="M32" s="2" t="inlineStr">
        <is>
          <t>Desert RV sunset quilt size chart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>
        <is>
          <t>[]</t>
        </is>
      </c>
      <c r="X32" s="2" t="inlineStr">
        <is>
          <t>["seo_runs\\jeminise.com\\20260906_234129\\qa\\20260909_134616\\images\\265_05.jpg", "https://cdn.shopify.com/s/files/1/0792/5098/1063/files/e662afc23e2d3aa429d288b34cc14580b4d590b7e35e6576ec64fb52e8d7fd29.jpg?v=1786567114"]</t>
        </is>
      </c>
    </row>
    <row r="33" ht="66" customHeight="1">
      <c r="A33" s="3" t="inlineStr">
        <is>
          <t>jeminise.com+personalized-colorful-desert-rv-sunset-scene-quilt-sets-style-9</t>
        </is>
      </c>
      <c r="B33" s="3" t="inlineStr">
        <is>
          <t>qaimg_2a5f447f7172ae4b</t>
        </is>
      </c>
      <c r="C33" s="4" t="inlineStr">
        <is>
          <t>https://cdn.shopify.com/s/files/1/0792/5098/1063/files/558c534f2ba758af7450862e9318139f817d18f6b7c288119ff2d4c975f12916.jpg?v=1786567114</t>
        </is>
      </c>
      <c r="D33" s="4" t="inlineStr">
        <is>
          <t>https://cdn.shopify.com/s/files/1/0792/5098/1063/files/558c534f2ba758af7450862e9318139f817d18f6b7c288119ff2d4c975f12916.jpg?v=1786567114</t>
        </is>
      </c>
      <c r="E33" s="3" t="inlineStr">
        <is>
          <t>47825974001863</t>
        </is>
      </c>
      <c r="F33" s="3" t="inlineStr"/>
      <c r="G33" s="3" t="inlineStr">
        <is>
          <t>GALLERY</t>
        </is>
      </c>
      <c r="H33" s="3" t="inlineStr">
        <is>
          <t>DIRECT_IMAGE_FILE_OPENED_AND_VISUALLY_REVIEWED</t>
        </is>
      </c>
      <c r="I33" s="3" t="inlineStr">
        <is>
          <t>2026-09-09T13:46:17+07:00</t>
        </is>
      </c>
      <c r="J33" s="3" t="inlineStr">
        <is>
          <t>QA opened 265_06.jpg (1200x1200) and checked against workbook observation: Bedspread features panel showing microfiber layers and care icons.</t>
        </is>
      </c>
      <c r="K33" s="3" t="inlineStr">
        <is>
          <t>Bedspread features panel showing microfiber layers and care icons.</t>
        </is>
      </c>
      <c r="L33" s="3" t="inlineStr">
        <is>
          <t>SET</t>
        </is>
      </c>
      <c r="M33" s="3" t="inlineStr">
        <is>
          <t>Desert RV sunset quilt features panel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>
        <is>
          <t>[]</t>
        </is>
      </c>
      <c r="X33" s="3" t="inlineStr">
        <is>
          <t>["seo_runs\\jeminise.com\\20260906_234129\\qa\\20260909_134616\\images\\265_06.jpg", "https://cdn.shopify.com/s/files/1/0792/5098/1063/files/558c534f2ba758af7450862e9318139f817d18f6b7c288119ff2d4c975f12916.jpg?v=1786567114"]</t>
        </is>
      </c>
    </row>
    <row r="34" ht="66" customHeight="1">
      <c r="A34" s="2" t="inlineStr">
        <is>
          <t>jeminise.com+personalized-colorful-desert-rv-sunset-scene-quilt-sets-style-9</t>
        </is>
      </c>
      <c r="B34" s="2" t="inlineStr">
        <is>
          <t>qaimg_c889524bbc027081</t>
        </is>
      </c>
      <c r="C34" s="4" t="inlineStr">
        <is>
          <t>https://cdn.shopify.com/s/files/1/0792/5098/1063/files/137b13e76075fbaec3931c49825f6588a8603930030da228b602f574b06d7df6.jpg?v=1786567114</t>
        </is>
      </c>
      <c r="D34" s="4" t="inlineStr">
        <is>
          <t>https://cdn.shopify.com/s/files/1/0792/5098/1063/files/137b13e76075fbaec3931c49825f6588a8603930030da228b602f574b06d7df6.jpg?v=1786567114</t>
        </is>
      </c>
      <c r="E34" s="2" t="inlineStr">
        <is>
          <t>47825974034631</t>
        </is>
      </c>
      <c r="F34" s="2" t="inlineStr"/>
      <c r="G34" s="2" t="inlineStr">
        <is>
          <t>GALLERY</t>
        </is>
      </c>
      <c r="H34" s="2" t="inlineStr">
        <is>
          <t>DIRECT_IMAGE_FILE_OPENED_AND_VISUALLY_REVIEWED</t>
        </is>
      </c>
      <c r="I34" s="2" t="inlineStr">
        <is>
          <t>2026-09-09T13:46:17+07:00</t>
        </is>
      </c>
      <c r="J34" s="2" t="inlineStr">
        <is>
          <t>QA opened 265_07.jpg (1200x1200) and checked against workbook observation: Overhead bedroom mockup of desert RV sunset quilt and pillows.</t>
        </is>
      </c>
      <c r="K34" s="2" t="inlineStr">
        <is>
          <t>Overhead bedroom mockup of desert RV sunset quilt and pillows.</t>
        </is>
      </c>
      <c r="L34" s="2" t="inlineStr">
        <is>
          <t>SET</t>
        </is>
      </c>
      <c r="M34" s="2" t="inlineStr">
        <is>
          <t>Desert RV sunset quilt overhead view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>
        <is>
          <t>[]</t>
        </is>
      </c>
      <c r="X34" s="2" t="inlineStr">
        <is>
          <t>["seo_runs\\jeminise.com\\20260906_234129\\qa\\20260909_134616\\images\\265_07.jpg", "https://cdn.shopify.com/s/files/1/0792/5098/1063/files/137b13e76075fbaec3931c49825f6588a8603930030da228b602f574b06d7df6.jpg?v=1786567114"]</t>
        </is>
      </c>
    </row>
    <row r="35" ht="66" customHeight="1">
      <c r="A35" s="3" t="inlineStr">
        <is>
          <t>jeminise.com+personalized-colorful-tree-of-life-quilts-yggdrasil-quilt-king</t>
        </is>
      </c>
      <c r="B35" s="3" t="inlineStr">
        <is>
          <t>qaimg_3c64489b48892afe</t>
        </is>
      </c>
      <c r="C35" s="4" t="inlineStr">
        <is>
          <t>https://cdn.shopify.com/s/files/1/0792/5098/1063/files/24c5d8725b68ffa3b8751fe57fbdd4f45da6091f072c621dcd74ee30bba9b282.jpg?v=1786569382</t>
        </is>
      </c>
      <c r="D35" s="4" t="inlineStr">
        <is>
          <t>https://cdn.shopify.com/s/files/1/0792/5098/1063/files/24c5d8725b68ffa3b8751fe57fbdd4f45da6091f072c621dcd74ee30bba9b282.jpg?v=1786569382</t>
        </is>
      </c>
      <c r="E35" s="3" t="inlineStr">
        <is>
          <t>47826172838087</t>
        </is>
      </c>
      <c r="F35" s="3" t="inlineStr"/>
      <c r="G35" s="3" t="inlineStr">
        <is>
          <t>GALLERY</t>
        </is>
      </c>
      <c r="H35" s="3" t="inlineStr">
        <is>
          <t>DIRECT_IMAGE_FILE_OPENED_AND_VISUALLY_REVIEWED</t>
        </is>
      </c>
      <c r="I35" s="3" t="inlineStr">
        <is>
          <t>2026-09-09T13:46:17+07:00</t>
        </is>
      </c>
      <c r="J35" s="3" t="inlineStr">
        <is>
          <t>QA opened 266_01.jpg (1200x1200) and checked against workbook observation: Bed mockup of rainbow Tree of Life quilt with glowing sun and colorful leaves.</t>
        </is>
      </c>
      <c r="K35" s="3" t="inlineStr">
        <is>
          <t>Bed mockup of rainbow Tree of Life quilt with glowing sun and colorful leaves.</t>
        </is>
      </c>
      <c r="L35" s="3" t="inlineStr">
        <is>
          <t>SET</t>
        </is>
      </c>
      <c r="M35" s="3" t="inlineStr">
        <is>
          <t>Rainbow Tree of Life quilt bed view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>
        <is>
          <t>[]</t>
        </is>
      </c>
      <c r="X35" s="3" t="inlineStr">
        <is>
          <t>["seo_runs\\jeminise.com\\20260906_234129\\qa\\20260909_134616\\images\\266_01.jpg", "https://cdn.shopify.com/s/files/1/0792/5098/1063/files/24c5d8725b68ffa3b8751fe57fbdd4f45da6091f072c621dcd74ee30bba9b282.jpg?v=1786569382"]</t>
        </is>
      </c>
    </row>
    <row r="36" ht="66" customHeight="1">
      <c r="A36" s="2" t="inlineStr">
        <is>
          <t>jeminise.com+personalized-colorful-tree-of-life-quilts-yggdrasil-quilt-king</t>
        </is>
      </c>
      <c r="B36" s="2" t="inlineStr">
        <is>
          <t>qaimg_520e54ea557cc121</t>
        </is>
      </c>
      <c r="C36" s="4" t="inlineStr">
        <is>
          <t>https://cdn.shopify.com/s/files/1/0792/5098/1063/files/09142916e0f2b06e00e4babaee86d0aea6f4612f4a4a461df62c1b6251c84ccc.jpg?v=1786569382</t>
        </is>
      </c>
      <c r="D36" s="4" t="inlineStr">
        <is>
          <t>https://cdn.shopify.com/s/files/1/0792/5098/1063/files/09142916e0f2b06e00e4babaee86d0aea6f4612f4a4a461df62c1b6251c84ccc.jpg?v=1786569382</t>
        </is>
      </c>
      <c r="E36" s="2" t="inlineStr">
        <is>
          <t>47826172870855</t>
        </is>
      </c>
      <c r="F36" s="2" t="inlineStr"/>
      <c r="G36" s="2" t="inlineStr">
        <is>
          <t>GALLERY</t>
        </is>
      </c>
      <c r="H36" s="2" t="inlineStr">
        <is>
          <t>DIRECT_IMAGE_FILE_OPENED_AND_VISUALLY_REVIEWED</t>
        </is>
      </c>
      <c r="I36" s="2" t="inlineStr">
        <is>
          <t>2026-09-09T13:46:17+07:00</t>
        </is>
      </c>
      <c r="J36" s="2" t="inlineStr">
        <is>
          <t>QA opened 266_02.jpg (1200x1200) and checked against workbook observation: Second room mockup of rainbow Tree of Life quilt with craft callout.</t>
        </is>
      </c>
      <c r="K36" s="2" t="inlineStr">
        <is>
          <t>Second room mockup of rainbow Tree of Life quilt with craft callout.</t>
        </is>
      </c>
      <c r="L36" s="2" t="inlineStr">
        <is>
          <t>SET</t>
        </is>
      </c>
      <c r="M36" s="2" t="inlineStr">
        <is>
          <t>Rainbow Tree of Life quilt room mockup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>
        <is>
          <t>[]</t>
        </is>
      </c>
      <c r="X36" s="2" t="inlineStr">
        <is>
          <t>["seo_runs\\jeminise.com\\20260906_234129\\qa\\20260909_134616\\images\\266_02.jpg", "https://cdn.shopify.com/s/files/1/0792/5098/1063/files/09142916e0f2b06e00e4babaee86d0aea6f4612f4a4a461df62c1b6251c84ccc.jpg?v=1786569382"]</t>
        </is>
      </c>
    </row>
    <row r="37" ht="66" customHeight="1">
      <c r="A37" s="3" t="inlineStr">
        <is>
          <t>jeminise.com+personalized-colorful-tree-of-life-quilts-yggdrasil-quilt-king</t>
        </is>
      </c>
      <c r="B37" s="3" t="inlineStr">
        <is>
          <t>qaimg_63e383f2dd9e7493</t>
        </is>
      </c>
      <c r="C37" s="4" t="inlineStr">
        <is>
          <t>https://cdn.shopify.com/s/files/1/0792/5098/1063/files/98b4c0b50f83b64fa97e4460c6a5a355b8e76a79c854c26710be3024483c1be4.jpg?v=1786569382</t>
        </is>
      </c>
      <c r="D37" s="4" t="inlineStr">
        <is>
          <t>https://cdn.shopify.com/s/files/1/0792/5098/1063/files/98b4c0b50f83b64fa97e4460c6a5a355b8e76a79c854c26710be3024483c1be4.jpg?v=1786569382</t>
        </is>
      </c>
      <c r="E37" s="3" t="inlineStr">
        <is>
          <t>47826172903623</t>
        </is>
      </c>
      <c r="F37" s="3" t="inlineStr"/>
      <c r="G37" s="3" t="inlineStr">
        <is>
          <t>GALLERY</t>
        </is>
      </c>
      <c r="H37" s="3" t="inlineStr">
        <is>
          <t>DIRECT_IMAGE_FILE_OPENED_AND_VISUALLY_REVIEWED</t>
        </is>
      </c>
      <c r="I37" s="3" t="inlineStr">
        <is>
          <t>2026-09-09T13:46:17+07:00</t>
        </is>
      </c>
      <c r="J37" s="3" t="inlineStr">
        <is>
          <t>QA opened 266_03.jpg (1200x1200) and checked against workbook observation: Close bed view with optional pillow shams and rainbow leaf tree artwork.</t>
        </is>
      </c>
      <c r="K37" s="3" t="inlineStr">
        <is>
          <t>Close bed view with optional pillow shams and rainbow leaf tree artwork.</t>
        </is>
      </c>
      <c r="L37" s="3" t="inlineStr">
        <is>
          <t>SET</t>
        </is>
      </c>
      <c r="M37" s="3" t="inlineStr">
        <is>
          <t>Rainbow Tree of Life quilt pillow sham panel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>
        <is>
          <t>[]</t>
        </is>
      </c>
      <c r="X37" s="3" t="inlineStr">
        <is>
          <t>["seo_runs\\jeminise.com\\20260906_234129\\qa\\20260909_134616\\images\\266_03.jpg", "https://cdn.shopify.com/s/files/1/0792/5098/1063/files/98b4c0b50f83b64fa97e4460c6a5a355b8e76a79c854c26710be3024483c1be4.jpg?v=1786569382"]</t>
        </is>
      </c>
    </row>
    <row r="38" ht="66" customHeight="1">
      <c r="A38" s="2" t="inlineStr">
        <is>
          <t>jeminise.com+personalized-colorful-tree-of-life-quilts-yggdrasil-quilt-king</t>
        </is>
      </c>
      <c r="B38" s="2" t="inlineStr">
        <is>
          <t>qaimg_d8a08593c1fceb1d</t>
        </is>
      </c>
      <c r="C38" s="4" t="inlineStr">
        <is>
          <t>https://cdn.shopify.com/s/files/1/0792/5098/1063/files/c48a811584c4a636e33505b003fe88534ed649867d3945ea247663acb19f100f.jpg?v=1786569382</t>
        </is>
      </c>
      <c r="D38" s="4" t="inlineStr">
        <is>
          <t>https://cdn.shopify.com/s/files/1/0792/5098/1063/files/c48a811584c4a636e33505b003fe88534ed649867d3945ea247663acb19f100f.jpg?v=1786569382</t>
        </is>
      </c>
      <c r="E38" s="2" t="inlineStr">
        <is>
          <t>47826172936391</t>
        </is>
      </c>
      <c r="F38" s="2" t="inlineStr"/>
      <c r="G38" s="2" t="inlineStr">
        <is>
          <t>GALLERY</t>
        </is>
      </c>
      <c r="H38" s="2" t="inlineStr">
        <is>
          <t>DIRECT_IMAGE_FILE_OPENED_AND_VISUALLY_REVIEWED</t>
        </is>
      </c>
      <c r="I38" s="2" t="inlineStr">
        <is>
          <t>2026-09-09T13:46:17+07:00</t>
        </is>
      </c>
      <c r="J38" s="2" t="inlineStr">
        <is>
          <t>QA opened 266_04.jpg (1200x1200) and checked against workbook observation: High-quality fabric panel with quilt layers and rainbow artwork sample.</t>
        </is>
      </c>
      <c r="K38" s="2" t="inlineStr">
        <is>
          <t>High-quality fabric panel with quilt layers and rainbow artwork sample.</t>
        </is>
      </c>
      <c r="L38" s="2" t="inlineStr">
        <is>
          <t>SET</t>
        </is>
      </c>
      <c r="M38" s="2" t="inlineStr">
        <is>
          <t>Rainbow Tree of Life quilt fabric panel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>
        <is>
          <t>[]</t>
        </is>
      </c>
      <c r="X38" s="2" t="inlineStr">
        <is>
          <t>["seo_runs\\jeminise.com\\20260906_234129\\qa\\20260909_134616\\images\\266_04.jpg", "https://cdn.shopify.com/s/files/1/0792/5098/1063/files/c48a811584c4a636e33505b003fe88534ed649867d3945ea247663acb19f100f.jpg?v=1786569382"]</t>
        </is>
      </c>
    </row>
    <row r="39" ht="66" customHeight="1">
      <c r="A39" s="3" t="inlineStr">
        <is>
          <t>jeminise.com+personalized-colorful-tree-of-life-quilts-yggdrasil-quilt-king</t>
        </is>
      </c>
      <c r="B39" s="3" t="inlineStr">
        <is>
          <t>qaimg_1410476bb790c3bd</t>
        </is>
      </c>
      <c r="C39" s="4" t="inlineStr">
        <is>
          <t>https://cdn.shopify.com/s/files/1/0792/5098/1063/files/d38614147fb680d0c8d3fff66648b2ab56406c22b4f7652643cfcd25a0a2a35d.jpg?v=1786569382</t>
        </is>
      </c>
      <c r="D39" s="4" t="inlineStr">
        <is>
          <t>https://cdn.shopify.com/s/files/1/0792/5098/1063/files/d38614147fb680d0c8d3fff66648b2ab56406c22b4f7652643cfcd25a0a2a35d.jpg?v=1786569382</t>
        </is>
      </c>
      <c r="E39" s="3" t="inlineStr">
        <is>
          <t>47826172969159</t>
        </is>
      </c>
      <c r="F39" s="3" t="inlineStr"/>
      <c r="G39" s="3" t="inlineStr">
        <is>
          <t>GALLERY</t>
        </is>
      </c>
      <c r="H39" s="3" t="inlineStr">
        <is>
          <t>DIRECT_IMAGE_FILE_OPENED_AND_VISUALLY_REVIEWED</t>
        </is>
      </c>
      <c r="I39" s="3" t="inlineStr">
        <is>
          <t>2026-09-09T13:46:17+07:00</t>
        </is>
      </c>
      <c r="J39" s="3" t="inlineStr">
        <is>
          <t>QA opened 266_05.jpg (1200x1200) and checked against workbook observation: Premium quilt sets sizing chart for rainbow Tree of Life design.</t>
        </is>
      </c>
      <c r="K39" s="3" t="inlineStr">
        <is>
          <t>Premium quilt sets sizing chart for rainbow Tree of Life design.</t>
        </is>
      </c>
      <c r="L39" s="3" t="inlineStr">
        <is>
          <t>SET</t>
        </is>
      </c>
      <c r="M39" s="3" t="inlineStr">
        <is>
          <t>Rainbow Tree of Life quilt size chart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>
        <is>
          <t>[]</t>
        </is>
      </c>
      <c r="X39" s="3" t="inlineStr">
        <is>
          <t>["seo_runs\\jeminise.com\\20260906_234129\\qa\\20260909_134616\\images\\266_05.jpg", "https://cdn.shopify.com/s/files/1/0792/5098/1063/files/d38614147fb680d0c8d3fff66648b2ab56406c22b4f7652643cfcd25a0a2a35d.jpg?v=1786569382"]</t>
        </is>
      </c>
    </row>
    <row r="40" ht="66" customHeight="1">
      <c r="A40" s="2" t="inlineStr">
        <is>
          <t>jeminise.com+personalized-colorful-tree-of-life-quilts-yggdrasil-quilt-king</t>
        </is>
      </c>
      <c r="B40" s="2" t="inlineStr">
        <is>
          <t>qaimg_8b957233f97d442e</t>
        </is>
      </c>
      <c r="C40" s="4" t="inlineStr">
        <is>
          <t>https://cdn.shopify.com/s/files/1/0792/5098/1063/files/9df44a01248f2c8b003a70e23aa5498f2a34fecc905d4d35aabfbc55be1bd77c.jpg?v=1786569382</t>
        </is>
      </c>
      <c r="D40" s="4" t="inlineStr">
        <is>
          <t>https://cdn.shopify.com/s/files/1/0792/5098/1063/files/9df44a01248f2c8b003a70e23aa5498f2a34fecc905d4d35aabfbc55be1bd77c.jpg?v=1786569382</t>
        </is>
      </c>
      <c r="E40" s="2" t="inlineStr">
        <is>
          <t>47826173001927</t>
        </is>
      </c>
      <c r="F40" s="2" t="inlineStr"/>
      <c r="G40" s="2" t="inlineStr">
        <is>
          <t>GALLERY</t>
        </is>
      </c>
      <c r="H40" s="2" t="inlineStr">
        <is>
          <t>DIRECT_IMAGE_FILE_OPENED_AND_VISUALLY_REVIEWED</t>
        </is>
      </c>
      <c r="I40" s="2" t="inlineStr">
        <is>
          <t>2026-09-09T13:46:17+07:00</t>
        </is>
      </c>
      <c r="J40" s="2" t="inlineStr">
        <is>
          <t>QA opened 266_06.jpg (1200x1200) and checked against workbook observation: Bedspread features panel showing microfiber layers and care icons.</t>
        </is>
      </c>
      <c r="K40" s="2" t="inlineStr">
        <is>
          <t>Bedspread features panel showing microfiber layers and care icons.</t>
        </is>
      </c>
      <c r="L40" s="2" t="inlineStr">
        <is>
          <t>SET</t>
        </is>
      </c>
      <c r="M40" s="2" t="inlineStr">
        <is>
          <t>Rainbow Tree of Life quilt features panel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>
        <is>
          <t>[]</t>
        </is>
      </c>
      <c r="X40" s="2" t="inlineStr">
        <is>
          <t>["seo_runs\\jeminise.com\\20260906_234129\\qa\\20260909_134616\\images\\266_06.jpg", "https://cdn.shopify.com/s/files/1/0792/5098/1063/files/9df44a01248f2c8b003a70e23aa5498f2a34fecc905d4d35aabfbc55be1bd77c.jpg?v=1786569382"]</t>
        </is>
      </c>
    </row>
    <row r="41" ht="66" customHeight="1">
      <c r="A41" s="3" t="inlineStr">
        <is>
          <t>jeminise.com+personalized-colorful-tree-of-life-quilts-yggdrasil-quilt-king</t>
        </is>
      </c>
      <c r="B41" s="3" t="inlineStr">
        <is>
          <t>qaimg_e7522356d4e70eed</t>
        </is>
      </c>
      <c r="C41" s="4" t="inlineStr">
        <is>
          <t>https://cdn.shopify.com/s/files/1/0792/5098/1063/files/99c13a51953ae5a997fd68efe20db8deef6985c18755d3c33383346ec45173d0.jpg?v=1786569382</t>
        </is>
      </c>
      <c r="D41" s="4" t="inlineStr">
        <is>
          <t>https://cdn.shopify.com/s/files/1/0792/5098/1063/files/99c13a51953ae5a997fd68efe20db8deef6985c18755d3c33383346ec45173d0.jpg?v=1786569382</t>
        </is>
      </c>
      <c r="E41" s="3" t="inlineStr">
        <is>
          <t>47826173034695</t>
        </is>
      </c>
      <c r="F41" s="3" t="inlineStr"/>
      <c r="G41" s="3" t="inlineStr">
        <is>
          <t>GALLERY</t>
        </is>
      </c>
      <c r="H41" s="3" t="inlineStr">
        <is>
          <t>DIRECT_IMAGE_FILE_OPENED_AND_VISUALLY_REVIEWED</t>
        </is>
      </c>
      <c r="I41" s="3" t="inlineStr">
        <is>
          <t>2026-09-09T13:46:17+07:00</t>
        </is>
      </c>
      <c r="J41" s="3" t="inlineStr">
        <is>
          <t>QA opened 266_07.jpg (1200x1200) and checked against workbook observation: Overhead bedroom mockup of rainbow Tree of Life quilt and pillows.</t>
        </is>
      </c>
      <c r="K41" s="3" t="inlineStr">
        <is>
          <t>Overhead bedroom mockup of rainbow Tree of Life quilt and pillows.</t>
        </is>
      </c>
      <c r="L41" s="3" t="inlineStr">
        <is>
          <t>SET</t>
        </is>
      </c>
      <c r="M41" s="3" t="inlineStr">
        <is>
          <t>Rainbow Tree of Life quilt overhead view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>
        <is>
          <t>[]</t>
        </is>
      </c>
      <c r="X41" s="3" t="inlineStr">
        <is>
          <t>["seo_runs\\jeminise.com\\20260906_234129\\qa\\20260909_134616\\images\\266_07.jpg", "https://cdn.shopify.com/s/files/1/0792/5098/1063/files/99c13a51953ae5a997fd68efe20db8deef6985c18755d3c33383346ec45173d0.jpg?v=1786569382"]</t>
        </is>
      </c>
    </row>
    <row r="42" ht="66" customHeight="1">
      <c r="A42" s="2" t="inlineStr">
        <is>
          <t>jeminise.com+personalized-colorful-yggdrasil-tree-of-life-quilt-sets-yggdrasil</t>
        </is>
      </c>
      <c r="B42" s="2" t="inlineStr">
        <is>
          <t>qaimg_d1fe25926effeb4c</t>
        </is>
      </c>
      <c r="C42" s="4" t="inlineStr">
        <is>
          <t>https://cdn.shopify.com/s/files/1/0792/5098/1063/files/acda833dd6ef6078e6a17fb248e654bb73970df8bac84e0d62edc49aef7e0bc0.jpg?v=1786569504</t>
        </is>
      </c>
      <c r="D42" s="4" t="inlineStr">
        <is>
          <t>https://cdn.shopify.com/s/files/1/0792/5098/1063/files/acda833dd6ef6078e6a17fb248e654bb73970df8bac84e0d62edc49aef7e0bc0.jpg?v=1786569504</t>
        </is>
      </c>
      <c r="E42" s="2" t="inlineStr">
        <is>
          <t>47826177687751</t>
        </is>
      </c>
      <c r="F42" s="2" t="inlineStr"/>
      <c r="G42" s="2" t="inlineStr">
        <is>
          <t>GALLERY</t>
        </is>
      </c>
      <c r="H42" s="2" t="inlineStr">
        <is>
          <t>DIRECT_IMAGE_FILE_OPENED_AND_VISUALLY_REVIEWED</t>
        </is>
      </c>
      <c r="I42" s="2" t="inlineStr">
        <is>
          <t>2026-09-09T13:46:17+07:00</t>
        </is>
      </c>
      <c r="J42" s="2" t="inlineStr">
        <is>
          <t>QA opened 267_01.jpg (1200x1200) and checked against workbook observation: Bed mockup of black Yggdrasil quilt with green Celtic border and orange corner knots.</t>
        </is>
      </c>
      <c r="K42" s="2" t="inlineStr">
        <is>
          <t>Bed mockup of black Yggdrasil quilt with green Celtic border and orange corner knots.</t>
        </is>
      </c>
      <c r="L42" s="2" t="inlineStr">
        <is>
          <t>SET</t>
        </is>
      </c>
      <c r="M42" s="2" t="inlineStr">
        <is>
          <t>Celtic border Yggdrasil quilt bed view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>
        <is>
          <t>[]</t>
        </is>
      </c>
      <c r="X42" s="2" t="inlineStr">
        <is>
          <t>["seo_runs\\jeminise.com\\20260906_234129\\qa\\20260909_134616\\images\\267_01.jpg", "https://cdn.shopify.com/s/files/1/0792/5098/1063/files/acda833dd6ef6078e6a17fb248e654bb73970df8bac84e0d62edc49aef7e0bc0.jpg?v=1786569504"]</t>
        </is>
      </c>
    </row>
    <row r="43" ht="66" customHeight="1">
      <c r="A43" s="3" t="inlineStr">
        <is>
          <t>jeminise.com+personalized-colorful-yggdrasil-tree-of-life-quilt-sets-yggdrasil</t>
        </is>
      </c>
      <c r="B43" s="3" t="inlineStr">
        <is>
          <t>qaimg_002ad1485d7bf025</t>
        </is>
      </c>
      <c r="C43" s="4" t="inlineStr">
        <is>
          <t>https://cdn.shopify.com/s/files/1/0792/5098/1063/files/2d95cfc270d8293a606e4f7888516b95dd9983682cd3e36263f3276e2cdfbaee.jpg?v=1786569504</t>
        </is>
      </c>
      <c r="D43" s="4" t="inlineStr">
        <is>
          <t>https://cdn.shopify.com/s/files/1/0792/5098/1063/files/2d95cfc270d8293a606e4f7888516b95dd9983682cd3e36263f3276e2cdfbaee.jpg?v=1786569504</t>
        </is>
      </c>
      <c r="E43" s="3" t="inlineStr">
        <is>
          <t>47826177720519</t>
        </is>
      </c>
      <c r="F43" s="3" t="inlineStr"/>
      <c r="G43" s="3" t="inlineStr">
        <is>
          <t>GALLERY</t>
        </is>
      </c>
      <c r="H43" s="3" t="inlineStr">
        <is>
          <t>DIRECT_IMAGE_FILE_OPENED_AND_VISUALLY_REVIEWED</t>
        </is>
      </c>
      <c r="I43" s="3" t="inlineStr">
        <is>
          <t>2026-09-09T13:46:17+07:00</t>
        </is>
      </c>
      <c r="J43" s="3" t="inlineStr">
        <is>
          <t>QA opened 267_02.jpg (1200x1200) and checked against workbook observation: Second room mockup of Celtic border Yggdrasil quilt with craft callout.</t>
        </is>
      </c>
      <c r="K43" s="3" t="inlineStr">
        <is>
          <t>Second room mockup of Celtic border Yggdrasil quilt with craft callout.</t>
        </is>
      </c>
      <c r="L43" s="3" t="inlineStr">
        <is>
          <t>SET</t>
        </is>
      </c>
      <c r="M43" s="3" t="inlineStr">
        <is>
          <t>Celtic border Yggdrasil quilt room mockup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>
        <is>
          <t>[]</t>
        </is>
      </c>
      <c r="X43" s="3" t="inlineStr">
        <is>
          <t>["seo_runs\\jeminise.com\\20260906_234129\\qa\\20260909_134616\\images\\267_02.jpg", "https://cdn.shopify.com/s/files/1/0792/5098/1063/files/2d95cfc270d8293a606e4f7888516b95dd9983682cd3e36263f3276e2cdfbaee.jpg?v=1786569504"]</t>
        </is>
      </c>
    </row>
    <row r="44" ht="66" customHeight="1">
      <c r="A44" s="2" t="inlineStr">
        <is>
          <t>jeminise.com+personalized-colorful-yggdrasil-tree-of-life-quilt-sets-yggdrasil</t>
        </is>
      </c>
      <c r="B44" s="2" t="inlineStr">
        <is>
          <t>qaimg_b6f5c299284906ac</t>
        </is>
      </c>
      <c r="C44" s="4" t="inlineStr">
        <is>
          <t>https://cdn.shopify.com/s/files/1/0792/5098/1063/files/709ff5aa064e9ac7398cb7f3a51da1faa560fb94b5bd39e7be3f7adfad9f2cb7.jpg?v=1786569504</t>
        </is>
      </c>
      <c r="D44" s="4" t="inlineStr">
        <is>
          <t>https://cdn.shopify.com/s/files/1/0792/5098/1063/files/709ff5aa064e9ac7398cb7f3a51da1faa560fb94b5bd39e7be3f7adfad9f2cb7.jpg?v=1786569504</t>
        </is>
      </c>
      <c r="E44" s="2" t="inlineStr">
        <is>
          <t>47826177753287</t>
        </is>
      </c>
      <c r="F44" s="2" t="inlineStr"/>
      <c r="G44" s="2" t="inlineStr">
        <is>
          <t>GALLERY</t>
        </is>
      </c>
      <c r="H44" s="2" t="inlineStr">
        <is>
          <t>DIRECT_IMAGE_FILE_OPENED_AND_VISUALLY_REVIEWED</t>
        </is>
      </c>
      <c r="I44" s="2" t="inlineStr">
        <is>
          <t>2026-09-09T13:46:17+07:00</t>
        </is>
      </c>
      <c r="J44" s="2" t="inlineStr">
        <is>
          <t>QA opened 267_03.jpg (1200x1200) and checked against workbook observation: Close bed view with optional pillow shams and Celtic border artwork.</t>
        </is>
      </c>
      <c r="K44" s="2" t="inlineStr">
        <is>
          <t>Close bed view with optional pillow shams and Celtic border artwork.</t>
        </is>
      </c>
      <c r="L44" s="2" t="inlineStr">
        <is>
          <t>SET</t>
        </is>
      </c>
      <c r="M44" s="2" t="inlineStr">
        <is>
          <t>Celtic border Yggdrasil quilt pillow sham panel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>
        <is>
          <t>[]</t>
        </is>
      </c>
      <c r="X44" s="2" t="inlineStr">
        <is>
          <t>["seo_runs\\jeminise.com\\20260906_234129\\qa\\20260909_134616\\images\\267_03.jpg", "https://cdn.shopify.com/s/files/1/0792/5098/1063/files/709ff5aa064e9ac7398cb7f3a51da1faa560fb94b5bd39e7be3f7adfad9f2cb7.jpg?v=1786569504"]</t>
        </is>
      </c>
    </row>
    <row r="45" ht="66" customHeight="1">
      <c r="A45" s="3" t="inlineStr">
        <is>
          <t>jeminise.com+personalized-colorful-yggdrasil-tree-of-life-quilt-sets-yggdrasil</t>
        </is>
      </c>
      <c r="B45" s="3" t="inlineStr">
        <is>
          <t>qaimg_78ac8bc2b2845237</t>
        </is>
      </c>
      <c r="C45" s="4" t="inlineStr">
        <is>
          <t>https://cdn.shopify.com/s/files/1/0792/5098/1063/files/a5d6b67f1d63f34db44cd53f0cea9d0c8066c564da549da409db0ebc02773f26.jpg?v=1786569504</t>
        </is>
      </c>
      <c r="D45" s="4" t="inlineStr">
        <is>
          <t>https://cdn.shopify.com/s/files/1/0792/5098/1063/files/a5d6b67f1d63f34db44cd53f0cea9d0c8066c564da549da409db0ebc02773f26.jpg?v=1786569504</t>
        </is>
      </c>
      <c r="E45" s="3" t="inlineStr">
        <is>
          <t>47826177786055</t>
        </is>
      </c>
      <c r="F45" s="3" t="inlineStr"/>
      <c r="G45" s="3" t="inlineStr">
        <is>
          <t>GALLERY</t>
        </is>
      </c>
      <c r="H45" s="3" t="inlineStr">
        <is>
          <t>DIRECT_IMAGE_FILE_OPENED_AND_VISUALLY_REVIEWED</t>
        </is>
      </c>
      <c r="I45" s="3" t="inlineStr">
        <is>
          <t>2026-09-09T13:46:17+07:00</t>
        </is>
      </c>
      <c r="J45" s="3" t="inlineStr">
        <is>
          <t>QA opened 267_04.jpg (1200x1200) and checked against workbook observation: High-quality fabric panel with quilt layers and green tree artwork sample.</t>
        </is>
      </c>
      <c r="K45" s="3" t="inlineStr">
        <is>
          <t>High-quality fabric panel with quilt layers and green tree artwork sample.</t>
        </is>
      </c>
      <c r="L45" s="3" t="inlineStr">
        <is>
          <t>SET</t>
        </is>
      </c>
      <c r="M45" s="3" t="inlineStr">
        <is>
          <t>Celtic border Yggdrasil quilt fabric panel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>
        <is>
          <t>[]</t>
        </is>
      </c>
      <c r="X45" s="3" t="inlineStr">
        <is>
          <t>["seo_runs\\jeminise.com\\20260906_234129\\qa\\20260909_134616\\images\\267_04.jpg", "https://cdn.shopify.com/s/files/1/0792/5098/1063/files/a5d6b67f1d63f34db44cd53f0cea9d0c8066c564da549da409db0ebc02773f26.jpg?v=1786569504"]</t>
        </is>
      </c>
    </row>
    <row r="46" ht="66" customHeight="1">
      <c r="A46" s="2" t="inlineStr">
        <is>
          <t>jeminise.com+personalized-colorful-yggdrasil-tree-of-life-quilt-sets-yggdrasil</t>
        </is>
      </c>
      <c r="B46" s="2" t="inlineStr">
        <is>
          <t>qaimg_e6b3653ea530b4a8</t>
        </is>
      </c>
      <c r="C46" s="4" t="inlineStr">
        <is>
          <t>https://cdn.shopify.com/s/files/1/0792/5098/1063/files/3f86078ce6cbc6208c00cca682ea91cc232252f5716b9be9c4f503f98aef1b59.jpg?v=1786569505</t>
        </is>
      </c>
      <c r="D46" s="4" t="inlineStr">
        <is>
          <t>https://cdn.shopify.com/s/files/1/0792/5098/1063/files/3f86078ce6cbc6208c00cca682ea91cc232252f5716b9be9c4f503f98aef1b59.jpg?v=1786569505</t>
        </is>
      </c>
      <c r="E46" s="2" t="inlineStr">
        <is>
          <t>47826177818823</t>
        </is>
      </c>
      <c r="F46" s="2" t="inlineStr"/>
      <c r="G46" s="2" t="inlineStr">
        <is>
          <t>GALLERY</t>
        </is>
      </c>
      <c r="H46" s="2" t="inlineStr">
        <is>
          <t>DIRECT_IMAGE_FILE_OPENED_AND_VISUALLY_REVIEWED</t>
        </is>
      </c>
      <c r="I46" s="2" t="inlineStr">
        <is>
          <t>2026-09-09T13:46:17+07:00</t>
        </is>
      </c>
      <c r="J46" s="2" t="inlineStr">
        <is>
          <t>QA opened 267_05.jpg (1200x1200) and checked against workbook observation: Premium quilt sets sizing chart for Celtic border Yggdrasil design.</t>
        </is>
      </c>
      <c r="K46" s="2" t="inlineStr">
        <is>
          <t>Premium quilt sets sizing chart for Celtic border Yggdrasil design.</t>
        </is>
      </c>
      <c r="L46" s="2" t="inlineStr">
        <is>
          <t>SET</t>
        </is>
      </c>
      <c r="M46" s="2" t="inlineStr">
        <is>
          <t>Celtic border Yggdrasil quilt size chart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>
        <is>
          <t>[]</t>
        </is>
      </c>
      <c r="X46" s="2" t="inlineStr">
        <is>
          <t>["seo_runs\\jeminise.com\\20260906_234129\\qa\\20260909_134616\\images\\267_05.jpg", "https://cdn.shopify.com/s/files/1/0792/5098/1063/files/3f86078ce6cbc6208c00cca682ea91cc232252f5716b9be9c4f503f98aef1b59.jpg?v=1786569505"]</t>
        </is>
      </c>
    </row>
    <row r="47" ht="66" customHeight="1">
      <c r="A47" s="3" t="inlineStr">
        <is>
          <t>jeminise.com+personalized-colorful-yggdrasil-tree-of-life-quilt-sets-yggdrasil</t>
        </is>
      </c>
      <c r="B47" s="3" t="inlineStr">
        <is>
          <t>qaimg_cecaeb558c5e195c</t>
        </is>
      </c>
      <c r="C47" s="4" t="inlineStr">
        <is>
          <t>https://cdn.shopify.com/s/files/1/0792/5098/1063/files/2022169407342846356988abe0f2e94a6adce03e59713c947b174492d30f912b.jpg?v=1786569504</t>
        </is>
      </c>
      <c r="D47" s="4" t="inlineStr">
        <is>
          <t>https://cdn.shopify.com/s/files/1/0792/5098/1063/files/2022169407342846356988abe0f2e94a6adce03e59713c947b174492d30f912b.jpg?v=1786569504</t>
        </is>
      </c>
      <c r="E47" s="3" t="inlineStr">
        <is>
          <t>47826177851591</t>
        </is>
      </c>
      <c r="F47" s="3" t="inlineStr"/>
      <c r="G47" s="3" t="inlineStr">
        <is>
          <t>GALLERY</t>
        </is>
      </c>
      <c r="H47" s="3" t="inlineStr">
        <is>
          <t>DIRECT_IMAGE_FILE_OPENED_AND_VISUALLY_REVIEWED</t>
        </is>
      </c>
      <c r="I47" s="3" t="inlineStr">
        <is>
          <t>2026-09-09T13:46:17+07:00</t>
        </is>
      </c>
      <c r="J47" s="3" t="inlineStr">
        <is>
          <t>QA opened 267_06.jpg (1200x1200) and checked against workbook observation: Bedspread features panel showing microfiber layers and care icons.</t>
        </is>
      </c>
      <c r="K47" s="3" t="inlineStr">
        <is>
          <t>Bedspread features panel showing microfiber layers and care icons.</t>
        </is>
      </c>
      <c r="L47" s="3" t="inlineStr">
        <is>
          <t>SET</t>
        </is>
      </c>
      <c r="M47" s="3" t="inlineStr">
        <is>
          <t>Celtic border Yggdrasil quilt features panel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>
        <is>
          <t>[]</t>
        </is>
      </c>
      <c r="X47" s="3" t="inlineStr">
        <is>
          <t>["seo_runs\\jeminise.com\\20260906_234129\\qa\\20260909_134616\\images\\267_06.jpg", "https://cdn.shopify.com/s/files/1/0792/5098/1063/files/2022169407342846356988abe0f2e94a6adce03e59713c947b174492d30f912b.jpg?v=1786569504"]</t>
        </is>
      </c>
    </row>
    <row r="48" ht="66" customHeight="1">
      <c r="A48" s="2" t="inlineStr">
        <is>
          <t>jeminise.com+personalized-colorful-yggdrasil-tree-of-life-quilt-sets-yggdrasil</t>
        </is>
      </c>
      <c r="B48" s="2" t="inlineStr">
        <is>
          <t>qaimg_673e94c46135955b</t>
        </is>
      </c>
      <c r="C48" s="4" t="inlineStr">
        <is>
          <t>https://cdn.shopify.com/s/files/1/0792/5098/1063/files/10b22dc4eb8c9cb29d0370b1bf321167f61693a33fc44b68e29fb353f32cdebb.jpg?v=1786569504</t>
        </is>
      </c>
      <c r="D48" s="4" t="inlineStr">
        <is>
          <t>https://cdn.shopify.com/s/files/1/0792/5098/1063/files/10b22dc4eb8c9cb29d0370b1bf321167f61693a33fc44b68e29fb353f32cdebb.jpg?v=1786569504</t>
        </is>
      </c>
      <c r="E48" s="2" t="inlineStr">
        <is>
          <t>47826177884359</t>
        </is>
      </c>
      <c r="F48" s="2" t="inlineStr"/>
      <c r="G48" s="2" t="inlineStr">
        <is>
          <t>GALLERY</t>
        </is>
      </c>
      <c r="H48" s="2" t="inlineStr">
        <is>
          <t>DIRECT_IMAGE_FILE_OPENED_AND_VISUALLY_REVIEWED</t>
        </is>
      </c>
      <c r="I48" s="2" t="inlineStr">
        <is>
          <t>2026-09-09T13:46:17+07:00</t>
        </is>
      </c>
      <c r="J48" s="2" t="inlineStr">
        <is>
          <t>QA opened 267_07.jpg (1200x1200) and checked against workbook observation: Overhead bedroom mockup of Celtic border Yggdrasil quilt and pillows.</t>
        </is>
      </c>
      <c r="K48" s="2" t="inlineStr">
        <is>
          <t>Overhead bedroom mockup of Celtic border Yggdrasil quilt and pillows.</t>
        </is>
      </c>
      <c r="L48" s="2" t="inlineStr">
        <is>
          <t>SET</t>
        </is>
      </c>
      <c r="M48" s="2" t="inlineStr">
        <is>
          <t>Celtic border Yggdrasil quilt overhead view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>
        <is>
          <t>[]</t>
        </is>
      </c>
      <c r="X48" s="2" t="inlineStr">
        <is>
          <t>["seo_runs\\jeminise.com\\20260906_234129\\qa\\20260909_134616\\images\\267_07.jpg", "https://cdn.shopify.com/s/files/1/0792/5098/1063/files/10b22dc4eb8c9cb29d0370b1bf321167f61693a33fc44b68e29fb353f32cdebb.jpg?v=1786569504"]</t>
        </is>
      </c>
    </row>
    <row r="49" ht="66" customHeight="1">
      <c r="A49" s="3" t="inlineStr">
        <is>
          <t>jeminise.com+personalized-couple-hugging-close-up-portrait-quilt-with-photo-7a4978e57a-7a4978e57a</t>
        </is>
      </c>
      <c r="B49" s="3" t="inlineStr">
        <is>
          <t>qaimg_4839a2be4eb45a95</t>
        </is>
      </c>
      <c r="C49" s="4" t="inlineStr">
        <is>
          <t>https://cdn.shopify.com/s/files/1/0792/5098/1063/files/01c46ab34e2ccd77a07fff1c21c762548f50f3f4aa7a0745f384178a38329ee2.jpg?v=1785103254</t>
        </is>
      </c>
      <c r="D49" s="4" t="inlineStr">
        <is>
          <t>https://cdn.shopify.com/s/files/1/0792/5098/1063/files/01c46ab34e2ccd77a07fff1c21c762548f50f3f4aa7a0745f384178a38329ee2.jpg?v=1785103254</t>
        </is>
      </c>
      <c r="E49" s="3" t="inlineStr">
        <is>
          <t>47540405403847</t>
        </is>
      </c>
      <c r="F49" s="3" t="inlineStr"/>
      <c r="G49" s="3" t="inlineStr">
        <is>
          <t>GALLERY</t>
        </is>
      </c>
      <c r="H49" s="3" t="inlineStr">
        <is>
          <t>DIRECT_IMAGE_FILE_OPENED_AND_VISUALLY_REVIEWED</t>
        </is>
      </c>
      <c r="I49" s="3" t="inlineStr">
        <is>
          <t>2026-09-09T13:46:17+07:00</t>
        </is>
      </c>
      <c r="J49" s="3" t="inlineStr">
        <is>
          <t>QA opened 268_01.jpg (1000x1000) and checked against workbook observation: Overhead bed mockup of couple photo quilt with Happy Valentine's Day sample text.</t>
        </is>
      </c>
      <c r="K49" s="3" t="inlineStr">
        <is>
          <t>Overhead bed mockup of couple photo quilt with Happy Valentine's Day sample text.</t>
        </is>
      </c>
      <c r="L49" s="3" t="inlineStr">
        <is>
          <t>SET</t>
        </is>
      </c>
      <c r="M49" s="3" t="inlineStr">
        <is>
          <t>Personalized couple photo quilt bed view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>
        <is>
          <t>[]</t>
        </is>
      </c>
      <c r="X49" s="3" t="inlineStr">
        <is>
          <t>["seo_runs\\jeminise.com\\20260906_234129\\qa\\20260909_134616\\images\\268_01.jpg", "https://cdn.shopify.com/s/files/1/0792/5098/1063/files/01c46ab34e2ccd77a07fff1c21c762548f50f3f4aa7a0745f384178a38329ee2.jpg?v=1785103254"]</t>
        </is>
      </c>
    </row>
    <row r="50" ht="66" customHeight="1">
      <c r="A50" s="2" t="inlineStr">
        <is>
          <t>jeminise.com+personalized-couple-hugging-close-up-portrait-quilt-with-photo-7a4978e57a-7a4978e57a</t>
        </is>
      </c>
      <c r="B50" s="2" t="inlineStr">
        <is>
          <t>qaimg_94d97af11b0f2f0b</t>
        </is>
      </c>
      <c r="C50" s="4" t="inlineStr">
        <is>
          <t>https://cdn.shopify.com/s/files/1/0792/5098/1063/files/48592bcdec4efc0e493a48ea521f33efee0a41f86cf2fafd286d81a77736e5a6.jpg?v=1785103254</t>
        </is>
      </c>
      <c r="D50" s="4" t="inlineStr">
        <is>
          <t>https://cdn.shopify.com/s/files/1/0792/5098/1063/files/48592bcdec4efc0e493a48ea521f33efee0a41f86cf2fafd286d81a77736e5a6.jpg?v=1785103254</t>
        </is>
      </c>
      <c r="E50" s="2" t="inlineStr">
        <is>
          <t>47540405436615</t>
        </is>
      </c>
      <c r="F50" s="2" t="inlineStr"/>
      <c r="G50" s="2" t="inlineStr">
        <is>
          <t>GALLERY</t>
        </is>
      </c>
      <c r="H50" s="2" t="inlineStr">
        <is>
          <t>DIRECT_IMAGE_FILE_OPENED_AND_VISUALLY_REVIEWED</t>
        </is>
      </c>
      <c r="I50" s="2" t="inlineStr">
        <is>
          <t>2026-09-09T13:46:17+07:00</t>
        </is>
      </c>
      <c r="J50" s="2" t="inlineStr">
        <is>
          <t>QA opened 268_02.jpg (1000x1000) and checked against workbook observation: Flat couple portrait quilt with custom photo badge and Valentine's Day text.</t>
        </is>
      </c>
      <c r="K50" s="2" t="inlineStr">
        <is>
          <t>Flat couple portrait quilt with custom photo badge and Valentine's Day text.</t>
        </is>
      </c>
      <c r="L50" s="2" t="inlineStr">
        <is>
          <t>SET</t>
        </is>
      </c>
      <c r="M50" s="2" t="inlineStr">
        <is>
          <t>Couple photo quilt flat view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>
        <is>
          <t>[]</t>
        </is>
      </c>
      <c r="X50" s="2" t="inlineStr">
        <is>
          <t>["seo_runs\\jeminise.com\\20260906_234129\\qa\\20260909_134616\\images\\268_02.jpg", "https://cdn.shopify.com/s/files/1/0792/5098/1063/files/48592bcdec4efc0e493a48ea521f33efee0a41f86cf2fafd286d81a77736e5a6.jpg?v=1785103254"]</t>
        </is>
      </c>
    </row>
    <row r="51" ht="66" customHeight="1">
      <c r="A51" s="3" t="inlineStr">
        <is>
          <t>jeminise.com+personalized-couple-hugging-close-up-portrait-quilt-with-photo-7a4978e57a-7a4978e57a</t>
        </is>
      </c>
      <c r="B51" s="3" t="inlineStr">
        <is>
          <t>qaimg_1968fe54826441f4</t>
        </is>
      </c>
      <c r="C51" s="4" t="inlineStr">
        <is>
          <t>https://cdn.shopify.com/s/files/1/0792/5098/1063/files/1324fc3a935c88ef5b64c29a6a5269573b29c1c9f0996602987216ea24a193e8.jpg?v=1785103254</t>
        </is>
      </c>
      <c r="D51" s="4" t="inlineStr">
        <is>
          <t>https://cdn.shopify.com/s/files/1/0792/5098/1063/files/1324fc3a935c88ef5b64c29a6a5269573b29c1c9f0996602987216ea24a193e8.jpg?v=1785103254</t>
        </is>
      </c>
      <c r="E51" s="3" t="inlineStr">
        <is>
          <t>47540405469383</t>
        </is>
      </c>
      <c r="F51" s="3" t="inlineStr"/>
      <c r="G51" s="3" t="inlineStr">
        <is>
          <t>GALLERY</t>
        </is>
      </c>
      <c r="H51" s="3" t="inlineStr">
        <is>
          <t>DIRECT_IMAGE_FILE_OPENED_AND_VISUALLY_REVIEWED</t>
        </is>
      </c>
      <c r="I51" s="3" t="inlineStr">
        <is>
          <t>2026-09-09T13:46:17+07:00</t>
        </is>
      </c>
      <c r="J51" s="3" t="inlineStr">
        <is>
          <t>QA opened 268_03.jpg (1000x1000) and checked against workbook observation: Premium quilt sets sizing chart with couple photo quilt example.</t>
        </is>
      </c>
      <c r="K51" s="3" t="inlineStr">
        <is>
          <t>Premium quilt sets sizing chart with couple photo quilt example.</t>
        </is>
      </c>
      <c r="L51" s="3" t="inlineStr">
        <is>
          <t>SET</t>
        </is>
      </c>
      <c r="M51" s="3" t="inlineStr">
        <is>
          <t>Couple photo quilt size chart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>
        <is>
          <t>[]</t>
        </is>
      </c>
      <c r="X51" s="3" t="inlineStr">
        <is>
          <t>["seo_runs\\jeminise.com\\20260906_234129\\qa\\20260909_134616\\images\\268_03.jpg", "https://cdn.shopify.com/s/files/1/0792/5098/1063/files/1324fc3a935c88ef5b64c29a6a5269573b29c1c9f0996602987216ea24a193e8.jpg?v=1785103254"]</t>
        </is>
      </c>
    </row>
    <row r="52" ht="66" customHeight="1">
      <c r="A52" s="2" t="inlineStr">
        <is>
          <t>jeminise.com+personalized-couple-hugging-close-up-portrait-quilt-with-photo-7a4978e57a-7a4978e57a</t>
        </is>
      </c>
      <c r="B52" s="2" t="inlineStr">
        <is>
          <t>qaimg_44e27890212c3e56</t>
        </is>
      </c>
      <c r="C52" s="4" t="inlineStr">
        <is>
          <t>https://cdn.shopify.com/s/files/1/0792/5098/1063/files/fbd6f9ce4cd9a2e43902bfbcb2cf4a451b553f39a2f8e8705c50b39b0332af32.jpg?v=1785103254</t>
        </is>
      </c>
      <c r="D52" s="4" t="inlineStr">
        <is>
          <t>https://cdn.shopify.com/s/files/1/0792/5098/1063/files/fbd6f9ce4cd9a2e43902bfbcb2cf4a451b553f39a2f8e8705c50b39b0332af32.jpg?v=1785103254</t>
        </is>
      </c>
      <c r="E52" s="2" t="inlineStr">
        <is>
          <t>47540405502151</t>
        </is>
      </c>
      <c r="F52" s="2" t="inlineStr"/>
      <c r="G52" s="2" t="inlineStr">
        <is>
          <t>GALLERY</t>
        </is>
      </c>
      <c r="H52" s="2" t="inlineStr">
        <is>
          <t>DIRECT_IMAGE_FILE_OPENED_AND_VISUALLY_REVIEWED</t>
        </is>
      </c>
      <c r="I52" s="2" t="inlineStr">
        <is>
          <t>2026-09-09T13:46:17+07:00</t>
        </is>
      </c>
      <c r="J52" s="2" t="inlineStr">
        <is>
          <t>QA opened 268_04.jpg (1000x1000) and checked against workbook observation: Bedspread features panel showing microfiber layers and care icons.</t>
        </is>
      </c>
      <c r="K52" s="2" t="inlineStr">
        <is>
          <t>Bedspread features panel showing microfiber layers and care icons.</t>
        </is>
      </c>
      <c r="L52" s="2" t="inlineStr">
        <is>
          <t>SET</t>
        </is>
      </c>
      <c r="M52" s="2" t="inlineStr">
        <is>
          <t>Couple photo quilt features panel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>
        <is>
          <t>[]</t>
        </is>
      </c>
      <c r="X52" s="2" t="inlineStr">
        <is>
          <t>["seo_runs\\jeminise.com\\20260906_234129\\qa\\20260909_134616\\images\\268_04.jpg", "https://cdn.shopify.com/s/files/1/0792/5098/1063/files/fbd6f9ce4cd9a2e43902bfbcb2cf4a451b553f39a2f8e8705c50b39b0332af32.jpg?v=1785103254"]</t>
        </is>
      </c>
    </row>
    <row r="53" ht="66" customHeight="1">
      <c r="A53" s="3" t="inlineStr">
        <is>
          <t>jeminise.com+personalized-couple-hugging-close-up-portrait-quilt-with-photo-7a4978e57a-7a4978e57a</t>
        </is>
      </c>
      <c r="B53" s="3" t="inlineStr">
        <is>
          <t>qaimg_b820e53d36e6331e</t>
        </is>
      </c>
      <c r="C53" s="4" t="inlineStr">
        <is>
          <t>https://cdn.shopify.com/s/files/1/0792/5098/1063/files/52ad2da15209bd8cd338eae29bd874b0bdc56241543df0ae540d210247de98a8.jpg?v=1785103254</t>
        </is>
      </c>
      <c r="D53" s="4" t="inlineStr">
        <is>
          <t>https://cdn.shopify.com/s/files/1/0792/5098/1063/files/52ad2da15209bd8cd338eae29bd874b0bdc56241543df0ae540d210247de98a8.jpg?v=1785103254</t>
        </is>
      </c>
      <c r="E53" s="3" t="inlineStr">
        <is>
          <t>47540405534919</t>
        </is>
      </c>
      <c r="F53" s="3" t="inlineStr"/>
      <c r="G53" s="3" t="inlineStr">
        <is>
          <t>GALLERY</t>
        </is>
      </c>
      <c r="H53" s="3" t="inlineStr">
        <is>
          <t>DIRECT_IMAGE_FILE_OPENED_AND_VISUALLY_REVIEWED</t>
        </is>
      </c>
      <c r="I53" s="3" t="inlineStr">
        <is>
          <t>2026-09-09T13:46:17+07:00</t>
        </is>
      </c>
      <c r="J53" s="3" t="inlineStr">
        <is>
          <t>QA opened 268_05.jpg (1000x1000) and checked against workbook observation: Room mockup of couple photo quilt with printed craft callout.</t>
        </is>
      </c>
      <c r="K53" s="3" t="inlineStr">
        <is>
          <t>Room mockup of couple photo quilt with printed craft callout.</t>
        </is>
      </c>
      <c r="L53" s="3" t="inlineStr">
        <is>
          <t>SET</t>
        </is>
      </c>
      <c r="M53" s="3" t="inlineStr">
        <is>
          <t>Couple photo quilt room mockup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>
        <is>
          <t>[]</t>
        </is>
      </c>
      <c r="X53" s="3" t="inlineStr">
        <is>
          <t>["seo_runs\\jeminise.com\\20260906_234129\\qa\\20260909_134616\\images\\268_05.jpg", "https://cdn.shopify.com/s/files/1/0792/5098/1063/files/52ad2da15209bd8cd338eae29bd874b0bdc56241543df0ae540d210247de98a8.jpg?v=1785103254"]</t>
        </is>
      </c>
    </row>
    <row r="54" ht="66" customHeight="1">
      <c r="A54" s="2" t="inlineStr">
        <is>
          <t>jeminise.com+personalized-couple-hugging-close-up-portrait-quilt-with-photo-7a4978e57a-7a4978e57a</t>
        </is>
      </c>
      <c r="B54" s="2" t="inlineStr">
        <is>
          <t>qaimg_1e983c654c47c46a</t>
        </is>
      </c>
      <c r="C54" s="4" t="inlineStr">
        <is>
          <t>https://cdn.shopify.com/s/files/1/0792/5098/1063/files/5330ab1ab2d71e687d2e7cc9fcf71027bcee5fb83e35ad596ef08a39c0d98da2.jpg?v=1785103254</t>
        </is>
      </c>
      <c r="D54" s="4" t="inlineStr">
        <is>
          <t>https://cdn.shopify.com/s/files/1/0792/5098/1063/files/5330ab1ab2d71e687d2e7cc9fcf71027bcee5fb83e35ad596ef08a39c0d98da2.jpg?v=1785103254</t>
        </is>
      </c>
      <c r="E54" s="2" t="inlineStr">
        <is>
          <t>47540405567687</t>
        </is>
      </c>
      <c r="F54" s="2" t="inlineStr"/>
      <c r="G54" s="2" t="inlineStr">
        <is>
          <t>GALLERY</t>
        </is>
      </c>
      <c r="H54" s="2" t="inlineStr">
        <is>
          <t>DIRECT_IMAGE_FILE_OPENED_AND_VISUALLY_REVIEWED</t>
        </is>
      </c>
      <c r="I54" s="2" t="inlineStr">
        <is>
          <t>2026-09-09T13:46:17+07:00</t>
        </is>
      </c>
      <c r="J54" s="2" t="inlineStr">
        <is>
          <t>QA opened 268_06.jpg (1000x1000) and checked against workbook observation: Close bed view with optional pillow shams and couple portrait artwork.</t>
        </is>
      </c>
      <c r="K54" s="2" t="inlineStr">
        <is>
          <t>Close bed view with optional pillow shams and couple portrait artwork.</t>
        </is>
      </c>
      <c r="L54" s="2" t="inlineStr">
        <is>
          <t>SET</t>
        </is>
      </c>
      <c r="M54" s="2" t="inlineStr">
        <is>
          <t>Couple photo quilt pillow sham panel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>
        <is>
          <t>[]</t>
        </is>
      </c>
      <c r="X54" s="2" t="inlineStr">
        <is>
          <t>["seo_runs\\jeminise.com\\20260906_234129\\qa\\20260909_134616\\images\\268_06.jpg", "https://cdn.shopify.com/s/files/1/0792/5098/1063/files/5330ab1ab2d71e687d2e7cc9fcf71027bcee5fb83e35ad596ef08a39c0d98da2.jpg?v=1785103254"]</t>
        </is>
      </c>
    </row>
    <row r="55" ht="66" customHeight="1">
      <c r="A55" s="3" t="inlineStr">
        <is>
          <t>jeminise.com+personalized-couple-hugging-close-up-portrait-quilt-with-photo-7a4978e57a-7a4978e57a</t>
        </is>
      </c>
      <c r="B55" s="3" t="inlineStr">
        <is>
          <t>qaimg_46191134b031055c</t>
        </is>
      </c>
      <c r="C55" s="4" t="inlineStr">
        <is>
          <t>https://cdn.shopify.com/s/files/1/0792/5098/1063/files/d8b870745e830300eaa53222133b0f1931d1e7ffe286073fc472749d6bbe6434.jpg?v=1785103254</t>
        </is>
      </c>
      <c r="D55" s="4" t="inlineStr">
        <is>
          <t>https://cdn.shopify.com/s/files/1/0792/5098/1063/files/d8b870745e830300eaa53222133b0f1931d1e7ffe286073fc472749d6bbe6434.jpg?v=1785103254</t>
        </is>
      </c>
      <c r="E55" s="3" t="inlineStr">
        <is>
          <t>47540405600455</t>
        </is>
      </c>
      <c r="F55" s="3" t="inlineStr"/>
      <c r="G55" s="3" t="inlineStr">
        <is>
          <t>GALLERY</t>
        </is>
      </c>
      <c r="H55" s="3" t="inlineStr">
        <is>
          <t>DIRECT_IMAGE_FILE_OPENED_AND_VISUALLY_REVIEWED</t>
        </is>
      </c>
      <c r="I55" s="3" t="inlineStr">
        <is>
          <t>2026-09-09T13:46:17+07:00</t>
        </is>
      </c>
      <c r="J55" s="3" t="inlineStr">
        <is>
          <t>QA opened 268_07.jpg (1000x1000) and checked against workbook observation: High-quality fabric panel with quilt layers and couple photo artwork sample.</t>
        </is>
      </c>
      <c r="K55" s="3" t="inlineStr">
        <is>
          <t>High-quality fabric panel with quilt layers and couple photo artwork sample.</t>
        </is>
      </c>
      <c r="L55" s="3" t="inlineStr">
        <is>
          <t>SET</t>
        </is>
      </c>
      <c r="M55" s="3" t="inlineStr">
        <is>
          <t>Couple photo quilt fabric panel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>
        <is>
          <t>[]</t>
        </is>
      </c>
      <c r="X55" s="3" t="inlineStr">
        <is>
          <t>["seo_runs\\jeminise.com\\20260906_234129\\qa\\20260909_134616\\images\\268_07.jpg", "https://cdn.shopify.com/s/files/1/0792/5098/1063/files/d8b870745e830300eaa53222133b0f1931d1e7ffe286073fc472749d6bbe6434.jpg?v=1785103254"]</t>
        </is>
      </c>
    </row>
    <row r="56" ht="66" customHeight="1">
      <c r="A56" s="2" t="inlineStr">
        <is>
          <t>jeminise.com+personalized-cozy-room-sophia-bookworm-reading-girl-blanket-book</t>
        </is>
      </c>
      <c r="B56" s="2" t="inlineStr">
        <is>
          <t>qaimg_6e3272f393d6f13f</t>
        </is>
      </c>
      <c r="C56" s="4" t="inlineStr">
        <is>
          <t>https://cdn.shopify.com/s/files/1/0792/5098/1063/files/d017cb4c8a7376ee68e0471efb875b481102ce8e7d511894dc86bb73676c0e04.jpg?v=1786607334</t>
        </is>
      </c>
      <c r="D56" s="4" t="inlineStr">
        <is>
          <t>https://cdn.shopify.com/s/files/1/0792/5098/1063/files/d017cb4c8a7376ee68e0471efb875b481102ce8e7d511894dc86bb73676c0e04.jpg?v=1786607334</t>
        </is>
      </c>
      <c r="E56" s="2" t="inlineStr">
        <is>
          <t>47832616140999</t>
        </is>
      </c>
      <c r="F56" s="2" t="inlineStr"/>
      <c r="G56" s="2" t="inlineStr">
        <is>
          <t>GALLERY</t>
        </is>
      </c>
      <c r="H56" s="2" t="inlineStr">
        <is>
          <t>DIRECT_IMAGE_FILE_OPENED_AND_VISUALLY_REVIEWED</t>
        </is>
      </c>
      <c r="I56" s="2" t="inlineStr">
        <is>
          <t>2026-09-09T13:46:17+07:00</t>
        </is>
      </c>
      <c r="J56" s="2" t="inlineStr">
        <is>
          <t>QA opened 269_01.jpg (1500x1500) and checked against workbook observation: Held bookworm blanket with Sophia Bookworm text, bookshelf, green chair and cartoon reader.</t>
        </is>
      </c>
      <c r="K56" s="2" t="inlineStr">
        <is>
          <t>Held bookworm blanket with Sophia Bookworm text, bookshelf, green chair and cartoon reader.</t>
        </is>
      </c>
      <c r="L56" s="2" t="inlineStr">
        <is>
          <t>SET</t>
        </is>
      </c>
      <c r="M56" s="2" t="inlineStr">
        <is>
          <t>Cozy room bookworm blanket held view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>
        <is>
          <t>[]</t>
        </is>
      </c>
      <c r="X56" s="2" t="inlineStr">
        <is>
          <t>["seo_runs\\jeminise.com\\20260906_234129\\qa\\20260909_134616\\images\\269_01.jpg", "https://cdn.shopify.com/s/files/1/0792/5098/1063/files/d017cb4c8a7376ee68e0471efb875b481102ce8e7d511894dc86bb73676c0e04.jpg?v=1786607334"]</t>
        </is>
      </c>
    </row>
    <row r="57" ht="66" customHeight="1">
      <c r="A57" s="3" t="inlineStr">
        <is>
          <t>jeminise.com+personalized-cozy-room-sophia-bookworm-reading-girl-blanket-book</t>
        </is>
      </c>
      <c r="B57" s="3" t="inlineStr">
        <is>
          <t>qaimg_dedeed460a12cc93</t>
        </is>
      </c>
      <c r="C57" s="4" t="inlineStr">
        <is>
          <t>https://cdn.shopify.com/s/files/1/0792/5098/1063/files/d993b3d525c196986c82c5bcf25b7f91af30cb9cc00a5ed08022add9c4ce4d16.jpg?v=1786607334</t>
        </is>
      </c>
      <c r="D57" s="4" t="inlineStr">
        <is>
          <t>https://cdn.shopify.com/s/files/1/0792/5098/1063/files/d993b3d525c196986c82c5bcf25b7f91af30cb9cc00a5ed08022add9c4ce4d16.jpg?v=1786607334</t>
        </is>
      </c>
      <c r="E57" s="3" t="inlineStr">
        <is>
          <t>47832616173767</t>
        </is>
      </c>
      <c r="F57" s="3" t="inlineStr"/>
      <c r="G57" s="3" t="inlineStr">
        <is>
          <t>GALLERY</t>
        </is>
      </c>
      <c r="H57" s="3" t="inlineStr">
        <is>
          <t>DIRECT_IMAGE_FILE_OPENED_AND_VISUALLY_REVIEWED</t>
        </is>
      </c>
      <c r="I57" s="3" t="inlineStr">
        <is>
          <t>2026-09-09T13:46:17+07:00</t>
        </is>
      </c>
      <c r="J57" s="3" t="inlineStr">
        <is>
          <t>QA opened 269_02.jpg (1000x1000) and checked against workbook observation: Family reading lifestyle image with cozy room bookworm blanket.</t>
        </is>
      </c>
      <c r="K57" s="3" t="inlineStr">
        <is>
          <t>Family reading lifestyle image with cozy room bookworm blanket.</t>
        </is>
      </c>
      <c r="L57" s="3" t="inlineStr">
        <is>
          <t>SET</t>
        </is>
      </c>
      <c r="M57" s="3" t="inlineStr">
        <is>
          <t>Cozy room bookworm blanket family lifestyle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>
        <is>
          <t>[]</t>
        </is>
      </c>
      <c r="X57" s="3" t="inlineStr">
        <is>
          <t>["seo_runs\\jeminise.com\\20260906_234129\\qa\\20260909_134616\\images\\269_02.jpg", "https://cdn.shopify.com/s/files/1/0792/5098/1063/files/d993b3d525c196986c82c5bcf25b7f91af30cb9cc00a5ed08022add9c4ce4d16.jpg?v=1786607334"]</t>
        </is>
      </c>
    </row>
    <row r="58" ht="66" customHeight="1">
      <c r="A58" s="2" t="inlineStr">
        <is>
          <t>jeminise.com+personalized-cozy-room-sophia-bookworm-reading-girl-blanket-book</t>
        </is>
      </c>
      <c r="B58" s="2" t="inlineStr">
        <is>
          <t>qaimg_1e28194f53763a5d</t>
        </is>
      </c>
      <c r="C58" s="4" t="inlineStr">
        <is>
          <t>https://cdn.shopify.com/s/files/1/0792/5098/1063/files/b8f5ed2d83fc32f81f88aef3d04685983891a5f50e161537e0d9f64a31afb191.jpg?v=1786607334</t>
        </is>
      </c>
      <c r="D58" s="4" t="inlineStr">
        <is>
          <t>https://cdn.shopify.com/s/files/1/0792/5098/1063/files/b8f5ed2d83fc32f81f88aef3d04685983891a5f50e161537e0d9f64a31afb191.jpg?v=1786607334</t>
        </is>
      </c>
      <c r="E58" s="2" t="inlineStr">
        <is>
          <t>47832616206535</t>
        </is>
      </c>
      <c r="F58" s="2" t="inlineStr"/>
      <c r="G58" s="2" t="inlineStr">
        <is>
          <t>GALLERY</t>
        </is>
      </c>
      <c r="H58" s="2" t="inlineStr">
        <is>
          <t>DIRECT_IMAGE_FILE_OPENED_AND_VISUALLY_REVIEWED</t>
        </is>
      </c>
      <c r="I58" s="2" t="inlineStr">
        <is>
          <t>2026-09-09T13:46:17+07:00</t>
        </is>
      </c>
      <c r="J58" s="2" t="inlineStr">
        <is>
          <t>QA opened 269_03.jpg (1000x1000) and checked against workbook observation: Blanket size chart showing four sizes for Sophia Bookworm design.</t>
        </is>
      </c>
      <c r="K58" s="2" t="inlineStr">
        <is>
          <t>Blanket size chart showing four sizes for Sophia Bookworm design.</t>
        </is>
      </c>
      <c r="L58" s="2" t="inlineStr">
        <is>
          <t>SET</t>
        </is>
      </c>
      <c r="M58" s="2" t="inlineStr">
        <is>
          <t>Cozy room bookworm blanket size chart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>
        <is>
          <t>[]</t>
        </is>
      </c>
      <c r="X58" s="2" t="inlineStr">
        <is>
          <t>["seo_runs\\jeminise.com\\20260906_234129\\qa\\20260909_134616\\images\\269_03.jpg", "https://cdn.shopify.com/s/files/1/0792/5098/1063/files/b8f5ed2d83fc32f81f88aef3d04685983891a5f50e161537e0d9f64a31afb191.jpg?v=1786607334"]</t>
        </is>
      </c>
    </row>
    <row r="59" ht="66" customHeight="1">
      <c r="A59" s="3" t="inlineStr">
        <is>
          <t>jeminise.com+personalized-cozy-room-sophia-bookworm-reading-girl-blanket-book</t>
        </is>
      </c>
      <c r="B59" s="3" t="inlineStr">
        <is>
          <t>qaimg_19012bf50fb78d97</t>
        </is>
      </c>
      <c r="C59" s="4" t="inlineStr">
        <is>
          <t>https://cdn.shopify.com/s/files/1/0792/5098/1063/files/5c956de24639a7e7a968a86a8cdb4a6a71155b5445dcfc4a1aaabda1ed513459.jpg?v=1786607334</t>
        </is>
      </c>
      <c r="D59" s="4" t="inlineStr">
        <is>
          <t>https://cdn.shopify.com/s/files/1/0792/5098/1063/files/5c956de24639a7e7a968a86a8cdb4a6a71155b5445dcfc4a1aaabda1ed513459.jpg?v=1786607334</t>
        </is>
      </c>
      <c r="E59" s="3" t="inlineStr">
        <is>
          <t>47832616239303</t>
        </is>
      </c>
      <c r="F59" s="3" t="inlineStr"/>
      <c r="G59" s="3" t="inlineStr">
        <is>
          <t>GALLERY</t>
        </is>
      </c>
      <c r="H59" s="3" t="inlineStr">
        <is>
          <t>DIRECT_IMAGE_FILE_OPENED_AND_VISUALLY_REVIEWED</t>
        </is>
      </c>
      <c r="I59" s="3" t="inlineStr">
        <is>
          <t>2026-09-09T13:46:17+07:00</t>
        </is>
      </c>
      <c r="J59" s="3" t="inlineStr">
        <is>
          <t>QA opened 269_04.jpg (1000x1000) and checked against workbook observation: Feature panel over bookshelf artwork with fluffy and no-shedding callouts.</t>
        </is>
      </c>
      <c r="K59" s="3" t="inlineStr">
        <is>
          <t>Feature panel over bookshelf artwork with fluffy and no-shedding callouts.</t>
        </is>
      </c>
      <c r="L59" s="3" t="inlineStr">
        <is>
          <t>SET</t>
        </is>
      </c>
      <c r="M59" s="3" t="inlineStr">
        <is>
          <t>Cozy room bookworm blanket feature panel</t>
        </is>
      </c>
      <c r="N59" s="3" t="inlineStr">
        <is>
          <t>FULL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7">
        <f>IF(N59="FULL",40,IF(N59="PARTIAL",40/2,0))+IF(O59="FULL",30,IF(O59="PARTIAL",30/2,0))+IF(P59="FULL",20,IF(P59="PARTIAL",20/2,0))+IF(Q59="FULL",10,IF(Q59="PARTIAL",10/2,0))</f>
        <v/>
      </c>
      <c r="S59" s="7">
        <f>IF(N59="NOT_CHECKED",0,40)+IF(O59="NOT_CHECKED",0,30)+IF(P59="NOT_CHECKED",0,20)+IF(Q59="NOT_CHECKED",0,10)</f>
        <v/>
      </c>
      <c r="T59" s="7">
        <f>IF(S59=100,R59,"")</f>
        <v/>
      </c>
      <c r="U59" s="7">
        <f>R59</f>
        <v/>
      </c>
      <c r="V59" s="7">
        <f>R59+(100-S59)</f>
        <v/>
      </c>
      <c r="W59" s="3" t="inlineStr">
        <is>
          <t>[]</t>
        </is>
      </c>
      <c r="X59" s="3" t="inlineStr">
        <is>
          <t>["seo_runs\\jeminise.com\\20260906_234129\\qa\\20260909_134616\\images\\269_04.jpg", "https://cdn.shopify.com/s/files/1/0792/5098/1063/files/5c956de24639a7e7a968a86a8cdb4a6a71155b5445dcfc4a1aaabda1ed513459.jpg?v=1786607334"]</t>
        </is>
      </c>
    </row>
    <row r="60" ht="66" customHeight="1">
      <c r="A60" s="2" t="inlineStr">
        <is>
          <t>jeminise.com+personalized-cozy-room-sophia-bookworm-reading-girl-blanket-book</t>
        </is>
      </c>
      <c r="B60" s="2" t="inlineStr">
        <is>
          <t>qaimg_7d8f8b1850ebad4c</t>
        </is>
      </c>
      <c r="C60" s="4" t="inlineStr">
        <is>
          <t>https://cdn.shopify.com/s/files/1/0792/5098/1063/files/5968829f58e9b55e4ef8e8ea28ffc2e84e05f872da5bdb705d228f3ccf49e830.jpg?v=1786607334</t>
        </is>
      </c>
      <c r="D60" s="4" t="inlineStr">
        <is>
          <t>https://cdn.shopify.com/s/files/1/0792/5098/1063/files/5968829f58e9b55e4ef8e8ea28ffc2e84e05f872da5bdb705d228f3ccf49e830.jpg?v=1786607334</t>
        </is>
      </c>
      <c r="E60" s="2" t="inlineStr">
        <is>
          <t>47832616272071</t>
        </is>
      </c>
      <c r="F60" s="2" t="inlineStr"/>
      <c r="G60" s="2" t="inlineStr">
        <is>
          <t>GALLERY</t>
        </is>
      </c>
      <c r="H60" s="2" t="inlineStr">
        <is>
          <t>DIRECT_IMAGE_FILE_OPENED_AND_VISUALLY_REVIEWED</t>
        </is>
      </c>
      <c r="I60" s="2" t="inlineStr">
        <is>
          <t>2026-09-09T13:46:17+07:00</t>
        </is>
      </c>
      <c r="J60" s="2" t="inlineStr">
        <is>
          <t>QA opened 269_05.jpg (1500x1500) and checked against workbook observation: Multiple purpose panel with bed, sofa, office, travel and pet examples.</t>
        </is>
      </c>
      <c r="K60" s="2" t="inlineStr">
        <is>
          <t>Multiple purpose panel with bed, sofa, office, travel and pet examples.</t>
        </is>
      </c>
      <c r="L60" s="2" t="inlineStr">
        <is>
          <t>SET</t>
        </is>
      </c>
      <c r="M60" s="2" t="inlineStr">
        <is>
          <t>Cozy room bookworm blanket multi-use panel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5">
        <f>IF(N60="FULL",40,IF(N60="PARTIAL",40/2,0))+IF(O60="FULL",30,IF(O60="PARTIAL",30/2,0))+IF(P60="FULL",20,IF(P60="PARTIAL",20/2,0))+IF(Q60="FULL",10,IF(Q60="PARTIAL",10/2,0))</f>
        <v/>
      </c>
      <c r="S60" s="5">
        <f>IF(N60="NOT_CHECKED",0,40)+IF(O60="NOT_CHECKED",0,30)+IF(P60="NOT_CHECKED",0,20)+IF(Q60="NOT_CHECKED",0,10)</f>
        <v/>
      </c>
      <c r="T60" s="5">
        <f>IF(S60=100,R60,"")</f>
        <v/>
      </c>
      <c r="U60" s="5">
        <f>R60</f>
        <v/>
      </c>
      <c r="V60" s="5">
        <f>R60+(100-S60)</f>
        <v/>
      </c>
      <c r="W60" s="2" t="inlineStr">
        <is>
          <t>[]</t>
        </is>
      </c>
      <c r="X60" s="2" t="inlineStr">
        <is>
          <t>["seo_runs\\jeminise.com\\20260906_234129\\qa\\20260909_134616\\images\\269_05.jpg", "https://cdn.shopify.com/s/files/1/0792/5098/1063/files/5968829f58e9b55e4ef8e8ea28ffc2e84e05f872da5bdb705d228f3ccf49e830.jpg?v=1786607334"]</t>
        </is>
      </c>
    </row>
    <row r="61" ht="66" customHeight="1">
      <c r="A61" s="3" t="inlineStr">
        <is>
          <t>jeminise.com+personalized-cozy-room-sophia-bookworm-reading-girl-blanket-book</t>
        </is>
      </c>
      <c r="B61" s="3" t="inlineStr">
        <is>
          <t>qaimg_bb69b0b53f560787</t>
        </is>
      </c>
      <c r="C61" s="4" t="inlineStr">
        <is>
          <t>https://cdn.shopify.com/s/files/1/0792/5098/1063/files/82987ca3ec431e3f116c10caf2ba68dd2f1abf7cda5dfe7bb4ead9d72d3844f0.jpg?v=1786607334</t>
        </is>
      </c>
      <c r="D61" s="4" t="inlineStr">
        <is>
          <t>https://cdn.shopify.com/s/files/1/0792/5098/1063/files/82987ca3ec431e3f116c10caf2ba68dd2f1abf7cda5dfe7bb4ead9d72d3844f0.jpg?v=1786607334</t>
        </is>
      </c>
      <c r="E61" s="3" t="inlineStr">
        <is>
          <t>47832616304839</t>
        </is>
      </c>
      <c r="F61" s="3" t="inlineStr"/>
      <c r="G61" s="3" t="inlineStr">
        <is>
          <t>GALLERY</t>
        </is>
      </c>
      <c r="H61" s="3" t="inlineStr">
        <is>
          <t>DIRECT_IMAGE_FILE_OPENED_AND_VISUALLY_REVIEWED</t>
        </is>
      </c>
      <c r="I61" s="3" t="inlineStr">
        <is>
          <t>2026-09-09T13:46:17+07:00</t>
        </is>
      </c>
      <c r="J61" s="3" t="inlineStr">
        <is>
          <t>QA opened 269_06.jpg (1500x1500) and checked against workbook observation: Cozy room bookworm blanket draped across sofa under a window.</t>
        </is>
      </c>
      <c r="K61" s="3" t="inlineStr">
        <is>
          <t>Cozy room bookworm blanket draped across sofa under a window.</t>
        </is>
      </c>
      <c r="L61" s="3" t="inlineStr">
        <is>
          <t>SET</t>
        </is>
      </c>
      <c r="M61" s="3" t="inlineStr">
        <is>
          <t>Cozy room bookworm blanket on sofa</t>
        </is>
      </c>
      <c r="N61" s="3" t="inlineStr">
        <is>
          <t>FULL</t>
        </is>
      </c>
      <c r="O61" s="3" t="inlineStr">
        <is>
          <t>FULL</t>
        </is>
      </c>
      <c r="P61" s="3" t="inlineStr">
        <is>
          <t>FULL</t>
        </is>
      </c>
      <c r="Q61" s="3" t="inlineStr">
        <is>
          <t>FULL</t>
        </is>
      </c>
      <c r="R61" s="7">
        <f>IF(N61="FULL",40,IF(N61="PARTIAL",40/2,0))+IF(O61="FULL",30,IF(O61="PARTIAL",30/2,0))+IF(P61="FULL",20,IF(P61="PARTIAL",20/2,0))+IF(Q61="FULL",10,IF(Q61="PARTIAL",10/2,0))</f>
        <v/>
      </c>
      <c r="S61" s="7">
        <f>IF(N61="NOT_CHECKED",0,40)+IF(O61="NOT_CHECKED",0,30)+IF(P61="NOT_CHECKED",0,20)+IF(Q61="NOT_CHECKED",0,10)</f>
        <v/>
      </c>
      <c r="T61" s="7">
        <f>IF(S61=100,R61,"")</f>
        <v/>
      </c>
      <c r="U61" s="7">
        <f>R61</f>
        <v/>
      </c>
      <c r="V61" s="7">
        <f>R61+(100-S61)</f>
        <v/>
      </c>
      <c r="W61" s="3" t="inlineStr">
        <is>
          <t>[]</t>
        </is>
      </c>
      <c r="X61" s="3" t="inlineStr">
        <is>
          <t>["seo_runs\\jeminise.com\\20260906_234129\\qa\\20260909_134616\\images\\269_06.jpg", "https://cdn.shopify.com/s/files/1/0792/5098/1063/files/82987ca3ec431e3f116c10caf2ba68dd2f1abf7cda5dfe7bb4ead9d72d3844f0.jpg?v=1786607334"]</t>
        </is>
      </c>
    </row>
    <row r="62" ht="66" customHeight="1">
      <c r="A62" s="2" t="inlineStr">
        <is>
          <t>jeminise.com+personalized-cozy-room-sophia-bookworm-reading-girl-blanket-book</t>
        </is>
      </c>
      <c r="B62" s="2" t="inlineStr">
        <is>
          <t>qaimg_a4c820456b449e73</t>
        </is>
      </c>
      <c r="C62" s="4" t="inlineStr">
        <is>
          <t>https://cdn.shopify.com/s/files/1/0792/5098/1063/files/119012b461dec68d1f126b919ecf1cfb6eaa9cc072f8bda92360b96602e018d9.jpg?v=1786607334</t>
        </is>
      </c>
      <c r="D62" s="4" t="inlineStr">
        <is>
          <t>https://cdn.shopify.com/s/files/1/0792/5098/1063/files/119012b461dec68d1f126b919ecf1cfb6eaa9cc072f8bda92360b96602e018d9.jpg?v=1786607334</t>
        </is>
      </c>
      <c r="E62" s="2" t="inlineStr">
        <is>
          <t>47832616337607</t>
        </is>
      </c>
      <c r="F62" s="2" t="inlineStr"/>
      <c r="G62" s="2" t="inlineStr">
        <is>
          <t>GALLERY</t>
        </is>
      </c>
      <c r="H62" s="2" t="inlineStr">
        <is>
          <t>DIRECT_IMAGE_FILE_OPENED_AND_VISUALLY_REVIEWED</t>
        </is>
      </c>
      <c r="I62" s="2" t="inlineStr">
        <is>
          <t>2026-09-09T13:46:17+07:00</t>
        </is>
      </c>
      <c r="J62" s="2" t="inlineStr">
        <is>
          <t>QA opened 269_07.jpg (1500x1500) and checked against workbook observation: Lifestyle reading scene with cozy room bookworm blanket and small pet.</t>
        </is>
      </c>
      <c r="K62" s="2" t="inlineStr">
        <is>
          <t>Lifestyle reading scene with cozy room bookworm blanket and small pet.</t>
        </is>
      </c>
      <c r="L62" s="2" t="inlineStr">
        <is>
          <t>SET</t>
        </is>
      </c>
      <c r="M62" s="2" t="inlineStr">
        <is>
          <t>Cozy room bookworm blanket reading lifestyle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5">
        <f>IF(N62="FULL",40,IF(N62="PARTIAL",40/2,0))+IF(O62="FULL",30,IF(O62="PARTIAL",30/2,0))+IF(P62="FULL",20,IF(P62="PARTIAL",20/2,0))+IF(Q62="FULL",10,IF(Q62="PARTIAL",10/2,0))</f>
        <v/>
      </c>
      <c r="S62" s="5">
        <f>IF(N62="NOT_CHECKED",0,40)+IF(O62="NOT_CHECKED",0,30)+IF(P62="NOT_CHECKED",0,20)+IF(Q62="NOT_CHECKED",0,10)</f>
        <v/>
      </c>
      <c r="T62" s="5">
        <f>IF(S62=100,R62,"")</f>
        <v/>
      </c>
      <c r="U62" s="5">
        <f>R62</f>
        <v/>
      </c>
      <c r="V62" s="5">
        <f>R62+(100-S62)</f>
        <v/>
      </c>
      <c r="W62" s="2" t="inlineStr">
        <is>
          <t>[]</t>
        </is>
      </c>
      <c r="X62" s="2" t="inlineStr">
        <is>
          <t>["seo_runs\\jeminise.com\\20260906_234129\\qa\\20260909_134616\\images\\269_07.jpg", "https://cdn.shopify.com/s/files/1/0792/5098/1063/files/119012b461dec68d1f126b919ecf1cfb6eaa9cc072f8bda92360b96602e018d9.jpg?v=1786607334"]</t>
        </is>
      </c>
    </row>
    <row r="63" ht="66" customHeight="1">
      <c r="A63" s="3" t="inlineStr">
        <is>
          <t>jeminise.com+personalized-cozy-room-sophia-bookworm-reading-girl-blanket-book</t>
        </is>
      </c>
      <c r="B63" s="3" t="inlineStr">
        <is>
          <t>qaimg_8dfb01345c0bd8bd</t>
        </is>
      </c>
      <c r="C63" s="4" t="inlineStr">
        <is>
          <t>https://cdn.shopify.com/s/files/1/0792/5098/1063/files/f7f6bee5716e2bda8dff440f31265638214aa32976ecdfed99a23f93ac02088c.jpg?v=1786607334</t>
        </is>
      </c>
      <c r="D63" s="4" t="inlineStr">
        <is>
          <t>https://cdn.shopify.com/s/files/1/0792/5098/1063/files/f7f6bee5716e2bda8dff440f31265638214aa32976ecdfed99a23f93ac02088c.jpg?v=1786607334</t>
        </is>
      </c>
      <c r="E63" s="3" t="inlineStr">
        <is>
          <t>47832616370375</t>
        </is>
      </c>
      <c r="F63" s="3" t="inlineStr"/>
      <c r="G63" s="3" t="inlineStr">
        <is>
          <t>GALLERY</t>
        </is>
      </c>
      <c r="H63" s="3" t="inlineStr">
        <is>
          <t>DIRECT_IMAGE_FILE_OPENED_AND_VISUALLY_REVIEWED</t>
        </is>
      </c>
      <c r="I63" s="3" t="inlineStr">
        <is>
          <t>2026-09-09T13:46:17+07:00</t>
        </is>
      </c>
      <c r="J63" s="3" t="inlineStr">
        <is>
          <t>QA opened 269_08.jpg (1500x1500) and checked against workbook observation: Reader wrapped in cozy room bookworm blanket by a window.</t>
        </is>
      </c>
      <c r="K63" s="3" t="inlineStr">
        <is>
          <t>Reader wrapped in cozy room bookworm blanket by a window.</t>
        </is>
      </c>
      <c r="L63" s="3" t="inlineStr">
        <is>
          <t>SET</t>
        </is>
      </c>
      <c r="M63" s="3" t="inlineStr">
        <is>
          <t>Cozy room bookworm blanket wrapped reading view</t>
        </is>
      </c>
      <c r="N63" s="3" t="inlineStr">
        <is>
          <t>FULL</t>
        </is>
      </c>
      <c r="O63" s="3" t="inlineStr">
        <is>
          <t>FULL</t>
        </is>
      </c>
      <c r="P63" s="3" t="inlineStr">
        <is>
          <t>FULL</t>
        </is>
      </c>
      <c r="Q63" s="3" t="inlineStr">
        <is>
          <t>FULL</t>
        </is>
      </c>
      <c r="R63" s="7">
        <f>IF(N63="FULL",40,IF(N63="PARTIAL",40/2,0))+IF(O63="FULL",30,IF(O63="PARTIAL",30/2,0))+IF(P63="FULL",20,IF(P63="PARTIAL",20/2,0))+IF(Q63="FULL",10,IF(Q63="PARTIAL",10/2,0))</f>
        <v/>
      </c>
      <c r="S63" s="7">
        <f>IF(N63="NOT_CHECKED",0,40)+IF(O63="NOT_CHECKED",0,30)+IF(P63="NOT_CHECKED",0,20)+IF(Q63="NOT_CHECKED",0,10)</f>
        <v/>
      </c>
      <c r="T63" s="7">
        <f>IF(S63=100,R63,"")</f>
        <v/>
      </c>
      <c r="U63" s="7">
        <f>R63</f>
        <v/>
      </c>
      <c r="V63" s="7">
        <f>R63+(100-S63)</f>
        <v/>
      </c>
      <c r="W63" s="3" t="inlineStr">
        <is>
          <t>[]</t>
        </is>
      </c>
      <c r="X63" s="3" t="inlineStr">
        <is>
          <t>["seo_runs\\jeminise.com\\20260906_234129\\qa\\20260909_134616\\images\\269_08.jpg", "https://cdn.shopify.com/s/files/1/0792/5098/1063/files/f7f6bee5716e2bda8dff440f31265638214aa32976ecdfed99a23f93ac02088c.jpg?v=1786607334"]</t>
        </is>
      </c>
    </row>
    <row r="64" ht="66" customHeight="1">
      <c r="A64" s="2" t="inlineStr">
        <is>
          <t>jeminise.com+personalized-cozy-room-sophia-bookworm-reading-girl-blanket-book</t>
        </is>
      </c>
      <c r="B64" s="2" t="inlineStr">
        <is>
          <t>qaimg_f95d52214c37423c</t>
        </is>
      </c>
      <c r="C64" s="4" t="inlineStr">
        <is>
          <t>https://cdn.shopify.com/s/files/1/0792/5098/1063/files/d4ba34533ff5560a394efb28a1bd322ae4d7094fb1ee90e8b4a4bcb0ed09fb12.jpg?v=1786607334</t>
        </is>
      </c>
      <c r="D64" s="4" t="inlineStr">
        <is>
          <t>https://cdn.shopify.com/s/files/1/0792/5098/1063/files/d4ba34533ff5560a394efb28a1bd322ae4d7094fb1ee90e8b4a4bcb0ed09fb12.jpg?v=1786607334</t>
        </is>
      </c>
      <c r="E64" s="2" t="inlineStr">
        <is>
          <t>47832616403143</t>
        </is>
      </c>
      <c r="F64" s="2" t="inlineStr"/>
      <c r="G64" s="2" t="inlineStr">
        <is>
          <t>GALLERY</t>
        </is>
      </c>
      <c r="H64" s="2" t="inlineStr">
        <is>
          <t>DIRECT_IMAGE_FILE_OPENED_AND_VISUALLY_REVIEWED</t>
        </is>
      </c>
      <c r="I64" s="2" t="inlineStr">
        <is>
          <t>2026-09-09T13:46:17+07:00</t>
        </is>
      </c>
      <c r="J64" s="2" t="inlineStr">
        <is>
          <t>QA opened 269_09.jpg (1000x1000) and checked against workbook observation: Background option panel showing four room designs for the bookworm blanket.</t>
        </is>
      </c>
      <c r="K64" s="2" t="inlineStr">
        <is>
          <t>Background option panel showing four room designs for the bookworm blanket.</t>
        </is>
      </c>
      <c r="L64" s="2" t="inlineStr">
        <is>
          <t>SET</t>
        </is>
      </c>
      <c r="M64" s="2" t="inlineStr">
        <is>
          <t>Cozy room bookworm blanket background options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5">
        <f>IF(N64="FULL",40,IF(N64="PARTIAL",40/2,0))+IF(O64="FULL",30,IF(O64="PARTIAL",30/2,0))+IF(P64="FULL",20,IF(P64="PARTIAL",20/2,0))+IF(Q64="FULL",10,IF(Q64="PARTIAL",10/2,0))</f>
        <v/>
      </c>
      <c r="S64" s="5">
        <f>IF(N64="NOT_CHECKED",0,40)+IF(O64="NOT_CHECKED",0,30)+IF(P64="NOT_CHECKED",0,20)+IF(Q64="NOT_CHECKED",0,10)</f>
        <v/>
      </c>
      <c r="T64" s="5">
        <f>IF(S64=100,R64,"")</f>
        <v/>
      </c>
      <c r="U64" s="5">
        <f>R64</f>
        <v/>
      </c>
      <c r="V64" s="5">
        <f>R64+(100-S64)</f>
        <v/>
      </c>
      <c r="W64" s="2" t="inlineStr">
        <is>
          <t>[]</t>
        </is>
      </c>
      <c r="X64" s="2" t="inlineStr">
        <is>
          <t>["seo_runs\\jeminise.com\\20260906_234129\\qa\\20260909_134616\\images\\269_09.jpg", "https://cdn.shopify.com/s/files/1/0792/5098/1063/files/d4ba34533ff5560a394efb28a1bd322ae4d7094fb1ee90e8b4a4bcb0ed09fb12.jpg?v=1786607334"]</t>
        </is>
      </c>
    </row>
    <row r="65" ht="66" customHeight="1">
      <c r="A65" s="3" t="inlineStr">
        <is>
          <t>jeminise.com+personalized-dark-haired-girl-reading-book-throw-blanket-book-lover</t>
        </is>
      </c>
      <c r="B65" s="3" t="inlineStr">
        <is>
          <t>qaimg_6d9130863d1cc1d1</t>
        </is>
      </c>
      <c r="C65" s="4" t="inlineStr">
        <is>
          <t>https://cdn.shopify.com/s/files/1/0792/5098/1063/files/a6a69a3a428f30c3df58819d8a948c64fa0caaadcadc9b3671598c7ff167942a.jpg?v=1786607331</t>
        </is>
      </c>
      <c r="D65" s="4" t="inlineStr">
        <is>
          <t>https://cdn.shopify.com/s/files/1/0792/5098/1063/files/a6a69a3a428f30c3df58819d8a948c64fa0caaadcadc9b3671598c7ff167942a.jpg?v=1786607331</t>
        </is>
      </c>
      <c r="E65" s="3" t="inlineStr">
        <is>
          <t>47832615715015</t>
        </is>
      </c>
      <c r="F65" s="3" t="inlineStr"/>
      <c r="G65" s="3" t="inlineStr">
        <is>
          <t>GALLERY</t>
        </is>
      </c>
      <c r="H65" s="3" t="inlineStr">
        <is>
          <t>DIRECT_IMAGE_FILE_OPENED_AND_VISUALLY_REVIEWED</t>
        </is>
      </c>
      <c r="I65" s="3" t="inlineStr">
        <is>
          <t>2026-09-09T13:46:17+07:00</t>
        </is>
      </c>
      <c r="J65" s="3" t="inlineStr">
        <is>
          <t>QA opened 270_01.jpg (1000x1000) and checked against workbook observation: Held book lover blanket with dark-haired girl, books and So Many Books So Little Time text.</t>
        </is>
      </c>
      <c r="K65" s="3" t="inlineStr">
        <is>
          <t>Held book lover blanket with dark-haired girl, books and So Many Books So Little Time text.</t>
        </is>
      </c>
      <c r="L65" s="3" t="inlineStr">
        <is>
          <t>SET</t>
        </is>
      </c>
      <c r="M65" s="3" t="inlineStr">
        <is>
          <t>Dark hair book lover blanket held view</t>
        </is>
      </c>
      <c r="N65" s="3" t="inlineStr">
        <is>
          <t>FULL</t>
        </is>
      </c>
      <c r="O65" s="3" t="inlineStr">
        <is>
          <t>FULL</t>
        </is>
      </c>
      <c r="P65" s="3" t="inlineStr">
        <is>
          <t>FULL</t>
        </is>
      </c>
      <c r="Q65" s="3" t="inlineStr">
        <is>
          <t>FULL</t>
        </is>
      </c>
      <c r="R65" s="7">
        <f>IF(N65="FULL",40,IF(N65="PARTIAL",40/2,0))+IF(O65="FULL",30,IF(O65="PARTIAL",30/2,0))+IF(P65="FULL",20,IF(P65="PARTIAL",20/2,0))+IF(Q65="FULL",10,IF(Q65="PARTIAL",10/2,0))</f>
        <v/>
      </c>
      <c r="S65" s="7">
        <f>IF(N65="NOT_CHECKED",0,40)+IF(O65="NOT_CHECKED",0,30)+IF(P65="NOT_CHECKED",0,20)+IF(Q65="NOT_CHECKED",0,10)</f>
        <v/>
      </c>
      <c r="T65" s="7">
        <f>IF(S65=100,R65,"")</f>
        <v/>
      </c>
      <c r="U65" s="7">
        <f>R65</f>
        <v/>
      </c>
      <c r="V65" s="7">
        <f>R65+(100-S65)</f>
        <v/>
      </c>
      <c r="W65" s="3" t="inlineStr">
        <is>
          <t>[]</t>
        </is>
      </c>
      <c r="X65" s="3" t="inlineStr">
        <is>
          <t>["seo_runs\\jeminise.com\\20260906_234129\\qa\\20260909_134616\\images\\270_01.jpg", "https://cdn.shopify.com/s/files/1/0792/5098/1063/files/a6a69a3a428f30c3df58819d8a948c64fa0caaadcadc9b3671598c7ff167942a.jpg?v=1786607331"]</t>
        </is>
      </c>
    </row>
    <row r="66" ht="66" customHeight="1">
      <c r="A66" s="2" t="inlineStr">
        <is>
          <t>jeminise.com+personalized-dark-haired-girl-reading-book-throw-blanket-book-lover</t>
        </is>
      </c>
      <c r="B66" s="2" t="inlineStr">
        <is>
          <t>qaimg_e435848a26e261ef</t>
        </is>
      </c>
      <c r="C66" s="4" t="inlineStr">
        <is>
          <t>https://cdn.shopify.com/s/files/1/0792/5098/1063/files/e4d24bdc20221fa26db36a877bf7dca38e431f41b512051c120b85452c3df696.jpg?v=1786607331</t>
        </is>
      </c>
      <c r="D66" s="4" t="inlineStr">
        <is>
          <t>https://cdn.shopify.com/s/files/1/0792/5098/1063/files/e4d24bdc20221fa26db36a877bf7dca38e431f41b512051c120b85452c3df696.jpg?v=1786607331</t>
        </is>
      </c>
      <c r="E66" s="2" t="inlineStr">
        <is>
          <t>47832615747783</t>
        </is>
      </c>
      <c r="F66" s="2" t="inlineStr"/>
      <c r="G66" s="2" t="inlineStr">
        <is>
          <t>GALLERY</t>
        </is>
      </c>
      <c r="H66" s="2" t="inlineStr">
        <is>
          <t>DIRECT_IMAGE_FILE_OPENED_AND_VISUALLY_REVIEWED</t>
        </is>
      </c>
      <c r="I66" s="2" t="inlineStr">
        <is>
          <t>2026-09-09T13:46:17+07:00</t>
        </is>
      </c>
      <c r="J66" s="2" t="inlineStr">
        <is>
          <t>QA opened 270_02.jpg (1000x1000) and checked against workbook observation: Book lover blanket draped on sofa with white fleece edge.</t>
        </is>
      </c>
      <c r="K66" s="2" t="inlineStr">
        <is>
          <t>Book lover blanket draped on sofa with white fleece edge.</t>
        </is>
      </c>
      <c r="L66" s="2" t="inlineStr">
        <is>
          <t>SET</t>
        </is>
      </c>
      <c r="M66" s="2" t="inlineStr">
        <is>
          <t>Dark hair book lover blanket on sofa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5">
        <f>IF(N66="FULL",40,IF(N66="PARTIAL",40/2,0))+IF(O66="FULL",30,IF(O66="PARTIAL",30/2,0))+IF(P66="FULL",20,IF(P66="PARTIAL",20/2,0))+IF(Q66="FULL",10,IF(Q66="PARTIAL",10/2,0))</f>
        <v/>
      </c>
      <c r="S66" s="5">
        <f>IF(N66="NOT_CHECKED",0,40)+IF(O66="NOT_CHECKED",0,30)+IF(P66="NOT_CHECKED",0,20)+IF(Q66="NOT_CHECKED",0,10)</f>
        <v/>
      </c>
      <c r="T66" s="5">
        <f>IF(S66=100,R66,"")</f>
        <v/>
      </c>
      <c r="U66" s="5">
        <f>R66</f>
        <v/>
      </c>
      <c r="V66" s="5">
        <f>R66+(100-S66)</f>
        <v/>
      </c>
      <c r="W66" s="2" t="inlineStr">
        <is>
          <t>[]</t>
        </is>
      </c>
      <c r="X66" s="2" t="inlineStr">
        <is>
          <t>["seo_runs\\jeminise.com\\20260906_234129\\qa\\20260909_134616\\images\\270_02.jpg", "https://cdn.shopify.com/s/files/1/0792/5098/1063/files/e4d24bdc20221fa26db36a877bf7dca38e431f41b512051c120b85452c3df696.jpg?v=1786607331"]</t>
        </is>
      </c>
    </row>
    <row r="67" ht="66" customHeight="1">
      <c r="A67" s="3" t="inlineStr">
        <is>
          <t>jeminise.com+personalized-dark-haired-girl-reading-book-throw-blanket-book-lover</t>
        </is>
      </c>
      <c r="B67" s="3" t="inlineStr">
        <is>
          <t>qaimg_5dfd6c5892ac18b7</t>
        </is>
      </c>
      <c r="C67" s="4" t="inlineStr">
        <is>
          <t>https://cdn.shopify.com/s/files/1/0792/5098/1063/files/4690c246b04e795ce4dbe74ed207badab06c48b6fc8ae929fb7db9aa45fadbf9.jpg?v=1786607331</t>
        </is>
      </c>
      <c r="D67" s="4" t="inlineStr">
        <is>
          <t>https://cdn.shopify.com/s/files/1/0792/5098/1063/files/4690c246b04e795ce4dbe74ed207badab06c48b6fc8ae929fb7db9aa45fadbf9.jpg?v=1786607331</t>
        </is>
      </c>
      <c r="E67" s="3" t="inlineStr">
        <is>
          <t>47832615780551</t>
        </is>
      </c>
      <c r="F67" s="3" t="inlineStr"/>
      <c r="G67" s="3" t="inlineStr">
        <is>
          <t>GALLERY</t>
        </is>
      </c>
      <c r="H67" s="3" t="inlineStr">
        <is>
          <t>DIRECT_IMAGE_FILE_OPENED_AND_VISUALLY_REVIEWED</t>
        </is>
      </c>
      <c r="I67" s="3" t="inlineStr">
        <is>
          <t>2026-09-09T13:46:17+07:00</t>
        </is>
      </c>
      <c r="J67" s="3" t="inlineStr">
        <is>
          <t>QA opened 270_03.jpg (1000x1000) and checked against workbook observation: Detail collage showing girl illustration, books, print texture and white fleece.</t>
        </is>
      </c>
      <c r="K67" s="3" t="inlineStr">
        <is>
          <t>Detail collage showing girl illustration, books, print texture and white fleece.</t>
        </is>
      </c>
      <c r="L67" s="3" t="inlineStr">
        <is>
          <t>SET</t>
        </is>
      </c>
      <c r="M67" s="3" t="inlineStr">
        <is>
          <t>Dark hair book lover blanket detail collage</t>
        </is>
      </c>
      <c r="N67" s="3" t="inlineStr">
        <is>
          <t>FULL</t>
        </is>
      </c>
      <c r="O67" s="3" t="inlineStr">
        <is>
          <t>FULL</t>
        </is>
      </c>
      <c r="P67" s="3" t="inlineStr">
        <is>
          <t>FULL</t>
        </is>
      </c>
      <c r="Q67" s="3" t="inlineStr">
        <is>
          <t>FULL</t>
        </is>
      </c>
      <c r="R67" s="7">
        <f>IF(N67="FULL",40,IF(N67="PARTIAL",40/2,0))+IF(O67="FULL",30,IF(O67="PARTIAL",30/2,0))+IF(P67="FULL",20,IF(P67="PARTIAL",20/2,0))+IF(Q67="FULL",10,IF(Q67="PARTIAL",10/2,0))</f>
        <v/>
      </c>
      <c r="S67" s="7">
        <f>IF(N67="NOT_CHECKED",0,40)+IF(O67="NOT_CHECKED",0,30)+IF(P67="NOT_CHECKED",0,20)+IF(Q67="NOT_CHECKED",0,10)</f>
        <v/>
      </c>
      <c r="T67" s="7">
        <f>IF(S67=100,R67,"")</f>
        <v/>
      </c>
      <c r="U67" s="7">
        <f>R67</f>
        <v/>
      </c>
      <c r="V67" s="7">
        <f>R67+(100-S67)</f>
        <v/>
      </c>
      <c r="W67" s="3" t="inlineStr">
        <is>
          <t>[]</t>
        </is>
      </c>
      <c r="X67" s="3" t="inlineStr">
        <is>
          <t>["seo_runs\\jeminise.com\\20260906_234129\\qa\\20260909_134616\\images\\270_03.jpg", "https://cdn.shopify.com/s/files/1/0792/5098/1063/files/4690c246b04e795ce4dbe74ed207badab06c48b6fc8ae929fb7db9aa45fadbf9.jpg?v=1786607331"]</t>
        </is>
      </c>
    </row>
    <row r="68" ht="66" customHeight="1">
      <c r="A68" s="2" t="inlineStr">
        <is>
          <t>jeminise.com+personalized-dark-haired-girl-reading-book-throw-blanket-book-lover</t>
        </is>
      </c>
      <c r="B68" s="2" t="inlineStr">
        <is>
          <t>qaimg_7ae5d66d6db05d41</t>
        </is>
      </c>
      <c r="C68" s="4" t="inlineStr">
        <is>
          <t>https://cdn.shopify.com/s/files/1/0792/5098/1063/files/2d60e8ad13e0cfa39a60127d3f9c85661e89cb8e12b293af3cc2702bb659fa1b.jpg?v=1786607331</t>
        </is>
      </c>
      <c r="D68" s="4" t="inlineStr">
        <is>
          <t>https://cdn.shopify.com/s/files/1/0792/5098/1063/files/2d60e8ad13e0cfa39a60127d3f9c85661e89cb8e12b293af3cc2702bb659fa1b.jpg?v=1786607331</t>
        </is>
      </c>
      <c r="E68" s="2" t="inlineStr">
        <is>
          <t>47832615813319</t>
        </is>
      </c>
      <c r="F68" s="2" t="inlineStr"/>
      <c r="G68" s="2" t="inlineStr">
        <is>
          <t>GALLERY</t>
        </is>
      </c>
      <c r="H68" s="2" t="inlineStr">
        <is>
          <t>DIRECT_IMAGE_FILE_OPENED_AND_VISUALLY_REVIEWED</t>
        </is>
      </c>
      <c r="I68" s="2" t="inlineStr">
        <is>
          <t>2026-09-09T13:46:17+07:00</t>
        </is>
      </c>
      <c r="J68" s="2" t="inlineStr">
        <is>
          <t>QA opened 270_04.jpg (1000x1000) and checked against workbook observation: Lifestyle reading scene with book lover blanket, open book and small pet.</t>
        </is>
      </c>
      <c r="K68" s="2" t="inlineStr">
        <is>
          <t>Lifestyle reading scene with book lover blanket, open book and small pet.</t>
        </is>
      </c>
      <c r="L68" s="2" t="inlineStr">
        <is>
          <t>SET</t>
        </is>
      </c>
      <c r="M68" s="2" t="inlineStr">
        <is>
          <t>Dark hair book lover blanket reading lifestyle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5">
        <f>IF(N68="FULL",40,IF(N68="PARTIAL",40/2,0))+IF(O68="FULL",30,IF(O68="PARTIAL",30/2,0))+IF(P68="FULL",20,IF(P68="PARTIAL",20/2,0))+IF(Q68="FULL",10,IF(Q68="PARTIAL",10/2,0))</f>
        <v/>
      </c>
      <c r="S68" s="5">
        <f>IF(N68="NOT_CHECKED",0,40)+IF(O68="NOT_CHECKED",0,30)+IF(P68="NOT_CHECKED",0,20)+IF(Q68="NOT_CHECKED",0,10)</f>
        <v/>
      </c>
      <c r="T68" s="5">
        <f>IF(S68=100,R68,"")</f>
        <v/>
      </c>
      <c r="U68" s="5">
        <f>R68</f>
        <v/>
      </c>
      <c r="V68" s="5">
        <f>R68+(100-S68)</f>
        <v/>
      </c>
      <c r="W68" s="2" t="inlineStr">
        <is>
          <t>[]</t>
        </is>
      </c>
      <c r="X68" s="2" t="inlineStr">
        <is>
          <t>["seo_runs\\jeminise.com\\20260906_234129\\qa\\20260909_134616\\images\\270_04.jpg", "https://cdn.shopify.com/s/files/1/0792/5098/1063/files/2d60e8ad13e0cfa39a60127d3f9c85661e89cb8e12b293af3cc2702bb659fa1b.jpg?v=1786607331"]</t>
        </is>
      </c>
    </row>
    <row r="69" ht="66" customHeight="1">
      <c r="A69" s="3" t="inlineStr">
        <is>
          <t>jeminise.com+personalized-dark-haired-girl-reading-book-throw-blanket-book-lover</t>
        </is>
      </c>
      <c r="B69" s="3" t="inlineStr">
        <is>
          <t>qaimg_58f286446dfbec4e</t>
        </is>
      </c>
      <c r="C69" s="4" t="inlineStr">
        <is>
          <t>https://cdn.shopify.com/s/files/1/0792/5098/1063/files/c102bf8f401969bb59e45e7101eb13f0aad205b2620e1030d5bdca82f309883a.jpg?v=1786607331</t>
        </is>
      </c>
      <c r="D69" s="4" t="inlineStr">
        <is>
          <t>https://cdn.shopify.com/s/files/1/0792/5098/1063/files/c102bf8f401969bb59e45e7101eb13f0aad205b2620e1030d5bdca82f309883a.jpg?v=1786607331</t>
        </is>
      </c>
      <c r="E69" s="3" t="inlineStr">
        <is>
          <t>47832615846087</t>
        </is>
      </c>
      <c r="F69" s="3" t="inlineStr"/>
      <c r="G69" s="3" t="inlineStr">
        <is>
          <t>GALLERY</t>
        </is>
      </c>
      <c r="H69" s="3" t="inlineStr">
        <is>
          <t>DIRECT_IMAGE_FILE_OPENED_AND_VISUALLY_REVIEWED</t>
        </is>
      </c>
      <c r="I69" s="3" t="inlineStr">
        <is>
          <t>2026-09-09T13:46:17+07:00</t>
        </is>
      </c>
      <c r="J69" s="3" t="inlineStr">
        <is>
          <t>QA opened 270_05.jpg (1000x1000) and checked against workbook observation: Feature panel with machine washable, soft and warm, dense stitching and fleece callouts.</t>
        </is>
      </c>
      <c r="K69" s="3" t="inlineStr">
        <is>
          <t>Feature panel with machine washable, soft and warm, dense stitching and fleece callouts.</t>
        </is>
      </c>
      <c r="L69" s="3" t="inlineStr">
        <is>
          <t>SET</t>
        </is>
      </c>
      <c r="M69" s="3" t="inlineStr">
        <is>
          <t>Dark hair book lover blanket feature panel</t>
        </is>
      </c>
      <c r="N69" s="3" t="inlineStr">
        <is>
          <t>FULL</t>
        </is>
      </c>
      <c r="O69" s="3" t="inlineStr">
        <is>
          <t>FULL</t>
        </is>
      </c>
      <c r="P69" s="3" t="inlineStr">
        <is>
          <t>FULL</t>
        </is>
      </c>
      <c r="Q69" s="3" t="inlineStr">
        <is>
          <t>FULL</t>
        </is>
      </c>
      <c r="R69" s="7">
        <f>IF(N69="FULL",40,IF(N69="PARTIAL",40/2,0))+IF(O69="FULL",30,IF(O69="PARTIAL",30/2,0))+IF(P69="FULL",20,IF(P69="PARTIAL",20/2,0))+IF(Q69="FULL",10,IF(Q69="PARTIAL",10/2,0))</f>
        <v/>
      </c>
      <c r="S69" s="7">
        <f>IF(N69="NOT_CHECKED",0,40)+IF(O69="NOT_CHECKED",0,30)+IF(P69="NOT_CHECKED",0,20)+IF(Q69="NOT_CHECKED",0,10)</f>
        <v/>
      </c>
      <c r="T69" s="7">
        <f>IF(S69=100,R69,"")</f>
        <v/>
      </c>
      <c r="U69" s="7">
        <f>R69</f>
        <v/>
      </c>
      <c r="V69" s="7">
        <f>R69+(100-S69)</f>
        <v/>
      </c>
      <c r="W69" s="3" t="inlineStr">
        <is>
          <t>[]</t>
        </is>
      </c>
      <c r="X69" s="3" t="inlineStr">
        <is>
          <t>["seo_runs\\jeminise.com\\20260906_234129\\qa\\20260909_134616\\images\\270_05.jpg", "https://cdn.shopify.com/s/files/1/0792/5098/1063/files/c102bf8f401969bb59e45e7101eb13f0aad205b2620e1030d5bdca82f309883a.jpg?v=1786607331"]</t>
        </is>
      </c>
    </row>
    <row r="70" ht="66" customHeight="1">
      <c r="A70" s="2" t="inlineStr">
        <is>
          <t>jeminise.com+personalized-dark-haired-girl-reading-book-throw-blanket-book-lover</t>
        </is>
      </c>
      <c r="B70" s="2" t="inlineStr">
        <is>
          <t>qaimg_8041ad3dc6ab5182</t>
        </is>
      </c>
      <c r="C70" s="4" t="inlineStr">
        <is>
          <t>https://cdn.shopify.com/s/files/1/0792/5098/1063/files/e716491675597fe76d8aec261d431187e7a7d79a4c5435b3162b485f074ba9b0.jpg?v=1786607331</t>
        </is>
      </c>
      <c r="D70" s="4" t="inlineStr">
        <is>
          <t>https://cdn.shopify.com/s/files/1/0792/5098/1063/files/e716491675597fe76d8aec261d431187e7a7d79a4c5435b3162b485f074ba9b0.jpg?v=1786607331</t>
        </is>
      </c>
      <c r="E70" s="2" t="inlineStr">
        <is>
          <t>47832615878855</t>
        </is>
      </c>
      <c r="F70" s="2" t="inlineStr"/>
      <c r="G70" s="2" t="inlineStr">
        <is>
          <t>GALLERY</t>
        </is>
      </c>
      <c r="H70" s="2" t="inlineStr">
        <is>
          <t>DIRECT_IMAGE_FILE_OPENED_AND_VISUALLY_REVIEWED</t>
        </is>
      </c>
      <c r="I70" s="2" t="inlineStr">
        <is>
          <t>2026-09-09T13:46:17+07:00</t>
        </is>
      </c>
      <c r="J70" s="2" t="inlineStr">
        <is>
          <t>QA opened 270_06.jpg (1000x1000) and checked against workbook observation: Close-up of book lover blanket near an open book.</t>
        </is>
      </c>
      <c r="K70" s="2" t="inlineStr">
        <is>
          <t>Close-up of book lover blanket near an open book.</t>
        </is>
      </c>
      <c r="L70" s="2" t="inlineStr">
        <is>
          <t>SET</t>
        </is>
      </c>
      <c r="M70" s="2" t="inlineStr">
        <is>
          <t>Dark hair book lover blanket close-up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5">
        <f>IF(N70="FULL",40,IF(N70="PARTIAL",40/2,0))+IF(O70="FULL",30,IF(O70="PARTIAL",30/2,0))+IF(P70="FULL",20,IF(P70="PARTIAL",20/2,0))+IF(Q70="FULL",10,IF(Q70="PARTIAL",10/2,0))</f>
        <v/>
      </c>
      <c r="S70" s="5">
        <f>IF(N70="NOT_CHECKED",0,40)+IF(O70="NOT_CHECKED",0,30)+IF(P70="NOT_CHECKED",0,20)+IF(Q70="NOT_CHECKED",0,10)</f>
        <v/>
      </c>
      <c r="T70" s="5">
        <f>IF(S70=100,R70,"")</f>
        <v/>
      </c>
      <c r="U70" s="5">
        <f>R70</f>
        <v/>
      </c>
      <c r="V70" s="5">
        <f>R70+(100-S70)</f>
        <v/>
      </c>
      <c r="W70" s="2" t="inlineStr">
        <is>
          <t>[]</t>
        </is>
      </c>
      <c r="X70" s="2" t="inlineStr">
        <is>
          <t>["seo_runs\\jeminise.com\\20260906_234129\\qa\\20260909_134616\\images\\270_06.jpg", "https://cdn.shopify.com/s/files/1/0792/5098/1063/files/e716491675597fe76d8aec261d431187e7a7d79a4c5435b3162b485f074ba9b0.jpg?v=1786607331"]</t>
        </is>
      </c>
    </row>
    <row r="71" ht="66" customHeight="1">
      <c r="A71" s="3" t="inlineStr">
        <is>
          <t>jeminise.com+personalized-dark-haired-girl-reading-book-throw-blanket-book-lover</t>
        </is>
      </c>
      <c r="B71" s="3" t="inlineStr">
        <is>
          <t>qaimg_0aa696c9491b7058</t>
        </is>
      </c>
      <c r="C71" s="4" t="inlineStr">
        <is>
          <t>https://cdn.shopify.com/s/files/1/0792/5098/1063/files/b29fe40a59155db7b8523dd6d8f01832ebaac23238e5fd57c18290aa6455084c.jpg?v=1786607332</t>
        </is>
      </c>
      <c r="D71" s="4" t="inlineStr">
        <is>
          <t>https://cdn.shopify.com/s/files/1/0792/5098/1063/files/b29fe40a59155db7b8523dd6d8f01832ebaac23238e5fd57c18290aa6455084c.jpg?v=1786607332</t>
        </is>
      </c>
      <c r="E71" s="3" t="inlineStr">
        <is>
          <t>47832615911623</t>
        </is>
      </c>
      <c r="F71" s="3" t="inlineStr"/>
      <c r="G71" s="3" t="inlineStr">
        <is>
          <t>GALLERY</t>
        </is>
      </c>
      <c r="H71" s="3" t="inlineStr">
        <is>
          <t>DIRECT_IMAGE_FILE_OPENED_AND_VISUALLY_REVIEWED</t>
        </is>
      </c>
      <c r="I71" s="3" t="inlineStr">
        <is>
          <t>2026-09-09T13:46:17+07:00</t>
        </is>
      </c>
      <c r="J71" s="3" t="inlineStr">
        <is>
          <t>QA opened 270_07.jpg (1000x1000) and checked against workbook observation: Size and use panel for book lover blanket with sofa, office, bed and travel icons.</t>
        </is>
      </c>
      <c r="K71" s="3" t="inlineStr">
        <is>
          <t>Size and use panel for book lover blanket with sofa, office, bed and travel icons.</t>
        </is>
      </c>
      <c r="L71" s="3" t="inlineStr">
        <is>
          <t>SET</t>
        </is>
      </c>
      <c r="M71" s="3" t="inlineStr">
        <is>
          <t>Dark hair book lover blanket size and use panel</t>
        </is>
      </c>
      <c r="N71" s="3" t="inlineStr">
        <is>
          <t>FULL</t>
        </is>
      </c>
      <c r="O71" s="3" t="inlineStr">
        <is>
          <t>FULL</t>
        </is>
      </c>
      <c r="P71" s="3" t="inlineStr">
        <is>
          <t>FULL</t>
        </is>
      </c>
      <c r="Q71" s="3" t="inlineStr">
        <is>
          <t>FULL</t>
        </is>
      </c>
      <c r="R71" s="7">
        <f>IF(N71="FULL",40,IF(N71="PARTIAL",40/2,0))+IF(O71="FULL",30,IF(O71="PARTIAL",30/2,0))+IF(P71="FULL",20,IF(P71="PARTIAL",20/2,0))+IF(Q71="FULL",10,IF(Q71="PARTIAL",10/2,0))</f>
        <v/>
      </c>
      <c r="S71" s="7">
        <f>IF(N71="NOT_CHECKED",0,40)+IF(O71="NOT_CHECKED",0,30)+IF(P71="NOT_CHECKED",0,20)+IF(Q71="NOT_CHECKED",0,10)</f>
        <v/>
      </c>
      <c r="T71" s="7">
        <f>IF(S71=100,R71,"")</f>
        <v/>
      </c>
      <c r="U71" s="7">
        <f>R71</f>
        <v/>
      </c>
      <c r="V71" s="7">
        <f>R71+(100-S71)</f>
        <v/>
      </c>
      <c r="W71" s="3" t="inlineStr">
        <is>
          <t>[]</t>
        </is>
      </c>
      <c r="X71" s="3" t="inlineStr">
        <is>
          <t>["seo_runs\\jeminise.com\\20260906_234129\\qa\\20260909_134616\\images\\270_07.jpg", "https://cdn.shopify.com/s/files/1/0792/5098/1063/files/b29fe40a59155db7b8523dd6d8f01832ebaac23238e5fd57c18290aa6455084c.jpg?v=1786607332"]</t>
        </is>
      </c>
    </row>
  </sheetData>
  <autoFilter ref="A1:X71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3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B27R4-LIM-TRACE-001</t>
        </is>
      </c>
      <c r="B2" s="2" t="inlineStr"/>
      <c r="C2" s="2" t="inlineStr"/>
      <c r="D2" s="2" t="inlineStr">
        <is>
          <t>LIMITATION</t>
        </is>
      </c>
      <c r="E2" s="2" t="inlineStr">
        <is>
          <t>revision traceability</t>
        </is>
      </c>
      <c r="F2" s="2" t="inlineStr">
        <is>
          <t>SEO_Products/Image_Audit row-level revision values still show r2 in the r4 workbook.</t>
        </is>
      </c>
      <c r="G2" s="2" t="inlineStr">
        <is>
          <t>Workbook filename/path/hash identify qa_batch_027_r4, while row metadata was not fully relabeled after r4.</t>
        </is>
      </c>
      <c r="H2" s="2" t="inlineStr">
        <is>
          <t>Traceability limitation only; it does not prove the submitted r4 content is wrong.</t>
        </is>
      </c>
      <c r="I2" s="2" t="inlineStr">
        <is>
          <t>Update row-level revision values and revision_summary paths in the next package.</t>
        </is>
      </c>
      <c r="J2" s="2" t="inlineStr">
        <is>
          <t>D:\Shopify_Workspace\jeminise_seo\resutls\jeminise.com\20260906_234129\revisions\qa_batch_027_r4\SEO_Product_Optimization_qa_batch_027_r4.xlsx</t>
        </is>
      </c>
      <c r="K2" s="2" t="inlineStr">
        <is>
          <t>All row-level revision fields and summary paths consistently identify r4.</t>
        </is>
      </c>
    </row>
  </sheetData>
  <autoFilter ref="A1:K2"/>
  <conditionalFormatting sqref="D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2026-09-09T06:47:37Z</dcterms:created>
  <dcterms:modified xmlns:dcterms="http://purl.org/dc/terms/" xmlns:xsi="http://www.w3.org/2001/XMLSchema-instance" xsi:type="dcterms:W3CDTF">2026-09-09T06:47:37Z</dcterms:modified>
</cp:coreProperties>
</file>