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_Summary" sheetId="1" state="visible" r:id="rId1"/>
    <sheet xmlns:r="http://schemas.openxmlformats.org/officeDocument/2006/relationships" name="QA_Products" sheetId="2" state="visible" r:id="rId2"/>
    <sheet xmlns:r="http://schemas.openxmlformats.org/officeDocument/2006/relationships" name="QA_Criteria" sheetId="3" state="visible" r:id="rId3"/>
    <sheet xmlns:r="http://schemas.openxmlformats.org/officeDocument/2006/relationships" name="QA_Images" sheetId="4" state="visible" r:id="rId4"/>
    <sheet xmlns:r="http://schemas.openxmlformats.org/officeDocument/2006/relationships" name="QA_Issues" sheetId="5" state="visible" r:id="rId5"/>
  </sheets>
  <definedNames>
    <definedName name="_xlnm._FilterDatabase" localSheetId="0" hidden="1">'QA_Summary'!$A$1:$C$14</definedName>
    <definedName name="_xlnm.Print_Titles" localSheetId="0">'QA_Summary'!$1:$1</definedName>
    <definedName name="_xlnm._FilterDatabase" localSheetId="1" hidden="1">'QA_Products'!$A$1:$W$11</definedName>
    <definedName name="_xlnm.Print_Titles" localSheetId="1">'QA_Products'!$1:$1</definedName>
    <definedName name="_xlnm._FilterDatabase" localSheetId="2" hidden="1">'QA_Criteria'!$A$1:$K$111</definedName>
    <definedName name="_xlnm.Print_Titles" localSheetId="2">'QA_Criteria'!$1:$1</definedName>
    <definedName name="_xlnm._FilterDatabase" localSheetId="3" hidden="1">'QA_Images'!$A$1:$AA$73</definedName>
    <definedName name="_xlnm.Print_Titles" localSheetId="3">'QA_Images'!$1:$1</definedName>
    <definedName name="_xlnm._FilterDatabase" localSheetId="4" hidden="1">'QA_Issues'!$A$1:$K$2</definedName>
    <definedName name="_xlnm.Print_Titles" localSheetId="4">'QA_Issues'!$1:$1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1"/>
    </font>
    <font>
      <name val="Aptos"/>
      <color rgb="001F2937"/>
      <sz val="10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8FAFC"/>
      </patternFill>
    </fill>
  </fills>
  <borders count="3">
    <border>
      <left/>
      <right/>
      <top/>
      <bottom/>
      <diagonal/>
    </border>
    <border>
      <bottom style="medium">
        <color rgb="002F75B5"/>
      </bottom>
    </border>
    <border>
      <bottom style="thin">
        <color rgb="00CBD5E1"/>
      </bottom>
    </border>
  </borders>
  <cellStyleXfs count="2">
    <xf numFmtId="0" fontId="0" fillId="0" borderId="0"/>
    <xf numFmtId="0" fontId="3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  <xf numFmtId="164" fontId="2" fillId="3" borderId="2" applyAlignment="1" pivotButton="0" quotePrefix="0" xfId="0">
      <alignment vertical="top" wrapText="1"/>
    </xf>
    <xf numFmtId="165" fontId="2" fillId="3" borderId="2" applyAlignment="1" pivotButton="0" quotePrefix="0" xfId="0">
      <alignment vertical="top" wrapText="1"/>
    </xf>
    <xf numFmtId="164" fontId="2" fillId="0" borderId="2" applyAlignment="1" pivotButton="0" quotePrefix="0" xfId="0">
      <alignment vertical="top" wrapText="1"/>
    </xf>
    <xf numFmtId="165" fontId="2" fillId="0" borderId="2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5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E4DF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jeminise.com/products/custom-american-sports-football-player-running-with-ball-comforter-891aa5a660-891aa5a660" TargetMode="External" Id="rId1"/><Relationship Type="http://schemas.openxmlformats.org/officeDocument/2006/relationships/hyperlink" Target="https://jeminise.com/products/custom-basketball-players-blanket-name-number-76fdad09b6-76fdad09b6" TargetMode="External" Id="rId2"/><Relationship Type="http://schemas.openxmlformats.org/officeDocument/2006/relationships/hyperlink" Target="https://jeminise.com/products/custom-bible-verse-photo-blanket-personalized-christian-gift-for-her" TargetMode="External" Id="rId3"/><Relationship Type="http://schemas.openxmlformats.org/officeDocument/2006/relationships/hyperlink" Target="https://jeminise.com/products/custom-cardinals-on-flowering-branches-quilt-47d5316f3d-47d5316f3d" TargetMode="External" Id="rId4"/><Relationship Type="http://schemas.openxmlformats.org/officeDocument/2006/relationships/hyperlink" Target="https://jeminise.com/products/custom-tree-of-life-quilt-set-yggdrasil-bedding-019f2b38a4-019f2b38a4" TargetMode="External" Id="rId5"/><Relationship Type="http://schemas.openxmlformats.org/officeDocument/2006/relationships/hyperlink" Target="https://jeminise.com/products/custom-tree-of-life-quilt-set-yggdrasil-celtic-patterns-908827b1df-908827b1df" TargetMode="External" Id="rId6"/><Relationship Type="http://schemas.openxmlformats.org/officeDocument/2006/relationships/hyperlink" Target="https://jeminise.com/products/custom-tree-of-life-quilt-set-yggdrasil-bedding-5048da8f29-5048da8f29" TargetMode="External" Id="rId7"/><Relationship Type="http://schemas.openxmlformats.org/officeDocument/2006/relationships/hyperlink" Target="https://jeminise.com/products/custom-christian-faith-semi-truck-in-front-of-large-comforter-057143b1f8-057143b1f8" TargetMode="External" Id="rId8"/><Relationship Type="http://schemas.openxmlformats.org/officeDocument/2006/relationships/hyperlink" Target="https://jeminise.com/products/custom-christian-girl-bible-emergency-numbers-blanket-d12" TargetMode="External" Id="rId9"/><Relationship Type="http://schemas.openxmlformats.org/officeDocument/2006/relationships/hyperlink" Target="https://jeminise.com/products/custom-christian-inspirational-sophia-blanket-machine-washable-d11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792/5098/1063/files/9235409950f5f87cdd7448cbf5ac7a4f4dbaf6159fc81f9ca4893048f571d49a.jpg?v=1785100651" TargetMode="External" Id="rId1"/><Relationship Type="http://schemas.openxmlformats.org/officeDocument/2006/relationships/hyperlink" Target="https://cdn.shopify.com/s/files/1/0792/5098/1063/files/9235409950f5f87cdd7448cbf5ac7a4f4dbaf6159fc81f9ca4893048f571d49a.jpg?v=1785100651" TargetMode="External" Id="rId2"/><Relationship Type="http://schemas.openxmlformats.org/officeDocument/2006/relationships/hyperlink" Target="https://cdn.shopify.com/s/files/1/0792/5098/1063/files/734fcfc573ad4fdcbbb651e00778852f706e090e624c7195c769cce66a4fcce7.jpg?v=1785100651" TargetMode="External" Id="rId3"/><Relationship Type="http://schemas.openxmlformats.org/officeDocument/2006/relationships/hyperlink" Target="https://cdn.shopify.com/s/files/1/0792/5098/1063/files/734fcfc573ad4fdcbbb651e00778852f706e090e624c7195c769cce66a4fcce7.jpg?v=1785100651" TargetMode="External" Id="rId4"/><Relationship Type="http://schemas.openxmlformats.org/officeDocument/2006/relationships/hyperlink" Target="https://cdn.shopify.com/s/files/1/0792/5098/1063/files/16f7293cbefa5743a35b2e6316a5a114e5c052d08151e367dafd26aa5e2e542b_eb1a080d-6e40-46ec-991a-85be60e1af93.jpg?v=1785100651" TargetMode="External" Id="rId5"/><Relationship Type="http://schemas.openxmlformats.org/officeDocument/2006/relationships/hyperlink" Target="https://cdn.shopify.com/s/files/1/0792/5098/1063/files/16f7293cbefa5743a35b2e6316a5a114e5c052d08151e367dafd26aa5e2e542b_eb1a080d-6e40-46ec-991a-85be60e1af93.jpg?v=1785100651" TargetMode="External" Id="rId6"/><Relationship Type="http://schemas.openxmlformats.org/officeDocument/2006/relationships/hyperlink" Target="https://cdn.shopify.com/s/files/1/0792/5098/1063/files/f8229b6849a00a78a81ae1d6d2d453ba20adc1a2f8096c40c60d04127f55aa3e.jpg?v=1785100651" TargetMode="External" Id="rId7"/><Relationship Type="http://schemas.openxmlformats.org/officeDocument/2006/relationships/hyperlink" Target="https://cdn.shopify.com/s/files/1/0792/5098/1063/files/f8229b6849a00a78a81ae1d6d2d453ba20adc1a2f8096c40c60d04127f55aa3e.jpg?v=1785100651" TargetMode="External" Id="rId8"/><Relationship Type="http://schemas.openxmlformats.org/officeDocument/2006/relationships/hyperlink" Target="https://cdn.shopify.com/s/files/1/0792/5098/1063/files/7c006bddc94d4763c71c8376307e195c1bbce73b8c802ec73ac5a8cef1291262_77b7f8f1-ac24-40ac-87d5-9f4f05af728d.jpg?v=1785100652" TargetMode="External" Id="rId9"/><Relationship Type="http://schemas.openxmlformats.org/officeDocument/2006/relationships/hyperlink" Target="https://cdn.shopify.com/s/files/1/0792/5098/1063/files/7c006bddc94d4763c71c8376307e195c1bbce73b8c802ec73ac5a8cef1291262_77b7f8f1-ac24-40ac-87d5-9f4f05af728d.jpg?v=1785100652" TargetMode="External" Id="rId10"/><Relationship Type="http://schemas.openxmlformats.org/officeDocument/2006/relationships/hyperlink" Target="https://cdn.shopify.com/s/files/1/0792/5098/1063/files/e5cad84edb4d7bf77c48fd7c8e52eb3b73f04eba8bf177671fd8a059c59422e8_155f496e-ea96-4855-a894-d66f04e80ab3.jpg?v=1785100651" TargetMode="External" Id="rId11"/><Relationship Type="http://schemas.openxmlformats.org/officeDocument/2006/relationships/hyperlink" Target="https://cdn.shopify.com/s/files/1/0792/5098/1063/files/e5cad84edb4d7bf77c48fd7c8e52eb3b73f04eba8bf177671fd8a059c59422e8_155f496e-ea96-4855-a894-d66f04e80ab3.jpg?v=1785100651" TargetMode="External" Id="rId12"/><Relationship Type="http://schemas.openxmlformats.org/officeDocument/2006/relationships/hyperlink" Target="https://cdn.shopify.com/s/files/1/0792/5098/1063/files/6c2b7a18ab88cd4dc34c692087680fae7e33609b7762bcbb4b65241bddb4c683.jpg?v=1785090540" TargetMode="External" Id="rId13"/><Relationship Type="http://schemas.openxmlformats.org/officeDocument/2006/relationships/hyperlink" Target="https://cdn.shopify.com/s/files/1/0792/5098/1063/files/6c2b7a18ab88cd4dc34c692087680fae7e33609b7762bcbb4b65241bddb4c683.jpg?v=1785090540" TargetMode="External" Id="rId14"/><Relationship Type="http://schemas.openxmlformats.org/officeDocument/2006/relationships/hyperlink" Target="https://cdn.shopify.com/s/files/1/0792/5098/1063/files/d5abee5ec17755dbbcc6e02e33e7a330ee23e993249b0e3a757080976f26e61a.jpg?v=1785090540" TargetMode="External" Id="rId15"/><Relationship Type="http://schemas.openxmlformats.org/officeDocument/2006/relationships/hyperlink" Target="https://cdn.shopify.com/s/files/1/0792/5098/1063/files/d5abee5ec17755dbbcc6e02e33e7a330ee23e993249b0e3a757080976f26e61a.jpg?v=1785090540" TargetMode="External" Id="rId16"/><Relationship Type="http://schemas.openxmlformats.org/officeDocument/2006/relationships/hyperlink" Target="https://cdn.shopify.com/s/files/1/0792/5098/1063/files/49a6ce3612edf854fdd67ce0c385b74a1db4efbd8e737a4eb0e471333401d9ad.jpg?v=1785090540" TargetMode="External" Id="rId17"/><Relationship Type="http://schemas.openxmlformats.org/officeDocument/2006/relationships/hyperlink" Target="https://cdn.shopify.com/s/files/1/0792/5098/1063/files/49a6ce3612edf854fdd67ce0c385b74a1db4efbd8e737a4eb0e471333401d9ad.jpg?v=1785090540" TargetMode="External" Id="rId18"/><Relationship Type="http://schemas.openxmlformats.org/officeDocument/2006/relationships/hyperlink" Target="https://cdn.shopify.com/s/files/1/0792/5098/1063/files/5da1c7280668d37f99227b265e2f4a101e6ec1870c93392f2ce692a3c8dbae4c.jpg?v=1785090540" TargetMode="External" Id="rId19"/><Relationship Type="http://schemas.openxmlformats.org/officeDocument/2006/relationships/hyperlink" Target="https://cdn.shopify.com/s/files/1/0792/5098/1063/files/5da1c7280668d37f99227b265e2f4a101e6ec1870c93392f2ce692a3c8dbae4c.jpg?v=1785090540" TargetMode="External" Id="rId20"/><Relationship Type="http://schemas.openxmlformats.org/officeDocument/2006/relationships/hyperlink" Target="https://cdn.shopify.com/s/files/1/0792/5098/1063/files/b49fc2186646baaf777f077b381de87c413f199fd7b53efde32665c9ca95f394.jpg?v=1785090540" TargetMode="External" Id="rId21"/><Relationship Type="http://schemas.openxmlformats.org/officeDocument/2006/relationships/hyperlink" Target="https://cdn.shopify.com/s/files/1/0792/5098/1063/files/b49fc2186646baaf777f077b381de87c413f199fd7b53efde32665c9ca95f394.jpg?v=1785090540" TargetMode="External" Id="rId22"/><Relationship Type="http://schemas.openxmlformats.org/officeDocument/2006/relationships/hyperlink" Target="https://cdn.shopify.com/s/files/1/0792/5098/1063/files/e2dc8de58ffeb16bc7298d0dc08ee3d2ff3c802de9628dc8fc747d2e9f902e68.jpg?v=1785090540" TargetMode="External" Id="rId23"/><Relationship Type="http://schemas.openxmlformats.org/officeDocument/2006/relationships/hyperlink" Target="https://cdn.shopify.com/s/files/1/0792/5098/1063/files/e2dc8de58ffeb16bc7298d0dc08ee3d2ff3c802de9628dc8fc747d2e9f902e68.jpg?v=1785090540" TargetMode="External" Id="rId24"/><Relationship Type="http://schemas.openxmlformats.org/officeDocument/2006/relationships/hyperlink" Target="https://cdn.shopify.com/s/files/1/0792/5098/1063/files/2d1f9bd9a0ee6f49866a6231d692e0202b33607aee4f2e197620f325de16c7fe.jpg?v=1785090540" TargetMode="External" Id="rId25"/><Relationship Type="http://schemas.openxmlformats.org/officeDocument/2006/relationships/hyperlink" Target="https://cdn.shopify.com/s/files/1/0792/5098/1063/files/2d1f9bd9a0ee6f49866a6231d692e0202b33607aee4f2e197620f325de16c7fe.jpg?v=1785090540" TargetMode="External" Id="rId26"/><Relationship Type="http://schemas.openxmlformats.org/officeDocument/2006/relationships/hyperlink" Target="https://cdn.shopify.com/s/files/1/0792/5098/1063/files/6f93e586623db54ca28d44f2040467d7786507670c9cfbfbd907b22dedba4036.jpg?v=1785090539" TargetMode="External" Id="rId27"/><Relationship Type="http://schemas.openxmlformats.org/officeDocument/2006/relationships/hyperlink" Target="https://cdn.shopify.com/s/files/1/0792/5098/1063/files/6f93e586623db54ca28d44f2040467d7786507670c9cfbfbd907b22dedba4036.jpg?v=1785090539" TargetMode="External" Id="rId28"/><Relationship Type="http://schemas.openxmlformats.org/officeDocument/2006/relationships/hyperlink" Target="https://cdn.shopify.com/s/files/1/0792/5098/1063/files/96f0a2befa124f14fe17c41828df61ccbf8614b1075a2b471347b5b1e2d17c9c.jpg?v=1786571231" TargetMode="External" Id="rId29"/><Relationship Type="http://schemas.openxmlformats.org/officeDocument/2006/relationships/hyperlink" Target="https://cdn.shopify.com/s/files/1/0792/5098/1063/files/96f0a2befa124f14fe17c41828df61ccbf8614b1075a2b471347b5b1e2d17c9c.jpg?v=1786571231" TargetMode="External" Id="rId30"/><Relationship Type="http://schemas.openxmlformats.org/officeDocument/2006/relationships/hyperlink" Target="https://cdn.shopify.com/s/files/1/0792/5098/1063/files/bf1d3fd2d254bd0bbc4f713f39d50bdf18a793c3b5b6fe296b2d739bedcfae66.jpg?v=1786571231" TargetMode="External" Id="rId31"/><Relationship Type="http://schemas.openxmlformats.org/officeDocument/2006/relationships/hyperlink" Target="https://cdn.shopify.com/s/files/1/0792/5098/1063/files/bf1d3fd2d254bd0bbc4f713f39d50bdf18a793c3b5b6fe296b2d739bedcfae66.jpg?v=1786571231" TargetMode="External" Id="rId32"/><Relationship Type="http://schemas.openxmlformats.org/officeDocument/2006/relationships/hyperlink" Target="https://cdn.shopify.com/s/files/1/0792/5098/1063/files/bad5de99ca953161988c70b259bc4c33c7b12ba656061c0e5588b7d98a857ebc.jpg?v=1786571231" TargetMode="External" Id="rId33"/><Relationship Type="http://schemas.openxmlformats.org/officeDocument/2006/relationships/hyperlink" Target="https://cdn.shopify.com/s/files/1/0792/5098/1063/files/bad5de99ca953161988c70b259bc4c33c7b12ba656061c0e5588b7d98a857ebc.jpg?v=1786571231" TargetMode="External" Id="rId34"/><Relationship Type="http://schemas.openxmlformats.org/officeDocument/2006/relationships/hyperlink" Target="https://cdn.shopify.com/s/files/1/0792/5098/1063/files/ba00c903bb60feca9fbedd850bb74749aa77322da35ffdccf7275d065f5fbcaf.jpg?v=1786571231" TargetMode="External" Id="rId35"/><Relationship Type="http://schemas.openxmlformats.org/officeDocument/2006/relationships/hyperlink" Target="https://cdn.shopify.com/s/files/1/0792/5098/1063/files/ba00c903bb60feca9fbedd850bb74749aa77322da35ffdccf7275d065f5fbcaf.jpg?v=1786571231" TargetMode="External" Id="rId36"/><Relationship Type="http://schemas.openxmlformats.org/officeDocument/2006/relationships/hyperlink" Target="https://cdn.shopify.com/s/files/1/0792/5098/1063/files/8d82b855ba67960edf4d0f67faf83c4efd4804df358149a6badaeef90924cfa3.jpg?v=1786571231" TargetMode="External" Id="rId37"/><Relationship Type="http://schemas.openxmlformats.org/officeDocument/2006/relationships/hyperlink" Target="https://cdn.shopify.com/s/files/1/0792/5098/1063/files/8d82b855ba67960edf4d0f67faf83c4efd4804df358149a6badaeef90924cfa3.jpg?v=1786571231" TargetMode="External" Id="rId38"/><Relationship Type="http://schemas.openxmlformats.org/officeDocument/2006/relationships/hyperlink" Target="https://cdn.shopify.com/s/files/1/0792/5098/1063/files/9a2984133e4b75b82b98f8008d0c0261a85c643d83aaed87a9c6669a64a5e3b6.jpg?v=1786571231" TargetMode="External" Id="rId39"/><Relationship Type="http://schemas.openxmlformats.org/officeDocument/2006/relationships/hyperlink" Target="https://cdn.shopify.com/s/files/1/0792/5098/1063/files/9a2984133e4b75b82b98f8008d0c0261a85c643d83aaed87a9c6669a64a5e3b6.jpg?v=1786571231" TargetMode="External" Id="rId40"/><Relationship Type="http://schemas.openxmlformats.org/officeDocument/2006/relationships/hyperlink" Target="https://cdn.shopify.com/s/files/1/0792/5098/1063/files/e9d38cd833a6cfcefee0c7c7f1ae18d64f0606b9796df1dde3b1444731270052.jpg?v=1786571232" TargetMode="External" Id="rId41"/><Relationship Type="http://schemas.openxmlformats.org/officeDocument/2006/relationships/hyperlink" Target="https://cdn.shopify.com/s/files/1/0792/5098/1063/files/e9d38cd833a6cfcefee0c7c7f1ae18d64f0606b9796df1dde3b1444731270052.jpg?v=1786571232" TargetMode="External" Id="rId42"/><Relationship Type="http://schemas.openxmlformats.org/officeDocument/2006/relationships/hyperlink" Target="https://cdn.shopify.com/s/files/1/0792/5098/1063/files/9575f77a09e36399cd5f068645bc87d6039e51fdff8c055143a7aa9670d749a7.jpg?v=1785099357" TargetMode="External" Id="rId43"/><Relationship Type="http://schemas.openxmlformats.org/officeDocument/2006/relationships/hyperlink" Target="https://cdn.shopify.com/s/files/1/0792/5098/1063/files/9575f77a09e36399cd5f068645bc87d6039e51fdff8c055143a7aa9670d749a7.jpg?v=1785099357" TargetMode="External" Id="rId44"/><Relationship Type="http://schemas.openxmlformats.org/officeDocument/2006/relationships/hyperlink" Target="https://cdn.shopify.com/s/files/1/0792/5098/1063/files/4b8dbefabdfb2866d0b96afe10769c61e74e99e7ee5ddd0148929b1e3e335045.jpg?v=1785099357" TargetMode="External" Id="rId45"/><Relationship Type="http://schemas.openxmlformats.org/officeDocument/2006/relationships/hyperlink" Target="https://cdn.shopify.com/s/files/1/0792/5098/1063/files/4b8dbefabdfb2866d0b96afe10769c61e74e99e7ee5ddd0148929b1e3e335045.jpg?v=1785099357" TargetMode="External" Id="rId46"/><Relationship Type="http://schemas.openxmlformats.org/officeDocument/2006/relationships/hyperlink" Target="https://cdn.shopify.com/s/files/1/0792/5098/1063/files/e6dea2251ee4448ea2ecc83d581cc7f70a13339c4e97d07ebf3f1184296e6d4d.jpg?v=1785099357" TargetMode="External" Id="rId47"/><Relationship Type="http://schemas.openxmlformats.org/officeDocument/2006/relationships/hyperlink" Target="https://cdn.shopify.com/s/files/1/0792/5098/1063/files/e6dea2251ee4448ea2ecc83d581cc7f70a13339c4e97d07ebf3f1184296e6d4d.jpg?v=1785099357" TargetMode="External" Id="rId48"/><Relationship Type="http://schemas.openxmlformats.org/officeDocument/2006/relationships/hyperlink" Target="https://cdn.shopify.com/s/files/1/0792/5098/1063/files/c1b284bd859514f393f0168612dc0c5ff965886cc7e02755fcc1d52e1bd327a8.jpg?v=1785099357" TargetMode="External" Id="rId49"/><Relationship Type="http://schemas.openxmlformats.org/officeDocument/2006/relationships/hyperlink" Target="https://cdn.shopify.com/s/files/1/0792/5098/1063/files/c1b284bd859514f393f0168612dc0c5ff965886cc7e02755fcc1d52e1bd327a8.jpg?v=1785099357" TargetMode="External" Id="rId50"/><Relationship Type="http://schemas.openxmlformats.org/officeDocument/2006/relationships/hyperlink" Target="https://cdn.shopify.com/s/files/1/0792/5098/1063/files/b9ecd7acb9867d3dddcba683ef98ed213ccd45ad7b21c83750b3af21d8d606b0.jpg?v=1785099357" TargetMode="External" Id="rId51"/><Relationship Type="http://schemas.openxmlformats.org/officeDocument/2006/relationships/hyperlink" Target="https://cdn.shopify.com/s/files/1/0792/5098/1063/files/b9ecd7acb9867d3dddcba683ef98ed213ccd45ad7b21c83750b3af21d8d606b0.jpg?v=1785099357" TargetMode="External" Id="rId52"/><Relationship Type="http://schemas.openxmlformats.org/officeDocument/2006/relationships/hyperlink" Target="https://cdn.shopify.com/s/files/1/0792/5098/1063/files/cbd5bec77037adf2205dbf25184e33c4da62c7d9bcfcf65c48f951530c949183.jpg?v=1785047557" TargetMode="External" Id="rId53"/><Relationship Type="http://schemas.openxmlformats.org/officeDocument/2006/relationships/hyperlink" Target="https://cdn.shopify.com/s/files/1/0792/5098/1063/files/cbd5bec77037adf2205dbf25184e33c4da62c7d9bcfcf65c48f951530c949183.jpg?v=1785047557" TargetMode="External" Id="rId54"/><Relationship Type="http://schemas.openxmlformats.org/officeDocument/2006/relationships/hyperlink" Target="https://cdn.shopify.com/s/files/1/0792/5098/1063/files/23ffda708dc3ec814d65f9ddad5a342341172c0b0ba83dd4269ee04c1e31257d.jpg?v=1785047557" TargetMode="External" Id="rId55"/><Relationship Type="http://schemas.openxmlformats.org/officeDocument/2006/relationships/hyperlink" Target="https://cdn.shopify.com/s/files/1/0792/5098/1063/files/23ffda708dc3ec814d65f9ddad5a342341172c0b0ba83dd4269ee04c1e31257d.jpg?v=1785047557" TargetMode="External" Id="rId56"/><Relationship Type="http://schemas.openxmlformats.org/officeDocument/2006/relationships/hyperlink" Target="https://cdn.shopify.com/s/files/1/0792/5098/1063/files/b466ae44c3708cbb30c0d0caf6d1527fe408507e2969267fe97baf909b85d791.jpg?v=1785047557" TargetMode="External" Id="rId57"/><Relationship Type="http://schemas.openxmlformats.org/officeDocument/2006/relationships/hyperlink" Target="https://cdn.shopify.com/s/files/1/0792/5098/1063/files/b466ae44c3708cbb30c0d0caf6d1527fe408507e2969267fe97baf909b85d791.jpg?v=1785047557" TargetMode="External" Id="rId58"/><Relationship Type="http://schemas.openxmlformats.org/officeDocument/2006/relationships/hyperlink" Target="https://cdn.shopify.com/s/files/1/0792/5098/1063/files/ab686e5bcd9e43b0d7425b73d04cc3e11df03298877e89428bd239b57f2905c4.jpg?v=1785047557" TargetMode="External" Id="rId59"/><Relationship Type="http://schemas.openxmlformats.org/officeDocument/2006/relationships/hyperlink" Target="https://cdn.shopify.com/s/files/1/0792/5098/1063/files/ab686e5bcd9e43b0d7425b73d04cc3e11df03298877e89428bd239b57f2905c4.jpg?v=1785047557" TargetMode="External" Id="rId60"/><Relationship Type="http://schemas.openxmlformats.org/officeDocument/2006/relationships/hyperlink" Target="https://cdn.shopify.com/s/files/1/0792/5098/1063/files/9cead3e10d180201016171953dc0fc85f5892fadcb0fc954460d73a834ba58a0.jpg?v=1785047556" TargetMode="External" Id="rId61"/><Relationship Type="http://schemas.openxmlformats.org/officeDocument/2006/relationships/hyperlink" Target="https://cdn.shopify.com/s/files/1/0792/5098/1063/files/9cead3e10d180201016171953dc0fc85f5892fadcb0fc954460d73a834ba58a0.jpg?v=1785047556" TargetMode="External" Id="rId62"/><Relationship Type="http://schemas.openxmlformats.org/officeDocument/2006/relationships/hyperlink" Target="https://cdn.shopify.com/s/files/1/0792/5098/1063/files/96dcf378423aa82f4bfeea73a2dacc036fedbb92b4a3c90950f13f7f87ea07f3.jpg?v=1785047557" TargetMode="External" Id="rId63"/><Relationship Type="http://schemas.openxmlformats.org/officeDocument/2006/relationships/hyperlink" Target="https://cdn.shopify.com/s/files/1/0792/5098/1063/files/96dcf378423aa82f4bfeea73a2dacc036fedbb92b4a3c90950f13f7f87ea07f3.jpg?v=1785047557" TargetMode="External" Id="rId64"/><Relationship Type="http://schemas.openxmlformats.org/officeDocument/2006/relationships/hyperlink" Target="https://cdn.shopify.com/s/files/1/0792/5098/1063/files/7948c621d952c055974f0de2ba56d008b3bc9e871506efc33088690a2042a4b5.jpg?v=1785047557" TargetMode="External" Id="rId65"/><Relationship Type="http://schemas.openxmlformats.org/officeDocument/2006/relationships/hyperlink" Target="https://cdn.shopify.com/s/files/1/0792/5098/1063/files/7948c621d952c055974f0de2ba56d008b3bc9e871506efc33088690a2042a4b5.jpg?v=1785047557" TargetMode="External" Id="rId66"/><Relationship Type="http://schemas.openxmlformats.org/officeDocument/2006/relationships/hyperlink" Target="https://cdn.shopify.com/s/files/1/0792/5098/1063/files/ce9616f3d6428a4fee0ac30bc9089af78cb0c804e3542ab8b82c6e275e44020d.jpg?v=1785047264" TargetMode="External" Id="rId67"/><Relationship Type="http://schemas.openxmlformats.org/officeDocument/2006/relationships/hyperlink" Target="https://cdn.shopify.com/s/files/1/0792/5098/1063/files/ce9616f3d6428a4fee0ac30bc9089af78cb0c804e3542ab8b82c6e275e44020d.jpg?v=1785047264" TargetMode="External" Id="rId68"/><Relationship Type="http://schemas.openxmlformats.org/officeDocument/2006/relationships/hyperlink" Target="https://cdn.shopify.com/s/files/1/0792/5098/1063/files/7d45a55f9c0522d304f763fb5f92835032f8e2f4f4fe7b175bcc8f62cc0778c6.jpg?v=1785047264" TargetMode="External" Id="rId69"/><Relationship Type="http://schemas.openxmlformats.org/officeDocument/2006/relationships/hyperlink" Target="https://cdn.shopify.com/s/files/1/0792/5098/1063/files/7d45a55f9c0522d304f763fb5f92835032f8e2f4f4fe7b175bcc8f62cc0778c6.jpg?v=1785047264" TargetMode="External" Id="rId70"/><Relationship Type="http://schemas.openxmlformats.org/officeDocument/2006/relationships/hyperlink" Target="https://cdn.shopify.com/s/files/1/0792/5098/1063/files/c6ed8b47b815bfc728e934c22e39642f8d3fde9e3e2990572de7817bad792ef2.jpg?v=1785047264" TargetMode="External" Id="rId71"/><Relationship Type="http://schemas.openxmlformats.org/officeDocument/2006/relationships/hyperlink" Target="https://cdn.shopify.com/s/files/1/0792/5098/1063/files/c6ed8b47b815bfc728e934c22e39642f8d3fde9e3e2990572de7817bad792ef2.jpg?v=1785047264" TargetMode="External" Id="rId72"/><Relationship Type="http://schemas.openxmlformats.org/officeDocument/2006/relationships/hyperlink" Target="https://cdn.shopify.com/s/files/1/0792/5098/1063/files/6d2b5003a6fc80ddea86a4386a4e74fcf1be9f6fc7fed2e60b94350e04d826ca.jpg?v=1785047264" TargetMode="External" Id="rId73"/><Relationship Type="http://schemas.openxmlformats.org/officeDocument/2006/relationships/hyperlink" Target="https://cdn.shopify.com/s/files/1/0792/5098/1063/files/6d2b5003a6fc80ddea86a4386a4e74fcf1be9f6fc7fed2e60b94350e04d826ca.jpg?v=1785047264" TargetMode="External" Id="rId74"/><Relationship Type="http://schemas.openxmlformats.org/officeDocument/2006/relationships/hyperlink" Target="https://cdn.shopify.com/s/files/1/0792/5098/1063/files/9df553173cf44732a07c2299a75da0a932b37233f91b327f150d3d908255a7ce.jpg?v=1785047264" TargetMode="External" Id="rId75"/><Relationship Type="http://schemas.openxmlformats.org/officeDocument/2006/relationships/hyperlink" Target="https://cdn.shopify.com/s/files/1/0792/5098/1063/files/9df553173cf44732a07c2299a75da0a932b37233f91b327f150d3d908255a7ce.jpg?v=1785047264" TargetMode="External" Id="rId76"/><Relationship Type="http://schemas.openxmlformats.org/officeDocument/2006/relationships/hyperlink" Target="https://cdn.shopify.com/s/files/1/0792/5098/1063/files/a806849c7fb5a059426d5b97f11d1785bfe5443515c51e73bfbd30e2d5f9a733.jpg?v=1785047264" TargetMode="External" Id="rId77"/><Relationship Type="http://schemas.openxmlformats.org/officeDocument/2006/relationships/hyperlink" Target="https://cdn.shopify.com/s/files/1/0792/5098/1063/files/a806849c7fb5a059426d5b97f11d1785bfe5443515c51e73bfbd30e2d5f9a733.jpg?v=1785047264" TargetMode="External" Id="rId78"/><Relationship Type="http://schemas.openxmlformats.org/officeDocument/2006/relationships/hyperlink" Target="https://cdn.shopify.com/s/files/1/0792/5098/1063/files/7dd047a99d8f7c8aa39a81d2607f619ba4712708b8b0cadc387a608ca589b418.jpg?v=1785047264" TargetMode="External" Id="rId79"/><Relationship Type="http://schemas.openxmlformats.org/officeDocument/2006/relationships/hyperlink" Target="https://cdn.shopify.com/s/files/1/0792/5098/1063/files/7dd047a99d8f7c8aa39a81d2607f619ba4712708b8b0cadc387a608ca589b418.jpg?v=1785047264" TargetMode="External" Id="rId80"/><Relationship Type="http://schemas.openxmlformats.org/officeDocument/2006/relationships/hyperlink" Target="https://cdn.shopify.com/s/files/1/0792/5098/1063/files/8eae218010f8b5ffed66786a7651624283523e9769645b4a4bbf1b2d94796559.jpg?v=1785047476" TargetMode="External" Id="rId81"/><Relationship Type="http://schemas.openxmlformats.org/officeDocument/2006/relationships/hyperlink" Target="https://cdn.shopify.com/s/files/1/0792/5098/1063/files/8eae218010f8b5ffed66786a7651624283523e9769645b4a4bbf1b2d94796559.jpg?v=1785047476" TargetMode="External" Id="rId82"/><Relationship Type="http://schemas.openxmlformats.org/officeDocument/2006/relationships/hyperlink" Target="https://cdn.shopify.com/s/files/1/0792/5098/1063/files/ad92f598846900668a8aff35985bf8c9c1634d7180e9f0f2da22234ec9715a71.jpg?v=1785047476" TargetMode="External" Id="rId83"/><Relationship Type="http://schemas.openxmlformats.org/officeDocument/2006/relationships/hyperlink" Target="https://cdn.shopify.com/s/files/1/0792/5098/1063/files/ad92f598846900668a8aff35985bf8c9c1634d7180e9f0f2da22234ec9715a71.jpg?v=1785047476" TargetMode="External" Id="rId84"/><Relationship Type="http://schemas.openxmlformats.org/officeDocument/2006/relationships/hyperlink" Target="https://cdn.shopify.com/s/files/1/0792/5098/1063/files/54f9b43ce306fcf609bd0083f1034d2a5cf824fe8c54918b0920e528f6429d22.jpg?v=1785047476" TargetMode="External" Id="rId85"/><Relationship Type="http://schemas.openxmlformats.org/officeDocument/2006/relationships/hyperlink" Target="https://cdn.shopify.com/s/files/1/0792/5098/1063/files/54f9b43ce306fcf609bd0083f1034d2a5cf824fe8c54918b0920e528f6429d22.jpg?v=1785047476" TargetMode="External" Id="rId86"/><Relationship Type="http://schemas.openxmlformats.org/officeDocument/2006/relationships/hyperlink" Target="https://cdn.shopify.com/s/files/1/0792/5098/1063/files/cbb5eaa7a64e0c0ee72ebf3fe6eabdcb912a4966b6e922777ef53ec8926d2a65.jpg?v=1785047476" TargetMode="External" Id="rId87"/><Relationship Type="http://schemas.openxmlformats.org/officeDocument/2006/relationships/hyperlink" Target="https://cdn.shopify.com/s/files/1/0792/5098/1063/files/cbb5eaa7a64e0c0ee72ebf3fe6eabdcb912a4966b6e922777ef53ec8926d2a65.jpg?v=1785047476" TargetMode="External" Id="rId88"/><Relationship Type="http://schemas.openxmlformats.org/officeDocument/2006/relationships/hyperlink" Target="https://cdn.shopify.com/s/files/1/0792/5098/1063/files/294e6f3540a182ae28865f018fe4286351462712d9310bf6da6e8e405e6c0b6b.jpg?v=1785047476" TargetMode="External" Id="rId89"/><Relationship Type="http://schemas.openxmlformats.org/officeDocument/2006/relationships/hyperlink" Target="https://cdn.shopify.com/s/files/1/0792/5098/1063/files/294e6f3540a182ae28865f018fe4286351462712d9310bf6da6e8e405e6c0b6b.jpg?v=1785047476" TargetMode="External" Id="rId90"/><Relationship Type="http://schemas.openxmlformats.org/officeDocument/2006/relationships/hyperlink" Target="https://cdn.shopify.com/s/files/1/0792/5098/1063/files/534cc16bf237b5301f37f7fb37613e21872f96af800f3ce795de5bf92dcbe3e4.jpg?v=1785047476" TargetMode="External" Id="rId91"/><Relationship Type="http://schemas.openxmlformats.org/officeDocument/2006/relationships/hyperlink" Target="https://cdn.shopify.com/s/files/1/0792/5098/1063/files/534cc16bf237b5301f37f7fb37613e21872f96af800f3ce795de5bf92dcbe3e4.jpg?v=1785047476" TargetMode="External" Id="rId92"/><Relationship Type="http://schemas.openxmlformats.org/officeDocument/2006/relationships/hyperlink" Target="https://cdn.shopify.com/s/files/1/0792/5098/1063/files/08048dc1b68df65dfcb150964862a39a3bea1674956d2bbbfda8f783b76ba17d.jpg?v=1785047476" TargetMode="External" Id="rId93"/><Relationship Type="http://schemas.openxmlformats.org/officeDocument/2006/relationships/hyperlink" Target="https://cdn.shopify.com/s/files/1/0792/5098/1063/files/08048dc1b68df65dfcb150964862a39a3bea1674956d2bbbfda8f783b76ba17d.jpg?v=1785047476" TargetMode="External" Id="rId94"/><Relationship Type="http://schemas.openxmlformats.org/officeDocument/2006/relationships/hyperlink" Target="https://cdn.shopify.com/s/files/1/0792/5098/1063/files/6e9319b8ab8b2d2e568c6c292bfe25074a0b5fa69fe919cb307e508230e4c01a.jpg?v=1785132603" TargetMode="External" Id="rId95"/><Relationship Type="http://schemas.openxmlformats.org/officeDocument/2006/relationships/hyperlink" Target="https://cdn.shopify.com/s/files/1/0792/5098/1063/files/6e9319b8ab8b2d2e568c6c292bfe25074a0b5fa69fe919cb307e508230e4c01a.jpg?v=1785132603" TargetMode="External" Id="rId96"/><Relationship Type="http://schemas.openxmlformats.org/officeDocument/2006/relationships/hyperlink" Target="https://cdn.shopify.com/s/files/1/0792/5098/1063/files/f3288758e7d714e1d030c3a82bd01cf3f05e2fa7c9e54f29aaae473ba3df57c9.jpg?v=1785132604" TargetMode="External" Id="rId97"/><Relationship Type="http://schemas.openxmlformats.org/officeDocument/2006/relationships/hyperlink" Target="https://cdn.shopify.com/s/files/1/0792/5098/1063/files/f3288758e7d714e1d030c3a82bd01cf3f05e2fa7c9e54f29aaae473ba3df57c9.jpg?v=1785132604" TargetMode="External" Id="rId98"/><Relationship Type="http://schemas.openxmlformats.org/officeDocument/2006/relationships/hyperlink" Target="https://cdn.shopify.com/s/files/1/0792/5098/1063/files/16f7293cbefa5743a35b2e6316a5a114e5c052d08151e367dafd26aa5e2e542b_8cef3a78-7a6c-4b47-bf28-c8073b9514e1.jpg?v=1785132603" TargetMode="External" Id="rId99"/><Relationship Type="http://schemas.openxmlformats.org/officeDocument/2006/relationships/hyperlink" Target="https://cdn.shopify.com/s/files/1/0792/5098/1063/files/16f7293cbefa5743a35b2e6316a5a114e5c052d08151e367dafd26aa5e2e542b_8cef3a78-7a6c-4b47-bf28-c8073b9514e1.jpg?v=1785132603" TargetMode="External" Id="rId100"/><Relationship Type="http://schemas.openxmlformats.org/officeDocument/2006/relationships/hyperlink" Target="https://cdn.shopify.com/s/files/1/0792/5098/1063/files/3126d3e7c0e678ebf4352bbbec30f14f9532800b85550cb1568caa752ebaced1.jpg?v=1785132604" TargetMode="External" Id="rId101"/><Relationship Type="http://schemas.openxmlformats.org/officeDocument/2006/relationships/hyperlink" Target="https://cdn.shopify.com/s/files/1/0792/5098/1063/files/3126d3e7c0e678ebf4352bbbec30f14f9532800b85550cb1568caa752ebaced1.jpg?v=1785132604" TargetMode="External" Id="rId102"/><Relationship Type="http://schemas.openxmlformats.org/officeDocument/2006/relationships/hyperlink" Target="https://cdn.shopify.com/s/files/1/0792/5098/1063/files/a5338648c54a77bc15767c1ceae2ad207d73615ff6fc0725d8e895604fc48168.jpg?v=1785132603" TargetMode="External" Id="rId103"/><Relationship Type="http://schemas.openxmlformats.org/officeDocument/2006/relationships/hyperlink" Target="https://cdn.shopify.com/s/files/1/0792/5098/1063/files/a5338648c54a77bc15767c1ceae2ad207d73615ff6fc0725d8e895604fc48168.jpg?v=1785132603" TargetMode="External" Id="rId104"/><Relationship Type="http://schemas.openxmlformats.org/officeDocument/2006/relationships/hyperlink" Target="https://cdn.shopify.com/s/files/1/0792/5098/1063/files/7c006bddc94d4763c71c8376307e195c1bbce73b8c802ec73ac5a8cef1291262_e558ac05-8d88-4109-bd33-e9d9cdb886eb.jpg?v=1785132603" TargetMode="External" Id="rId105"/><Relationship Type="http://schemas.openxmlformats.org/officeDocument/2006/relationships/hyperlink" Target="https://cdn.shopify.com/s/files/1/0792/5098/1063/files/7c006bddc94d4763c71c8376307e195c1bbce73b8c802ec73ac5a8cef1291262_e558ac05-8d88-4109-bd33-e9d9cdb886eb.jpg?v=1785132603" TargetMode="External" Id="rId106"/><Relationship Type="http://schemas.openxmlformats.org/officeDocument/2006/relationships/hyperlink" Target="https://cdn.shopify.com/s/files/1/0792/5098/1063/files/e5cad84edb4d7bf77c48fd7c8e52eb3b73f04eba8bf177671fd8a059c59422e8_a26ad42c-8f12-49d7-b045-54c792ede217.jpg?v=1785132603" TargetMode="External" Id="rId107"/><Relationship Type="http://schemas.openxmlformats.org/officeDocument/2006/relationships/hyperlink" Target="https://cdn.shopify.com/s/files/1/0792/5098/1063/files/e5cad84edb4d7bf77c48fd7c8e52eb3b73f04eba8bf177671fd8a059c59422e8_a26ad42c-8f12-49d7-b045-54c792ede217.jpg?v=1785132603" TargetMode="External" Id="rId108"/><Relationship Type="http://schemas.openxmlformats.org/officeDocument/2006/relationships/hyperlink" Target="https://cdn.shopify.com/s/files/1/0792/5098/1063/files/b256b9200584c35cb542d9f0f89fc39d01989a03be1af664dce9420ebc84591d.jpg?v=1786596964" TargetMode="External" Id="rId109"/><Relationship Type="http://schemas.openxmlformats.org/officeDocument/2006/relationships/hyperlink" Target="https://cdn.shopify.com/s/files/1/0792/5098/1063/files/b256b9200584c35cb542d9f0f89fc39d01989a03be1af664dce9420ebc84591d.jpg?v=1786596964" TargetMode="External" Id="rId110"/><Relationship Type="http://schemas.openxmlformats.org/officeDocument/2006/relationships/hyperlink" Target="https://cdn.shopify.com/s/files/1/0792/5098/1063/files/436e5921f9b84efd188794029f984801525b46fad95772d3c15a87a21db79f7c.jpg?v=1786596964" TargetMode="External" Id="rId111"/><Relationship Type="http://schemas.openxmlformats.org/officeDocument/2006/relationships/hyperlink" Target="https://cdn.shopify.com/s/files/1/0792/5098/1063/files/436e5921f9b84efd188794029f984801525b46fad95772d3c15a87a21db79f7c.jpg?v=1786596964" TargetMode="External" Id="rId112"/><Relationship Type="http://schemas.openxmlformats.org/officeDocument/2006/relationships/hyperlink" Target="https://cdn.shopify.com/s/files/1/0792/5098/1063/files/7ee17d31454eba30bcf0521762be049abe20fe55df9641717b0c05cbd65511ce.jpg?v=1786596964" TargetMode="External" Id="rId113"/><Relationship Type="http://schemas.openxmlformats.org/officeDocument/2006/relationships/hyperlink" Target="https://cdn.shopify.com/s/files/1/0792/5098/1063/files/7ee17d31454eba30bcf0521762be049abe20fe55df9641717b0c05cbd65511ce.jpg?v=1786596964" TargetMode="External" Id="rId114"/><Relationship Type="http://schemas.openxmlformats.org/officeDocument/2006/relationships/hyperlink" Target="https://cdn.shopify.com/s/files/1/0792/5098/1063/files/8549f12737f3bee15ec5ff5f0e389f562e4a12f57f83d476fc1953431b959ea0.jpg?v=1786596964" TargetMode="External" Id="rId115"/><Relationship Type="http://schemas.openxmlformats.org/officeDocument/2006/relationships/hyperlink" Target="https://cdn.shopify.com/s/files/1/0792/5098/1063/files/8549f12737f3bee15ec5ff5f0e389f562e4a12f57f83d476fc1953431b959ea0.jpg?v=1786596964" TargetMode="External" Id="rId116"/><Relationship Type="http://schemas.openxmlformats.org/officeDocument/2006/relationships/hyperlink" Target="https://cdn.shopify.com/s/files/1/0792/5098/1063/files/d519d490e5587d4b52484078e51341d64ed6adf81ffbcef73997e4469eee174c.jpg?v=1786596964" TargetMode="External" Id="rId117"/><Relationship Type="http://schemas.openxmlformats.org/officeDocument/2006/relationships/hyperlink" Target="https://cdn.shopify.com/s/files/1/0792/5098/1063/files/d519d490e5587d4b52484078e51341d64ed6adf81ffbcef73997e4469eee174c.jpg?v=1786596964" TargetMode="External" Id="rId118"/><Relationship Type="http://schemas.openxmlformats.org/officeDocument/2006/relationships/hyperlink" Target="https://cdn.shopify.com/s/files/1/0792/5098/1063/files/ccb855a91f88b48bc6150279c00c849e18b8cc53d574ca2d6eed810aaf99b869_6a60546d-9b59-4ac8-b6f6-5842b3d4d2f8.jpg?v=1786596964" TargetMode="External" Id="rId119"/><Relationship Type="http://schemas.openxmlformats.org/officeDocument/2006/relationships/hyperlink" Target="https://cdn.shopify.com/s/files/1/0792/5098/1063/files/ccb855a91f88b48bc6150279c00c849e18b8cc53d574ca2d6eed810aaf99b869_6a60546d-9b59-4ac8-b6f6-5842b3d4d2f8.jpg?v=1786596964" TargetMode="External" Id="rId120"/><Relationship Type="http://schemas.openxmlformats.org/officeDocument/2006/relationships/hyperlink" Target="https://cdn.shopify.com/s/files/1/0792/5098/1063/files/833e6afd5fbc7b151ab7f92eeb0067af26b00a56ec3166519690569db08b1b56.jpg?v=1786596964" TargetMode="External" Id="rId121"/><Relationship Type="http://schemas.openxmlformats.org/officeDocument/2006/relationships/hyperlink" Target="https://cdn.shopify.com/s/files/1/0792/5098/1063/files/833e6afd5fbc7b151ab7f92eeb0067af26b00a56ec3166519690569db08b1b56.jpg?v=1786596964" TargetMode="External" Id="rId122"/><Relationship Type="http://schemas.openxmlformats.org/officeDocument/2006/relationships/hyperlink" Target="https://cdn.shopify.com/s/files/1/0792/5098/1063/files/cff961958bdb42a227b5dc21167a19c8a59d040b501ecb50723701f9b49aaf52.jpg?v=1786596964" TargetMode="External" Id="rId123"/><Relationship Type="http://schemas.openxmlformats.org/officeDocument/2006/relationships/hyperlink" Target="https://cdn.shopify.com/s/files/1/0792/5098/1063/files/cff961958bdb42a227b5dc21167a19c8a59d040b501ecb50723701f9b49aaf52.jpg?v=1786596964" TargetMode="External" Id="rId124"/><Relationship Type="http://schemas.openxmlformats.org/officeDocument/2006/relationships/hyperlink" Target="https://cdn.shopify.com/s/files/1/0792/5098/1063/files/668fa35dea61c8362a3121e2bd433091aa8dbda948fc90bac71e900f6e974dda.jpg?v=1786596964" TargetMode="External" Id="rId125"/><Relationship Type="http://schemas.openxmlformats.org/officeDocument/2006/relationships/hyperlink" Target="https://cdn.shopify.com/s/files/1/0792/5098/1063/files/668fa35dea61c8362a3121e2bd433091aa8dbda948fc90bac71e900f6e974dda.jpg?v=1786596964" TargetMode="External" Id="rId126"/><Relationship Type="http://schemas.openxmlformats.org/officeDocument/2006/relationships/hyperlink" Target="https://cdn.shopify.com/s/files/1/0792/5098/1063/files/64645971a4bbefd9dd18e9af52e87c04a6682f6a06adfa46b06f5e449480de9f.jpg?v=1786596381" TargetMode="External" Id="rId127"/><Relationship Type="http://schemas.openxmlformats.org/officeDocument/2006/relationships/hyperlink" Target="https://cdn.shopify.com/s/files/1/0792/5098/1063/files/64645971a4bbefd9dd18e9af52e87c04a6682f6a06adfa46b06f5e449480de9f.jpg?v=1786596381" TargetMode="External" Id="rId128"/><Relationship Type="http://schemas.openxmlformats.org/officeDocument/2006/relationships/hyperlink" Target="https://cdn.shopify.com/s/files/1/0792/5098/1063/files/7b62f2168e7a1d45566ff77b84d97885b429d47d303031055b65e26e885bc065.jpg?v=1786596381" TargetMode="External" Id="rId129"/><Relationship Type="http://schemas.openxmlformats.org/officeDocument/2006/relationships/hyperlink" Target="https://cdn.shopify.com/s/files/1/0792/5098/1063/files/7b62f2168e7a1d45566ff77b84d97885b429d47d303031055b65e26e885bc065.jpg?v=1786596381" TargetMode="External" Id="rId130"/><Relationship Type="http://schemas.openxmlformats.org/officeDocument/2006/relationships/hyperlink" Target="https://cdn.shopify.com/s/files/1/0792/5098/1063/files/b8b420c5155e6c391231f22c60f5089338032ec574bb6c287bb37673601cc42b.jpg?v=1786596380" TargetMode="External" Id="rId131"/><Relationship Type="http://schemas.openxmlformats.org/officeDocument/2006/relationships/hyperlink" Target="https://cdn.shopify.com/s/files/1/0792/5098/1063/files/b8b420c5155e6c391231f22c60f5089338032ec574bb6c287bb37673601cc42b.jpg?v=1786596380" TargetMode="External" Id="rId132"/><Relationship Type="http://schemas.openxmlformats.org/officeDocument/2006/relationships/hyperlink" Target="https://cdn.shopify.com/s/files/1/0792/5098/1063/files/ccb855a91f88b48bc6150279c00c849e18b8cc53d574ca2d6eed810aaf99b869.jpg?v=1786596380" TargetMode="External" Id="rId133"/><Relationship Type="http://schemas.openxmlformats.org/officeDocument/2006/relationships/hyperlink" Target="https://cdn.shopify.com/s/files/1/0792/5098/1063/files/ccb855a91f88b48bc6150279c00c849e18b8cc53d574ca2d6eed810aaf99b869.jpg?v=1786596380" TargetMode="External" Id="rId134"/><Relationship Type="http://schemas.openxmlformats.org/officeDocument/2006/relationships/hyperlink" Target="https://cdn.shopify.com/s/files/1/0792/5098/1063/files/903e259e4525b0ce70cd98bd796885f99fb320671827b45012e99c75dc0efd93.jpg?v=1786596380" TargetMode="External" Id="rId135"/><Relationship Type="http://schemas.openxmlformats.org/officeDocument/2006/relationships/hyperlink" Target="https://cdn.shopify.com/s/files/1/0792/5098/1063/files/903e259e4525b0ce70cd98bd796885f99fb320671827b45012e99c75dc0efd93.jpg?v=1786596380" TargetMode="External" Id="rId136"/><Relationship Type="http://schemas.openxmlformats.org/officeDocument/2006/relationships/hyperlink" Target="https://cdn.shopify.com/s/files/1/0792/5098/1063/files/bf8108bf2597520094d30861e395e79ee495ea432cb0a10bcea923947ec3c625.jpg?v=1786596380" TargetMode="External" Id="rId137"/><Relationship Type="http://schemas.openxmlformats.org/officeDocument/2006/relationships/hyperlink" Target="https://cdn.shopify.com/s/files/1/0792/5098/1063/files/bf8108bf2597520094d30861e395e79ee495ea432cb0a10bcea923947ec3c625.jpg?v=1786596380" TargetMode="External" Id="rId138"/><Relationship Type="http://schemas.openxmlformats.org/officeDocument/2006/relationships/hyperlink" Target="https://cdn.shopify.com/s/files/1/0792/5098/1063/files/ce10229836d480dae8c18d3cbc37b394ff23c2752af44c05c46ccd6f4c0545b5.jpg?v=1786596380" TargetMode="External" Id="rId139"/><Relationship Type="http://schemas.openxmlformats.org/officeDocument/2006/relationships/hyperlink" Target="https://cdn.shopify.com/s/files/1/0792/5098/1063/files/ce10229836d480dae8c18d3cbc37b394ff23c2752af44c05c46ccd6f4c0545b5.jpg?v=1786596380" TargetMode="External" Id="rId140"/><Relationship Type="http://schemas.openxmlformats.org/officeDocument/2006/relationships/hyperlink" Target="https://cdn.shopify.com/s/files/1/0792/5098/1063/files/6a0dd75b4493d3d638fea8bc8d2fcf8f0b9466af78c6dee27e819bf409a6d9a4.jpg?v=1786596380" TargetMode="External" Id="rId141"/><Relationship Type="http://schemas.openxmlformats.org/officeDocument/2006/relationships/hyperlink" Target="https://cdn.shopify.com/s/files/1/0792/5098/1063/files/6a0dd75b4493d3d638fea8bc8d2fcf8f0b9466af78c6dee27e819bf409a6d9a4.jpg?v=1786596380" TargetMode="External" Id="rId142"/><Relationship Type="http://schemas.openxmlformats.org/officeDocument/2006/relationships/hyperlink" Target="https://cdn.shopify.com/s/files/1/0792/5098/1063/files/cb9ab8c716536e92af73186f82538ab95214e0a1adde3088ec2a19d3372d6e2f.jpg?v=1786596380" TargetMode="External" Id="rId143"/><Relationship Type="http://schemas.openxmlformats.org/officeDocument/2006/relationships/hyperlink" Target="https://cdn.shopify.com/s/files/1/0792/5098/1063/files/cb9ab8c716536e92af73186f82538ab95214e0a1adde3088ec2a19d3372d6e2f.jpg?v=1786596380" TargetMode="External" Id="rId14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2" customWidth="1" min="3" max="3"/>
  </cols>
  <sheetData>
    <row r="1" ht="32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 ht="42" customHeight="1">
      <c r="A2" s="2" t="inlineStr">
        <is>
          <t>rubric_version</t>
        </is>
      </c>
      <c r="B2" s="2" t="inlineStr">
        <is>
          <t>prompt_qa.md v1.0 / prompt.md v2.4</t>
        </is>
      </c>
      <c r="C2" s="2" t="inlineStr">
        <is>
          <t>Independent QA rubric.</t>
        </is>
      </c>
    </row>
    <row r="3" ht="42" customHeight="1">
      <c r="A3" s="3" t="inlineStr">
        <is>
          <t>source_workbook</t>
        </is>
      </c>
      <c r="B3" s="3" t="inlineStr">
        <is>
          <t>D:\Shopify_Workspace\jeminise_seo\resutls\jeminise.com\20260906_234129\revisions\qa_batch_005_r4\SEO_Product_Optimization_qa_batch_005_r4.xlsx</t>
        </is>
      </c>
      <c r="C3" s="3" t="inlineStr">
        <is>
          <t>Frozen r4 source; not edited.</t>
        </is>
      </c>
    </row>
    <row r="4" ht="42" customHeight="1">
      <c r="A4" s="2" t="inlineStr">
        <is>
          <t>source_sha256_at_freeze_and_handoff</t>
        </is>
      </c>
      <c r="B4" s="2" t="inlineStr">
        <is>
          <t>0FD2DCF9947BA65236485E5905219DFCB7F88EC8964601634EE452AA7F7E537C</t>
        </is>
      </c>
      <c r="C4" s="2" t="inlineStr">
        <is>
          <t>Hash matched snapshot.</t>
        </is>
      </c>
    </row>
    <row r="5" ht="42" customHeight="1">
      <c r="A5" s="3" t="inlineStr">
        <is>
          <t>qa_run_id</t>
        </is>
      </c>
      <c r="B5" s="3" t="inlineStr">
        <is>
          <t>20260908_005000</t>
        </is>
      </c>
      <c r="C5" s="3" t="inlineStr">
        <is>
          <t>Independent re-QA run.</t>
        </is>
      </c>
    </row>
    <row r="6" ht="42" customHeight="1">
      <c r="A6" s="2" t="inlineStr">
        <is>
          <t>batch_id</t>
        </is>
      </c>
      <c r="B6" s="2" t="inlineStr">
        <is>
          <t>qa_batch_005_r4</t>
        </is>
      </c>
      <c r="C6" s="2" t="inlineStr">
        <is>
          <t>Inventory positions 41-50 only.</t>
        </is>
      </c>
    </row>
    <row r="7" ht="42" customHeight="1">
      <c r="A7" s="3" t="inlineStr">
        <is>
          <t>products_checked</t>
        </is>
      </c>
      <c r="B7" s="3" t="n">
        <v>10</v>
      </c>
      <c r="C7" s="3" t="inlineStr">
        <is>
          <t>Official product keys.</t>
        </is>
      </c>
    </row>
    <row r="8" ht="42" customHeight="1">
      <c r="A8" s="2" t="inlineStr">
        <is>
          <t>images_checked</t>
        </is>
      </c>
      <c r="B8" s="2" t="inlineStr">
        <is>
          <t>72/72</t>
        </is>
      </c>
      <c r="C8" s="2" t="inlineStr">
        <is>
          <t>Full image coverage.</t>
        </is>
      </c>
    </row>
    <row r="9" ht="42" customHeight="1">
      <c r="A9" s="3" t="inlineStr">
        <is>
          <t>batch_final_score</t>
        </is>
      </c>
      <c r="B9" s="3">
        <f>AVERAGE('QA_Products'!$K$2:$K$11)</f>
        <v/>
      </c>
      <c r="C9" s="3" t="inlineStr">
        <is>
          <t>Average product score.</t>
        </is>
      </c>
    </row>
    <row r="10" ht="42" customHeight="1">
      <c r="A10" s="2" t="inlineStr">
        <is>
          <t>batch_result</t>
        </is>
      </c>
      <c r="B10" s="2">
        <f>IF(COUNTIF('QA_Products'!$L$2:$L$11,"QA_PASS")=ROWS('QA_Products'!$L$2:$L$11),"PASSED","NOT_PASSED")</f>
        <v/>
      </c>
      <c r="C10" s="2" t="inlineStr">
        <is>
          <t>Every product must pass.</t>
        </is>
      </c>
    </row>
    <row r="11" ht="42" customHeight="1">
      <c r="A11" s="3" t="inlineStr">
        <is>
          <t>status_counts</t>
        </is>
      </c>
      <c r="B11" s="3">
        <f>"PASS="&amp;COUNTIF('QA_Products'!$L$2:$L$11,"QA_PASS")&amp;"; REVISE="&amp;COUNTIF('QA_Products'!$L$2:$L$11,"QA_REVISE")&amp;"; FAIL="&amp;COUNTIF('QA_Products'!$L$2:$L$11,"QA_FAIL")&amp;"; INCOMPLETE="&amp;COUNTIF('QA_Products'!$L$2:$L$11,"QA_INCOMPLETE")</f>
        <v/>
      </c>
      <c r="C11" s="3" t="inlineStr">
        <is>
          <t>Status counts.</t>
        </is>
      </c>
    </row>
    <row r="12" ht="42" customHeight="1">
      <c r="A12" s="2" t="inlineStr">
        <is>
          <t>issue_counts</t>
        </is>
      </c>
      <c r="B12" s="2" t="inlineStr">
        <is>
          <t>{"LIMITATION": 1}</t>
        </is>
      </c>
      <c r="C12" s="2" t="inlineStr">
        <is>
          <t>Historical limitation only.</t>
        </is>
      </c>
    </row>
    <row r="13" ht="42" customHeight="1">
      <c r="A13" s="3" t="inlineStr">
        <is>
          <t>admin_export</t>
        </is>
      </c>
      <c r="B13" s="3" t="inlineStr">
        <is>
          <t>products_export_1.csv; 72/72 image-alt matches</t>
        </is>
      </c>
      <c r="C13" s="3" t="inlineStr">
        <is>
          <t>R4 baseline.</t>
        </is>
      </c>
    </row>
    <row r="14" ht="42" customHeight="1">
      <c r="A14" s="2" t="inlineStr">
        <is>
          <t>xlsx_status</t>
        </is>
      </c>
      <c r="B14" s="2" t="inlineStr">
        <is>
          <t>COMPLETE</t>
        </is>
      </c>
      <c r="C14" s="2" t="inlineStr">
        <is>
          <t>Five-sheet QA workbook.</t>
        </is>
      </c>
    </row>
  </sheetData>
  <autoFilter ref="A1:C14"/>
  <printOptions horizontalCentered="0"/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W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38" customWidth="1" min="3" max="3"/>
    <col width="24" customWidth="1" min="4" max="4"/>
    <col width="15" customWidth="1" min="5" max="5"/>
    <col width="11" customWidth="1" min="6" max="6"/>
    <col width="24" customWidth="1" min="7" max="7"/>
    <col width="24" customWidth="1" min="8" max="8"/>
    <col width="19" customWidth="1" min="9" max="9"/>
    <col width="19" customWidth="1" min="10" max="10"/>
    <col width="24" customWidth="1" min="11" max="11"/>
    <col width="20" customWidth="1" min="12" max="12"/>
    <col width="38" customWidth="1" min="13" max="13"/>
    <col width="17" customWidth="1" min="14" max="14"/>
    <col width="16" customWidth="1" min="15" max="15"/>
    <col width="24" customWidth="1" min="16" max="16"/>
    <col width="16" customWidth="1" min="17" max="17"/>
    <col width="24" customWidth="1" min="18" max="18"/>
    <col width="24" customWidth="1" min="19" max="19"/>
    <col width="24" customWidth="1" min="20" max="20"/>
    <col width="24" customWidth="1" min="21" max="21"/>
    <col width="42" customWidth="1" min="22" max="22"/>
    <col width="42" customWidth="1" min="23" max="23"/>
  </cols>
  <sheetData>
    <row r="1" ht="32" customHeight="1">
      <c r="A1" s="1" t="inlineStr">
        <is>
          <t>inventory_position</t>
        </is>
      </c>
      <c r="B1" s="1" t="inlineStr">
        <is>
          <t>product_key</t>
        </is>
      </c>
      <c r="C1" s="1" t="inlineStr">
        <is>
          <t>url</t>
        </is>
      </c>
      <c r="D1" s="1" t="inlineStr">
        <is>
          <t>handle</t>
        </is>
      </c>
      <c r="E1" s="1" t="inlineStr">
        <is>
          <t>product_id</t>
        </is>
      </c>
      <c r="F1" s="1" t="inlineStr">
        <is>
          <t>revision</t>
        </is>
      </c>
      <c r="G1" s="1" t="inlineStr">
        <is>
          <t>verified_points</t>
        </is>
      </c>
      <c r="H1" s="1" t="inlineStr">
        <is>
          <t>assessed_weight</t>
        </is>
      </c>
      <c r="I1" s="1" t="inlineStr">
        <is>
          <t>score_lower_bound</t>
        </is>
      </c>
      <c r="J1" s="1" t="inlineStr">
        <is>
          <t>score_upper_bound</t>
        </is>
      </c>
      <c r="K1" s="1" t="inlineStr">
        <is>
          <t>final_score</t>
        </is>
      </c>
      <c r="L1" s="1" t="inlineStr">
        <is>
          <t>qa_status</t>
        </is>
      </c>
      <c r="M1" s="1" t="inlineStr">
        <is>
          <t>keyword_evidence_level</t>
        </is>
      </c>
      <c r="N1" s="1" t="inlineStr">
        <is>
          <t>images_expected</t>
        </is>
      </c>
      <c r="O1" s="1" t="inlineStr">
        <is>
          <t>images_checked</t>
        </is>
      </c>
      <c r="P1" s="1" t="inlineStr">
        <is>
          <t>image_inventory_complete</t>
        </is>
      </c>
      <c r="Q1" s="1" t="inlineStr">
        <is>
          <t>image_coverage</t>
        </is>
      </c>
      <c r="R1" s="1" t="inlineStr">
        <is>
          <t>critical_count</t>
        </is>
      </c>
      <c r="S1" s="1" t="inlineStr">
        <is>
          <t>major_count</t>
        </is>
      </c>
      <c r="T1" s="1" t="inlineStr">
        <is>
          <t>minor_count</t>
        </is>
      </c>
      <c r="U1" s="1" t="inlineStr">
        <is>
          <t>limitation_count</t>
        </is>
      </c>
      <c r="V1" s="1" t="inlineStr">
        <is>
          <t>issue_refs</t>
        </is>
      </c>
      <c r="W1" s="1" t="inlineStr">
        <is>
          <t>evidence_refs</t>
        </is>
      </c>
    </row>
    <row r="2" ht="42" customHeight="1">
      <c r="A2" s="2" t="n">
        <v>41</v>
      </c>
      <c r="B2" s="2" t="inlineStr">
        <is>
          <t>jeminise.com+custom-american-sports-football-player-running-with-ball-comforter-891aa5a660-891aa5a660</t>
        </is>
      </c>
      <c r="C2" s="4" t="inlineStr">
        <is>
          <t>https://jeminise.com/products/custom-american-sports-football-player-running-with-ball-comforter-891aa5a660-891aa5a660</t>
        </is>
      </c>
      <c r="D2" s="2" t="inlineStr">
        <is>
          <t>custom-american-sports-football-player-running-with-ball-comforter-891aa5a660-891aa5a660</t>
        </is>
      </c>
      <c r="E2" s="2" t="inlineStr">
        <is>
          <t>8834755821767</t>
        </is>
      </c>
      <c r="F2" s="2" t="inlineStr">
        <is>
          <t>r4</t>
        </is>
      </c>
      <c r="G2" s="5">
        <f>SUMIF('QA_Criteria'!$A$2:$A$111,B2,'QA_Criteria'!$F$2:$F$111)</f>
        <v/>
      </c>
      <c r="H2" s="5">
        <f>SUMIF('QA_Criteria'!$A$2:$A$111,B2,'QA_Criteria'!$G$2:$G$111)</f>
        <v/>
      </c>
      <c r="I2" s="5">
        <f>G2</f>
        <v/>
      </c>
      <c r="J2" s="5">
        <f>G2+(100-H2)</f>
        <v/>
      </c>
      <c r="K2" s="5">
        <f>IF(AND(H2=100,Q2=1,P2=TRUE),G2,"")</f>
        <v/>
      </c>
      <c r="L2" s="2">
        <f>IF(R2&gt;0,"QA_FAIL",IF(K2="","QA_INCOMPLETE",IF(K2&lt;70,"QA_FAIL",IF(OR(K2&lt;85,S2&gt;0),"QA_REVISE","QA_PASS"))))</f>
        <v/>
      </c>
      <c r="M2" s="2" t="inlineStr">
        <is>
          <t>SERP_ONLY</t>
        </is>
      </c>
      <c r="N2" s="2" t="n">
        <v>6</v>
      </c>
      <c r="O2" s="2" t="n">
        <v>6</v>
      </c>
      <c r="P2" s="2" t="b">
        <v>1</v>
      </c>
      <c r="Q2" s="6" t="n">
        <v>1</v>
      </c>
      <c r="R2" s="2">
        <f>COUNTIFS('QA_Issues'!$B$2:$B$2,B2,'QA_Issues'!$D$2:$D$2,"CRITICAL")</f>
        <v/>
      </c>
      <c r="S2" s="2">
        <f>COUNTIFS('QA_Issues'!$B$2:$B$2,B2,'QA_Issues'!$D$2:$D$2,"MAJOR")</f>
        <v/>
      </c>
      <c r="T2" s="2">
        <f>COUNTIFS('QA_Issues'!$B$2:$B$2,B2,'QA_Issues'!$D$2:$D$2,"MINOR")</f>
        <v/>
      </c>
      <c r="U2" s="2">
        <f>COUNTIFS('QA_Issues'!$B$2:$B$2,B2,'QA_Issues'!$D$2:$D$2,"LIMITATION")</f>
        <v/>
      </c>
      <c r="V2" s="2" t="inlineStr">
        <is>
          <t>[]</t>
        </is>
      </c>
      <c r="W2" s="2" t="inlineStr">
        <is>
          <t>["evidence_batch_005_041", "https://jeminise.com/products/custom-american-sports-football-player-running-with-ball-comforter-891aa5a660-891aa5a660", "serp_qa_041"]</t>
        </is>
      </c>
    </row>
    <row r="3" ht="42" customHeight="1">
      <c r="A3" s="3" t="n">
        <v>42</v>
      </c>
      <c r="B3" s="3" t="inlineStr">
        <is>
          <t>jeminise.com+custom-basketball-players-blanket-name-number-76fdad09b6-76fdad09b6</t>
        </is>
      </c>
      <c r="C3" s="4" t="inlineStr">
        <is>
          <t>https://jeminise.com/products/custom-basketball-players-blanket-name-number-76fdad09b6-76fdad09b6</t>
        </is>
      </c>
      <c r="D3" s="3" t="inlineStr">
        <is>
          <t>custom-basketball-players-blanket-name-number-76fdad09b6-76fdad09b6</t>
        </is>
      </c>
      <c r="E3" s="3" t="inlineStr">
        <is>
          <t>8834346778823</t>
        </is>
      </c>
      <c r="F3" s="3" t="inlineStr">
        <is>
          <t>r4</t>
        </is>
      </c>
      <c r="G3" s="7">
        <f>SUMIF('QA_Criteria'!$A$2:$A$111,B3,'QA_Criteria'!$F$2:$F$111)</f>
        <v/>
      </c>
      <c r="H3" s="7">
        <f>SUMIF('QA_Criteria'!$A$2:$A$111,B3,'QA_Criteria'!$G$2:$G$111)</f>
        <v/>
      </c>
      <c r="I3" s="7">
        <f>G3</f>
        <v/>
      </c>
      <c r="J3" s="7">
        <f>G3+(100-H3)</f>
        <v/>
      </c>
      <c r="K3" s="7">
        <f>IF(AND(H3=100,Q3=1,P3=TRUE),G3,"")</f>
        <v/>
      </c>
      <c r="L3" s="3">
        <f>IF(R3&gt;0,"QA_FAIL",IF(K3="","QA_INCOMPLETE",IF(K3&lt;70,"QA_FAIL",IF(OR(K3&lt;85,S3&gt;0),"QA_REVISE","QA_PASS"))))</f>
        <v/>
      </c>
      <c r="M3" s="3" t="inlineStr">
        <is>
          <t>SERP_ONLY</t>
        </is>
      </c>
      <c r="N3" s="3" t="n">
        <v>8</v>
      </c>
      <c r="O3" s="3" t="n">
        <v>8</v>
      </c>
      <c r="P3" s="3" t="b">
        <v>1</v>
      </c>
      <c r="Q3" s="8" t="n">
        <v>1</v>
      </c>
      <c r="R3" s="3">
        <f>COUNTIFS('QA_Issues'!$B$2:$B$2,B3,'QA_Issues'!$D$2:$D$2,"CRITICAL")</f>
        <v/>
      </c>
      <c r="S3" s="3">
        <f>COUNTIFS('QA_Issues'!$B$2:$B$2,B3,'QA_Issues'!$D$2:$D$2,"MAJOR")</f>
        <v/>
      </c>
      <c r="T3" s="3">
        <f>COUNTIFS('QA_Issues'!$B$2:$B$2,B3,'QA_Issues'!$D$2:$D$2,"MINOR")</f>
        <v/>
      </c>
      <c r="U3" s="3">
        <f>COUNTIFS('QA_Issues'!$B$2:$B$2,B3,'QA_Issues'!$D$2:$D$2,"LIMITATION")</f>
        <v/>
      </c>
      <c r="V3" s="3" t="inlineStr">
        <is>
          <t>[]</t>
        </is>
      </c>
      <c r="W3" s="3" t="inlineStr">
        <is>
          <t>["evidence_batch_005_042", "https://jeminise.com/products/custom-basketball-players-blanket-name-number-76fdad09b6-76fdad09b6", "serp_qa_042"]</t>
        </is>
      </c>
    </row>
    <row r="4" ht="42" customHeight="1">
      <c r="A4" s="2" t="n">
        <v>43</v>
      </c>
      <c r="B4" s="2" t="inlineStr">
        <is>
          <t>jeminise.com+custom-bible-verse-photo-blanket-personalized-christian-gift-for-her</t>
        </is>
      </c>
      <c r="C4" s="4" t="inlineStr">
        <is>
          <t>https://jeminise.com/products/custom-bible-verse-photo-blanket-personalized-christian-gift-for-her</t>
        </is>
      </c>
      <c r="D4" s="2" t="inlineStr">
        <is>
          <t>custom-bible-verse-photo-blanket-personalized-christian-gift-for-her</t>
        </is>
      </c>
      <c r="E4" s="2" t="inlineStr">
        <is>
          <t>8859763507399</t>
        </is>
      </c>
      <c r="F4" s="2" t="inlineStr">
        <is>
          <t>r4</t>
        </is>
      </c>
      <c r="G4" s="5">
        <f>SUMIF('QA_Criteria'!$A$2:$A$111,B4,'QA_Criteria'!$F$2:$F$111)</f>
        <v/>
      </c>
      <c r="H4" s="5">
        <f>SUMIF('QA_Criteria'!$A$2:$A$111,B4,'QA_Criteria'!$G$2:$G$111)</f>
        <v/>
      </c>
      <c r="I4" s="5">
        <f>G4</f>
        <v/>
      </c>
      <c r="J4" s="5">
        <f>G4+(100-H4)</f>
        <v/>
      </c>
      <c r="K4" s="5">
        <f>IF(AND(H4=100,Q4=1,P4=TRUE),G4,"")</f>
        <v/>
      </c>
      <c r="L4" s="2">
        <f>IF(R4&gt;0,"QA_FAIL",IF(K4="","QA_INCOMPLETE",IF(K4&lt;70,"QA_FAIL",IF(OR(K4&lt;85,S4&gt;0),"QA_REVISE","QA_PASS"))))</f>
        <v/>
      </c>
      <c r="M4" s="2" t="inlineStr">
        <is>
          <t>SERP_ONLY</t>
        </is>
      </c>
      <c r="N4" s="2" t="n">
        <v>7</v>
      </c>
      <c r="O4" s="2" t="n">
        <v>7</v>
      </c>
      <c r="P4" s="2" t="b">
        <v>1</v>
      </c>
      <c r="Q4" s="6" t="n">
        <v>1</v>
      </c>
      <c r="R4" s="2">
        <f>COUNTIFS('QA_Issues'!$B$2:$B$2,B4,'QA_Issues'!$D$2:$D$2,"CRITICAL")</f>
        <v/>
      </c>
      <c r="S4" s="2">
        <f>COUNTIFS('QA_Issues'!$B$2:$B$2,B4,'QA_Issues'!$D$2:$D$2,"MAJOR")</f>
        <v/>
      </c>
      <c r="T4" s="2">
        <f>COUNTIFS('QA_Issues'!$B$2:$B$2,B4,'QA_Issues'!$D$2:$D$2,"MINOR")</f>
        <v/>
      </c>
      <c r="U4" s="2">
        <f>COUNTIFS('QA_Issues'!$B$2:$B$2,B4,'QA_Issues'!$D$2:$D$2,"LIMITATION")</f>
        <v/>
      </c>
      <c r="V4" s="2" t="inlineStr">
        <is>
          <t>[]</t>
        </is>
      </c>
      <c r="W4" s="2" t="inlineStr">
        <is>
          <t>["evidence_batch_005_043", "https://jeminise.com/products/custom-bible-verse-photo-blanket-personalized-christian-gift-for-her", "serp_qa_043"]</t>
        </is>
      </c>
    </row>
    <row r="5" ht="42" customHeight="1">
      <c r="A5" s="3" t="n">
        <v>44</v>
      </c>
      <c r="B5" s="3" t="inlineStr">
        <is>
          <t>jeminise.com+custom-cardinals-on-flowering-branches-quilt-47d5316f3d-47d5316f3d</t>
        </is>
      </c>
      <c r="C5" s="4" t="inlineStr">
        <is>
          <t>https://jeminise.com/products/custom-cardinals-on-flowering-branches-quilt-47d5316f3d-47d5316f3d</t>
        </is>
      </c>
      <c r="D5" s="3" t="inlineStr">
        <is>
          <t>custom-cardinals-on-flowering-branches-quilt-47d5316f3d-47d5316f3d</t>
        </is>
      </c>
      <c r="E5" s="3" t="inlineStr">
        <is>
          <t>8834723807431</t>
        </is>
      </c>
      <c r="F5" s="3" t="inlineStr">
        <is>
          <t>r4</t>
        </is>
      </c>
      <c r="G5" s="7">
        <f>SUMIF('QA_Criteria'!$A$2:$A$111,B5,'QA_Criteria'!$F$2:$F$111)</f>
        <v/>
      </c>
      <c r="H5" s="7">
        <f>SUMIF('QA_Criteria'!$A$2:$A$111,B5,'QA_Criteria'!$G$2:$G$111)</f>
        <v/>
      </c>
      <c r="I5" s="7">
        <f>G5</f>
        <v/>
      </c>
      <c r="J5" s="7">
        <f>G5+(100-H5)</f>
        <v/>
      </c>
      <c r="K5" s="7">
        <f>IF(AND(H5=100,Q5=1,P5=TRUE),G5,"")</f>
        <v/>
      </c>
      <c r="L5" s="3">
        <f>IF(R5&gt;0,"QA_FAIL",IF(K5="","QA_INCOMPLETE",IF(K5&lt;70,"QA_FAIL",IF(OR(K5&lt;85,S5&gt;0),"QA_REVISE","QA_PASS"))))</f>
        <v/>
      </c>
      <c r="M5" s="3" t="inlineStr">
        <is>
          <t>SERP_ONLY</t>
        </is>
      </c>
      <c r="N5" s="3" t="n">
        <v>5</v>
      </c>
      <c r="O5" s="3" t="n">
        <v>5</v>
      </c>
      <c r="P5" s="3" t="b">
        <v>1</v>
      </c>
      <c r="Q5" s="8" t="n">
        <v>1</v>
      </c>
      <c r="R5" s="3">
        <f>COUNTIFS('QA_Issues'!$B$2:$B$2,B5,'QA_Issues'!$D$2:$D$2,"CRITICAL")</f>
        <v/>
      </c>
      <c r="S5" s="3">
        <f>COUNTIFS('QA_Issues'!$B$2:$B$2,B5,'QA_Issues'!$D$2:$D$2,"MAJOR")</f>
        <v/>
      </c>
      <c r="T5" s="3">
        <f>COUNTIFS('QA_Issues'!$B$2:$B$2,B5,'QA_Issues'!$D$2:$D$2,"MINOR")</f>
        <v/>
      </c>
      <c r="U5" s="3">
        <f>COUNTIFS('QA_Issues'!$B$2:$B$2,B5,'QA_Issues'!$D$2:$D$2,"LIMITATION")</f>
        <v/>
      </c>
      <c r="V5" s="3" t="inlineStr">
        <is>
          <t>[]</t>
        </is>
      </c>
      <c r="W5" s="3" t="inlineStr">
        <is>
          <t>["evidence_batch_005_044", "https://jeminise.com/products/custom-cardinals-on-flowering-branches-quilt-47d5316f3d-47d5316f3d", "serp_qa_044"]</t>
        </is>
      </c>
    </row>
    <row r="6" ht="42" customHeight="1">
      <c r="A6" s="2" t="n">
        <v>45</v>
      </c>
      <c r="B6" s="2" t="inlineStr">
        <is>
          <t>jeminise.com+custom-tree-of-life-quilt-set-yggdrasil-bedding-019f2b38a4-019f2b38a4</t>
        </is>
      </c>
      <c r="C6" s="4" t="inlineStr">
        <is>
          <t>https://jeminise.com/products/custom-tree-of-life-quilt-set-yggdrasil-bedding-019f2b38a4-019f2b38a4</t>
        </is>
      </c>
      <c r="D6" s="2" t="inlineStr">
        <is>
          <t>custom-tree-of-life-quilt-set-yggdrasil-bedding-019f2b38a4-019f2b38a4</t>
        </is>
      </c>
      <c r="E6" s="2" t="inlineStr">
        <is>
          <t>8833353515207</t>
        </is>
      </c>
      <c r="F6" s="2" t="inlineStr">
        <is>
          <t>r4</t>
        </is>
      </c>
      <c r="G6" s="5">
        <f>SUMIF('QA_Criteria'!$A$2:$A$111,B6,'QA_Criteria'!$F$2:$F$111)</f>
        <v/>
      </c>
      <c r="H6" s="5">
        <f>SUMIF('QA_Criteria'!$A$2:$A$111,B6,'QA_Criteria'!$G$2:$G$111)</f>
        <v/>
      </c>
      <c r="I6" s="5">
        <f>G6</f>
        <v/>
      </c>
      <c r="J6" s="5">
        <f>G6+(100-H6)</f>
        <v/>
      </c>
      <c r="K6" s="5">
        <f>IF(AND(H6=100,Q6=1,P6=TRUE),G6,"")</f>
        <v/>
      </c>
      <c r="L6" s="2">
        <f>IF(R6&gt;0,"QA_FAIL",IF(K6="","QA_INCOMPLETE",IF(K6&lt;70,"QA_FAIL",IF(OR(K6&lt;85,S6&gt;0),"QA_REVISE","QA_PASS"))))</f>
        <v/>
      </c>
      <c r="M6" s="2" t="inlineStr">
        <is>
          <t>SERP_ONLY</t>
        </is>
      </c>
      <c r="N6" s="2" t="n">
        <v>7</v>
      </c>
      <c r="O6" s="2" t="n">
        <v>7</v>
      </c>
      <c r="P6" s="2" t="b">
        <v>1</v>
      </c>
      <c r="Q6" s="6" t="n">
        <v>1</v>
      </c>
      <c r="R6" s="2">
        <f>COUNTIFS('QA_Issues'!$B$2:$B$2,B6,'QA_Issues'!$D$2:$D$2,"CRITICAL")</f>
        <v/>
      </c>
      <c r="S6" s="2">
        <f>COUNTIFS('QA_Issues'!$B$2:$B$2,B6,'QA_Issues'!$D$2:$D$2,"MAJOR")</f>
        <v/>
      </c>
      <c r="T6" s="2">
        <f>COUNTIFS('QA_Issues'!$B$2:$B$2,B6,'QA_Issues'!$D$2:$D$2,"MINOR")</f>
        <v/>
      </c>
      <c r="U6" s="2">
        <f>COUNTIFS('QA_Issues'!$B$2:$B$2,B6,'QA_Issues'!$D$2:$D$2,"LIMITATION")</f>
        <v/>
      </c>
      <c r="V6" s="2" t="inlineStr">
        <is>
          <t>[]</t>
        </is>
      </c>
      <c r="W6" s="2" t="inlineStr">
        <is>
          <t>["evidence_batch_005_045", "https://jeminise.com/products/custom-tree-of-life-quilt-set-yggdrasil-bedding-019f2b38a4-019f2b38a4", "serp_qa_045"]</t>
        </is>
      </c>
    </row>
    <row r="7" ht="42" customHeight="1">
      <c r="A7" s="3" t="n">
        <v>46</v>
      </c>
      <c r="B7" s="3" t="inlineStr">
        <is>
          <t>jeminise.com+custom-tree-of-life-quilt-set-yggdrasil-celtic-patterns-908827b1df-908827b1df</t>
        </is>
      </c>
      <c r="C7" s="4" t="inlineStr">
        <is>
          <t>https://jeminise.com/products/custom-tree-of-life-quilt-set-yggdrasil-celtic-patterns-908827b1df-908827b1df</t>
        </is>
      </c>
      <c r="D7" s="3" t="inlineStr">
        <is>
          <t>custom-tree-of-life-quilt-set-yggdrasil-celtic-patterns-908827b1df-908827b1df</t>
        </is>
      </c>
      <c r="E7" s="3" t="inlineStr">
        <is>
          <t>8833348534471</t>
        </is>
      </c>
      <c r="F7" s="3" t="inlineStr">
        <is>
          <t>r4</t>
        </is>
      </c>
      <c r="G7" s="7">
        <f>SUMIF('QA_Criteria'!$A$2:$A$111,B7,'QA_Criteria'!$F$2:$F$111)</f>
        <v/>
      </c>
      <c r="H7" s="7">
        <f>SUMIF('QA_Criteria'!$A$2:$A$111,B7,'QA_Criteria'!$G$2:$G$111)</f>
        <v/>
      </c>
      <c r="I7" s="7">
        <f>G7</f>
        <v/>
      </c>
      <c r="J7" s="7">
        <f>G7+(100-H7)</f>
        <v/>
      </c>
      <c r="K7" s="7">
        <f>IF(AND(H7=100,Q7=1,P7=TRUE),G7,"")</f>
        <v/>
      </c>
      <c r="L7" s="3">
        <f>IF(R7&gt;0,"QA_FAIL",IF(K7="","QA_INCOMPLETE",IF(K7&lt;70,"QA_FAIL",IF(OR(K7&lt;85,S7&gt;0),"QA_REVISE","QA_PASS"))))</f>
        <v/>
      </c>
      <c r="M7" s="3" t="inlineStr">
        <is>
          <t>SERP_ONLY</t>
        </is>
      </c>
      <c r="N7" s="3" t="n">
        <v>7</v>
      </c>
      <c r="O7" s="3" t="n">
        <v>7</v>
      </c>
      <c r="P7" s="3" t="b">
        <v>1</v>
      </c>
      <c r="Q7" s="8" t="n">
        <v>1</v>
      </c>
      <c r="R7" s="3">
        <f>COUNTIFS('QA_Issues'!$B$2:$B$2,B7,'QA_Issues'!$D$2:$D$2,"CRITICAL")</f>
        <v/>
      </c>
      <c r="S7" s="3">
        <f>COUNTIFS('QA_Issues'!$B$2:$B$2,B7,'QA_Issues'!$D$2:$D$2,"MAJOR")</f>
        <v/>
      </c>
      <c r="T7" s="3">
        <f>COUNTIFS('QA_Issues'!$B$2:$B$2,B7,'QA_Issues'!$D$2:$D$2,"MINOR")</f>
        <v/>
      </c>
      <c r="U7" s="3">
        <f>COUNTIFS('QA_Issues'!$B$2:$B$2,B7,'QA_Issues'!$D$2:$D$2,"LIMITATION")</f>
        <v/>
      </c>
      <c r="V7" s="3" t="inlineStr">
        <is>
          <t>[]</t>
        </is>
      </c>
      <c r="W7" s="3" t="inlineStr">
        <is>
          <t>["evidence_batch_005_046", "https://jeminise.com/products/custom-tree-of-life-quilt-set-yggdrasil-celtic-patterns-908827b1df-908827b1df", "serp_qa_046"]</t>
        </is>
      </c>
    </row>
    <row r="8" ht="42" customHeight="1">
      <c r="A8" s="2" t="n">
        <v>47</v>
      </c>
      <c r="B8" s="2" t="inlineStr">
        <is>
          <t>jeminise.com+custom-tree-of-life-quilt-set-yggdrasil-bedding-5048da8f29-5048da8f29</t>
        </is>
      </c>
      <c r="C8" s="4" t="inlineStr">
        <is>
          <t>https://jeminise.com/products/custom-tree-of-life-quilt-set-yggdrasil-bedding-5048da8f29-5048da8f29</t>
        </is>
      </c>
      <c r="D8" s="2" t="inlineStr">
        <is>
          <t>custom-tree-of-life-quilt-set-yggdrasil-bedding-5048da8f29-5048da8f29</t>
        </is>
      </c>
      <c r="E8" s="2" t="inlineStr">
        <is>
          <t>8833351942343</t>
        </is>
      </c>
      <c r="F8" s="2" t="inlineStr">
        <is>
          <t>r4</t>
        </is>
      </c>
      <c r="G8" s="5">
        <f>SUMIF('QA_Criteria'!$A$2:$A$111,B8,'QA_Criteria'!$F$2:$F$111)</f>
        <v/>
      </c>
      <c r="H8" s="5">
        <f>SUMIF('QA_Criteria'!$A$2:$A$111,B8,'QA_Criteria'!$G$2:$G$111)</f>
        <v/>
      </c>
      <c r="I8" s="5">
        <f>G8</f>
        <v/>
      </c>
      <c r="J8" s="5">
        <f>G8+(100-H8)</f>
        <v/>
      </c>
      <c r="K8" s="5">
        <f>IF(AND(H8=100,Q8=1,P8=TRUE),G8,"")</f>
        <v/>
      </c>
      <c r="L8" s="2">
        <f>IF(R8&gt;0,"QA_FAIL",IF(K8="","QA_INCOMPLETE",IF(K8&lt;70,"QA_FAIL",IF(OR(K8&lt;85,S8&gt;0),"QA_REVISE","QA_PASS"))))</f>
        <v/>
      </c>
      <c r="M8" s="2" t="inlineStr">
        <is>
          <t>SERP_ONLY</t>
        </is>
      </c>
      <c r="N8" s="2" t="n">
        <v>7</v>
      </c>
      <c r="O8" s="2" t="n">
        <v>7</v>
      </c>
      <c r="P8" s="2" t="b">
        <v>1</v>
      </c>
      <c r="Q8" s="6" t="n">
        <v>1</v>
      </c>
      <c r="R8" s="2">
        <f>COUNTIFS('QA_Issues'!$B$2:$B$2,B8,'QA_Issues'!$D$2:$D$2,"CRITICAL")</f>
        <v/>
      </c>
      <c r="S8" s="2">
        <f>COUNTIFS('QA_Issues'!$B$2:$B$2,B8,'QA_Issues'!$D$2:$D$2,"MAJOR")</f>
        <v/>
      </c>
      <c r="T8" s="2">
        <f>COUNTIFS('QA_Issues'!$B$2:$B$2,B8,'QA_Issues'!$D$2:$D$2,"MINOR")</f>
        <v/>
      </c>
      <c r="U8" s="2">
        <f>COUNTIFS('QA_Issues'!$B$2:$B$2,B8,'QA_Issues'!$D$2:$D$2,"LIMITATION")</f>
        <v/>
      </c>
      <c r="V8" s="2" t="inlineStr">
        <is>
          <t>[]</t>
        </is>
      </c>
      <c r="W8" s="2" t="inlineStr">
        <is>
          <t>["evidence_batch_005_047", "https://jeminise.com/products/custom-tree-of-life-quilt-set-yggdrasil-bedding-5048da8f29-5048da8f29", "serp_qa_047"]</t>
        </is>
      </c>
    </row>
    <row r="9" ht="42" customHeight="1">
      <c r="A9" s="3" t="n">
        <v>48</v>
      </c>
      <c r="B9" s="3" t="inlineStr">
        <is>
          <t>jeminise.com+custom-christian-faith-semi-truck-in-front-of-large-comforter-057143b1f8-057143b1f8</t>
        </is>
      </c>
      <c r="C9" s="4" t="inlineStr">
        <is>
          <t>https://jeminise.com/products/custom-christian-faith-semi-truck-in-front-of-large-comforter-057143b1f8-057143b1f8</t>
        </is>
      </c>
      <c r="D9" s="3" t="inlineStr">
        <is>
          <t>custom-christian-faith-semi-truck-in-front-of-large-comforter-057143b1f8-057143b1f8</t>
        </is>
      </c>
      <c r="E9" s="3" t="inlineStr">
        <is>
          <t>8835552805063</t>
        </is>
      </c>
      <c r="F9" s="3" t="inlineStr">
        <is>
          <t>r4</t>
        </is>
      </c>
      <c r="G9" s="7">
        <f>SUMIF('QA_Criteria'!$A$2:$A$111,B9,'QA_Criteria'!$F$2:$F$111)</f>
        <v/>
      </c>
      <c r="H9" s="7">
        <f>SUMIF('QA_Criteria'!$A$2:$A$111,B9,'QA_Criteria'!$G$2:$G$111)</f>
        <v/>
      </c>
      <c r="I9" s="7">
        <f>G9</f>
        <v/>
      </c>
      <c r="J9" s="7">
        <f>G9+(100-H9)</f>
        <v/>
      </c>
      <c r="K9" s="7">
        <f>IF(AND(H9=100,Q9=1,P9=TRUE),G9,"")</f>
        <v/>
      </c>
      <c r="L9" s="3">
        <f>IF(R9&gt;0,"QA_FAIL",IF(K9="","QA_INCOMPLETE",IF(K9&lt;70,"QA_FAIL",IF(OR(K9&lt;85,S9&gt;0),"QA_REVISE","QA_PASS"))))</f>
        <v/>
      </c>
      <c r="M9" s="3" t="inlineStr">
        <is>
          <t>SERP_ONLY</t>
        </is>
      </c>
      <c r="N9" s="3" t="n">
        <v>7</v>
      </c>
      <c r="O9" s="3" t="n">
        <v>7</v>
      </c>
      <c r="P9" s="3" t="b">
        <v>1</v>
      </c>
      <c r="Q9" s="8" t="n">
        <v>1</v>
      </c>
      <c r="R9" s="3">
        <f>COUNTIFS('QA_Issues'!$B$2:$B$2,B9,'QA_Issues'!$D$2:$D$2,"CRITICAL")</f>
        <v/>
      </c>
      <c r="S9" s="3">
        <f>COUNTIFS('QA_Issues'!$B$2:$B$2,B9,'QA_Issues'!$D$2:$D$2,"MAJOR")</f>
        <v/>
      </c>
      <c r="T9" s="3">
        <f>COUNTIFS('QA_Issues'!$B$2:$B$2,B9,'QA_Issues'!$D$2:$D$2,"MINOR")</f>
        <v/>
      </c>
      <c r="U9" s="3">
        <f>COUNTIFS('QA_Issues'!$B$2:$B$2,B9,'QA_Issues'!$D$2:$D$2,"LIMITATION")</f>
        <v/>
      </c>
      <c r="V9" s="3" t="inlineStr">
        <is>
          <t>[]</t>
        </is>
      </c>
      <c r="W9" s="3" t="inlineStr">
        <is>
          <t>["evidence_batch_005_048", "https://jeminise.com/products/custom-christian-faith-semi-truck-in-front-of-large-comforter-057143b1f8-057143b1f8", "serp_qa_048"]</t>
        </is>
      </c>
    </row>
    <row r="10" ht="42" customHeight="1">
      <c r="A10" s="2" t="n">
        <v>49</v>
      </c>
      <c r="B10" s="2" t="inlineStr">
        <is>
          <t>jeminise.com+custom-christian-girl-bible-emergency-numbers-blanket-d12</t>
        </is>
      </c>
      <c r="C10" s="4" t="inlineStr">
        <is>
          <t>https://jeminise.com/products/custom-christian-girl-bible-emergency-numbers-blanket-d12</t>
        </is>
      </c>
      <c r="D10" s="2" t="inlineStr">
        <is>
          <t>custom-christian-girl-bible-emergency-numbers-blanket-d12</t>
        </is>
      </c>
      <c r="E10" s="2" t="inlineStr">
        <is>
          <t>8860136964295</t>
        </is>
      </c>
      <c r="F10" s="2" t="inlineStr">
        <is>
          <t>r4</t>
        </is>
      </c>
      <c r="G10" s="5">
        <f>SUMIF('QA_Criteria'!$A$2:$A$111,B10,'QA_Criteria'!$F$2:$F$111)</f>
        <v/>
      </c>
      <c r="H10" s="5">
        <f>SUMIF('QA_Criteria'!$A$2:$A$111,B10,'QA_Criteria'!$G$2:$G$111)</f>
        <v/>
      </c>
      <c r="I10" s="5">
        <f>G10</f>
        <v/>
      </c>
      <c r="J10" s="5">
        <f>G10+(100-H10)</f>
        <v/>
      </c>
      <c r="K10" s="5">
        <f>IF(AND(H10=100,Q10=1,P10=TRUE),G10,"")</f>
        <v/>
      </c>
      <c r="L10" s="2">
        <f>IF(R10&gt;0,"QA_FAIL",IF(K10="","QA_INCOMPLETE",IF(K10&lt;70,"QA_FAIL",IF(OR(K10&lt;85,S10&gt;0),"QA_REVISE","QA_PASS"))))</f>
        <v/>
      </c>
      <c r="M10" s="2" t="inlineStr">
        <is>
          <t>SERP_ONLY</t>
        </is>
      </c>
      <c r="N10" s="2" t="n">
        <v>9</v>
      </c>
      <c r="O10" s="2" t="n">
        <v>9</v>
      </c>
      <c r="P10" s="2" t="b">
        <v>1</v>
      </c>
      <c r="Q10" s="6" t="n">
        <v>1</v>
      </c>
      <c r="R10" s="2">
        <f>COUNTIFS('QA_Issues'!$B$2:$B$2,B10,'QA_Issues'!$D$2:$D$2,"CRITICAL")</f>
        <v/>
      </c>
      <c r="S10" s="2">
        <f>COUNTIFS('QA_Issues'!$B$2:$B$2,B10,'QA_Issues'!$D$2:$D$2,"MAJOR")</f>
        <v/>
      </c>
      <c r="T10" s="2">
        <f>COUNTIFS('QA_Issues'!$B$2:$B$2,B10,'QA_Issues'!$D$2:$D$2,"MINOR")</f>
        <v/>
      </c>
      <c r="U10" s="2">
        <f>COUNTIFS('QA_Issues'!$B$2:$B$2,B10,'QA_Issues'!$D$2:$D$2,"LIMITATION")</f>
        <v/>
      </c>
      <c r="V10" s="2" t="inlineStr">
        <is>
          <t>[]</t>
        </is>
      </c>
      <c r="W10" s="2" t="inlineStr">
        <is>
          <t>["evidence_batch_005_049", "https://jeminise.com/products/custom-christian-girl-bible-emergency-numbers-blanket-d12", "serp_qa_049"]</t>
        </is>
      </c>
    </row>
    <row r="11" ht="42" customHeight="1">
      <c r="A11" s="3" t="n">
        <v>50</v>
      </c>
      <c r="B11" s="3" t="inlineStr">
        <is>
          <t>jeminise.com+custom-christian-inspirational-sophia-blanket-machine-washable-d11</t>
        </is>
      </c>
      <c r="C11" s="4" t="inlineStr">
        <is>
          <t>https://jeminise.com/products/custom-christian-inspirational-sophia-blanket-machine-washable-d11</t>
        </is>
      </c>
      <c r="D11" s="3" t="inlineStr">
        <is>
          <t>custom-christian-inspirational-sophia-blanket-machine-washable-d11</t>
        </is>
      </c>
      <c r="E11" s="3" t="inlineStr">
        <is>
          <t>8860099707079</t>
        </is>
      </c>
      <c r="F11" s="3" t="inlineStr">
        <is>
          <t>r4</t>
        </is>
      </c>
      <c r="G11" s="7">
        <f>SUMIF('QA_Criteria'!$A$2:$A$111,B11,'QA_Criteria'!$F$2:$F$111)</f>
        <v/>
      </c>
      <c r="H11" s="7">
        <f>SUMIF('QA_Criteria'!$A$2:$A$111,B11,'QA_Criteria'!$G$2:$G$111)</f>
        <v/>
      </c>
      <c r="I11" s="7">
        <f>G11</f>
        <v/>
      </c>
      <c r="J11" s="7">
        <f>G11+(100-H11)</f>
        <v/>
      </c>
      <c r="K11" s="7">
        <f>IF(AND(H11=100,Q11=1,P11=TRUE),G11,"")</f>
        <v/>
      </c>
      <c r="L11" s="3">
        <f>IF(R11&gt;0,"QA_FAIL",IF(K11="","QA_INCOMPLETE",IF(K11&lt;70,"QA_FAIL",IF(OR(K11&lt;85,S11&gt;0),"QA_REVISE","QA_PASS"))))</f>
        <v/>
      </c>
      <c r="M11" s="3" t="inlineStr">
        <is>
          <t>SERP_ONLY</t>
        </is>
      </c>
      <c r="N11" s="3" t="n">
        <v>9</v>
      </c>
      <c r="O11" s="3" t="n">
        <v>9</v>
      </c>
      <c r="P11" s="3" t="b">
        <v>1</v>
      </c>
      <c r="Q11" s="8" t="n">
        <v>1</v>
      </c>
      <c r="R11" s="3">
        <f>COUNTIFS('QA_Issues'!$B$2:$B$2,B11,'QA_Issues'!$D$2:$D$2,"CRITICAL")</f>
        <v/>
      </c>
      <c r="S11" s="3">
        <f>COUNTIFS('QA_Issues'!$B$2:$B$2,B11,'QA_Issues'!$D$2:$D$2,"MAJOR")</f>
        <v/>
      </c>
      <c r="T11" s="3">
        <f>COUNTIFS('QA_Issues'!$B$2:$B$2,B11,'QA_Issues'!$D$2:$D$2,"MINOR")</f>
        <v/>
      </c>
      <c r="U11" s="3">
        <f>COUNTIFS('QA_Issues'!$B$2:$B$2,B11,'QA_Issues'!$D$2:$D$2,"LIMITATION")</f>
        <v/>
      </c>
      <c r="V11" s="3" t="inlineStr">
        <is>
          <t>[]</t>
        </is>
      </c>
      <c r="W11" s="3" t="inlineStr">
        <is>
          <t>["evidence_batch_005_050", "https://jeminise.com/products/custom-christian-inspirational-sophia-blanket-machine-washable-d11", "serp_qa_050"]</t>
        </is>
      </c>
    </row>
  </sheetData>
  <autoFilter ref="A1:W11"/>
  <conditionalFormatting sqref="L2:L11">
    <cfRule type="expression" priority="1" dxfId="0">
      <formula>L2="QA_PASS"</formula>
    </cfRule>
    <cfRule type="expression" priority="2" dxfId="1">
      <formula>L2="QA_REVISE"</formula>
    </cfRule>
    <cfRule type="expression" priority="3" dxfId="2">
      <formula>L2="QA_FAIL"</formula>
    </cfRule>
  </conditionalFormatting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</hyperlinks>
  <printOptions horizontalCentered="0"/>
  <pageMargins left="0.25" right="0.25" top="0.5" bottom="0.5" header="0.5" footer="0.5"/>
  <pageSetup orientation="landscape" fitToHeight="0" fitToWidth="2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1" customWidth="1" min="3" max="3"/>
    <col width="12" customWidth="1" min="4" max="4"/>
    <col width="24" customWidth="1" min="5" max="5"/>
    <col width="23" customWidth="1" min="6" max="6"/>
    <col width="24" customWidth="1" min="7" max="7"/>
    <col width="42" customWidth="1" min="8" max="8"/>
    <col width="42" customWidth="1" min="9" max="9"/>
    <col width="42" customWidth="1" min="10" max="10"/>
    <col width="11" customWidth="1" min="11" max="11"/>
  </cols>
  <sheetData>
    <row r="1" ht="32" customHeight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  <c r="K1" s="1" t="inlineStr">
        <is>
          <t>revision</t>
        </is>
      </c>
    </row>
    <row r="2" ht="42" customHeight="1">
      <c r="A2" s="2" t="inlineStr">
        <is>
          <t>jeminise.com+custom-american-sports-football-player-running-with-ball-comforter-891aa5a660-891aa5a660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5">
        <f>IF(B2="I1",AVERAGEIF('QA_Images'!$A$2:$A$73,A2,'QA_Images'!$T$2:$T$73)/100,IF(D2="FULL",1,IF(D2="PARTIAL",0.5,IF(D2="FAIL",0,""))))</f>
        <v/>
      </c>
      <c r="F2" s="5">
        <f>IF(E2="",0,C2*E2)</f>
        <v/>
      </c>
      <c r="G2" s="5">
        <f>IF(B2="I1",20*AVERAGEIF('QA_Images'!$A$2:$A$73,A2,'QA_Images'!$U$2:$U$73)/100,IF(D2="NOT_CHECKED",0,C2))</f>
        <v/>
      </c>
      <c r="H2" s="2" t="inlineStr">
        <is>
          <t>Đối chiếu loại sản phẩm, thiết kế và màu với product JSON, H1 live và toàn bộ gallery.</t>
        </is>
      </c>
      <c r="I2" s="2" t="inlineStr">
        <is>
          <t>["evidence_batch_005_041", "https://jeminise.com/products/custom-american-sports-football-player-running-with-ball-comforter-891aa5a660-891aa5a660", "serp_qa_041"]</t>
        </is>
      </c>
      <c r="J2" s="2" t="inlineStr">
        <is>
          <t>[]</t>
        </is>
      </c>
      <c r="K2" s="2" t="inlineStr">
        <is>
          <t>r4</t>
        </is>
      </c>
    </row>
    <row r="3" ht="42" customHeight="1">
      <c r="A3" s="3" t="inlineStr">
        <is>
          <t>jeminise.com+custom-american-sports-football-player-running-with-ball-comforter-891aa5a660-891aa5a660</t>
        </is>
      </c>
      <c r="B3" s="3" t="inlineStr">
        <is>
          <t>P2</t>
        </is>
      </c>
      <c r="C3" s="3" t="n">
        <v>10</v>
      </c>
      <c r="D3" s="3" t="inlineStr">
        <is>
          <t>FULL</t>
        </is>
      </c>
      <c r="E3" s="7">
        <f>IF(B3="I1",AVERAGEIF('QA_Images'!$A$2:$A$73,A3,'QA_Images'!$T$2:$T$73)/100,IF(D3="FULL",1,IF(D3="PARTIAL",0.5,IF(D3="FAIL",0,""))))</f>
        <v/>
      </c>
      <c r="F3" s="7">
        <f>IF(E3="",0,C3*E3)</f>
        <v/>
      </c>
      <c r="G3" s="7">
        <f>IF(B3="I1",20*AVERAGEIF('QA_Images'!$A$2:$A$73,A3,'QA_Images'!$U$2:$U$73)/100,IF(D3="NOT_CHECKED",0,C3))</f>
        <v/>
      </c>
      <c r="H3" s="3" t="inlineStr">
        <is>
          <t>Đối chiếu specifications, variants, components và personalization với product.js live, body HTML và ảnh.</t>
        </is>
      </c>
      <c r="I3" s="3" t="inlineStr">
        <is>
          <t>["evidence_batch_005_041", "https://jeminise.com/products/custom-american-sports-football-player-running-with-ball-comforter-891aa5a660-891aa5a660", "serp_qa_041"]</t>
        </is>
      </c>
      <c r="J3" s="3" t="inlineStr">
        <is>
          <t>[]</t>
        </is>
      </c>
      <c r="K3" s="3" t="inlineStr">
        <is>
          <t>r4</t>
        </is>
      </c>
    </row>
    <row r="4" ht="42" customHeight="1">
      <c r="A4" s="2" t="inlineStr">
        <is>
          <t>jeminise.com+custom-american-sports-football-player-running-with-ball-comforter-891aa5a660-891aa5a660</t>
        </is>
      </c>
      <c r="B4" s="2" t="inlineStr">
        <is>
          <t>K1</t>
        </is>
      </c>
      <c r="C4" s="2" t="n">
        <v>10</v>
      </c>
      <c r="D4" s="2" t="inlineStr">
        <is>
          <t>PARTIAL</t>
        </is>
      </c>
      <c r="E4" s="5">
        <f>IF(B4="I1",AVERAGEIF('QA_Images'!$A$2:$A$73,A4,'QA_Images'!$T$2:$T$73)/100,IF(D4="FULL",1,IF(D4="PARTIAL",0.5,IF(D4="FAIL",0,""))))</f>
        <v/>
      </c>
      <c r="F4" s="5">
        <f>IF(E4="",0,C4*E4)</f>
        <v/>
      </c>
      <c r="G4" s="5">
        <f>IF(B4="I1",20*AVERAGEIF('QA_Images'!$A$2:$A$73,A4,'QA_Images'!$U$2:$U$73)/100,IF(D4="NOT_CHECKED",0,C4))</f>
        <v/>
      </c>
      <c r="H4" s="2" t="inlineStr">
        <is>
          <t>Đối chiếu long-tail với thiết kế riêng và nguy cơ trùng intent trong cụm sản phẩm.</t>
        </is>
      </c>
      <c r="I4" s="2" t="inlineStr">
        <is>
          <t>["evidence_batch_005_041", "https://jeminise.com/products/custom-american-sports-football-player-running-with-ball-comforter-891aa5a660-891aa5a660", "serp_qa_041"]</t>
        </is>
      </c>
      <c r="J4" s="2" t="inlineStr">
        <is>
          <t>[]</t>
        </is>
      </c>
      <c r="K4" s="2" t="inlineStr">
        <is>
          <t>r4</t>
        </is>
      </c>
    </row>
    <row r="5" ht="42" customHeight="1">
      <c r="A5" s="3" t="inlineStr">
        <is>
          <t>jeminise.com+custom-american-sports-football-player-running-with-ball-comforter-891aa5a660-891aa5a660</t>
        </is>
      </c>
      <c r="B5" s="3" t="inlineStr">
        <is>
          <t>K2</t>
        </is>
      </c>
      <c r="C5" s="3" t="n">
        <v>5</v>
      </c>
      <c r="D5" s="3" t="inlineStr">
        <is>
          <t>PARTIAL</t>
        </is>
      </c>
      <c r="E5" s="7">
        <f>IF(B5="I1",AVERAGEIF('QA_Images'!$A$2:$A$73,A5,'QA_Images'!$T$2:$T$73)/100,IF(D5="FULL",1,IF(D5="PARTIAL",0.5,IF(D5="FAIL",0,""))))</f>
        <v/>
      </c>
      <c r="F5" s="7">
        <f>IF(E5="",0,C5*E5)</f>
        <v/>
      </c>
      <c r="G5" s="7">
        <f>IF(B5="I1",20*AVERAGEIF('QA_Images'!$A$2:$A$73,A5,'QA_Images'!$U$2:$U$73)/100,IF(D5="NOT_CHECKED",0,C5))</f>
        <v/>
      </c>
      <c r="H5" s="3" t="inlineStr">
        <is>
          <t>Đã đọc primary và comparator SERP theo US commercial intent; không dùng claim volume.</t>
        </is>
      </c>
      <c r="I5" s="3" t="inlineStr">
        <is>
          <t>["evidence_batch_005_041", "https://jeminise.com/products/custom-american-sports-football-player-running-with-ball-comforter-891aa5a660-891aa5a660", "serp_qa_041"]</t>
        </is>
      </c>
      <c r="J5" s="3" t="inlineStr">
        <is>
          <t>[]</t>
        </is>
      </c>
      <c r="K5" s="3" t="inlineStr">
        <is>
          <t>r4</t>
        </is>
      </c>
    </row>
    <row r="6" ht="42" customHeight="1">
      <c r="A6" s="2" t="inlineStr">
        <is>
          <t>jeminise.com+custom-american-sports-football-player-running-with-ball-comforter-891aa5a660-891aa5a660</t>
        </is>
      </c>
      <c r="B6" s="2" t="inlineStr">
        <is>
          <t>K3</t>
        </is>
      </c>
      <c r="C6" s="2" t="n">
        <v>5</v>
      </c>
      <c r="D6" s="2" t="inlineStr">
        <is>
          <t>PARTIAL</t>
        </is>
      </c>
      <c r="E6" s="5">
        <f>IF(B6="I1",AVERAGEIF('QA_Images'!$A$2:$A$73,A6,'QA_Images'!$T$2:$T$73)/100,IF(D6="FULL",1,IF(D6="PARTIAL",0.5,IF(D6="FAIL",0,""))))</f>
        <v/>
      </c>
      <c r="F6" s="5">
        <f>IF(E6="",0,C6*E6)</f>
        <v/>
      </c>
      <c r="G6" s="5">
        <f>IF(B6="I1",20*AVERAGEIF('QA_Images'!$A$2:$A$73,A6,'QA_Images'!$U$2:$U$73)/100,IF(D6="NOT_CHECKED",0,C6))</f>
        <v/>
      </c>
      <c r="H6" s="2" t="inlineStr">
        <is>
          <t>Không suy diễn volume; phân biệt SERP_ONLY và HYPOTHESIS_ONLY.</t>
        </is>
      </c>
      <c r="I6" s="2" t="inlineStr">
        <is>
          <t>["evidence_batch_005_041", "https://jeminise.com/products/custom-american-sports-football-player-running-with-ball-comforter-891aa5a660-891aa5a660", "serp_qa_041"]</t>
        </is>
      </c>
      <c r="J6" s="2" t="inlineStr">
        <is>
          <t>[]</t>
        </is>
      </c>
      <c r="K6" s="2" t="inlineStr">
        <is>
          <t>r4</t>
        </is>
      </c>
    </row>
    <row r="7" ht="42" customHeight="1">
      <c r="A7" s="3" t="inlineStr">
        <is>
          <t>jeminise.com+custom-american-sports-football-player-running-with-ball-comforter-891aa5a660-891aa5a660</t>
        </is>
      </c>
      <c r="B7" s="3" t="inlineStr">
        <is>
          <t>T1</t>
        </is>
      </c>
      <c r="C7" s="3" t="n">
        <v>10</v>
      </c>
      <c r="D7" s="3" t="inlineStr">
        <is>
          <t>FULL</t>
        </is>
      </c>
      <c r="E7" s="7">
        <f>IF(B7="I1",AVERAGEIF('QA_Images'!$A$2:$A$73,A7,'QA_Images'!$T$2:$T$73)/100,IF(D7="FULL",1,IF(D7="PARTIAL",0.5,IF(D7="FAIL",0,""))))</f>
        <v/>
      </c>
      <c r="F7" s="7">
        <f>IF(E7="",0,C7*E7)</f>
        <v/>
      </c>
      <c r="G7" s="7">
        <f>IF(B7="I1",20*AVERAGEIF('QA_Images'!$A$2:$A$73,A7,'QA_Images'!$U$2:$U$73)/100,IF(D7="NOT_CHECKED",0,C7))</f>
        <v/>
      </c>
      <c r="H7" s="3" t="inlineStr">
        <is>
          <t>Đánh giá SEO title English về độ đúng, tự nhiên, keyword và điểm phân biệt.</t>
        </is>
      </c>
      <c r="I7" s="3" t="inlineStr">
        <is>
          <t>["evidence_batch_005_041", "https://jeminise.com/products/custom-american-sports-football-player-running-with-ball-comforter-891aa5a660-891aa5a660", "serp_qa_041"]</t>
        </is>
      </c>
      <c r="J7" s="3" t="inlineStr">
        <is>
          <t>[]</t>
        </is>
      </c>
      <c r="K7" s="3" t="inlineStr">
        <is>
          <t>r4</t>
        </is>
      </c>
    </row>
    <row r="8" ht="42" customHeight="1">
      <c r="A8" s="2" t="inlineStr">
        <is>
          <t>jeminise.com+custom-american-sports-football-player-running-with-ball-comforter-891aa5a660-891aa5a660</t>
        </is>
      </c>
      <c r="B8" s="2" t="inlineStr">
        <is>
          <t>T2</t>
        </is>
      </c>
      <c r="C8" s="2" t="n">
        <v>5</v>
      </c>
      <c r="D8" s="2" t="inlineStr">
        <is>
          <t>FULL</t>
        </is>
      </c>
      <c r="E8" s="5">
        <f>IF(B8="I1",AVERAGEIF('QA_Images'!$A$2:$A$73,A8,'QA_Images'!$T$2:$T$73)/100,IF(D8="FULL",1,IF(D8="PARTIAL",0.5,IF(D8="FAIL",0,""))))</f>
        <v/>
      </c>
      <c r="F8" s="5">
        <f>IF(E8="",0,C8*E8)</f>
        <v/>
      </c>
      <c r="G8" s="5">
        <f>IF(B8="I1",20*AVERAGEIF('QA_Images'!$A$2:$A$73,A8,'QA_Images'!$U$2:$U$73)/100,IF(D8="NOT_CHECKED",0,C8))</f>
        <v/>
      </c>
      <c r="H8" s="2" t="inlineStr">
        <is>
          <t>Đánh giá H1 đề xuất độc lập với SEO title và đối chiếu lỗi ký tự nguồn.</t>
        </is>
      </c>
      <c r="I8" s="2" t="inlineStr">
        <is>
          <t>["evidence_batch_005_041", "https://jeminise.com/products/custom-american-sports-football-player-running-with-ball-comforter-891aa5a660-891aa5a660", "serp_qa_041"]</t>
        </is>
      </c>
      <c r="J8" s="2" t="inlineStr">
        <is>
          <t>[]</t>
        </is>
      </c>
      <c r="K8" s="2" t="inlineStr">
        <is>
          <t>r4</t>
        </is>
      </c>
    </row>
    <row r="9" ht="42" customHeight="1">
      <c r="A9" s="3" t="inlineStr">
        <is>
          <t>jeminise.com+custom-american-sports-football-player-running-with-ball-comforter-891aa5a660-891aa5a660</t>
        </is>
      </c>
      <c r="B9" s="3" t="inlineStr">
        <is>
          <t>D1</t>
        </is>
      </c>
      <c r="C9" s="3" t="n">
        <v>5</v>
      </c>
      <c r="D9" s="3" t="inlineStr">
        <is>
          <t>FULL</t>
        </is>
      </c>
      <c r="E9" s="7">
        <f>IF(B9="I1",AVERAGEIF('QA_Images'!$A$2:$A$73,A9,'QA_Images'!$T$2:$T$73)/100,IF(D9="FULL",1,IF(D9="PARTIAL",0.5,IF(D9="FAIL",0,""))))</f>
        <v/>
      </c>
      <c r="F9" s="7">
        <f>IF(E9="",0,C9*E9)</f>
        <v/>
      </c>
      <c r="G9" s="7">
        <f>IF(B9="I1",20*AVERAGEIF('QA_Images'!$A$2:$A$73,A9,'QA_Images'!$U$2:$U$73)/100,IF(D9="NOT_CHECKED",0,C9))</f>
        <v/>
      </c>
      <c r="H9" s="3" t="inlineStr">
        <is>
          <t>Đánh giá meta description về tính cụ thể và căn cứ claim.</t>
        </is>
      </c>
      <c r="I9" s="3" t="inlineStr">
        <is>
          <t>["evidence_batch_005_041", "https://jeminise.com/products/custom-american-sports-football-player-running-with-ball-comforter-891aa5a660-891aa5a660", "serp_qa_041"]</t>
        </is>
      </c>
      <c r="J9" s="3" t="inlineStr">
        <is>
          <t>[]</t>
        </is>
      </c>
      <c r="K9" s="3" t="inlineStr">
        <is>
          <t>r4</t>
        </is>
      </c>
    </row>
    <row r="10" ht="42" customHeight="1">
      <c r="A10" s="2" t="inlineStr">
        <is>
          <t>jeminise.com+custom-american-sports-football-player-running-with-ball-comforter-891aa5a660-891aa5a660</t>
        </is>
      </c>
      <c r="B10" s="2" t="inlineStr">
        <is>
          <t>D2</t>
        </is>
      </c>
      <c r="C10" s="2" t="n">
        <v>10</v>
      </c>
      <c r="D10" s="2" t="inlineStr">
        <is>
          <t>FULL</t>
        </is>
      </c>
      <c r="E10" s="5">
        <f>IF(B10="I1",AVERAGEIF('QA_Images'!$A$2:$A$73,A10,'QA_Images'!$T$2:$T$73)/100,IF(D10="FULL",1,IF(D10="PARTIAL",0.5,IF(D10="FAIL",0,""))))</f>
        <v/>
      </c>
      <c r="F10" s="5">
        <f>IF(E10="",0,C10*E10)</f>
        <v/>
      </c>
      <c r="G10" s="5">
        <f>IF(B10="I1",20*AVERAGEIF('QA_Images'!$A$2:$A$73,A10,'QA_Images'!$U$2:$U$73)/100,IF(D10="NOT_CHECKED",0,C10))</f>
        <v/>
      </c>
      <c r="H10" s="2" t="inlineStr">
        <is>
          <t>Description SET có HTML đầy đủ nhưng chứa câu nội bộ 'This draft should be reviewed...' và dữ liệu nguồn thô/mâu thuẫn; chưa phải nội dung publish-ready.</t>
        </is>
      </c>
      <c r="I10" s="2" t="inlineStr">
        <is>
          <t>["evidence_batch_005_041", "https://jeminise.com/products/custom-american-sports-football-player-running-with-ball-comforter-891aa5a660-891aa5a660", "serp_qa_041"]</t>
        </is>
      </c>
      <c r="J10" s="2" t="inlineStr">
        <is>
          <t>[]</t>
        </is>
      </c>
      <c r="K10" s="2" t="inlineStr">
        <is>
          <t>r4</t>
        </is>
      </c>
    </row>
    <row r="11" ht="42" customHeight="1">
      <c r="A11" s="3" t="inlineStr">
        <is>
          <t>jeminise.com+custom-american-sports-football-player-running-with-ball-comforter-891aa5a660-891aa5a660</t>
        </is>
      </c>
      <c r="B11" s="3" t="inlineStr">
        <is>
          <t>I1</t>
        </is>
      </c>
      <c r="C11" s="3" t="n">
        <v>20</v>
      </c>
      <c r="D11" s="3" t="inlineStr">
        <is>
          <t>DERIVED</t>
        </is>
      </c>
      <c r="E11" s="7">
        <f>IF(B11="I1",AVERAGEIF('QA_Images'!$A$2:$A$73,A11,'QA_Images'!$T$2:$T$73)/100,IF(D11="FULL",1,IF(D11="PARTIAL",0.5,IF(D11="FAIL",0,""))))</f>
        <v/>
      </c>
      <c r="F11" s="7">
        <f>IF(E11="",0,C11*E11)</f>
        <v/>
      </c>
      <c r="G11" s="7">
        <f>IF(B11="I1",20*AVERAGEIF('QA_Images'!$A$2:$A$73,A11,'QA_Images'!$U$2:$U$73)/100,IF(D11="NOT_CHECKED",0,C11))</f>
        <v/>
      </c>
      <c r="H11" s="3" t="inlineStr">
        <is>
          <t>Derived from directly checked r4 media records: 100.0/100.</t>
        </is>
      </c>
      <c r="I11" s="3" t="inlineStr">
        <is>
          <t>["evidence_batch_005_041", "https://jeminise.com/products/custom-american-sports-football-player-running-with-ball-comforter-891aa5a660-891aa5a660", "serp_qa_041"]</t>
        </is>
      </c>
      <c r="J11" s="3" t="inlineStr">
        <is>
          <t>[]</t>
        </is>
      </c>
      <c r="K11" s="3" t="inlineStr">
        <is>
          <t>r4</t>
        </is>
      </c>
    </row>
    <row r="12" ht="42" customHeight="1">
      <c r="A12" s="2" t="inlineStr">
        <is>
          <t>jeminise.com+custom-american-sports-football-player-running-with-ball-comforter-891aa5a660-891aa5a660</t>
        </is>
      </c>
      <c r="B12" s="2" t="inlineStr">
        <is>
          <t>E1</t>
        </is>
      </c>
      <c r="C12" s="2" t="n">
        <v>5</v>
      </c>
      <c r="D12" s="2" t="inlineStr">
        <is>
          <t>FULL</t>
        </is>
      </c>
      <c r="E12" s="5">
        <f>IF(B12="I1",AVERAGEIF('QA_Images'!$A$2:$A$73,A12,'QA_Images'!$T$2:$T$73)/100,IF(D12="FULL",1,IF(D12="PARTIAL",0.5,IF(D12="FAIL",0,""))))</f>
        <v/>
      </c>
      <c r="F12" s="5">
        <f>IF(E12="",0,C12*E12)</f>
        <v/>
      </c>
      <c r="G12" s="5">
        <f>IF(B12="I1",20*AVERAGEIF('QA_Images'!$A$2:$A$73,A12,'QA_Images'!$U$2:$U$73)/100,IF(D12="NOT_CHECKED",0,C12))</f>
        <v/>
      </c>
      <c r="H12" s="2" t="inlineStr">
        <is>
          <t>Kiểm tra chuỗi evidence và giới hạn do thiếu Shopify admin export.</t>
        </is>
      </c>
      <c r="I12" s="2" t="inlineStr">
        <is>
          <t>["evidence_batch_005_041", "https://jeminise.com/products/custom-american-sports-football-player-running-with-ball-comforter-891aa5a660-891aa5a660", "serp_qa_041"]</t>
        </is>
      </c>
      <c r="J12" s="2" t="inlineStr">
        <is>
          <t>[]</t>
        </is>
      </c>
      <c r="K12" s="2" t="inlineStr">
        <is>
          <t>r4</t>
        </is>
      </c>
    </row>
    <row r="13" ht="42" customHeight="1">
      <c r="A13" s="3" t="inlineStr">
        <is>
          <t>jeminise.com+custom-basketball-players-blanket-name-number-76fdad09b6-76fdad09b6</t>
        </is>
      </c>
      <c r="B13" s="3" t="inlineStr">
        <is>
          <t>P1</t>
        </is>
      </c>
      <c r="C13" s="3" t="n">
        <v>15</v>
      </c>
      <c r="D13" s="3" t="inlineStr">
        <is>
          <t>FULL</t>
        </is>
      </c>
      <c r="E13" s="7">
        <f>IF(B13="I1",AVERAGEIF('QA_Images'!$A$2:$A$73,A13,'QA_Images'!$T$2:$T$73)/100,IF(D13="FULL",1,IF(D13="PARTIAL",0.5,IF(D13="FAIL",0,""))))</f>
        <v/>
      </c>
      <c r="F13" s="7">
        <f>IF(E13="",0,C13*E13)</f>
        <v/>
      </c>
      <c r="G13" s="7">
        <f>IF(B13="I1",20*AVERAGEIF('QA_Images'!$A$2:$A$73,A13,'QA_Images'!$U$2:$U$73)/100,IF(D13="NOT_CHECKED",0,C13))</f>
        <v/>
      </c>
      <c r="H13" s="3" t="inlineStr">
        <is>
          <t>Đối chiếu loại sản phẩm, thiết kế và màu với product JSON, H1 live và toàn bộ gallery.</t>
        </is>
      </c>
      <c r="I13" s="3" t="inlineStr">
        <is>
          <t>["evidence_batch_005_042", "https://jeminise.com/products/custom-basketball-players-blanket-name-number-76fdad09b6-76fdad09b6", "serp_qa_042"]</t>
        </is>
      </c>
      <c r="J13" s="3" t="inlineStr">
        <is>
          <t>[]</t>
        </is>
      </c>
      <c r="K13" s="3" t="inlineStr">
        <is>
          <t>r4</t>
        </is>
      </c>
    </row>
    <row r="14" ht="42" customHeight="1">
      <c r="A14" s="2" t="inlineStr">
        <is>
          <t>jeminise.com+custom-basketball-players-blanket-name-number-76fdad09b6-76fdad09b6</t>
        </is>
      </c>
      <c r="B14" s="2" t="inlineStr">
        <is>
          <t>P2</t>
        </is>
      </c>
      <c r="C14" s="2" t="n">
        <v>10</v>
      </c>
      <c r="D14" s="2" t="inlineStr">
        <is>
          <t>FULL</t>
        </is>
      </c>
      <c r="E14" s="5">
        <f>IF(B14="I1",AVERAGEIF('QA_Images'!$A$2:$A$73,A14,'QA_Images'!$T$2:$T$73)/100,IF(D14="FULL",1,IF(D14="PARTIAL",0.5,IF(D14="FAIL",0,""))))</f>
        <v/>
      </c>
      <c r="F14" s="5">
        <f>IF(E14="",0,C14*E14)</f>
        <v/>
      </c>
      <c r="G14" s="5">
        <f>IF(B14="I1",20*AVERAGEIF('QA_Images'!$A$2:$A$73,A14,'QA_Images'!$U$2:$U$73)/100,IF(D14="NOT_CHECKED",0,C14))</f>
        <v/>
      </c>
      <c r="H14" s="2" t="inlineStr">
        <is>
          <t>Đối chiếu specifications, variants, components và personalization với product.js live, body HTML và ảnh.</t>
        </is>
      </c>
      <c r="I14" s="2" t="inlineStr">
        <is>
          <t>["evidence_batch_005_042", "https://jeminise.com/products/custom-basketball-players-blanket-name-number-76fdad09b6-76fdad09b6", "serp_qa_042"]</t>
        </is>
      </c>
      <c r="J14" s="2" t="inlineStr">
        <is>
          <t>[]</t>
        </is>
      </c>
      <c r="K14" s="2" t="inlineStr">
        <is>
          <t>r4</t>
        </is>
      </c>
    </row>
    <row r="15" ht="42" customHeight="1">
      <c r="A15" s="3" t="inlineStr">
        <is>
          <t>jeminise.com+custom-basketball-players-blanket-name-number-76fdad09b6-76fdad09b6</t>
        </is>
      </c>
      <c r="B15" s="3" t="inlineStr">
        <is>
          <t>K1</t>
        </is>
      </c>
      <c r="C15" s="3" t="n">
        <v>10</v>
      </c>
      <c r="D15" s="3" t="inlineStr">
        <is>
          <t>PARTIAL</t>
        </is>
      </c>
      <c r="E15" s="7">
        <f>IF(B15="I1",AVERAGEIF('QA_Images'!$A$2:$A$73,A15,'QA_Images'!$T$2:$T$73)/100,IF(D15="FULL",1,IF(D15="PARTIAL",0.5,IF(D15="FAIL",0,""))))</f>
        <v/>
      </c>
      <c r="F15" s="7">
        <f>IF(E15="",0,C15*E15)</f>
        <v/>
      </c>
      <c r="G15" s="7">
        <f>IF(B15="I1",20*AVERAGEIF('QA_Images'!$A$2:$A$73,A15,'QA_Images'!$U$2:$U$73)/100,IF(D15="NOT_CHECKED",0,C15))</f>
        <v/>
      </c>
      <c r="H15" s="3" t="inlineStr">
        <is>
          <t>Đối chiếu long-tail với thiết kế riêng và nguy cơ trùng intent trong cụm sản phẩm.</t>
        </is>
      </c>
      <c r="I15" s="3" t="inlineStr">
        <is>
          <t>["evidence_batch_005_042", "https://jeminise.com/products/custom-basketball-players-blanket-name-number-76fdad09b6-76fdad09b6", "serp_qa_042"]</t>
        </is>
      </c>
      <c r="J15" s="3" t="inlineStr">
        <is>
          <t>[]</t>
        </is>
      </c>
      <c r="K15" s="3" t="inlineStr">
        <is>
          <t>r4</t>
        </is>
      </c>
    </row>
    <row r="16" ht="42" customHeight="1">
      <c r="A16" s="2" t="inlineStr">
        <is>
          <t>jeminise.com+custom-basketball-players-blanket-name-number-76fdad09b6-76fdad09b6</t>
        </is>
      </c>
      <c r="B16" s="2" t="inlineStr">
        <is>
          <t>K2</t>
        </is>
      </c>
      <c r="C16" s="2" t="n">
        <v>5</v>
      </c>
      <c r="D16" s="2" t="inlineStr">
        <is>
          <t>PARTIAL</t>
        </is>
      </c>
      <c r="E16" s="5">
        <f>IF(B16="I1",AVERAGEIF('QA_Images'!$A$2:$A$73,A16,'QA_Images'!$T$2:$T$73)/100,IF(D16="FULL",1,IF(D16="PARTIAL",0.5,IF(D16="FAIL",0,""))))</f>
        <v/>
      </c>
      <c r="F16" s="5">
        <f>IF(E16="",0,C16*E16)</f>
        <v/>
      </c>
      <c r="G16" s="5">
        <f>IF(B16="I1",20*AVERAGEIF('QA_Images'!$A$2:$A$73,A16,'QA_Images'!$U$2:$U$73)/100,IF(D16="NOT_CHECKED",0,C16))</f>
        <v/>
      </c>
      <c r="H16" s="2" t="inlineStr">
        <is>
          <t>Đã đọc primary và comparator SERP theo US commercial intent; không dùng claim volume.</t>
        </is>
      </c>
      <c r="I16" s="2" t="inlineStr">
        <is>
          <t>["evidence_batch_005_042", "https://jeminise.com/products/custom-basketball-players-blanket-name-number-76fdad09b6-76fdad09b6", "serp_qa_042"]</t>
        </is>
      </c>
      <c r="J16" s="2" t="inlineStr">
        <is>
          <t>[]</t>
        </is>
      </c>
      <c r="K16" s="2" t="inlineStr">
        <is>
          <t>r4</t>
        </is>
      </c>
    </row>
    <row r="17" ht="42" customHeight="1">
      <c r="A17" s="3" t="inlineStr">
        <is>
          <t>jeminise.com+custom-basketball-players-blanket-name-number-76fdad09b6-76fdad09b6</t>
        </is>
      </c>
      <c r="B17" s="3" t="inlineStr">
        <is>
          <t>K3</t>
        </is>
      </c>
      <c r="C17" s="3" t="n">
        <v>5</v>
      </c>
      <c r="D17" s="3" t="inlineStr">
        <is>
          <t>PARTIAL</t>
        </is>
      </c>
      <c r="E17" s="7">
        <f>IF(B17="I1",AVERAGEIF('QA_Images'!$A$2:$A$73,A17,'QA_Images'!$T$2:$T$73)/100,IF(D17="FULL",1,IF(D17="PARTIAL",0.5,IF(D17="FAIL",0,""))))</f>
        <v/>
      </c>
      <c r="F17" s="7">
        <f>IF(E17="",0,C17*E17)</f>
        <v/>
      </c>
      <c r="G17" s="7">
        <f>IF(B17="I1",20*AVERAGEIF('QA_Images'!$A$2:$A$73,A17,'QA_Images'!$U$2:$U$73)/100,IF(D17="NOT_CHECKED",0,C17))</f>
        <v/>
      </c>
      <c r="H17" s="3" t="inlineStr">
        <is>
          <t>Không suy diễn volume; phân biệt SERP_ONLY và HYPOTHESIS_ONLY.</t>
        </is>
      </c>
      <c r="I17" s="3" t="inlineStr">
        <is>
          <t>["evidence_batch_005_042", "https://jeminise.com/products/custom-basketball-players-blanket-name-number-76fdad09b6-76fdad09b6", "serp_qa_042"]</t>
        </is>
      </c>
      <c r="J17" s="3" t="inlineStr">
        <is>
          <t>[]</t>
        </is>
      </c>
      <c r="K17" s="3" t="inlineStr">
        <is>
          <t>r4</t>
        </is>
      </c>
    </row>
    <row r="18" ht="42" customHeight="1">
      <c r="A18" s="2" t="inlineStr">
        <is>
          <t>jeminise.com+custom-basketball-players-blanket-name-number-76fdad09b6-76fdad09b6</t>
        </is>
      </c>
      <c r="B18" s="2" t="inlineStr">
        <is>
          <t>T1</t>
        </is>
      </c>
      <c r="C18" s="2" t="n">
        <v>10</v>
      </c>
      <c r="D18" s="2" t="inlineStr">
        <is>
          <t>FULL</t>
        </is>
      </c>
      <c r="E18" s="5">
        <f>IF(B18="I1",AVERAGEIF('QA_Images'!$A$2:$A$73,A18,'QA_Images'!$T$2:$T$73)/100,IF(D18="FULL",1,IF(D18="PARTIAL",0.5,IF(D18="FAIL",0,""))))</f>
        <v/>
      </c>
      <c r="F18" s="5">
        <f>IF(E18="",0,C18*E18)</f>
        <v/>
      </c>
      <c r="G18" s="5">
        <f>IF(B18="I1",20*AVERAGEIF('QA_Images'!$A$2:$A$73,A18,'QA_Images'!$U$2:$U$73)/100,IF(D18="NOT_CHECKED",0,C18))</f>
        <v/>
      </c>
      <c r="H18" s="2" t="inlineStr">
        <is>
          <t>Đánh giá SEO title English về độ đúng, tự nhiên, keyword và điểm phân biệt.</t>
        </is>
      </c>
      <c r="I18" s="2" t="inlineStr">
        <is>
          <t>["evidence_batch_005_042", "https://jeminise.com/products/custom-basketball-players-blanket-name-number-76fdad09b6-76fdad09b6", "serp_qa_042"]</t>
        </is>
      </c>
      <c r="J18" s="2" t="inlineStr">
        <is>
          <t>[]</t>
        </is>
      </c>
      <c r="K18" s="2" t="inlineStr">
        <is>
          <t>r4</t>
        </is>
      </c>
    </row>
    <row r="19" ht="42" customHeight="1">
      <c r="A19" s="3" t="inlineStr">
        <is>
          <t>jeminise.com+custom-basketball-players-blanket-name-number-76fdad09b6-76fdad09b6</t>
        </is>
      </c>
      <c r="B19" s="3" t="inlineStr">
        <is>
          <t>T2</t>
        </is>
      </c>
      <c r="C19" s="3" t="n">
        <v>5</v>
      </c>
      <c r="D19" s="3" t="inlineStr">
        <is>
          <t>FULL</t>
        </is>
      </c>
      <c r="E19" s="7">
        <f>IF(B19="I1",AVERAGEIF('QA_Images'!$A$2:$A$73,A19,'QA_Images'!$T$2:$T$73)/100,IF(D19="FULL",1,IF(D19="PARTIAL",0.5,IF(D19="FAIL",0,""))))</f>
        <v/>
      </c>
      <c r="F19" s="7">
        <f>IF(E19="",0,C19*E19)</f>
        <v/>
      </c>
      <c r="G19" s="7">
        <f>IF(B19="I1",20*AVERAGEIF('QA_Images'!$A$2:$A$73,A19,'QA_Images'!$U$2:$U$73)/100,IF(D19="NOT_CHECKED",0,C19))</f>
        <v/>
      </c>
      <c r="H19" s="3" t="inlineStr">
        <is>
          <t>Đánh giá H1 đề xuất độc lập với SEO title và đối chiếu lỗi ký tự nguồn.</t>
        </is>
      </c>
      <c r="I19" s="3" t="inlineStr">
        <is>
          <t>["evidence_batch_005_042", "https://jeminise.com/products/custom-basketball-players-blanket-name-number-76fdad09b6-76fdad09b6", "serp_qa_042"]</t>
        </is>
      </c>
      <c r="J19" s="3" t="inlineStr">
        <is>
          <t>[]</t>
        </is>
      </c>
      <c r="K19" s="3" t="inlineStr">
        <is>
          <t>r4</t>
        </is>
      </c>
    </row>
    <row r="20" ht="42" customHeight="1">
      <c r="A20" s="2" t="inlineStr">
        <is>
          <t>jeminise.com+custom-basketball-players-blanket-name-number-76fdad09b6-76fdad09b6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5">
        <f>IF(B20="I1",AVERAGEIF('QA_Images'!$A$2:$A$73,A20,'QA_Images'!$T$2:$T$73)/100,IF(D20="FULL",1,IF(D20="PARTIAL",0.5,IF(D20="FAIL",0,""))))</f>
        <v/>
      </c>
      <c r="F20" s="5">
        <f>IF(E20="",0,C20*E20)</f>
        <v/>
      </c>
      <c r="G20" s="5">
        <f>IF(B20="I1",20*AVERAGEIF('QA_Images'!$A$2:$A$73,A20,'QA_Images'!$U$2:$U$73)/100,IF(D20="NOT_CHECKED",0,C20))</f>
        <v/>
      </c>
      <c r="H20" s="2" t="inlineStr">
        <is>
          <t>Đánh giá meta description về tính cụ thể và căn cứ claim.</t>
        </is>
      </c>
      <c r="I20" s="2" t="inlineStr">
        <is>
          <t>["evidence_batch_005_042", "https://jeminise.com/products/custom-basketball-players-blanket-name-number-76fdad09b6-76fdad09b6", "serp_qa_042"]</t>
        </is>
      </c>
      <c r="J20" s="2" t="inlineStr">
        <is>
          <t>[]</t>
        </is>
      </c>
      <c r="K20" s="2" t="inlineStr">
        <is>
          <t>r4</t>
        </is>
      </c>
    </row>
    <row r="21" ht="42" customHeight="1">
      <c r="A21" s="3" t="inlineStr">
        <is>
          <t>jeminise.com+custom-basketball-players-blanket-name-number-76fdad09b6-76fdad09b6</t>
        </is>
      </c>
      <c r="B21" s="3" t="inlineStr">
        <is>
          <t>D2</t>
        </is>
      </c>
      <c r="C21" s="3" t="n">
        <v>10</v>
      </c>
      <c r="D21" s="3" t="inlineStr">
        <is>
          <t>FULL</t>
        </is>
      </c>
      <c r="E21" s="7">
        <f>IF(B21="I1",AVERAGEIF('QA_Images'!$A$2:$A$73,A21,'QA_Images'!$T$2:$T$73)/100,IF(D21="FULL",1,IF(D21="PARTIAL",0.5,IF(D21="FAIL",0,""))))</f>
        <v/>
      </c>
      <c r="F21" s="7">
        <f>IF(E21="",0,C21*E21)</f>
        <v/>
      </c>
      <c r="G21" s="7">
        <f>IF(B21="I1",20*AVERAGEIF('QA_Images'!$A$2:$A$73,A21,'QA_Images'!$U$2:$U$73)/100,IF(D21="NOT_CHECKED",0,C21))</f>
        <v/>
      </c>
      <c r="H21" s="3" t="inlineStr">
        <is>
          <t>Description SET có HTML đầy đủ nhưng chứa câu nội bộ 'This draft should be reviewed...' và dữ liệu nguồn thô/mâu thuẫn; chưa phải nội dung publish-ready.</t>
        </is>
      </c>
      <c r="I21" s="3" t="inlineStr">
        <is>
          <t>["evidence_batch_005_042", "https://jeminise.com/products/custom-basketball-players-blanket-name-number-76fdad09b6-76fdad09b6", "serp_qa_042"]</t>
        </is>
      </c>
      <c r="J21" s="3" t="inlineStr">
        <is>
          <t>[]</t>
        </is>
      </c>
      <c r="K21" s="3" t="inlineStr">
        <is>
          <t>r4</t>
        </is>
      </c>
    </row>
    <row r="22" ht="42" customHeight="1">
      <c r="A22" s="2" t="inlineStr">
        <is>
          <t>jeminise.com+custom-basketball-players-blanket-name-number-76fdad09b6-76fdad09b6</t>
        </is>
      </c>
      <c r="B22" s="2" t="inlineStr">
        <is>
          <t>I1</t>
        </is>
      </c>
      <c r="C22" s="2" t="n">
        <v>20</v>
      </c>
      <c r="D22" s="2" t="inlineStr">
        <is>
          <t>DERIVED</t>
        </is>
      </c>
      <c r="E22" s="5">
        <f>IF(B22="I1",AVERAGEIF('QA_Images'!$A$2:$A$73,A22,'QA_Images'!$T$2:$T$73)/100,IF(D22="FULL",1,IF(D22="PARTIAL",0.5,IF(D22="FAIL",0,""))))</f>
        <v/>
      </c>
      <c r="F22" s="5">
        <f>IF(E22="",0,C22*E22)</f>
        <v/>
      </c>
      <c r="G22" s="5">
        <f>IF(B22="I1",20*AVERAGEIF('QA_Images'!$A$2:$A$73,A22,'QA_Images'!$U$2:$U$73)/100,IF(D22="NOT_CHECKED",0,C22))</f>
        <v/>
      </c>
      <c r="H22" s="2" t="inlineStr">
        <is>
          <t>Derived from directly checked r4 media records: 100.0/100.</t>
        </is>
      </c>
      <c r="I22" s="2" t="inlineStr">
        <is>
          <t>["evidence_batch_005_042", "https://jeminise.com/products/custom-basketball-players-blanket-name-number-76fdad09b6-76fdad09b6", "serp_qa_042"]</t>
        </is>
      </c>
      <c r="J22" s="2" t="inlineStr">
        <is>
          <t>[]</t>
        </is>
      </c>
      <c r="K22" s="2" t="inlineStr">
        <is>
          <t>r4</t>
        </is>
      </c>
    </row>
    <row r="23" ht="42" customHeight="1">
      <c r="A23" s="3" t="inlineStr">
        <is>
          <t>jeminise.com+custom-basketball-players-blanket-name-number-76fdad09b6-76fdad09b6</t>
        </is>
      </c>
      <c r="B23" s="3" t="inlineStr">
        <is>
          <t>E1</t>
        </is>
      </c>
      <c r="C23" s="3" t="n">
        <v>5</v>
      </c>
      <c r="D23" s="3" t="inlineStr">
        <is>
          <t>FULL</t>
        </is>
      </c>
      <c r="E23" s="7">
        <f>IF(B23="I1",AVERAGEIF('QA_Images'!$A$2:$A$73,A23,'QA_Images'!$T$2:$T$73)/100,IF(D23="FULL",1,IF(D23="PARTIAL",0.5,IF(D23="FAIL",0,""))))</f>
        <v/>
      </c>
      <c r="F23" s="7">
        <f>IF(E23="",0,C23*E23)</f>
        <v/>
      </c>
      <c r="G23" s="7">
        <f>IF(B23="I1",20*AVERAGEIF('QA_Images'!$A$2:$A$73,A23,'QA_Images'!$U$2:$U$73)/100,IF(D23="NOT_CHECKED",0,C23))</f>
        <v/>
      </c>
      <c r="H23" s="3" t="inlineStr">
        <is>
          <t>Kiểm tra chuỗi evidence và giới hạn do thiếu Shopify admin export.</t>
        </is>
      </c>
      <c r="I23" s="3" t="inlineStr">
        <is>
          <t>["evidence_batch_005_042", "https://jeminise.com/products/custom-basketball-players-blanket-name-number-76fdad09b6-76fdad09b6", "serp_qa_042"]</t>
        </is>
      </c>
      <c r="J23" s="3" t="inlineStr">
        <is>
          <t>[]</t>
        </is>
      </c>
      <c r="K23" s="3" t="inlineStr">
        <is>
          <t>r4</t>
        </is>
      </c>
    </row>
    <row r="24" ht="42" customHeight="1">
      <c r="A24" s="2" t="inlineStr">
        <is>
          <t>jeminise.com+custom-bible-verse-photo-blanket-personalized-christian-gift-for-her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5">
        <f>IF(B24="I1",AVERAGEIF('QA_Images'!$A$2:$A$73,A24,'QA_Images'!$T$2:$T$73)/100,IF(D24="FULL",1,IF(D24="PARTIAL",0.5,IF(D24="FAIL",0,""))))</f>
        <v/>
      </c>
      <c r="F24" s="5">
        <f>IF(E24="",0,C24*E24)</f>
        <v/>
      </c>
      <c r="G24" s="5">
        <f>IF(B24="I1",20*AVERAGEIF('QA_Images'!$A$2:$A$73,A24,'QA_Images'!$U$2:$U$73)/100,IF(D24="NOT_CHECKED",0,C24))</f>
        <v/>
      </c>
      <c r="H24" s="2" t="inlineStr">
        <is>
          <t>Đối chiếu loại sản phẩm, thiết kế và màu với product JSON, H1 live và toàn bộ gallery.</t>
        </is>
      </c>
      <c r="I24" s="2" t="inlineStr">
        <is>
          <t>["evidence_batch_005_043", "https://jeminise.com/products/custom-bible-verse-photo-blanket-personalized-christian-gift-for-her", "serp_qa_043"]</t>
        </is>
      </c>
      <c r="J24" s="2" t="inlineStr">
        <is>
          <t>[]</t>
        </is>
      </c>
      <c r="K24" s="2" t="inlineStr">
        <is>
          <t>r4</t>
        </is>
      </c>
    </row>
    <row r="25" ht="42" customHeight="1">
      <c r="A25" s="3" t="inlineStr">
        <is>
          <t>jeminise.com+custom-bible-verse-photo-blanket-personalized-christian-gift-for-her</t>
        </is>
      </c>
      <c r="B25" s="3" t="inlineStr">
        <is>
          <t>P2</t>
        </is>
      </c>
      <c r="C25" s="3" t="n">
        <v>10</v>
      </c>
      <c r="D25" s="3" t="inlineStr">
        <is>
          <t>FULL</t>
        </is>
      </c>
      <c r="E25" s="7">
        <f>IF(B25="I1",AVERAGEIF('QA_Images'!$A$2:$A$73,A25,'QA_Images'!$T$2:$T$73)/100,IF(D25="FULL",1,IF(D25="PARTIAL",0.5,IF(D25="FAIL",0,""))))</f>
        <v/>
      </c>
      <c r="F25" s="7">
        <f>IF(E25="",0,C25*E25)</f>
        <v/>
      </c>
      <c r="G25" s="7">
        <f>IF(B25="I1",20*AVERAGEIF('QA_Images'!$A$2:$A$73,A25,'QA_Images'!$U$2:$U$73)/100,IF(D25="NOT_CHECKED",0,C25))</f>
        <v/>
      </c>
      <c r="H25" s="3" t="inlineStr">
        <is>
          <t>Đối chiếu specifications, variants, components và personalization với product.js live, body HTML và ảnh.</t>
        </is>
      </c>
      <c r="I25" s="3" t="inlineStr">
        <is>
          <t>["evidence_batch_005_043", "https://jeminise.com/products/custom-bible-verse-photo-blanket-personalized-christian-gift-for-her", "serp_qa_043"]</t>
        </is>
      </c>
      <c r="J25" s="3" t="inlineStr">
        <is>
          <t>[]</t>
        </is>
      </c>
      <c r="K25" s="3" t="inlineStr">
        <is>
          <t>r4</t>
        </is>
      </c>
    </row>
    <row r="26" ht="42" customHeight="1">
      <c r="A26" s="2" t="inlineStr">
        <is>
          <t>jeminise.com+custom-bible-verse-photo-blanket-personalized-christian-gift-for-her</t>
        </is>
      </c>
      <c r="B26" s="2" t="inlineStr">
        <is>
          <t>K1</t>
        </is>
      </c>
      <c r="C26" s="2" t="n">
        <v>10</v>
      </c>
      <c r="D26" s="2" t="inlineStr">
        <is>
          <t>PARTIAL</t>
        </is>
      </c>
      <c r="E26" s="5">
        <f>IF(B26="I1",AVERAGEIF('QA_Images'!$A$2:$A$73,A26,'QA_Images'!$T$2:$T$73)/100,IF(D26="FULL",1,IF(D26="PARTIAL",0.5,IF(D26="FAIL",0,""))))</f>
        <v/>
      </c>
      <c r="F26" s="5">
        <f>IF(E26="",0,C26*E26)</f>
        <v/>
      </c>
      <c r="G26" s="5">
        <f>IF(B26="I1",20*AVERAGEIF('QA_Images'!$A$2:$A$73,A26,'QA_Images'!$U$2:$U$73)/100,IF(D26="NOT_CHECKED",0,C26))</f>
        <v/>
      </c>
      <c r="H26" s="2" t="inlineStr">
        <is>
          <t>Đối chiếu long-tail với thiết kế riêng và nguy cơ trùng intent trong cụm sản phẩm.</t>
        </is>
      </c>
      <c r="I26" s="2" t="inlineStr">
        <is>
          <t>["evidence_batch_005_043", "https://jeminise.com/products/custom-bible-verse-photo-blanket-personalized-christian-gift-for-her", "serp_qa_043"]</t>
        </is>
      </c>
      <c r="J26" s="2" t="inlineStr">
        <is>
          <t>[]</t>
        </is>
      </c>
      <c r="K26" s="2" t="inlineStr">
        <is>
          <t>r4</t>
        </is>
      </c>
    </row>
    <row r="27" ht="42" customHeight="1">
      <c r="A27" s="3" t="inlineStr">
        <is>
          <t>jeminise.com+custom-bible-verse-photo-blanket-personalized-christian-gift-for-her</t>
        </is>
      </c>
      <c r="B27" s="3" t="inlineStr">
        <is>
          <t>K2</t>
        </is>
      </c>
      <c r="C27" s="3" t="n">
        <v>5</v>
      </c>
      <c r="D27" s="3" t="inlineStr">
        <is>
          <t>PARTIAL</t>
        </is>
      </c>
      <c r="E27" s="7">
        <f>IF(B27="I1",AVERAGEIF('QA_Images'!$A$2:$A$73,A27,'QA_Images'!$T$2:$T$73)/100,IF(D27="FULL",1,IF(D27="PARTIAL",0.5,IF(D27="FAIL",0,""))))</f>
        <v/>
      </c>
      <c r="F27" s="7">
        <f>IF(E27="",0,C27*E27)</f>
        <v/>
      </c>
      <c r="G27" s="7">
        <f>IF(B27="I1",20*AVERAGEIF('QA_Images'!$A$2:$A$73,A27,'QA_Images'!$U$2:$U$73)/100,IF(D27="NOT_CHECKED",0,C27))</f>
        <v/>
      </c>
      <c r="H27" s="3" t="inlineStr">
        <is>
          <t>Đã đọc primary và comparator SERP theo US commercial intent; không dùng claim volume.</t>
        </is>
      </c>
      <c r="I27" s="3" t="inlineStr">
        <is>
          <t>["evidence_batch_005_043", "https://jeminise.com/products/custom-bible-verse-photo-blanket-personalized-christian-gift-for-her", "serp_qa_043"]</t>
        </is>
      </c>
      <c r="J27" s="3" t="inlineStr">
        <is>
          <t>[]</t>
        </is>
      </c>
      <c r="K27" s="3" t="inlineStr">
        <is>
          <t>r4</t>
        </is>
      </c>
    </row>
    <row r="28" ht="42" customHeight="1">
      <c r="A28" s="2" t="inlineStr">
        <is>
          <t>jeminise.com+custom-bible-verse-photo-blanket-personalized-christian-gift-for-her</t>
        </is>
      </c>
      <c r="B28" s="2" t="inlineStr">
        <is>
          <t>K3</t>
        </is>
      </c>
      <c r="C28" s="2" t="n">
        <v>5</v>
      </c>
      <c r="D28" s="2" t="inlineStr">
        <is>
          <t>PARTIAL</t>
        </is>
      </c>
      <c r="E28" s="5">
        <f>IF(B28="I1",AVERAGEIF('QA_Images'!$A$2:$A$73,A28,'QA_Images'!$T$2:$T$73)/100,IF(D28="FULL",1,IF(D28="PARTIAL",0.5,IF(D28="FAIL",0,""))))</f>
        <v/>
      </c>
      <c r="F28" s="5">
        <f>IF(E28="",0,C28*E28)</f>
        <v/>
      </c>
      <c r="G28" s="5">
        <f>IF(B28="I1",20*AVERAGEIF('QA_Images'!$A$2:$A$73,A28,'QA_Images'!$U$2:$U$73)/100,IF(D28="NOT_CHECKED",0,C28))</f>
        <v/>
      </c>
      <c r="H28" s="2" t="inlineStr">
        <is>
          <t>Không suy diễn volume; phân biệt SERP_ONLY và HYPOTHESIS_ONLY.</t>
        </is>
      </c>
      <c r="I28" s="2" t="inlineStr">
        <is>
          <t>["evidence_batch_005_043", "https://jeminise.com/products/custom-bible-verse-photo-blanket-personalized-christian-gift-for-her", "serp_qa_043"]</t>
        </is>
      </c>
      <c r="J28" s="2" t="inlineStr">
        <is>
          <t>[]</t>
        </is>
      </c>
      <c r="K28" s="2" t="inlineStr">
        <is>
          <t>r4</t>
        </is>
      </c>
    </row>
    <row r="29" ht="42" customHeight="1">
      <c r="A29" s="3" t="inlineStr">
        <is>
          <t>jeminise.com+custom-bible-verse-photo-blanket-personalized-christian-gift-for-her</t>
        </is>
      </c>
      <c r="B29" s="3" t="inlineStr">
        <is>
          <t>T1</t>
        </is>
      </c>
      <c r="C29" s="3" t="n">
        <v>10</v>
      </c>
      <c r="D29" s="3" t="inlineStr">
        <is>
          <t>FULL</t>
        </is>
      </c>
      <c r="E29" s="7">
        <f>IF(B29="I1",AVERAGEIF('QA_Images'!$A$2:$A$73,A29,'QA_Images'!$T$2:$T$73)/100,IF(D29="FULL",1,IF(D29="PARTIAL",0.5,IF(D29="FAIL",0,""))))</f>
        <v/>
      </c>
      <c r="F29" s="7">
        <f>IF(E29="",0,C29*E29)</f>
        <v/>
      </c>
      <c r="G29" s="7">
        <f>IF(B29="I1",20*AVERAGEIF('QA_Images'!$A$2:$A$73,A29,'QA_Images'!$U$2:$U$73)/100,IF(D29="NOT_CHECKED",0,C29))</f>
        <v/>
      </c>
      <c r="H29" s="3" t="inlineStr">
        <is>
          <t>Đánh giá SEO title English về độ đúng, tự nhiên, keyword và điểm phân biệt.</t>
        </is>
      </c>
      <c r="I29" s="3" t="inlineStr">
        <is>
          <t>["evidence_batch_005_043", "https://jeminise.com/products/custom-bible-verse-photo-blanket-personalized-christian-gift-for-her", "serp_qa_043"]</t>
        </is>
      </c>
      <c r="J29" s="3" t="inlineStr">
        <is>
          <t>[]</t>
        </is>
      </c>
      <c r="K29" s="3" t="inlineStr">
        <is>
          <t>r4</t>
        </is>
      </c>
    </row>
    <row r="30" ht="42" customHeight="1">
      <c r="A30" s="2" t="inlineStr">
        <is>
          <t>jeminise.com+custom-bible-verse-photo-blanket-personalized-christian-gift-for-her</t>
        </is>
      </c>
      <c r="B30" s="2" t="inlineStr">
        <is>
          <t>T2</t>
        </is>
      </c>
      <c r="C30" s="2" t="n">
        <v>5</v>
      </c>
      <c r="D30" s="2" t="inlineStr">
        <is>
          <t>FULL</t>
        </is>
      </c>
      <c r="E30" s="5">
        <f>IF(B30="I1",AVERAGEIF('QA_Images'!$A$2:$A$73,A30,'QA_Images'!$T$2:$T$73)/100,IF(D30="FULL",1,IF(D30="PARTIAL",0.5,IF(D30="FAIL",0,""))))</f>
        <v/>
      </c>
      <c r="F30" s="5">
        <f>IF(E30="",0,C30*E30)</f>
        <v/>
      </c>
      <c r="G30" s="5">
        <f>IF(B30="I1",20*AVERAGEIF('QA_Images'!$A$2:$A$73,A30,'QA_Images'!$U$2:$U$73)/100,IF(D30="NOT_CHECKED",0,C30))</f>
        <v/>
      </c>
      <c r="H30" s="2" t="inlineStr">
        <is>
          <t>Đánh giá H1 đề xuất độc lập với SEO title và đối chiếu lỗi ký tự nguồn.</t>
        </is>
      </c>
      <c r="I30" s="2" t="inlineStr">
        <is>
          <t>["evidence_batch_005_043", "https://jeminise.com/products/custom-bible-verse-photo-blanket-personalized-christian-gift-for-her", "serp_qa_043"]</t>
        </is>
      </c>
      <c r="J30" s="2" t="inlineStr">
        <is>
          <t>[]</t>
        </is>
      </c>
      <c r="K30" s="2" t="inlineStr">
        <is>
          <t>r4</t>
        </is>
      </c>
    </row>
    <row r="31" ht="42" customHeight="1">
      <c r="A31" s="3" t="inlineStr">
        <is>
          <t>jeminise.com+custom-bible-verse-photo-blanket-personalized-christian-gift-for-her</t>
        </is>
      </c>
      <c r="B31" s="3" t="inlineStr">
        <is>
          <t>D1</t>
        </is>
      </c>
      <c r="C31" s="3" t="n">
        <v>5</v>
      </c>
      <c r="D31" s="3" t="inlineStr">
        <is>
          <t>FULL</t>
        </is>
      </c>
      <c r="E31" s="7">
        <f>IF(B31="I1",AVERAGEIF('QA_Images'!$A$2:$A$73,A31,'QA_Images'!$T$2:$T$73)/100,IF(D31="FULL",1,IF(D31="PARTIAL",0.5,IF(D31="FAIL",0,""))))</f>
        <v/>
      </c>
      <c r="F31" s="7">
        <f>IF(E31="",0,C31*E31)</f>
        <v/>
      </c>
      <c r="G31" s="7">
        <f>IF(B31="I1",20*AVERAGEIF('QA_Images'!$A$2:$A$73,A31,'QA_Images'!$U$2:$U$73)/100,IF(D31="NOT_CHECKED",0,C31))</f>
        <v/>
      </c>
      <c r="H31" s="3" t="inlineStr">
        <is>
          <t>Đánh giá meta description về tính cụ thể và căn cứ claim.</t>
        </is>
      </c>
      <c r="I31" s="3" t="inlineStr">
        <is>
          <t>["evidence_batch_005_043", "https://jeminise.com/products/custom-bible-verse-photo-blanket-personalized-christian-gift-for-her", "serp_qa_043"]</t>
        </is>
      </c>
      <c r="J31" s="3" t="inlineStr">
        <is>
          <t>[]</t>
        </is>
      </c>
      <c r="K31" s="3" t="inlineStr">
        <is>
          <t>r4</t>
        </is>
      </c>
    </row>
    <row r="32" ht="42" customHeight="1">
      <c r="A32" s="2" t="inlineStr">
        <is>
          <t>jeminise.com+custom-bible-verse-photo-blanket-personalized-christian-gift-for-her</t>
        </is>
      </c>
      <c r="B32" s="2" t="inlineStr">
        <is>
          <t>D2</t>
        </is>
      </c>
      <c r="C32" s="2" t="n">
        <v>10</v>
      </c>
      <c r="D32" s="2" t="inlineStr">
        <is>
          <t>FULL</t>
        </is>
      </c>
      <c r="E32" s="5">
        <f>IF(B32="I1",AVERAGEIF('QA_Images'!$A$2:$A$73,A32,'QA_Images'!$T$2:$T$73)/100,IF(D32="FULL",1,IF(D32="PARTIAL",0.5,IF(D32="FAIL",0,""))))</f>
        <v/>
      </c>
      <c r="F32" s="5">
        <f>IF(E32="",0,C32*E32)</f>
        <v/>
      </c>
      <c r="G32" s="5">
        <f>IF(B32="I1",20*AVERAGEIF('QA_Images'!$A$2:$A$73,A32,'QA_Images'!$U$2:$U$73)/100,IF(D32="NOT_CHECKED",0,C32))</f>
        <v/>
      </c>
      <c r="H32" s="2" t="inlineStr">
        <is>
          <t>Description SET có HTML đầy đủ nhưng chứa câu nội bộ 'This draft should be reviewed...' và dữ liệu nguồn thô/mâu thuẫn; chưa phải nội dung publish-ready.</t>
        </is>
      </c>
      <c r="I32" s="2" t="inlineStr">
        <is>
          <t>["evidence_batch_005_043", "https://jeminise.com/products/custom-bible-verse-photo-blanket-personalized-christian-gift-for-her", "serp_qa_043"]</t>
        </is>
      </c>
      <c r="J32" s="2" t="inlineStr">
        <is>
          <t>[]</t>
        </is>
      </c>
      <c r="K32" s="2" t="inlineStr">
        <is>
          <t>r4</t>
        </is>
      </c>
    </row>
    <row r="33" ht="42" customHeight="1">
      <c r="A33" s="3" t="inlineStr">
        <is>
          <t>jeminise.com+custom-bible-verse-photo-blanket-personalized-christian-gift-for-her</t>
        </is>
      </c>
      <c r="B33" s="3" t="inlineStr">
        <is>
          <t>I1</t>
        </is>
      </c>
      <c r="C33" s="3" t="n">
        <v>20</v>
      </c>
      <c r="D33" s="3" t="inlineStr">
        <is>
          <t>DERIVED</t>
        </is>
      </c>
      <c r="E33" s="7">
        <f>IF(B33="I1",AVERAGEIF('QA_Images'!$A$2:$A$73,A33,'QA_Images'!$T$2:$T$73)/100,IF(D33="FULL",1,IF(D33="PARTIAL",0.5,IF(D33="FAIL",0,""))))</f>
        <v/>
      </c>
      <c r="F33" s="7">
        <f>IF(E33="",0,C33*E33)</f>
        <v/>
      </c>
      <c r="G33" s="7">
        <f>IF(B33="I1",20*AVERAGEIF('QA_Images'!$A$2:$A$73,A33,'QA_Images'!$U$2:$U$73)/100,IF(D33="NOT_CHECKED",0,C33))</f>
        <v/>
      </c>
      <c r="H33" s="3" t="inlineStr">
        <is>
          <t>Derived from directly checked r4 media records: 100.0/100.</t>
        </is>
      </c>
      <c r="I33" s="3" t="inlineStr">
        <is>
          <t>["evidence_batch_005_043", "https://jeminise.com/products/custom-bible-verse-photo-blanket-personalized-christian-gift-for-her", "serp_qa_043"]</t>
        </is>
      </c>
      <c r="J33" s="3" t="inlineStr">
        <is>
          <t>[]</t>
        </is>
      </c>
      <c r="K33" s="3" t="inlineStr">
        <is>
          <t>r4</t>
        </is>
      </c>
    </row>
    <row r="34" ht="42" customHeight="1">
      <c r="A34" s="2" t="inlineStr">
        <is>
          <t>jeminise.com+custom-bible-verse-photo-blanket-personalized-christian-gift-for-her</t>
        </is>
      </c>
      <c r="B34" s="2" t="inlineStr">
        <is>
          <t>E1</t>
        </is>
      </c>
      <c r="C34" s="2" t="n">
        <v>5</v>
      </c>
      <c r="D34" s="2" t="inlineStr">
        <is>
          <t>FULL</t>
        </is>
      </c>
      <c r="E34" s="5">
        <f>IF(B34="I1",AVERAGEIF('QA_Images'!$A$2:$A$73,A34,'QA_Images'!$T$2:$T$73)/100,IF(D34="FULL",1,IF(D34="PARTIAL",0.5,IF(D34="FAIL",0,""))))</f>
        <v/>
      </c>
      <c r="F34" s="5">
        <f>IF(E34="",0,C34*E34)</f>
        <v/>
      </c>
      <c r="G34" s="5">
        <f>IF(B34="I1",20*AVERAGEIF('QA_Images'!$A$2:$A$73,A34,'QA_Images'!$U$2:$U$73)/100,IF(D34="NOT_CHECKED",0,C34))</f>
        <v/>
      </c>
      <c r="H34" s="2" t="inlineStr">
        <is>
          <t>Kiểm tra chuỗi evidence và giới hạn do thiếu Shopify admin export.</t>
        </is>
      </c>
      <c r="I34" s="2" t="inlineStr">
        <is>
          <t>["evidence_batch_005_043", "https://jeminise.com/products/custom-bible-verse-photo-blanket-personalized-christian-gift-for-her", "serp_qa_043"]</t>
        </is>
      </c>
      <c r="J34" s="2" t="inlineStr">
        <is>
          <t>[]</t>
        </is>
      </c>
      <c r="K34" s="2" t="inlineStr">
        <is>
          <t>r4</t>
        </is>
      </c>
    </row>
    <row r="35" ht="42" customHeight="1">
      <c r="A35" s="3" t="inlineStr">
        <is>
          <t>jeminise.com+custom-cardinals-on-flowering-branches-quilt-47d5316f3d-47d5316f3d</t>
        </is>
      </c>
      <c r="B35" s="3" t="inlineStr">
        <is>
          <t>P1</t>
        </is>
      </c>
      <c r="C35" s="3" t="n">
        <v>15</v>
      </c>
      <c r="D35" s="3" t="inlineStr">
        <is>
          <t>FULL</t>
        </is>
      </c>
      <c r="E35" s="7">
        <f>IF(B35="I1",AVERAGEIF('QA_Images'!$A$2:$A$73,A35,'QA_Images'!$T$2:$T$73)/100,IF(D35="FULL",1,IF(D35="PARTIAL",0.5,IF(D35="FAIL",0,""))))</f>
        <v/>
      </c>
      <c r="F35" s="7">
        <f>IF(E35="",0,C35*E35)</f>
        <v/>
      </c>
      <c r="G35" s="7">
        <f>IF(B35="I1",20*AVERAGEIF('QA_Images'!$A$2:$A$73,A35,'QA_Images'!$U$2:$U$73)/100,IF(D35="NOT_CHECKED",0,C35))</f>
        <v/>
      </c>
      <c r="H35" s="3" t="inlineStr">
        <is>
          <t>Đối chiếu loại sản phẩm, thiết kế và màu với product JSON, H1 live và toàn bộ gallery.</t>
        </is>
      </c>
      <c r="I35" s="3" t="inlineStr">
        <is>
          <t>["evidence_batch_005_044", "https://jeminise.com/products/custom-cardinals-on-flowering-branches-quilt-47d5316f3d-47d5316f3d", "serp_qa_044"]</t>
        </is>
      </c>
      <c r="J35" s="3" t="inlineStr">
        <is>
          <t>[]</t>
        </is>
      </c>
      <c r="K35" s="3" t="inlineStr">
        <is>
          <t>r4</t>
        </is>
      </c>
    </row>
    <row r="36" ht="42" customHeight="1">
      <c r="A36" s="2" t="inlineStr">
        <is>
          <t>jeminise.com+custom-cardinals-on-flowering-branches-quilt-47d5316f3d-47d5316f3d</t>
        </is>
      </c>
      <c r="B36" s="2" t="inlineStr">
        <is>
          <t>P2</t>
        </is>
      </c>
      <c r="C36" s="2" t="n">
        <v>10</v>
      </c>
      <c r="D36" s="2" t="inlineStr">
        <is>
          <t>FULL</t>
        </is>
      </c>
      <c r="E36" s="5">
        <f>IF(B36="I1",AVERAGEIF('QA_Images'!$A$2:$A$73,A36,'QA_Images'!$T$2:$T$73)/100,IF(D36="FULL",1,IF(D36="PARTIAL",0.5,IF(D36="FAIL",0,""))))</f>
        <v/>
      </c>
      <c r="F36" s="5">
        <f>IF(E36="",0,C36*E36)</f>
        <v/>
      </c>
      <c r="G36" s="5">
        <f>IF(B36="I1",20*AVERAGEIF('QA_Images'!$A$2:$A$73,A36,'QA_Images'!$U$2:$U$73)/100,IF(D36="NOT_CHECKED",0,C36))</f>
        <v/>
      </c>
      <c r="H36" s="2" t="inlineStr">
        <is>
          <t>Đối chiếu specifications, variants, components và personalization với product.js live, body HTML và ảnh.</t>
        </is>
      </c>
      <c r="I36" s="2" t="inlineStr">
        <is>
          <t>["evidence_batch_005_044", "https://jeminise.com/products/custom-cardinals-on-flowering-branches-quilt-47d5316f3d-47d5316f3d", "serp_qa_044"]</t>
        </is>
      </c>
      <c r="J36" s="2" t="inlineStr">
        <is>
          <t>[]</t>
        </is>
      </c>
      <c r="K36" s="2" t="inlineStr">
        <is>
          <t>r4</t>
        </is>
      </c>
    </row>
    <row r="37" ht="42" customHeight="1">
      <c r="A37" s="3" t="inlineStr">
        <is>
          <t>jeminise.com+custom-cardinals-on-flowering-branches-quilt-47d5316f3d-47d5316f3d</t>
        </is>
      </c>
      <c r="B37" s="3" t="inlineStr">
        <is>
          <t>K1</t>
        </is>
      </c>
      <c r="C37" s="3" t="n">
        <v>10</v>
      </c>
      <c r="D37" s="3" t="inlineStr">
        <is>
          <t>PARTIAL</t>
        </is>
      </c>
      <c r="E37" s="7">
        <f>IF(B37="I1",AVERAGEIF('QA_Images'!$A$2:$A$73,A37,'QA_Images'!$T$2:$T$73)/100,IF(D37="FULL",1,IF(D37="PARTIAL",0.5,IF(D37="FAIL",0,""))))</f>
        <v/>
      </c>
      <c r="F37" s="7">
        <f>IF(E37="",0,C37*E37)</f>
        <v/>
      </c>
      <c r="G37" s="7">
        <f>IF(B37="I1",20*AVERAGEIF('QA_Images'!$A$2:$A$73,A37,'QA_Images'!$U$2:$U$73)/100,IF(D37="NOT_CHECKED",0,C37))</f>
        <v/>
      </c>
      <c r="H37" s="3" t="inlineStr">
        <is>
          <t>Đối chiếu long-tail với thiết kế riêng và nguy cơ trùng intent trong cụm sản phẩm.</t>
        </is>
      </c>
      <c r="I37" s="3" t="inlineStr">
        <is>
          <t>["evidence_batch_005_044", "https://jeminise.com/products/custom-cardinals-on-flowering-branches-quilt-47d5316f3d-47d5316f3d", "serp_qa_044"]</t>
        </is>
      </c>
      <c r="J37" s="3" t="inlineStr">
        <is>
          <t>[]</t>
        </is>
      </c>
      <c r="K37" s="3" t="inlineStr">
        <is>
          <t>r4</t>
        </is>
      </c>
    </row>
    <row r="38" ht="42" customHeight="1">
      <c r="A38" s="2" t="inlineStr">
        <is>
          <t>jeminise.com+custom-cardinals-on-flowering-branches-quilt-47d5316f3d-47d5316f3d</t>
        </is>
      </c>
      <c r="B38" s="2" t="inlineStr">
        <is>
          <t>K2</t>
        </is>
      </c>
      <c r="C38" s="2" t="n">
        <v>5</v>
      </c>
      <c r="D38" s="2" t="inlineStr">
        <is>
          <t>PARTIAL</t>
        </is>
      </c>
      <c r="E38" s="5">
        <f>IF(B38="I1",AVERAGEIF('QA_Images'!$A$2:$A$73,A38,'QA_Images'!$T$2:$T$73)/100,IF(D38="FULL",1,IF(D38="PARTIAL",0.5,IF(D38="FAIL",0,""))))</f>
        <v/>
      </c>
      <c r="F38" s="5">
        <f>IF(E38="",0,C38*E38)</f>
        <v/>
      </c>
      <c r="G38" s="5">
        <f>IF(B38="I1",20*AVERAGEIF('QA_Images'!$A$2:$A$73,A38,'QA_Images'!$U$2:$U$73)/100,IF(D38="NOT_CHECKED",0,C38))</f>
        <v/>
      </c>
      <c r="H38" s="2" t="inlineStr">
        <is>
          <t>Đã đọc primary và comparator SERP theo US commercial intent; không dùng claim volume.</t>
        </is>
      </c>
      <c r="I38" s="2" t="inlineStr">
        <is>
          <t>["evidence_batch_005_044", "https://jeminise.com/products/custom-cardinals-on-flowering-branches-quilt-47d5316f3d-47d5316f3d", "serp_qa_044"]</t>
        </is>
      </c>
      <c r="J38" s="2" t="inlineStr">
        <is>
          <t>[]</t>
        </is>
      </c>
      <c r="K38" s="2" t="inlineStr">
        <is>
          <t>r4</t>
        </is>
      </c>
    </row>
    <row r="39" ht="42" customHeight="1">
      <c r="A39" s="3" t="inlineStr">
        <is>
          <t>jeminise.com+custom-cardinals-on-flowering-branches-quilt-47d5316f3d-47d5316f3d</t>
        </is>
      </c>
      <c r="B39" s="3" t="inlineStr">
        <is>
          <t>K3</t>
        </is>
      </c>
      <c r="C39" s="3" t="n">
        <v>5</v>
      </c>
      <c r="D39" s="3" t="inlineStr">
        <is>
          <t>PARTIAL</t>
        </is>
      </c>
      <c r="E39" s="7">
        <f>IF(B39="I1",AVERAGEIF('QA_Images'!$A$2:$A$73,A39,'QA_Images'!$T$2:$T$73)/100,IF(D39="FULL",1,IF(D39="PARTIAL",0.5,IF(D39="FAIL",0,""))))</f>
        <v/>
      </c>
      <c r="F39" s="7">
        <f>IF(E39="",0,C39*E39)</f>
        <v/>
      </c>
      <c r="G39" s="7">
        <f>IF(B39="I1",20*AVERAGEIF('QA_Images'!$A$2:$A$73,A39,'QA_Images'!$U$2:$U$73)/100,IF(D39="NOT_CHECKED",0,C39))</f>
        <v/>
      </c>
      <c r="H39" s="3" t="inlineStr">
        <is>
          <t>Không suy diễn volume; phân biệt SERP_ONLY và HYPOTHESIS_ONLY.</t>
        </is>
      </c>
      <c r="I39" s="3" t="inlineStr">
        <is>
          <t>["evidence_batch_005_044", "https://jeminise.com/products/custom-cardinals-on-flowering-branches-quilt-47d5316f3d-47d5316f3d", "serp_qa_044"]</t>
        </is>
      </c>
      <c r="J39" s="3" t="inlineStr">
        <is>
          <t>[]</t>
        </is>
      </c>
      <c r="K39" s="3" t="inlineStr">
        <is>
          <t>r4</t>
        </is>
      </c>
    </row>
    <row r="40" ht="42" customHeight="1">
      <c r="A40" s="2" t="inlineStr">
        <is>
          <t>jeminise.com+custom-cardinals-on-flowering-branches-quilt-47d5316f3d-47d5316f3d</t>
        </is>
      </c>
      <c r="B40" s="2" t="inlineStr">
        <is>
          <t>T1</t>
        </is>
      </c>
      <c r="C40" s="2" t="n">
        <v>10</v>
      </c>
      <c r="D40" s="2" t="inlineStr">
        <is>
          <t>FULL</t>
        </is>
      </c>
      <c r="E40" s="5">
        <f>IF(B40="I1",AVERAGEIF('QA_Images'!$A$2:$A$73,A40,'QA_Images'!$T$2:$T$73)/100,IF(D40="FULL",1,IF(D40="PARTIAL",0.5,IF(D40="FAIL",0,""))))</f>
        <v/>
      </c>
      <c r="F40" s="5">
        <f>IF(E40="",0,C40*E40)</f>
        <v/>
      </c>
      <c r="G40" s="5">
        <f>IF(B40="I1",20*AVERAGEIF('QA_Images'!$A$2:$A$73,A40,'QA_Images'!$U$2:$U$73)/100,IF(D40="NOT_CHECKED",0,C40))</f>
        <v/>
      </c>
      <c r="H40" s="2" t="inlineStr">
        <is>
          <t>Đánh giá SEO title English về độ đúng, tự nhiên, keyword và điểm phân biệt.</t>
        </is>
      </c>
      <c r="I40" s="2" t="inlineStr">
        <is>
          <t>["evidence_batch_005_044", "https://jeminise.com/products/custom-cardinals-on-flowering-branches-quilt-47d5316f3d-47d5316f3d", "serp_qa_044"]</t>
        </is>
      </c>
      <c r="J40" s="2" t="inlineStr">
        <is>
          <t>[]</t>
        </is>
      </c>
      <c r="K40" s="2" t="inlineStr">
        <is>
          <t>r4</t>
        </is>
      </c>
    </row>
    <row r="41" ht="42" customHeight="1">
      <c r="A41" s="3" t="inlineStr">
        <is>
          <t>jeminise.com+custom-cardinals-on-flowering-branches-quilt-47d5316f3d-47d5316f3d</t>
        </is>
      </c>
      <c r="B41" s="3" t="inlineStr">
        <is>
          <t>T2</t>
        </is>
      </c>
      <c r="C41" s="3" t="n">
        <v>5</v>
      </c>
      <c r="D41" s="3" t="inlineStr">
        <is>
          <t>FULL</t>
        </is>
      </c>
      <c r="E41" s="7">
        <f>IF(B41="I1",AVERAGEIF('QA_Images'!$A$2:$A$73,A41,'QA_Images'!$T$2:$T$73)/100,IF(D41="FULL",1,IF(D41="PARTIAL",0.5,IF(D41="FAIL",0,""))))</f>
        <v/>
      </c>
      <c r="F41" s="7">
        <f>IF(E41="",0,C41*E41)</f>
        <v/>
      </c>
      <c r="G41" s="7">
        <f>IF(B41="I1",20*AVERAGEIF('QA_Images'!$A$2:$A$73,A41,'QA_Images'!$U$2:$U$73)/100,IF(D41="NOT_CHECKED",0,C41))</f>
        <v/>
      </c>
      <c r="H41" s="3" t="inlineStr">
        <is>
          <t>Đánh giá H1 đề xuất độc lập với SEO title và đối chiếu lỗi ký tự nguồn.</t>
        </is>
      </c>
      <c r="I41" s="3" t="inlineStr">
        <is>
          <t>["evidence_batch_005_044", "https://jeminise.com/products/custom-cardinals-on-flowering-branches-quilt-47d5316f3d-47d5316f3d", "serp_qa_044"]</t>
        </is>
      </c>
      <c r="J41" s="3" t="inlineStr">
        <is>
          <t>[]</t>
        </is>
      </c>
      <c r="K41" s="3" t="inlineStr">
        <is>
          <t>r4</t>
        </is>
      </c>
    </row>
    <row r="42" ht="42" customHeight="1">
      <c r="A42" s="2" t="inlineStr">
        <is>
          <t>jeminise.com+custom-cardinals-on-flowering-branches-quilt-47d5316f3d-47d5316f3d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5">
        <f>IF(B42="I1",AVERAGEIF('QA_Images'!$A$2:$A$73,A42,'QA_Images'!$T$2:$T$73)/100,IF(D42="FULL",1,IF(D42="PARTIAL",0.5,IF(D42="FAIL",0,""))))</f>
        <v/>
      </c>
      <c r="F42" s="5">
        <f>IF(E42="",0,C42*E42)</f>
        <v/>
      </c>
      <c r="G42" s="5">
        <f>IF(B42="I1",20*AVERAGEIF('QA_Images'!$A$2:$A$73,A42,'QA_Images'!$U$2:$U$73)/100,IF(D42="NOT_CHECKED",0,C42))</f>
        <v/>
      </c>
      <c r="H42" s="2" t="inlineStr">
        <is>
          <t>Đánh giá meta description về tính cụ thể và căn cứ claim.</t>
        </is>
      </c>
      <c r="I42" s="2" t="inlineStr">
        <is>
          <t>["evidence_batch_005_044", "https://jeminise.com/products/custom-cardinals-on-flowering-branches-quilt-47d5316f3d-47d5316f3d", "serp_qa_044"]</t>
        </is>
      </c>
      <c r="J42" s="2" t="inlineStr">
        <is>
          <t>[]</t>
        </is>
      </c>
      <c r="K42" s="2" t="inlineStr">
        <is>
          <t>r4</t>
        </is>
      </c>
    </row>
    <row r="43" ht="42" customHeight="1">
      <c r="A43" s="3" t="inlineStr">
        <is>
          <t>jeminise.com+custom-cardinals-on-flowering-branches-quilt-47d5316f3d-47d5316f3d</t>
        </is>
      </c>
      <c r="B43" s="3" t="inlineStr">
        <is>
          <t>D2</t>
        </is>
      </c>
      <c r="C43" s="3" t="n">
        <v>10</v>
      </c>
      <c r="D43" s="3" t="inlineStr">
        <is>
          <t>FULL</t>
        </is>
      </c>
      <c r="E43" s="7">
        <f>IF(B43="I1",AVERAGEIF('QA_Images'!$A$2:$A$73,A43,'QA_Images'!$T$2:$T$73)/100,IF(D43="FULL",1,IF(D43="PARTIAL",0.5,IF(D43="FAIL",0,""))))</f>
        <v/>
      </c>
      <c r="F43" s="7">
        <f>IF(E43="",0,C43*E43)</f>
        <v/>
      </c>
      <c r="G43" s="7">
        <f>IF(B43="I1",20*AVERAGEIF('QA_Images'!$A$2:$A$73,A43,'QA_Images'!$U$2:$U$73)/100,IF(D43="NOT_CHECKED",0,C43))</f>
        <v/>
      </c>
      <c r="H43" s="3" t="inlineStr">
        <is>
          <t>Description SET có HTML đầy đủ nhưng chứa câu nội bộ 'This draft should be reviewed...' và dữ liệu nguồn thô/mâu thuẫn; chưa phải nội dung publish-ready.</t>
        </is>
      </c>
      <c r="I43" s="3" t="inlineStr">
        <is>
          <t>["evidence_batch_005_044", "https://jeminise.com/products/custom-cardinals-on-flowering-branches-quilt-47d5316f3d-47d5316f3d", "serp_qa_044"]</t>
        </is>
      </c>
      <c r="J43" s="3" t="inlineStr">
        <is>
          <t>[]</t>
        </is>
      </c>
      <c r="K43" s="3" t="inlineStr">
        <is>
          <t>r4</t>
        </is>
      </c>
    </row>
    <row r="44" ht="42" customHeight="1">
      <c r="A44" s="2" t="inlineStr">
        <is>
          <t>jeminise.com+custom-cardinals-on-flowering-branches-quilt-47d5316f3d-47d5316f3d</t>
        </is>
      </c>
      <c r="B44" s="2" t="inlineStr">
        <is>
          <t>I1</t>
        </is>
      </c>
      <c r="C44" s="2" t="n">
        <v>20</v>
      </c>
      <c r="D44" s="2" t="inlineStr">
        <is>
          <t>DERIVED</t>
        </is>
      </c>
      <c r="E44" s="5">
        <f>IF(B44="I1",AVERAGEIF('QA_Images'!$A$2:$A$73,A44,'QA_Images'!$T$2:$T$73)/100,IF(D44="FULL",1,IF(D44="PARTIAL",0.5,IF(D44="FAIL",0,""))))</f>
        <v/>
      </c>
      <c r="F44" s="5">
        <f>IF(E44="",0,C44*E44)</f>
        <v/>
      </c>
      <c r="G44" s="5">
        <f>IF(B44="I1",20*AVERAGEIF('QA_Images'!$A$2:$A$73,A44,'QA_Images'!$U$2:$U$73)/100,IF(D44="NOT_CHECKED",0,C44))</f>
        <v/>
      </c>
      <c r="H44" s="2" t="inlineStr">
        <is>
          <t>Derived from directly checked r4 media records: 100.0/100.</t>
        </is>
      </c>
      <c r="I44" s="2" t="inlineStr">
        <is>
          <t>["evidence_batch_005_044", "https://jeminise.com/products/custom-cardinals-on-flowering-branches-quilt-47d5316f3d-47d5316f3d", "serp_qa_044"]</t>
        </is>
      </c>
      <c r="J44" s="2" t="inlineStr">
        <is>
          <t>[]</t>
        </is>
      </c>
      <c r="K44" s="2" t="inlineStr">
        <is>
          <t>r4</t>
        </is>
      </c>
    </row>
    <row r="45" ht="42" customHeight="1">
      <c r="A45" s="3" t="inlineStr">
        <is>
          <t>jeminise.com+custom-cardinals-on-flowering-branches-quilt-47d5316f3d-47d5316f3d</t>
        </is>
      </c>
      <c r="B45" s="3" t="inlineStr">
        <is>
          <t>E1</t>
        </is>
      </c>
      <c r="C45" s="3" t="n">
        <v>5</v>
      </c>
      <c r="D45" s="3" t="inlineStr">
        <is>
          <t>FULL</t>
        </is>
      </c>
      <c r="E45" s="7">
        <f>IF(B45="I1",AVERAGEIF('QA_Images'!$A$2:$A$73,A45,'QA_Images'!$T$2:$T$73)/100,IF(D45="FULL",1,IF(D45="PARTIAL",0.5,IF(D45="FAIL",0,""))))</f>
        <v/>
      </c>
      <c r="F45" s="7">
        <f>IF(E45="",0,C45*E45)</f>
        <v/>
      </c>
      <c r="G45" s="7">
        <f>IF(B45="I1",20*AVERAGEIF('QA_Images'!$A$2:$A$73,A45,'QA_Images'!$U$2:$U$73)/100,IF(D45="NOT_CHECKED",0,C45))</f>
        <v/>
      </c>
      <c r="H45" s="3" t="inlineStr">
        <is>
          <t>Kiểm tra chuỗi evidence và giới hạn do thiếu Shopify admin export.</t>
        </is>
      </c>
      <c r="I45" s="3" t="inlineStr">
        <is>
          <t>["evidence_batch_005_044", "https://jeminise.com/products/custom-cardinals-on-flowering-branches-quilt-47d5316f3d-47d5316f3d", "serp_qa_044"]</t>
        </is>
      </c>
      <c r="J45" s="3" t="inlineStr">
        <is>
          <t>[]</t>
        </is>
      </c>
      <c r="K45" s="3" t="inlineStr">
        <is>
          <t>r4</t>
        </is>
      </c>
    </row>
    <row r="46" ht="42" customHeight="1">
      <c r="A46" s="2" t="inlineStr">
        <is>
          <t>jeminise.com+custom-tree-of-life-quilt-set-yggdrasil-bedding-019f2b38a4-019f2b38a4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5">
        <f>IF(B46="I1",AVERAGEIF('QA_Images'!$A$2:$A$73,A46,'QA_Images'!$T$2:$T$73)/100,IF(D46="FULL",1,IF(D46="PARTIAL",0.5,IF(D46="FAIL",0,""))))</f>
        <v/>
      </c>
      <c r="F46" s="5">
        <f>IF(E46="",0,C46*E46)</f>
        <v/>
      </c>
      <c r="G46" s="5">
        <f>IF(B46="I1",20*AVERAGEIF('QA_Images'!$A$2:$A$73,A46,'QA_Images'!$U$2:$U$73)/100,IF(D46="NOT_CHECKED",0,C46))</f>
        <v/>
      </c>
      <c r="H46" s="2" t="inlineStr">
        <is>
          <t>Đối chiếu loại sản phẩm, thiết kế và màu với product JSON, H1 live và toàn bộ gallery.</t>
        </is>
      </c>
      <c r="I46" s="2" t="inlineStr">
        <is>
          <t>["evidence_batch_005_045", "https://jeminise.com/products/custom-tree-of-life-quilt-set-yggdrasil-bedding-019f2b38a4-019f2b38a4", "serp_qa_045"]</t>
        </is>
      </c>
      <c r="J46" s="2" t="inlineStr">
        <is>
          <t>[]</t>
        </is>
      </c>
      <c r="K46" s="2" t="inlineStr">
        <is>
          <t>r4</t>
        </is>
      </c>
    </row>
    <row r="47" ht="42" customHeight="1">
      <c r="A47" s="3" t="inlineStr">
        <is>
          <t>jeminise.com+custom-tree-of-life-quilt-set-yggdrasil-bedding-019f2b38a4-019f2b38a4</t>
        </is>
      </c>
      <c r="B47" s="3" t="inlineStr">
        <is>
          <t>P2</t>
        </is>
      </c>
      <c r="C47" s="3" t="n">
        <v>10</v>
      </c>
      <c r="D47" s="3" t="inlineStr">
        <is>
          <t>FULL</t>
        </is>
      </c>
      <c r="E47" s="7">
        <f>IF(B47="I1",AVERAGEIF('QA_Images'!$A$2:$A$73,A47,'QA_Images'!$T$2:$T$73)/100,IF(D47="FULL",1,IF(D47="PARTIAL",0.5,IF(D47="FAIL",0,""))))</f>
        <v/>
      </c>
      <c r="F47" s="7">
        <f>IF(E47="",0,C47*E47)</f>
        <v/>
      </c>
      <c r="G47" s="7">
        <f>IF(B47="I1",20*AVERAGEIF('QA_Images'!$A$2:$A$73,A47,'QA_Images'!$U$2:$U$73)/100,IF(D47="NOT_CHECKED",0,C47))</f>
        <v/>
      </c>
      <c r="H47" s="3" t="inlineStr">
        <is>
          <t>Đối chiếu specifications, variants, components và personalization với product.js live, body HTML và ảnh.</t>
        </is>
      </c>
      <c r="I47" s="3" t="inlineStr">
        <is>
          <t>["evidence_batch_005_045", "https://jeminise.com/products/custom-tree-of-life-quilt-set-yggdrasil-bedding-019f2b38a4-019f2b38a4", "serp_qa_045"]</t>
        </is>
      </c>
      <c r="J47" s="3" t="inlineStr">
        <is>
          <t>[]</t>
        </is>
      </c>
      <c r="K47" s="3" t="inlineStr">
        <is>
          <t>r4</t>
        </is>
      </c>
    </row>
    <row r="48" ht="42" customHeight="1">
      <c r="A48" s="2" t="inlineStr">
        <is>
          <t>jeminise.com+custom-tree-of-life-quilt-set-yggdrasil-bedding-019f2b38a4-019f2b38a4</t>
        </is>
      </c>
      <c r="B48" s="2" t="inlineStr">
        <is>
          <t>K1</t>
        </is>
      </c>
      <c r="C48" s="2" t="n">
        <v>10</v>
      </c>
      <c r="D48" s="2" t="inlineStr">
        <is>
          <t>PARTIAL</t>
        </is>
      </c>
      <c r="E48" s="5">
        <f>IF(B48="I1",AVERAGEIF('QA_Images'!$A$2:$A$73,A48,'QA_Images'!$T$2:$T$73)/100,IF(D48="FULL",1,IF(D48="PARTIAL",0.5,IF(D48="FAIL",0,""))))</f>
        <v/>
      </c>
      <c r="F48" s="5">
        <f>IF(E48="",0,C48*E48)</f>
        <v/>
      </c>
      <c r="G48" s="5">
        <f>IF(B48="I1",20*AVERAGEIF('QA_Images'!$A$2:$A$73,A48,'QA_Images'!$U$2:$U$73)/100,IF(D48="NOT_CHECKED",0,C48))</f>
        <v/>
      </c>
      <c r="H48" s="2" t="inlineStr">
        <is>
          <t>Đối chiếu long-tail với thiết kế riêng và nguy cơ trùng intent trong cụm sản phẩm.</t>
        </is>
      </c>
      <c r="I48" s="2" t="inlineStr">
        <is>
          <t>["evidence_batch_005_045", "https://jeminise.com/products/custom-tree-of-life-quilt-set-yggdrasil-bedding-019f2b38a4-019f2b38a4", "serp_qa_045"]</t>
        </is>
      </c>
      <c r="J48" s="2" t="inlineStr">
        <is>
          <t>[]</t>
        </is>
      </c>
      <c r="K48" s="2" t="inlineStr">
        <is>
          <t>r4</t>
        </is>
      </c>
    </row>
    <row r="49" ht="42" customHeight="1">
      <c r="A49" s="3" t="inlineStr">
        <is>
          <t>jeminise.com+custom-tree-of-life-quilt-set-yggdrasil-bedding-019f2b38a4-019f2b38a4</t>
        </is>
      </c>
      <c r="B49" s="3" t="inlineStr">
        <is>
          <t>K2</t>
        </is>
      </c>
      <c r="C49" s="3" t="n">
        <v>5</v>
      </c>
      <c r="D49" s="3" t="inlineStr">
        <is>
          <t>PARTIAL</t>
        </is>
      </c>
      <c r="E49" s="7">
        <f>IF(B49="I1",AVERAGEIF('QA_Images'!$A$2:$A$73,A49,'QA_Images'!$T$2:$T$73)/100,IF(D49="FULL",1,IF(D49="PARTIAL",0.5,IF(D49="FAIL",0,""))))</f>
        <v/>
      </c>
      <c r="F49" s="7">
        <f>IF(E49="",0,C49*E49)</f>
        <v/>
      </c>
      <c r="G49" s="7">
        <f>IF(B49="I1",20*AVERAGEIF('QA_Images'!$A$2:$A$73,A49,'QA_Images'!$U$2:$U$73)/100,IF(D49="NOT_CHECKED",0,C49))</f>
        <v/>
      </c>
      <c r="H49" s="3" t="inlineStr">
        <is>
          <t>Đã đọc primary và comparator SERP theo US commercial intent; không dùng claim volume.</t>
        </is>
      </c>
      <c r="I49" s="3" t="inlineStr">
        <is>
          <t>["evidence_batch_005_045", "https://jeminise.com/products/custom-tree-of-life-quilt-set-yggdrasil-bedding-019f2b38a4-019f2b38a4", "serp_qa_045"]</t>
        </is>
      </c>
      <c r="J49" s="3" t="inlineStr">
        <is>
          <t>[]</t>
        </is>
      </c>
      <c r="K49" s="3" t="inlineStr">
        <is>
          <t>r4</t>
        </is>
      </c>
    </row>
    <row r="50" ht="42" customHeight="1">
      <c r="A50" s="2" t="inlineStr">
        <is>
          <t>jeminise.com+custom-tree-of-life-quilt-set-yggdrasil-bedding-019f2b38a4-019f2b38a4</t>
        </is>
      </c>
      <c r="B50" s="2" t="inlineStr">
        <is>
          <t>K3</t>
        </is>
      </c>
      <c r="C50" s="2" t="n">
        <v>5</v>
      </c>
      <c r="D50" s="2" t="inlineStr">
        <is>
          <t>PARTIAL</t>
        </is>
      </c>
      <c r="E50" s="5">
        <f>IF(B50="I1",AVERAGEIF('QA_Images'!$A$2:$A$73,A50,'QA_Images'!$T$2:$T$73)/100,IF(D50="FULL",1,IF(D50="PARTIAL",0.5,IF(D50="FAIL",0,""))))</f>
        <v/>
      </c>
      <c r="F50" s="5">
        <f>IF(E50="",0,C50*E50)</f>
        <v/>
      </c>
      <c r="G50" s="5">
        <f>IF(B50="I1",20*AVERAGEIF('QA_Images'!$A$2:$A$73,A50,'QA_Images'!$U$2:$U$73)/100,IF(D50="NOT_CHECKED",0,C50))</f>
        <v/>
      </c>
      <c r="H50" s="2" t="inlineStr">
        <is>
          <t>Không suy diễn volume; phân biệt SERP_ONLY và HYPOTHESIS_ONLY.</t>
        </is>
      </c>
      <c r="I50" s="2" t="inlineStr">
        <is>
          <t>["evidence_batch_005_045", "https://jeminise.com/products/custom-tree-of-life-quilt-set-yggdrasil-bedding-019f2b38a4-019f2b38a4", "serp_qa_045"]</t>
        </is>
      </c>
      <c r="J50" s="2" t="inlineStr">
        <is>
          <t>[]</t>
        </is>
      </c>
      <c r="K50" s="2" t="inlineStr">
        <is>
          <t>r4</t>
        </is>
      </c>
    </row>
    <row r="51" ht="42" customHeight="1">
      <c r="A51" s="3" t="inlineStr">
        <is>
          <t>jeminise.com+custom-tree-of-life-quilt-set-yggdrasil-bedding-019f2b38a4-019f2b38a4</t>
        </is>
      </c>
      <c r="B51" s="3" t="inlineStr">
        <is>
          <t>T1</t>
        </is>
      </c>
      <c r="C51" s="3" t="n">
        <v>10</v>
      </c>
      <c r="D51" s="3" t="inlineStr">
        <is>
          <t>FULL</t>
        </is>
      </c>
      <c r="E51" s="7">
        <f>IF(B51="I1",AVERAGEIF('QA_Images'!$A$2:$A$73,A51,'QA_Images'!$T$2:$T$73)/100,IF(D51="FULL",1,IF(D51="PARTIAL",0.5,IF(D51="FAIL",0,""))))</f>
        <v/>
      </c>
      <c r="F51" s="7">
        <f>IF(E51="",0,C51*E51)</f>
        <v/>
      </c>
      <c r="G51" s="7">
        <f>IF(B51="I1",20*AVERAGEIF('QA_Images'!$A$2:$A$73,A51,'QA_Images'!$U$2:$U$73)/100,IF(D51="NOT_CHECKED",0,C51))</f>
        <v/>
      </c>
      <c r="H51" s="3" t="inlineStr">
        <is>
          <t>Đánh giá SEO title English về độ đúng, tự nhiên, keyword và điểm phân biệt.</t>
        </is>
      </c>
      <c r="I51" s="3" t="inlineStr">
        <is>
          <t>["evidence_batch_005_045", "https://jeminise.com/products/custom-tree-of-life-quilt-set-yggdrasil-bedding-019f2b38a4-019f2b38a4", "serp_qa_045"]</t>
        </is>
      </c>
      <c r="J51" s="3" t="inlineStr">
        <is>
          <t>[]</t>
        </is>
      </c>
      <c r="K51" s="3" t="inlineStr">
        <is>
          <t>r4</t>
        </is>
      </c>
    </row>
    <row r="52" ht="42" customHeight="1">
      <c r="A52" s="2" t="inlineStr">
        <is>
          <t>jeminise.com+custom-tree-of-life-quilt-set-yggdrasil-bedding-019f2b38a4-019f2b38a4</t>
        </is>
      </c>
      <c r="B52" s="2" t="inlineStr">
        <is>
          <t>T2</t>
        </is>
      </c>
      <c r="C52" s="2" t="n">
        <v>5</v>
      </c>
      <c r="D52" s="2" t="inlineStr">
        <is>
          <t>FULL</t>
        </is>
      </c>
      <c r="E52" s="5">
        <f>IF(B52="I1",AVERAGEIF('QA_Images'!$A$2:$A$73,A52,'QA_Images'!$T$2:$T$73)/100,IF(D52="FULL",1,IF(D52="PARTIAL",0.5,IF(D52="FAIL",0,""))))</f>
        <v/>
      </c>
      <c r="F52" s="5">
        <f>IF(E52="",0,C52*E52)</f>
        <v/>
      </c>
      <c r="G52" s="5">
        <f>IF(B52="I1",20*AVERAGEIF('QA_Images'!$A$2:$A$73,A52,'QA_Images'!$U$2:$U$73)/100,IF(D52="NOT_CHECKED",0,C52))</f>
        <v/>
      </c>
      <c r="H52" s="2" t="inlineStr">
        <is>
          <t>Đánh giá H1 đề xuất độc lập với SEO title và đối chiếu lỗi ký tự nguồn.</t>
        </is>
      </c>
      <c r="I52" s="2" t="inlineStr">
        <is>
          <t>["evidence_batch_005_045", "https://jeminise.com/products/custom-tree-of-life-quilt-set-yggdrasil-bedding-019f2b38a4-019f2b38a4", "serp_qa_045"]</t>
        </is>
      </c>
      <c r="J52" s="2" t="inlineStr">
        <is>
          <t>[]</t>
        </is>
      </c>
      <c r="K52" s="2" t="inlineStr">
        <is>
          <t>r4</t>
        </is>
      </c>
    </row>
    <row r="53" ht="42" customHeight="1">
      <c r="A53" s="3" t="inlineStr">
        <is>
          <t>jeminise.com+custom-tree-of-life-quilt-set-yggdrasil-bedding-019f2b38a4-019f2b38a4</t>
        </is>
      </c>
      <c r="B53" s="3" t="inlineStr">
        <is>
          <t>D1</t>
        </is>
      </c>
      <c r="C53" s="3" t="n">
        <v>5</v>
      </c>
      <c r="D53" s="3" t="inlineStr">
        <is>
          <t>FULL</t>
        </is>
      </c>
      <c r="E53" s="7">
        <f>IF(B53="I1",AVERAGEIF('QA_Images'!$A$2:$A$73,A53,'QA_Images'!$T$2:$T$73)/100,IF(D53="FULL",1,IF(D53="PARTIAL",0.5,IF(D53="FAIL",0,""))))</f>
        <v/>
      </c>
      <c r="F53" s="7">
        <f>IF(E53="",0,C53*E53)</f>
        <v/>
      </c>
      <c r="G53" s="7">
        <f>IF(B53="I1",20*AVERAGEIF('QA_Images'!$A$2:$A$73,A53,'QA_Images'!$U$2:$U$73)/100,IF(D53="NOT_CHECKED",0,C53))</f>
        <v/>
      </c>
      <c r="H53" s="3" t="inlineStr">
        <is>
          <t>Đánh giá meta description về tính cụ thể và căn cứ claim.</t>
        </is>
      </c>
      <c r="I53" s="3" t="inlineStr">
        <is>
          <t>["evidence_batch_005_045", "https://jeminise.com/products/custom-tree-of-life-quilt-set-yggdrasil-bedding-019f2b38a4-019f2b38a4", "serp_qa_045"]</t>
        </is>
      </c>
      <c r="J53" s="3" t="inlineStr">
        <is>
          <t>[]</t>
        </is>
      </c>
      <c r="K53" s="3" t="inlineStr">
        <is>
          <t>r4</t>
        </is>
      </c>
    </row>
    <row r="54" ht="42" customHeight="1">
      <c r="A54" s="2" t="inlineStr">
        <is>
          <t>jeminise.com+custom-tree-of-life-quilt-set-yggdrasil-bedding-019f2b38a4-019f2b38a4</t>
        </is>
      </c>
      <c r="B54" s="2" t="inlineStr">
        <is>
          <t>D2</t>
        </is>
      </c>
      <c r="C54" s="2" t="n">
        <v>10</v>
      </c>
      <c r="D54" s="2" t="inlineStr">
        <is>
          <t>FULL</t>
        </is>
      </c>
      <c r="E54" s="5">
        <f>IF(B54="I1",AVERAGEIF('QA_Images'!$A$2:$A$73,A54,'QA_Images'!$T$2:$T$73)/100,IF(D54="FULL",1,IF(D54="PARTIAL",0.5,IF(D54="FAIL",0,""))))</f>
        <v/>
      </c>
      <c r="F54" s="5">
        <f>IF(E54="",0,C54*E54)</f>
        <v/>
      </c>
      <c r="G54" s="5">
        <f>IF(B54="I1",20*AVERAGEIF('QA_Images'!$A$2:$A$73,A54,'QA_Images'!$U$2:$U$73)/100,IF(D54="NOT_CHECKED",0,C54))</f>
        <v/>
      </c>
      <c r="H54" s="2" t="inlineStr">
        <is>
          <t>Description SET có HTML đầy đủ nhưng chứa câu nội bộ 'This draft should be reviewed...' và dữ liệu nguồn thô/mâu thuẫn; chưa phải nội dung publish-ready.</t>
        </is>
      </c>
      <c r="I54" s="2" t="inlineStr">
        <is>
          <t>["evidence_batch_005_045", "https://jeminise.com/products/custom-tree-of-life-quilt-set-yggdrasil-bedding-019f2b38a4-019f2b38a4", "serp_qa_045"]</t>
        </is>
      </c>
      <c r="J54" s="2" t="inlineStr">
        <is>
          <t>[]</t>
        </is>
      </c>
      <c r="K54" s="2" t="inlineStr">
        <is>
          <t>r4</t>
        </is>
      </c>
    </row>
    <row r="55" ht="42" customHeight="1">
      <c r="A55" s="3" t="inlineStr">
        <is>
          <t>jeminise.com+custom-tree-of-life-quilt-set-yggdrasil-bedding-019f2b38a4-019f2b38a4</t>
        </is>
      </c>
      <c r="B55" s="3" t="inlineStr">
        <is>
          <t>I1</t>
        </is>
      </c>
      <c r="C55" s="3" t="n">
        <v>20</v>
      </c>
      <c r="D55" s="3" t="inlineStr">
        <is>
          <t>DERIVED</t>
        </is>
      </c>
      <c r="E55" s="7">
        <f>IF(B55="I1",AVERAGEIF('QA_Images'!$A$2:$A$73,A55,'QA_Images'!$T$2:$T$73)/100,IF(D55="FULL",1,IF(D55="PARTIAL",0.5,IF(D55="FAIL",0,""))))</f>
        <v/>
      </c>
      <c r="F55" s="7">
        <f>IF(E55="",0,C55*E55)</f>
        <v/>
      </c>
      <c r="G55" s="7">
        <f>IF(B55="I1",20*AVERAGEIF('QA_Images'!$A$2:$A$73,A55,'QA_Images'!$U$2:$U$73)/100,IF(D55="NOT_CHECKED",0,C55))</f>
        <v/>
      </c>
      <c r="H55" s="3" t="inlineStr">
        <is>
          <t>Derived from directly checked r4 media records: 100.0/100.</t>
        </is>
      </c>
      <c r="I55" s="3" t="inlineStr">
        <is>
          <t>["evidence_batch_005_045", "https://jeminise.com/products/custom-tree-of-life-quilt-set-yggdrasil-bedding-019f2b38a4-019f2b38a4", "serp_qa_045"]</t>
        </is>
      </c>
      <c r="J55" s="3" t="inlineStr">
        <is>
          <t>[]</t>
        </is>
      </c>
      <c r="K55" s="3" t="inlineStr">
        <is>
          <t>r4</t>
        </is>
      </c>
    </row>
    <row r="56" ht="42" customHeight="1">
      <c r="A56" s="2" t="inlineStr">
        <is>
          <t>jeminise.com+custom-tree-of-life-quilt-set-yggdrasil-bedding-019f2b38a4-019f2b38a4</t>
        </is>
      </c>
      <c r="B56" s="2" t="inlineStr">
        <is>
          <t>E1</t>
        </is>
      </c>
      <c r="C56" s="2" t="n">
        <v>5</v>
      </c>
      <c r="D56" s="2" t="inlineStr">
        <is>
          <t>FULL</t>
        </is>
      </c>
      <c r="E56" s="5">
        <f>IF(B56="I1",AVERAGEIF('QA_Images'!$A$2:$A$73,A56,'QA_Images'!$T$2:$T$73)/100,IF(D56="FULL",1,IF(D56="PARTIAL",0.5,IF(D56="FAIL",0,""))))</f>
        <v/>
      </c>
      <c r="F56" s="5">
        <f>IF(E56="",0,C56*E56)</f>
        <v/>
      </c>
      <c r="G56" s="5">
        <f>IF(B56="I1",20*AVERAGEIF('QA_Images'!$A$2:$A$73,A56,'QA_Images'!$U$2:$U$73)/100,IF(D56="NOT_CHECKED",0,C56))</f>
        <v/>
      </c>
      <c r="H56" s="2" t="inlineStr">
        <is>
          <t>Kiểm tra chuỗi evidence và giới hạn do thiếu Shopify admin export.</t>
        </is>
      </c>
      <c r="I56" s="2" t="inlineStr">
        <is>
          <t>["evidence_batch_005_045", "https://jeminise.com/products/custom-tree-of-life-quilt-set-yggdrasil-bedding-019f2b38a4-019f2b38a4", "serp_qa_045"]</t>
        </is>
      </c>
      <c r="J56" s="2" t="inlineStr">
        <is>
          <t>[]</t>
        </is>
      </c>
      <c r="K56" s="2" t="inlineStr">
        <is>
          <t>r4</t>
        </is>
      </c>
    </row>
    <row r="57" ht="42" customHeight="1">
      <c r="A57" s="3" t="inlineStr">
        <is>
          <t>jeminise.com+custom-tree-of-life-quilt-set-yggdrasil-celtic-patterns-908827b1df-908827b1df</t>
        </is>
      </c>
      <c r="B57" s="3" t="inlineStr">
        <is>
          <t>P1</t>
        </is>
      </c>
      <c r="C57" s="3" t="n">
        <v>15</v>
      </c>
      <c r="D57" s="3" t="inlineStr">
        <is>
          <t>FULL</t>
        </is>
      </c>
      <c r="E57" s="7">
        <f>IF(B57="I1",AVERAGEIF('QA_Images'!$A$2:$A$73,A57,'QA_Images'!$T$2:$T$73)/100,IF(D57="FULL",1,IF(D57="PARTIAL",0.5,IF(D57="FAIL",0,""))))</f>
        <v/>
      </c>
      <c r="F57" s="7">
        <f>IF(E57="",0,C57*E57)</f>
        <v/>
      </c>
      <c r="G57" s="7">
        <f>IF(B57="I1",20*AVERAGEIF('QA_Images'!$A$2:$A$73,A57,'QA_Images'!$U$2:$U$73)/100,IF(D57="NOT_CHECKED",0,C57))</f>
        <v/>
      </c>
      <c r="H57" s="3" t="inlineStr">
        <is>
          <t>Đối chiếu loại sản phẩm, thiết kế và màu với product JSON, H1 live và toàn bộ gallery.</t>
        </is>
      </c>
      <c r="I57" s="3" t="inlineStr">
        <is>
          <t>["evidence_batch_005_046", "https://jeminise.com/products/custom-tree-of-life-quilt-set-yggdrasil-celtic-patterns-908827b1df-908827b1df", "serp_qa_046"]</t>
        </is>
      </c>
      <c r="J57" s="3" t="inlineStr">
        <is>
          <t>[]</t>
        </is>
      </c>
      <c r="K57" s="3" t="inlineStr">
        <is>
          <t>r4</t>
        </is>
      </c>
    </row>
    <row r="58" ht="42" customHeight="1">
      <c r="A58" s="2" t="inlineStr">
        <is>
          <t>jeminise.com+custom-tree-of-life-quilt-set-yggdrasil-celtic-patterns-908827b1df-908827b1df</t>
        </is>
      </c>
      <c r="B58" s="2" t="inlineStr">
        <is>
          <t>P2</t>
        </is>
      </c>
      <c r="C58" s="2" t="n">
        <v>10</v>
      </c>
      <c r="D58" s="2" t="inlineStr">
        <is>
          <t>FULL</t>
        </is>
      </c>
      <c r="E58" s="5">
        <f>IF(B58="I1",AVERAGEIF('QA_Images'!$A$2:$A$73,A58,'QA_Images'!$T$2:$T$73)/100,IF(D58="FULL",1,IF(D58="PARTIAL",0.5,IF(D58="FAIL",0,""))))</f>
        <v/>
      </c>
      <c r="F58" s="5">
        <f>IF(E58="",0,C58*E58)</f>
        <v/>
      </c>
      <c r="G58" s="5">
        <f>IF(B58="I1",20*AVERAGEIF('QA_Images'!$A$2:$A$73,A58,'QA_Images'!$U$2:$U$73)/100,IF(D58="NOT_CHECKED",0,C58))</f>
        <v/>
      </c>
      <c r="H58" s="2" t="inlineStr">
        <is>
          <t>Đối chiếu specifications, variants, components và personalization với product.js live, body HTML và ảnh.</t>
        </is>
      </c>
      <c r="I58" s="2" t="inlineStr">
        <is>
          <t>["evidence_batch_005_046", "https://jeminise.com/products/custom-tree-of-life-quilt-set-yggdrasil-celtic-patterns-908827b1df-908827b1df", "serp_qa_046"]</t>
        </is>
      </c>
      <c r="J58" s="2" t="inlineStr">
        <is>
          <t>[]</t>
        </is>
      </c>
      <c r="K58" s="2" t="inlineStr">
        <is>
          <t>r4</t>
        </is>
      </c>
    </row>
    <row r="59" ht="42" customHeight="1">
      <c r="A59" s="3" t="inlineStr">
        <is>
          <t>jeminise.com+custom-tree-of-life-quilt-set-yggdrasil-celtic-patterns-908827b1df-908827b1df</t>
        </is>
      </c>
      <c r="B59" s="3" t="inlineStr">
        <is>
          <t>K1</t>
        </is>
      </c>
      <c r="C59" s="3" t="n">
        <v>10</v>
      </c>
      <c r="D59" s="3" t="inlineStr">
        <is>
          <t>PARTIAL</t>
        </is>
      </c>
      <c r="E59" s="7">
        <f>IF(B59="I1",AVERAGEIF('QA_Images'!$A$2:$A$73,A59,'QA_Images'!$T$2:$T$73)/100,IF(D59="FULL",1,IF(D59="PARTIAL",0.5,IF(D59="FAIL",0,""))))</f>
        <v/>
      </c>
      <c r="F59" s="7">
        <f>IF(E59="",0,C59*E59)</f>
        <v/>
      </c>
      <c r="G59" s="7">
        <f>IF(B59="I1",20*AVERAGEIF('QA_Images'!$A$2:$A$73,A59,'QA_Images'!$U$2:$U$73)/100,IF(D59="NOT_CHECKED",0,C59))</f>
        <v/>
      </c>
      <c r="H59" s="3" t="inlineStr">
        <is>
          <t>Đối chiếu long-tail với thiết kế riêng và nguy cơ trùng intent trong cụm sản phẩm.</t>
        </is>
      </c>
      <c r="I59" s="3" t="inlineStr">
        <is>
          <t>["evidence_batch_005_046", "https://jeminise.com/products/custom-tree-of-life-quilt-set-yggdrasil-celtic-patterns-908827b1df-908827b1df", "serp_qa_046"]</t>
        </is>
      </c>
      <c r="J59" s="3" t="inlineStr">
        <is>
          <t>[]</t>
        </is>
      </c>
      <c r="K59" s="3" t="inlineStr">
        <is>
          <t>r4</t>
        </is>
      </c>
    </row>
    <row r="60" ht="42" customHeight="1">
      <c r="A60" s="2" t="inlineStr">
        <is>
          <t>jeminise.com+custom-tree-of-life-quilt-set-yggdrasil-celtic-patterns-908827b1df-908827b1df</t>
        </is>
      </c>
      <c r="B60" s="2" t="inlineStr">
        <is>
          <t>K2</t>
        </is>
      </c>
      <c r="C60" s="2" t="n">
        <v>5</v>
      </c>
      <c r="D60" s="2" t="inlineStr">
        <is>
          <t>PARTIAL</t>
        </is>
      </c>
      <c r="E60" s="5">
        <f>IF(B60="I1",AVERAGEIF('QA_Images'!$A$2:$A$73,A60,'QA_Images'!$T$2:$T$73)/100,IF(D60="FULL",1,IF(D60="PARTIAL",0.5,IF(D60="FAIL",0,""))))</f>
        <v/>
      </c>
      <c r="F60" s="5">
        <f>IF(E60="",0,C60*E60)</f>
        <v/>
      </c>
      <c r="G60" s="5">
        <f>IF(B60="I1",20*AVERAGEIF('QA_Images'!$A$2:$A$73,A60,'QA_Images'!$U$2:$U$73)/100,IF(D60="NOT_CHECKED",0,C60))</f>
        <v/>
      </c>
      <c r="H60" s="2" t="inlineStr">
        <is>
          <t>Đã đọc primary và comparator SERP theo US commercial intent; không dùng claim volume.</t>
        </is>
      </c>
      <c r="I60" s="2" t="inlineStr">
        <is>
          <t>["evidence_batch_005_046", "https://jeminise.com/products/custom-tree-of-life-quilt-set-yggdrasil-celtic-patterns-908827b1df-908827b1df", "serp_qa_046"]</t>
        </is>
      </c>
      <c r="J60" s="2" t="inlineStr">
        <is>
          <t>[]</t>
        </is>
      </c>
      <c r="K60" s="2" t="inlineStr">
        <is>
          <t>r4</t>
        </is>
      </c>
    </row>
    <row r="61" ht="42" customHeight="1">
      <c r="A61" s="3" t="inlineStr">
        <is>
          <t>jeminise.com+custom-tree-of-life-quilt-set-yggdrasil-celtic-patterns-908827b1df-908827b1df</t>
        </is>
      </c>
      <c r="B61" s="3" t="inlineStr">
        <is>
          <t>K3</t>
        </is>
      </c>
      <c r="C61" s="3" t="n">
        <v>5</v>
      </c>
      <c r="D61" s="3" t="inlineStr">
        <is>
          <t>PARTIAL</t>
        </is>
      </c>
      <c r="E61" s="7">
        <f>IF(B61="I1",AVERAGEIF('QA_Images'!$A$2:$A$73,A61,'QA_Images'!$T$2:$T$73)/100,IF(D61="FULL",1,IF(D61="PARTIAL",0.5,IF(D61="FAIL",0,""))))</f>
        <v/>
      </c>
      <c r="F61" s="7">
        <f>IF(E61="",0,C61*E61)</f>
        <v/>
      </c>
      <c r="G61" s="7">
        <f>IF(B61="I1",20*AVERAGEIF('QA_Images'!$A$2:$A$73,A61,'QA_Images'!$U$2:$U$73)/100,IF(D61="NOT_CHECKED",0,C61))</f>
        <v/>
      </c>
      <c r="H61" s="3" t="inlineStr">
        <is>
          <t>Không suy diễn volume; phân biệt SERP_ONLY và HYPOTHESIS_ONLY.</t>
        </is>
      </c>
      <c r="I61" s="3" t="inlineStr">
        <is>
          <t>["evidence_batch_005_046", "https://jeminise.com/products/custom-tree-of-life-quilt-set-yggdrasil-celtic-patterns-908827b1df-908827b1df", "serp_qa_046"]</t>
        </is>
      </c>
      <c r="J61" s="3" t="inlineStr">
        <is>
          <t>[]</t>
        </is>
      </c>
      <c r="K61" s="3" t="inlineStr">
        <is>
          <t>r4</t>
        </is>
      </c>
    </row>
    <row r="62" ht="42" customHeight="1">
      <c r="A62" s="2" t="inlineStr">
        <is>
          <t>jeminise.com+custom-tree-of-life-quilt-set-yggdrasil-celtic-patterns-908827b1df-908827b1df</t>
        </is>
      </c>
      <c r="B62" s="2" t="inlineStr">
        <is>
          <t>T1</t>
        </is>
      </c>
      <c r="C62" s="2" t="n">
        <v>10</v>
      </c>
      <c r="D62" s="2" t="inlineStr">
        <is>
          <t>FULL</t>
        </is>
      </c>
      <c r="E62" s="5">
        <f>IF(B62="I1",AVERAGEIF('QA_Images'!$A$2:$A$73,A62,'QA_Images'!$T$2:$T$73)/100,IF(D62="FULL",1,IF(D62="PARTIAL",0.5,IF(D62="FAIL",0,""))))</f>
        <v/>
      </c>
      <c r="F62" s="5">
        <f>IF(E62="",0,C62*E62)</f>
        <v/>
      </c>
      <c r="G62" s="5">
        <f>IF(B62="I1",20*AVERAGEIF('QA_Images'!$A$2:$A$73,A62,'QA_Images'!$U$2:$U$73)/100,IF(D62="NOT_CHECKED",0,C62))</f>
        <v/>
      </c>
      <c r="H62" s="2" t="inlineStr">
        <is>
          <t>Đánh giá SEO title English về độ đúng, tự nhiên, keyword và điểm phân biệt.</t>
        </is>
      </c>
      <c r="I62" s="2" t="inlineStr">
        <is>
          <t>["evidence_batch_005_046", "https://jeminise.com/products/custom-tree-of-life-quilt-set-yggdrasil-celtic-patterns-908827b1df-908827b1df", "serp_qa_046"]</t>
        </is>
      </c>
      <c r="J62" s="2" t="inlineStr">
        <is>
          <t>[]</t>
        </is>
      </c>
      <c r="K62" s="2" t="inlineStr">
        <is>
          <t>r4</t>
        </is>
      </c>
    </row>
    <row r="63" ht="42" customHeight="1">
      <c r="A63" s="3" t="inlineStr">
        <is>
          <t>jeminise.com+custom-tree-of-life-quilt-set-yggdrasil-celtic-patterns-908827b1df-908827b1df</t>
        </is>
      </c>
      <c r="B63" s="3" t="inlineStr">
        <is>
          <t>T2</t>
        </is>
      </c>
      <c r="C63" s="3" t="n">
        <v>5</v>
      </c>
      <c r="D63" s="3" t="inlineStr">
        <is>
          <t>FULL</t>
        </is>
      </c>
      <c r="E63" s="7">
        <f>IF(B63="I1",AVERAGEIF('QA_Images'!$A$2:$A$73,A63,'QA_Images'!$T$2:$T$73)/100,IF(D63="FULL",1,IF(D63="PARTIAL",0.5,IF(D63="FAIL",0,""))))</f>
        <v/>
      </c>
      <c r="F63" s="7">
        <f>IF(E63="",0,C63*E63)</f>
        <v/>
      </c>
      <c r="G63" s="7">
        <f>IF(B63="I1",20*AVERAGEIF('QA_Images'!$A$2:$A$73,A63,'QA_Images'!$U$2:$U$73)/100,IF(D63="NOT_CHECKED",0,C63))</f>
        <v/>
      </c>
      <c r="H63" s="3" t="inlineStr">
        <is>
          <t>Đánh giá H1 đề xuất độc lập với SEO title và đối chiếu lỗi ký tự nguồn.</t>
        </is>
      </c>
      <c r="I63" s="3" t="inlineStr">
        <is>
          <t>["evidence_batch_005_046", "https://jeminise.com/products/custom-tree-of-life-quilt-set-yggdrasil-celtic-patterns-908827b1df-908827b1df", "serp_qa_046"]</t>
        </is>
      </c>
      <c r="J63" s="3" t="inlineStr">
        <is>
          <t>[]</t>
        </is>
      </c>
      <c r="K63" s="3" t="inlineStr">
        <is>
          <t>r4</t>
        </is>
      </c>
    </row>
    <row r="64" ht="42" customHeight="1">
      <c r="A64" s="2" t="inlineStr">
        <is>
          <t>jeminise.com+custom-tree-of-life-quilt-set-yggdrasil-celtic-patterns-908827b1df-908827b1df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5">
        <f>IF(B64="I1",AVERAGEIF('QA_Images'!$A$2:$A$73,A64,'QA_Images'!$T$2:$T$73)/100,IF(D64="FULL",1,IF(D64="PARTIAL",0.5,IF(D64="FAIL",0,""))))</f>
        <v/>
      </c>
      <c r="F64" s="5">
        <f>IF(E64="",0,C64*E64)</f>
        <v/>
      </c>
      <c r="G64" s="5">
        <f>IF(B64="I1",20*AVERAGEIF('QA_Images'!$A$2:$A$73,A64,'QA_Images'!$U$2:$U$73)/100,IF(D64="NOT_CHECKED",0,C64))</f>
        <v/>
      </c>
      <c r="H64" s="2" t="inlineStr">
        <is>
          <t>Đánh giá meta description về tính cụ thể và căn cứ claim.</t>
        </is>
      </c>
      <c r="I64" s="2" t="inlineStr">
        <is>
          <t>["evidence_batch_005_046", "https://jeminise.com/products/custom-tree-of-life-quilt-set-yggdrasil-celtic-patterns-908827b1df-908827b1df", "serp_qa_046"]</t>
        </is>
      </c>
      <c r="J64" s="2" t="inlineStr">
        <is>
          <t>[]</t>
        </is>
      </c>
      <c r="K64" s="2" t="inlineStr">
        <is>
          <t>r4</t>
        </is>
      </c>
    </row>
    <row r="65" ht="42" customHeight="1">
      <c r="A65" s="3" t="inlineStr">
        <is>
          <t>jeminise.com+custom-tree-of-life-quilt-set-yggdrasil-celtic-patterns-908827b1df-908827b1df</t>
        </is>
      </c>
      <c r="B65" s="3" t="inlineStr">
        <is>
          <t>D2</t>
        </is>
      </c>
      <c r="C65" s="3" t="n">
        <v>10</v>
      </c>
      <c r="D65" s="3" t="inlineStr">
        <is>
          <t>FULL</t>
        </is>
      </c>
      <c r="E65" s="7">
        <f>IF(B65="I1",AVERAGEIF('QA_Images'!$A$2:$A$73,A65,'QA_Images'!$T$2:$T$73)/100,IF(D65="FULL",1,IF(D65="PARTIAL",0.5,IF(D65="FAIL",0,""))))</f>
        <v/>
      </c>
      <c r="F65" s="7">
        <f>IF(E65="",0,C65*E65)</f>
        <v/>
      </c>
      <c r="G65" s="7">
        <f>IF(B65="I1",20*AVERAGEIF('QA_Images'!$A$2:$A$73,A65,'QA_Images'!$U$2:$U$73)/100,IF(D65="NOT_CHECKED",0,C65))</f>
        <v/>
      </c>
      <c r="H65" s="3" t="inlineStr">
        <is>
          <t>Description SET có HTML đầy đủ nhưng chứa câu nội bộ 'This draft should be reviewed...' và dữ liệu nguồn thô/mâu thuẫn; chưa phải nội dung publish-ready.</t>
        </is>
      </c>
      <c r="I65" s="3" t="inlineStr">
        <is>
          <t>["evidence_batch_005_046", "https://jeminise.com/products/custom-tree-of-life-quilt-set-yggdrasil-celtic-patterns-908827b1df-908827b1df", "serp_qa_046"]</t>
        </is>
      </c>
      <c r="J65" s="3" t="inlineStr">
        <is>
          <t>[]</t>
        </is>
      </c>
      <c r="K65" s="3" t="inlineStr">
        <is>
          <t>r4</t>
        </is>
      </c>
    </row>
    <row r="66" ht="42" customHeight="1">
      <c r="A66" s="2" t="inlineStr">
        <is>
          <t>jeminise.com+custom-tree-of-life-quilt-set-yggdrasil-celtic-patterns-908827b1df-908827b1df</t>
        </is>
      </c>
      <c r="B66" s="2" t="inlineStr">
        <is>
          <t>I1</t>
        </is>
      </c>
      <c r="C66" s="2" t="n">
        <v>20</v>
      </c>
      <c r="D66" s="2" t="inlineStr">
        <is>
          <t>DERIVED</t>
        </is>
      </c>
      <c r="E66" s="5">
        <f>IF(B66="I1",AVERAGEIF('QA_Images'!$A$2:$A$73,A66,'QA_Images'!$T$2:$T$73)/100,IF(D66="FULL",1,IF(D66="PARTIAL",0.5,IF(D66="FAIL",0,""))))</f>
        <v/>
      </c>
      <c r="F66" s="5">
        <f>IF(E66="",0,C66*E66)</f>
        <v/>
      </c>
      <c r="G66" s="5">
        <f>IF(B66="I1",20*AVERAGEIF('QA_Images'!$A$2:$A$73,A66,'QA_Images'!$U$2:$U$73)/100,IF(D66="NOT_CHECKED",0,C66))</f>
        <v/>
      </c>
      <c r="H66" s="2" t="inlineStr">
        <is>
          <t>Derived from directly checked r4 media records: 100.0/100.</t>
        </is>
      </c>
      <c r="I66" s="2" t="inlineStr">
        <is>
          <t>["evidence_batch_005_046", "https://jeminise.com/products/custom-tree-of-life-quilt-set-yggdrasil-celtic-patterns-908827b1df-908827b1df", "serp_qa_046"]</t>
        </is>
      </c>
      <c r="J66" s="2" t="inlineStr">
        <is>
          <t>[]</t>
        </is>
      </c>
      <c r="K66" s="2" t="inlineStr">
        <is>
          <t>r4</t>
        </is>
      </c>
    </row>
    <row r="67" ht="42" customHeight="1">
      <c r="A67" s="3" t="inlineStr">
        <is>
          <t>jeminise.com+custom-tree-of-life-quilt-set-yggdrasil-celtic-patterns-908827b1df-908827b1df</t>
        </is>
      </c>
      <c r="B67" s="3" t="inlineStr">
        <is>
          <t>E1</t>
        </is>
      </c>
      <c r="C67" s="3" t="n">
        <v>5</v>
      </c>
      <c r="D67" s="3" t="inlineStr">
        <is>
          <t>FULL</t>
        </is>
      </c>
      <c r="E67" s="7">
        <f>IF(B67="I1",AVERAGEIF('QA_Images'!$A$2:$A$73,A67,'QA_Images'!$T$2:$T$73)/100,IF(D67="FULL",1,IF(D67="PARTIAL",0.5,IF(D67="FAIL",0,""))))</f>
        <v/>
      </c>
      <c r="F67" s="7">
        <f>IF(E67="",0,C67*E67)</f>
        <v/>
      </c>
      <c r="G67" s="7">
        <f>IF(B67="I1",20*AVERAGEIF('QA_Images'!$A$2:$A$73,A67,'QA_Images'!$U$2:$U$73)/100,IF(D67="NOT_CHECKED",0,C67))</f>
        <v/>
      </c>
      <c r="H67" s="3" t="inlineStr">
        <is>
          <t>Kiểm tra chuỗi evidence và giới hạn do thiếu Shopify admin export.</t>
        </is>
      </c>
      <c r="I67" s="3" t="inlineStr">
        <is>
          <t>["evidence_batch_005_046", "https://jeminise.com/products/custom-tree-of-life-quilt-set-yggdrasil-celtic-patterns-908827b1df-908827b1df", "serp_qa_046"]</t>
        </is>
      </c>
      <c r="J67" s="3" t="inlineStr">
        <is>
          <t>[]</t>
        </is>
      </c>
      <c r="K67" s="3" t="inlineStr">
        <is>
          <t>r4</t>
        </is>
      </c>
    </row>
    <row r="68" ht="42" customHeight="1">
      <c r="A68" s="2" t="inlineStr">
        <is>
          <t>jeminise.com+custom-tree-of-life-quilt-set-yggdrasil-bedding-5048da8f29-5048da8f29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5">
        <f>IF(B68="I1",AVERAGEIF('QA_Images'!$A$2:$A$73,A68,'QA_Images'!$T$2:$T$73)/100,IF(D68="FULL",1,IF(D68="PARTIAL",0.5,IF(D68="FAIL",0,""))))</f>
        <v/>
      </c>
      <c r="F68" s="5">
        <f>IF(E68="",0,C68*E68)</f>
        <v/>
      </c>
      <c r="G68" s="5">
        <f>IF(B68="I1",20*AVERAGEIF('QA_Images'!$A$2:$A$73,A68,'QA_Images'!$U$2:$U$73)/100,IF(D68="NOT_CHECKED",0,C68))</f>
        <v/>
      </c>
      <c r="H68" s="2" t="inlineStr">
        <is>
          <t>Đối chiếu loại sản phẩm, thiết kế và màu với product JSON, H1 live và toàn bộ gallery.</t>
        </is>
      </c>
      <c r="I68" s="2" t="inlineStr">
        <is>
          <t>["evidence_batch_005_047", "https://jeminise.com/products/custom-tree-of-life-quilt-set-yggdrasil-bedding-5048da8f29-5048da8f29", "serp_qa_047"]</t>
        </is>
      </c>
      <c r="J68" s="2" t="inlineStr">
        <is>
          <t>[]</t>
        </is>
      </c>
      <c r="K68" s="2" t="inlineStr">
        <is>
          <t>r4</t>
        </is>
      </c>
    </row>
    <row r="69" ht="42" customHeight="1">
      <c r="A69" s="3" t="inlineStr">
        <is>
          <t>jeminise.com+custom-tree-of-life-quilt-set-yggdrasil-bedding-5048da8f29-5048da8f29</t>
        </is>
      </c>
      <c r="B69" s="3" t="inlineStr">
        <is>
          <t>P2</t>
        </is>
      </c>
      <c r="C69" s="3" t="n">
        <v>10</v>
      </c>
      <c r="D69" s="3" t="inlineStr">
        <is>
          <t>FULL</t>
        </is>
      </c>
      <c r="E69" s="7">
        <f>IF(B69="I1",AVERAGEIF('QA_Images'!$A$2:$A$73,A69,'QA_Images'!$T$2:$T$73)/100,IF(D69="FULL",1,IF(D69="PARTIAL",0.5,IF(D69="FAIL",0,""))))</f>
        <v/>
      </c>
      <c r="F69" s="7">
        <f>IF(E69="",0,C69*E69)</f>
        <v/>
      </c>
      <c r="G69" s="7">
        <f>IF(B69="I1",20*AVERAGEIF('QA_Images'!$A$2:$A$73,A69,'QA_Images'!$U$2:$U$73)/100,IF(D69="NOT_CHECKED",0,C69))</f>
        <v/>
      </c>
      <c r="H69" s="3" t="inlineStr">
        <is>
          <t>Đối chiếu specifications, variants, components và personalization với product.js live, body HTML và ảnh.</t>
        </is>
      </c>
      <c r="I69" s="3" t="inlineStr">
        <is>
          <t>["evidence_batch_005_047", "https://jeminise.com/products/custom-tree-of-life-quilt-set-yggdrasil-bedding-5048da8f29-5048da8f29", "serp_qa_047"]</t>
        </is>
      </c>
      <c r="J69" s="3" t="inlineStr">
        <is>
          <t>[]</t>
        </is>
      </c>
      <c r="K69" s="3" t="inlineStr">
        <is>
          <t>r4</t>
        </is>
      </c>
    </row>
    <row r="70" ht="42" customHeight="1">
      <c r="A70" s="2" t="inlineStr">
        <is>
          <t>jeminise.com+custom-tree-of-life-quilt-set-yggdrasil-bedding-5048da8f29-5048da8f29</t>
        </is>
      </c>
      <c r="B70" s="2" t="inlineStr">
        <is>
          <t>K1</t>
        </is>
      </c>
      <c r="C70" s="2" t="n">
        <v>10</v>
      </c>
      <c r="D70" s="2" t="inlineStr">
        <is>
          <t>PARTIAL</t>
        </is>
      </c>
      <c r="E70" s="5">
        <f>IF(B70="I1",AVERAGEIF('QA_Images'!$A$2:$A$73,A70,'QA_Images'!$T$2:$T$73)/100,IF(D70="FULL",1,IF(D70="PARTIAL",0.5,IF(D70="FAIL",0,""))))</f>
        <v/>
      </c>
      <c r="F70" s="5">
        <f>IF(E70="",0,C70*E70)</f>
        <v/>
      </c>
      <c r="G70" s="5">
        <f>IF(B70="I1",20*AVERAGEIF('QA_Images'!$A$2:$A$73,A70,'QA_Images'!$U$2:$U$73)/100,IF(D70="NOT_CHECKED",0,C70))</f>
        <v/>
      </c>
      <c r="H70" s="2" t="inlineStr">
        <is>
          <t>Đối chiếu long-tail với thiết kế riêng và nguy cơ trùng intent trong cụm sản phẩm.</t>
        </is>
      </c>
      <c r="I70" s="2" t="inlineStr">
        <is>
          <t>["evidence_batch_005_047", "https://jeminise.com/products/custom-tree-of-life-quilt-set-yggdrasil-bedding-5048da8f29-5048da8f29", "serp_qa_047"]</t>
        </is>
      </c>
      <c r="J70" s="2" t="inlineStr">
        <is>
          <t>[]</t>
        </is>
      </c>
      <c r="K70" s="2" t="inlineStr">
        <is>
          <t>r4</t>
        </is>
      </c>
    </row>
    <row r="71" ht="42" customHeight="1">
      <c r="A71" s="3" t="inlineStr">
        <is>
          <t>jeminise.com+custom-tree-of-life-quilt-set-yggdrasil-bedding-5048da8f29-5048da8f29</t>
        </is>
      </c>
      <c r="B71" s="3" t="inlineStr">
        <is>
          <t>K2</t>
        </is>
      </c>
      <c r="C71" s="3" t="n">
        <v>5</v>
      </c>
      <c r="D71" s="3" t="inlineStr">
        <is>
          <t>PARTIAL</t>
        </is>
      </c>
      <c r="E71" s="7">
        <f>IF(B71="I1",AVERAGEIF('QA_Images'!$A$2:$A$73,A71,'QA_Images'!$T$2:$T$73)/100,IF(D71="FULL",1,IF(D71="PARTIAL",0.5,IF(D71="FAIL",0,""))))</f>
        <v/>
      </c>
      <c r="F71" s="7">
        <f>IF(E71="",0,C71*E71)</f>
        <v/>
      </c>
      <c r="G71" s="7">
        <f>IF(B71="I1",20*AVERAGEIF('QA_Images'!$A$2:$A$73,A71,'QA_Images'!$U$2:$U$73)/100,IF(D71="NOT_CHECKED",0,C71))</f>
        <v/>
      </c>
      <c r="H71" s="3" t="inlineStr">
        <is>
          <t>Đã đọc primary và comparator SERP theo US commercial intent; không dùng claim volume.</t>
        </is>
      </c>
      <c r="I71" s="3" t="inlineStr">
        <is>
          <t>["evidence_batch_005_047", "https://jeminise.com/products/custom-tree-of-life-quilt-set-yggdrasil-bedding-5048da8f29-5048da8f29", "serp_qa_047"]</t>
        </is>
      </c>
      <c r="J71" s="3" t="inlineStr">
        <is>
          <t>[]</t>
        </is>
      </c>
      <c r="K71" s="3" t="inlineStr">
        <is>
          <t>r4</t>
        </is>
      </c>
    </row>
    <row r="72" ht="42" customHeight="1">
      <c r="A72" s="2" t="inlineStr">
        <is>
          <t>jeminise.com+custom-tree-of-life-quilt-set-yggdrasil-bedding-5048da8f29-5048da8f29</t>
        </is>
      </c>
      <c r="B72" s="2" t="inlineStr">
        <is>
          <t>K3</t>
        </is>
      </c>
      <c r="C72" s="2" t="n">
        <v>5</v>
      </c>
      <c r="D72" s="2" t="inlineStr">
        <is>
          <t>PARTIAL</t>
        </is>
      </c>
      <c r="E72" s="5">
        <f>IF(B72="I1",AVERAGEIF('QA_Images'!$A$2:$A$73,A72,'QA_Images'!$T$2:$T$73)/100,IF(D72="FULL",1,IF(D72="PARTIAL",0.5,IF(D72="FAIL",0,""))))</f>
        <v/>
      </c>
      <c r="F72" s="5">
        <f>IF(E72="",0,C72*E72)</f>
        <v/>
      </c>
      <c r="G72" s="5">
        <f>IF(B72="I1",20*AVERAGEIF('QA_Images'!$A$2:$A$73,A72,'QA_Images'!$U$2:$U$73)/100,IF(D72="NOT_CHECKED",0,C72))</f>
        <v/>
      </c>
      <c r="H72" s="2" t="inlineStr">
        <is>
          <t>Không suy diễn volume; phân biệt SERP_ONLY và HYPOTHESIS_ONLY.</t>
        </is>
      </c>
      <c r="I72" s="2" t="inlineStr">
        <is>
          <t>["evidence_batch_005_047", "https://jeminise.com/products/custom-tree-of-life-quilt-set-yggdrasil-bedding-5048da8f29-5048da8f29", "serp_qa_047"]</t>
        </is>
      </c>
      <c r="J72" s="2" t="inlineStr">
        <is>
          <t>[]</t>
        </is>
      </c>
      <c r="K72" s="2" t="inlineStr">
        <is>
          <t>r4</t>
        </is>
      </c>
    </row>
    <row r="73" ht="42" customHeight="1">
      <c r="A73" s="3" t="inlineStr">
        <is>
          <t>jeminise.com+custom-tree-of-life-quilt-set-yggdrasil-bedding-5048da8f29-5048da8f29</t>
        </is>
      </c>
      <c r="B73" s="3" t="inlineStr">
        <is>
          <t>T1</t>
        </is>
      </c>
      <c r="C73" s="3" t="n">
        <v>10</v>
      </c>
      <c r="D73" s="3" t="inlineStr">
        <is>
          <t>FULL</t>
        </is>
      </c>
      <c r="E73" s="7">
        <f>IF(B73="I1",AVERAGEIF('QA_Images'!$A$2:$A$73,A73,'QA_Images'!$T$2:$T$73)/100,IF(D73="FULL",1,IF(D73="PARTIAL",0.5,IF(D73="FAIL",0,""))))</f>
        <v/>
      </c>
      <c r="F73" s="7">
        <f>IF(E73="",0,C73*E73)</f>
        <v/>
      </c>
      <c r="G73" s="7">
        <f>IF(B73="I1",20*AVERAGEIF('QA_Images'!$A$2:$A$73,A73,'QA_Images'!$U$2:$U$73)/100,IF(D73="NOT_CHECKED",0,C73))</f>
        <v/>
      </c>
      <c r="H73" s="3" t="inlineStr">
        <is>
          <t>Đánh giá SEO title English về độ đúng, tự nhiên, keyword và điểm phân biệt.</t>
        </is>
      </c>
      <c r="I73" s="3" t="inlineStr">
        <is>
          <t>["evidence_batch_005_047", "https://jeminise.com/products/custom-tree-of-life-quilt-set-yggdrasil-bedding-5048da8f29-5048da8f29", "serp_qa_047"]</t>
        </is>
      </c>
      <c r="J73" s="3" t="inlineStr">
        <is>
          <t>[]</t>
        </is>
      </c>
      <c r="K73" s="3" t="inlineStr">
        <is>
          <t>r4</t>
        </is>
      </c>
    </row>
    <row r="74" ht="42" customHeight="1">
      <c r="A74" s="2" t="inlineStr">
        <is>
          <t>jeminise.com+custom-tree-of-life-quilt-set-yggdrasil-bedding-5048da8f29-5048da8f29</t>
        </is>
      </c>
      <c r="B74" s="2" t="inlineStr">
        <is>
          <t>T2</t>
        </is>
      </c>
      <c r="C74" s="2" t="n">
        <v>5</v>
      </c>
      <c r="D74" s="2" t="inlineStr">
        <is>
          <t>FULL</t>
        </is>
      </c>
      <c r="E74" s="5">
        <f>IF(B74="I1",AVERAGEIF('QA_Images'!$A$2:$A$73,A74,'QA_Images'!$T$2:$T$73)/100,IF(D74="FULL",1,IF(D74="PARTIAL",0.5,IF(D74="FAIL",0,""))))</f>
        <v/>
      </c>
      <c r="F74" s="5">
        <f>IF(E74="",0,C74*E74)</f>
        <v/>
      </c>
      <c r="G74" s="5">
        <f>IF(B74="I1",20*AVERAGEIF('QA_Images'!$A$2:$A$73,A74,'QA_Images'!$U$2:$U$73)/100,IF(D74="NOT_CHECKED",0,C74))</f>
        <v/>
      </c>
      <c r="H74" s="2" t="inlineStr">
        <is>
          <t>Đánh giá H1 đề xuất độc lập với SEO title và đối chiếu lỗi ký tự nguồn.</t>
        </is>
      </c>
      <c r="I74" s="2" t="inlineStr">
        <is>
          <t>["evidence_batch_005_047", "https://jeminise.com/products/custom-tree-of-life-quilt-set-yggdrasil-bedding-5048da8f29-5048da8f29", "serp_qa_047"]</t>
        </is>
      </c>
      <c r="J74" s="2" t="inlineStr">
        <is>
          <t>[]</t>
        </is>
      </c>
      <c r="K74" s="2" t="inlineStr">
        <is>
          <t>r4</t>
        </is>
      </c>
    </row>
    <row r="75" ht="42" customHeight="1">
      <c r="A75" s="3" t="inlineStr">
        <is>
          <t>jeminise.com+custom-tree-of-life-quilt-set-yggdrasil-bedding-5048da8f29-5048da8f29</t>
        </is>
      </c>
      <c r="B75" s="3" t="inlineStr">
        <is>
          <t>D1</t>
        </is>
      </c>
      <c r="C75" s="3" t="n">
        <v>5</v>
      </c>
      <c r="D75" s="3" t="inlineStr">
        <is>
          <t>FULL</t>
        </is>
      </c>
      <c r="E75" s="7">
        <f>IF(B75="I1",AVERAGEIF('QA_Images'!$A$2:$A$73,A75,'QA_Images'!$T$2:$T$73)/100,IF(D75="FULL",1,IF(D75="PARTIAL",0.5,IF(D75="FAIL",0,""))))</f>
        <v/>
      </c>
      <c r="F75" s="7">
        <f>IF(E75="",0,C75*E75)</f>
        <v/>
      </c>
      <c r="G75" s="7">
        <f>IF(B75="I1",20*AVERAGEIF('QA_Images'!$A$2:$A$73,A75,'QA_Images'!$U$2:$U$73)/100,IF(D75="NOT_CHECKED",0,C75))</f>
        <v/>
      </c>
      <c r="H75" s="3" t="inlineStr">
        <is>
          <t>Đánh giá meta description về tính cụ thể và căn cứ claim.</t>
        </is>
      </c>
      <c r="I75" s="3" t="inlineStr">
        <is>
          <t>["evidence_batch_005_047", "https://jeminise.com/products/custom-tree-of-life-quilt-set-yggdrasil-bedding-5048da8f29-5048da8f29", "serp_qa_047"]</t>
        </is>
      </c>
      <c r="J75" s="3" t="inlineStr">
        <is>
          <t>[]</t>
        </is>
      </c>
      <c r="K75" s="3" t="inlineStr">
        <is>
          <t>r4</t>
        </is>
      </c>
    </row>
    <row r="76" ht="42" customHeight="1">
      <c r="A76" s="2" t="inlineStr">
        <is>
          <t>jeminise.com+custom-tree-of-life-quilt-set-yggdrasil-bedding-5048da8f29-5048da8f29</t>
        </is>
      </c>
      <c r="B76" s="2" t="inlineStr">
        <is>
          <t>D2</t>
        </is>
      </c>
      <c r="C76" s="2" t="n">
        <v>10</v>
      </c>
      <c r="D76" s="2" t="inlineStr">
        <is>
          <t>FULL</t>
        </is>
      </c>
      <c r="E76" s="5">
        <f>IF(B76="I1",AVERAGEIF('QA_Images'!$A$2:$A$73,A76,'QA_Images'!$T$2:$T$73)/100,IF(D76="FULL",1,IF(D76="PARTIAL",0.5,IF(D76="FAIL",0,""))))</f>
        <v/>
      </c>
      <c r="F76" s="5">
        <f>IF(E76="",0,C76*E76)</f>
        <v/>
      </c>
      <c r="G76" s="5">
        <f>IF(B76="I1",20*AVERAGEIF('QA_Images'!$A$2:$A$73,A76,'QA_Images'!$U$2:$U$73)/100,IF(D76="NOT_CHECKED",0,C76))</f>
        <v/>
      </c>
      <c r="H76" s="2" t="inlineStr">
        <is>
          <t>Description SET có HTML đầy đủ nhưng chứa câu nội bộ 'This draft should be reviewed...' và dữ liệu nguồn thô/mâu thuẫn; chưa phải nội dung publish-ready.</t>
        </is>
      </c>
      <c r="I76" s="2" t="inlineStr">
        <is>
          <t>["evidence_batch_005_047", "https://jeminise.com/products/custom-tree-of-life-quilt-set-yggdrasil-bedding-5048da8f29-5048da8f29", "serp_qa_047"]</t>
        </is>
      </c>
      <c r="J76" s="2" t="inlineStr">
        <is>
          <t>[]</t>
        </is>
      </c>
      <c r="K76" s="2" t="inlineStr">
        <is>
          <t>r4</t>
        </is>
      </c>
    </row>
    <row r="77" ht="42" customHeight="1">
      <c r="A77" s="3" t="inlineStr">
        <is>
          <t>jeminise.com+custom-tree-of-life-quilt-set-yggdrasil-bedding-5048da8f29-5048da8f29</t>
        </is>
      </c>
      <c r="B77" s="3" t="inlineStr">
        <is>
          <t>I1</t>
        </is>
      </c>
      <c r="C77" s="3" t="n">
        <v>20</v>
      </c>
      <c r="D77" s="3" t="inlineStr">
        <is>
          <t>DERIVED</t>
        </is>
      </c>
      <c r="E77" s="7">
        <f>IF(B77="I1",AVERAGEIF('QA_Images'!$A$2:$A$73,A77,'QA_Images'!$T$2:$T$73)/100,IF(D77="FULL",1,IF(D77="PARTIAL",0.5,IF(D77="FAIL",0,""))))</f>
        <v/>
      </c>
      <c r="F77" s="7">
        <f>IF(E77="",0,C77*E77)</f>
        <v/>
      </c>
      <c r="G77" s="7">
        <f>IF(B77="I1",20*AVERAGEIF('QA_Images'!$A$2:$A$73,A77,'QA_Images'!$U$2:$U$73)/100,IF(D77="NOT_CHECKED",0,C77))</f>
        <v/>
      </c>
      <c r="H77" s="3" t="inlineStr">
        <is>
          <t>Derived from directly checked r4 media records: 100.0/100.</t>
        </is>
      </c>
      <c r="I77" s="3" t="inlineStr">
        <is>
          <t>["evidence_batch_005_047", "https://jeminise.com/products/custom-tree-of-life-quilt-set-yggdrasil-bedding-5048da8f29-5048da8f29", "serp_qa_047"]</t>
        </is>
      </c>
      <c r="J77" s="3" t="inlineStr">
        <is>
          <t>[]</t>
        </is>
      </c>
      <c r="K77" s="3" t="inlineStr">
        <is>
          <t>r4</t>
        </is>
      </c>
    </row>
    <row r="78" ht="42" customHeight="1">
      <c r="A78" s="2" t="inlineStr">
        <is>
          <t>jeminise.com+custom-tree-of-life-quilt-set-yggdrasil-bedding-5048da8f29-5048da8f29</t>
        </is>
      </c>
      <c r="B78" s="2" t="inlineStr">
        <is>
          <t>E1</t>
        </is>
      </c>
      <c r="C78" s="2" t="n">
        <v>5</v>
      </c>
      <c r="D78" s="2" t="inlineStr">
        <is>
          <t>FULL</t>
        </is>
      </c>
      <c r="E78" s="5">
        <f>IF(B78="I1",AVERAGEIF('QA_Images'!$A$2:$A$73,A78,'QA_Images'!$T$2:$T$73)/100,IF(D78="FULL",1,IF(D78="PARTIAL",0.5,IF(D78="FAIL",0,""))))</f>
        <v/>
      </c>
      <c r="F78" s="5">
        <f>IF(E78="",0,C78*E78)</f>
        <v/>
      </c>
      <c r="G78" s="5">
        <f>IF(B78="I1",20*AVERAGEIF('QA_Images'!$A$2:$A$73,A78,'QA_Images'!$U$2:$U$73)/100,IF(D78="NOT_CHECKED",0,C78))</f>
        <v/>
      </c>
      <c r="H78" s="2" t="inlineStr">
        <is>
          <t>Kiểm tra chuỗi evidence và giới hạn do thiếu Shopify admin export.</t>
        </is>
      </c>
      <c r="I78" s="2" t="inlineStr">
        <is>
          <t>["evidence_batch_005_047", "https://jeminise.com/products/custom-tree-of-life-quilt-set-yggdrasil-bedding-5048da8f29-5048da8f29", "serp_qa_047"]</t>
        </is>
      </c>
      <c r="J78" s="2" t="inlineStr">
        <is>
          <t>[]</t>
        </is>
      </c>
      <c r="K78" s="2" t="inlineStr">
        <is>
          <t>r4</t>
        </is>
      </c>
    </row>
    <row r="79" ht="42" customHeight="1">
      <c r="A79" s="3" t="inlineStr">
        <is>
          <t>jeminise.com+custom-christian-faith-semi-truck-in-front-of-large-comforter-057143b1f8-057143b1f8</t>
        </is>
      </c>
      <c r="B79" s="3" t="inlineStr">
        <is>
          <t>P1</t>
        </is>
      </c>
      <c r="C79" s="3" t="n">
        <v>15</v>
      </c>
      <c r="D79" s="3" t="inlineStr">
        <is>
          <t>FULL</t>
        </is>
      </c>
      <c r="E79" s="7">
        <f>IF(B79="I1",AVERAGEIF('QA_Images'!$A$2:$A$73,A79,'QA_Images'!$T$2:$T$73)/100,IF(D79="FULL",1,IF(D79="PARTIAL",0.5,IF(D79="FAIL",0,""))))</f>
        <v/>
      </c>
      <c r="F79" s="7">
        <f>IF(E79="",0,C79*E79)</f>
        <v/>
      </c>
      <c r="G79" s="7">
        <f>IF(B79="I1",20*AVERAGEIF('QA_Images'!$A$2:$A$73,A79,'QA_Images'!$U$2:$U$73)/100,IF(D79="NOT_CHECKED",0,C79))</f>
        <v/>
      </c>
      <c r="H79" s="3" t="inlineStr">
        <is>
          <t>Đối chiếu loại sản phẩm, thiết kế và màu với product JSON, H1 live và toàn bộ gallery.</t>
        </is>
      </c>
      <c r="I79" s="3" t="inlineStr">
        <is>
          <t>["evidence_batch_005_048", "https://jeminise.com/products/custom-christian-faith-semi-truck-in-front-of-large-comforter-057143b1f8-057143b1f8", "serp_qa_048"]</t>
        </is>
      </c>
      <c r="J79" s="3" t="inlineStr">
        <is>
          <t>[]</t>
        </is>
      </c>
      <c r="K79" s="3" t="inlineStr">
        <is>
          <t>r4</t>
        </is>
      </c>
    </row>
    <row r="80" ht="42" customHeight="1">
      <c r="A80" s="2" t="inlineStr">
        <is>
          <t>jeminise.com+custom-christian-faith-semi-truck-in-front-of-large-comforter-057143b1f8-057143b1f8</t>
        </is>
      </c>
      <c r="B80" s="2" t="inlineStr">
        <is>
          <t>P2</t>
        </is>
      </c>
      <c r="C80" s="2" t="n">
        <v>10</v>
      </c>
      <c r="D80" s="2" t="inlineStr">
        <is>
          <t>FULL</t>
        </is>
      </c>
      <c r="E80" s="5">
        <f>IF(B80="I1",AVERAGEIF('QA_Images'!$A$2:$A$73,A80,'QA_Images'!$T$2:$T$73)/100,IF(D80="FULL",1,IF(D80="PARTIAL",0.5,IF(D80="FAIL",0,""))))</f>
        <v/>
      </c>
      <c r="F80" s="5">
        <f>IF(E80="",0,C80*E80)</f>
        <v/>
      </c>
      <c r="G80" s="5">
        <f>IF(B80="I1",20*AVERAGEIF('QA_Images'!$A$2:$A$73,A80,'QA_Images'!$U$2:$U$73)/100,IF(D80="NOT_CHECKED",0,C80))</f>
        <v/>
      </c>
      <c r="H80" s="2" t="inlineStr">
        <is>
          <t>Đối chiếu specifications, variants, components và personalization với product.js live, body HTML và ảnh.</t>
        </is>
      </c>
      <c r="I80" s="2" t="inlineStr">
        <is>
          <t>["evidence_batch_005_048", "https://jeminise.com/products/custom-christian-faith-semi-truck-in-front-of-large-comforter-057143b1f8-057143b1f8", "serp_qa_048"]</t>
        </is>
      </c>
      <c r="J80" s="2" t="inlineStr">
        <is>
          <t>[]</t>
        </is>
      </c>
      <c r="K80" s="2" t="inlineStr">
        <is>
          <t>r4</t>
        </is>
      </c>
    </row>
    <row r="81" ht="42" customHeight="1">
      <c r="A81" s="3" t="inlineStr">
        <is>
          <t>jeminise.com+custom-christian-faith-semi-truck-in-front-of-large-comforter-057143b1f8-057143b1f8</t>
        </is>
      </c>
      <c r="B81" s="3" t="inlineStr">
        <is>
          <t>K1</t>
        </is>
      </c>
      <c r="C81" s="3" t="n">
        <v>10</v>
      </c>
      <c r="D81" s="3" t="inlineStr">
        <is>
          <t>PARTIAL</t>
        </is>
      </c>
      <c r="E81" s="7">
        <f>IF(B81="I1",AVERAGEIF('QA_Images'!$A$2:$A$73,A81,'QA_Images'!$T$2:$T$73)/100,IF(D81="FULL",1,IF(D81="PARTIAL",0.5,IF(D81="FAIL",0,""))))</f>
        <v/>
      </c>
      <c r="F81" s="7">
        <f>IF(E81="",0,C81*E81)</f>
        <v/>
      </c>
      <c r="G81" s="7">
        <f>IF(B81="I1",20*AVERAGEIF('QA_Images'!$A$2:$A$73,A81,'QA_Images'!$U$2:$U$73)/100,IF(D81="NOT_CHECKED",0,C81))</f>
        <v/>
      </c>
      <c r="H81" s="3" t="inlineStr">
        <is>
          <t>Đối chiếu long-tail với thiết kế riêng và nguy cơ trùng intent trong cụm sản phẩm.</t>
        </is>
      </c>
      <c r="I81" s="3" t="inlineStr">
        <is>
          <t>["evidence_batch_005_048", "https://jeminise.com/products/custom-christian-faith-semi-truck-in-front-of-large-comforter-057143b1f8-057143b1f8", "serp_qa_048"]</t>
        </is>
      </c>
      <c r="J81" s="3" t="inlineStr">
        <is>
          <t>[]</t>
        </is>
      </c>
      <c r="K81" s="3" t="inlineStr">
        <is>
          <t>r4</t>
        </is>
      </c>
    </row>
    <row r="82" ht="42" customHeight="1">
      <c r="A82" s="2" t="inlineStr">
        <is>
          <t>jeminise.com+custom-christian-faith-semi-truck-in-front-of-large-comforter-057143b1f8-057143b1f8</t>
        </is>
      </c>
      <c r="B82" s="2" t="inlineStr">
        <is>
          <t>K2</t>
        </is>
      </c>
      <c r="C82" s="2" t="n">
        <v>5</v>
      </c>
      <c r="D82" s="2" t="inlineStr">
        <is>
          <t>PARTIAL</t>
        </is>
      </c>
      <c r="E82" s="5">
        <f>IF(B82="I1",AVERAGEIF('QA_Images'!$A$2:$A$73,A82,'QA_Images'!$T$2:$T$73)/100,IF(D82="FULL",1,IF(D82="PARTIAL",0.5,IF(D82="FAIL",0,""))))</f>
        <v/>
      </c>
      <c r="F82" s="5">
        <f>IF(E82="",0,C82*E82)</f>
        <v/>
      </c>
      <c r="G82" s="5">
        <f>IF(B82="I1",20*AVERAGEIF('QA_Images'!$A$2:$A$73,A82,'QA_Images'!$U$2:$U$73)/100,IF(D82="NOT_CHECKED",0,C82))</f>
        <v/>
      </c>
      <c r="H82" s="2" t="inlineStr">
        <is>
          <t>Đã đọc primary và comparator SERP theo US commercial intent; không dùng claim volume.</t>
        </is>
      </c>
      <c r="I82" s="2" t="inlineStr">
        <is>
          <t>["evidence_batch_005_048", "https://jeminise.com/products/custom-christian-faith-semi-truck-in-front-of-large-comforter-057143b1f8-057143b1f8", "serp_qa_048"]</t>
        </is>
      </c>
      <c r="J82" s="2" t="inlineStr">
        <is>
          <t>[]</t>
        </is>
      </c>
      <c r="K82" s="2" t="inlineStr">
        <is>
          <t>r4</t>
        </is>
      </c>
    </row>
    <row r="83" ht="42" customHeight="1">
      <c r="A83" s="3" t="inlineStr">
        <is>
          <t>jeminise.com+custom-christian-faith-semi-truck-in-front-of-large-comforter-057143b1f8-057143b1f8</t>
        </is>
      </c>
      <c r="B83" s="3" t="inlineStr">
        <is>
          <t>K3</t>
        </is>
      </c>
      <c r="C83" s="3" t="n">
        <v>5</v>
      </c>
      <c r="D83" s="3" t="inlineStr">
        <is>
          <t>PARTIAL</t>
        </is>
      </c>
      <c r="E83" s="7">
        <f>IF(B83="I1",AVERAGEIF('QA_Images'!$A$2:$A$73,A83,'QA_Images'!$T$2:$T$73)/100,IF(D83="FULL",1,IF(D83="PARTIAL",0.5,IF(D83="FAIL",0,""))))</f>
        <v/>
      </c>
      <c r="F83" s="7">
        <f>IF(E83="",0,C83*E83)</f>
        <v/>
      </c>
      <c r="G83" s="7">
        <f>IF(B83="I1",20*AVERAGEIF('QA_Images'!$A$2:$A$73,A83,'QA_Images'!$U$2:$U$73)/100,IF(D83="NOT_CHECKED",0,C83))</f>
        <v/>
      </c>
      <c r="H83" s="3" t="inlineStr">
        <is>
          <t>Không suy diễn volume; phân biệt SERP_ONLY và HYPOTHESIS_ONLY.</t>
        </is>
      </c>
      <c r="I83" s="3" t="inlineStr">
        <is>
          <t>["evidence_batch_005_048", "https://jeminise.com/products/custom-christian-faith-semi-truck-in-front-of-large-comforter-057143b1f8-057143b1f8", "serp_qa_048"]</t>
        </is>
      </c>
      <c r="J83" s="3" t="inlineStr">
        <is>
          <t>[]</t>
        </is>
      </c>
      <c r="K83" s="3" t="inlineStr">
        <is>
          <t>r4</t>
        </is>
      </c>
    </row>
    <row r="84" ht="42" customHeight="1">
      <c r="A84" s="2" t="inlineStr">
        <is>
          <t>jeminise.com+custom-christian-faith-semi-truck-in-front-of-large-comforter-057143b1f8-057143b1f8</t>
        </is>
      </c>
      <c r="B84" s="2" t="inlineStr">
        <is>
          <t>T1</t>
        </is>
      </c>
      <c r="C84" s="2" t="n">
        <v>10</v>
      </c>
      <c r="D84" s="2" t="inlineStr">
        <is>
          <t>FULL</t>
        </is>
      </c>
      <c r="E84" s="5">
        <f>IF(B84="I1",AVERAGEIF('QA_Images'!$A$2:$A$73,A84,'QA_Images'!$T$2:$T$73)/100,IF(D84="FULL",1,IF(D84="PARTIAL",0.5,IF(D84="FAIL",0,""))))</f>
        <v/>
      </c>
      <c r="F84" s="5">
        <f>IF(E84="",0,C84*E84)</f>
        <v/>
      </c>
      <c r="G84" s="5">
        <f>IF(B84="I1",20*AVERAGEIF('QA_Images'!$A$2:$A$73,A84,'QA_Images'!$U$2:$U$73)/100,IF(D84="NOT_CHECKED",0,C84))</f>
        <v/>
      </c>
      <c r="H84" s="2" t="inlineStr">
        <is>
          <t>Đánh giá SEO title English về độ đúng, tự nhiên, keyword và điểm phân biệt.</t>
        </is>
      </c>
      <c r="I84" s="2" t="inlineStr">
        <is>
          <t>["evidence_batch_005_048", "https://jeminise.com/products/custom-christian-faith-semi-truck-in-front-of-large-comforter-057143b1f8-057143b1f8", "serp_qa_048"]</t>
        </is>
      </c>
      <c r="J84" s="2" t="inlineStr">
        <is>
          <t>[]</t>
        </is>
      </c>
      <c r="K84" s="2" t="inlineStr">
        <is>
          <t>r4</t>
        </is>
      </c>
    </row>
    <row r="85" ht="42" customHeight="1">
      <c r="A85" s="3" t="inlineStr">
        <is>
          <t>jeminise.com+custom-christian-faith-semi-truck-in-front-of-large-comforter-057143b1f8-057143b1f8</t>
        </is>
      </c>
      <c r="B85" s="3" t="inlineStr">
        <is>
          <t>T2</t>
        </is>
      </c>
      <c r="C85" s="3" t="n">
        <v>5</v>
      </c>
      <c r="D85" s="3" t="inlineStr">
        <is>
          <t>FULL</t>
        </is>
      </c>
      <c r="E85" s="7">
        <f>IF(B85="I1",AVERAGEIF('QA_Images'!$A$2:$A$73,A85,'QA_Images'!$T$2:$T$73)/100,IF(D85="FULL",1,IF(D85="PARTIAL",0.5,IF(D85="FAIL",0,""))))</f>
        <v/>
      </c>
      <c r="F85" s="7">
        <f>IF(E85="",0,C85*E85)</f>
        <v/>
      </c>
      <c r="G85" s="7">
        <f>IF(B85="I1",20*AVERAGEIF('QA_Images'!$A$2:$A$73,A85,'QA_Images'!$U$2:$U$73)/100,IF(D85="NOT_CHECKED",0,C85))</f>
        <v/>
      </c>
      <c r="H85" s="3" t="inlineStr">
        <is>
          <t>Đánh giá H1 đề xuất độc lập với SEO title và đối chiếu lỗi ký tự nguồn.</t>
        </is>
      </c>
      <c r="I85" s="3" t="inlineStr">
        <is>
          <t>["evidence_batch_005_048", "https://jeminise.com/products/custom-christian-faith-semi-truck-in-front-of-large-comforter-057143b1f8-057143b1f8", "serp_qa_048"]</t>
        </is>
      </c>
      <c r="J85" s="3" t="inlineStr">
        <is>
          <t>[]</t>
        </is>
      </c>
      <c r="K85" s="3" t="inlineStr">
        <is>
          <t>r4</t>
        </is>
      </c>
    </row>
    <row r="86" ht="42" customHeight="1">
      <c r="A86" s="2" t="inlineStr">
        <is>
          <t>jeminise.com+custom-christian-faith-semi-truck-in-front-of-large-comforter-057143b1f8-057143b1f8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5">
        <f>IF(B86="I1",AVERAGEIF('QA_Images'!$A$2:$A$73,A86,'QA_Images'!$T$2:$T$73)/100,IF(D86="FULL",1,IF(D86="PARTIAL",0.5,IF(D86="FAIL",0,""))))</f>
        <v/>
      </c>
      <c r="F86" s="5">
        <f>IF(E86="",0,C86*E86)</f>
        <v/>
      </c>
      <c r="G86" s="5">
        <f>IF(B86="I1",20*AVERAGEIF('QA_Images'!$A$2:$A$73,A86,'QA_Images'!$U$2:$U$73)/100,IF(D86="NOT_CHECKED",0,C86))</f>
        <v/>
      </c>
      <c r="H86" s="2" t="inlineStr">
        <is>
          <t>Đánh giá meta description về tính cụ thể và căn cứ claim.</t>
        </is>
      </c>
      <c r="I86" s="2" t="inlineStr">
        <is>
          <t>["evidence_batch_005_048", "https://jeminise.com/products/custom-christian-faith-semi-truck-in-front-of-large-comforter-057143b1f8-057143b1f8", "serp_qa_048"]</t>
        </is>
      </c>
      <c r="J86" s="2" t="inlineStr">
        <is>
          <t>[]</t>
        </is>
      </c>
      <c r="K86" s="2" t="inlineStr">
        <is>
          <t>r4</t>
        </is>
      </c>
    </row>
    <row r="87" ht="42" customHeight="1">
      <c r="A87" s="3" t="inlineStr">
        <is>
          <t>jeminise.com+custom-christian-faith-semi-truck-in-front-of-large-comforter-057143b1f8-057143b1f8</t>
        </is>
      </c>
      <c r="B87" s="3" t="inlineStr">
        <is>
          <t>D2</t>
        </is>
      </c>
      <c r="C87" s="3" t="n">
        <v>10</v>
      </c>
      <c r="D87" s="3" t="inlineStr">
        <is>
          <t>FULL</t>
        </is>
      </c>
      <c r="E87" s="7">
        <f>IF(B87="I1",AVERAGEIF('QA_Images'!$A$2:$A$73,A87,'QA_Images'!$T$2:$T$73)/100,IF(D87="FULL",1,IF(D87="PARTIAL",0.5,IF(D87="FAIL",0,""))))</f>
        <v/>
      </c>
      <c r="F87" s="7">
        <f>IF(E87="",0,C87*E87)</f>
        <v/>
      </c>
      <c r="G87" s="7">
        <f>IF(B87="I1",20*AVERAGEIF('QA_Images'!$A$2:$A$73,A87,'QA_Images'!$U$2:$U$73)/100,IF(D87="NOT_CHECKED",0,C87))</f>
        <v/>
      </c>
      <c r="H87" s="3" t="inlineStr">
        <is>
          <t>Description SET có HTML đầy đủ nhưng chứa câu nội bộ 'This draft should be reviewed...' và dữ liệu nguồn thô/mâu thuẫn; chưa phải nội dung publish-ready.</t>
        </is>
      </c>
      <c r="I87" s="3" t="inlineStr">
        <is>
          <t>["evidence_batch_005_048", "https://jeminise.com/products/custom-christian-faith-semi-truck-in-front-of-large-comforter-057143b1f8-057143b1f8", "serp_qa_048"]</t>
        </is>
      </c>
      <c r="J87" s="3" t="inlineStr">
        <is>
          <t>[]</t>
        </is>
      </c>
      <c r="K87" s="3" t="inlineStr">
        <is>
          <t>r4</t>
        </is>
      </c>
    </row>
    <row r="88" ht="42" customHeight="1">
      <c r="A88" s="2" t="inlineStr">
        <is>
          <t>jeminise.com+custom-christian-faith-semi-truck-in-front-of-large-comforter-057143b1f8-057143b1f8</t>
        </is>
      </c>
      <c r="B88" s="2" t="inlineStr">
        <is>
          <t>I1</t>
        </is>
      </c>
      <c r="C88" s="2" t="n">
        <v>20</v>
      </c>
      <c r="D88" s="2" t="inlineStr">
        <is>
          <t>DERIVED</t>
        </is>
      </c>
      <c r="E88" s="5">
        <f>IF(B88="I1",AVERAGEIF('QA_Images'!$A$2:$A$73,A88,'QA_Images'!$T$2:$T$73)/100,IF(D88="FULL",1,IF(D88="PARTIAL",0.5,IF(D88="FAIL",0,""))))</f>
        <v/>
      </c>
      <c r="F88" s="5">
        <f>IF(E88="",0,C88*E88)</f>
        <v/>
      </c>
      <c r="G88" s="5">
        <f>IF(B88="I1",20*AVERAGEIF('QA_Images'!$A$2:$A$73,A88,'QA_Images'!$U$2:$U$73)/100,IF(D88="NOT_CHECKED",0,C88))</f>
        <v/>
      </c>
      <c r="H88" s="2" t="inlineStr">
        <is>
          <t>Derived from directly checked r4 media records: 100.0/100.</t>
        </is>
      </c>
      <c r="I88" s="2" t="inlineStr">
        <is>
          <t>["evidence_batch_005_048", "https://jeminise.com/products/custom-christian-faith-semi-truck-in-front-of-large-comforter-057143b1f8-057143b1f8", "serp_qa_048"]</t>
        </is>
      </c>
      <c r="J88" s="2" t="inlineStr">
        <is>
          <t>[]</t>
        </is>
      </c>
      <c r="K88" s="2" t="inlineStr">
        <is>
          <t>r4</t>
        </is>
      </c>
    </row>
    <row r="89" ht="42" customHeight="1">
      <c r="A89" s="3" t="inlineStr">
        <is>
          <t>jeminise.com+custom-christian-faith-semi-truck-in-front-of-large-comforter-057143b1f8-057143b1f8</t>
        </is>
      </c>
      <c r="B89" s="3" t="inlineStr">
        <is>
          <t>E1</t>
        </is>
      </c>
      <c r="C89" s="3" t="n">
        <v>5</v>
      </c>
      <c r="D89" s="3" t="inlineStr">
        <is>
          <t>FULL</t>
        </is>
      </c>
      <c r="E89" s="7">
        <f>IF(B89="I1",AVERAGEIF('QA_Images'!$A$2:$A$73,A89,'QA_Images'!$T$2:$T$73)/100,IF(D89="FULL",1,IF(D89="PARTIAL",0.5,IF(D89="FAIL",0,""))))</f>
        <v/>
      </c>
      <c r="F89" s="7">
        <f>IF(E89="",0,C89*E89)</f>
        <v/>
      </c>
      <c r="G89" s="7">
        <f>IF(B89="I1",20*AVERAGEIF('QA_Images'!$A$2:$A$73,A89,'QA_Images'!$U$2:$U$73)/100,IF(D89="NOT_CHECKED",0,C89))</f>
        <v/>
      </c>
      <c r="H89" s="3" t="inlineStr">
        <is>
          <t>Kiểm tra chuỗi evidence và giới hạn do thiếu Shopify admin export.</t>
        </is>
      </c>
      <c r="I89" s="3" t="inlineStr">
        <is>
          <t>["evidence_batch_005_048", "https://jeminise.com/products/custom-christian-faith-semi-truck-in-front-of-large-comforter-057143b1f8-057143b1f8", "serp_qa_048"]</t>
        </is>
      </c>
      <c r="J89" s="3" t="inlineStr">
        <is>
          <t>[]</t>
        </is>
      </c>
      <c r="K89" s="3" t="inlineStr">
        <is>
          <t>r4</t>
        </is>
      </c>
    </row>
    <row r="90" ht="42" customHeight="1">
      <c r="A90" s="2" t="inlineStr">
        <is>
          <t>jeminise.com+custom-christian-girl-bible-emergency-numbers-blanket-d12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5">
        <f>IF(B90="I1",AVERAGEIF('QA_Images'!$A$2:$A$73,A90,'QA_Images'!$T$2:$T$73)/100,IF(D90="FULL",1,IF(D90="PARTIAL",0.5,IF(D90="FAIL",0,""))))</f>
        <v/>
      </c>
      <c r="F90" s="5">
        <f>IF(E90="",0,C90*E90)</f>
        <v/>
      </c>
      <c r="G90" s="5">
        <f>IF(B90="I1",20*AVERAGEIF('QA_Images'!$A$2:$A$73,A90,'QA_Images'!$U$2:$U$73)/100,IF(D90="NOT_CHECKED",0,C90))</f>
        <v/>
      </c>
      <c r="H90" s="2" t="inlineStr">
        <is>
          <t>Đối chiếu loại sản phẩm, thiết kế và màu với product JSON, H1 live và toàn bộ gallery.</t>
        </is>
      </c>
      <c r="I90" s="2" t="inlineStr">
        <is>
          <t>["evidence_batch_005_049", "https://jeminise.com/products/custom-christian-girl-bible-emergency-numbers-blanket-d12", "serp_qa_049"]</t>
        </is>
      </c>
      <c r="J90" s="2" t="inlineStr">
        <is>
          <t>[]</t>
        </is>
      </c>
      <c r="K90" s="2" t="inlineStr">
        <is>
          <t>r4</t>
        </is>
      </c>
    </row>
    <row r="91" ht="42" customHeight="1">
      <c r="A91" s="3" t="inlineStr">
        <is>
          <t>jeminise.com+custom-christian-girl-bible-emergency-numbers-blanket-d12</t>
        </is>
      </c>
      <c r="B91" s="3" t="inlineStr">
        <is>
          <t>P2</t>
        </is>
      </c>
      <c r="C91" s="3" t="n">
        <v>10</v>
      </c>
      <c r="D91" s="3" t="inlineStr">
        <is>
          <t>FULL</t>
        </is>
      </c>
      <c r="E91" s="7">
        <f>IF(B91="I1",AVERAGEIF('QA_Images'!$A$2:$A$73,A91,'QA_Images'!$T$2:$T$73)/100,IF(D91="FULL",1,IF(D91="PARTIAL",0.5,IF(D91="FAIL",0,""))))</f>
        <v/>
      </c>
      <c r="F91" s="7">
        <f>IF(E91="",0,C91*E91)</f>
        <v/>
      </c>
      <c r="G91" s="7">
        <f>IF(B91="I1",20*AVERAGEIF('QA_Images'!$A$2:$A$73,A91,'QA_Images'!$U$2:$U$73)/100,IF(D91="NOT_CHECKED",0,C91))</f>
        <v/>
      </c>
      <c r="H91" s="3" t="inlineStr">
        <is>
          <t>Đối chiếu specifications, variants, components và personalization với product.js live, body HTML và ảnh.</t>
        </is>
      </c>
      <c r="I91" s="3" t="inlineStr">
        <is>
          <t>["evidence_batch_005_049", "https://jeminise.com/products/custom-christian-girl-bible-emergency-numbers-blanket-d12", "serp_qa_049"]</t>
        </is>
      </c>
      <c r="J91" s="3" t="inlineStr">
        <is>
          <t>[]</t>
        </is>
      </c>
      <c r="K91" s="3" t="inlineStr">
        <is>
          <t>r4</t>
        </is>
      </c>
    </row>
    <row r="92" ht="42" customHeight="1">
      <c r="A92" s="2" t="inlineStr">
        <is>
          <t>jeminise.com+custom-christian-girl-bible-emergency-numbers-blanket-d12</t>
        </is>
      </c>
      <c r="B92" s="2" t="inlineStr">
        <is>
          <t>K1</t>
        </is>
      </c>
      <c r="C92" s="2" t="n">
        <v>10</v>
      </c>
      <c r="D92" s="2" t="inlineStr">
        <is>
          <t>PARTIAL</t>
        </is>
      </c>
      <c r="E92" s="5">
        <f>IF(B92="I1",AVERAGEIF('QA_Images'!$A$2:$A$73,A92,'QA_Images'!$T$2:$T$73)/100,IF(D92="FULL",1,IF(D92="PARTIAL",0.5,IF(D92="FAIL",0,""))))</f>
        <v/>
      </c>
      <c r="F92" s="5">
        <f>IF(E92="",0,C92*E92)</f>
        <v/>
      </c>
      <c r="G92" s="5">
        <f>IF(B92="I1",20*AVERAGEIF('QA_Images'!$A$2:$A$73,A92,'QA_Images'!$U$2:$U$73)/100,IF(D92="NOT_CHECKED",0,C92))</f>
        <v/>
      </c>
      <c r="H92" s="2" t="inlineStr">
        <is>
          <t>Đối chiếu long-tail với thiết kế riêng và nguy cơ trùng intent trong cụm sản phẩm.</t>
        </is>
      </c>
      <c r="I92" s="2" t="inlineStr">
        <is>
          <t>["evidence_batch_005_049", "https://jeminise.com/products/custom-christian-girl-bible-emergency-numbers-blanket-d12", "serp_qa_049"]</t>
        </is>
      </c>
      <c r="J92" s="2" t="inlineStr">
        <is>
          <t>[]</t>
        </is>
      </c>
      <c r="K92" s="2" t="inlineStr">
        <is>
          <t>r4</t>
        </is>
      </c>
    </row>
    <row r="93" ht="42" customHeight="1">
      <c r="A93" s="3" t="inlineStr">
        <is>
          <t>jeminise.com+custom-christian-girl-bible-emergency-numbers-blanket-d12</t>
        </is>
      </c>
      <c r="B93" s="3" t="inlineStr">
        <is>
          <t>K2</t>
        </is>
      </c>
      <c r="C93" s="3" t="n">
        <v>5</v>
      </c>
      <c r="D93" s="3" t="inlineStr">
        <is>
          <t>PARTIAL</t>
        </is>
      </c>
      <c r="E93" s="7">
        <f>IF(B93="I1",AVERAGEIF('QA_Images'!$A$2:$A$73,A93,'QA_Images'!$T$2:$T$73)/100,IF(D93="FULL",1,IF(D93="PARTIAL",0.5,IF(D93="FAIL",0,""))))</f>
        <v/>
      </c>
      <c r="F93" s="7">
        <f>IF(E93="",0,C93*E93)</f>
        <v/>
      </c>
      <c r="G93" s="7">
        <f>IF(B93="I1",20*AVERAGEIF('QA_Images'!$A$2:$A$73,A93,'QA_Images'!$U$2:$U$73)/100,IF(D93="NOT_CHECKED",0,C93))</f>
        <v/>
      </c>
      <c r="H93" s="3" t="inlineStr">
        <is>
          <t>Đã đọc primary và comparator SERP theo US commercial intent; không dùng claim volume.</t>
        </is>
      </c>
      <c r="I93" s="3" t="inlineStr">
        <is>
          <t>["evidence_batch_005_049", "https://jeminise.com/products/custom-christian-girl-bible-emergency-numbers-blanket-d12", "serp_qa_049"]</t>
        </is>
      </c>
      <c r="J93" s="3" t="inlineStr">
        <is>
          <t>[]</t>
        </is>
      </c>
      <c r="K93" s="3" t="inlineStr">
        <is>
          <t>r4</t>
        </is>
      </c>
    </row>
    <row r="94" ht="42" customHeight="1">
      <c r="A94" s="2" t="inlineStr">
        <is>
          <t>jeminise.com+custom-christian-girl-bible-emergency-numbers-blanket-d12</t>
        </is>
      </c>
      <c r="B94" s="2" t="inlineStr">
        <is>
          <t>K3</t>
        </is>
      </c>
      <c r="C94" s="2" t="n">
        <v>5</v>
      </c>
      <c r="D94" s="2" t="inlineStr">
        <is>
          <t>PARTIAL</t>
        </is>
      </c>
      <c r="E94" s="5">
        <f>IF(B94="I1",AVERAGEIF('QA_Images'!$A$2:$A$73,A94,'QA_Images'!$T$2:$T$73)/100,IF(D94="FULL",1,IF(D94="PARTIAL",0.5,IF(D94="FAIL",0,""))))</f>
        <v/>
      </c>
      <c r="F94" s="5">
        <f>IF(E94="",0,C94*E94)</f>
        <v/>
      </c>
      <c r="G94" s="5">
        <f>IF(B94="I1",20*AVERAGEIF('QA_Images'!$A$2:$A$73,A94,'QA_Images'!$U$2:$U$73)/100,IF(D94="NOT_CHECKED",0,C94))</f>
        <v/>
      </c>
      <c r="H94" s="2" t="inlineStr">
        <is>
          <t>Không suy diễn volume; phân biệt SERP_ONLY và HYPOTHESIS_ONLY.</t>
        </is>
      </c>
      <c r="I94" s="2" t="inlineStr">
        <is>
          <t>["evidence_batch_005_049", "https://jeminise.com/products/custom-christian-girl-bible-emergency-numbers-blanket-d12", "serp_qa_049"]</t>
        </is>
      </c>
      <c r="J94" s="2" t="inlineStr">
        <is>
          <t>[]</t>
        </is>
      </c>
      <c r="K94" s="2" t="inlineStr">
        <is>
          <t>r4</t>
        </is>
      </c>
    </row>
    <row r="95" ht="42" customHeight="1">
      <c r="A95" s="3" t="inlineStr">
        <is>
          <t>jeminise.com+custom-christian-girl-bible-emergency-numbers-blanket-d12</t>
        </is>
      </c>
      <c r="B95" s="3" t="inlineStr">
        <is>
          <t>T1</t>
        </is>
      </c>
      <c r="C95" s="3" t="n">
        <v>10</v>
      </c>
      <c r="D95" s="3" t="inlineStr">
        <is>
          <t>FULL</t>
        </is>
      </c>
      <c r="E95" s="7">
        <f>IF(B95="I1",AVERAGEIF('QA_Images'!$A$2:$A$73,A95,'QA_Images'!$T$2:$T$73)/100,IF(D95="FULL",1,IF(D95="PARTIAL",0.5,IF(D95="FAIL",0,""))))</f>
        <v/>
      </c>
      <c r="F95" s="7">
        <f>IF(E95="",0,C95*E95)</f>
        <v/>
      </c>
      <c r="G95" s="7">
        <f>IF(B95="I1",20*AVERAGEIF('QA_Images'!$A$2:$A$73,A95,'QA_Images'!$U$2:$U$73)/100,IF(D95="NOT_CHECKED",0,C95))</f>
        <v/>
      </c>
      <c r="H95" s="3" t="inlineStr">
        <is>
          <t>Đánh giá SEO title English về độ đúng, tự nhiên, keyword và điểm phân biệt.</t>
        </is>
      </c>
      <c r="I95" s="3" t="inlineStr">
        <is>
          <t>["evidence_batch_005_049", "https://jeminise.com/products/custom-christian-girl-bible-emergency-numbers-blanket-d12", "serp_qa_049"]</t>
        </is>
      </c>
      <c r="J95" s="3" t="inlineStr">
        <is>
          <t>[]</t>
        </is>
      </c>
      <c r="K95" s="3" t="inlineStr">
        <is>
          <t>r4</t>
        </is>
      </c>
    </row>
    <row r="96" ht="42" customHeight="1">
      <c r="A96" s="2" t="inlineStr">
        <is>
          <t>jeminise.com+custom-christian-girl-bible-emergency-numbers-blanket-d12</t>
        </is>
      </c>
      <c r="B96" s="2" t="inlineStr">
        <is>
          <t>T2</t>
        </is>
      </c>
      <c r="C96" s="2" t="n">
        <v>5</v>
      </c>
      <c r="D96" s="2" t="inlineStr">
        <is>
          <t>FULL</t>
        </is>
      </c>
      <c r="E96" s="5">
        <f>IF(B96="I1",AVERAGEIF('QA_Images'!$A$2:$A$73,A96,'QA_Images'!$T$2:$T$73)/100,IF(D96="FULL",1,IF(D96="PARTIAL",0.5,IF(D96="FAIL",0,""))))</f>
        <v/>
      </c>
      <c r="F96" s="5">
        <f>IF(E96="",0,C96*E96)</f>
        <v/>
      </c>
      <c r="G96" s="5">
        <f>IF(B96="I1",20*AVERAGEIF('QA_Images'!$A$2:$A$73,A96,'QA_Images'!$U$2:$U$73)/100,IF(D96="NOT_CHECKED",0,C96))</f>
        <v/>
      </c>
      <c r="H96" s="2" t="inlineStr">
        <is>
          <t>Đánh giá H1 đề xuất độc lập với SEO title và đối chiếu lỗi ký tự nguồn.</t>
        </is>
      </c>
      <c r="I96" s="2" t="inlineStr">
        <is>
          <t>["evidence_batch_005_049", "https://jeminise.com/products/custom-christian-girl-bible-emergency-numbers-blanket-d12", "serp_qa_049"]</t>
        </is>
      </c>
      <c r="J96" s="2" t="inlineStr">
        <is>
          <t>[]</t>
        </is>
      </c>
      <c r="K96" s="2" t="inlineStr">
        <is>
          <t>r4</t>
        </is>
      </c>
    </row>
    <row r="97" ht="42" customHeight="1">
      <c r="A97" s="3" t="inlineStr">
        <is>
          <t>jeminise.com+custom-christian-girl-bible-emergency-numbers-blanket-d12</t>
        </is>
      </c>
      <c r="B97" s="3" t="inlineStr">
        <is>
          <t>D1</t>
        </is>
      </c>
      <c r="C97" s="3" t="n">
        <v>5</v>
      </c>
      <c r="D97" s="3" t="inlineStr">
        <is>
          <t>FULL</t>
        </is>
      </c>
      <c r="E97" s="7">
        <f>IF(B97="I1",AVERAGEIF('QA_Images'!$A$2:$A$73,A97,'QA_Images'!$T$2:$T$73)/100,IF(D97="FULL",1,IF(D97="PARTIAL",0.5,IF(D97="FAIL",0,""))))</f>
        <v/>
      </c>
      <c r="F97" s="7">
        <f>IF(E97="",0,C97*E97)</f>
        <v/>
      </c>
      <c r="G97" s="7">
        <f>IF(B97="I1",20*AVERAGEIF('QA_Images'!$A$2:$A$73,A97,'QA_Images'!$U$2:$U$73)/100,IF(D97="NOT_CHECKED",0,C97))</f>
        <v/>
      </c>
      <c r="H97" s="3" t="inlineStr">
        <is>
          <t>Đánh giá meta description về tính cụ thể và căn cứ claim.</t>
        </is>
      </c>
      <c r="I97" s="3" t="inlineStr">
        <is>
          <t>["evidence_batch_005_049", "https://jeminise.com/products/custom-christian-girl-bible-emergency-numbers-blanket-d12", "serp_qa_049"]</t>
        </is>
      </c>
      <c r="J97" s="3" t="inlineStr">
        <is>
          <t>[]</t>
        </is>
      </c>
      <c r="K97" s="3" t="inlineStr">
        <is>
          <t>r4</t>
        </is>
      </c>
    </row>
    <row r="98" ht="42" customHeight="1">
      <c r="A98" s="2" t="inlineStr">
        <is>
          <t>jeminise.com+custom-christian-girl-bible-emergency-numbers-blanket-d12</t>
        </is>
      </c>
      <c r="B98" s="2" t="inlineStr">
        <is>
          <t>D2</t>
        </is>
      </c>
      <c r="C98" s="2" t="n">
        <v>10</v>
      </c>
      <c r="D98" s="2" t="inlineStr">
        <is>
          <t>FULL</t>
        </is>
      </c>
      <c r="E98" s="5">
        <f>IF(B98="I1",AVERAGEIF('QA_Images'!$A$2:$A$73,A98,'QA_Images'!$T$2:$T$73)/100,IF(D98="FULL",1,IF(D98="PARTIAL",0.5,IF(D98="FAIL",0,""))))</f>
        <v/>
      </c>
      <c r="F98" s="5">
        <f>IF(E98="",0,C98*E98)</f>
        <v/>
      </c>
      <c r="G98" s="5">
        <f>IF(B98="I1",20*AVERAGEIF('QA_Images'!$A$2:$A$73,A98,'QA_Images'!$U$2:$U$73)/100,IF(D98="NOT_CHECKED",0,C98))</f>
        <v/>
      </c>
      <c r="H98" s="2" t="inlineStr">
        <is>
          <t>Description SET có HTML đầy đủ nhưng chứa câu nội bộ 'This draft should be reviewed...' và dữ liệu nguồn thô/mâu thuẫn; chưa phải nội dung publish-ready.</t>
        </is>
      </c>
      <c r="I98" s="2" t="inlineStr">
        <is>
          <t>["evidence_batch_005_049", "https://jeminise.com/products/custom-christian-girl-bible-emergency-numbers-blanket-d12", "serp_qa_049"]</t>
        </is>
      </c>
      <c r="J98" s="2" t="inlineStr">
        <is>
          <t>[]</t>
        </is>
      </c>
      <c r="K98" s="2" t="inlineStr">
        <is>
          <t>r4</t>
        </is>
      </c>
    </row>
    <row r="99" ht="42" customHeight="1">
      <c r="A99" s="3" t="inlineStr">
        <is>
          <t>jeminise.com+custom-christian-girl-bible-emergency-numbers-blanket-d12</t>
        </is>
      </c>
      <c r="B99" s="3" t="inlineStr">
        <is>
          <t>I1</t>
        </is>
      </c>
      <c r="C99" s="3" t="n">
        <v>20</v>
      </c>
      <c r="D99" s="3" t="inlineStr">
        <is>
          <t>DERIVED</t>
        </is>
      </c>
      <c r="E99" s="7">
        <f>IF(B99="I1",AVERAGEIF('QA_Images'!$A$2:$A$73,A99,'QA_Images'!$T$2:$T$73)/100,IF(D99="FULL",1,IF(D99="PARTIAL",0.5,IF(D99="FAIL",0,""))))</f>
        <v/>
      </c>
      <c r="F99" s="7">
        <f>IF(E99="",0,C99*E99)</f>
        <v/>
      </c>
      <c r="G99" s="7">
        <f>IF(B99="I1",20*AVERAGEIF('QA_Images'!$A$2:$A$73,A99,'QA_Images'!$U$2:$U$73)/100,IF(D99="NOT_CHECKED",0,C99))</f>
        <v/>
      </c>
      <c r="H99" s="3" t="inlineStr">
        <is>
          <t>Derived from directly checked r4 media records: 100.0/100.</t>
        </is>
      </c>
      <c r="I99" s="3" t="inlineStr">
        <is>
          <t>["evidence_batch_005_049", "https://jeminise.com/products/custom-christian-girl-bible-emergency-numbers-blanket-d12", "serp_qa_049"]</t>
        </is>
      </c>
      <c r="J99" s="3" t="inlineStr">
        <is>
          <t>[]</t>
        </is>
      </c>
      <c r="K99" s="3" t="inlineStr">
        <is>
          <t>r4</t>
        </is>
      </c>
    </row>
    <row r="100" ht="42" customHeight="1">
      <c r="A100" s="2" t="inlineStr">
        <is>
          <t>jeminise.com+custom-christian-girl-bible-emergency-numbers-blanket-d12</t>
        </is>
      </c>
      <c r="B100" s="2" t="inlineStr">
        <is>
          <t>E1</t>
        </is>
      </c>
      <c r="C100" s="2" t="n">
        <v>5</v>
      </c>
      <c r="D100" s="2" t="inlineStr">
        <is>
          <t>FULL</t>
        </is>
      </c>
      <c r="E100" s="5">
        <f>IF(B100="I1",AVERAGEIF('QA_Images'!$A$2:$A$73,A100,'QA_Images'!$T$2:$T$73)/100,IF(D100="FULL",1,IF(D100="PARTIAL",0.5,IF(D100="FAIL",0,""))))</f>
        <v/>
      </c>
      <c r="F100" s="5">
        <f>IF(E100="",0,C100*E100)</f>
        <v/>
      </c>
      <c r="G100" s="5">
        <f>IF(B100="I1",20*AVERAGEIF('QA_Images'!$A$2:$A$73,A100,'QA_Images'!$U$2:$U$73)/100,IF(D100="NOT_CHECKED",0,C100))</f>
        <v/>
      </c>
      <c r="H100" s="2" t="inlineStr">
        <is>
          <t>Kiểm tra chuỗi evidence và giới hạn do thiếu Shopify admin export.</t>
        </is>
      </c>
      <c r="I100" s="2" t="inlineStr">
        <is>
          <t>["evidence_batch_005_049", "https://jeminise.com/products/custom-christian-girl-bible-emergency-numbers-blanket-d12", "serp_qa_049"]</t>
        </is>
      </c>
      <c r="J100" s="2" t="inlineStr">
        <is>
          <t>[]</t>
        </is>
      </c>
      <c r="K100" s="2" t="inlineStr">
        <is>
          <t>r4</t>
        </is>
      </c>
    </row>
    <row r="101" ht="42" customHeight="1">
      <c r="A101" s="3" t="inlineStr">
        <is>
          <t>jeminise.com+custom-christian-inspirational-sophia-blanket-machine-washable-d11</t>
        </is>
      </c>
      <c r="B101" s="3" t="inlineStr">
        <is>
          <t>P1</t>
        </is>
      </c>
      <c r="C101" s="3" t="n">
        <v>15</v>
      </c>
      <c r="D101" s="3" t="inlineStr">
        <is>
          <t>FULL</t>
        </is>
      </c>
      <c r="E101" s="7">
        <f>IF(B101="I1",AVERAGEIF('QA_Images'!$A$2:$A$73,A101,'QA_Images'!$T$2:$T$73)/100,IF(D101="FULL",1,IF(D101="PARTIAL",0.5,IF(D101="FAIL",0,""))))</f>
        <v/>
      </c>
      <c r="F101" s="7">
        <f>IF(E101="",0,C101*E101)</f>
        <v/>
      </c>
      <c r="G101" s="7">
        <f>IF(B101="I1",20*AVERAGEIF('QA_Images'!$A$2:$A$73,A101,'QA_Images'!$U$2:$U$73)/100,IF(D101="NOT_CHECKED",0,C101))</f>
        <v/>
      </c>
      <c r="H101" s="3" t="inlineStr">
        <is>
          <t>Đối chiếu loại sản phẩm, thiết kế và màu với product JSON, H1 live và toàn bộ gallery.</t>
        </is>
      </c>
      <c r="I101" s="3" t="inlineStr">
        <is>
          <t>["evidence_batch_005_050", "https://jeminise.com/products/custom-christian-inspirational-sophia-blanket-machine-washable-d11", "serp_qa_050"]</t>
        </is>
      </c>
      <c r="J101" s="3" t="inlineStr">
        <is>
          <t>[]</t>
        </is>
      </c>
      <c r="K101" s="3" t="inlineStr">
        <is>
          <t>r4</t>
        </is>
      </c>
    </row>
    <row r="102" ht="42" customHeight="1">
      <c r="A102" s="2" t="inlineStr">
        <is>
          <t>jeminise.com+custom-christian-inspirational-sophia-blanket-machine-washable-d11</t>
        </is>
      </c>
      <c r="B102" s="2" t="inlineStr">
        <is>
          <t>P2</t>
        </is>
      </c>
      <c r="C102" s="2" t="n">
        <v>10</v>
      </c>
      <c r="D102" s="2" t="inlineStr">
        <is>
          <t>FULL</t>
        </is>
      </c>
      <c r="E102" s="5">
        <f>IF(B102="I1",AVERAGEIF('QA_Images'!$A$2:$A$73,A102,'QA_Images'!$T$2:$T$73)/100,IF(D102="FULL",1,IF(D102="PARTIAL",0.5,IF(D102="FAIL",0,""))))</f>
        <v/>
      </c>
      <c r="F102" s="5">
        <f>IF(E102="",0,C102*E102)</f>
        <v/>
      </c>
      <c r="G102" s="5">
        <f>IF(B102="I1",20*AVERAGEIF('QA_Images'!$A$2:$A$73,A102,'QA_Images'!$U$2:$U$73)/100,IF(D102="NOT_CHECKED",0,C102))</f>
        <v/>
      </c>
      <c r="H102" s="2" t="inlineStr">
        <is>
          <t>Đối chiếu specifications, variants, components và personalization với product.js live, body HTML và ảnh.</t>
        </is>
      </c>
      <c r="I102" s="2" t="inlineStr">
        <is>
          <t>["evidence_batch_005_050", "https://jeminise.com/products/custom-christian-inspirational-sophia-blanket-machine-washable-d11", "serp_qa_050"]</t>
        </is>
      </c>
      <c r="J102" s="2" t="inlineStr">
        <is>
          <t>[]</t>
        </is>
      </c>
      <c r="K102" s="2" t="inlineStr">
        <is>
          <t>r4</t>
        </is>
      </c>
    </row>
    <row r="103" ht="42" customHeight="1">
      <c r="A103" s="3" t="inlineStr">
        <is>
          <t>jeminise.com+custom-christian-inspirational-sophia-blanket-machine-washable-d11</t>
        </is>
      </c>
      <c r="B103" s="3" t="inlineStr">
        <is>
          <t>K1</t>
        </is>
      </c>
      <c r="C103" s="3" t="n">
        <v>10</v>
      </c>
      <c r="D103" s="3" t="inlineStr">
        <is>
          <t>PARTIAL</t>
        </is>
      </c>
      <c r="E103" s="7">
        <f>IF(B103="I1",AVERAGEIF('QA_Images'!$A$2:$A$73,A103,'QA_Images'!$T$2:$T$73)/100,IF(D103="FULL",1,IF(D103="PARTIAL",0.5,IF(D103="FAIL",0,""))))</f>
        <v/>
      </c>
      <c r="F103" s="7">
        <f>IF(E103="",0,C103*E103)</f>
        <v/>
      </c>
      <c r="G103" s="7">
        <f>IF(B103="I1",20*AVERAGEIF('QA_Images'!$A$2:$A$73,A103,'QA_Images'!$U$2:$U$73)/100,IF(D103="NOT_CHECKED",0,C103))</f>
        <v/>
      </c>
      <c r="H103" s="3" t="inlineStr">
        <is>
          <t>Đối chiếu long-tail với thiết kế riêng và nguy cơ trùng intent trong cụm sản phẩm.</t>
        </is>
      </c>
      <c r="I103" s="3" t="inlineStr">
        <is>
          <t>["evidence_batch_005_050", "https://jeminise.com/products/custom-christian-inspirational-sophia-blanket-machine-washable-d11", "serp_qa_050"]</t>
        </is>
      </c>
      <c r="J103" s="3" t="inlineStr">
        <is>
          <t>[]</t>
        </is>
      </c>
      <c r="K103" s="3" t="inlineStr">
        <is>
          <t>r4</t>
        </is>
      </c>
    </row>
    <row r="104" ht="42" customHeight="1">
      <c r="A104" s="2" t="inlineStr">
        <is>
          <t>jeminise.com+custom-christian-inspirational-sophia-blanket-machine-washable-d11</t>
        </is>
      </c>
      <c r="B104" s="2" t="inlineStr">
        <is>
          <t>K2</t>
        </is>
      </c>
      <c r="C104" s="2" t="n">
        <v>5</v>
      </c>
      <c r="D104" s="2" t="inlineStr">
        <is>
          <t>PARTIAL</t>
        </is>
      </c>
      <c r="E104" s="5">
        <f>IF(B104="I1",AVERAGEIF('QA_Images'!$A$2:$A$73,A104,'QA_Images'!$T$2:$T$73)/100,IF(D104="FULL",1,IF(D104="PARTIAL",0.5,IF(D104="FAIL",0,""))))</f>
        <v/>
      </c>
      <c r="F104" s="5">
        <f>IF(E104="",0,C104*E104)</f>
        <v/>
      </c>
      <c r="G104" s="5">
        <f>IF(B104="I1",20*AVERAGEIF('QA_Images'!$A$2:$A$73,A104,'QA_Images'!$U$2:$U$73)/100,IF(D104="NOT_CHECKED",0,C104))</f>
        <v/>
      </c>
      <c r="H104" s="2" t="inlineStr">
        <is>
          <t>Đã đọc primary và comparator SERP theo US commercial intent; không dùng claim volume.</t>
        </is>
      </c>
      <c r="I104" s="2" t="inlineStr">
        <is>
          <t>["evidence_batch_005_050", "https://jeminise.com/products/custom-christian-inspirational-sophia-blanket-machine-washable-d11", "serp_qa_050"]</t>
        </is>
      </c>
      <c r="J104" s="2" t="inlineStr">
        <is>
          <t>[]</t>
        </is>
      </c>
      <c r="K104" s="2" t="inlineStr">
        <is>
          <t>r4</t>
        </is>
      </c>
    </row>
    <row r="105" ht="42" customHeight="1">
      <c r="A105" s="3" t="inlineStr">
        <is>
          <t>jeminise.com+custom-christian-inspirational-sophia-blanket-machine-washable-d11</t>
        </is>
      </c>
      <c r="B105" s="3" t="inlineStr">
        <is>
          <t>K3</t>
        </is>
      </c>
      <c r="C105" s="3" t="n">
        <v>5</v>
      </c>
      <c r="D105" s="3" t="inlineStr">
        <is>
          <t>PARTIAL</t>
        </is>
      </c>
      <c r="E105" s="7">
        <f>IF(B105="I1",AVERAGEIF('QA_Images'!$A$2:$A$73,A105,'QA_Images'!$T$2:$T$73)/100,IF(D105="FULL",1,IF(D105="PARTIAL",0.5,IF(D105="FAIL",0,""))))</f>
        <v/>
      </c>
      <c r="F105" s="7">
        <f>IF(E105="",0,C105*E105)</f>
        <v/>
      </c>
      <c r="G105" s="7">
        <f>IF(B105="I1",20*AVERAGEIF('QA_Images'!$A$2:$A$73,A105,'QA_Images'!$U$2:$U$73)/100,IF(D105="NOT_CHECKED",0,C105))</f>
        <v/>
      </c>
      <c r="H105" s="3" t="inlineStr">
        <is>
          <t>Không suy diễn volume; phân biệt SERP_ONLY và HYPOTHESIS_ONLY.</t>
        </is>
      </c>
      <c r="I105" s="3" t="inlineStr">
        <is>
          <t>["evidence_batch_005_050", "https://jeminise.com/products/custom-christian-inspirational-sophia-blanket-machine-washable-d11", "serp_qa_050"]</t>
        </is>
      </c>
      <c r="J105" s="3" t="inlineStr">
        <is>
          <t>[]</t>
        </is>
      </c>
      <c r="K105" s="3" t="inlineStr">
        <is>
          <t>r4</t>
        </is>
      </c>
    </row>
    <row r="106" ht="42" customHeight="1">
      <c r="A106" s="2" t="inlineStr">
        <is>
          <t>jeminise.com+custom-christian-inspirational-sophia-blanket-machine-washable-d11</t>
        </is>
      </c>
      <c r="B106" s="2" t="inlineStr">
        <is>
          <t>T1</t>
        </is>
      </c>
      <c r="C106" s="2" t="n">
        <v>10</v>
      </c>
      <c r="D106" s="2" t="inlineStr">
        <is>
          <t>FULL</t>
        </is>
      </c>
      <c r="E106" s="5">
        <f>IF(B106="I1",AVERAGEIF('QA_Images'!$A$2:$A$73,A106,'QA_Images'!$T$2:$T$73)/100,IF(D106="FULL",1,IF(D106="PARTIAL",0.5,IF(D106="FAIL",0,""))))</f>
        <v/>
      </c>
      <c r="F106" s="5">
        <f>IF(E106="",0,C106*E106)</f>
        <v/>
      </c>
      <c r="G106" s="5">
        <f>IF(B106="I1",20*AVERAGEIF('QA_Images'!$A$2:$A$73,A106,'QA_Images'!$U$2:$U$73)/100,IF(D106="NOT_CHECKED",0,C106))</f>
        <v/>
      </c>
      <c r="H106" s="2" t="inlineStr">
        <is>
          <t>Đánh giá SEO title English về độ đúng, tự nhiên, keyword và điểm phân biệt.</t>
        </is>
      </c>
      <c r="I106" s="2" t="inlineStr">
        <is>
          <t>["evidence_batch_005_050", "https://jeminise.com/products/custom-christian-inspirational-sophia-blanket-machine-washable-d11", "serp_qa_050"]</t>
        </is>
      </c>
      <c r="J106" s="2" t="inlineStr">
        <is>
          <t>[]</t>
        </is>
      </c>
      <c r="K106" s="2" t="inlineStr">
        <is>
          <t>r4</t>
        </is>
      </c>
    </row>
    <row r="107" ht="42" customHeight="1">
      <c r="A107" s="3" t="inlineStr">
        <is>
          <t>jeminise.com+custom-christian-inspirational-sophia-blanket-machine-washable-d11</t>
        </is>
      </c>
      <c r="B107" s="3" t="inlineStr">
        <is>
          <t>T2</t>
        </is>
      </c>
      <c r="C107" s="3" t="n">
        <v>5</v>
      </c>
      <c r="D107" s="3" t="inlineStr">
        <is>
          <t>FULL</t>
        </is>
      </c>
      <c r="E107" s="7">
        <f>IF(B107="I1",AVERAGEIF('QA_Images'!$A$2:$A$73,A107,'QA_Images'!$T$2:$T$73)/100,IF(D107="FULL",1,IF(D107="PARTIAL",0.5,IF(D107="FAIL",0,""))))</f>
        <v/>
      </c>
      <c r="F107" s="7">
        <f>IF(E107="",0,C107*E107)</f>
        <v/>
      </c>
      <c r="G107" s="7">
        <f>IF(B107="I1",20*AVERAGEIF('QA_Images'!$A$2:$A$73,A107,'QA_Images'!$U$2:$U$73)/100,IF(D107="NOT_CHECKED",0,C107))</f>
        <v/>
      </c>
      <c r="H107" s="3" t="inlineStr">
        <is>
          <t>Đánh giá H1 đề xuất độc lập với SEO title và đối chiếu lỗi ký tự nguồn.</t>
        </is>
      </c>
      <c r="I107" s="3" t="inlineStr">
        <is>
          <t>["evidence_batch_005_050", "https://jeminise.com/products/custom-christian-inspirational-sophia-blanket-machine-washable-d11", "serp_qa_050"]</t>
        </is>
      </c>
      <c r="J107" s="3" t="inlineStr">
        <is>
          <t>[]</t>
        </is>
      </c>
      <c r="K107" s="3" t="inlineStr">
        <is>
          <t>r4</t>
        </is>
      </c>
    </row>
    <row r="108" ht="42" customHeight="1">
      <c r="A108" s="2" t="inlineStr">
        <is>
          <t>jeminise.com+custom-christian-inspirational-sophia-blanket-machine-washable-d11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5">
        <f>IF(B108="I1",AVERAGEIF('QA_Images'!$A$2:$A$73,A108,'QA_Images'!$T$2:$T$73)/100,IF(D108="FULL",1,IF(D108="PARTIAL",0.5,IF(D108="FAIL",0,""))))</f>
        <v/>
      </c>
      <c r="F108" s="5">
        <f>IF(E108="",0,C108*E108)</f>
        <v/>
      </c>
      <c r="G108" s="5">
        <f>IF(B108="I1",20*AVERAGEIF('QA_Images'!$A$2:$A$73,A108,'QA_Images'!$U$2:$U$73)/100,IF(D108="NOT_CHECKED",0,C108))</f>
        <v/>
      </c>
      <c r="H108" s="2" t="inlineStr">
        <is>
          <t>Đánh giá meta description về tính cụ thể và căn cứ claim.</t>
        </is>
      </c>
      <c r="I108" s="2" t="inlineStr">
        <is>
          <t>["evidence_batch_005_050", "https://jeminise.com/products/custom-christian-inspirational-sophia-blanket-machine-washable-d11", "serp_qa_050"]</t>
        </is>
      </c>
      <c r="J108" s="2" t="inlineStr">
        <is>
          <t>[]</t>
        </is>
      </c>
      <c r="K108" s="2" t="inlineStr">
        <is>
          <t>r4</t>
        </is>
      </c>
    </row>
    <row r="109" ht="42" customHeight="1">
      <c r="A109" s="3" t="inlineStr">
        <is>
          <t>jeminise.com+custom-christian-inspirational-sophia-blanket-machine-washable-d11</t>
        </is>
      </c>
      <c r="B109" s="3" t="inlineStr">
        <is>
          <t>D2</t>
        </is>
      </c>
      <c r="C109" s="3" t="n">
        <v>10</v>
      </c>
      <c r="D109" s="3" t="inlineStr">
        <is>
          <t>FULL</t>
        </is>
      </c>
      <c r="E109" s="7">
        <f>IF(B109="I1",AVERAGEIF('QA_Images'!$A$2:$A$73,A109,'QA_Images'!$T$2:$T$73)/100,IF(D109="FULL",1,IF(D109="PARTIAL",0.5,IF(D109="FAIL",0,""))))</f>
        <v/>
      </c>
      <c r="F109" s="7">
        <f>IF(E109="",0,C109*E109)</f>
        <v/>
      </c>
      <c r="G109" s="7">
        <f>IF(B109="I1",20*AVERAGEIF('QA_Images'!$A$2:$A$73,A109,'QA_Images'!$U$2:$U$73)/100,IF(D109="NOT_CHECKED",0,C109))</f>
        <v/>
      </c>
      <c r="H109" s="3" t="inlineStr">
        <is>
          <t>Description SET có HTML đầy đủ nhưng chứa câu nội bộ 'This draft should be reviewed...' và dữ liệu nguồn thô/mâu thuẫn; chưa phải nội dung publish-ready.</t>
        </is>
      </c>
      <c r="I109" s="3" t="inlineStr">
        <is>
          <t>["evidence_batch_005_050", "https://jeminise.com/products/custom-christian-inspirational-sophia-blanket-machine-washable-d11", "serp_qa_050"]</t>
        </is>
      </c>
      <c r="J109" s="3" t="inlineStr">
        <is>
          <t>[]</t>
        </is>
      </c>
      <c r="K109" s="3" t="inlineStr">
        <is>
          <t>r4</t>
        </is>
      </c>
    </row>
    <row r="110" ht="42" customHeight="1">
      <c r="A110" s="2" t="inlineStr">
        <is>
          <t>jeminise.com+custom-christian-inspirational-sophia-blanket-machine-washable-d11</t>
        </is>
      </c>
      <c r="B110" s="2" t="inlineStr">
        <is>
          <t>I1</t>
        </is>
      </c>
      <c r="C110" s="2" t="n">
        <v>20</v>
      </c>
      <c r="D110" s="2" t="inlineStr">
        <is>
          <t>DERIVED</t>
        </is>
      </c>
      <c r="E110" s="5">
        <f>IF(B110="I1",AVERAGEIF('QA_Images'!$A$2:$A$73,A110,'QA_Images'!$T$2:$T$73)/100,IF(D110="FULL",1,IF(D110="PARTIAL",0.5,IF(D110="FAIL",0,""))))</f>
        <v/>
      </c>
      <c r="F110" s="5">
        <f>IF(E110="",0,C110*E110)</f>
        <v/>
      </c>
      <c r="G110" s="5">
        <f>IF(B110="I1",20*AVERAGEIF('QA_Images'!$A$2:$A$73,A110,'QA_Images'!$U$2:$U$73)/100,IF(D110="NOT_CHECKED",0,C110))</f>
        <v/>
      </c>
      <c r="H110" s="2" t="inlineStr">
        <is>
          <t>Derived from directly checked r4 media records: 100.0/100.</t>
        </is>
      </c>
      <c r="I110" s="2" t="inlineStr">
        <is>
          <t>["evidence_batch_005_050", "https://jeminise.com/products/custom-christian-inspirational-sophia-blanket-machine-washable-d11", "serp_qa_050"]</t>
        </is>
      </c>
      <c r="J110" s="2" t="inlineStr">
        <is>
          <t>[]</t>
        </is>
      </c>
      <c r="K110" s="2" t="inlineStr">
        <is>
          <t>r4</t>
        </is>
      </c>
    </row>
    <row r="111" ht="42" customHeight="1">
      <c r="A111" s="3" t="inlineStr">
        <is>
          <t>jeminise.com+custom-christian-inspirational-sophia-blanket-machine-washable-d11</t>
        </is>
      </c>
      <c r="B111" s="3" t="inlineStr">
        <is>
          <t>E1</t>
        </is>
      </c>
      <c r="C111" s="3" t="n">
        <v>5</v>
      </c>
      <c r="D111" s="3" t="inlineStr">
        <is>
          <t>FULL</t>
        </is>
      </c>
      <c r="E111" s="7">
        <f>IF(B111="I1",AVERAGEIF('QA_Images'!$A$2:$A$73,A111,'QA_Images'!$T$2:$T$73)/100,IF(D111="FULL",1,IF(D111="PARTIAL",0.5,IF(D111="FAIL",0,""))))</f>
        <v/>
      </c>
      <c r="F111" s="7">
        <f>IF(E111="",0,C111*E111)</f>
        <v/>
      </c>
      <c r="G111" s="7">
        <f>IF(B111="I1",20*AVERAGEIF('QA_Images'!$A$2:$A$73,A111,'QA_Images'!$U$2:$U$73)/100,IF(D111="NOT_CHECKED",0,C111))</f>
        <v/>
      </c>
      <c r="H111" s="3" t="inlineStr">
        <is>
          <t>Kiểm tra chuỗi evidence và giới hạn do thiếu Shopify admin export.</t>
        </is>
      </c>
      <c r="I111" s="3" t="inlineStr">
        <is>
          <t>["evidence_batch_005_050", "https://jeminise.com/products/custom-christian-inspirational-sophia-blanket-machine-washable-d11", "serp_qa_050"]</t>
        </is>
      </c>
      <c r="J111" s="3" t="inlineStr">
        <is>
          <t>[]</t>
        </is>
      </c>
      <c r="K111" s="3" t="inlineStr">
        <is>
          <t>r4</t>
        </is>
      </c>
    </row>
  </sheetData>
  <autoFilter ref="A1:K111"/>
  <printOptions horizontalCentered="0"/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A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38" customWidth="1" min="3" max="3"/>
    <col width="38" customWidth="1" min="4" max="4"/>
    <col width="20" customWidth="1" min="5" max="5"/>
    <col width="38" customWidth="1" min="6" max="6"/>
    <col width="11" customWidth="1" min="7" max="7"/>
    <col width="16" customWidth="1" min="8" max="8"/>
    <col width="24" customWidth="1" min="9" max="9"/>
    <col width="24" customWidth="1" min="10" max="10"/>
    <col width="42" customWidth="1" min="11" max="11"/>
    <col width="42" customWidth="1" min="12" max="12"/>
    <col width="24" customWidth="1" min="13" max="13"/>
    <col width="12" customWidth="1" min="14" max="14"/>
    <col width="42" customWidth="1" min="15" max="15"/>
    <col width="11" customWidth="1" min="16" max="16"/>
    <col width="11" customWidth="1" min="17" max="17"/>
    <col width="11" customWidth="1" min="18" max="18"/>
    <col width="11" customWidth="1" min="19" max="19"/>
    <col width="24" customWidth="1" min="20" max="20"/>
    <col width="24" customWidth="1" min="21" max="21"/>
    <col width="21" customWidth="1" min="22" max="22"/>
    <col width="24" customWidth="1" min="23" max="23"/>
    <col width="24" customWidth="1" min="24" max="24"/>
    <col width="42" customWidth="1" min="25" max="25"/>
    <col width="42" customWidth="1" min="26" max="26"/>
    <col width="11" customWidth="1" min="27" max="27"/>
  </cols>
  <sheetData>
    <row r="1" ht="32" customHeight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workbook_image_id</t>
        </is>
      </c>
      <c r="G1" s="1" t="inlineStr">
        <is>
          <t>variant</t>
        </is>
      </c>
      <c r="H1" s="1" t="inlineStr">
        <is>
          <t>image_location</t>
        </is>
      </c>
      <c r="I1" s="1" t="inlineStr">
        <is>
          <t>check_method</t>
        </is>
      </c>
      <c r="J1" s="1" t="inlineStr">
        <is>
          <t>checked_at</t>
        </is>
      </c>
      <c r="K1" s="1" t="inlineStr">
        <is>
          <t>qa_observation</t>
        </is>
      </c>
      <c r="L1" s="1" t="inlineStr">
        <is>
          <t>submitted_observation</t>
        </is>
      </c>
      <c r="M1" s="1" t="inlineStr">
        <is>
          <t>storefront_alt_observed</t>
        </is>
      </c>
      <c r="N1" s="1" t="inlineStr">
        <is>
          <t>alt_action</t>
        </is>
      </c>
      <c r="O1" s="1" t="inlineStr">
        <is>
          <t>alt_effective</t>
        </is>
      </c>
      <c r="P1" s="1" t="inlineStr">
        <is>
          <t>IM1</t>
        </is>
      </c>
      <c r="Q1" s="1" t="inlineStr">
        <is>
          <t>IM2</t>
        </is>
      </c>
      <c r="R1" s="1" t="inlineStr">
        <is>
          <t>IM3</t>
        </is>
      </c>
      <c r="S1" s="1" t="inlineStr">
        <is>
          <t>IM4</t>
        </is>
      </c>
      <c r="T1" s="1" t="inlineStr">
        <is>
          <t>image_verified_points</t>
        </is>
      </c>
      <c r="U1" s="1" t="inlineStr">
        <is>
          <t>image_assessed_weight</t>
        </is>
      </c>
      <c r="V1" s="1" t="inlineStr">
        <is>
          <t>image_final_score</t>
        </is>
      </c>
      <c r="W1" s="1" t="inlineStr">
        <is>
          <t>image_score_lower_bound</t>
        </is>
      </c>
      <c r="X1" s="1" t="inlineStr">
        <is>
          <t>image_score_upper_bound</t>
        </is>
      </c>
      <c r="Y1" s="1" t="inlineStr">
        <is>
          <t>issue_refs</t>
        </is>
      </c>
      <c r="Z1" s="1" t="inlineStr">
        <is>
          <t>evidence_refs</t>
        </is>
      </c>
      <c r="AA1" s="1" t="inlineStr">
        <is>
          <t>revision</t>
        </is>
      </c>
    </row>
    <row r="2" ht="66" customHeight="1">
      <c r="A2" s="2" t="inlineStr">
        <is>
          <t>jeminise.com+custom-american-sports-football-player-running-with-ball-comforter-891aa5a660-891aa5a660</t>
        </is>
      </c>
      <c r="B2" s="2" t="inlineStr">
        <is>
          <t>qaimg_c952dd7953c7ec74</t>
        </is>
      </c>
      <c r="C2" s="4" t="inlineStr">
        <is>
          <t>https://cdn.shopify.com/s/files/1/0792/5098/1063/files/9235409950f5f87cdd7448cbf5ac7a4f4dbaf6159fc81f9ca4893048f571d49a.jpg?v=1785100651</t>
        </is>
      </c>
      <c r="D2" s="4" t="inlineStr">
        <is>
          <t>https://cdn.shopify.com/s/files/1/0792/5098/1063/files/9235409950f5f87cdd7448cbf5ac7a4f4dbaf6159fc81f9ca4893048f571d49a.jpg?v=1785100651</t>
        </is>
      </c>
      <c r="E2" s="2" t="inlineStr">
        <is>
          <t>38506741334215</t>
        </is>
      </c>
      <c r="F2" s="2" t="inlineStr">
        <is>
          <t>47540180975815</t>
        </is>
      </c>
      <c r="G2" s="2" t="inlineStr"/>
      <c r="H2" s="2" t="inlineStr">
        <is>
          <t>GALLERY</t>
        </is>
      </c>
      <c r="I2" s="2" t="inlineStr">
        <is>
          <t>DIRECT_ORIGINAL_IMAGE_REQA + R4_MEDIA_ID_COMPARISON</t>
        </is>
      </c>
      <c r="J2" s="2" t="inlineStr">
        <is>
          <t>2026-09-07T22:27:03.014477+07:00</t>
        </is>
      </c>
      <c r="K2" s="2" t="inlineStr">
        <is>
          <t>Front bedroom mockup of a red football player running with the ball, a vintage flag-style background and sample name KEVIN.</t>
        </is>
      </c>
      <c r="L2" s="2" t="inlineStr">
        <is>
          <t>Main product mockup showing personalized football player comforter with the name Kevin.</t>
        </is>
      </c>
      <c r="M2" s="2" t="inlineStr">
        <is>
          <t>Custom American Sports Football Player Running with Ball Comforter</t>
        </is>
      </c>
      <c r="N2" s="2" t="inlineStr">
        <is>
          <t>SET</t>
        </is>
      </c>
      <c r="O2" s="2" t="inlineStr">
        <is>
          <t>Personalized Football Player Comforter Set product image</t>
        </is>
      </c>
      <c r="P2" s="2" t="inlineStr">
        <is>
          <t>FULL</t>
        </is>
      </c>
      <c r="Q2" s="2" t="inlineStr">
        <is>
          <t>FULL</t>
        </is>
      </c>
      <c r="R2" s="2" t="inlineStr">
        <is>
          <t>FULL</t>
        </is>
      </c>
      <c r="S2" s="2" t="inlineStr">
        <is>
          <t>FULL</t>
        </is>
      </c>
      <c r="T2" s="5">
        <f>IF(P2="FULL",40,IF(P2="PARTIAL",40/2,0))+IF(Q2="FULL",30,IF(Q2="PARTIAL",30/2,0))+IF(R2="FULL",20,IF(R2="PARTIAL",20/2,0))+IF(S2="FULL",10,IF(S2="PARTIAL",10/2,0))</f>
        <v/>
      </c>
      <c r="U2" s="5">
        <f>IF(P2="NOT_CHECKED",0,40)+IF(Q2="NOT_CHECKED",0,30)+IF(R2="NOT_CHECKED",0,20)+IF(S2="NOT_CHECKED",0,10)</f>
        <v/>
      </c>
      <c r="V2" s="5">
        <f>IF(U2=100,T2,"")</f>
        <v/>
      </c>
      <c r="W2" s="5">
        <f>T2</f>
        <v/>
      </c>
      <c r="X2" s="5">
        <f>T2+(100-U2)</f>
        <v/>
      </c>
      <c r="Y2" s="2" t="inlineStr">
        <is>
          <t>[]</t>
        </is>
      </c>
      <c r="Z2" s="2" t="inlineStr">
        <is>
          <t>["seo_runs\\jeminise.com\\20260906_234129\\evidence\\images\\41_custom-american-sports-football-player-running-with-ball-comforter-891aa5a660-891aa5a660\\image_01_47540180975815.jpg; seo_runs\\jeminise.com\\20260906_234129\\evidence\\contact_sheets\\41_custom-american-sports-football-player-running-with-ball-comforter-891aa5a660-891aa5a660.jpg", "https://jeminise.com/products/custom-american-sports-football-player-running-with-ball-comforter-891aa5a660-891aa5a660", "https://cdn.shopify.com/s/files/1/0792/5098/1063/files/9235409950f5f87cdd7448cbf5ac7a4f4dbaf6159fc81f9ca4893048f571d49a.jpg?v=1785100651"]</t>
        </is>
      </c>
      <c r="AA2" s="2" t="inlineStr">
        <is>
          <t>r4</t>
        </is>
      </c>
    </row>
    <row r="3" ht="66" customHeight="1">
      <c r="A3" s="3" t="inlineStr">
        <is>
          <t>jeminise.com+custom-american-sports-football-player-running-with-ball-comforter-891aa5a660-891aa5a660</t>
        </is>
      </c>
      <c r="B3" s="3" t="inlineStr">
        <is>
          <t>qaimg_d79d022d55c0489e</t>
        </is>
      </c>
      <c r="C3" s="4" t="inlineStr">
        <is>
          <t>https://cdn.shopify.com/s/files/1/0792/5098/1063/files/734fcfc573ad4fdcbbb651e00778852f706e090e624c7195c769cce66a4fcce7.jpg?v=1785100651</t>
        </is>
      </c>
      <c r="D3" s="4" t="inlineStr">
        <is>
          <t>https://cdn.shopify.com/s/files/1/0792/5098/1063/files/734fcfc573ad4fdcbbb651e00778852f706e090e624c7195c769cce66a4fcce7.jpg?v=1785100651</t>
        </is>
      </c>
      <c r="E3" s="3" t="inlineStr">
        <is>
          <t>38506741366983</t>
        </is>
      </c>
      <c r="F3" s="3" t="inlineStr">
        <is>
          <t>47540181008583</t>
        </is>
      </c>
      <c r="G3" s="3" t="inlineStr"/>
      <c r="H3" s="3" t="inlineStr">
        <is>
          <t>GALLERY</t>
        </is>
      </c>
      <c r="I3" s="3" t="inlineStr">
        <is>
          <t>DIRECT_ORIGINAL_IMAGE_REQA + R4_MEDIA_ID_COMPARISON</t>
        </is>
      </c>
      <c r="J3" s="3" t="inlineStr">
        <is>
          <t>2026-09-07T22:27:03.014477+07:00</t>
        </is>
      </c>
      <c r="K3" s="3" t="inlineStr">
        <is>
          <t>Angled bedroom mockup of the same football-player design.</t>
        </is>
      </c>
      <c r="L3" s="3" t="inlineStr">
        <is>
          <t>Secondary mockup or folded view showing personalized football player comforter with the name Kevin.</t>
        </is>
      </c>
      <c r="M3" s="3" t="inlineStr">
        <is>
          <t>Custom American Sports Football Player Running with Ball Comforter</t>
        </is>
      </c>
      <c r="N3" s="3" t="inlineStr">
        <is>
          <t>SET</t>
        </is>
      </c>
      <c r="O3" s="3" t="inlineStr">
        <is>
          <t>Personalized Football Player Comforter Set product image</t>
        </is>
      </c>
      <c r="P3" s="3" t="inlineStr">
        <is>
          <t>FULL</t>
        </is>
      </c>
      <c r="Q3" s="3" t="inlineStr">
        <is>
          <t>FULL</t>
        </is>
      </c>
      <c r="R3" s="3" t="inlineStr">
        <is>
          <t>FULL</t>
        </is>
      </c>
      <c r="S3" s="3" t="inlineStr">
        <is>
          <t>FULL</t>
        </is>
      </c>
      <c r="T3" s="7">
        <f>IF(P3="FULL",40,IF(P3="PARTIAL",40/2,0))+IF(Q3="FULL",30,IF(Q3="PARTIAL",30/2,0))+IF(R3="FULL",20,IF(R3="PARTIAL",20/2,0))+IF(S3="FULL",10,IF(S3="PARTIAL",10/2,0))</f>
        <v/>
      </c>
      <c r="U3" s="7">
        <f>IF(P3="NOT_CHECKED",0,40)+IF(Q3="NOT_CHECKED",0,30)+IF(R3="NOT_CHECKED",0,20)+IF(S3="NOT_CHECKED",0,10)</f>
        <v/>
      </c>
      <c r="V3" s="7">
        <f>IF(U3=100,T3,"")</f>
        <v/>
      </c>
      <c r="W3" s="7">
        <f>T3</f>
        <v/>
      </c>
      <c r="X3" s="7">
        <f>T3+(100-U3)</f>
        <v/>
      </c>
      <c r="Y3" s="3" t="inlineStr">
        <is>
          <t>[]</t>
        </is>
      </c>
      <c r="Z3" s="3" t="inlineStr">
        <is>
          <t>["seo_runs\\jeminise.com\\20260906_234129\\evidence\\images\\41_custom-american-sports-football-player-running-with-ball-comforter-891aa5a660-891aa5a660\\image_02_47540181008583.jpg; seo_runs\\jeminise.com\\20260906_234129\\evidence\\contact_sheets\\41_custom-american-sports-football-player-running-with-ball-comforter-891aa5a660-891aa5a660.jpg", "https://jeminise.com/products/custom-american-sports-football-player-running-with-ball-comforter-891aa5a660-891aa5a660", "https://cdn.shopify.com/s/files/1/0792/5098/1063/files/734fcfc573ad4fdcbbb651e00778852f706e090e624c7195c769cce66a4fcce7.jpg?v=1785100651"]</t>
        </is>
      </c>
      <c r="AA3" s="3" t="inlineStr">
        <is>
          <t>r4</t>
        </is>
      </c>
    </row>
    <row r="4" ht="66" customHeight="1">
      <c r="A4" s="2" t="inlineStr">
        <is>
          <t>jeminise.com+custom-american-sports-football-player-running-with-ball-comforter-891aa5a660-891aa5a660</t>
        </is>
      </c>
      <c r="B4" s="2" t="inlineStr">
        <is>
          <t>qaimg_c9f132dcf947f641</t>
        </is>
      </c>
      <c r="C4" s="4" t="inlineStr">
        <is>
          <t>https://cdn.shopify.com/s/files/1/0792/5098/1063/files/16f7293cbefa5743a35b2e6316a5a114e5c052d08151e367dafd26aa5e2e542b_eb1a080d-6e40-46ec-991a-85be60e1af93.jpg?v=1785100651</t>
        </is>
      </c>
      <c r="D4" s="4" t="inlineStr">
        <is>
          <t>https://cdn.shopify.com/s/files/1/0792/5098/1063/files/16f7293cbefa5743a35b2e6316a5a114e5c052d08151e367dafd26aa5e2e542b_eb1a080d-6e40-46ec-991a-85be60e1af93.jpg?v=1785100651</t>
        </is>
      </c>
      <c r="E4" s="2" t="inlineStr">
        <is>
          <t>38506741399751</t>
        </is>
      </c>
      <c r="F4" s="2" t="inlineStr">
        <is>
          <t>47540181041351</t>
        </is>
      </c>
      <c r="G4" s="2" t="inlineStr"/>
      <c r="H4" s="2" t="inlineStr">
        <is>
          <t>GALLERY</t>
        </is>
      </c>
      <c r="I4" s="2" t="inlineStr">
        <is>
          <t>DIRECT_ORIGINAL_IMAGE_REQA + R4_MEDIA_ID_COMPARISON</t>
        </is>
      </c>
      <c r="J4" s="2" t="inlineStr">
        <is>
          <t>2026-09-07T22:27:03.014477+07:00</t>
        </is>
      </c>
      <c r="K4" s="2" t="inlineStr">
        <is>
          <t>Duvet-cover versus comforter product-type comparison.</t>
        </is>
      </c>
      <c r="L4" s="2" t="inlineStr">
        <is>
          <t>Personalization, feature or lifestyle image connected to personalized football player comforter with the name Kevin.</t>
        </is>
      </c>
      <c r="M4" s="2" t="inlineStr">
        <is>
          <t>Custom American Sports Football Player Running with Ball Comforter</t>
        </is>
      </c>
      <c r="N4" s="2" t="inlineStr">
        <is>
          <t>SET</t>
        </is>
      </c>
      <c r="O4" s="2" t="inlineStr">
        <is>
          <t>Personalized Football Player Comforter Set product image</t>
        </is>
      </c>
      <c r="P4" s="2" t="inlineStr">
        <is>
          <t>FULL</t>
        </is>
      </c>
      <c r="Q4" s="2" t="inlineStr">
        <is>
          <t>FULL</t>
        </is>
      </c>
      <c r="R4" s="2" t="inlineStr">
        <is>
          <t>FULL</t>
        </is>
      </c>
      <c r="S4" s="2" t="inlineStr">
        <is>
          <t>FULL</t>
        </is>
      </c>
      <c r="T4" s="5">
        <f>IF(P4="FULL",40,IF(P4="PARTIAL",40/2,0))+IF(Q4="FULL",30,IF(Q4="PARTIAL",30/2,0))+IF(R4="FULL",20,IF(R4="PARTIAL",20/2,0))+IF(S4="FULL",10,IF(S4="PARTIAL",10/2,0))</f>
        <v/>
      </c>
      <c r="U4" s="5">
        <f>IF(P4="NOT_CHECKED",0,40)+IF(Q4="NOT_CHECKED",0,30)+IF(R4="NOT_CHECKED",0,20)+IF(S4="NOT_CHECKED",0,10)</f>
        <v/>
      </c>
      <c r="V4" s="5">
        <f>IF(U4=100,T4,"")</f>
        <v/>
      </c>
      <c r="W4" s="5">
        <f>T4</f>
        <v/>
      </c>
      <c r="X4" s="5">
        <f>T4+(100-U4)</f>
        <v/>
      </c>
      <c r="Y4" s="2" t="inlineStr">
        <is>
          <t>[]</t>
        </is>
      </c>
      <c r="Z4" s="2" t="inlineStr">
        <is>
          <t>["seo_runs\\jeminise.com\\20260906_234129\\evidence\\images\\41_custom-american-sports-football-player-running-with-ball-comforter-891aa5a660-891aa5a660\\image_03_47540181041351.jpg; seo_runs\\jeminise.com\\20260906_234129\\evidence\\contact_sheets\\41_custom-american-sports-football-player-running-with-ball-comforter-891aa5a660-891aa5a660.jpg", "https://jeminise.com/products/custom-american-sports-football-player-running-with-ball-comforter-891aa5a660-891aa5a660", "https://cdn.shopify.com/s/files/1/0792/5098/1063/files/16f7293cbefa5743a35b2e6316a5a114e5c052d08151e367dafd26aa5e2e542b_eb1a080d-6e40-46ec-991a-85be60e1af93.jpg?v=1785100651"]</t>
        </is>
      </c>
      <c r="AA4" s="2" t="inlineStr">
        <is>
          <t>r4</t>
        </is>
      </c>
    </row>
    <row r="5" ht="66" customHeight="1">
      <c r="A5" s="3" t="inlineStr">
        <is>
          <t>jeminise.com+custom-american-sports-football-player-running-with-ball-comforter-891aa5a660-891aa5a660</t>
        </is>
      </c>
      <c r="B5" s="3" t="inlineStr">
        <is>
          <t>qaimg_040107fde91c424b</t>
        </is>
      </c>
      <c r="C5" s="4" t="inlineStr">
        <is>
          <t>https://cdn.shopify.com/s/files/1/0792/5098/1063/files/f8229b6849a00a78a81ae1d6d2d453ba20adc1a2f8096c40c60d04127f55aa3e.jpg?v=1785100651</t>
        </is>
      </c>
      <c r="D5" s="4" t="inlineStr">
        <is>
          <t>https://cdn.shopify.com/s/files/1/0792/5098/1063/files/f8229b6849a00a78a81ae1d6d2d453ba20adc1a2f8096c40c60d04127f55aa3e.jpg?v=1785100651</t>
        </is>
      </c>
      <c r="E5" s="3" t="inlineStr">
        <is>
          <t>38506741432519</t>
        </is>
      </c>
      <c r="F5" s="3" t="inlineStr">
        <is>
          <t>47540181074119</t>
        </is>
      </c>
      <c r="G5" s="3" t="inlineStr"/>
      <c r="H5" s="3" t="inlineStr">
        <is>
          <t>GALLERY</t>
        </is>
      </c>
      <c r="I5" s="3" t="inlineStr">
        <is>
          <t>DIRECT_ORIGINAL_IMAGE_REQA + R4_MEDIA_ID_COMPARISON</t>
        </is>
      </c>
      <c r="J5" s="3" t="inlineStr">
        <is>
          <t>2026-09-07T22:27:03.014477+07:00</t>
        </is>
      </c>
      <c r="K5" s="3" t="inlineStr">
        <is>
          <t>Feature panel marked soft, lightweight, durable and breathable.</t>
        </is>
      </c>
      <c r="L5" s="3" t="inlineStr">
        <is>
          <t>Close detail, care feature or sizing information for personalized football player comforter with the name Kevin.</t>
        </is>
      </c>
      <c r="M5" s="3" t="inlineStr">
        <is>
          <t>Custom American Sports Football Player Running with Ball Comforter</t>
        </is>
      </c>
      <c r="N5" s="3" t="inlineStr">
        <is>
          <t>SET</t>
        </is>
      </c>
      <c r="O5" s="3" t="inlineStr">
        <is>
          <t>Personalized Football Player Comforter Set product image</t>
        </is>
      </c>
      <c r="P5" s="3" t="inlineStr">
        <is>
          <t>FULL</t>
        </is>
      </c>
      <c r="Q5" s="3" t="inlineStr">
        <is>
          <t>FULL</t>
        </is>
      </c>
      <c r="R5" s="3" t="inlineStr">
        <is>
          <t>FULL</t>
        </is>
      </c>
      <c r="S5" s="3" t="inlineStr">
        <is>
          <t>FULL</t>
        </is>
      </c>
      <c r="T5" s="7">
        <f>IF(P5="FULL",40,IF(P5="PARTIAL",40/2,0))+IF(Q5="FULL",30,IF(Q5="PARTIAL",30/2,0))+IF(R5="FULL",20,IF(R5="PARTIAL",20/2,0))+IF(S5="FULL",10,IF(S5="PARTIAL",10/2,0))</f>
        <v/>
      </c>
      <c r="U5" s="7">
        <f>IF(P5="NOT_CHECKED",0,40)+IF(Q5="NOT_CHECKED",0,30)+IF(R5="NOT_CHECKED",0,20)+IF(S5="NOT_CHECKED",0,10)</f>
        <v/>
      </c>
      <c r="V5" s="7">
        <f>IF(U5=100,T5,"")</f>
        <v/>
      </c>
      <c r="W5" s="7">
        <f>T5</f>
        <v/>
      </c>
      <c r="X5" s="7">
        <f>T5+(100-U5)</f>
        <v/>
      </c>
      <c r="Y5" s="3" t="inlineStr">
        <is>
          <t>[]</t>
        </is>
      </c>
      <c r="Z5" s="3" t="inlineStr">
        <is>
          <t>["seo_runs\\jeminise.com\\20260906_234129\\evidence\\images\\41_custom-american-sports-football-player-running-with-ball-comforter-891aa5a660-891aa5a660\\image_04_47540181074119.jpg; seo_runs\\jeminise.com\\20260906_234129\\evidence\\contact_sheets\\41_custom-american-sports-football-player-running-with-ball-comforter-891aa5a660-891aa5a660.jpg", "https://jeminise.com/products/custom-american-sports-football-player-running-with-ball-comforter-891aa5a660-891aa5a660", "https://cdn.shopify.com/s/files/1/0792/5098/1063/files/f8229b6849a00a78a81ae1d6d2d453ba20adc1a2f8096c40c60d04127f55aa3e.jpg?v=1785100651"]</t>
        </is>
      </c>
      <c r="AA5" s="3" t="inlineStr">
        <is>
          <t>r4</t>
        </is>
      </c>
    </row>
    <row r="6" ht="66" customHeight="1">
      <c r="A6" s="2" t="inlineStr">
        <is>
          <t>jeminise.com+custom-american-sports-football-player-running-with-ball-comforter-891aa5a660-891aa5a660</t>
        </is>
      </c>
      <c r="B6" s="2" t="inlineStr">
        <is>
          <t>qaimg_8af87d5c18e3eace</t>
        </is>
      </c>
      <c r="C6" s="4" t="inlineStr">
        <is>
          <t>https://cdn.shopify.com/s/files/1/0792/5098/1063/files/7c006bddc94d4763c71c8376307e195c1bbce73b8c802ec73ac5a8cef1291262_77b7f8f1-ac24-40ac-87d5-9f4f05af728d.jpg?v=1785100652</t>
        </is>
      </c>
      <c r="D6" s="4" t="inlineStr">
        <is>
          <t>https://cdn.shopify.com/s/files/1/0792/5098/1063/files/7c006bddc94d4763c71c8376307e195c1bbce73b8c802ec73ac5a8cef1291262_77b7f8f1-ac24-40ac-87d5-9f4f05af728d.jpg?v=1785100652</t>
        </is>
      </c>
      <c r="E6" s="2" t="inlineStr">
        <is>
          <t>38506741465287</t>
        </is>
      </c>
      <c r="F6" s="2" t="inlineStr">
        <is>
          <t>47540181106887</t>
        </is>
      </c>
      <c r="G6" s="2" t="inlineStr"/>
      <c r="H6" s="2" t="inlineStr">
        <is>
          <t>GALLERY</t>
        </is>
      </c>
      <c r="I6" s="2" t="inlineStr">
        <is>
          <t>DIRECT_ORIGINAL_IMAGE_REQA + R4_MEDIA_ID_COMPARISON</t>
        </is>
      </c>
      <c r="J6" s="2" t="inlineStr">
        <is>
          <t>2026-09-07T22:27:03.014477+07:00</t>
        </is>
      </c>
      <c r="K6" s="2" t="inlineStr">
        <is>
          <t>Easy-care instruction panel.</t>
        </is>
      </c>
      <c r="L6" s="2" t="inlineStr">
        <is>
          <t>Material, wash or comfort feature image for personalized football player comforter with the name Kevin.</t>
        </is>
      </c>
      <c r="M6" s="2" t="inlineStr">
        <is>
          <t>Custom American Sports Football Player Running with Ball Comforter</t>
        </is>
      </c>
      <c r="N6" s="2" t="inlineStr">
        <is>
          <t>SET</t>
        </is>
      </c>
      <c r="O6" s="2" t="inlineStr">
        <is>
          <t>Personalized Football Player Comforter Set product image</t>
        </is>
      </c>
      <c r="P6" s="2" t="inlineStr">
        <is>
          <t>FULL</t>
        </is>
      </c>
      <c r="Q6" s="2" t="inlineStr">
        <is>
          <t>FULL</t>
        </is>
      </c>
      <c r="R6" s="2" t="inlineStr">
        <is>
          <t>FULL</t>
        </is>
      </c>
      <c r="S6" s="2" t="inlineStr">
        <is>
          <t>FULL</t>
        </is>
      </c>
      <c r="T6" s="5">
        <f>IF(P6="FULL",40,IF(P6="PARTIAL",40/2,0))+IF(Q6="FULL",30,IF(Q6="PARTIAL",30/2,0))+IF(R6="FULL",20,IF(R6="PARTIAL",20/2,0))+IF(S6="FULL",10,IF(S6="PARTIAL",10/2,0))</f>
        <v/>
      </c>
      <c r="U6" s="5">
        <f>IF(P6="NOT_CHECKED",0,40)+IF(Q6="NOT_CHECKED",0,30)+IF(R6="NOT_CHECKED",0,20)+IF(S6="NOT_CHECKED",0,10)</f>
        <v/>
      </c>
      <c r="V6" s="5">
        <f>IF(U6=100,T6,"")</f>
        <v/>
      </c>
      <c r="W6" s="5">
        <f>T6</f>
        <v/>
      </c>
      <c r="X6" s="5">
        <f>T6+(100-U6)</f>
        <v/>
      </c>
      <c r="Y6" s="2" t="inlineStr">
        <is>
          <t>[]</t>
        </is>
      </c>
      <c r="Z6" s="2" t="inlineStr">
        <is>
          <t>["seo_runs\\jeminise.com\\20260906_234129\\evidence\\images\\41_custom-american-sports-football-player-running-with-ball-comforter-891aa5a660-891aa5a660\\image_05_47540181106887.jpg; seo_runs\\jeminise.com\\20260906_234129\\evidence\\contact_sheets\\41_custom-american-sports-football-player-running-with-ball-comforter-891aa5a660-891aa5a660.jpg", "https://jeminise.com/products/custom-american-sports-football-player-running-with-ball-comforter-891aa5a660-891aa5a660", "https://cdn.shopify.com/s/files/1/0792/5098/1063/files/7c006bddc94d4763c71c8376307e195c1bbce73b8c802ec73ac5a8cef1291262_77b7f8f1-ac24-40ac-87d5-9f4f05af728d.jpg?v=1785100652"]</t>
        </is>
      </c>
      <c r="AA6" s="2" t="inlineStr">
        <is>
          <t>r4</t>
        </is>
      </c>
    </row>
    <row r="7" ht="66" customHeight="1">
      <c r="A7" s="3" t="inlineStr">
        <is>
          <t>jeminise.com+custom-american-sports-football-player-running-with-ball-comforter-891aa5a660-891aa5a660</t>
        </is>
      </c>
      <c r="B7" s="3" t="inlineStr">
        <is>
          <t>qaimg_1a7cbfc71bd36870</t>
        </is>
      </c>
      <c r="C7" s="4" t="inlineStr">
        <is>
          <t>https://cdn.shopify.com/s/files/1/0792/5098/1063/files/e5cad84edb4d7bf77c48fd7c8e52eb3b73f04eba8bf177671fd8a059c59422e8_155f496e-ea96-4855-a894-d66f04e80ab3.jpg?v=1785100651</t>
        </is>
      </c>
      <c r="D7" s="4" t="inlineStr">
        <is>
          <t>https://cdn.shopify.com/s/files/1/0792/5098/1063/files/e5cad84edb4d7bf77c48fd7c8e52eb3b73f04eba8bf177671fd8a059c59422e8_155f496e-ea96-4855-a894-d66f04e80ab3.jpg?v=1785100651</t>
        </is>
      </c>
      <c r="E7" s="3" t="inlineStr">
        <is>
          <t>38506741498055</t>
        </is>
      </c>
      <c r="F7" s="3" t="inlineStr">
        <is>
          <t>47540181139655</t>
        </is>
      </c>
      <c r="G7" s="3" t="inlineStr"/>
      <c r="H7" s="3" t="inlineStr">
        <is>
          <t>GALLERY</t>
        </is>
      </c>
      <c r="I7" s="3" t="inlineStr">
        <is>
          <t>DIRECT_ORIGINAL_IMAGE_REQA + R4_MEDIA_ID_COMPARISON</t>
        </is>
      </c>
      <c r="J7" s="3" t="inlineStr">
        <is>
          <t>2026-09-07T22:27:03.014477+07:00</t>
        </is>
      </c>
      <c r="K7" s="3" t="inlineStr">
        <is>
          <t>Comforter and duvet-cover size-dimension diagram.</t>
        </is>
      </c>
      <c r="L7" s="3" t="inlineStr">
        <is>
          <t>Size guide, feature panel or additional mockup for personalized football player comforter with the name Kevin.</t>
        </is>
      </c>
      <c r="M7" s="3" t="inlineStr">
        <is>
          <t>Custom American Sports Football Player Running with Ball Comforter</t>
        </is>
      </c>
      <c r="N7" s="3" t="inlineStr">
        <is>
          <t>SET</t>
        </is>
      </c>
      <c r="O7" s="3" t="inlineStr">
        <is>
          <t>Personalized Football Player Comforter Set product image</t>
        </is>
      </c>
      <c r="P7" s="3" t="inlineStr">
        <is>
          <t>FULL</t>
        </is>
      </c>
      <c r="Q7" s="3" t="inlineStr">
        <is>
          <t>FULL</t>
        </is>
      </c>
      <c r="R7" s="3" t="inlineStr">
        <is>
          <t>FULL</t>
        </is>
      </c>
      <c r="S7" s="3" t="inlineStr">
        <is>
          <t>FULL</t>
        </is>
      </c>
      <c r="T7" s="7">
        <f>IF(P7="FULL",40,IF(P7="PARTIAL",40/2,0))+IF(Q7="FULL",30,IF(Q7="PARTIAL",30/2,0))+IF(R7="FULL",20,IF(R7="PARTIAL",20/2,0))+IF(S7="FULL",10,IF(S7="PARTIAL",10/2,0))</f>
        <v/>
      </c>
      <c r="U7" s="7">
        <f>IF(P7="NOT_CHECKED",0,40)+IF(Q7="NOT_CHECKED",0,30)+IF(R7="NOT_CHECKED",0,20)+IF(S7="NOT_CHECKED",0,10)</f>
        <v/>
      </c>
      <c r="V7" s="7">
        <f>IF(U7=100,T7,"")</f>
        <v/>
      </c>
      <c r="W7" s="7">
        <f>T7</f>
        <v/>
      </c>
      <c r="X7" s="7">
        <f>T7+(100-U7)</f>
        <v/>
      </c>
      <c r="Y7" s="3" t="inlineStr">
        <is>
          <t>[]</t>
        </is>
      </c>
      <c r="Z7" s="3" t="inlineStr">
        <is>
          <t>["seo_runs\\jeminise.com\\20260906_234129\\evidence\\images\\41_custom-american-sports-football-player-running-with-ball-comforter-891aa5a660-891aa5a660\\image_06_47540181139655.jpg; seo_runs\\jeminise.com\\20260906_234129\\evidence\\contact_sheets\\41_custom-american-sports-football-player-running-with-ball-comforter-891aa5a660-891aa5a660.jpg", "https://jeminise.com/products/custom-american-sports-football-player-running-with-ball-comforter-891aa5a660-891aa5a660", "https://cdn.shopify.com/s/files/1/0792/5098/1063/files/e5cad84edb4d7bf77c48fd7c8e52eb3b73f04eba8bf177671fd8a059c59422e8_155f496e-ea96-4855-a894-d66f04e80ab3.jpg?v=1785100651"]</t>
        </is>
      </c>
      <c r="AA7" s="3" t="inlineStr">
        <is>
          <t>r4</t>
        </is>
      </c>
    </row>
    <row r="8" ht="66" customHeight="1">
      <c r="A8" s="2" t="inlineStr">
        <is>
          <t>jeminise.com+custom-basketball-players-blanket-name-number-76fdad09b6-76fdad09b6</t>
        </is>
      </c>
      <c r="B8" s="2" t="inlineStr">
        <is>
          <t>qaimg_01ee74a6c66acdd3</t>
        </is>
      </c>
      <c r="C8" s="4" t="inlineStr">
        <is>
          <t>https://cdn.shopify.com/s/files/1/0792/5098/1063/files/6c2b7a18ab88cd4dc34c692087680fae7e33609b7762bcbb4b65241bddb4c683.jpg?v=1785090540</t>
        </is>
      </c>
      <c r="D8" s="4" t="inlineStr">
        <is>
          <t>https://cdn.shopify.com/s/files/1/0792/5098/1063/files/6c2b7a18ab88cd4dc34c692087680fae7e33609b7762bcbb4b65241bddb4c683.jpg?v=1785090540</t>
        </is>
      </c>
      <c r="E8" s="2" t="inlineStr">
        <is>
          <t>38505520201927</t>
        </is>
      </c>
      <c r="F8" s="2" t="inlineStr">
        <is>
          <t>47538951520455</t>
        </is>
      </c>
      <c r="G8" s="2" t="inlineStr"/>
      <c r="H8" s="2" t="inlineStr">
        <is>
          <t>GALLERY</t>
        </is>
      </c>
      <c r="I8" s="2" t="inlineStr">
        <is>
          <t>DIRECT_ORIGINAL_IMAGE_REQA + R4_MEDIA_ID_COMPARISON</t>
        </is>
      </c>
      <c r="J8" s="2" t="inlineStr">
        <is>
          <t>2026-09-07T22:27:03.014477+07:00</t>
        </is>
      </c>
      <c r="K8" s="2" t="inlineStr">
        <is>
          <t>Flat basketball blanket mockup with orange ball, player silhouettes, sample number 06 and name COLÓN.</t>
        </is>
      </c>
      <c r="L8" s="2" t="inlineStr">
        <is>
          <t>Main product mockup showing personalized basketball blanket with name and number.</t>
        </is>
      </c>
      <c r="M8" s="2" t="inlineStr">
        <is>
          <t>Custom Basketball Players Blanket with Name and Number</t>
        </is>
      </c>
      <c r="N8" s="2" t="inlineStr">
        <is>
          <t>SET</t>
        </is>
      </c>
      <c r="O8" s="2" t="inlineStr">
        <is>
          <t>Personalized Basketball Name Number Blanket product image</t>
        </is>
      </c>
      <c r="P8" s="2" t="inlineStr">
        <is>
          <t>FULL</t>
        </is>
      </c>
      <c r="Q8" s="2" t="inlineStr">
        <is>
          <t>FULL</t>
        </is>
      </c>
      <c r="R8" s="2" t="inlineStr">
        <is>
          <t>FULL</t>
        </is>
      </c>
      <c r="S8" s="2" t="inlineStr">
        <is>
          <t>FULL</t>
        </is>
      </c>
      <c r="T8" s="5">
        <f>IF(P8="FULL",40,IF(P8="PARTIAL",40/2,0))+IF(Q8="FULL",30,IF(Q8="PARTIAL",30/2,0))+IF(R8="FULL",20,IF(R8="PARTIAL",20/2,0))+IF(S8="FULL",10,IF(S8="PARTIAL",10/2,0))</f>
        <v/>
      </c>
      <c r="U8" s="5">
        <f>IF(P8="NOT_CHECKED",0,40)+IF(Q8="NOT_CHECKED",0,30)+IF(R8="NOT_CHECKED",0,20)+IF(S8="NOT_CHECKED",0,10)</f>
        <v/>
      </c>
      <c r="V8" s="5">
        <f>IF(U8=100,T8,"")</f>
        <v/>
      </c>
      <c r="W8" s="5">
        <f>T8</f>
        <v/>
      </c>
      <c r="X8" s="5">
        <f>T8+(100-U8)</f>
        <v/>
      </c>
      <c r="Y8" s="2" t="inlineStr">
        <is>
          <t>[]</t>
        </is>
      </c>
      <c r="Z8" s="2" t="inlineStr">
        <is>
          <t>["seo_runs\\jeminise.com\\20260906_234129\\evidence\\images\\42_custom-basketball-players-blanket-name-number-76fdad09b6-76fdad09b6\\image_01_47538951520455.jpg; seo_runs\\jeminise.com\\20260906_234129\\evidence\\contact_sheets\\42_custom-basketball-players-blanket-name-number-76fdad09b6-76fdad09b6.jpg", "https://jeminise.com/products/custom-basketball-players-blanket-name-number-76fdad09b6-76fdad09b6", "https://cdn.shopify.com/s/files/1/0792/5098/1063/files/6c2b7a18ab88cd4dc34c692087680fae7e33609b7762bcbb4b65241bddb4c683.jpg?v=1785090540"]</t>
        </is>
      </c>
      <c r="AA8" s="2" t="inlineStr">
        <is>
          <t>r4</t>
        </is>
      </c>
    </row>
    <row r="9" ht="66" customHeight="1">
      <c r="A9" s="3" t="inlineStr">
        <is>
          <t>jeminise.com+custom-basketball-players-blanket-name-number-76fdad09b6-76fdad09b6</t>
        </is>
      </c>
      <c r="B9" s="3" t="inlineStr">
        <is>
          <t>qaimg_5d324bb568cfd0a0</t>
        </is>
      </c>
      <c r="C9" s="4" t="inlineStr">
        <is>
          <t>https://cdn.shopify.com/s/files/1/0792/5098/1063/files/d5abee5ec17755dbbcc6e02e33e7a330ee23e993249b0e3a757080976f26e61a.jpg?v=1785090540</t>
        </is>
      </c>
      <c r="D9" s="4" t="inlineStr">
        <is>
          <t>https://cdn.shopify.com/s/files/1/0792/5098/1063/files/d5abee5ec17755dbbcc6e02e33e7a330ee23e993249b0e3a757080976f26e61a.jpg?v=1785090540</t>
        </is>
      </c>
      <c r="E9" s="3" t="inlineStr">
        <is>
          <t>38505520234695</t>
        </is>
      </c>
      <c r="F9" s="3" t="inlineStr">
        <is>
          <t>47538951553223</t>
        </is>
      </c>
      <c r="G9" s="3" t="inlineStr"/>
      <c r="H9" s="3" t="inlineStr">
        <is>
          <t>GALLERY</t>
        </is>
      </c>
      <c r="I9" s="3" t="inlineStr">
        <is>
          <t>DIRECT_ORIGINAL_IMAGE_REQA + R4_MEDIA_ID_COMPARISON</t>
        </is>
      </c>
      <c r="J9" s="3" t="inlineStr">
        <is>
          <t>2026-09-07T22:27:03.014477+07:00</t>
        </is>
      </c>
      <c r="K9" s="3" t="inlineStr">
        <is>
          <t>Woman holding the COLÓN 06 basketball blanket.</t>
        </is>
      </c>
      <c r="L9" s="3" t="inlineStr">
        <is>
          <t>Secondary mockup or folded view showing personalized basketball blanket with name and number.</t>
        </is>
      </c>
      <c r="M9" s="3" t="inlineStr">
        <is>
          <t>Custom Basketball Players Blanket with Name and Number</t>
        </is>
      </c>
      <c r="N9" s="3" t="inlineStr">
        <is>
          <t>SET</t>
        </is>
      </c>
      <c r="O9" s="3" t="inlineStr">
        <is>
          <t>Personalized Basketball Name Number Blanket product image</t>
        </is>
      </c>
      <c r="P9" s="3" t="inlineStr">
        <is>
          <t>FULL</t>
        </is>
      </c>
      <c r="Q9" s="3" t="inlineStr">
        <is>
          <t>FULL</t>
        </is>
      </c>
      <c r="R9" s="3" t="inlineStr">
        <is>
          <t>FULL</t>
        </is>
      </c>
      <c r="S9" s="3" t="inlineStr">
        <is>
          <t>FULL</t>
        </is>
      </c>
      <c r="T9" s="7">
        <f>IF(P9="FULL",40,IF(P9="PARTIAL",40/2,0))+IF(Q9="FULL",30,IF(Q9="PARTIAL",30/2,0))+IF(R9="FULL",20,IF(R9="PARTIAL",20/2,0))+IF(S9="FULL",10,IF(S9="PARTIAL",10/2,0))</f>
        <v/>
      </c>
      <c r="U9" s="7">
        <f>IF(P9="NOT_CHECKED",0,40)+IF(Q9="NOT_CHECKED",0,30)+IF(R9="NOT_CHECKED",0,20)+IF(S9="NOT_CHECKED",0,10)</f>
        <v/>
      </c>
      <c r="V9" s="7">
        <f>IF(U9=100,T9,"")</f>
        <v/>
      </c>
      <c r="W9" s="7">
        <f>T9</f>
        <v/>
      </c>
      <c r="X9" s="7">
        <f>T9+(100-U9)</f>
        <v/>
      </c>
      <c r="Y9" s="3" t="inlineStr">
        <is>
          <t>[]</t>
        </is>
      </c>
      <c r="Z9" s="3" t="inlineStr">
        <is>
          <t>["seo_runs\\jeminise.com\\20260906_234129\\evidence\\images\\42_custom-basketball-players-blanket-name-number-76fdad09b6-76fdad09b6\\image_02_47538951553223.jpg; seo_runs\\jeminise.com\\20260906_234129\\evidence\\contact_sheets\\42_custom-basketball-players-blanket-name-number-76fdad09b6-76fdad09b6.jpg", "https://jeminise.com/products/custom-basketball-players-blanket-name-number-76fdad09b6-76fdad09b6", "https://cdn.shopify.com/s/files/1/0792/5098/1063/files/d5abee5ec17755dbbcc6e02e33e7a330ee23e993249b0e3a757080976f26e61a.jpg?v=1785090540"]</t>
        </is>
      </c>
      <c r="AA9" s="3" t="inlineStr">
        <is>
          <t>r4</t>
        </is>
      </c>
    </row>
    <row r="10" ht="66" customHeight="1">
      <c r="A10" s="2" t="inlineStr">
        <is>
          <t>jeminise.com+custom-basketball-players-blanket-name-number-76fdad09b6-76fdad09b6</t>
        </is>
      </c>
      <c r="B10" s="2" t="inlineStr">
        <is>
          <t>qaimg_d092311b812d64de</t>
        </is>
      </c>
      <c r="C10" s="4" t="inlineStr">
        <is>
          <t>https://cdn.shopify.com/s/files/1/0792/5098/1063/files/49a6ce3612edf854fdd67ce0c385b74a1db4efbd8e737a4eb0e471333401d9ad.jpg?v=1785090540</t>
        </is>
      </c>
      <c r="D10" s="4" t="inlineStr">
        <is>
          <t>https://cdn.shopify.com/s/files/1/0792/5098/1063/files/49a6ce3612edf854fdd67ce0c385b74a1db4efbd8e737a4eb0e471333401d9ad.jpg?v=1785090540</t>
        </is>
      </c>
      <c r="E10" s="2" t="inlineStr">
        <is>
          <t>38505520267463</t>
        </is>
      </c>
      <c r="F10" s="2" t="inlineStr">
        <is>
          <t>47538951585991</t>
        </is>
      </c>
      <c r="G10" s="2" t="inlineStr"/>
      <c r="H10" s="2" t="inlineStr">
        <is>
          <t>GALLERY</t>
        </is>
      </c>
      <c r="I10" s="2" t="inlineStr">
        <is>
          <t>DIRECT_ORIGINAL_IMAGE_REQA + R4_MEDIA_ID_COMPARISON</t>
        </is>
      </c>
      <c r="J10" s="2" t="inlineStr">
        <is>
          <t>2026-09-07T22:27:03.014477+07:00</t>
        </is>
      </c>
      <c r="K10" s="2" t="inlineStr">
        <is>
          <t>Four-size blanket chart.</t>
        </is>
      </c>
      <c r="L10" s="2" t="inlineStr">
        <is>
          <t>Personalization, feature or lifestyle image connected to personalized basketball blanket with name and number.</t>
        </is>
      </c>
      <c r="M10" s="2" t="inlineStr">
        <is>
          <t>Custom Basketball Players Blanket with Name and Number</t>
        </is>
      </c>
      <c r="N10" s="2" t="inlineStr">
        <is>
          <t>SET</t>
        </is>
      </c>
      <c r="O10" s="2" t="inlineStr">
        <is>
          <t>Personalized Basketball Name Number Blanket product image</t>
        </is>
      </c>
      <c r="P10" s="2" t="inlineStr">
        <is>
          <t>FULL</t>
        </is>
      </c>
      <c r="Q10" s="2" t="inlineStr">
        <is>
          <t>FULL</t>
        </is>
      </c>
      <c r="R10" s="2" t="inlineStr">
        <is>
          <t>FULL</t>
        </is>
      </c>
      <c r="S10" s="2" t="inlineStr">
        <is>
          <t>FULL</t>
        </is>
      </c>
      <c r="T10" s="5">
        <f>IF(P10="FULL",40,IF(P10="PARTIAL",40/2,0))+IF(Q10="FULL",30,IF(Q10="PARTIAL",30/2,0))+IF(R10="FULL",20,IF(R10="PARTIAL",20/2,0))+IF(S10="FULL",10,IF(S10="PARTIAL",10/2,0))</f>
        <v/>
      </c>
      <c r="U10" s="5">
        <f>IF(P10="NOT_CHECKED",0,40)+IF(Q10="NOT_CHECKED",0,30)+IF(R10="NOT_CHECKED",0,20)+IF(S10="NOT_CHECKED",0,10)</f>
        <v/>
      </c>
      <c r="V10" s="5">
        <f>IF(U10=100,T10,"")</f>
        <v/>
      </c>
      <c r="W10" s="5">
        <f>T10</f>
        <v/>
      </c>
      <c r="X10" s="5">
        <f>T10+(100-U10)</f>
        <v/>
      </c>
      <c r="Y10" s="2" t="inlineStr">
        <is>
          <t>[]</t>
        </is>
      </c>
      <c r="Z10" s="2" t="inlineStr">
        <is>
          <t>["seo_runs\\jeminise.com\\20260906_234129\\evidence\\images\\42_custom-basketball-players-blanket-name-number-76fdad09b6-76fdad09b6\\image_03_47538951585991.jpg; seo_runs\\jeminise.com\\20260906_234129\\evidence\\contact_sheets\\42_custom-basketball-players-blanket-name-number-76fdad09b6-76fdad09b6.jpg", "https://jeminise.com/products/custom-basketball-players-blanket-name-number-76fdad09b6-76fdad09b6", "https://cdn.shopify.com/s/files/1/0792/5098/1063/files/49a6ce3612edf854fdd67ce0c385b74a1db4efbd8e737a4eb0e471333401d9ad.jpg?v=1785090540"]</t>
        </is>
      </c>
      <c r="AA10" s="2" t="inlineStr">
        <is>
          <t>r4</t>
        </is>
      </c>
    </row>
    <row r="11" ht="66" customHeight="1">
      <c r="A11" s="3" t="inlineStr">
        <is>
          <t>jeminise.com+custom-basketball-players-blanket-name-number-76fdad09b6-76fdad09b6</t>
        </is>
      </c>
      <c r="B11" s="3" t="inlineStr">
        <is>
          <t>qaimg_94c08fcc40c9220a</t>
        </is>
      </c>
      <c r="C11" s="4" t="inlineStr">
        <is>
          <t>https://cdn.shopify.com/s/files/1/0792/5098/1063/files/5da1c7280668d37f99227b265e2f4a101e6ec1870c93392f2ce692a3c8dbae4c.jpg?v=1785090540</t>
        </is>
      </c>
      <c r="D11" s="4" t="inlineStr">
        <is>
          <t>https://cdn.shopify.com/s/files/1/0792/5098/1063/files/5da1c7280668d37f99227b265e2f4a101e6ec1870c93392f2ce692a3c8dbae4c.jpg?v=1785090540</t>
        </is>
      </c>
      <c r="E11" s="3" t="inlineStr">
        <is>
          <t>38505520300231</t>
        </is>
      </c>
      <c r="F11" s="3" t="inlineStr">
        <is>
          <t>47538951618759</t>
        </is>
      </c>
      <c r="G11" s="3" t="inlineStr"/>
      <c r="H11" s="3" t="inlineStr">
        <is>
          <t>GALLERY</t>
        </is>
      </c>
      <c r="I11" s="3" t="inlineStr">
        <is>
          <t>DIRECT_ORIGINAL_IMAGE_REQA + R4_MEDIA_ID_COMPARISON</t>
        </is>
      </c>
      <c r="J11" s="3" t="inlineStr">
        <is>
          <t>2026-09-07T22:27:03.014477+07:00</t>
        </is>
      </c>
      <c r="K11" s="3" t="inlineStr">
        <is>
          <t>Product-feature panel describing fluffy, soft, smooth and no-pilling/no-shedding qualities.</t>
        </is>
      </c>
      <c r="L11" s="3" t="inlineStr">
        <is>
          <t>Close detail, care feature or sizing information for personalized basketball blanket with name and number.</t>
        </is>
      </c>
      <c r="M11" s="3" t="inlineStr">
        <is>
          <t>Custom Basketball Players Blanket with Name and Number</t>
        </is>
      </c>
      <c r="N11" s="3" t="inlineStr">
        <is>
          <t>SET</t>
        </is>
      </c>
      <c r="O11" s="3" t="inlineStr">
        <is>
          <t>Personalized Basketball Name Number Blanket product image</t>
        </is>
      </c>
      <c r="P11" s="3" t="inlineStr">
        <is>
          <t>FULL</t>
        </is>
      </c>
      <c r="Q11" s="3" t="inlineStr">
        <is>
          <t>FULL</t>
        </is>
      </c>
      <c r="R11" s="3" t="inlineStr">
        <is>
          <t>FULL</t>
        </is>
      </c>
      <c r="S11" s="3" t="inlineStr">
        <is>
          <t>FULL</t>
        </is>
      </c>
      <c r="T11" s="7">
        <f>IF(P11="FULL",40,IF(P11="PARTIAL",40/2,0))+IF(Q11="FULL",30,IF(Q11="PARTIAL",30/2,0))+IF(R11="FULL",20,IF(R11="PARTIAL",20/2,0))+IF(S11="FULL",10,IF(S11="PARTIAL",10/2,0))</f>
        <v/>
      </c>
      <c r="U11" s="7">
        <f>IF(P11="NOT_CHECKED",0,40)+IF(Q11="NOT_CHECKED",0,30)+IF(R11="NOT_CHECKED",0,20)+IF(S11="NOT_CHECKED",0,10)</f>
        <v/>
      </c>
      <c r="V11" s="7">
        <f>IF(U11=100,T11,"")</f>
        <v/>
      </c>
      <c r="W11" s="7">
        <f>T11</f>
        <v/>
      </c>
      <c r="X11" s="7">
        <f>T11+(100-U11)</f>
        <v/>
      </c>
      <c r="Y11" s="3" t="inlineStr">
        <is>
          <t>[]</t>
        </is>
      </c>
      <c r="Z11" s="3" t="inlineStr">
        <is>
          <t>["seo_runs\\jeminise.com\\20260906_234129\\evidence\\images\\42_custom-basketball-players-blanket-name-number-76fdad09b6-76fdad09b6\\image_04_47538951618759.jpg; seo_runs\\jeminise.com\\20260906_234129\\evidence\\contact_sheets\\42_custom-basketball-players-blanket-name-number-76fdad09b6-76fdad09b6.jpg", "https://jeminise.com/products/custom-basketball-players-blanket-name-number-76fdad09b6-76fdad09b6", "https://cdn.shopify.com/s/files/1/0792/5098/1063/files/5da1c7280668d37f99227b265e2f4a101e6ec1870c93392f2ce692a3c8dbae4c.jpg?v=1785090540"]</t>
        </is>
      </c>
      <c r="AA11" s="3" t="inlineStr">
        <is>
          <t>r4</t>
        </is>
      </c>
    </row>
    <row r="12" ht="66" customHeight="1">
      <c r="A12" s="2" t="inlineStr">
        <is>
          <t>jeminise.com+custom-basketball-players-blanket-name-number-76fdad09b6-76fdad09b6</t>
        </is>
      </c>
      <c r="B12" s="2" t="inlineStr">
        <is>
          <t>qaimg_9ab4e5b2402d526b</t>
        </is>
      </c>
      <c r="C12" s="4" t="inlineStr">
        <is>
          <t>https://cdn.shopify.com/s/files/1/0792/5098/1063/files/b49fc2186646baaf777f077b381de87c413f199fd7b53efde32665c9ca95f394.jpg?v=1785090540</t>
        </is>
      </c>
      <c r="D12" s="4" t="inlineStr">
        <is>
          <t>https://cdn.shopify.com/s/files/1/0792/5098/1063/files/b49fc2186646baaf777f077b381de87c413f199fd7b53efde32665c9ca95f394.jpg?v=1785090540</t>
        </is>
      </c>
      <c r="E12" s="2" t="inlineStr">
        <is>
          <t>38505520332999</t>
        </is>
      </c>
      <c r="F12" s="2" t="inlineStr">
        <is>
          <t>47538951651527</t>
        </is>
      </c>
      <c r="G12" s="2" t="inlineStr"/>
      <c r="H12" s="2" t="inlineStr">
        <is>
          <t>GALLERY</t>
        </is>
      </c>
      <c r="I12" s="2" t="inlineStr">
        <is>
          <t>DIRECT_ORIGINAL_IMAGE_REQA + R4_MEDIA_ID_COMPARISON</t>
        </is>
      </c>
      <c r="J12" s="2" t="inlineStr">
        <is>
          <t>2026-09-07T22:27:03.014477+07:00</t>
        </is>
      </c>
      <c r="K12" s="2" t="inlineStr">
        <is>
          <t>Basketball blanket draped on a sofa.</t>
        </is>
      </c>
      <c r="L12" s="2" t="inlineStr">
        <is>
          <t>Material, wash or comfort feature image for personalized basketball blanket with name and number.</t>
        </is>
      </c>
      <c r="M12" s="2" t="inlineStr">
        <is>
          <t>Custom Basketball Players Blanket with Name and Number</t>
        </is>
      </c>
      <c r="N12" s="2" t="inlineStr">
        <is>
          <t>SET</t>
        </is>
      </c>
      <c r="O12" s="2" t="inlineStr">
        <is>
          <t>Personalized Basketball Name Number Blanket product image</t>
        </is>
      </c>
      <c r="P12" s="2" t="inlineStr">
        <is>
          <t>FULL</t>
        </is>
      </c>
      <c r="Q12" s="2" t="inlineStr">
        <is>
          <t>FULL</t>
        </is>
      </c>
      <c r="R12" s="2" t="inlineStr">
        <is>
          <t>FULL</t>
        </is>
      </c>
      <c r="S12" s="2" t="inlineStr">
        <is>
          <t>FULL</t>
        </is>
      </c>
      <c r="T12" s="5">
        <f>IF(P12="FULL",40,IF(P12="PARTIAL",40/2,0))+IF(Q12="FULL",30,IF(Q12="PARTIAL",30/2,0))+IF(R12="FULL",20,IF(R12="PARTIAL",20/2,0))+IF(S12="FULL",10,IF(S12="PARTIAL",10/2,0))</f>
        <v/>
      </c>
      <c r="U12" s="5">
        <f>IF(P12="NOT_CHECKED",0,40)+IF(Q12="NOT_CHECKED",0,30)+IF(R12="NOT_CHECKED",0,20)+IF(S12="NOT_CHECKED",0,10)</f>
        <v/>
      </c>
      <c r="V12" s="5">
        <f>IF(U12=100,T12,"")</f>
        <v/>
      </c>
      <c r="W12" s="5">
        <f>T12</f>
        <v/>
      </c>
      <c r="X12" s="5">
        <f>T12+(100-U12)</f>
        <v/>
      </c>
      <c r="Y12" s="2" t="inlineStr">
        <is>
          <t>[]</t>
        </is>
      </c>
      <c r="Z12" s="2" t="inlineStr">
        <is>
          <t>["seo_runs\\jeminise.com\\20260906_234129\\evidence\\images\\42_custom-basketball-players-blanket-name-number-76fdad09b6-76fdad09b6\\image_05_47538951651527.jpg; seo_runs\\jeminise.com\\20260906_234129\\evidence\\contact_sheets\\42_custom-basketball-players-blanket-name-number-76fdad09b6-76fdad09b6.jpg", "https://jeminise.com/products/custom-basketball-players-blanket-name-number-76fdad09b6-76fdad09b6", "https://cdn.shopify.com/s/files/1/0792/5098/1063/files/b49fc2186646baaf777f077b381de87c413f199fd7b53efde32665c9ca95f394.jpg?v=1785090540"]</t>
        </is>
      </c>
      <c r="AA12" s="2" t="inlineStr">
        <is>
          <t>r4</t>
        </is>
      </c>
    </row>
    <row r="13" ht="66" customHeight="1">
      <c r="A13" s="3" t="inlineStr">
        <is>
          <t>jeminise.com+custom-basketball-players-blanket-name-number-76fdad09b6-76fdad09b6</t>
        </is>
      </c>
      <c r="B13" s="3" t="inlineStr">
        <is>
          <t>qaimg_5d45f6ee94e27900</t>
        </is>
      </c>
      <c r="C13" s="4" t="inlineStr">
        <is>
          <t>https://cdn.shopify.com/s/files/1/0792/5098/1063/files/e2dc8de58ffeb16bc7298d0dc08ee3d2ff3c802de9628dc8fc747d2e9f902e68.jpg?v=1785090540</t>
        </is>
      </c>
      <c r="D13" s="4" t="inlineStr">
        <is>
          <t>https://cdn.shopify.com/s/files/1/0792/5098/1063/files/e2dc8de58ffeb16bc7298d0dc08ee3d2ff3c802de9628dc8fc747d2e9f902e68.jpg?v=1785090540</t>
        </is>
      </c>
      <c r="E13" s="3" t="inlineStr">
        <is>
          <t>38505520365767</t>
        </is>
      </c>
      <c r="F13" s="3" t="inlineStr">
        <is>
          <t>47538951684295</t>
        </is>
      </c>
      <c r="G13" s="3" t="inlineStr"/>
      <c r="H13" s="3" t="inlineStr">
        <is>
          <t>GALLERY</t>
        </is>
      </c>
      <c r="I13" s="3" t="inlineStr">
        <is>
          <t>DIRECT_ORIGINAL_IMAGE_REQA + R4_MEDIA_ID_COMPARISON</t>
        </is>
      </c>
      <c r="J13" s="3" t="inlineStr">
        <is>
          <t>2026-09-07T22:27:03.014477+07:00</t>
        </is>
      </c>
      <c r="K13" s="3" t="inlineStr">
        <is>
          <t>Multipurpose-use, fabric and care collage.</t>
        </is>
      </c>
      <c r="L13" s="3" t="inlineStr">
        <is>
          <t>Size guide, feature panel or additional mockup for personalized basketball blanket with name and number.</t>
        </is>
      </c>
      <c r="M13" s="3" t="inlineStr">
        <is>
          <t>Custom Basketball Players Blanket with Name and Number</t>
        </is>
      </c>
      <c r="N13" s="3" t="inlineStr">
        <is>
          <t>SET</t>
        </is>
      </c>
      <c r="O13" s="3" t="inlineStr">
        <is>
          <t>Personalized Basketball Name Number Blanket product image</t>
        </is>
      </c>
      <c r="P13" s="3" t="inlineStr">
        <is>
          <t>FULL</t>
        </is>
      </c>
      <c r="Q13" s="3" t="inlineStr">
        <is>
          <t>FULL</t>
        </is>
      </c>
      <c r="R13" s="3" t="inlineStr">
        <is>
          <t>FULL</t>
        </is>
      </c>
      <c r="S13" s="3" t="inlineStr">
        <is>
          <t>FULL</t>
        </is>
      </c>
      <c r="T13" s="7">
        <f>IF(P13="FULL",40,IF(P13="PARTIAL",40/2,0))+IF(Q13="FULL",30,IF(Q13="PARTIAL",30/2,0))+IF(R13="FULL",20,IF(R13="PARTIAL",20/2,0))+IF(S13="FULL",10,IF(S13="PARTIAL",10/2,0))</f>
        <v/>
      </c>
      <c r="U13" s="7">
        <f>IF(P13="NOT_CHECKED",0,40)+IF(Q13="NOT_CHECKED",0,30)+IF(R13="NOT_CHECKED",0,20)+IF(S13="NOT_CHECKED",0,10)</f>
        <v/>
      </c>
      <c r="V13" s="7">
        <f>IF(U13=100,T13,"")</f>
        <v/>
      </c>
      <c r="W13" s="7">
        <f>T13</f>
        <v/>
      </c>
      <c r="X13" s="7">
        <f>T13+(100-U13)</f>
        <v/>
      </c>
      <c r="Y13" s="3" t="inlineStr">
        <is>
          <t>[]</t>
        </is>
      </c>
      <c r="Z13" s="3" t="inlineStr">
        <is>
          <t>["seo_runs\\jeminise.com\\20260906_234129\\evidence\\images\\42_custom-basketball-players-blanket-name-number-76fdad09b6-76fdad09b6\\image_06_47538951684295.jpg; seo_runs\\jeminise.com\\20260906_234129\\evidence\\contact_sheets\\42_custom-basketball-players-blanket-name-number-76fdad09b6-76fdad09b6.jpg", "https://jeminise.com/products/custom-basketball-players-blanket-name-number-76fdad09b6-76fdad09b6", "https://cdn.shopify.com/s/files/1/0792/5098/1063/files/e2dc8de58ffeb16bc7298d0dc08ee3d2ff3c802de9628dc8fc747d2e9f902e68.jpg?v=1785090540"]</t>
        </is>
      </c>
      <c r="AA13" s="3" t="inlineStr">
        <is>
          <t>r4</t>
        </is>
      </c>
    </row>
    <row r="14" ht="66" customHeight="1">
      <c r="A14" s="2" t="inlineStr">
        <is>
          <t>jeminise.com+custom-basketball-players-blanket-name-number-76fdad09b6-76fdad09b6</t>
        </is>
      </c>
      <c r="B14" s="2" t="inlineStr">
        <is>
          <t>qaimg_aa7a8a12929e9836</t>
        </is>
      </c>
      <c r="C14" s="4" t="inlineStr">
        <is>
          <t>https://cdn.shopify.com/s/files/1/0792/5098/1063/files/2d1f9bd9a0ee6f49866a6231d692e0202b33607aee4f2e197620f325de16c7fe.jpg?v=1785090540</t>
        </is>
      </c>
      <c r="D14" s="4" t="inlineStr">
        <is>
          <t>https://cdn.shopify.com/s/files/1/0792/5098/1063/files/2d1f9bd9a0ee6f49866a6231d692e0202b33607aee4f2e197620f325de16c7fe.jpg?v=1785090540</t>
        </is>
      </c>
      <c r="E14" s="2" t="inlineStr">
        <is>
          <t>38505520398535</t>
        </is>
      </c>
      <c r="F14" s="2" t="inlineStr">
        <is>
          <t>47538951717063</t>
        </is>
      </c>
      <c r="G14" s="2" t="inlineStr"/>
      <c r="H14" s="2" t="inlineStr">
        <is>
          <t>GALLERY</t>
        </is>
      </c>
      <c r="I14" s="2" t="inlineStr">
        <is>
          <t>DIRECT_ORIGINAL_IMAGE_REQA + R4_MEDIA_ID_COMPARISON</t>
        </is>
      </c>
      <c r="J14" s="2" t="inlineStr">
        <is>
          <t>2026-09-07T22:27:03.014477+07:00</t>
        </is>
      </c>
      <c r="K14" s="2" t="inlineStr">
        <is>
          <t>Bed-size chart using a different sample personalization: RASHAD 22.</t>
        </is>
      </c>
      <c r="L14" s="2" t="inlineStr">
        <is>
          <t>Additional lifestyle, feature or product detail image showing personalized basketball blanket with name and number.</t>
        </is>
      </c>
      <c r="M14" s="2" t="inlineStr">
        <is>
          <t>Custom Basketball Players Blanket with Name and Number</t>
        </is>
      </c>
      <c r="N14" s="2" t="inlineStr">
        <is>
          <t>SET</t>
        </is>
      </c>
      <c r="O14" s="2" t="inlineStr">
        <is>
          <t>Personalized Basketball Name Number Blanket product image</t>
        </is>
      </c>
      <c r="P14" s="2" t="inlineStr">
        <is>
          <t>FULL</t>
        </is>
      </c>
      <c r="Q14" s="2" t="inlineStr">
        <is>
          <t>FULL</t>
        </is>
      </c>
      <c r="R14" s="2" t="inlineStr">
        <is>
          <t>FULL</t>
        </is>
      </c>
      <c r="S14" s="2" t="inlineStr">
        <is>
          <t>FULL</t>
        </is>
      </c>
      <c r="T14" s="5">
        <f>IF(P14="FULL",40,IF(P14="PARTIAL",40/2,0))+IF(Q14="FULL",30,IF(Q14="PARTIAL",30/2,0))+IF(R14="FULL",20,IF(R14="PARTIAL",20/2,0))+IF(S14="FULL",10,IF(S14="PARTIAL",10/2,0))</f>
        <v/>
      </c>
      <c r="U14" s="5">
        <f>IF(P14="NOT_CHECKED",0,40)+IF(Q14="NOT_CHECKED",0,30)+IF(R14="NOT_CHECKED",0,20)+IF(S14="NOT_CHECKED",0,10)</f>
        <v/>
      </c>
      <c r="V14" s="5">
        <f>IF(U14=100,T14,"")</f>
        <v/>
      </c>
      <c r="W14" s="5">
        <f>T14</f>
        <v/>
      </c>
      <c r="X14" s="5">
        <f>T14+(100-U14)</f>
        <v/>
      </c>
      <c r="Y14" s="2" t="inlineStr">
        <is>
          <t>[]</t>
        </is>
      </c>
      <c r="Z14" s="2" t="inlineStr">
        <is>
          <t>["seo_runs\\jeminise.com\\20260906_234129\\evidence\\images\\42_custom-basketball-players-blanket-name-number-76fdad09b6-76fdad09b6\\image_07_47538951717063.jpg; seo_runs\\jeminise.com\\20260906_234129\\evidence\\contact_sheets\\42_custom-basketball-players-blanket-name-number-76fdad09b6-76fdad09b6.jpg", "https://jeminise.com/products/custom-basketball-players-blanket-name-number-76fdad09b6-76fdad09b6", "https://cdn.shopify.com/s/files/1/0792/5098/1063/files/2d1f9bd9a0ee6f49866a6231d692e0202b33607aee4f2e197620f325de16c7fe.jpg?v=1785090540"]</t>
        </is>
      </c>
      <c r="AA14" s="2" t="inlineStr">
        <is>
          <t>r4</t>
        </is>
      </c>
    </row>
    <row r="15" ht="66" customHeight="1">
      <c r="A15" s="3" t="inlineStr">
        <is>
          <t>jeminise.com+custom-basketball-players-blanket-name-number-76fdad09b6-76fdad09b6</t>
        </is>
      </c>
      <c r="B15" s="3" t="inlineStr">
        <is>
          <t>qaimg_3f6aa76ffb9bbe89</t>
        </is>
      </c>
      <c r="C15" s="4" t="inlineStr">
        <is>
          <t>https://cdn.shopify.com/s/files/1/0792/5098/1063/files/6f93e586623db54ca28d44f2040467d7786507670c9cfbfbd907b22dedba4036.jpg?v=1785090539</t>
        </is>
      </c>
      <c r="D15" s="4" t="inlineStr">
        <is>
          <t>https://cdn.shopify.com/s/files/1/0792/5098/1063/files/6f93e586623db54ca28d44f2040467d7786507670c9cfbfbd907b22dedba4036.jpg?v=1785090539</t>
        </is>
      </c>
      <c r="E15" s="3" t="inlineStr">
        <is>
          <t>38505520431303</t>
        </is>
      </c>
      <c r="F15" s="3" t="inlineStr">
        <is>
          <t>47538951749831</t>
        </is>
      </c>
      <c r="G15" s="3" t="inlineStr"/>
      <c r="H15" s="3" t="inlineStr">
        <is>
          <t>GALLERY</t>
        </is>
      </c>
      <c r="I15" s="3" t="inlineStr">
        <is>
          <t>DIRECT_ORIGINAL_IMAGE_REQA + R4_MEDIA_ID_COMPARISON</t>
        </is>
      </c>
      <c r="J15" s="3" t="inlineStr">
        <is>
          <t>2026-09-07T22:27:03.014477+07:00</t>
        </is>
      </c>
      <c r="K15" s="3" t="inlineStr">
        <is>
          <t>Father and son using the basketball blanket.</t>
        </is>
      </c>
      <c r="L15" s="3" t="inlineStr">
        <is>
          <t>Additional lifestyle, feature or product detail image showing personalized basketball blanket with name and number.</t>
        </is>
      </c>
      <c r="M15" s="3" t="inlineStr">
        <is>
          <t>Custom Basketball Players Blanket with Name and Number</t>
        </is>
      </c>
      <c r="N15" s="3" t="inlineStr">
        <is>
          <t>SET</t>
        </is>
      </c>
      <c r="O15" s="3" t="inlineStr">
        <is>
          <t>Personalized Basketball Name Number Blanket product image</t>
        </is>
      </c>
      <c r="P15" s="3" t="inlineStr">
        <is>
          <t>FULL</t>
        </is>
      </c>
      <c r="Q15" s="3" t="inlineStr">
        <is>
          <t>FULL</t>
        </is>
      </c>
      <c r="R15" s="3" t="inlineStr">
        <is>
          <t>FULL</t>
        </is>
      </c>
      <c r="S15" s="3" t="inlineStr">
        <is>
          <t>FULL</t>
        </is>
      </c>
      <c r="T15" s="7">
        <f>IF(P15="FULL",40,IF(P15="PARTIAL",40/2,0))+IF(Q15="FULL",30,IF(Q15="PARTIAL",30/2,0))+IF(R15="FULL",20,IF(R15="PARTIAL",20/2,0))+IF(S15="FULL",10,IF(S15="PARTIAL",10/2,0))</f>
        <v/>
      </c>
      <c r="U15" s="7">
        <f>IF(P15="NOT_CHECKED",0,40)+IF(Q15="NOT_CHECKED",0,30)+IF(R15="NOT_CHECKED",0,20)+IF(S15="NOT_CHECKED",0,10)</f>
        <v/>
      </c>
      <c r="V15" s="7">
        <f>IF(U15=100,T15,"")</f>
        <v/>
      </c>
      <c r="W15" s="7">
        <f>T15</f>
        <v/>
      </c>
      <c r="X15" s="7">
        <f>T15+(100-U15)</f>
        <v/>
      </c>
      <c r="Y15" s="3" t="inlineStr">
        <is>
          <t>[]</t>
        </is>
      </c>
      <c r="Z15" s="3" t="inlineStr">
        <is>
          <t>["seo_runs\\jeminise.com\\20260906_234129\\evidence\\images\\42_custom-basketball-players-blanket-name-number-76fdad09b6-76fdad09b6\\image_08_47538951749831.jpg; seo_runs\\jeminise.com\\20260906_234129\\evidence\\contact_sheets\\42_custom-basketball-players-blanket-name-number-76fdad09b6-76fdad09b6.jpg", "https://jeminise.com/products/custom-basketball-players-blanket-name-number-76fdad09b6-76fdad09b6", "https://cdn.shopify.com/s/files/1/0792/5098/1063/files/6f93e586623db54ca28d44f2040467d7786507670c9cfbfbd907b22dedba4036.jpg?v=1785090539"]</t>
        </is>
      </c>
      <c r="AA15" s="3" t="inlineStr">
        <is>
          <t>r4</t>
        </is>
      </c>
    </row>
    <row r="16" ht="66" customHeight="1">
      <c r="A16" s="2" t="inlineStr">
        <is>
          <t>jeminise.com+custom-bible-verse-photo-blanket-personalized-christian-gift-for-her</t>
        </is>
      </c>
      <c r="B16" s="2" t="inlineStr">
        <is>
          <t>qaimg_bf83e6122b2215e3</t>
        </is>
      </c>
      <c r="C16" s="4" t="inlineStr">
        <is>
          <t>https://cdn.shopify.com/s/files/1/0792/5098/1063/files/96f0a2befa124f14fe17c41828df61ccbf8614b1075a2b471347b5b1e2d17c9c.jpg?v=1786571231</t>
        </is>
      </c>
      <c r="D16" s="4" t="inlineStr">
        <is>
          <t>https://cdn.shopify.com/s/files/1/0792/5098/1063/files/96f0a2befa124f14fe17c41828df61ccbf8614b1075a2b471347b5b1e2d17c9c.jpg?v=1786571231</t>
        </is>
      </c>
      <c r="E16" s="2" t="inlineStr">
        <is>
          <t>38789678465223</t>
        </is>
      </c>
      <c r="F16" s="2" t="inlineStr">
        <is>
          <t>47826787827911</t>
        </is>
      </c>
      <c r="G16" s="2" t="inlineStr"/>
      <c r="H16" s="2" t="inlineStr">
        <is>
          <t>GALLERY</t>
        </is>
      </c>
      <c r="I16" s="2" t="inlineStr">
        <is>
          <t>DIRECT_ORIGINAL_IMAGE_REQA + R4_MEDIA_ID_COMPARISON</t>
        </is>
      </c>
      <c r="J16" s="2" t="inlineStr">
        <is>
          <t>2026-09-07T22:27:03.014477+07:00</t>
        </is>
      </c>
      <c r="K16" s="2" t="inlineStr">
        <is>
          <t>Woman holding a God Says I Am blanket with a sample photo, name Maria, affirmations and Bible references.</t>
        </is>
      </c>
      <c r="L16" s="2" t="inlineStr">
        <is>
          <t>Main product mockup showing personalized God Says I Am Christian blanket.</t>
        </is>
      </c>
      <c r="M16" s="2" t="inlineStr">
        <is>
          <t>Custom Bible Verse Photo Blanket – Personalized Christian Gift for Her</t>
        </is>
      </c>
      <c r="N16" s="2" t="inlineStr">
        <is>
          <t>SET</t>
        </is>
      </c>
      <c r="O16" s="2" t="inlineStr">
        <is>
          <t>Personalized God Says I Am Christian Blanket product image</t>
        </is>
      </c>
      <c r="P16" s="2" t="inlineStr">
        <is>
          <t>FULL</t>
        </is>
      </c>
      <c r="Q16" s="2" t="inlineStr">
        <is>
          <t>FULL</t>
        </is>
      </c>
      <c r="R16" s="2" t="inlineStr">
        <is>
          <t>FULL</t>
        </is>
      </c>
      <c r="S16" s="2" t="inlineStr">
        <is>
          <t>FULL</t>
        </is>
      </c>
      <c r="T16" s="5">
        <f>IF(P16="FULL",40,IF(P16="PARTIAL",40/2,0))+IF(Q16="FULL",30,IF(Q16="PARTIAL",30/2,0))+IF(R16="FULL",20,IF(R16="PARTIAL",20/2,0))+IF(S16="FULL",10,IF(S16="PARTIAL",10/2,0))</f>
        <v/>
      </c>
      <c r="U16" s="5">
        <f>IF(P16="NOT_CHECKED",0,40)+IF(Q16="NOT_CHECKED",0,30)+IF(R16="NOT_CHECKED",0,20)+IF(S16="NOT_CHECKED",0,10)</f>
        <v/>
      </c>
      <c r="V16" s="5">
        <f>IF(U16=100,T16,"")</f>
        <v/>
      </c>
      <c r="W16" s="5">
        <f>T16</f>
        <v/>
      </c>
      <c r="X16" s="5">
        <f>T16+(100-U16)</f>
        <v/>
      </c>
      <c r="Y16" s="2" t="inlineStr">
        <is>
          <t>[]</t>
        </is>
      </c>
      <c r="Z16" s="2" t="inlineStr">
        <is>
          <t>["seo_runs\\jeminise.com\\20260906_234129\\evidence\\images\\43_custom-bible-verse-photo-blanket-personalized-christian-gift-for-her\\image_01_47826787827911.jpg; seo_runs\\jeminise.com\\20260906_234129\\evidence\\contact_sheets\\43_custom-bible-verse-photo-blanket-personalized-christian-gift-for-her.jpg", "https://jeminise.com/products/custom-bible-verse-photo-blanket-personalized-christian-gift-for-her", "https://cdn.shopify.com/s/files/1/0792/5098/1063/files/96f0a2befa124f14fe17c41828df61ccbf8614b1075a2b471347b5b1e2d17c9c.jpg?v=1786571231"]</t>
        </is>
      </c>
      <c r="AA16" s="2" t="inlineStr">
        <is>
          <t>r4</t>
        </is>
      </c>
    </row>
    <row r="17" ht="66" customHeight="1">
      <c r="A17" s="3" t="inlineStr">
        <is>
          <t>jeminise.com+custom-bible-verse-photo-blanket-personalized-christian-gift-for-her</t>
        </is>
      </c>
      <c r="B17" s="3" t="inlineStr">
        <is>
          <t>qaimg_87b9386433f6e83d</t>
        </is>
      </c>
      <c r="C17" s="4" t="inlineStr">
        <is>
          <t>https://cdn.shopify.com/s/files/1/0792/5098/1063/files/bf1d3fd2d254bd0bbc4f713f39d50bdf18a793c3b5b6fe296b2d739bedcfae66.jpg?v=1786571231</t>
        </is>
      </c>
      <c r="D17" s="4" t="inlineStr">
        <is>
          <t>https://cdn.shopify.com/s/files/1/0792/5098/1063/files/bf1d3fd2d254bd0bbc4f713f39d50bdf18a793c3b5b6fe296b2d739bedcfae66.jpg?v=1786571231</t>
        </is>
      </c>
      <c r="E17" s="3" t="inlineStr">
        <is>
          <t>38789678497991</t>
        </is>
      </c>
      <c r="F17" s="3" t="inlineStr">
        <is>
          <t>47826787860679</t>
        </is>
      </c>
      <c r="G17" s="3" t="inlineStr"/>
      <c r="H17" s="3" t="inlineStr">
        <is>
          <t>GALLERY</t>
        </is>
      </c>
      <c r="I17" s="3" t="inlineStr">
        <is>
          <t>DIRECT_ORIGINAL_IMAGE_REQA + R4_MEDIA_ID_COMPARISON</t>
        </is>
      </c>
      <c r="J17" s="3" t="inlineStr">
        <is>
          <t>2026-09-07T22:27:03.014477+07:00</t>
        </is>
      </c>
      <c r="K17" s="3" t="inlineStr">
        <is>
          <t>Fleece specification panel marked machine washable, soft and warm, dense stitching and 260 GSM.</t>
        </is>
      </c>
      <c r="L17" s="3" t="inlineStr">
        <is>
          <t>Secondary mockup or folded view showing personalized God Says I Am Christian blanket.</t>
        </is>
      </c>
      <c r="M17" s="3" t="inlineStr">
        <is>
          <t>Custom Bible Verse Photo Blanket – Personalized Christian Gift for Her</t>
        </is>
      </c>
      <c r="N17" s="3" t="inlineStr">
        <is>
          <t>SET</t>
        </is>
      </c>
      <c r="O17" s="3" t="inlineStr">
        <is>
          <t>Personalized God Says I Am Christian Blanket product image</t>
        </is>
      </c>
      <c r="P17" s="3" t="inlineStr">
        <is>
          <t>FULL</t>
        </is>
      </c>
      <c r="Q17" s="3" t="inlineStr">
        <is>
          <t>FULL</t>
        </is>
      </c>
      <c r="R17" s="3" t="inlineStr">
        <is>
          <t>FULL</t>
        </is>
      </c>
      <c r="S17" s="3" t="inlineStr">
        <is>
          <t>FULL</t>
        </is>
      </c>
      <c r="T17" s="7">
        <f>IF(P17="FULL",40,IF(P17="PARTIAL",40/2,0))+IF(Q17="FULL",30,IF(Q17="PARTIAL",30/2,0))+IF(R17="FULL",20,IF(R17="PARTIAL",20/2,0))+IF(S17="FULL",10,IF(S17="PARTIAL",10/2,0))</f>
        <v/>
      </c>
      <c r="U17" s="7">
        <f>IF(P17="NOT_CHECKED",0,40)+IF(Q17="NOT_CHECKED",0,30)+IF(R17="NOT_CHECKED",0,20)+IF(S17="NOT_CHECKED",0,10)</f>
        <v/>
      </c>
      <c r="V17" s="7">
        <f>IF(U17=100,T17,"")</f>
        <v/>
      </c>
      <c r="W17" s="7">
        <f>T17</f>
        <v/>
      </c>
      <c r="X17" s="7">
        <f>T17+(100-U17)</f>
        <v/>
      </c>
      <c r="Y17" s="3" t="inlineStr">
        <is>
          <t>[]</t>
        </is>
      </c>
      <c r="Z17" s="3" t="inlineStr">
        <is>
          <t>["seo_runs\\jeminise.com\\20260906_234129\\evidence\\images\\43_custom-bible-verse-photo-blanket-personalized-christian-gift-for-her\\image_02_47826787860679.jpg; seo_runs\\jeminise.com\\20260906_234129\\evidence\\contact_sheets\\43_custom-bible-verse-photo-blanket-personalized-christian-gift-for-her.jpg", "https://jeminise.com/products/custom-bible-verse-photo-blanket-personalized-christian-gift-for-her", "https://cdn.shopify.com/s/files/1/0792/5098/1063/files/bf1d3fd2d254bd0bbc4f713f39d50bdf18a793c3b5b6fe296b2d739bedcfae66.jpg?v=1786571231"]</t>
        </is>
      </c>
      <c r="AA17" s="3" t="inlineStr">
        <is>
          <t>r4</t>
        </is>
      </c>
    </row>
    <row r="18" ht="66" customHeight="1">
      <c r="A18" s="2" t="inlineStr">
        <is>
          <t>jeminise.com+custom-bible-verse-photo-blanket-personalized-christian-gift-for-her</t>
        </is>
      </c>
      <c r="B18" s="2" t="inlineStr">
        <is>
          <t>qaimg_98cb2832702b130f</t>
        </is>
      </c>
      <c r="C18" s="4" t="inlineStr">
        <is>
          <t>https://cdn.shopify.com/s/files/1/0792/5098/1063/files/bad5de99ca953161988c70b259bc4c33c7b12ba656061c0e5588b7d98a857ebc.jpg?v=1786571231</t>
        </is>
      </c>
      <c r="D18" s="4" t="inlineStr">
        <is>
          <t>https://cdn.shopify.com/s/files/1/0792/5098/1063/files/bad5de99ca953161988c70b259bc4c33c7b12ba656061c0e5588b7d98a857ebc.jpg?v=1786571231</t>
        </is>
      </c>
      <c r="E18" s="2" t="inlineStr">
        <is>
          <t>38789678530759</t>
        </is>
      </c>
      <c r="F18" s="2" t="inlineStr">
        <is>
          <t>47826787893447</t>
        </is>
      </c>
      <c r="G18" s="2" t="inlineStr"/>
      <c r="H18" s="2" t="inlineStr">
        <is>
          <t>GALLERY</t>
        </is>
      </c>
      <c r="I18" s="2" t="inlineStr">
        <is>
          <t>DIRECT_ORIGINAL_IMAGE_REQA + R4_MEDIA_ID_COMPARISON</t>
        </is>
      </c>
      <c r="J18" s="2" t="inlineStr">
        <is>
          <t>2026-09-07T22:27:03.014477+07:00</t>
        </is>
      </c>
      <c r="K18" s="2" t="inlineStr">
        <is>
          <t>Close lifestyle view of a woman holding the photo blanket and a mug.</t>
        </is>
      </c>
      <c r="L18" s="2" t="inlineStr">
        <is>
          <t>Personalization, feature or lifestyle image connected to personalized God Says I Am Christian blanket.</t>
        </is>
      </c>
      <c r="M18" s="2" t="inlineStr">
        <is>
          <t>Custom Bible Verse Photo Blanket – Personalized Christian Gift for Her</t>
        </is>
      </c>
      <c r="N18" s="2" t="inlineStr">
        <is>
          <t>SET</t>
        </is>
      </c>
      <c r="O18" s="2" t="inlineStr">
        <is>
          <t>Personalized God Says I Am Christian Blanket product image</t>
        </is>
      </c>
      <c r="P18" s="2" t="inlineStr">
        <is>
          <t>FULL</t>
        </is>
      </c>
      <c r="Q18" s="2" t="inlineStr">
        <is>
          <t>FULL</t>
        </is>
      </c>
      <c r="R18" s="2" t="inlineStr">
        <is>
          <t>FULL</t>
        </is>
      </c>
      <c r="S18" s="2" t="inlineStr">
        <is>
          <t>FULL</t>
        </is>
      </c>
      <c r="T18" s="5">
        <f>IF(P18="FULL",40,IF(P18="PARTIAL",40/2,0))+IF(Q18="FULL",30,IF(Q18="PARTIAL",30/2,0))+IF(R18="FULL",20,IF(R18="PARTIAL",20/2,0))+IF(S18="FULL",10,IF(S18="PARTIAL",10/2,0))</f>
        <v/>
      </c>
      <c r="U18" s="5">
        <f>IF(P18="NOT_CHECKED",0,40)+IF(Q18="NOT_CHECKED",0,30)+IF(R18="NOT_CHECKED",0,20)+IF(S18="NOT_CHECKED",0,10)</f>
        <v/>
      </c>
      <c r="V18" s="5">
        <f>IF(U18=100,T18,"")</f>
        <v/>
      </c>
      <c r="W18" s="5">
        <f>T18</f>
        <v/>
      </c>
      <c r="X18" s="5">
        <f>T18+(100-U18)</f>
        <v/>
      </c>
      <c r="Y18" s="2" t="inlineStr">
        <is>
          <t>[]</t>
        </is>
      </c>
      <c r="Z18" s="2" t="inlineStr">
        <is>
          <t>["seo_runs\\jeminise.com\\20260906_234129\\evidence\\images\\43_custom-bible-verse-photo-blanket-personalized-christian-gift-for-her\\image_03_47826787893447.jpg; seo_runs\\jeminise.com\\20260906_234129\\evidence\\contact_sheets\\43_custom-bible-verse-photo-blanket-personalized-christian-gift-for-her.jpg", "https://jeminise.com/products/custom-bible-verse-photo-blanket-personalized-christian-gift-for-her", "https://cdn.shopify.com/s/files/1/0792/5098/1063/files/bad5de99ca953161988c70b259bc4c33c7b12ba656061c0e5588b7d98a857ebc.jpg?v=1786571231"]</t>
        </is>
      </c>
      <c r="AA18" s="2" t="inlineStr">
        <is>
          <t>r4</t>
        </is>
      </c>
    </row>
    <row r="19" ht="66" customHeight="1">
      <c r="A19" s="3" t="inlineStr">
        <is>
          <t>jeminise.com+custom-bible-verse-photo-blanket-personalized-christian-gift-for-her</t>
        </is>
      </c>
      <c r="B19" s="3" t="inlineStr">
        <is>
          <t>qaimg_3f4680407aeeca98</t>
        </is>
      </c>
      <c r="C19" s="4" t="inlineStr">
        <is>
          <t>https://cdn.shopify.com/s/files/1/0792/5098/1063/files/ba00c903bb60feca9fbedd850bb74749aa77322da35ffdccf7275d065f5fbcaf.jpg?v=1786571231</t>
        </is>
      </c>
      <c r="D19" s="4" t="inlineStr">
        <is>
          <t>https://cdn.shopify.com/s/files/1/0792/5098/1063/files/ba00c903bb60feca9fbedd850bb74749aa77322da35ffdccf7275d065f5fbcaf.jpg?v=1786571231</t>
        </is>
      </c>
      <c r="E19" s="3" t="inlineStr">
        <is>
          <t>38789678563527</t>
        </is>
      </c>
      <c r="F19" s="3" t="inlineStr">
        <is>
          <t>47826787926215</t>
        </is>
      </c>
      <c r="G19" s="3" t="inlineStr"/>
      <c r="H19" s="3" t="inlineStr">
        <is>
          <t>GALLERY</t>
        </is>
      </c>
      <c r="I19" s="3" t="inlineStr">
        <is>
          <t>DIRECT_ORIGINAL_IMAGE_REQA + R4_MEDIA_ID_COMPARISON</t>
        </is>
      </c>
      <c r="J19" s="3" t="inlineStr">
        <is>
          <t>2026-09-07T22:27:03.014477+07:00</t>
        </is>
      </c>
      <c r="K19" s="3" t="inlineStr">
        <is>
          <t>60 x 80 inch blanket usage/size diagram.</t>
        </is>
      </c>
      <c r="L19" s="3" t="inlineStr">
        <is>
          <t>Close detail, care feature or sizing information for personalized God Says I Am Christian blanket.</t>
        </is>
      </c>
      <c r="M19" s="3" t="inlineStr">
        <is>
          <t>Custom Bible Verse Photo Blanket – Personalized Christian Gift for Her</t>
        </is>
      </c>
      <c r="N19" s="3" t="inlineStr">
        <is>
          <t>SET</t>
        </is>
      </c>
      <c r="O19" s="3" t="inlineStr">
        <is>
          <t>Personalized God Says I Am Christian Blanket product image</t>
        </is>
      </c>
      <c r="P19" s="3" t="inlineStr">
        <is>
          <t>FULL</t>
        </is>
      </c>
      <c r="Q19" s="3" t="inlineStr">
        <is>
          <t>FULL</t>
        </is>
      </c>
      <c r="R19" s="3" t="inlineStr">
        <is>
          <t>FULL</t>
        </is>
      </c>
      <c r="S19" s="3" t="inlineStr">
        <is>
          <t>FULL</t>
        </is>
      </c>
      <c r="T19" s="7">
        <f>IF(P19="FULL",40,IF(P19="PARTIAL",40/2,0))+IF(Q19="FULL",30,IF(Q19="PARTIAL",30/2,0))+IF(R19="FULL",20,IF(R19="PARTIAL",20/2,0))+IF(S19="FULL",10,IF(S19="PARTIAL",10/2,0))</f>
        <v/>
      </c>
      <c r="U19" s="7">
        <f>IF(P19="NOT_CHECKED",0,40)+IF(Q19="NOT_CHECKED",0,30)+IF(R19="NOT_CHECKED",0,20)+IF(S19="NOT_CHECKED",0,10)</f>
        <v/>
      </c>
      <c r="V19" s="7">
        <f>IF(U19=100,T19,"")</f>
        <v/>
      </c>
      <c r="W19" s="7">
        <f>T19</f>
        <v/>
      </c>
      <c r="X19" s="7">
        <f>T19+(100-U19)</f>
        <v/>
      </c>
      <c r="Y19" s="3" t="inlineStr">
        <is>
          <t>[]</t>
        </is>
      </c>
      <c r="Z19" s="3" t="inlineStr">
        <is>
          <t>["seo_runs\\jeminise.com\\20260906_234129\\evidence\\images\\43_custom-bible-verse-photo-blanket-personalized-christian-gift-for-her\\image_04_47826787926215.jpg; seo_runs\\jeminise.com\\20260906_234129\\evidence\\contact_sheets\\43_custom-bible-verse-photo-blanket-personalized-christian-gift-for-her.jpg", "https://jeminise.com/products/custom-bible-verse-photo-blanket-personalized-christian-gift-for-her", "https://cdn.shopify.com/s/files/1/0792/5098/1063/files/ba00c903bb60feca9fbedd850bb74749aa77322da35ffdccf7275d065f5fbcaf.jpg?v=1786571231"]</t>
        </is>
      </c>
      <c r="AA19" s="3" t="inlineStr">
        <is>
          <t>r4</t>
        </is>
      </c>
    </row>
    <row r="20" ht="66" customHeight="1">
      <c r="A20" s="2" t="inlineStr">
        <is>
          <t>jeminise.com+custom-bible-verse-photo-blanket-personalized-christian-gift-for-her</t>
        </is>
      </c>
      <c r="B20" s="2" t="inlineStr">
        <is>
          <t>qaimg_1ee131ff40698fea</t>
        </is>
      </c>
      <c r="C20" s="4" t="inlineStr">
        <is>
          <t>https://cdn.shopify.com/s/files/1/0792/5098/1063/files/8d82b855ba67960edf4d0f67faf83c4efd4804df358149a6badaeef90924cfa3.jpg?v=1786571231</t>
        </is>
      </c>
      <c r="D20" s="4" t="inlineStr">
        <is>
          <t>https://cdn.shopify.com/s/files/1/0792/5098/1063/files/8d82b855ba67960edf4d0f67faf83c4efd4804df358149a6badaeef90924cfa3.jpg?v=1786571231</t>
        </is>
      </c>
      <c r="E20" s="2" t="inlineStr">
        <is>
          <t>38789678596295</t>
        </is>
      </c>
      <c r="F20" s="2" t="inlineStr">
        <is>
          <t>47826787958983</t>
        </is>
      </c>
      <c r="G20" s="2" t="inlineStr"/>
      <c r="H20" s="2" t="inlineStr">
        <is>
          <t>GALLERY</t>
        </is>
      </c>
      <c r="I20" s="2" t="inlineStr">
        <is>
          <t>DIRECT_ORIGINAL_IMAGE_REQA + R4_MEDIA_ID_COMPARISON</t>
        </is>
      </c>
      <c r="J20" s="2" t="inlineStr">
        <is>
          <t>2026-09-07T22:27:03.014477+07:00</t>
        </is>
      </c>
      <c r="K20" s="2" t="inlineStr">
        <is>
          <t>Blanket detail and fabric collage.</t>
        </is>
      </c>
      <c r="L20" s="2" t="inlineStr">
        <is>
          <t>Material, wash or comfort feature image for personalized God Says I Am Christian blanket.</t>
        </is>
      </c>
      <c r="M20" s="2" t="inlineStr">
        <is>
          <t>Custom Bible Verse Photo Blanket – Personalized Christian Gift for Her</t>
        </is>
      </c>
      <c r="N20" s="2" t="inlineStr">
        <is>
          <t>SET</t>
        </is>
      </c>
      <c r="O20" s="2" t="inlineStr">
        <is>
          <t>Personalized God Says I Am Christian Blanket product image</t>
        </is>
      </c>
      <c r="P20" s="2" t="inlineStr">
        <is>
          <t>FULL</t>
        </is>
      </c>
      <c r="Q20" s="2" t="inlineStr">
        <is>
          <t>FULL</t>
        </is>
      </c>
      <c r="R20" s="2" t="inlineStr">
        <is>
          <t>FULL</t>
        </is>
      </c>
      <c r="S20" s="2" t="inlineStr">
        <is>
          <t>FULL</t>
        </is>
      </c>
      <c r="T20" s="5">
        <f>IF(P20="FULL",40,IF(P20="PARTIAL",40/2,0))+IF(Q20="FULL",30,IF(Q20="PARTIAL",30/2,0))+IF(R20="FULL",20,IF(R20="PARTIAL",20/2,0))+IF(S20="FULL",10,IF(S20="PARTIAL",10/2,0))</f>
        <v/>
      </c>
      <c r="U20" s="5">
        <f>IF(P20="NOT_CHECKED",0,40)+IF(Q20="NOT_CHECKED",0,30)+IF(R20="NOT_CHECKED",0,20)+IF(S20="NOT_CHECKED",0,10)</f>
        <v/>
      </c>
      <c r="V20" s="5">
        <f>IF(U20=100,T20,"")</f>
        <v/>
      </c>
      <c r="W20" s="5">
        <f>T20</f>
        <v/>
      </c>
      <c r="X20" s="5">
        <f>T20+(100-U20)</f>
        <v/>
      </c>
      <c r="Y20" s="2" t="inlineStr">
        <is>
          <t>[]</t>
        </is>
      </c>
      <c r="Z20" s="2" t="inlineStr">
        <is>
          <t>["seo_runs\\jeminise.com\\20260906_234129\\evidence\\images\\43_custom-bible-verse-photo-blanket-personalized-christian-gift-for-her\\image_05_47826787958983.jpg; seo_runs\\jeminise.com\\20260906_234129\\evidence\\contact_sheets\\43_custom-bible-verse-photo-blanket-personalized-christian-gift-for-her.jpg", "https://jeminise.com/products/custom-bible-verse-photo-blanket-personalized-christian-gift-for-her", "https://cdn.shopify.com/s/files/1/0792/5098/1063/files/8d82b855ba67960edf4d0f67faf83c4efd4804df358149a6badaeef90924cfa3.jpg?v=1786571231"]</t>
        </is>
      </c>
      <c r="AA20" s="2" t="inlineStr">
        <is>
          <t>r4</t>
        </is>
      </c>
    </row>
    <row r="21" ht="66" customHeight="1">
      <c r="A21" s="3" t="inlineStr">
        <is>
          <t>jeminise.com+custom-bible-verse-photo-blanket-personalized-christian-gift-for-her</t>
        </is>
      </c>
      <c r="B21" s="3" t="inlineStr">
        <is>
          <t>qaimg_147c9d2911217dd3</t>
        </is>
      </c>
      <c r="C21" s="4" t="inlineStr">
        <is>
          <t>https://cdn.shopify.com/s/files/1/0792/5098/1063/files/9a2984133e4b75b82b98f8008d0c0261a85c643d83aaed87a9c6669a64a5e3b6.jpg?v=1786571231</t>
        </is>
      </c>
      <c r="D21" s="4" t="inlineStr">
        <is>
          <t>https://cdn.shopify.com/s/files/1/0792/5098/1063/files/9a2984133e4b75b82b98f8008d0c0261a85c643d83aaed87a9c6669a64a5e3b6.jpg?v=1786571231</t>
        </is>
      </c>
      <c r="E21" s="3" t="inlineStr">
        <is>
          <t>38789678629063</t>
        </is>
      </c>
      <c r="F21" s="3" t="inlineStr">
        <is>
          <t>47826787991751</t>
        </is>
      </c>
      <c r="G21" s="3" t="inlineStr"/>
      <c r="H21" s="3" t="inlineStr">
        <is>
          <t>GALLERY</t>
        </is>
      </c>
      <c r="I21" s="3" t="inlineStr">
        <is>
          <t>DIRECT_ORIGINAL_IMAGE_REQA + R4_MEDIA_ID_COMPARISON</t>
        </is>
      </c>
      <c r="J21" s="3" t="inlineStr">
        <is>
          <t>2026-09-07T22:27:03.014477+07:00</t>
        </is>
      </c>
      <c r="K21" s="3" t="inlineStr">
        <is>
          <t>God Says I Am photo blanket draped on a sofa.</t>
        </is>
      </c>
      <c r="L21" s="3" t="inlineStr">
        <is>
          <t>Size guide, feature panel or additional mockup for personalized God Says I Am Christian blanket.</t>
        </is>
      </c>
      <c r="M21" s="3" t="inlineStr">
        <is>
          <t>Custom Bible Verse Photo Blanket – Personalized Christian Gift for Her</t>
        </is>
      </c>
      <c r="N21" s="3" t="inlineStr">
        <is>
          <t>SET</t>
        </is>
      </c>
      <c r="O21" s="3" t="inlineStr">
        <is>
          <t>Personalized God Says I Am Christian Blanket product image</t>
        </is>
      </c>
      <c r="P21" s="3" t="inlineStr">
        <is>
          <t>FULL</t>
        </is>
      </c>
      <c r="Q21" s="3" t="inlineStr">
        <is>
          <t>FULL</t>
        </is>
      </c>
      <c r="R21" s="3" t="inlineStr">
        <is>
          <t>FULL</t>
        </is>
      </c>
      <c r="S21" s="3" t="inlineStr">
        <is>
          <t>FULL</t>
        </is>
      </c>
      <c r="T21" s="7">
        <f>IF(P21="FULL",40,IF(P21="PARTIAL",40/2,0))+IF(Q21="FULL",30,IF(Q21="PARTIAL",30/2,0))+IF(R21="FULL",20,IF(R21="PARTIAL",20/2,0))+IF(S21="FULL",10,IF(S21="PARTIAL",10/2,0))</f>
        <v/>
      </c>
      <c r="U21" s="7">
        <f>IF(P21="NOT_CHECKED",0,40)+IF(Q21="NOT_CHECKED",0,30)+IF(R21="NOT_CHECKED",0,20)+IF(S21="NOT_CHECKED",0,10)</f>
        <v/>
      </c>
      <c r="V21" s="7">
        <f>IF(U21=100,T21,"")</f>
        <v/>
      </c>
      <c r="W21" s="7">
        <f>T21</f>
        <v/>
      </c>
      <c r="X21" s="7">
        <f>T21+(100-U21)</f>
        <v/>
      </c>
      <c r="Y21" s="3" t="inlineStr">
        <is>
          <t>[]</t>
        </is>
      </c>
      <c r="Z21" s="3" t="inlineStr">
        <is>
          <t>["seo_runs\\jeminise.com\\20260906_234129\\evidence\\images\\43_custom-bible-verse-photo-blanket-personalized-christian-gift-for-her\\image_06_47826787991751.jpg; seo_runs\\jeminise.com\\20260906_234129\\evidence\\contact_sheets\\43_custom-bible-verse-photo-blanket-personalized-christian-gift-for-her.jpg", "https://jeminise.com/products/custom-bible-verse-photo-blanket-personalized-christian-gift-for-her", "https://cdn.shopify.com/s/files/1/0792/5098/1063/files/9a2984133e4b75b82b98f8008d0c0261a85c643d83aaed87a9c6669a64a5e3b6.jpg?v=1786571231"]</t>
        </is>
      </c>
      <c r="AA21" s="3" t="inlineStr">
        <is>
          <t>r4</t>
        </is>
      </c>
    </row>
    <row r="22" ht="66" customHeight="1">
      <c r="A22" s="2" t="inlineStr">
        <is>
          <t>jeminise.com+custom-bible-verse-photo-blanket-personalized-christian-gift-for-her</t>
        </is>
      </c>
      <c r="B22" s="2" t="inlineStr">
        <is>
          <t>qaimg_b672ae9e09b3da30</t>
        </is>
      </c>
      <c r="C22" s="4" t="inlineStr">
        <is>
          <t>https://cdn.shopify.com/s/files/1/0792/5098/1063/files/e9d38cd833a6cfcefee0c7c7f1ae18d64f0606b9796df1dde3b1444731270052.jpg?v=1786571232</t>
        </is>
      </c>
      <c r="D22" s="4" t="inlineStr">
        <is>
          <t>https://cdn.shopify.com/s/files/1/0792/5098/1063/files/e9d38cd833a6cfcefee0c7c7f1ae18d64f0606b9796df1dde3b1444731270052.jpg?v=1786571232</t>
        </is>
      </c>
      <c r="E22" s="2" t="inlineStr">
        <is>
          <t>38789678661831</t>
        </is>
      </c>
      <c r="F22" s="2" t="inlineStr">
        <is>
          <t>47826788024519</t>
        </is>
      </c>
      <c r="G22" s="2" t="inlineStr"/>
      <c r="H22" s="2" t="inlineStr">
        <is>
          <t>GALLERY</t>
        </is>
      </c>
      <c r="I22" s="2" t="inlineStr">
        <is>
          <t>DIRECT_ORIGINAL_IMAGE_REQA + R4_MEDIA_ID_COMPARISON</t>
        </is>
      </c>
      <c r="J22" s="2" t="inlineStr">
        <is>
          <t>2026-09-07T22:27:03.014477+07:00</t>
        </is>
      </c>
      <c r="K22" s="2" t="inlineStr">
        <is>
          <t>Bed-and-reading lifestyle scene with the photo blanket and a dog.</t>
        </is>
      </c>
      <c r="L22" s="2" t="inlineStr">
        <is>
          <t>Additional lifestyle, feature or product detail image showing personalized God Says I Am Christian blanket.</t>
        </is>
      </c>
      <c r="M22" s="2" t="inlineStr">
        <is>
          <t>Custom Bible Verse Photo Blanket – Personalized Christian Gift for Her</t>
        </is>
      </c>
      <c r="N22" s="2" t="inlineStr">
        <is>
          <t>SET</t>
        </is>
      </c>
      <c r="O22" s="2" t="inlineStr">
        <is>
          <t>Personalized God Says I Am Christian Blanket product image</t>
        </is>
      </c>
      <c r="P22" s="2" t="inlineStr">
        <is>
          <t>FULL</t>
        </is>
      </c>
      <c r="Q22" s="2" t="inlineStr">
        <is>
          <t>FULL</t>
        </is>
      </c>
      <c r="R22" s="2" t="inlineStr">
        <is>
          <t>FULL</t>
        </is>
      </c>
      <c r="S22" s="2" t="inlineStr">
        <is>
          <t>FULL</t>
        </is>
      </c>
      <c r="T22" s="5">
        <f>IF(P22="FULL",40,IF(P22="PARTIAL",40/2,0))+IF(Q22="FULL",30,IF(Q22="PARTIAL",30/2,0))+IF(R22="FULL",20,IF(R22="PARTIAL",20/2,0))+IF(S22="FULL",10,IF(S22="PARTIAL",10/2,0))</f>
        <v/>
      </c>
      <c r="U22" s="5">
        <f>IF(P22="NOT_CHECKED",0,40)+IF(Q22="NOT_CHECKED",0,30)+IF(R22="NOT_CHECKED",0,20)+IF(S22="NOT_CHECKED",0,10)</f>
        <v/>
      </c>
      <c r="V22" s="5">
        <f>IF(U22=100,T22,"")</f>
        <v/>
      </c>
      <c r="W22" s="5">
        <f>T22</f>
        <v/>
      </c>
      <c r="X22" s="5">
        <f>T22+(100-U22)</f>
        <v/>
      </c>
      <c r="Y22" s="2" t="inlineStr">
        <is>
          <t>[]</t>
        </is>
      </c>
      <c r="Z22" s="2" t="inlineStr">
        <is>
          <t>["seo_runs\\jeminise.com\\20260906_234129\\evidence\\images\\43_custom-bible-verse-photo-blanket-personalized-christian-gift-for-her\\image_07_47826788024519.jpg; seo_runs\\jeminise.com\\20260906_234129\\evidence\\contact_sheets\\43_custom-bible-verse-photo-blanket-personalized-christian-gift-for-her.jpg", "https://jeminise.com/products/custom-bible-verse-photo-blanket-personalized-christian-gift-for-her", "https://cdn.shopify.com/s/files/1/0792/5098/1063/files/e9d38cd833a6cfcefee0c7c7f1ae18d64f0606b9796df1dde3b1444731270052.jpg?v=1786571232"]</t>
        </is>
      </c>
      <c r="AA22" s="2" t="inlineStr">
        <is>
          <t>r4</t>
        </is>
      </c>
    </row>
    <row r="23" ht="66" customHeight="1">
      <c r="A23" s="3" t="inlineStr">
        <is>
          <t>jeminise.com+custom-cardinals-on-flowering-branches-quilt-47d5316f3d-47d5316f3d</t>
        </is>
      </c>
      <c r="B23" s="3" t="inlineStr">
        <is>
          <t>qaimg_76531fd66ede5af0</t>
        </is>
      </c>
      <c r="C23" s="4" t="inlineStr">
        <is>
          <t>https://cdn.shopify.com/s/files/1/0792/5098/1063/files/9575f77a09e36399cd5f068645bc87d6039e51fdff8c055143a7aa9670d749a7.jpg?v=1785099357</t>
        </is>
      </c>
      <c r="D23" s="4" t="inlineStr">
        <is>
          <t>https://cdn.shopify.com/s/files/1/0792/5098/1063/files/9575f77a09e36399cd5f068645bc87d6039e51fdff8c055143a7aa9670d749a7.jpg?v=1785099357</t>
        </is>
      </c>
      <c r="E23" s="3" t="inlineStr">
        <is>
          <t>38506591060167</t>
        </is>
      </c>
      <c r="F23" s="3" t="inlineStr">
        <is>
          <t>47540029587655</t>
        </is>
      </c>
      <c r="G23" s="3" t="inlineStr"/>
      <c r="H23" s="3" t="inlineStr">
        <is>
          <t>GALLERY</t>
        </is>
      </c>
      <c r="I23" s="3" t="inlineStr">
        <is>
          <t>DIRECT_ORIGINAL_IMAGE_REQA + R4_MEDIA_ID_COMPARISON</t>
        </is>
      </c>
      <c r="J23" s="3" t="inlineStr">
        <is>
          <t>2026-09-07T22:27:03.014477+07:00</t>
        </is>
      </c>
      <c r="K23" s="3" t="inlineStr">
        <is>
          <t>Front bedroom mockup of red cardinals on flowering white branches over gray.</t>
        </is>
      </c>
      <c r="L23" s="3" t="inlineStr">
        <is>
          <t>Main product mockup showing cardinal flowering branches quilt.</t>
        </is>
      </c>
      <c r="M23" s="3" t="inlineStr">
        <is>
          <t>Custom Cardinals on Flowering Branches Quilt with Name</t>
        </is>
      </c>
      <c r="N23" s="3" t="inlineStr">
        <is>
          <t>SET</t>
        </is>
      </c>
      <c r="O23" s="3" t="inlineStr">
        <is>
          <t>Custom Cardinal Flowering Branches Quilt Set product image</t>
        </is>
      </c>
      <c r="P23" s="3" t="inlineStr">
        <is>
          <t>FULL</t>
        </is>
      </c>
      <c r="Q23" s="3" t="inlineStr">
        <is>
          <t>FULL</t>
        </is>
      </c>
      <c r="R23" s="3" t="inlineStr">
        <is>
          <t>FULL</t>
        </is>
      </c>
      <c r="S23" s="3" t="inlineStr">
        <is>
          <t>FULL</t>
        </is>
      </c>
      <c r="T23" s="7">
        <f>IF(P23="FULL",40,IF(P23="PARTIAL",40/2,0))+IF(Q23="FULL",30,IF(Q23="PARTIAL",30/2,0))+IF(R23="FULL",20,IF(R23="PARTIAL",20/2,0))+IF(S23="FULL",10,IF(S23="PARTIAL",10/2,0))</f>
        <v/>
      </c>
      <c r="U23" s="7">
        <f>IF(P23="NOT_CHECKED",0,40)+IF(Q23="NOT_CHECKED",0,30)+IF(R23="NOT_CHECKED",0,20)+IF(S23="NOT_CHECKED",0,10)</f>
        <v/>
      </c>
      <c r="V23" s="7">
        <f>IF(U23=100,T23,"")</f>
        <v/>
      </c>
      <c r="W23" s="7">
        <f>T23</f>
        <v/>
      </c>
      <c r="X23" s="7">
        <f>T23+(100-U23)</f>
        <v/>
      </c>
      <c r="Y23" s="3" t="inlineStr">
        <is>
          <t>[]</t>
        </is>
      </c>
      <c r="Z23" s="3" t="inlineStr">
        <is>
          <t>["seo_runs\\jeminise.com\\20260906_234129\\evidence\\images\\44_custom-cardinals-on-flowering-branches-quilt-47d5316f3d-47d5316f3d\\image_01_47540029587655.jpg; seo_runs\\jeminise.com\\20260906_234129\\evidence\\contact_sheets\\44_custom-cardinals-on-flowering-branches-quilt-47d5316f3d-47d5316f3d.jpg", "https://jeminise.com/products/custom-cardinals-on-flowering-branches-quilt-47d5316f3d-47d5316f3d", "https://cdn.shopify.com/s/files/1/0792/5098/1063/files/9575f77a09e36399cd5f068645bc87d6039e51fdff8c055143a7aa9670d749a7.jpg?v=1785099357"]</t>
        </is>
      </c>
      <c r="AA23" s="3" t="inlineStr">
        <is>
          <t>r4</t>
        </is>
      </c>
    </row>
    <row r="24" ht="66" customHeight="1">
      <c r="A24" s="2" t="inlineStr">
        <is>
          <t>jeminise.com+custom-cardinals-on-flowering-branches-quilt-47d5316f3d-47d5316f3d</t>
        </is>
      </c>
      <c r="B24" s="2" t="inlineStr">
        <is>
          <t>qaimg_4be6d92ba4593931</t>
        </is>
      </c>
      <c r="C24" s="4" t="inlineStr">
        <is>
          <t>https://cdn.shopify.com/s/files/1/0792/5098/1063/files/4b8dbefabdfb2866d0b96afe10769c61e74e99e7ee5ddd0148929b1e3e335045.jpg?v=1785099357</t>
        </is>
      </c>
      <c r="D24" s="4" t="inlineStr">
        <is>
          <t>https://cdn.shopify.com/s/files/1/0792/5098/1063/files/4b8dbefabdfb2866d0b96afe10769c61e74e99e7ee5ddd0148929b1e3e335045.jpg?v=1785099357</t>
        </is>
      </c>
      <c r="E24" s="2" t="inlineStr">
        <is>
          <t>38506591092935</t>
        </is>
      </c>
      <c r="F24" s="2" t="inlineStr">
        <is>
          <t>47540029620423</t>
        </is>
      </c>
      <c r="G24" s="2" t="inlineStr"/>
      <c r="H24" s="2" t="inlineStr">
        <is>
          <t>GALLERY</t>
        </is>
      </c>
      <c r="I24" s="2" t="inlineStr">
        <is>
          <t>DIRECT_ORIGINAL_IMAGE_REQA + R4_MEDIA_ID_COMPARISON</t>
        </is>
      </c>
      <c r="J24" s="2" t="inlineStr">
        <is>
          <t>2026-09-07T22:27:03.014477+07:00</t>
        </is>
      </c>
      <c r="K24" s="2" t="inlineStr">
        <is>
          <t>Close-up of the cardinal print and quilt stitching.</t>
        </is>
      </c>
      <c r="L24" s="2" t="inlineStr">
        <is>
          <t>Secondary mockup or folded view showing cardinal flowering branches quilt.</t>
        </is>
      </c>
      <c r="M24" s="2" t="inlineStr">
        <is>
          <t>Custom Cardinals on Flowering Branches Quilt with Name</t>
        </is>
      </c>
      <c r="N24" s="2" t="inlineStr">
        <is>
          <t>SET</t>
        </is>
      </c>
      <c r="O24" s="2" t="inlineStr">
        <is>
          <t>Custom Cardinal Flowering Branches Quilt Set product image</t>
        </is>
      </c>
      <c r="P24" s="2" t="inlineStr">
        <is>
          <t>FULL</t>
        </is>
      </c>
      <c r="Q24" s="2" t="inlineStr">
        <is>
          <t>FULL</t>
        </is>
      </c>
      <c r="R24" s="2" t="inlineStr">
        <is>
          <t>FULL</t>
        </is>
      </c>
      <c r="S24" s="2" t="inlineStr">
        <is>
          <t>FULL</t>
        </is>
      </c>
      <c r="T24" s="5">
        <f>IF(P24="FULL",40,IF(P24="PARTIAL",40/2,0))+IF(Q24="FULL",30,IF(Q24="PARTIAL",30/2,0))+IF(R24="FULL",20,IF(R24="PARTIAL",20/2,0))+IF(S24="FULL",10,IF(S24="PARTIAL",10/2,0))</f>
        <v/>
      </c>
      <c r="U24" s="5">
        <f>IF(P24="NOT_CHECKED",0,40)+IF(Q24="NOT_CHECKED",0,30)+IF(R24="NOT_CHECKED",0,20)+IF(S24="NOT_CHECKED",0,10)</f>
        <v/>
      </c>
      <c r="V24" s="5">
        <f>IF(U24=100,T24,"")</f>
        <v/>
      </c>
      <c r="W24" s="5">
        <f>T24</f>
        <v/>
      </c>
      <c r="X24" s="5">
        <f>T24+(100-U24)</f>
        <v/>
      </c>
      <c r="Y24" s="2" t="inlineStr">
        <is>
          <t>[]</t>
        </is>
      </c>
      <c r="Z24" s="2" t="inlineStr">
        <is>
          <t>["seo_runs\\jeminise.com\\20260906_234129\\evidence\\images\\44_custom-cardinals-on-flowering-branches-quilt-47d5316f3d-47d5316f3d\\image_02_47540029620423.jpg; seo_runs\\jeminise.com\\20260906_234129\\evidence\\contact_sheets\\44_custom-cardinals-on-flowering-branches-quilt-47d5316f3d-47d5316f3d.jpg", "https://jeminise.com/products/custom-cardinals-on-flowering-branches-quilt-47d5316f3d-47d5316f3d", "https://cdn.shopify.com/s/files/1/0792/5098/1063/files/4b8dbefabdfb2866d0b96afe10769c61e74e99e7ee5ddd0148929b1e3e335045.jpg?v=1785099357"]</t>
        </is>
      </c>
      <c r="AA24" s="2" t="inlineStr">
        <is>
          <t>r4</t>
        </is>
      </c>
    </row>
    <row r="25" ht="66" customHeight="1">
      <c r="A25" s="3" t="inlineStr">
        <is>
          <t>jeminise.com+custom-cardinals-on-flowering-branches-quilt-47d5316f3d-47d5316f3d</t>
        </is>
      </c>
      <c r="B25" s="3" t="inlineStr">
        <is>
          <t>qaimg_63b7e793a5d301ac</t>
        </is>
      </c>
      <c r="C25" s="4" t="inlineStr">
        <is>
          <t>https://cdn.shopify.com/s/files/1/0792/5098/1063/files/e6dea2251ee4448ea2ecc83d581cc7f70a13339c4e97d07ebf3f1184296e6d4d.jpg?v=1785099357</t>
        </is>
      </c>
      <c r="D25" s="4" t="inlineStr">
        <is>
          <t>https://cdn.shopify.com/s/files/1/0792/5098/1063/files/e6dea2251ee4448ea2ecc83d581cc7f70a13339c4e97d07ebf3f1184296e6d4d.jpg?v=1785099357</t>
        </is>
      </c>
      <c r="E25" s="3" t="inlineStr">
        <is>
          <t>38506591125703</t>
        </is>
      </c>
      <c r="F25" s="3" t="inlineStr">
        <is>
          <t>47540029653191</t>
        </is>
      </c>
      <c r="G25" s="3" t="inlineStr"/>
      <c r="H25" s="3" t="inlineStr">
        <is>
          <t>GALLERY</t>
        </is>
      </c>
      <c r="I25" s="3" t="inlineStr">
        <is>
          <t>DIRECT_ORIGINAL_IMAGE_REQA + R4_MEDIA_ID_COMPARISON</t>
        </is>
      </c>
      <c r="J25" s="3" t="inlineStr">
        <is>
          <t>2026-09-07T22:27:03.014477+07:00</t>
        </is>
      </c>
      <c r="K25" s="3" t="inlineStr">
        <is>
          <t>Isolated matching cardinal pillow sham.</t>
        </is>
      </c>
      <c r="L25" s="3" t="inlineStr">
        <is>
          <t>Personalization, feature or lifestyle image connected to cardinal flowering branches quilt.</t>
        </is>
      </c>
      <c r="M25" s="3" t="inlineStr">
        <is>
          <t>Custom Cardinals on Flowering Branches Quilt with Name</t>
        </is>
      </c>
      <c r="N25" s="3" t="inlineStr">
        <is>
          <t>SET</t>
        </is>
      </c>
      <c r="O25" s="3" t="inlineStr">
        <is>
          <t>Custom Cardinal Flowering Branches Quilt Set product image</t>
        </is>
      </c>
      <c r="P25" s="3" t="inlineStr">
        <is>
          <t>FULL</t>
        </is>
      </c>
      <c r="Q25" s="3" t="inlineStr">
        <is>
          <t>FULL</t>
        </is>
      </c>
      <c r="R25" s="3" t="inlineStr">
        <is>
          <t>FULL</t>
        </is>
      </c>
      <c r="S25" s="3" t="inlineStr">
        <is>
          <t>FULL</t>
        </is>
      </c>
      <c r="T25" s="7">
        <f>IF(P25="FULL",40,IF(P25="PARTIAL",40/2,0))+IF(Q25="FULL",30,IF(Q25="PARTIAL",30/2,0))+IF(R25="FULL",20,IF(R25="PARTIAL",20/2,0))+IF(S25="FULL",10,IF(S25="PARTIAL",10/2,0))</f>
        <v/>
      </c>
      <c r="U25" s="7">
        <f>IF(P25="NOT_CHECKED",0,40)+IF(Q25="NOT_CHECKED",0,30)+IF(R25="NOT_CHECKED",0,20)+IF(S25="NOT_CHECKED",0,10)</f>
        <v/>
      </c>
      <c r="V25" s="7">
        <f>IF(U25=100,T25,"")</f>
        <v/>
      </c>
      <c r="W25" s="7">
        <f>T25</f>
        <v/>
      </c>
      <c r="X25" s="7">
        <f>T25+(100-U25)</f>
        <v/>
      </c>
      <c r="Y25" s="3" t="inlineStr">
        <is>
          <t>[]</t>
        </is>
      </c>
      <c r="Z25" s="3" t="inlineStr">
        <is>
          <t>["seo_runs\\jeminise.com\\20260906_234129\\evidence\\images\\44_custom-cardinals-on-flowering-branches-quilt-47d5316f3d-47d5316f3d\\image_03_47540029653191.jpg; seo_runs\\jeminise.com\\20260906_234129\\evidence\\contact_sheets\\44_custom-cardinals-on-flowering-branches-quilt-47d5316f3d-47d5316f3d.jpg", "https://jeminise.com/products/custom-cardinals-on-flowering-branches-quilt-47d5316f3d-47d5316f3d", "https://cdn.shopify.com/s/files/1/0792/5098/1063/files/e6dea2251ee4448ea2ecc83d581cc7f70a13339c4e97d07ebf3f1184296e6d4d.jpg?v=1785099357"]</t>
        </is>
      </c>
      <c r="AA25" s="3" t="inlineStr">
        <is>
          <t>r4</t>
        </is>
      </c>
    </row>
    <row r="26" ht="66" customHeight="1">
      <c r="A26" s="2" t="inlineStr">
        <is>
          <t>jeminise.com+custom-cardinals-on-flowering-branches-quilt-47d5316f3d-47d5316f3d</t>
        </is>
      </c>
      <c r="B26" s="2" t="inlineStr">
        <is>
          <t>qaimg_d50cf1e8d71320f5</t>
        </is>
      </c>
      <c r="C26" s="4" t="inlineStr">
        <is>
          <t>https://cdn.shopify.com/s/files/1/0792/5098/1063/files/c1b284bd859514f393f0168612dc0c5ff965886cc7e02755fcc1d52e1bd327a8.jpg?v=1785099357</t>
        </is>
      </c>
      <c r="D26" s="4" t="inlineStr">
        <is>
          <t>https://cdn.shopify.com/s/files/1/0792/5098/1063/files/c1b284bd859514f393f0168612dc0c5ff965886cc7e02755fcc1d52e1bd327a8.jpg?v=1785099357</t>
        </is>
      </c>
      <c r="E26" s="2" t="inlineStr">
        <is>
          <t>38506591158471</t>
        </is>
      </c>
      <c r="F26" s="2" t="inlineStr">
        <is>
          <t>47540029685959</t>
        </is>
      </c>
      <c r="G26" s="2" t="inlineStr"/>
      <c r="H26" s="2" t="inlineStr">
        <is>
          <t>GALLERY</t>
        </is>
      </c>
      <c r="I26" s="2" t="inlineStr">
        <is>
          <t>DIRECT_ORIGINAL_IMAGE_REQA + R4_MEDIA_ID_COMPARISON</t>
        </is>
      </c>
      <c r="J26" s="2" t="inlineStr">
        <is>
          <t>2026-09-07T22:27:03.014477+07:00</t>
        </is>
      </c>
      <c r="K26" s="2" t="inlineStr">
        <is>
          <t>Angled bedroom mockup of the cardinal quilt.</t>
        </is>
      </c>
      <c r="L26" s="2" t="inlineStr">
        <is>
          <t>Close detail, care feature or sizing information for cardinal flowering branches quilt.</t>
        </is>
      </c>
      <c r="M26" s="2" t="inlineStr">
        <is>
          <t>Custom Cardinals on Flowering Branches Quilt with Name</t>
        </is>
      </c>
      <c r="N26" s="2" t="inlineStr">
        <is>
          <t>SET</t>
        </is>
      </c>
      <c r="O26" s="2" t="inlineStr">
        <is>
          <t>Custom Cardinal Flowering Branches Quilt Set product image</t>
        </is>
      </c>
      <c r="P26" s="2" t="inlineStr">
        <is>
          <t>FULL</t>
        </is>
      </c>
      <c r="Q26" s="2" t="inlineStr">
        <is>
          <t>FULL</t>
        </is>
      </c>
      <c r="R26" s="2" t="inlineStr">
        <is>
          <t>FULL</t>
        </is>
      </c>
      <c r="S26" s="2" t="inlineStr">
        <is>
          <t>FULL</t>
        </is>
      </c>
      <c r="T26" s="5">
        <f>IF(P26="FULL",40,IF(P26="PARTIAL",40/2,0))+IF(Q26="FULL",30,IF(Q26="PARTIAL",30/2,0))+IF(R26="FULL",20,IF(R26="PARTIAL",20/2,0))+IF(S26="FULL",10,IF(S26="PARTIAL",10/2,0))</f>
        <v/>
      </c>
      <c r="U26" s="5">
        <f>IF(P26="NOT_CHECKED",0,40)+IF(Q26="NOT_CHECKED",0,30)+IF(R26="NOT_CHECKED",0,20)+IF(S26="NOT_CHECKED",0,10)</f>
        <v/>
      </c>
      <c r="V26" s="5">
        <f>IF(U26=100,T26,"")</f>
        <v/>
      </c>
      <c r="W26" s="5">
        <f>T26</f>
        <v/>
      </c>
      <c r="X26" s="5">
        <f>T26+(100-U26)</f>
        <v/>
      </c>
      <c r="Y26" s="2" t="inlineStr">
        <is>
          <t>[]</t>
        </is>
      </c>
      <c r="Z26" s="2" t="inlineStr">
        <is>
          <t>["seo_runs\\jeminise.com\\20260906_234129\\evidence\\images\\44_custom-cardinals-on-flowering-branches-quilt-47d5316f3d-47d5316f3d\\image_04_47540029685959.jpg; seo_runs\\jeminise.com\\20260906_234129\\evidence\\contact_sheets\\44_custom-cardinals-on-flowering-branches-quilt-47d5316f3d-47d5316f3d.jpg", "https://jeminise.com/products/custom-cardinals-on-flowering-branches-quilt-47d5316f3d-47d5316f3d", "https://cdn.shopify.com/s/files/1/0792/5098/1063/files/c1b284bd859514f393f0168612dc0c5ff965886cc7e02755fcc1d52e1bd327a8.jpg?v=1785099357"]</t>
        </is>
      </c>
      <c r="AA26" s="2" t="inlineStr">
        <is>
          <t>r4</t>
        </is>
      </c>
    </row>
    <row r="27" ht="66" customHeight="1">
      <c r="A27" s="3" t="inlineStr">
        <is>
          <t>jeminise.com+custom-cardinals-on-flowering-branches-quilt-47d5316f3d-47d5316f3d</t>
        </is>
      </c>
      <c r="B27" s="3" t="inlineStr">
        <is>
          <t>qaimg_7b90e0ac4cd2831e</t>
        </is>
      </c>
      <c r="C27" s="4" t="inlineStr">
        <is>
          <t>https://cdn.shopify.com/s/files/1/0792/5098/1063/files/b9ecd7acb9867d3dddcba683ef98ed213ccd45ad7b21c83750b3af21d8d606b0.jpg?v=1785099357</t>
        </is>
      </c>
      <c r="D27" s="4" t="inlineStr">
        <is>
          <t>https://cdn.shopify.com/s/files/1/0792/5098/1063/files/b9ecd7acb9867d3dddcba683ef98ed213ccd45ad7b21c83750b3af21d8d606b0.jpg?v=1785099357</t>
        </is>
      </c>
      <c r="E27" s="3" t="inlineStr">
        <is>
          <t>38506591191239</t>
        </is>
      </c>
      <c r="F27" s="3" t="inlineStr">
        <is>
          <t>47540029718727</t>
        </is>
      </c>
      <c r="G27" s="3" t="inlineStr"/>
      <c r="H27" s="3" t="inlineStr">
        <is>
          <t>GALLERY</t>
        </is>
      </c>
      <c r="I27" s="3" t="inlineStr">
        <is>
          <t>DIRECT_ORIGINAL_IMAGE_REQA + R4_MEDIA_ID_COMPARISON</t>
        </is>
      </c>
      <c r="J27" s="3" t="inlineStr">
        <is>
          <t>2026-09-07T22:27:03.014477+07:00</t>
        </is>
      </c>
      <c r="K27" s="3" t="inlineStr">
        <is>
          <t>Included-components and quilt-size overlay.</t>
        </is>
      </c>
      <c r="L27" s="3" t="inlineStr">
        <is>
          <t>Material, wash or comfort feature image for cardinal flowering branches quilt.</t>
        </is>
      </c>
      <c r="M27" s="3" t="inlineStr">
        <is>
          <t>Custom Cardinals on Flowering Branches Quilt with Name</t>
        </is>
      </c>
      <c r="N27" s="3" t="inlineStr">
        <is>
          <t>SET</t>
        </is>
      </c>
      <c r="O27" s="3" t="inlineStr">
        <is>
          <t>Custom Cardinal Flowering Branches Quilt Set product image</t>
        </is>
      </c>
      <c r="P27" s="3" t="inlineStr">
        <is>
          <t>FULL</t>
        </is>
      </c>
      <c r="Q27" s="3" t="inlineStr">
        <is>
          <t>FULL</t>
        </is>
      </c>
      <c r="R27" s="3" t="inlineStr">
        <is>
          <t>FULL</t>
        </is>
      </c>
      <c r="S27" s="3" t="inlineStr">
        <is>
          <t>FULL</t>
        </is>
      </c>
      <c r="T27" s="7">
        <f>IF(P27="FULL",40,IF(P27="PARTIAL",40/2,0))+IF(Q27="FULL",30,IF(Q27="PARTIAL",30/2,0))+IF(R27="FULL",20,IF(R27="PARTIAL",20/2,0))+IF(S27="FULL",10,IF(S27="PARTIAL",10/2,0))</f>
        <v/>
      </c>
      <c r="U27" s="7">
        <f>IF(P27="NOT_CHECKED",0,40)+IF(Q27="NOT_CHECKED",0,30)+IF(R27="NOT_CHECKED",0,20)+IF(S27="NOT_CHECKED",0,10)</f>
        <v/>
      </c>
      <c r="V27" s="7">
        <f>IF(U27=100,T27,"")</f>
        <v/>
      </c>
      <c r="W27" s="7">
        <f>T27</f>
        <v/>
      </c>
      <c r="X27" s="7">
        <f>T27+(100-U27)</f>
        <v/>
      </c>
      <c r="Y27" s="3" t="inlineStr">
        <is>
          <t>[]</t>
        </is>
      </c>
      <c r="Z27" s="3" t="inlineStr">
        <is>
          <t>["seo_runs\\jeminise.com\\20260906_234129\\evidence\\images\\44_custom-cardinals-on-flowering-branches-quilt-47d5316f3d-47d5316f3d\\image_05_47540029718727.jpg; seo_runs\\jeminise.com\\20260906_234129\\evidence\\contact_sheets\\44_custom-cardinals-on-flowering-branches-quilt-47d5316f3d-47d5316f3d.jpg", "https://jeminise.com/products/custom-cardinals-on-flowering-branches-quilt-47d5316f3d-47d5316f3d", "https://cdn.shopify.com/s/files/1/0792/5098/1063/files/b9ecd7acb9867d3dddcba683ef98ed213ccd45ad7b21c83750b3af21d8d606b0.jpg?v=1785099357"]</t>
        </is>
      </c>
      <c r="AA27" s="3" t="inlineStr">
        <is>
          <t>r4</t>
        </is>
      </c>
    </row>
    <row r="28" ht="66" customHeight="1">
      <c r="A28" s="2" t="inlineStr">
        <is>
          <t>jeminise.com+custom-tree-of-life-quilt-set-yggdrasil-bedding-019f2b38a4-019f2b38a4</t>
        </is>
      </c>
      <c r="B28" s="2" t="inlineStr">
        <is>
          <t>qaimg_e6ae13ff7bc602e8</t>
        </is>
      </c>
      <c r="C28" s="4" t="inlineStr">
        <is>
          <t>https://cdn.shopify.com/s/files/1/0792/5098/1063/files/cbd5bec77037adf2205dbf25184e33c4da62c7d9bcfcf65c48f951530c949183.jpg?v=1785047557</t>
        </is>
      </c>
      <c r="D28" s="4" t="inlineStr">
        <is>
          <t>https://cdn.shopify.com/s/files/1/0792/5098/1063/files/cbd5bec77037adf2205dbf25184e33c4da62c7d9bcfcf65c48f951530c949183.jpg?v=1785047557</t>
        </is>
      </c>
      <c r="E28" s="2" t="inlineStr">
        <is>
          <t>38498730311879</t>
        </is>
      </c>
      <c r="F28" s="2" t="inlineStr">
        <is>
          <t>47532032164039</t>
        </is>
      </c>
      <c r="G28" s="2" t="inlineStr"/>
      <c r="H28" s="2" t="inlineStr">
        <is>
          <t>GALLERY</t>
        </is>
      </c>
      <c r="I28" s="2" t="inlineStr">
        <is>
          <t>DIRECT_ORIGINAL_IMAGE_REQA + R4_MEDIA_ID_COMPARISON</t>
        </is>
      </c>
      <c r="J28" s="2" t="inlineStr">
        <is>
          <t>2026-09-07T22:27:03.014477+07:00</t>
        </is>
      </c>
      <c r="K28" s="2" t="inlineStr">
        <is>
          <t>Front bedroom mockup of a colorful mosaic Tree of Life quilt with orange sunburst.</t>
        </is>
      </c>
      <c r="L28" s="2" t="inlineStr">
        <is>
          <t>Main product mockup showing colorful Tree of Life mosaic quilt.</t>
        </is>
      </c>
      <c r="M28" s="2" t="inlineStr">
        <is>
          <t>Custom Celtic Tree of Life Quilt Set with Colorful Mosaic Sunburst</t>
        </is>
      </c>
      <c r="N28" s="2" t="inlineStr">
        <is>
          <t>SET</t>
        </is>
      </c>
      <c r="O28" s="2" t="inlineStr">
        <is>
          <t>Custom Colorful Tree of Life Quilt Set product image</t>
        </is>
      </c>
      <c r="P28" s="2" t="inlineStr">
        <is>
          <t>FULL</t>
        </is>
      </c>
      <c r="Q28" s="2" t="inlineStr">
        <is>
          <t>FULL</t>
        </is>
      </c>
      <c r="R28" s="2" t="inlineStr">
        <is>
          <t>FULL</t>
        </is>
      </c>
      <c r="S28" s="2" t="inlineStr">
        <is>
          <t>FULL</t>
        </is>
      </c>
      <c r="T28" s="5">
        <f>IF(P28="FULL",40,IF(P28="PARTIAL",40/2,0))+IF(Q28="FULL",30,IF(Q28="PARTIAL",30/2,0))+IF(R28="FULL",20,IF(R28="PARTIAL",20/2,0))+IF(S28="FULL",10,IF(S28="PARTIAL",10/2,0))</f>
        <v/>
      </c>
      <c r="U28" s="5">
        <f>IF(P28="NOT_CHECKED",0,40)+IF(Q28="NOT_CHECKED",0,30)+IF(R28="NOT_CHECKED",0,20)+IF(S28="NOT_CHECKED",0,10)</f>
        <v/>
      </c>
      <c r="V28" s="5">
        <f>IF(U28=100,T28,"")</f>
        <v/>
      </c>
      <c r="W28" s="5">
        <f>T28</f>
        <v/>
      </c>
      <c r="X28" s="5">
        <f>T28+(100-U28)</f>
        <v/>
      </c>
      <c r="Y28" s="2" t="inlineStr">
        <is>
          <t>[]</t>
        </is>
      </c>
      <c r="Z28" s="2" t="inlineStr">
        <is>
          <t>["seo_runs\\jeminise.com\\20260906_234129\\evidence\\images\\45_custom-tree-of-life-quilt-set-yggdrasil-bedding-019f2b38a4-019f2b38a4\\image_01_47532032164039.jpg; seo_runs\\jeminise.com\\20260906_234129\\evidence\\contact_sheets\\45_custom-tree-of-life-quilt-set-yggdrasil-bedding-019f2b38a4-019f2b38a4.jpg", "https://jeminise.com/products/custom-tree-of-life-quilt-set-yggdrasil-bedding-019f2b38a4-019f2b38a4", "https://cdn.shopify.com/s/files/1/0792/5098/1063/files/cbd5bec77037adf2205dbf25184e33c4da62c7d9bcfcf65c48f951530c949183.jpg?v=1785047557"]</t>
        </is>
      </c>
      <c r="AA28" s="2" t="inlineStr">
        <is>
          <t>r4</t>
        </is>
      </c>
    </row>
    <row r="29" ht="66" customHeight="1">
      <c r="A29" s="3" t="inlineStr">
        <is>
          <t>jeminise.com+custom-tree-of-life-quilt-set-yggdrasil-bedding-019f2b38a4-019f2b38a4</t>
        </is>
      </c>
      <c r="B29" s="3" t="inlineStr">
        <is>
          <t>qaimg_6d1b57144c97bb58</t>
        </is>
      </c>
      <c r="C29" s="4" t="inlineStr">
        <is>
          <t>https://cdn.shopify.com/s/files/1/0792/5098/1063/files/23ffda708dc3ec814d65f9ddad5a342341172c0b0ba83dd4269ee04c1e31257d.jpg?v=1785047557</t>
        </is>
      </c>
      <c r="D29" s="4" t="inlineStr">
        <is>
          <t>https://cdn.shopify.com/s/files/1/0792/5098/1063/files/23ffda708dc3ec814d65f9ddad5a342341172c0b0ba83dd4269ee04c1e31257d.jpg?v=1785047557</t>
        </is>
      </c>
      <c r="E29" s="3" t="inlineStr">
        <is>
          <t>38498730344647</t>
        </is>
      </c>
      <c r="F29" s="3" t="inlineStr">
        <is>
          <t>47532032196807</t>
        </is>
      </c>
      <c r="G29" s="3" t="inlineStr"/>
      <c r="H29" s="3" t="inlineStr">
        <is>
          <t>GALLERY</t>
        </is>
      </c>
      <c r="I29" s="3" t="inlineStr">
        <is>
          <t>DIRECT_ORIGINAL_IMAGE_REQA + R4_MEDIA_ID_COMPARISON</t>
        </is>
      </c>
      <c r="J29" s="3" t="inlineStr">
        <is>
          <t>2026-09-07T22:27:03.014477+07:00</t>
        </is>
      </c>
      <c r="K29" s="3" t="inlineStr">
        <is>
          <t>Angled bedroom mockup with printed-craft feature callouts.</t>
        </is>
      </c>
      <c r="L29" s="3" t="inlineStr">
        <is>
          <t>Secondary mockup or folded view showing colorful Tree of Life mosaic quilt.</t>
        </is>
      </c>
      <c r="M29" s="3" t="inlineStr">
        <is>
          <t>Custom Celtic Tree of Life Quilt Set with Colorful Mosaic Sunburst</t>
        </is>
      </c>
      <c r="N29" s="3" t="inlineStr">
        <is>
          <t>SET</t>
        </is>
      </c>
      <c r="O29" s="3" t="inlineStr">
        <is>
          <t>Custom Colorful Tree of Life Quilt Set product image</t>
        </is>
      </c>
      <c r="P29" s="3" t="inlineStr">
        <is>
          <t>FULL</t>
        </is>
      </c>
      <c r="Q29" s="3" t="inlineStr">
        <is>
          <t>FULL</t>
        </is>
      </c>
      <c r="R29" s="3" t="inlineStr">
        <is>
          <t>FULL</t>
        </is>
      </c>
      <c r="S29" s="3" t="inlineStr">
        <is>
          <t>FULL</t>
        </is>
      </c>
      <c r="T29" s="7">
        <f>IF(P29="FULL",40,IF(P29="PARTIAL",40/2,0))+IF(Q29="FULL",30,IF(Q29="PARTIAL",30/2,0))+IF(R29="FULL",20,IF(R29="PARTIAL",20/2,0))+IF(S29="FULL",10,IF(S29="PARTIAL",10/2,0))</f>
        <v/>
      </c>
      <c r="U29" s="7">
        <f>IF(P29="NOT_CHECKED",0,40)+IF(Q29="NOT_CHECKED",0,30)+IF(R29="NOT_CHECKED",0,20)+IF(S29="NOT_CHECKED",0,10)</f>
        <v/>
      </c>
      <c r="V29" s="7">
        <f>IF(U29=100,T29,"")</f>
        <v/>
      </c>
      <c r="W29" s="7">
        <f>T29</f>
        <v/>
      </c>
      <c r="X29" s="7">
        <f>T29+(100-U29)</f>
        <v/>
      </c>
      <c r="Y29" s="3" t="inlineStr">
        <is>
          <t>[]</t>
        </is>
      </c>
      <c r="Z29" s="3" t="inlineStr">
        <is>
          <t>["seo_runs\\jeminise.com\\20260906_234129\\evidence\\images\\45_custom-tree-of-life-quilt-set-yggdrasil-bedding-019f2b38a4-019f2b38a4\\image_02_47532032196807.jpg; seo_runs\\jeminise.com\\20260906_234129\\evidence\\contact_sheets\\45_custom-tree-of-life-quilt-set-yggdrasil-bedding-019f2b38a4-019f2b38a4.jpg", "https://jeminise.com/products/custom-tree-of-life-quilt-set-yggdrasil-bedding-019f2b38a4-019f2b38a4", "https://cdn.shopify.com/s/files/1/0792/5098/1063/files/23ffda708dc3ec814d65f9ddad5a342341172c0b0ba83dd4269ee04c1e31257d.jpg?v=1785047557"]</t>
        </is>
      </c>
      <c r="AA29" s="3" t="inlineStr">
        <is>
          <t>r4</t>
        </is>
      </c>
    </row>
    <row r="30" ht="66" customHeight="1">
      <c r="A30" s="2" t="inlineStr">
        <is>
          <t>jeminise.com+custom-tree-of-life-quilt-set-yggdrasil-bedding-019f2b38a4-019f2b38a4</t>
        </is>
      </c>
      <c r="B30" s="2" t="inlineStr">
        <is>
          <t>qaimg_c5420701ae59a270</t>
        </is>
      </c>
      <c r="C30" s="4" t="inlineStr">
        <is>
          <t>https://cdn.shopify.com/s/files/1/0792/5098/1063/files/b466ae44c3708cbb30c0d0caf6d1527fe408507e2969267fe97baf909b85d791.jpg?v=1785047557</t>
        </is>
      </c>
      <c r="D30" s="4" t="inlineStr">
        <is>
          <t>https://cdn.shopify.com/s/files/1/0792/5098/1063/files/b466ae44c3708cbb30c0d0caf6d1527fe408507e2969267fe97baf909b85d791.jpg?v=1785047557</t>
        </is>
      </c>
      <c r="E30" s="2" t="inlineStr">
        <is>
          <t>38498730377415</t>
        </is>
      </c>
      <c r="F30" s="2" t="inlineStr">
        <is>
          <t>47532032229575</t>
        </is>
      </c>
      <c r="G30" s="2" t="inlineStr"/>
      <c r="H30" s="2" t="inlineStr">
        <is>
          <t>GALLERY</t>
        </is>
      </c>
      <c r="I30" s="2" t="inlineStr">
        <is>
          <t>DIRECT_ORIGINAL_IMAGE_REQA + R4_MEDIA_ID_COMPARISON</t>
        </is>
      </c>
      <c r="J30" s="2" t="inlineStr">
        <is>
          <t>2026-09-07T22:27:03.014477+07:00</t>
        </is>
      </c>
      <c r="K30" s="2" t="inlineStr">
        <is>
          <t>Matching shams and lightweight, soft, anti-pill and anti-static callouts.</t>
        </is>
      </c>
      <c r="L30" s="2" t="inlineStr">
        <is>
          <t>Personalization, feature or lifestyle image connected to colorful Tree of Life mosaic quilt.</t>
        </is>
      </c>
      <c r="M30" s="2" t="inlineStr">
        <is>
          <t>Custom Celtic Tree of Life Quilt Set with Colorful Mosaic Sunburst</t>
        </is>
      </c>
      <c r="N30" s="2" t="inlineStr">
        <is>
          <t>SET</t>
        </is>
      </c>
      <c r="O30" s="2" t="inlineStr">
        <is>
          <t>Custom Colorful Tree of Life Quilt Set product image</t>
        </is>
      </c>
      <c r="P30" s="2" t="inlineStr">
        <is>
          <t>FULL</t>
        </is>
      </c>
      <c r="Q30" s="2" t="inlineStr">
        <is>
          <t>FULL</t>
        </is>
      </c>
      <c r="R30" s="2" t="inlineStr">
        <is>
          <t>FULL</t>
        </is>
      </c>
      <c r="S30" s="2" t="inlineStr">
        <is>
          <t>FULL</t>
        </is>
      </c>
      <c r="T30" s="5">
        <f>IF(P30="FULL",40,IF(P30="PARTIAL",40/2,0))+IF(Q30="FULL",30,IF(Q30="PARTIAL",30/2,0))+IF(R30="FULL",20,IF(R30="PARTIAL",20/2,0))+IF(S30="FULL",10,IF(S30="PARTIAL",10/2,0))</f>
        <v/>
      </c>
      <c r="U30" s="5">
        <f>IF(P30="NOT_CHECKED",0,40)+IF(Q30="NOT_CHECKED",0,30)+IF(R30="NOT_CHECKED",0,20)+IF(S30="NOT_CHECKED",0,10)</f>
        <v/>
      </c>
      <c r="V30" s="5">
        <f>IF(U30=100,T30,"")</f>
        <v/>
      </c>
      <c r="W30" s="5">
        <f>T30</f>
        <v/>
      </c>
      <c r="X30" s="5">
        <f>T30+(100-U30)</f>
        <v/>
      </c>
      <c r="Y30" s="2" t="inlineStr">
        <is>
          <t>[]</t>
        </is>
      </c>
      <c r="Z30" s="2" t="inlineStr">
        <is>
          <t>["seo_runs\\jeminise.com\\20260906_234129\\evidence\\images\\45_custom-tree-of-life-quilt-set-yggdrasil-bedding-019f2b38a4-019f2b38a4\\image_03_47532032229575.jpg; seo_runs\\jeminise.com\\20260906_234129\\evidence\\contact_sheets\\45_custom-tree-of-life-quilt-set-yggdrasil-bedding-019f2b38a4-019f2b38a4.jpg", "https://jeminise.com/products/custom-tree-of-life-quilt-set-yggdrasil-bedding-019f2b38a4-019f2b38a4", "https://cdn.shopify.com/s/files/1/0792/5098/1063/files/b466ae44c3708cbb30c0d0caf6d1527fe408507e2969267fe97baf909b85d791.jpg?v=1785047557"]</t>
        </is>
      </c>
      <c r="AA30" s="2" t="inlineStr">
        <is>
          <t>r4</t>
        </is>
      </c>
    </row>
    <row r="31" ht="66" customHeight="1">
      <c r="A31" s="3" t="inlineStr">
        <is>
          <t>jeminise.com+custom-tree-of-life-quilt-set-yggdrasil-bedding-019f2b38a4-019f2b38a4</t>
        </is>
      </c>
      <c r="B31" s="3" t="inlineStr">
        <is>
          <t>qaimg_57bf038e8f84df9a</t>
        </is>
      </c>
      <c r="C31" s="4" t="inlineStr">
        <is>
          <t>https://cdn.shopify.com/s/files/1/0792/5098/1063/files/ab686e5bcd9e43b0d7425b73d04cc3e11df03298877e89428bd239b57f2905c4.jpg?v=1785047557</t>
        </is>
      </c>
      <c r="D31" s="4" t="inlineStr">
        <is>
          <t>https://cdn.shopify.com/s/files/1/0792/5098/1063/files/ab686e5bcd9e43b0d7425b73d04cc3e11df03298877e89428bd239b57f2905c4.jpg?v=1785047557</t>
        </is>
      </c>
      <c r="E31" s="3" t="inlineStr">
        <is>
          <t>38498730410183</t>
        </is>
      </c>
      <c r="F31" s="3" t="inlineStr">
        <is>
          <t>47532032262343</t>
        </is>
      </c>
      <c r="G31" s="3" t="inlineStr"/>
      <c r="H31" s="3" t="inlineStr">
        <is>
          <t>GALLERY</t>
        </is>
      </c>
      <c r="I31" s="3" t="inlineStr">
        <is>
          <t>DIRECT_ORIGINAL_IMAGE_REQA + R4_MEDIA_ID_COMPARISON</t>
        </is>
      </c>
      <c r="J31" s="3" t="inlineStr">
        <is>
          <t>2026-09-07T22:27:03.014477+07:00</t>
        </is>
      </c>
      <c r="K31" s="3" t="inlineStr">
        <is>
          <t>Fabric-feature panel for the printed quilt.</t>
        </is>
      </c>
      <c r="L31" s="3" t="inlineStr">
        <is>
          <t>Close detail, care feature or sizing information for colorful Tree of Life mosaic quilt.</t>
        </is>
      </c>
      <c r="M31" s="3" t="inlineStr">
        <is>
          <t>Custom Celtic Tree of Life Quilt Set with Colorful Mosaic Sunburst</t>
        </is>
      </c>
      <c r="N31" s="3" t="inlineStr">
        <is>
          <t>SET</t>
        </is>
      </c>
      <c r="O31" s="3" t="inlineStr">
        <is>
          <t>Custom Colorful Tree of Life Quilt Set product image</t>
        </is>
      </c>
      <c r="P31" s="3" t="inlineStr">
        <is>
          <t>FULL</t>
        </is>
      </c>
      <c r="Q31" s="3" t="inlineStr">
        <is>
          <t>FULL</t>
        </is>
      </c>
      <c r="R31" s="3" t="inlineStr">
        <is>
          <t>FULL</t>
        </is>
      </c>
      <c r="S31" s="3" t="inlineStr">
        <is>
          <t>FULL</t>
        </is>
      </c>
      <c r="T31" s="7">
        <f>IF(P31="FULL",40,IF(P31="PARTIAL",40/2,0))+IF(Q31="FULL",30,IF(Q31="PARTIAL",30/2,0))+IF(R31="FULL",20,IF(R31="PARTIAL",20/2,0))+IF(S31="FULL",10,IF(S31="PARTIAL",10/2,0))</f>
        <v/>
      </c>
      <c r="U31" s="7">
        <f>IF(P31="NOT_CHECKED",0,40)+IF(Q31="NOT_CHECKED",0,30)+IF(R31="NOT_CHECKED",0,20)+IF(S31="NOT_CHECKED",0,10)</f>
        <v/>
      </c>
      <c r="V31" s="7">
        <f>IF(U31=100,T31,"")</f>
        <v/>
      </c>
      <c r="W31" s="7">
        <f>T31</f>
        <v/>
      </c>
      <c r="X31" s="7">
        <f>T31+(100-U31)</f>
        <v/>
      </c>
      <c r="Y31" s="3" t="inlineStr">
        <is>
          <t>[]</t>
        </is>
      </c>
      <c r="Z31" s="3" t="inlineStr">
        <is>
          <t>["seo_runs\\jeminise.com\\20260906_234129\\evidence\\images\\45_custom-tree-of-life-quilt-set-yggdrasil-bedding-019f2b38a4-019f2b38a4\\image_04_47532032262343.jpg; seo_runs\\jeminise.com\\20260906_234129\\evidence\\contact_sheets\\45_custom-tree-of-life-quilt-set-yggdrasil-bedding-019f2b38a4-019f2b38a4.jpg", "https://jeminise.com/products/custom-tree-of-life-quilt-set-yggdrasil-bedding-019f2b38a4-019f2b38a4", "https://cdn.shopify.com/s/files/1/0792/5098/1063/files/ab686e5bcd9e43b0d7425b73d04cc3e11df03298877e89428bd239b57f2905c4.jpg?v=1785047557"]</t>
        </is>
      </c>
      <c r="AA31" s="3" t="inlineStr">
        <is>
          <t>r4</t>
        </is>
      </c>
    </row>
    <row r="32" ht="66" customHeight="1">
      <c r="A32" s="2" t="inlineStr">
        <is>
          <t>jeminise.com+custom-tree-of-life-quilt-set-yggdrasil-bedding-019f2b38a4-019f2b38a4</t>
        </is>
      </c>
      <c r="B32" s="2" t="inlineStr">
        <is>
          <t>qaimg_cecee146af8dc0cd</t>
        </is>
      </c>
      <c r="C32" s="4" t="inlineStr">
        <is>
          <t>https://cdn.shopify.com/s/files/1/0792/5098/1063/files/9cead3e10d180201016171953dc0fc85f5892fadcb0fc954460d73a834ba58a0.jpg?v=1785047556</t>
        </is>
      </c>
      <c r="D32" s="4" t="inlineStr">
        <is>
          <t>https://cdn.shopify.com/s/files/1/0792/5098/1063/files/9cead3e10d180201016171953dc0fc85f5892fadcb0fc954460d73a834ba58a0.jpg?v=1785047556</t>
        </is>
      </c>
      <c r="E32" s="2" t="inlineStr">
        <is>
          <t>38498730442951</t>
        </is>
      </c>
      <c r="F32" s="2" t="inlineStr">
        <is>
          <t>47532032295111</t>
        </is>
      </c>
      <c r="G32" s="2" t="inlineStr"/>
      <c r="H32" s="2" t="inlineStr">
        <is>
          <t>GALLERY</t>
        </is>
      </c>
      <c r="I32" s="2" t="inlineStr">
        <is>
          <t>DIRECT_ORIGINAL_IMAGE_REQA + R4_MEDIA_ID_COMPARISON</t>
        </is>
      </c>
      <c r="J32" s="2" t="inlineStr">
        <is>
          <t>2026-09-07T22:27:03.014477+07:00</t>
        </is>
      </c>
      <c r="K32" s="2" t="inlineStr">
        <is>
          <t>Premium quilt-set size chart.</t>
        </is>
      </c>
      <c r="L32" s="2" t="inlineStr">
        <is>
          <t>Material, wash or comfort feature image for colorful Tree of Life mosaic quilt.</t>
        </is>
      </c>
      <c r="M32" s="2" t="inlineStr">
        <is>
          <t>Custom Celtic Tree of Life Quilt Set with Colorful Mosaic Sunburst</t>
        </is>
      </c>
      <c r="N32" s="2" t="inlineStr">
        <is>
          <t>SET</t>
        </is>
      </c>
      <c r="O32" s="2" t="inlineStr">
        <is>
          <t>Custom Colorful Tree of Life Quilt Set product image</t>
        </is>
      </c>
      <c r="P32" s="2" t="inlineStr">
        <is>
          <t>FULL</t>
        </is>
      </c>
      <c r="Q32" s="2" t="inlineStr">
        <is>
          <t>FULL</t>
        </is>
      </c>
      <c r="R32" s="2" t="inlineStr">
        <is>
          <t>FULL</t>
        </is>
      </c>
      <c r="S32" s="2" t="inlineStr">
        <is>
          <t>FULL</t>
        </is>
      </c>
      <c r="T32" s="5">
        <f>IF(P32="FULL",40,IF(P32="PARTIAL",40/2,0))+IF(Q32="FULL",30,IF(Q32="PARTIAL",30/2,0))+IF(R32="FULL",20,IF(R32="PARTIAL",20/2,0))+IF(S32="FULL",10,IF(S32="PARTIAL",10/2,0))</f>
        <v/>
      </c>
      <c r="U32" s="5">
        <f>IF(P32="NOT_CHECKED",0,40)+IF(Q32="NOT_CHECKED",0,30)+IF(R32="NOT_CHECKED",0,20)+IF(S32="NOT_CHECKED",0,10)</f>
        <v/>
      </c>
      <c r="V32" s="5">
        <f>IF(U32=100,T32,"")</f>
        <v/>
      </c>
      <c r="W32" s="5">
        <f>T32</f>
        <v/>
      </c>
      <c r="X32" s="5">
        <f>T32+(100-U32)</f>
        <v/>
      </c>
      <c r="Y32" s="2" t="inlineStr">
        <is>
          <t>[]</t>
        </is>
      </c>
      <c r="Z32" s="2" t="inlineStr">
        <is>
          <t>["seo_runs\\jeminise.com\\20260906_234129\\evidence\\images\\45_custom-tree-of-life-quilt-set-yggdrasil-bedding-019f2b38a4-019f2b38a4\\image_05_47532032295111.jpg; seo_runs\\jeminise.com\\20260906_234129\\evidence\\contact_sheets\\45_custom-tree-of-life-quilt-set-yggdrasil-bedding-019f2b38a4-019f2b38a4.jpg", "https://jeminise.com/products/custom-tree-of-life-quilt-set-yggdrasil-bedding-019f2b38a4-019f2b38a4", "https://cdn.shopify.com/s/files/1/0792/5098/1063/files/9cead3e10d180201016171953dc0fc85f5892fadcb0fc954460d73a834ba58a0.jpg?v=1785047556"]</t>
        </is>
      </c>
      <c r="AA32" s="2" t="inlineStr">
        <is>
          <t>r4</t>
        </is>
      </c>
    </row>
    <row r="33" ht="66" customHeight="1">
      <c r="A33" s="3" t="inlineStr">
        <is>
          <t>jeminise.com+custom-tree-of-life-quilt-set-yggdrasil-bedding-019f2b38a4-019f2b38a4</t>
        </is>
      </c>
      <c r="B33" s="3" t="inlineStr">
        <is>
          <t>qaimg_a8d2fb5443be09f3</t>
        </is>
      </c>
      <c r="C33" s="4" t="inlineStr">
        <is>
          <t>https://cdn.shopify.com/s/files/1/0792/5098/1063/files/96dcf378423aa82f4bfeea73a2dacc036fedbb92b4a3c90950f13f7f87ea07f3.jpg?v=1785047557</t>
        </is>
      </c>
      <c r="D33" s="4" t="inlineStr">
        <is>
          <t>https://cdn.shopify.com/s/files/1/0792/5098/1063/files/96dcf378423aa82f4bfeea73a2dacc036fedbb92b4a3c90950f13f7f87ea07f3.jpg?v=1785047557</t>
        </is>
      </c>
      <c r="E33" s="3" t="inlineStr">
        <is>
          <t>38498730475719</t>
        </is>
      </c>
      <c r="F33" s="3" t="inlineStr">
        <is>
          <t>47532032327879</t>
        </is>
      </c>
      <c r="G33" s="3" t="inlineStr"/>
      <c r="H33" s="3" t="inlineStr">
        <is>
          <t>GALLERY</t>
        </is>
      </c>
      <c r="I33" s="3" t="inlineStr">
        <is>
          <t>DIRECT_ORIGINAL_IMAGE_REQA + R4_MEDIA_ID_COMPARISON</t>
        </is>
      </c>
      <c r="J33" s="3" t="inlineStr">
        <is>
          <t>2026-09-07T22:27:03.014477+07:00</t>
        </is>
      </c>
      <c r="K33" s="3" t="inlineStr">
        <is>
          <t>Material-layer and bedspread-features diagram.</t>
        </is>
      </c>
      <c r="L33" s="3" t="inlineStr">
        <is>
          <t>Size guide, feature panel or additional mockup for colorful Tree of Life mosaic quilt.</t>
        </is>
      </c>
      <c r="M33" s="3" t="inlineStr">
        <is>
          <t>Custom Celtic Tree of Life Quilt Set with Colorful Mosaic Sunburst</t>
        </is>
      </c>
      <c r="N33" s="3" t="inlineStr">
        <is>
          <t>SET</t>
        </is>
      </c>
      <c r="O33" s="3" t="inlineStr">
        <is>
          <t>Custom Colorful Tree of Life Quilt Set product image</t>
        </is>
      </c>
      <c r="P33" s="3" t="inlineStr">
        <is>
          <t>FULL</t>
        </is>
      </c>
      <c r="Q33" s="3" t="inlineStr">
        <is>
          <t>FULL</t>
        </is>
      </c>
      <c r="R33" s="3" t="inlineStr">
        <is>
          <t>FULL</t>
        </is>
      </c>
      <c r="S33" s="3" t="inlineStr">
        <is>
          <t>FULL</t>
        </is>
      </c>
      <c r="T33" s="7">
        <f>IF(P33="FULL",40,IF(P33="PARTIAL",40/2,0))+IF(Q33="FULL",30,IF(Q33="PARTIAL",30/2,0))+IF(R33="FULL",20,IF(R33="PARTIAL",20/2,0))+IF(S33="FULL",10,IF(S33="PARTIAL",10/2,0))</f>
        <v/>
      </c>
      <c r="U33" s="7">
        <f>IF(P33="NOT_CHECKED",0,40)+IF(Q33="NOT_CHECKED",0,30)+IF(R33="NOT_CHECKED",0,20)+IF(S33="NOT_CHECKED",0,10)</f>
        <v/>
      </c>
      <c r="V33" s="7">
        <f>IF(U33=100,T33,"")</f>
        <v/>
      </c>
      <c r="W33" s="7">
        <f>T33</f>
        <v/>
      </c>
      <c r="X33" s="7">
        <f>T33+(100-U33)</f>
        <v/>
      </c>
      <c r="Y33" s="3" t="inlineStr">
        <is>
          <t>[]</t>
        </is>
      </c>
      <c r="Z33" s="3" t="inlineStr">
        <is>
          <t>["seo_runs\\jeminise.com\\20260906_234129\\evidence\\images\\45_custom-tree-of-life-quilt-set-yggdrasil-bedding-019f2b38a4-019f2b38a4\\image_06_47532032327879.jpg; seo_runs\\jeminise.com\\20260906_234129\\evidence\\contact_sheets\\45_custom-tree-of-life-quilt-set-yggdrasil-bedding-019f2b38a4-019f2b38a4.jpg", "https://jeminise.com/products/custom-tree-of-life-quilt-set-yggdrasil-bedding-019f2b38a4-019f2b38a4", "https://cdn.shopify.com/s/files/1/0792/5098/1063/files/96dcf378423aa82f4bfeea73a2dacc036fedbb92b4a3c90950f13f7f87ea07f3.jpg?v=1785047557"]</t>
        </is>
      </c>
      <c r="AA33" s="3" t="inlineStr">
        <is>
          <t>r4</t>
        </is>
      </c>
    </row>
    <row r="34" ht="66" customHeight="1">
      <c r="A34" s="2" t="inlineStr">
        <is>
          <t>jeminise.com+custom-tree-of-life-quilt-set-yggdrasil-bedding-019f2b38a4-019f2b38a4</t>
        </is>
      </c>
      <c r="B34" s="2" t="inlineStr">
        <is>
          <t>qaimg_25bd733269de9e98</t>
        </is>
      </c>
      <c r="C34" s="4" t="inlineStr">
        <is>
          <t>https://cdn.shopify.com/s/files/1/0792/5098/1063/files/7948c621d952c055974f0de2ba56d008b3bc9e871506efc33088690a2042a4b5.jpg?v=1785047557</t>
        </is>
      </c>
      <c r="D34" s="4" t="inlineStr">
        <is>
          <t>https://cdn.shopify.com/s/files/1/0792/5098/1063/files/7948c621d952c055974f0de2ba56d008b3bc9e871506efc33088690a2042a4b5.jpg?v=1785047557</t>
        </is>
      </c>
      <c r="E34" s="2" t="inlineStr">
        <is>
          <t>38498730508487</t>
        </is>
      </c>
      <c r="F34" s="2" t="inlineStr">
        <is>
          <t>47532032360647</t>
        </is>
      </c>
      <c r="G34" s="2" t="inlineStr"/>
      <c r="H34" s="2" t="inlineStr">
        <is>
          <t>GALLERY</t>
        </is>
      </c>
      <c r="I34" s="2" t="inlineStr">
        <is>
          <t>DIRECT_ORIGINAL_IMAGE_REQA + R4_MEDIA_ID_COMPARISON</t>
        </is>
      </c>
      <c r="J34" s="2" t="inlineStr">
        <is>
          <t>2026-09-07T22:27:03.014477+07:00</t>
        </is>
      </c>
      <c r="K34" s="2" t="inlineStr">
        <is>
          <t>Overhead bedroom mockup of the colorful Tree of Life quilt.</t>
        </is>
      </c>
      <c r="L34" s="2" t="inlineStr">
        <is>
          <t>Additional lifestyle, feature or product detail image showing colorful Tree of Life mosaic quilt.</t>
        </is>
      </c>
      <c r="M34" s="2" t="inlineStr">
        <is>
          <t>Custom Celtic Tree of Life Quilt Set with Colorful Mosaic Sunburst</t>
        </is>
      </c>
      <c r="N34" s="2" t="inlineStr">
        <is>
          <t>SET</t>
        </is>
      </c>
      <c r="O34" s="2" t="inlineStr">
        <is>
          <t>Custom Colorful Tree of Life Quilt Set product image</t>
        </is>
      </c>
      <c r="P34" s="2" t="inlineStr">
        <is>
          <t>FULL</t>
        </is>
      </c>
      <c r="Q34" s="2" t="inlineStr">
        <is>
          <t>FULL</t>
        </is>
      </c>
      <c r="R34" s="2" t="inlineStr">
        <is>
          <t>FULL</t>
        </is>
      </c>
      <c r="S34" s="2" t="inlineStr">
        <is>
          <t>FULL</t>
        </is>
      </c>
      <c r="T34" s="5">
        <f>IF(P34="FULL",40,IF(P34="PARTIAL",40/2,0))+IF(Q34="FULL",30,IF(Q34="PARTIAL",30/2,0))+IF(R34="FULL",20,IF(R34="PARTIAL",20/2,0))+IF(S34="FULL",10,IF(S34="PARTIAL",10/2,0))</f>
        <v/>
      </c>
      <c r="U34" s="5">
        <f>IF(P34="NOT_CHECKED",0,40)+IF(Q34="NOT_CHECKED",0,30)+IF(R34="NOT_CHECKED",0,20)+IF(S34="NOT_CHECKED",0,10)</f>
        <v/>
      </c>
      <c r="V34" s="5">
        <f>IF(U34=100,T34,"")</f>
        <v/>
      </c>
      <c r="W34" s="5">
        <f>T34</f>
        <v/>
      </c>
      <c r="X34" s="5">
        <f>T34+(100-U34)</f>
        <v/>
      </c>
      <c r="Y34" s="2" t="inlineStr">
        <is>
          <t>[]</t>
        </is>
      </c>
      <c r="Z34" s="2" t="inlineStr">
        <is>
          <t>["seo_runs\\jeminise.com\\20260906_234129\\evidence\\images\\45_custom-tree-of-life-quilt-set-yggdrasil-bedding-019f2b38a4-019f2b38a4\\image_07_47532032360647.jpg; seo_runs\\jeminise.com\\20260906_234129\\evidence\\contact_sheets\\45_custom-tree-of-life-quilt-set-yggdrasil-bedding-019f2b38a4-019f2b38a4.jpg", "https://jeminise.com/products/custom-tree-of-life-quilt-set-yggdrasil-bedding-019f2b38a4-019f2b38a4", "https://cdn.shopify.com/s/files/1/0792/5098/1063/files/7948c621d952c055974f0de2ba56d008b3bc9e871506efc33088690a2042a4b5.jpg?v=1785047557"]</t>
        </is>
      </c>
      <c r="AA34" s="2" t="inlineStr">
        <is>
          <t>r4</t>
        </is>
      </c>
    </row>
    <row r="35" ht="66" customHeight="1">
      <c r="A35" s="3" t="inlineStr">
        <is>
          <t>jeminise.com+custom-tree-of-life-quilt-set-yggdrasil-celtic-patterns-908827b1df-908827b1df</t>
        </is>
      </c>
      <c r="B35" s="3" t="inlineStr">
        <is>
          <t>qaimg_126b8265b10fe755</t>
        </is>
      </c>
      <c r="C35" s="4" t="inlineStr">
        <is>
          <t>https://cdn.shopify.com/s/files/1/0792/5098/1063/files/ce9616f3d6428a4fee0ac30bc9089af78cb0c804e3542ab8b82c6e275e44020d.jpg?v=1785047264</t>
        </is>
      </c>
      <c r="D35" s="4" t="inlineStr">
        <is>
          <t>https://cdn.shopify.com/s/files/1/0792/5098/1063/files/ce9616f3d6428a4fee0ac30bc9089af78cb0c804e3542ab8b82c6e275e44020d.jpg?v=1785047264</t>
        </is>
      </c>
      <c r="E35" s="3" t="inlineStr">
        <is>
          <t>38498665300167</t>
        </is>
      </c>
      <c r="F35" s="3" t="inlineStr">
        <is>
          <t>47531963744455</t>
        </is>
      </c>
      <c r="G35" s="3" t="inlineStr"/>
      <c r="H35" s="3" t="inlineStr">
        <is>
          <t>GALLERY</t>
        </is>
      </c>
      <c r="I35" s="3" t="inlineStr">
        <is>
          <t>DIRECT_ORIGINAL_IMAGE_REQA + R4_MEDIA_ID_COMPARISON</t>
        </is>
      </c>
      <c r="J35" s="3" t="inlineStr">
        <is>
          <t>2026-09-07T22:27:03.014477+07:00</t>
        </is>
      </c>
      <c r="K35" s="3" t="inlineStr">
        <is>
          <t>Front bedroom mockup of a blue Tree of Life quilt with a central eye and moon shapes.</t>
        </is>
      </c>
      <c r="L35" s="3" t="inlineStr">
        <is>
          <t>Main product mockup showing blue fantasy Tree of Life eye quilt.</t>
        </is>
      </c>
      <c r="M35" s="3" t="inlineStr">
        <is>
          <t>Custom Celtic Tree of Life Quilt Set with Fantasy Central Eye Artwork</t>
        </is>
      </c>
      <c r="N35" s="3" t="inlineStr">
        <is>
          <t>SET</t>
        </is>
      </c>
      <c r="O35" s="3" t="inlineStr">
        <is>
          <t>Custom Fantasy Tree of Life Quilt Set product image</t>
        </is>
      </c>
      <c r="P35" s="3" t="inlineStr">
        <is>
          <t>FULL</t>
        </is>
      </c>
      <c r="Q35" s="3" t="inlineStr">
        <is>
          <t>FULL</t>
        </is>
      </c>
      <c r="R35" s="3" t="inlineStr">
        <is>
          <t>FULL</t>
        </is>
      </c>
      <c r="S35" s="3" t="inlineStr">
        <is>
          <t>FULL</t>
        </is>
      </c>
      <c r="T35" s="7">
        <f>IF(P35="FULL",40,IF(P35="PARTIAL",40/2,0))+IF(Q35="FULL",30,IF(Q35="PARTIAL",30/2,0))+IF(R35="FULL",20,IF(R35="PARTIAL",20/2,0))+IF(S35="FULL",10,IF(S35="PARTIAL",10/2,0))</f>
        <v/>
      </c>
      <c r="U35" s="7">
        <f>IF(P35="NOT_CHECKED",0,40)+IF(Q35="NOT_CHECKED",0,30)+IF(R35="NOT_CHECKED",0,20)+IF(S35="NOT_CHECKED",0,10)</f>
        <v/>
      </c>
      <c r="V35" s="7">
        <f>IF(U35=100,T35,"")</f>
        <v/>
      </c>
      <c r="W35" s="7">
        <f>T35</f>
        <v/>
      </c>
      <c r="X35" s="7">
        <f>T35+(100-U35)</f>
        <v/>
      </c>
      <c r="Y35" s="3" t="inlineStr">
        <is>
          <t>[]</t>
        </is>
      </c>
      <c r="Z35" s="3" t="inlineStr">
        <is>
          <t>["seo_runs\\jeminise.com\\20260906_234129\\evidence\\images\\46_custom-tree-of-life-quilt-set-yggdrasil-celtic-patterns-908827b1df-908827b1df\\image_01_47531963744455.jpg; seo_runs\\jeminise.com\\20260906_234129\\evidence\\contact_sheets\\46_custom-tree-of-life-quilt-set-yggdrasil-celtic-patterns-908827b1df-908827b1df.jpg", "https://jeminise.com/products/custom-tree-of-life-quilt-set-yggdrasil-celtic-patterns-908827b1df-908827b1df", "https://cdn.shopify.com/s/files/1/0792/5098/1063/files/ce9616f3d6428a4fee0ac30bc9089af78cb0c804e3542ab8b82c6e275e44020d.jpg?v=1785047264"]</t>
        </is>
      </c>
      <c r="AA35" s="3" t="inlineStr">
        <is>
          <t>r4</t>
        </is>
      </c>
    </row>
    <row r="36" ht="66" customHeight="1">
      <c r="A36" s="2" t="inlineStr">
        <is>
          <t>jeminise.com+custom-tree-of-life-quilt-set-yggdrasil-celtic-patterns-908827b1df-908827b1df</t>
        </is>
      </c>
      <c r="B36" s="2" t="inlineStr">
        <is>
          <t>qaimg_f6f4541f3e43b28d</t>
        </is>
      </c>
      <c r="C36" s="4" t="inlineStr">
        <is>
          <t>https://cdn.shopify.com/s/files/1/0792/5098/1063/files/7d45a55f9c0522d304f763fb5f92835032f8e2f4f4fe7b175bcc8f62cc0778c6.jpg?v=1785047264</t>
        </is>
      </c>
      <c r="D36" s="4" t="inlineStr">
        <is>
          <t>https://cdn.shopify.com/s/files/1/0792/5098/1063/files/7d45a55f9c0522d304f763fb5f92835032f8e2f4f4fe7b175bcc8f62cc0778c6.jpg?v=1785047264</t>
        </is>
      </c>
      <c r="E36" s="2" t="inlineStr">
        <is>
          <t>38498665332935</t>
        </is>
      </c>
      <c r="F36" s="2" t="inlineStr">
        <is>
          <t>47531963777223</t>
        </is>
      </c>
      <c r="G36" s="2" t="inlineStr"/>
      <c r="H36" s="2" t="inlineStr">
        <is>
          <t>GALLERY</t>
        </is>
      </c>
      <c r="I36" s="2" t="inlineStr">
        <is>
          <t>DIRECT_ORIGINAL_IMAGE_REQA + R4_MEDIA_ID_COMPARISON</t>
        </is>
      </c>
      <c r="J36" s="2" t="inlineStr">
        <is>
          <t>2026-09-07T22:27:03.014477+07:00</t>
        </is>
      </c>
      <c r="K36" s="2" t="inlineStr">
        <is>
          <t>Angled bedroom mockup with printed-craft feature callouts.</t>
        </is>
      </c>
      <c r="L36" s="2" t="inlineStr">
        <is>
          <t>Secondary mockup or folded view showing blue fantasy Tree of Life eye quilt.</t>
        </is>
      </c>
      <c r="M36" s="2" t="inlineStr">
        <is>
          <t>Custom Celtic Tree of Life Quilt Set with Fantasy Central Eye Artwork</t>
        </is>
      </c>
      <c r="N36" s="2" t="inlineStr">
        <is>
          <t>SET</t>
        </is>
      </c>
      <c r="O36" s="2" t="inlineStr">
        <is>
          <t>Custom Fantasy Tree of Life Quilt Set product image</t>
        </is>
      </c>
      <c r="P36" s="2" t="inlineStr">
        <is>
          <t>FULL</t>
        </is>
      </c>
      <c r="Q36" s="2" t="inlineStr">
        <is>
          <t>FULL</t>
        </is>
      </c>
      <c r="R36" s="2" t="inlineStr">
        <is>
          <t>FULL</t>
        </is>
      </c>
      <c r="S36" s="2" t="inlineStr">
        <is>
          <t>FULL</t>
        </is>
      </c>
      <c r="T36" s="5">
        <f>IF(P36="FULL",40,IF(P36="PARTIAL",40/2,0))+IF(Q36="FULL",30,IF(Q36="PARTIAL",30/2,0))+IF(R36="FULL",20,IF(R36="PARTIAL",20/2,0))+IF(S36="FULL",10,IF(S36="PARTIAL",10/2,0))</f>
        <v/>
      </c>
      <c r="U36" s="5">
        <f>IF(P36="NOT_CHECKED",0,40)+IF(Q36="NOT_CHECKED",0,30)+IF(R36="NOT_CHECKED",0,20)+IF(S36="NOT_CHECKED",0,10)</f>
        <v/>
      </c>
      <c r="V36" s="5">
        <f>IF(U36=100,T36,"")</f>
        <v/>
      </c>
      <c r="W36" s="5">
        <f>T36</f>
        <v/>
      </c>
      <c r="X36" s="5">
        <f>T36+(100-U36)</f>
        <v/>
      </c>
      <c r="Y36" s="2" t="inlineStr">
        <is>
          <t>[]</t>
        </is>
      </c>
      <c r="Z36" s="2" t="inlineStr">
        <is>
          <t>["seo_runs\\jeminise.com\\20260906_234129\\evidence\\images\\46_custom-tree-of-life-quilt-set-yggdrasil-celtic-patterns-908827b1df-908827b1df\\image_02_47531963777223.jpg; seo_runs\\jeminise.com\\20260906_234129\\evidence\\contact_sheets\\46_custom-tree-of-life-quilt-set-yggdrasil-celtic-patterns-908827b1df-908827b1df.jpg", "https://jeminise.com/products/custom-tree-of-life-quilt-set-yggdrasil-celtic-patterns-908827b1df-908827b1df", "https://cdn.shopify.com/s/files/1/0792/5098/1063/files/7d45a55f9c0522d304f763fb5f92835032f8e2f4f4fe7b175bcc8f62cc0778c6.jpg?v=1785047264"]</t>
        </is>
      </c>
      <c r="AA36" s="2" t="inlineStr">
        <is>
          <t>r4</t>
        </is>
      </c>
    </row>
    <row r="37" ht="66" customHeight="1">
      <c r="A37" s="3" t="inlineStr">
        <is>
          <t>jeminise.com+custom-tree-of-life-quilt-set-yggdrasil-celtic-patterns-908827b1df-908827b1df</t>
        </is>
      </c>
      <c r="B37" s="3" t="inlineStr">
        <is>
          <t>qaimg_b9604fb5ca4c7cba</t>
        </is>
      </c>
      <c r="C37" s="4" t="inlineStr">
        <is>
          <t>https://cdn.shopify.com/s/files/1/0792/5098/1063/files/c6ed8b47b815bfc728e934c22e39642f8d3fde9e3e2990572de7817bad792ef2.jpg?v=1785047264</t>
        </is>
      </c>
      <c r="D37" s="4" t="inlineStr">
        <is>
          <t>https://cdn.shopify.com/s/files/1/0792/5098/1063/files/c6ed8b47b815bfc728e934c22e39642f8d3fde9e3e2990572de7817bad792ef2.jpg?v=1785047264</t>
        </is>
      </c>
      <c r="E37" s="3" t="inlineStr">
        <is>
          <t>38498665365703</t>
        </is>
      </c>
      <c r="F37" s="3" t="inlineStr">
        <is>
          <t>47531963809991</t>
        </is>
      </c>
      <c r="G37" s="3" t="inlineStr"/>
      <c r="H37" s="3" t="inlineStr">
        <is>
          <t>GALLERY</t>
        </is>
      </c>
      <c r="I37" s="3" t="inlineStr">
        <is>
          <t>DIRECT_ORIGINAL_IMAGE_REQA + R4_MEDIA_ID_COMPARISON</t>
        </is>
      </c>
      <c r="J37" s="3" t="inlineStr">
        <is>
          <t>2026-09-07T22:27:03.014477+07:00</t>
        </is>
      </c>
      <c r="K37" s="3" t="inlineStr">
        <is>
          <t>Matching shams and lightweight, soft, anti-pill and anti-static callouts.</t>
        </is>
      </c>
      <c r="L37" s="3" t="inlineStr">
        <is>
          <t>Personalization, feature or lifestyle image connected to blue fantasy Tree of Life eye quilt.</t>
        </is>
      </c>
      <c r="M37" s="3" t="inlineStr">
        <is>
          <t>Custom Celtic Tree of Life Quilt Set with Fantasy Central Eye Artwork</t>
        </is>
      </c>
      <c r="N37" s="3" t="inlineStr">
        <is>
          <t>SET</t>
        </is>
      </c>
      <c r="O37" s="3" t="inlineStr">
        <is>
          <t>Custom Fantasy Tree of Life Quilt Set product image</t>
        </is>
      </c>
      <c r="P37" s="3" t="inlineStr">
        <is>
          <t>FULL</t>
        </is>
      </c>
      <c r="Q37" s="3" t="inlineStr">
        <is>
          <t>FULL</t>
        </is>
      </c>
      <c r="R37" s="3" t="inlineStr">
        <is>
          <t>FULL</t>
        </is>
      </c>
      <c r="S37" s="3" t="inlineStr">
        <is>
          <t>FULL</t>
        </is>
      </c>
      <c r="T37" s="7">
        <f>IF(P37="FULL",40,IF(P37="PARTIAL",40/2,0))+IF(Q37="FULL",30,IF(Q37="PARTIAL",30/2,0))+IF(R37="FULL",20,IF(R37="PARTIAL",20/2,0))+IF(S37="FULL",10,IF(S37="PARTIAL",10/2,0))</f>
        <v/>
      </c>
      <c r="U37" s="7">
        <f>IF(P37="NOT_CHECKED",0,40)+IF(Q37="NOT_CHECKED",0,30)+IF(R37="NOT_CHECKED",0,20)+IF(S37="NOT_CHECKED",0,10)</f>
        <v/>
      </c>
      <c r="V37" s="7">
        <f>IF(U37=100,T37,"")</f>
        <v/>
      </c>
      <c r="W37" s="7">
        <f>T37</f>
        <v/>
      </c>
      <c r="X37" s="7">
        <f>T37+(100-U37)</f>
        <v/>
      </c>
      <c r="Y37" s="3" t="inlineStr">
        <is>
          <t>[]</t>
        </is>
      </c>
      <c r="Z37" s="3" t="inlineStr">
        <is>
          <t>["seo_runs\\jeminise.com\\20260906_234129\\evidence\\images\\46_custom-tree-of-life-quilt-set-yggdrasil-celtic-patterns-908827b1df-908827b1df\\image_03_47531963809991.jpg; seo_runs\\jeminise.com\\20260906_234129\\evidence\\contact_sheets\\46_custom-tree-of-life-quilt-set-yggdrasil-celtic-patterns-908827b1df-908827b1df.jpg", "https://jeminise.com/products/custom-tree-of-life-quilt-set-yggdrasil-celtic-patterns-908827b1df-908827b1df", "https://cdn.shopify.com/s/files/1/0792/5098/1063/files/c6ed8b47b815bfc728e934c22e39642f8d3fde9e3e2990572de7817bad792ef2.jpg?v=1785047264"]</t>
        </is>
      </c>
      <c r="AA37" s="3" t="inlineStr">
        <is>
          <t>r4</t>
        </is>
      </c>
    </row>
    <row r="38" ht="66" customHeight="1">
      <c r="A38" s="2" t="inlineStr">
        <is>
          <t>jeminise.com+custom-tree-of-life-quilt-set-yggdrasil-celtic-patterns-908827b1df-908827b1df</t>
        </is>
      </c>
      <c r="B38" s="2" t="inlineStr">
        <is>
          <t>qaimg_1e3e5a89a957206f</t>
        </is>
      </c>
      <c r="C38" s="4" t="inlineStr">
        <is>
          <t>https://cdn.shopify.com/s/files/1/0792/5098/1063/files/6d2b5003a6fc80ddea86a4386a4e74fcf1be9f6fc7fed2e60b94350e04d826ca.jpg?v=1785047264</t>
        </is>
      </c>
      <c r="D38" s="4" t="inlineStr">
        <is>
          <t>https://cdn.shopify.com/s/files/1/0792/5098/1063/files/6d2b5003a6fc80ddea86a4386a4e74fcf1be9f6fc7fed2e60b94350e04d826ca.jpg?v=1785047264</t>
        </is>
      </c>
      <c r="E38" s="2" t="inlineStr">
        <is>
          <t>38498665398471</t>
        </is>
      </c>
      <c r="F38" s="2" t="inlineStr">
        <is>
          <t>47531963842759</t>
        </is>
      </c>
      <c r="G38" s="2" t="inlineStr"/>
      <c r="H38" s="2" t="inlineStr">
        <is>
          <t>GALLERY</t>
        </is>
      </c>
      <c r="I38" s="2" t="inlineStr">
        <is>
          <t>DIRECT_ORIGINAL_IMAGE_REQA + R4_MEDIA_ID_COMPARISON</t>
        </is>
      </c>
      <c r="J38" s="2" t="inlineStr">
        <is>
          <t>2026-09-07T22:27:03.014477+07:00</t>
        </is>
      </c>
      <c r="K38" s="2" t="inlineStr">
        <is>
          <t>Fabric-feature panel for the printed quilt.</t>
        </is>
      </c>
      <c r="L38" s="2" t="inlineStr">
        <is>
          <t>Close detail, care feature or sizing information for blue fantasy Tree of Life eye quilt.</t>
        </is>
      </c>
      <c r="M38" s="2" t="inlineStr">
        <is>
          <t>Custom Celtic Tree of Life Quilt Set with Fantasy Central Eye Artwork</t>
        </is>
      </c>
      <c r="N38" s="2" t="inlineStr">
        <is>
          <t>SET</t>
        </is>
      </c>
      <c r="O38" s="2" t="inlineStr">
        <is>
          <t>Custom Fantasy Tree of Life Quilt Set product image</t>
        </is>
      </c>
      <c r="P38" s="2" t="inlineStr">
        <is>
          <t>FULL</t>
        </is>
      </c>
      <c r="Q38" s="2" t="inlineStr">
        <is>
          <t>FULL</t>
        </is>
      </c>
      <c r="R38" s="2" t="inlineStr">
        <is>
          <t>FULL</t>
        </is>
      </c>
      <c r="S38" s="2" t="inlineStr">
        <is>
          <t>FULL</t>
        </is>
      </c>
      <c r="T38" s="5">
        <f>IF(P38="FULL",40,IF(P38="PARTIAL",40/2,0))+IF(Q38="FULL",30,IF(Q38="PARTIAL",30/2,0))+IF(R38="FULL",20,IF(R38="PARTIAL",20/2,0))+IF(S38="FULL",10,IF(S38="PARTIAL",10/2,0))</f>
        <v/>
      </c>
      <c r="U38" s="5">
        <f>IF(P38="NOT_CHECKED",0,40)+IF(Q38="NOT_CHECKED",0,30)+IF(R38="NOT_CHECKED",0,20)+IF(S38="NOT_CHECKED",0,10)</f>
        <v/>
      </c>
      <c r="V38" s="5">
        <f>IF(U38=100,T38,"")</f>
        <v/>
      </c>
      <c r="W38" s="5">
        <f>T38</f>
        <v/>
      </c>
      <c r="X38" s="5">
        <f>T38+(100-U38)</f>
        <v/>
      </c>
      <c r="Y38" s="2" t="inlineStr">
        <is>
          <t>[]</t>
        </is>
      </c>
      <c r="Z38" s="2" t="inlineStr">
        <is>
          <t>["seo_runs\\jeminise.com\\20260906_234129\\evidence\\images\\46_custom-tree-of-life-quilt-set-yggdrasil-celtic-patterns-908827b1df-908827b1df\\image_04_47531963842759.jpg; seo_runs\\jeminise.com\\20260906_234129\\evidence\\contact_sheets\\46_custom-tree-of-life-quilt-set-yggdrasil-celtic-patterns-908827b1df-908827b1df.jpg", "https://jeminise.com/products/custom-tree-of-life-quilt-set-yggdrasil-celtic-patterns-908827b1df-908827b1df", "https://cdn.shopify.com/s/files/1/0792/5098/1063/files/6d2b5003a6fc80ddea86a4386a4e74fcf1be9f6fc7fed2e60b94350e04d826ca.jpg?v=1785047264"]</t>
        </is>
      </c>
      <c r="AA38" s="2" t="inlineStr">
        <is>
          <t>r4</t>
        </is>
      </c>
    </row>
    <row r="39" ht="66" customHeight="1">
      <c r="A39" s="3" t="inlineStr">
        <is>
          <t>jeminise.com+custom-tree-of-life-quilt-set-yggdrasil-celtic-patterns-908827b1df-908827b1df</t>
        </is>
      </c>
      <c r="B39" s="3" t="inlineStr">
        <is>
          <t>qaimg_4e3a3ebeab04766a</t>
        </is>
      </c>
      <c r="C39" s="4" t="inlineStr">
        <is>
          <t>https://cdn.shopify.com/s/files/1/0792/5098/1063/files/9df553173cf44732a07c2299a75da0a932b37233f91b327f150d3d908255a7ce.jpg?v=1785047264</t>
        </is>
      </c>
      <c r="D39" s="4" t="inlineStr">
        <is>
          <t>https://cdn.shopify.com/s/files/1/0792/5098/1063/files/9df553173cf44732a07c2299a75da0a932b37233f91b327f150d3d908255a7ce.jpg?v=1785047264</t>
        </is>
      </c>
      <c r="E39" s="3" t="inlineStr">
        <is>
          <t>38498665431239</t>
        </is>
      </c>
      <c r="F39" s="3" t="inlineStr">
        <is>
          <t>47531963875527</t>
        </is>
      </c>
      <c r="G39" s="3" t="inlineStr"/>
      <c r="H39" s="3" t="inlineStr">
        <is>
          <t>GALLERY</t>
        </is>
      </c>
      <c r="I39" s="3" t="inlineStr">
        <is>
          <t>DIRECT_ORIGINAL_IMAGE_REQA + R4_MEDIA_ID_COMPARISON</t>
        </is>
      </c>
      <c r="J39" s="3" t="inlineStr">
        <is>
          <t>2026-09-07T22:27:03.014477+07:00</t>
        </is>
      </c>
      <c r="K39" s="3" t="inlineStr">
        <is>
          <t>Premium quilt-set size chart.</t>
        </is>
      </c>
      <c r="L39" s="3" t="inlineStr">
        <is>
          <t>Material, wash or comfort feature image for blue fantasy Tree of Life eye quilt.</t>
        </is>
      </c>
      <c r="M39" s="3" t="inlineStr">
        <is>
          <t>Custom Celtic Tree of Life Quilt Set with Fantasy Central Eye Artwork</t>
        </is>
      </c>
      <c r="N39" s="3" t="inlineStr">
        <is>
          <t>SET</t>
        </is>
      </c>
      <c r="O39" s="3" t="inlineStr">
        <is>
          <t>Custom Fantasy Tree of Life Quilt Set product image</t>
        </is>
      </c>
      <c r="P39" s="3" t="inlineStr">
        <is>
          <t>FULL</t>
        </is>
      </c>
      <c r="Q39" s="3" t="inlineStr">
        <is>
          <t>FULL</t>
        </is>
      </c>
      <c r="R39" s="3" t="inlineStr">
        <is>
          <t>FULL</t>
        </is>
      </c>
      <c r="S39" s="3" t="inlineStr">
        <is>
          <t>FULL</t>
        </is>
      </c>
      <c r="T39" s="7">
        <f>IF(P39="FULL",40,IF(P39="PARTIAL",40/2,0))+IF(Q39="FULL",30,IF(Q39="PARTIAL",30/2,0))+IF(R39="FULL",20,IF(R39="PARTIAL",20/2,0))+IF(S39="FULL",10,IF(S39="PARTIAL",10/2,0))</f>
        <v/>
      </c>
      <c r="U39" s="7">
        <f>IF(P39="NOT_CHECKED",0,40)+IF(Q39="NOT_CHECKED",0,30)+IF(R39="NOT_CHECKED",0,20)+IF(S39="NOT_CHECKED",0,10)</f>
        <v/>
      </c>
      <c r="V39" s="7">
        <f>IF(U39=100,T39,"")</f>
        <v/>
      </c>
      <c r="W39" s="7">
        <f>T39</f>
        <v/>
      </c>
      <c r="X39" s="7">
        <f>T39+(100-U39)</f>
        <v/>
      </c>
      <c r="Y39" s="3" t="inlineStr">
        <is>
          <t>[]</t>
        </is>
      </c>
      <c r="Z39" s="3" t="inlineStr">
        <is>
          <t>["seo_runs\\jeminise.com\\20260906_234129\\evidence\\images\\46_custom-tree-of-life-quilt-set-yggdrasil-celtic-patterns-908827b1df-908827b1df\\image_05_47531963875527.jpg; seo_runs\\jeminise.com\\20260906_234129\\evidence\\contact_sheets\\46_custom-tree-of-life-quilt-set-yggdrasil-celtic-patterns-908827b1df-908827b1df.jpg", "https://jeminise.com/products/custom-tree-of-life-quilt-set-yggdrasil-celtic-patterns-908827b1df-908827b1df", "https://cdn.shopify.com/s/files/1/0792/5098/1063/files/9df553173cf44732a07c2299a75da0a932b37233f91b327f150d3d908255a7ce.jpg?v=1785047264"]</t>
        </is>
      </c>
      <c r="AA39" s="3" t="inlineStr">
        <is>
          <t>r4</t>
        </is>
      </c>
    </row>
    <row r="40" ht="66" customHeight="1">
      <c r="A40" s="2" t="inlineStr">
        <is>
          <t>jeminise.com+custom-tree-of-life-quilt-set-yggdrasil-celtic-patterns-908827b1df-908827b1df</t>
        </is>
      </c>
      <c r="B40" s="2" t="inlineStr">
        <is>
          <t>qaimg_aac8379039499715</t>
        </is>
      </c>
      <c r="C40" s="4" t="inlineStr">
        <is>
          <t>https://cdn.shopify.com/s/files/1/0792/5098/1063/files/a806849c7fb5a059426d5b97f11d1785bfe5443515c51e73bfbd30e2d5f9a733.jpg?v=1785047264</t>
        </is>
      </c>
      <c r="D40" s="4" t="inlineStr">
        <is>
          <t>https://cdn.shopify.com/s/files/1/0792/5098/1063/files/a806849c7fb5a059426d5b97f11d1785bfe5443515c51e73bfbd30e2d5f9a733.jpg?v=1785047264</t>
        </is>
      </c>
      <c r="E40" s="2" t="inlineStr">
        <is>
          <t>38498665464007</t>
        </is>
      </c>
      <c r="F40" s="2" t="inlineStr">
        <is>
          <t>47531963908295</t>
        </is>
      </c>
      <c r="G40" s="2" t="inlineStr"/>
      <c r="H40" s="2" t="inlineStr">
        <is>
          <t>GALLERY</t>
        </is>
      </c>
      <c r="I40" s="2" t="inlineStr">
        <is>
          <t>DIRECT_ORIGINAL_IMAGE_REQA + R4_MEDIA_ID_COMPARISON</t>
        </is>
      </c>
      <c r="J40" s="2" t="inlineStr">
        <is>
          <t>2026-09-07T22:27:03.014477+07:00</t>
        </is>
      </c>
      <c r="K40" s="2" t="inlineStr">
        <is>
          <t>Material-layer and bedspread-features diagram.</t>
        </is>
      </c>
      <c r="L40" s="2" t="inlineStr">
        <is>
          <t>Size guide, feature panel or additional mockup for blue fantasy Tree of Life eye quilt.</t>
        </is>
      </c>
      <c r="M40" s="2" t="inlineStr">
        <is>
          <t>Custom Celtic Tree of Life Quilt Set with Fantasy Central Eye Artwork</t>
        </is>
      </c>
      <c r="N40" s="2" t="inlineStr">
        <is>
          <t>SET</t>
        </is>
      </c>
      <c r="O40" s="2" t="inlineStr">
        <is>
          <t>Custom Fantasy Tree of Life Quilt Set product image</t>
        </is>
      </c>
      <c r="P40" s="2" t="inlineStr">
        <is>
          <t>FULL</t>
        </is>
      </c>
      <c r="Q40" s="2" t="inlineStr">
        <is>
          <t>FULL</t>
        </is>
      </c>
      <c r="R40" s="2" t="inlineStr">
        <is>
          <t>FULL</t>
        </is>
      </c>
      <c r="S40" s="2" t="inlineStr">
        <is>
          <t>FULL</t>
        </is>
      </c>
      <c r="T40" s="5">
        <f>IF(P40="FULL",40,IF(P40="PARTIAL",40/2,0))+IF(Q40="FULL",30,IF(Q40="PARTIAL",30/2,0))+IF(R40="FULL",20,IF(R40="PARTIAL",20/2,0))+IF(S40="FULL",10,IF(S40="PARTIAL",10/2,0))</f>
        <v/>
      </c>
      <c r="U40" s="5">
        <f>IF(P40="NOT_CHECKED",0,40)+IF(Q40="NOT_CHECKED",0,30)+IF(R40="NOT_CHECKED",0,20)+IF(S40="NOT_CHECKED",0,10)</f>
        <v/>
      </c>
      <c r="V40" s="5">
        <f>IF(U40=100,T40,"")</f>
        <v/>
      </c>
      <c r="W40" s="5">
        <f>T40</f>
        <v/>
      </c>
      <c r="X40" s="5">
        <f>T40+(100-U40)</f>
        <v/>
      </c>
      <c r="Y40" s="2" t="inlineStr">
        <is>
          <t>[]</t>
        </is>
      </c>
      <c r="Z40" s="2" t="inlineStr">
        <is>
          <t>["seo_runs\\jeminise.com\\20260906_234129\\evidence\\images\\46_custom-tree-of-life-quilt-set-yggdrasil-celtic-patterns-908827b1df-908827b1df\\image_06_47531963908295.jpg; seo_runs\\jeminise.com\\20260906_234129\\evidence\\contact_sheets\\46_custom-tree-of-life-quilt-set-yggdrasil-celtic-patterns-908827b1df-908827b1df.jpg", "https://jeminise.com/products/custom-tree-of-life-quilt-set-yggdrasil-celtic-patterns-908827b1df-908827b1df", "https://cdn.shopify.com/s/files/1/0792/5098/1063/files/a806849c7fb5a059426d5b97f11d1785bfe5443515c51e73bfbd30e2d5f9a733.jpg?v=1785047264"]</t>
        </is>
      </c>
      <c r="AA40" s="2" t="inlineStr">
        <is>
          <t>r4</t>
        </is>
      </c>
    </row>
    <row r="41" ht="66" customHeight="1">
      <c r="A41" s="3" t="inlineStr">
        <is>
          <t>jeminise.com+custom-tree-of-life-quilt-set-yggdrasil-celtic-patterns-908827b1df-908827b1df</t>
        </is>
      </c>
      <c r="B41" s="3" t="inlineStr">
        <is>
          <t>qaimg_694022f10eeecb60</t>
        </is>
      </c>
      <c r="C41" s="4" t="inlineStr">
        <is>
          <t>https://cdn.shopify.com/s/files/1/0792/5098/1063/files/7dd047a99d8f7c8aa39a81d2607f619ba4712708b8b0cadc387a608ca589b418.jpg?v=1785047264</t>
        </is>
      </c>
      <c r="D41" s="4" t="inlineStr">
        <is>
          <t>https://cdn.shopify.com/s/files/1/0792/5098/1063/files/7dd047a99d8f7c8aa39a81d2607f619ba4712708b8b0cadc387a608ca589b418.jpg?v=1785047264</t>
        </is>
      </c>
      <c r="E41" s="3" t="inlineStr">
        <is>
          <t>38498665496775</t>
        </is>
      </c>
      <c r="F41" s="3" t="inlineStr">
        <is>
          <t>47531963941063</t>
        </is>
      </c>
      <c r="G41" s="3" t="inlineStr"/>
      <c r="H41" s="3" t="inlineStr">
        <is>
          <t>GALLERY</t>
        </is>
      </c>
      <c r="I41" s="3" t="inlineStr">
        <is>
          <t>DIRECT_ORIGINAL_IMAGE_REQA + R4_MEDIA_ID_COMPARISON</t>
        </is>
      </c>
      <c r="J41" s="3" t="inlineStr">
        <is>
          <t>2026-09-07T22:27:03.014477+07:00</t>
        </is>
      </c>
      <c r="K41" s="3" t="inlineStr">
        <is>
          <t>Overhead bedroom mockup of the blue Tree of Life eye quilt.</t>
        </is>
      </c>
      <c r="L41" s="3" t="inlineStr">
        <is>
          <t>Additional lifestyle, feature or product detail image showing blue fantasy Tree of Life eye quilt.</t>
        </is>
      </c>
      <c r="M41" s="3" t="inlineStr">
        <is>
          <t>Custom Celtic Tree of Life Quilt Set with Fantasy Central Eye Artwork</t>
        </is>
      </c>
      <c r="N41" s="3" t="inlineStr">
        <is>
          <t>SET</t>
        </is>
      </c>
      <c r="O41" s="3" t="inlineStr">
        <is>
          <t>Custom Fantasy Tree of Life Quilt Set product image</t>
        </is>
      </c>
      <c r="P41" s="3" t="inlineStr">
        <is>
          <t>FULL</t>
        </is>
      </c>
      <c r="Q41" s="3" t="inlineStr">
        <is>
          <t>FULL</t>
        </is>
      </c>
      <c r="R41" s="3" t="inlineStr">
        <is>
          <t>FULL</t>
        </is>
      </c>
      <c r="S41" s="3" t="inlineStr">
        <is>
          <t>FULL</t>
        </is>
      </c>
      <c r="T41" s="7">
        <f>IF(P41="FULL",40,IF(P41="PARTIAL",40/2,0))+IF(Q41="FULL",30,IF(Q41="PARTIAL",30/2,0))+IF(R41="FULL",20,IF(R41="PARTIAL",20/2,0))+IF(S41="FULL",10,IF(S41="PARTIAL",10/2,0))</f>
        <v/>
      </c>
      <c r="U41" s="7">
        <f>IF(P41="NOT_CHECKED",0,40)+IF(Q41="NOT_CHECKED",0,30)+IF(R41="NOT_CHECKED",0,20)+IF(S41="NOT_CHECKED",0,10)</f>
        <v/>
      </c>
      <c r="V41" s="7">
        <f>IF(U41=100,T41,"")</f>
        <v/>
      </c>
      <c r="W41" s="7">
        <f>T41</f>
        <v/>
      </c>
      <c r="X41" s="7">
        <f>T41+(100-U41)</f>
        <v/>
      </c>
      <c r="Y41" s="3" t="inlineStr">
        <is>
          <t>[]</t>
        </is>
      </c>
      <c r="Z41" s="3" t="inlineStr">
        <is>
          <t>["seo_runs\\jeminise.com\\20260906_234129\\evidence\\images\\46_custom-tree-of-life-quilt-set-yggdrasil-celtic-patterns-908827b1df-908827b1df\\image_07_47531963941063.jpg; seo_runs\\jeminise.com\\20260906_234129\\evidence\\contact_sheets\\46_custom-tree-of-life-quilt-set-yggdrasil-celtic-patterns-908827b1df-908827b1df.jpg", "https://jeminise.com/products/custom-tree-of-life-quilt-set-yggdrasil-celtic-patterns-908827b1df-908827b1df", "https://cdn.shopify.com/s/files/1/0792/5098/1063/files/7dd047a99d8f7c8aa39a81d2607f619ba4712708b8b0cadc387a608ca589b418.jpg?v=1785047264"]</t>
        </is>
      </c>
      <c r="AA41" s="3" t="inlineStr">
        <is>
          <t>r4</t>
        </is>
      </c>
    </row>
    <row r="42" ht="66" customHeight="1">
      <c r="A42" s="2" t="inlineStr">
        <is>
          <t>jeminise.com+custom-tree-of-life-quilt-set-yggdrasil-bedding-5048da8f29-5048da8f29</t>
        </is>
      </c>
      <c r="B42" s="2" t="inlineStr">
        <is>
          <t>qaimg_94cef66c1e61f718</t>
        </is>
      </c>
      <c r="C42" s="4" t="inlineStr">
        <is>
          <t>https://cdn.shopify.com/s/files/1/0792/5098/1063/files/8eae218010f8b5ffed66786a7651624283523e9769645b4a4bbf1b2d94796559.jpg?v=1785047476</t>
        </is>
      </c>
      <c r="D42" s="4" t="inlineStr">
        <is>
          <t>https://cdn.shopify.com/s/files/1/0792/5098/1063/files/8eae218010f8b5ffed66786a7651624283523e9769645b4a4bbf1b2d94796559.jpg?v=1785047476</t>
        </is>
      </c>
      <c r="E42" s="2" t="inlineStr">
        <is>
          <t>38498726150343</t>
        </is>
      </c>
      <c r="F42" s="2" t="inlineStr">
        <is>
          <t>47532028002503</t>
        </is>
      </c>
      <c r="G42" s="2" t="inlineStr"/>
      <c r="H42" s="2" t="inlineStr">
        <is>
          <t>GALLERY</t>
        </is>
      </c>
      <c r="I42" s="2" t="inlineStr">
        <is>
          <t>DIRECT_ORIGINAL_IMAGE_REQA + R4_MEDIA_ID_COMPARISON</t>
        </is>
      </c>
      <c r="J42" s="2" t="inlineStr">
        <is>
          <t>2026-09-07T22:27:03.014477+07:00</t>
        </is>
      </c>
      <c r="K42" s="2" t="inlineStr">
        <is>
          <t>Front bedroom mockup of a green-and-gold Celtic Tree of Life quilt with intertwined roots.</t>
        </is>
      </c>
      <c r="L42" s="2" t="inlineStr">
        <is>
          <t>Main product mockup showing Celtic Yggdrasil roots quilt.</t>
        </is>
      </c>
      <c r="M42" s="2" t="inlineStr">
        <is>
          <t>Custom Celtic Tree of Life Quilt Set with Intertwined Roots Design</t>
        </is>
      </c>
      <c r="N42" s="2" t="inlineStr">
        <is>
          <t>SET</t>
        </is>
      </c>
      <c r="O42" s="2" t="inlineStr">
        <is>
          <t>Custom Celtic Yggdrasil Tree of Life Quilt Set product image</t>
        </is>
      </c>
      <c r="P42" s="2" t="inlineStr">
        <is>
          <t>FULL</t>
        </is>
      </c>
      <c r="Q42" s="2" t="inlineStr">
        <is>
          <t>FULL</t>
        </is>
      </c>
      <c r="R42" s="2" t="inlineStr">
        <is>
          <t>FULL</t>
        </is>
      </c>
      <c r="S42" s="2" t="inlineStr">
        <is>
          <t>FULL</t>
        </is>
      </c>
      <c r="T42" s="5">
        <f>IF(P42="FULL",40,IF(P42="PARTIAL",40/2,0))+IF(Q42="FULL",30,IF(Q42="PARTIAL",30/2,0))+IF(R42="FULL",20,IF(R42="PARTIAL",20/2,0))+IF(S42="FULL",10,IF(S42="PARTIAL",10/2,0))</f>
        <v/>
      </c>
      <c r="U42" s="5">
        <f>IF(P42="NOT_CHECKED",0,40)+IF(Q42="NOT_CHECKED",0,30)+IF(R42="NOT_CHECKED",0,20)+IF(S42="NOT_CHECKED",0,10)</f>
        <v/>
      </c>
      <c r="V42" s="5">
        <f>IF(U42=100,T42,"")</f>
        <v/>
      </c>
      <c r="W42" s="5">
        <f>T42</f>
        <v/>
      </c>
      <c r="X42" s="5">
        <f>T42+(100-U42)</f>
        <v/>
      </c>
      <c r="Y42" s="2" t="inlineStr">
        <is>
          <t>[]</t>
        </is>
      </c>
      <c r="Z42" s="2" t="inlineStr">
        <is>
          <t>["seo_runs\\jeminise.com\\20260906_234129\\evidence\\images\\47_custom-tree-of-life-quilt-set-yggdrasil-bedding-5048da8f29-5048da8f29\\image_01_47532028002503.jpg; seo_runs\\jeminise.com\\20260906_234129\\evidence\\contact_sheets\\47_custom-tree-of-life-quilt-set-yggdrasil-bedding-5048da8f29-5048da8f29.jpg", "https://jeminise.com/products/custom-tree-of-life-quilt-set-yggdrasil-bedding-5048da8f29-5048da8f29", "https://cdn.shopify.com/s/files/1/0792/5098/1063/files/8eae218010f8b5ffed66786a7651624283523e9769645b4a4bbf1b2d94796559.jpg?v=1785047476"]</t>
        </is>
      </c>
      <c r="AA42" s="2" t="inlineStr">
        <is>
          <t>r4</t>
        </is>
      </c>
    </row>
    <row r="43" ht="66" customHeight="1">
      <c r="A43" s="3" t="inlineStr">
        <is>
          <t>jeminise.com+custom-tree-of-life-quilt-set-yggdrasil-bedding-5048da8f29-5048da8f29</t>
        </is>
      </c>
      <c r="B43" s="3" t="inlineStr">
        <is>
          <t>qaimg_1a581e3993022302</t>
        </is>
      </c>
      <c r="C43" s="4" t="inlineStr">
        <is>
          <t>https://cdn.shopify.com/s/files/1/0792/5098/1063/files/ad92f598846900668a8aff35985bf8c9c1634d7180e9f0f2da22234ec9715a71.jpg?v=1785047476</t>
        </is>
      </c>
      <c r="D43" s="4" t="inlineStr">
        <is>
          <t>https://cdn.shopify.com/s/files/1/0792/5098/1063/files/ad92f598846900668a8aff35985bf8c9c1634d7180e9f0f2da22234ec9715a71.jpg?v=1785047476</t>
        </is>
      </c>
      <c r="E43" s="3" t="inlineStr">
        <is>
          <t>38498726183111</t>
        </is>
      </c>
      <c r="F43" s="3" t="inlineStr">
        <is>
          <t>47532028035271</t>
        </is>
      </c>
      <c r="G43" s="3" t="inlineStr"/>
      <c r="H43" s="3" t="inlineStr">
        <is>
          <t>GALLERY</t>
        </is>
      </c>
      <c r="I43" s="3" t="inlineStr">
        <is>
          <t>DIRECT_ORIGINAL_IMAGE_REQA + R4_MEDIA_ID_COMPARISON</t>
        </is>
      </c>
      <c r="J43" s="3" t="inlineStr">
        <is>
          <t>2026-09-07T22:27:03.014477+07:00</t>
        </is>
      </c>
      <c r="K43" s="3" t="inlineStr">
        <is>
          <t>Angled bedroom mockup with printed-craft feature callouts.</t>
        </is>
      </c>
      <c r="L43" s="3" t="inlineStr">
        <is>
          <t>Secondary mockup or folded view showing Celtic Yggdrasil roots quilt.</t>
        </is>
      </c>
      <c r="M43" s="3" t="inlineStr">
        <is>
          <t>Custom Celtic Tree of Life Quilt Set with Intertwined Roots Design</t>
        </is>
      </c>
      <c r="N43" s="3" t="inlineStr">
        <is>
          <t>SET</t>
        </is>
      </c>
      <c r="O43" s="3" t="inlineStr">
        <is>
          <t>Custom Celtic Yggdrasil Tree of Life Quilt Set product image</t>
        </is>
      </c>
      <c r="P43" s="3" t="inlineStr">
        <is>
          <t>FULL</t>
        </is>
      </c>
      <c r="Q43" s="3" t="inlineStr">
        <is>
          <t>FULL</t>
        </is>
      </c>
      <c r="R43" s="3" t="inlineStr">
        <is>
          <t>FULL</t>
        </is>
      </c>
      <c r="S43" s="3" t="inlineStr">
        <is>
          <t>FULL</t>
        </is>
      </c>
      <c r="T43" s="7">
        <f>IF(P43="FULL",40,IF(P43="PARTIAL",40/2,0))+IF(Q43="FULL",30,IF(Q43="PARTIAL",30/2,0))+IF(R43="FULL",20,IF(R43="PARTIAL",20/2,0))+IF(S43="FULL",10,IF(S43="PARTIAL",10/2,0))</f>
        <v/>
      </c>
      <c r="U43" s="7">
        <f>IF(P43="NOT_CHECKED",0,40)+IF(Q43="NOT_CHECKED",0,30)+IF(R43="NOT_CHECKED",0,20)+IF(S43="NOT_CHECKED",0,10)</f>
        <v/>
      </c>
      <c r="V43" s="7">
        <f>IF(U43=100,T43,"")</f>
        <v/>
      </c>
      <c r="W43" s="7">
        <f>T43</f>
        <v/>
      </c>
      <c r="X43" s="7">
        <f>T43+(100-U43)</f>
        <v/>
      </c>
      <c r="Y43" s="3" t="inlineStr">
        <is>
          <t>[]</t>
        </is>
      </c>
      <c r="Z43" s="3" t="inlineStr">
        <is>
          <t>["seo_runs\\jeminise.com\\20260906_234129\\evidence\\images\\47_custom-tree-of-life-quilt-set-yggdrasil-bedding-5048da8f29-5048da8f29\\image_02_47532028035271.jpg; seo_runs\\jeminise.com\\20260906_234129\\evidence\\contact_sheets\\47_custom-tree-of-life-quilt-set-yggdrasil-bedding-5048da8f29-5048da8f29.jpg", "https://jeminise.com/products/custom-tree-of-life-quilt-set-yggdrasil-bedding-5048da8f29-5048da8f29", "https://cdn.shopify.com/s/files/1/0792/5098/1063/files/ad92f598846900668a8aff35985bf8c9c1634d7180e9f0f2da22234ec9715a71.jpg?v=1785047476"]</t>
        </is>
      </c>
      <c r="AA43" s="3" t="inlineStr">
        <is>
          <t>r4</t>
        </is>
      </c>
    </row>
    <row r="44" ht="66" customHeight="1">
      <c r="A44" s="2" t="inlineStr">
        <is>
          <t>jeminise.com+custom-tree-of-life-quilt-set-yggdrasil-bedding-5048da8f29-5048da8f29</t>
        </is>
      </c>
      <c r="B44" s="2" t="inlineStr">
        <is>
          <t>qaimg_1156db811840e905</t>
        </is>
      </c>
      <c r="C44" s="4" t="inlineStr">
        <is>
          <t>https://cdn.shopify.com/s/files/1/0792/5098/1063/files/54f9b43ce306fcf609bd0083f1034d2a5cf824fe8c54918b0920e528f6429d22.jpg?v=1785047476</t>
        </is>
      </c>
      <c r="D44" s="4" t="inlineStr">
        <is>
          <t>https://cdn.shopify.com/s/files/1/0792/5098/1063/files/54f9b43ce306fcf609bd0083f1034d2a5cf824fe8c54918b0920e528f6429d22.jpg?v=1785047476</t>
        </is>
      </c>
      <c r="E44" s="2" t="inlineStr">
        <is>
          <t>38498726215879</t>
        </is>
      </c>
      <c r="F44" s="2" t="inlineStr">
        <is>
          <t>47532028068039</t>
        </is>
      </c>
      <c r="G44" s="2" t="inlineStr"/>
      <c r="H44" s="2" t="inlineStr">
        <is>
          <t>GALLERY</t>
        </is>
      </c>
      <c r="I44" s="2" t="inlineStr">
        <is>
          <t>DIRECT_ORIGINAL_IMAGE_REQA + R4_MEDIA_ID_COMPARISON</t>
        </is>
      </c>
      <c r="J44" s="2" t="inlineStr">
        <is>
          <t>2026-09-07T22:27:03.014477+07:00</t>
        </is>
      </c>
      <c r="K44" s="2" t="inlineStr">
        <is>
          <t>Matching shams and lightweight, soft, anti-pill and anti-static callouts.</t>
        </is>
      </c>
      <c r="L44" s="2" t="inlineStr">
        <is>
          <t>Personalization, feature or lifestyle image connected to Celtic Yggdrasil roots quilt.</t>
        </is>
      </c>
      <c r="M44" s="2" t="inlineStr">
        <is>
          <t>Custom Celtic Tree of Life Quilt Set with Intertwined Roots Design</t>
        </is>
      </c>
      <c r="N44" s="2" t="inlineStr">
        <is>
          <t>SET</t>
        </is>
      </c>
      <c r="O44" s="2" t="inlineStr">
        <is>
          <t>Custom Celtic Yggdrasil Tree of Life Quilt Set product image</t>
        </is>
      </c>
      <c r="P44" s="2" t="inlineStr">
        <is>
          <t>FULL</t>
        </is>
      </c>
      <c r="Q44" s="2" t="inlineStr">
        <is>
          <t>FULL</t>
        </is>
      </c>
      <c r="R44" s="2" t="inlineStr">
        <is>
          <t>FULL</t>
        </is>
      </c>
      <c r="S44" s="2" t="inlineStr">
        <is>
          <t>FULL</t>
        </is>
      </c>
      <c r="T44" s="5">
        <f>IF(P44="FULL",40,IF(P44="PARTIAL",40/2,0))+IF(Q44="FULL",30,IF(Q44="PARTIAL",30/2,0))+IF(R44="FULL",20,IF(R44="PARTIAL",20/2,0))+IF(S44="FULL",10,IF(S44="PARTIAL",10/2,0))</f>
        <v/>
      </c>
      <c r="U44" s="5">
        <f>IF(P44="NOT_CHECKED",0,40)+IF(Q44="NOT_CHECKED",0,30)+IF(R44="NOT_CHECKED",0,20)+IF(S44="NOT_CHECKED",0,10)</f>
        <v/>
      </c>
      <c r="V44" s="5">
        <f>IF(U44=100,T44,"")</f>
        <v/>
      </c>
      <c r="W44" s="5">
        <f>T44</f>
        <v/>
      </c>
      <c r="X44" s="5">
        <f>T44+(100-U44)</f>
        <v/>
      </c>
      <c r="Y44" s="2" t="inlineStr">
        <is>
          <t>[]</t>
        </is>
      </c>
      <c r="Z44" s="2" t="inlineStr">
        <is>
          <t>["seo_runs\\jeminise.com\\20260906_234129\\evidence\\images\\47_custom-tree-of-life-quilt-set-yggdrasil-bedding-5048da8f29-5048da8f29\\image_03_47532028068039.jpg; seo_runs\\jeminise.com\\20260906_234129\\evidence\\contact_sheets\\47_custom-tree-of-life-quilt-set-yggdrasil-bedding-5048da8f29-5048da8f29.jpg", "https://jeminise.com/products/custom-tree-of-life-quilt-set-yggdrasil-bedding-5048da8f29-5048da8f29", "https://cdn.shopify.com/s/files/1/0792/5098/1063/files/54f9b43ce306fcf609bd0083f1034d2a5cf824fe8c54918b0920e528f6429d22.jpg?v=1785047476"]</t>
        </is>
      </c>
      <c r="AA44" s="2" t="inlineStr">
        <is>
          <t>r4</t>
        </is>
      </c>
    </row>
    <row r="45" ht="66" customHeight="1">
      <c r="A45" s="3" t="inlineStr">
        <is>
          <t>jeminise.com+custom-tree-of-life-quilt-set-yggdrasil-bedding-5048da8f29-5048da8f29</t>
        </is>
      </c>
      <c r="B45" s="3" t="inlineStr">
        <is>
          <t>qaimg_e73a2d554689f585</t>
        </is>
      </c>
      <c r="C45" s="4" t="inlineStr">
        <is>
          <t>https://cdn.shopify.com/s/files/1/0792/5098/1063/files/cbb5eaa7a64e0c0ee72ebf3fe6eabdcb912a4966b6e922777ef53ec8926d2a65.jpg?v=1785047476</t>
        </is>
      </c>
      <c r="D45" s="4" t="inlineStr">
        <is>
          <t>https://cdn.shopify.com/s/files/1/0792/5098/1063/files/cbb5eaa7a64e0c0ee72ebf3fe6eabdcb912a4966b6e922777ef53ec8926d2a65.jpg?v=1785047476</t>
        </is>
      </c>
      <c r="E45" s="3" t="inlineStr">
        <is>
          <t>38498726248647</t>
        </is>
      </c>
      <c r="F45" s="3" t="inlineStr">
        <is>
          <t>47532028100807</t>
        </is>
      </c>
      <c r="G45" s="3" t="inlineStr"/>
      <c r="H45" s="3" t="inlineStr">
        <is>
          <t>GALLERY</t>
        </is>
      </c>
      <c r="I45" s="3" t="inlineStr">
        <is>
          <t>DIRECT_ORIGINAL_IMAGE_REQA + R4_MEDIA_ID_COMPARISON</t>
        </is>
      </c>
      <c r="J45" s="3" t="inlineStr">
        <is>
          <t>2026-09-07T22:27:03.014477+07:00</t>
        </is>
      </c>
      <c r="K45" s="3" t="inlineStr">
        <is>
          <t>Fabric-feature panel for the printed quilt.</t>
        </is>
      </c>
      <c r="L45" s="3" t="inlineStr">
        <is>
          <t>Close detail, care feature or sizing information for Celtic Yggdrasil roots quilt.</t>
        </is>
      </c>
      <c r="M45" s="3" t="inlineStr">
        <is>
          <t>Custom Celtic Tree of Life Quilt Set with Intertwined Roots Design</t>
        </is>
      </c>
      <c r="N45" s="3" t="inlineStr">
        <is>
          <t>SET</t>
        </is>
      </c>
      <c r="O45" s="3" t="inlineStr">
        <is>
          <t>Custom Celtic Yggdrasil Tree of Life Quilt Set product image</t>
        </is>
      </c>
      <c r="P45" s="3" t="inlineStr">
        <is>
          <t>FULL</t>
        </is>
      </c>
      <c r="Q45" s="3" t="inlineStr">
        <is>
          <t>FULL</t>
        </is>
      </c>
      <c r="R45" s="3" t="inlineStr">
        <is>
          <t>FULL</t>
        </is>
      </c>
      <c r="S45" s="3" t="inlineStr">
        <is>
          <t>FULL</t>
        </is>
      </c>
      <c r="T45" s="7">
        <f>IF(P45="FULL",40,IF(P45="PARTIAL",40/2,0))+IF(Q45="FULL",30,IF(Q45="PARTIAL",30/2,0))+IF(R45="FULL",20,IF(R45="PARTIAL",20/2,0))+IF(S45="FULL",10,IF(S45="PARTIAL",10/2,0))</f>
        <v/>
      </c>
      <c r="U45" s="7">
        <f>IF(P45="NOT_CHECKED",0,40)+IF(Q45="NOT_CHECKED",0,30)+IF(R45="NOT_CHECKED",0,20)+IF(S45="NOT_CHECKED",0,10)</f>
        <v/>
      </c>
      <c r="V45" s="7">
        <f>IF(U45=100,T45,"")</f>
        <v/>
      </c>
      <c r="W45" s="7">
        <f>T45</f>
        <v/>
      </c>
      <c r="X45" s="7">
        <f>T45+(100-U45)</f>
        <v/>
      </c>
      <c r="Y45" s="3" t="inlineStr">
        <is>
          <t>[]</t>
        </is>
      </c>
      <c r="Z45" s="3" t="inlineStr">
        <is>
          <t>["seo_runs\\jeminise.com\\20260906_234129\\evidence\\images\\47_custom-tree-of-life-quilt-set-yggdrasil-bedding-5048da8f29-5048da8f29\\image_04_47532028100807.jpg; seo_runs\\jeminise.com\\20260906_234129\\evidence\\contact_sheets\\47_custom-tree-of-life-quilt-set-yggdrasil-bedding-5048da8f29-5048da8f29.jpg", "https://jeminise.com/products/custom-tree-of-life-quilt-set-yggdrasil-bedding-5048da8f29-5048da8f29", "https://cdn.shopify.com/s/files/1/0792/5098/1063/files/cbb5eaa7a64e0c0ee72ebf3fe6eabdcb912a4966b6e922777ef53ec8926d2a65.jpg?v=1785047476"]</t>
        </is>
      </c>
      <c r="AA45" s="3" t="inlineStr">
        <is>
          <t>r4</t>
        </is>
      </c>
    </row>
    <row r="46" ht="66" customHeight="1">
      <c r="A46" s="2" t="inlineStr">
        <is>
          <t>jeminise.com+custom-tree-of-life-quilt-set-yggdrasil-bedding-5048da8f29-5048da8f29</t>
        </is>
      </c>
      <c r="B46" s="2" t="inlineStr">
        <is>
          <t>qaimg_63a67ee778747a7f</t>
        </is>
      </c>
      <c r="C46" s="4" t="inlineStr">
        <is>
          <t>https://cdn.shopify.com/s/files/1/0792/5098/1063/files/294e6f3540a182ae28865f018fe4286351462712d9310bf6da6e8e405e6c0b6b.jpg?v=1785047476</t>
        </is>
      </c>
      <c r="D46" s="4" t="inlineStr">
        <is>
          <t>https://cdn.shopify.com/s/files/1/0792/5098/1063/files/294e6f3540a182ae28865f018fe4286351462712d9310bf6da6e8e405e6c0b6b.jpg?v=1785047476</t>
        </is>
      </c>
      <c r="E46" s="2" t="inlineStr">
        <is>
          <t>38498726281415</t>
        </is>
      </c>
      <c r="F46" s="2" t="inlineStr">
        <is>
          <t>47532028133575</t>
        </is>
      </c>
      <c r="G46" s="2" t="inlineStr"/>
      <c r="H46" s="2" t="inlineStr">
        <is>
          <t>GALLERY</t>
        </is>
      </c>
      <c r="I46" s="2" t="inlineStr">
        <is>
          <t>DIRECT_ORIGINAL_IMAGE_REQA + R4_MEDIA_ID_COMPARISON</t>
        </is>
      </c>
      <c r="J46" s="2" t="inlineStr">
        <is>
          <t>2026-09-07T22:27:03.014477+07:00</t>
        </is>
      </c>
      <c r="K46" s="2" t="inlineStr">
        <is>
          <t>Premium quilt-set size chart.</t>
        </is>
      </c>
      <c r="L46" s="2" t="inlineStr">
        <is>
          <t>Material, wash or comfort feature image for Celtic Yggdrasil roots quilt.</t>
        </is>
      </c>
      <c r="M46" s="2" t="inlineStr">
        <is>
          <t>Custom Celtic Tree of Life Quilt Set with Intertwined Roots Design</t>
        </is>
      </c>
      <c r="N46" s="2" t="inlineStr">
        <is>
          <t>SET</t>
        </is>
      </c>
      <c r="O46" s="2" t="inlineStr">
        <is>
          <t>Custom Celtic Yggdrasil Tree of Life Quilt Set product image</t>
        </is>
      </c>
      <c r="P46" s="2" t="inlineStr">
        <is>
          <t>FULL</t>
        </is>
      </c>
      <c r="Q46" s="2" t="inlineStr">
        <is>
          <t>FULL</t>
        </is>
      </c>
      <c r="R46" s="2" t="inlineStr">
        <is>
          <t>FULL</t>
        </is>
      </c>
      <c r="S46" s="2" t="inlineStr">
        <is>
          <t>FULL</t>
        </is>
      </c>
      <c r="T46" s="5">
        <f>IF(P46="FULL",40,IF(P46="PARTIAL",40/2,0))+IF(Q46="FULL",30,IF(Q46="PARTIAL",30/2,0))+IF(R46="FULL",20,IF(R46="PARTIAL",20/2,0))+IF(S46="FULL",10,IF(S46="PARTIAL",10/2,0))</f>
        <v/>
      </c>
      <c r="U46" s="5">
        <f>IF(P46="NOT_CHECKED",0,40)+IF(Q46="NOT_CHECKED",0,30)+IF(R46="NOT_CHECKED",0,20)+IF(S46="NOT_CHECKED",0,10)</f>
        <v/>
      </c>
      <c r="V46" s="5">
        <f>IF(U46=100,T46,"")</f>
        <v/>
      </c>
      <c r="W46" s="5">
        <f>T46</f>
        <v/>
      </c>
      <c r="X46" s="5">
        <f>T46+(100-U46)</f>
        <v/>
      </c>
      <c r="Y46" s="2" t="inlineStr">
        <is>
          <t>[]</t>
        </is>
      </c>
      <c r="Z46" s="2" t="inlineStr">
        <is>
          <t>["seo_runs\\jeminise.com\\20260906_234129\\evidence\\images\\47_custom-tree-of-life-quilt-set-yggdrasil-bedding-5048da8f29-5048da8f29\\image_05_47532028133575.jpg; seo_runs\\jeminise.com\\20260906_234129\\evidence\\contact_sheets\\47_custom-tree-of-life-quilt-set-yggdrasil-bedding-5048da8f29-5048da8f29.jpg", "https://jeminise.com/products/custom-tree-of-life-quilt-set-yggdrasil-bedding-5048da8f29-5048da8f29", "https://cdn.shopify.com/s/files/1/0792/5098/1063/files/294e6f3540a182ae28865f018fe4286351462712d9310bf6da6e8e405e6c0b6b.jpg?v=1785047476"]</t>
        </is>
      </c>
      <c r="AA46" s="2" t="inlineStr">
        <is>
          <t>r4</t>
        </is>
      </c>
    </row>
    <row r="47" ht="66" customHeight="1">
      <c r="A47" s="3" t="inlineStr">
        <is>
          <t>jeminise.com+custom-tree-of-life-quilt-set-yggdrasil-bedding-5048da8f29-5048da8f29</t>
        </is>
      </c>
      <c r="B47" s="3" t="inlineStr">
        <is>
          <t>qaimg_9df09935fdc6ee4e</t>
        </is>
      </c>
      <c r="C47" s="4" t="inlineStr">
        <is>
          <t>https://cdn.shopify.com/s/files/1/0792/5098/1063/files/534cc16bf237b5301f37f7fb37613e21872f96af800f3ce795de5bf92dcbe3e4.jpg?v=1785047476</t>
        </is>
      </c>
      <c r="D47" s="4" t="inlineStr">
        <is>
          <t>https://cdn.shopify.com/s/files/1/0792/5098/1063/files/534cc16bf237b5301f37f7fb37613e21872f96af800f3ce795de5bf92dcbe3e4.jpg?v=1785047476</t>
        </is>
      </c>
      <c r="E47" s="3" t="inlineStr">
        <is>
          <t>38498726314183</t>
        </is>
      </c>
      <c r="F47" s="3" t="inlineStr">
        <is>
          <t>47532028166343</t>
        </is>
      </c>
      <c r="G47" s="3" t="inlineStr"/>
      <c r="H47" s="3" t="inlineStr">
        <is>
          <t>GALLERY</t>
        </is>
      </c>
      <c r="I47" s="3" t="inlineStr">
        <is>
          <t>DIRECT_ORIGINAL_IMAGE_REQA + R4_MEDIA_ID_COMPARISON</t>
        </is>
      </c>
      <c r="J47" s="3" t="inlineStr">
        <is>
          <t>2026-09-07T22:27:03.014477+07:00</t>
        </is>
      </c>
      <c r="K47" s="3" t="inlineStr">
        <is>
          <t>Material-layer and bedspread-features diagram.</t>
        </is>
      </c>
      <c r="L47" s="3" t="inlineStr">
        <is>
          <t>Size guide, feature panel or additional mockup for Celtic Yggdrasil roots quilt.</t>
        </is>
      </c>
      <c r="M47" s="3" t="inlineStr">
        <is>
          <t>Custom Celtic Tree of Life Quilt Set with Intertwined Roots Design</t>
        </is>
      </c>
      <c r="N47" s="3" t="inlineStr">
        <is>
          <t>SET</t>
        </is>
      </c>
      <c r="O47" s="3" t="inlineStr">
        <is>
          <t>Custom Celtic Yggdrasil Tree of Life Quilt Set product image</t>
        </is>
      </c>
      <c r="P47" s="3" t="inlineStr">
        <is>
          <t>FULL</t>
        </is>
      </c>
      <c r="Q47" s="3" t="inlineStr">
        <is>
          <t>FULL</t>
        </is>
      </c>
      <c r="R47" s="3" t="inlineStr">
        <is>
          <t>FULL</t>
        </is>
      </c>
      <c r="S47" s="3" t="inlineStr">
        <is>
          <t>FULL</t>
        </is>
      </c>
      <c r="T47" s="7">
        <f>IF(P47="FULL",40,IF(P47="PARTIAL",40/2,0))+IF(Q47="FULL",30,IF(Q47="PARTIAL",30/2,0))+IF(R47="FULL",20,IF(R47="PARTIAL",20/2,0))+IF(S47="FULL",10,IF(S47="PARTIAL",10/2,0))</f>
        <v/>
      </c>
      <c r="U47" s="7">
        <f>IF(P47="NOT_CHECKED",0,40)+IF(Q47="NOT_CHECKED",0,30)+IF(R47="NOT_CHECKED",0,20)+IF(S47="NOT_CHECKED",0,10)</f>
        <v/>
      </c>
      <c r="V47" s="7">
        <f>IF(U47=100,T47,"")</f>
        <v/>
      </c>
      <c r="W47" s="7">
        <f>T47</f>
        <v/>
      </c>
      <c r="X47" s="7">
        <f>T47+(100-U47)</f>
        <v/>
      </c>
      <c r="Y47" s="3" t="inlineStr">
        <is>
          <t>[]</t>
        </is>
      </c>
      <c r="Z47" s="3" t="inlineStr">
        <is>
          <t>["seo_runs\\jeminise.com\\20260906_234129\\evidence\\images\\47_custom-tree-of-life-quilt-set-yggdrasil-bedding-5048da8f29-5048da8f29\\image_06_47532028166343.jpg; seo_runs\\jeminise.com\\20260906_234129\\evidence\\contact_sheets\\47_custom-tree-of-life-quilt-set-yggdrasil-bedding-5048da8f29-5048da8f29.jpg", "https://jeminise.com/products/custom-tree-of-life-quilt-set-yggdrasil-bedding-5048da8f29-5048da8f29", "https://cdn.shopify.com/s/files/1/0792/5098/1063/files/534cc16bf237b5301f37f7fb37613e21872f96af800f3ce795de5bf92dcbe3e4.jpg?v=1785047476"]</t>
        </is>
      </c>
      <c r="AA47" s="3" t="inlineStr">
        <is>
          <t>r4</t>
        </is>
      </c>
    </row>
    <row r="48" ht="66" customHeight="1">
      <c r="A48" s="2" t="inlineStr">
        <is>
          <t>jeminise.com+custom-tree-of-life-quilt-set-yggdrasil-bedding-5048da8f29-5048da8f29</t>
        </is>
      </c>
      <c r="B48" s="2" t="inlineStr">
        <is>
          <t>qaimg_8bc3930ea5b86187</t>
        </is>
      </c>
      <c r="C48" s="4" t="inlineStr">
        <is>
          <t>https://cdn.shopify.com/s/files/1/0792/5098/1063/files/08048dc1b68df65dfcb150964862a39a3bea1674956d2bbbfda8f783b76ba17d.jpg?v=1785047476</t>
        </is>
      </c>
      <c r="D48" s="4" t="inlineStr">
        <is>
          <t>https://cdn.shopify.com/s/files/1/0792/5098/1063/files/08048dc1b68df65dfcb150964862a39a3bea1674956d2bbbfda8f783b76ba17d.jpg?v=1785047476</t>
        </is>
      </c>
      <c r="E48" s="2" t="inlineStr">
        <is>
          <t>38498726346951</t>
        </is>
      </c>
      <c r="F48" s="2" t="inlineStr">
        <is>
          <t>47532028199111</t>
        </is>
      </c>
      <c r="G48" s="2" t="inlineStr"/>
      <c r="H48" s="2" t="inlineStr">
        <is>
          <t>GALLERY</t>
        </is>
      </c>
      <c r="I48" s="2" t="inlineStr">
        <is>
          <t>DIRECT_ORIGINAL_IMAGE_REQA + R4_MEDIA_ID_COMPARISON</t>
        </is>
      </c>
      <c r="J48" s="2" t="inlineStr">
        <is>
          <t>2026-09-07T22:27:03.014477+07:00</t>
        </is>
      </c>
      <c r="K48" s="2" t="inlineStr">
        <is>
          <t>Overhead bedroom mockup of the Celtic Yggdrasil quilt.</t>
        </is>
      </c>
      <c r="L48" s="2" t="inlineStr">
        <is>
          <t>Additional lifestyle, feature or product detail image showing Celtic Yggdrasil roots quilt.</t>
        </is>
      </c>
      <c r="M48" s="2" t="inlineStr">
        <is>
          <t>Custom Celtic Tree of Life Quilt Set with Intertwined Roots Design</t>
        </is>
      </c>
      <c r="N48" s="2" t="inlineStr">
        <is>
          <t>SET</t>
        </is>
      </c>
      <c r="O48" s="2" t="inlineStr">
        <is>
          <t>Custom Celtic Yggdrasil Tree of Life Quilt Set product image</t>
        </is>
      </c>
      <c r="P48" s="2" t="inlineStr">
        <is>
          <t>FULL</t>
        </is>
      </c>
      <c r="Q48" s="2" t="inlineStr">
        <is>
          <t>FULL</t>
        </is>
      </c>
      <c r="R48" s="2" t="inlineStr">
        <is>
          <t>FULL</t>
        </is>
      </c>
      <c r="S48" s="2" t="inlineStr">
        <is>
          <t>FULL</t>
        </is>
      </c>
      <c r="T48" s="5">
        <f>IF(P48="FULL",40,IF(P48="PARTIAL",40/2,0))+IF(Q48="FULL",30,IF(Q48="PARTIAL",30/2,0))+IF(R48="FULL",20,IF(R48="PARTIAL",20/2,0))+IF(S48="FULL",10,IF(S48="PARTIAL",10/2,0))</f>
        <v/>
      </c>
      <c r="U48" s="5">
        <f>IF(P48="NOT_CHECKED",0,40)+IF(Q48="NOT_CHECKED",0,30)+IF(R48="NOT_CHECKED",0,20)+IF(S48="NOT_CHECKED",0,10)</f>
        <v/>
      </c>
      <c r="V48" s="5">
        <f>IF(U48=100,T48,"")</f>
        <v/>
      </c>
      <c r="W48" s="5">
        <f>T48</f>
        <v/>
      </c>
      <c r="X48" s="5">
        <f>T48+(100-U48)</f>
        <v/>
      </c>
      <c r="Y48" s="2" t="inlineStr">
        <is>
          <t>[]</t>
        </is>
      </c>
      <c r="Z48" s="2" t="inlineStr">
        <is>
          <t>["seo_runs\\jeminise.com\\20260906_234129\\evidence\\images\\47_custom-tree-of-life-quilt-set-yggdrasil-bedding-5048da8f29-5048da8f29\\image_07_47532028199111.jpg; seo_runs\\jeminise.com\\20260906_234129\\evidence\\contact_sheets\\47_custom-tree-of-life-quilt-set-yggdrasil-bedding-5048da8f29-5048da8f29.jpg", "https://jeminise.com/products/custom-tree-of-life-quilt-set-yggdrasil-bedding-5048da8f29-5048da8f29", "https://cdn.shopify.com/s/files/1/0792/5098/1063/files/08048dc1b68df65dfcb150964862a39a3bea1674956d2bbbfda8f783b76ba17d.jpg?v=1785047476"]</t>
        </is>
      </c>
      <c r="AA48" s="2" t="inlineStr">
        <is>
          <t>r4</t>
        </is>
      </c>
    </row>
    <row r="49" ht="66" customHeight="1">
      <c r="A49" s="3" t="inlineStr">
        <is>
          <t>jeminise.com+custom-christian-faith-semi-truck-in-front-of-large-comforter-057143b1f8-057143b1f8</t>
        </is>
      </c>
      <c r="B49" s="3" t="inlineStr">
        <is>
          <t>qaimg_5d884f279f12cb03</t>
        </is>
      </c>
      <c r="C49" s="4" t="inlineStr">
        <is>
          <t>https://cdn.shopify.com/s/files/1/0792/5098/1063/files/6e9319b8ab8b2d2e568c6c292bfe25074a0b5fa69fe919cb307e508230e4c01a.jpg?v=1785132603</t>
        </is>
      </c>
      <c r="D49" s="4" t="inlineStr">
        <is>
          <t>https://cdn.shopify.com/s/files/1/0792/5098/1063/files/6e9319b8ab8b2d2e568c6c292bfe25074a0b5fa69fe919cb307e508230e4c01a.jpg?v=1785132603</t>
        </is>
      </c>
      <c r="E49" s="3" t="inlineStr">
        <is>
          <t>38515201016007</t>
        </is>
      </c>
      <c r="F49" s="3" t="inlineStr">
        <is>
          <t>47548707569863</t>
        </is>
      </c>
      <c r="G49" s="3" t="inlineStr"/>
      <c r="H49" s="3" t="inlineStr">
        <is>
          <t>GALLERY</t>
        </is>
      </c>
      <c r="I49" s="3" t="inlineStr">
        <is>
          <t>DIRECT_ORIGINAL_IMAGE_REQA + R4_MEDIA_ID_COMPARISON</t>
        </is>
      </c>
      <c r="J49" s="3" t="inlineStr">
        <is>
          <t>2026-09-07T22:27:03.014477+07:00</t>
        </is>
      </c>
      <c r="K49" s="3" t="inlineStr">
        <is>
          <t>Front bedroom mockup with red semi truck, wooden cross, Trucker's Prayer text and YOUR NAME placeholder.</t>
        </is>
      </c>
      <c r="L49" s="3" t="inlineStr">
        <is>
          <t>Main product mockup showing personalized Trucker's Prayer comforter.</t>
        </is>
      </c>
      <c r="M49" s="3" t="inlineStr">
        <is>
          <t>Custom Christian Faith Semi Truck in Front of Large Comforter</t>
        </is>
      </c>
      <c r="N49" s="3" t="inlineStr">
        <is>
          <t>SET</t>
        </is>
      </c>
      <c r="O49" s="3" t="inlineStr">
        <is>
          <t>Personalized Trucker Prayer Comforter Set product image</t>
        </is>
      </c>
      <c r="P49" s="3" t="inlineStr">
        <is>
          <t>FULL</t>
        </is>
      </c>
      <c r="Q49" s="3" t="inlineStr">
        <is>
          <t>FULL</t>
        </is>
      </c>
      <c r="R49" s="3" t="inlineStr">
        <is>
          <t>FULL</t>
        </is>
      </c>
      <c r="S49" s="3" t="inlineStr">
        <is>
          <t>FULL</t>
        </is>
      </c>
      <c r="T49" s="7">
        <f>IF(P49="FULL",40,IF(P49="PARTIAL",40/2,0))+IF(Q49="FULL",30,IF(Q49="PARTIAL",30/2,0))+IF(R49="FULL",20,IF(R49="PARTIAL",20/2,0))+IF(S49="FULL",10,IF(S49="PARTIAL",10/2,0))</f>
        <v/>
      </c>
      <c r="U49" s="7">
        <f>IF(P49="NOT_CHECKED",0,40)+IF(Q49="NOT_CHECKED",0,30)+IF(R49="NOT_CHECKED",0,20)+IF(S49="NOT_CHECKED",0,10)</f>
        <v/>
      </c>
      <c r="V49" s="7">
        <f>IF(U49=100,T49,"")</f>
        <v/>
      </c>
      <c r="W49" s="7">
        <f>T49</f>
        <v/>
      </c>
      <c r="X49" s="7">
        <f>T49+(100-U49)</f>
        <v/>
      </c>
      <c r="Y49" s="3" t="inlineStr">
        <is>
          <t>[]</t>
        </is>
      </c>
      <c r="Z49" s="3" t="inlineStr">
        <is>
          <t>["seo_runs\\jeminise.com\\20260906_234129\\evidence\\images\\48_custom-christian-faith-semi-truck-in-front-of-large-comforter-057143b1f8-057143b1f8\\image_01_47548707569863.jpg; seo_runs\\jeminise.com\\20260906_234129\\evidence\\contact_sheets\\48_custom-christian-faith-semi-truck-in-front-of-large-comforter-057143b1f8-057143b1f8.jpg", "https://jeminise.com/products/custom-christian-faith-semi-truck-in-front-of-large-comforter-057143b1f8-057143b1f8", "https://cdn.shopify.com/s/files/1/0792/5098/1063/files/6e9319b8ab8b2d2e568c6c292bfe25074a0b5fa69fe919cb307e508230e4c01a.jpg?v=1785132603"]</t>
        </is>
      </c>
      <c r="AA49" s="3" t="inlineStr">
        <is>
          <t>r4</t>
        </is>
      </c>
    </row>
    <row r="50" ht="66" customHeight="1">
      <c r="A50" s="2" t="inlineStr">
        <is>
          <t>jeminise.com+custom-christian-faith-semi-truck-in-front-of-large-comforter-057143b1f8-057143b1f8</t>
        </is>
      </c>
      <c r="B50" s="2" t="inlineStr">
        <is>
          <t>qaimg_42053247df09713b</t>
        </is>
      </c>
      <c r="C50" s="4" t="inlineStr">
        <is>
          <t>https://cdn.shopify.com/s/files/1/0792/5098/1063/files/f3288758e7d714e1d030c3a82bd01cf3f05e2fa7c9e54f29aaae473ba3df57c9.jpg?v=1785132604</t>
        </is>
      </c>
      <c r="D50" s="4" t="inlineStr">
        <is>
          <t>https://cdn.shopify.com/s/files/1/0792/5098/1063/files/f3288758e7d714e1d030c3a82bd01cf3f05e2fa7c9e54f29aaae473ba3df57c9.jpg?v=1785132604</t>
        </is>
      </c>
      <c r="E50" s="2" t="inlineStr">
        <is>
          <t>38515201048775</t>
        </is>
      </c>
      <c r="F50" s="2" t="inlineStr">
        <is>
          <t>47548707602631</t>
        </is>
      </c>
      <c r="G50" s="2" t="inlineStr"/>
      <c r="H50" s="2" t="inlineStr">
        <is>
          <t>GALLERY</t>
        </is>
      </c>
      <c r="I50" s="2" t="inlineStr">
        <is>
          <t>DIRECT_ORIGINAL_IMAGE_REQA + R4_MEDIA_ID_COMPARISON</t>
        </is>
      </c>
      <c r="J50" s="2" t="inlineStr">
        <is>
          <t>2026-09-07T22:27:03.014477+07:00</t>
        </is>
      </c>
      <c r="K50" s="2" t="inlineStr">
        <is>
          <t>Angled bedroom mockup of the same Trucker's Prayer design.</t>
        </is>
      </c>
      <c r="L50" s="2" t="inlineStr">
        <is>
          <t>Secondary mockup or folded view showing personalized Trucker's Prayer comforter.</t>
        </is>
      </c>
      <c r="M50" s="2" t="inlineStr">
        <is>
          <t>Custom Christian Faith Semi Truck in Front of Large Comforter</t>
        </is>
      </c>
      <c r="N50" s="2" t="inlineStr">
        <is>
          <t>SET</t>
        </is>
      </c>
      <c r="O50" s="2" t="inlineStr">
        <is>
          <t>Personalized Trucker Prayer Comforter Set product image</t>
        </is>
      </c>
      <c r="P50" s="2" t="inlineStr">
        <is>
          <t>FULL</t>
        </is>
      </c>
      <c r="Q50" s="2" t="inlineStr">
        <is>
          <t>FULL</t>
        </is>
      </c>
      <c r="R50" s="2" t="inlineStr">
        <is>
          <t>FULL</t>
        </is>
      </c>
      <c r="S50" s="2" t="inlineStr">
        <is>
          <t>FULL</t>
        </is>
      </c>
      <c r="T50" s="5">
        <f>IF(P50="FULL",40,IF(P50="PARTIAL",40/2,0))+IF(Q50="FULL",30,IF(Q50="PARTIAL",30/2,0))+IF(R50="FULL",20,IF(R50="PARTIAL",20/2,0))+IF(S50="FULL",10,IF(S50="PARTIAL",10/2,0))</f>
        <v/>
      </c>
      <c r="U50" s="5">
        <f>IF(P50="NOT_CHECKED",0,40)+IF(Q50="NOT_CHECKED",0,30)+IF(R50="NOT_CHECKED",0,20)+IF(S50="NOT_CHECKED",0,10)</f>
        <v/>
      </c>
      <c r="V50" s="5">
        <f>IF(U50=100,T50,"")</f>
        <v/>
      </c>
      <c r="W50" s="5">
        <f>T50</f>
        <v/>
      </c>
      <c r="X50" s="5">
        <f>T50+(100-U50)</f>
        <v/>
      </c>
      <c r="Y50" s="2" t="inlineStr">
        <is>
          <t>[]</t>
        </is>
      </c>
      <c r="Z50" s="2" t="inlineStr">
        <is>
          <t>["seo_runs\\jeminise.com\\20260906_234129\\evidence\\images\\48_custom-christian-faith-semi-truck-in-front-of-large-comforter-057143b1f8-057143b1f8\\image_02_47548707602631.jpg; seo_runs\\jeminise.com\\20260906_234129\\evidence\\contact_sheets\\48_custom-christian-faith-semi-truck-in-front-of-large-comforter-057143b1f8-057143b1f8.jpg", "https://jeminise.com/products/custom-christian-faith-semi-truck-in-front-of-large-comforter-057143b1f8-057143b1f8", "https://cdn.shopify.com/s/files/1/0792/5098/1063/files/f3288758e7d714e1d030c3a82bd01cf3f05e2fa7c9e54f29aaae473ba3df57c9.jpg?v=1785132604"]</t>
        </is>
      </c>
      <c r="AA50" s="2" t="inlineStr">
        <is>
          <t>r4</t>
        </is>
      </c>
    </row>
    <row r="51" ht="66" customHeight="1">
      <c r="A51" s="3" t="inlineStr">
        <is>
          <t>jeminise.com+custom-christian-faith-semi-truck-in-front-of-large-comforter-057143b1f8-057143b1f8</t>
        </is>
      </c>
      <c r="B51" s="3" t="inlineStr">
        <is>
          <t>qaimg_77df2f507b04636e</t>
        </is>
      </c>
      <c r="C51" s="4" t="inlineStr">
        <is>
          <t>https://cdn.shopify.com/s/files/1/0792/5098/1063/files/16f7293cbefa5743a35b2e6316a5a114e5c052d08151e367dafd26aa5e2e542b_8cef3a78-7a6c-4b47-bf28-c8073b9514e1.jpg?v=1785132603</t>
        </is>
      </c>
      <c r="D51" s="4" t="inlineStr">
        <is>
          <t>https://cdn.shopify.com/s/files/1/0792/5098/1063/files/16f7293cbefa5743a35b2e6316a5a114e5c052d08151e367dafd26aa5e2e542b_8cef3a78-7a6c-4b47-bf28-c8073b9514e1.jpg?v=1785132603</t>
        </is>
      </c>
      <c r="E51" s="3" t="inlineStr">
        <is>
          <t>38515201081543</t>
        </is>
      </c>
      <c r="F51" s="3" t="inlineStr">
        <is>
          <t>47548707635399</t>
        </is>
      </c>
      <c r="G51" s="3" t="inlineStr"/>
      <c r="H51" s="3" t="inlineStr">
        <is>
          <t>GALLERY</t>
        </is>
      </c>
      <c r="I51" s="3" t="inlineStr">
        <is>
          <t>DIRECT_ORIGINAL_IMAGE_REQA + R4_MEDIA_ID_COMPARISON</t>
        </is>
      </c>
      <c r="J51" s="3" t="inlineStr">
        <is>
          <t>2026-09-07T22:27:03.014477+07:00</t>
        </is>
      </c>
      <c r="K51" s="3" t="inlineStr">
        <is>
          <t>Duvet-cover versus comforter product-type comparison.</t>
        </is>
      </c>
      <c r="L51" s="3" t="inlineStr">
        <is>
          <t>Personalization, feature or lifestyle image connected to personalized Trucker's Prayer comforter.</t>
        </is>
      </c>
      <c r="M51" s="3" t="inlineStr">
        <is>
          <t>Custom Christian Faith Semi Truck in Front of Large Comforter</t>
        </is>
      </c>
      <c r="N51" s="3" t="inlineStr">
        <is>
          <t>SET</t>
        </is>
      </c>
      <c r="O51" s="3" t="inlineStr">
        <is>
          <t>Personalized Trucker Prayer Comforter Set product image</t>
        </is>
      </c>
      <c r="P51" s="3" t="inlineStr">
        <is>
          <t>FULL</t>
        </is>
      </c>
      <c r="Q51" s="3" t="inlineStr">
        <is>
          <t>FULL</t>
        </is>
      </c>
      <c r="R51" s="3" t="inlineStr">
        <is>
          <t>FULL</t>
        </is>
      </c>
      <c r="S51" s="3" t="inlineStr">
        <is>
          <t>FULL</t>
        </is>
      </c>
      <c r="T51" s="7">
        <f>IF(P51="FULL",40,IF(P51="PARTIAL",40/2,0))+IF(Q51="FULL",30,IF(Q51="PARTIAL",30/2,0))+IF(R51="FULL",20,IF(R51="PARTIAL",20/2,0))+IF(S51="FULL",10,IF(S51="PARTIAL",10/2,0))</f>
        <v/>
      </c>
      <c r="U51" s="7">
        <f>IF(P51="NOT_CHECKED",0,40)+IF(Q51="NOT_CHECKED",0,30)+IF(R51="NOT_CHECKED",0,20)+IF(S51="NOT_CHECKED",0,10)</f>
        <v/>
      </c>
      <c r="V51" s="7">
        <f>IF(U51=100,T51,"")</f>
        <v/>
      </c>
      <c r="W51" s="7">
        <f>T51</f>
        <v/>
      </c>
      <c r="X51" s="7">
        <f>T51+(100-U51)</f>
        <v/>
      </c>
      <c r="Y51" s="3" t="inlineStr">
        <is>
          <t>[]</t>
        </is>
      </c>
      <c r="Z51" s="3" t="inlineStr">
        <is>
          <t>["seo_runs\\jeminise.com\\20260906_234129\\evidence\\images\\48_custom-christian-faith-semi-truck-in-front-of-large-comforter-057143b1f8-057143b1f8\\image_03_47548707635399.jpg; seo_runs\\jeminise.com\\20260906_234129\\evidence\\contact_sheets\\48_custom-christian-faith-semi-truck-in-front-of-large-comforter-057143b1f8-057143b1f8.jpg", "https://jeminise.com/products/custom-christian-faith-semi-truck-in-front-of-large-comforter-057143b1f8-057143b1f8", "https://cdn.shopify.com/s/files/1/0792/5098/1063/files/16f7293cbefa5743a35b2e6316a5a114e5c052d08151e367dafd26aa5e2e542b_8cef3a78-7a6c-4b47-bf28-c8073b9514e1.jpg?v=1785132603"]</t>
        </is>
      </c>
      <c r="AA51" s="3" t="inlineStr">
        <is>
          <t>r4</t>
        </is>
      </c>
    </row>
    <row r="52" ht="66" customHeight="1">
      <c r="A52" s="2" t="inlineStr">
        <is>
          <t>jeminise.com+custom-christian-faith-semi-truck-in-front-of-large-comforter-057143b1f8-057143b1f8</t>
        </is>
      </c>
      <c r="B52" s="2" t="inlineStr">
        <is>
          <t>qaimg_ba721361ce7910da</t>
        </is>
      </c>
      <c r="C52" s="4" t="inlineStr">
        <is>
          <t>https://cdn.shopify.com/s/files/1/0792/5098/1063/files/3126d3e7c0e678ebf4352bbbec30f14f9532800b85550cb1568caa752ebaced1.jpg?v=1785132604</t>
        </is>
      </c>
      <c r="D52" s="4" t="inlineStr">
        <is>
          <t>https://cdn.shopify.com/s/files/1/0792/5098/1063/files/3126d3e7c0e678ebf4352bbbec30f14f9532800b85550cb1568caa752ebaced1.jpg?v=1785132604</t>
        </is>
      </c>
      <c r="E52" s="2" t="inlineStr">
        <is>
          <t>38515201114311</t>
        </is>
      </c>
      <c r="F52" s="2" t="inlineStr">
        <is>
          <t>47548707668167</t>
        </is>
      </c>
      <c r="G52" s="2" t="inlineStr"/>
      <c r="H52" s="2" t="inlineStr">
        <is>
          <t>GALLERY</t>
        </is>
      </c>
      <c r="I52" s="2" t="inlineStr">
        <is>
          <t>DIRECT_ORIGINAL_IMAGE_REQA + R4_MEDIA_ID_COMPARISON</t>
        </is>
      </c>
      <c r="J52" s="2" t="inlineStr">
        <is>
          <t>2026-09-07T22:27:03.014477+07:00</t>
        </is>
      </c>
      <c r="K52" s="2" t="inlineStr">
        <is>
          <t>Product detail and material panel.</t>
        </is>
      </c>
      <c r="L52" s="2" t="inlineStr">
        <is>
          <t>Close detail, care feature or sizing information for personalized Trucker's Prayer comforter.</t>
        </is>
      </c>
      <c r="M52" s="2" t="inlineStr">
        <is>
          <t>Custom Christian Faith Semi Truck in Front of Large Comforter</t>
        </is>
      </c>
      <c r="N52" s="2" t="inlineStr">
        <is>
          <t>SET</t>
        </is>
      </c>
      <c r="O52" s="2" t="inlineStr">
        <is>
          <t>Personalized Trucker Prayer Comforter Set product image</t>
        </is>
      </c>
      <c r="P52" s="2" t="inlineStr">
        <is>
          <t>FULL</t>
        </is>
      </c>
      <c r="Q52" s="2" t="inlineStr">
        <is>
          <t>FULL</t>
        </is>
      </c>
      <c r="R52" s="2" t="inlineStr">
        <is>
          <t>FULL</t>
        </is>
      </c>
      <c r="S52" s="2" t="inlineStr">
        <is>
          <t>FULL</t>
        </is>
      </c>
      <c r="T52" s="5">
        <f>IF(P52="FULL",40,IF(P52="PARTIAL",40/2,0))+IF(Q52="FULL",30,IF(Q52="PARTIAL",30/2,0))+IF(R52="FULL",20,IF(R52="PARTIAL",20/2,0))+IF(S52="FULL",10,IF(S52="PARTIAL",10/2,0))</f>
        <v/>
      </c>
      <c r="U52" s="5">
        <f>IF(P52="NOT_CHECKED",0,40)+IF(Q52="NOT_CHECKED",0,30)+IF(R52="NOT_CHECKED",0,20)+IF(S52="NOT_CHECKED",0,10)</f>
        <v/>
      </c>
      <c r="V52" s="5">
        <f>IF(U52=100,T52,"")</f>
        <v/>
      </c>
      <c r="W52" s="5">
        <f>T52</f>
        <v/>
      </c>
      <c r="X52" s="5">
        <f>T52+(100-U52)</f>
        <v/>
      </c>
      <c r="Y52" s="2" t="inlineStr">
        <is>
          <t>[]</t>
        </is>
      </c>
      <c r="Z52" s="2" t="inlineStr">
        <is>
          <t>["seo_runs\\jeminise.com\\20260906_234129\\evidence\\images\\48_custom-christian-faith-semi-truck-in-front-of-large-comforter-057143b1f8-057143b1f8\\image_04_47548707668167.jpg; seo_runs\\jeminise.com\\20260906_234129\\evidence\\contact_sheets\\48_custom-christian-faith-semi-truck-in-front-of-large-comforter-057143b1f8-057143b1f8.jpg", "https://jeminise.com/products/custom-christian-faith-semi-truck-in-front-of-large-comforter-057143b1f8-057143b1f8", "https://cdn.shopify.com/s/files/1/0792/5098/1063/files/3126d3e7c0e678ebf4352bbbec30f14f9532800b85550cb1568caa752ebaced1.jpg?v=1785132604"]</t>
        </is>
      </c>
      <c r="AA52" s="2" t="inlineStr">
        <is>
          <t>r4</t>
        </is>
      </c>
    </row>
    <row r="53" ht="66" customHeight="1">
      <c r="A53" s="3" t="inlineStr">
        <is>
          <t>jeminise.com+custom-christian-faith-semi-truck-in-front-of-large-comforter-057143b1f8-057143b1f8</t>
        </is>
      </c>
      <c r="B53" s="3" t="inlineStr">
        <is>
          <t>qaimg_ded1ffa5fbcb6ef3</t>
        </is>
      </c>
      <c r="C53" s="4" t="inlineStr">
        <is>
          <t>https://cdn.shopify.com/s/files/1/0792/5098/1063/files/a5338648c54a77bc15767c1ceae2ad207d73615ff6fc0725d8e895604fc48168.jpg?v=1785132603</t>
        </is>
      </c>
      <c r="D53" s="4" t="inlineStr">
        <is>
          <t>https://cdn.shopify.com/s/files/1/0792/5098/1063/files/a5338648c54a77bc15767c1ceae2ad207d73615ff6fc0725d8e895604fc48168.jpg?v=1785132603</t>
        </is>
      </c>
      <c r="E53" s="3" t="inlineStr">
        <is>
          <t>38515201147079</t>
        </is>
      </c>
      <c r="F53" s="3" t="inlineStr">
        <is>
          <t>47548707700935</t>
        </is>
      </c>
      <c r="G53" s="3" t="inlineStr"/>
      <c r="H53" s="3" t="inlineStr">
        <is>
          <t>GALLERY</t>
        </is>
      </c>
      <c r="I53" s="3" t="inlineStr">
        <is>
          <t>DIRECT_ORIGINAL_IMAGE_REQA + R4_MEDIA_ID_COMPARISON</t>
        </is>
      </c>
      <c r="J53" s="3" t="inlineStr">
        <is>
          <t>2026-09-07T22:27:03.014477+07:00</t>
        </is>
      </c>
      <c r="K53" s="3" t="inlineStr">
        <is>
          <t>Feature panel marked soft, lightweight, durable and breathable.</t>
        </is>
      </c>
      <c r="L53" s="3" t="inlineStr">
        <is>
          <t>Material, wash or comfort feature image for personalized Trucker's Prayer comforter.</t>
        </is>
      </c>
      <c r="M53" s="3" t="inlineStr">
        <is>
          <t>Custom Christian Faith Semi Truck in Front of Large Comforter</t>
        </is>
      </c>
      <c r="N53" s="3" t="inlineStr">
        <is>
          <t>SET</t>
        </is>
      </c>
      <c r="O53" s="3" t="inlineStr">
        <is>
          <t>Personalized Trucker Prayer Comforter Set product image</t>
        </is>
      </c>
      <c r="P53" s="3" t="inlineStr">
        <is>
          <t>FULL</t>
        </is>
      </c>
      <c r="Q53" s="3" t="inlineStr">
        <is>
          <t>FULL</t>
        </is>
      </c>
      <c r="R53" s="3" t="inlineStr">
        <is>
          <t>FULL</t>
        </is>
      </c>
      <c r="S53" s="3" t="inlineStr">
        <is>
          <t>FULL</t>
        </is>
      </c>
      <c r="T53" s="7">
        <f>IF(P53="FULL",40,IF(P53="PARTIAL",40/2,0))+IF(Q53="FULL",30,IF(Q53="PARTIAL",30/2,0))+IF(R53="FULL",20,IF(R53="PARTIAL",20/2,0))+IF(S53="FULL",10,IF(S53="PARTIAL",10/2,0))</f>
        <v/>
      </c>
      <c r="U53" s="7">
        <f>IF(P53="NOT_CHECKED",0,40)+IF(Q53="NOT_CHECKED",0,30)+IF(R53="NOT_CHECKED",0,20)+IF(S53="NOT_CHECKED",0,10)</f>
        <v/>
      </c>
      <c r="V53" s="7">
        <f>IF(U53=100,T53,"")</f>
        <v/>
      </c>
      <c r="W53" s="7">
        <f>T53</f>
        <v/>
      </c>
      <c r="X53" s="7">
        <f>T53+(100-U53)</f>
        <v/>
      </c>
      <c r="Y53" s="3" t="inlineStr">
        <is>
          <t>[]</t>
        </is>
      </c>
      <c r="Z53" s="3" t="inlineStr">
        <is>
          <t>["seo_runs\\jeminise.com\\20260906_234129\\evidence\\images\\48_custom-christian-faith-semi-truck-in-front-of-large-comforter-057143b1f8-057143b1f8\\image_05_47548707700935.jpg; seo_runs\\jeminise.com\\20260906_234129\\evidence\\contact_sheets\\48_custom-christian-faith-semi-truck-in-front-of-large-comforter-057143b1f8-057143b1f8.jpg", "https://jeminise.com/products/custom-christian-faith-semi-truck-in-front-of-large-comforter-057143b1f8-057143b1f8", "https://cdn.shopify.com/s/files/1/0792/5098/1063/files/a5338648c54a77bc15767c1ceae2ad207d73615ff6fc0725d8e895604fc48168.jpg?v=1785132603"]</t>
        </is>
      </c>
      <c r="AA53" s="3" t="inlineStr">
        <is>
          <t>r4</t>
        </is>
      </c>
    </row>
    <row r="54" ht="66" customHeight="1">
      <c r="A54" s="2" t="inlineStr">
        <is>
          <t>jeminise.com+custom-christian-faith-semi-truck-in-front-of-large-comforter-057143b1f8-057143b1f8</t>
        </is>
      </c>
      <c r="B54" s="2" t="inlineStr">
        <is>
          <t>qaimg_271175752fca61e4</t>
        </is>
      </c>
      <c r="C54" s="4" t="inlineStr">
        <is>
          <t>https://cdn.shopify.com/s/files/1/0792/5098/1063/files/7c006bddc94d4763c71c8376307e195c1bbce73b8c802ec73ac5a8cef1291262_e558ac05-8d88-4109-bd33-e9d9cdb886eb.jpg?v=1785132603</t>
        </is>
      </c>
      <c r="D54" s="4" t="inlineStr">
        <is>
          <t>https://cdn.shopify.com/s/files/1/0792/5098/1063/files/7c006bddc94d4763c71c8376307e195c1bbce73b8c802ec73ac5a8cef1291262_e558ac05-8d88-4109-bd33-e9d9cdb886eb.jpg?v=1785132603</t>
        </is>
      </c>
      <c r="E54" s="2" t="inlineStr">
        <is>
          <t>38515201179847</t>
        </is>
      </c>
      <c r="F54" s="2" t="inlineStr">
        <is>
          <t>47548707733703</t>
        </is>
      </c>
      <c r="G54" s="2" t="inlineStr"/>
      <c r="H54" s="2" t="inlineStr">
        <is>
          <t>GALLERY</t>
        </is>
      </c>
      <c r="I54" s="2" t="inlineStr">
        <is>
          <t>DIRECT_ORIGINAL_IMAGE_REQA + R4_MEDIA_ID_COMPARISON</t>
        </is>
      </c>
      <c r="J54" s="2" t="inlineStr">
        <is>
          <t>2026-09-07T22:27:03.014477+07:00</t>
        </is>
      </c>
      <c r="K54" s="2" t="inlineStr">
        <is>
          <t>Easy-care instruction panel.</t>
        </is>
      </c>
      <c r="L54" s="2" t="inlineStr">
        <is>
          <t>Size guide, feature panel or additional mockup for personalized Trucker's Prayer comforter.</t>
        </is>
      </c>
      <c r="M54" s="2" t="inlineStr">
        <is>
          <t>Custom Christian Faith Semi Truck in Front of Large Comforter</t>
        </is>
      </c>
      <c r="N54" s="2" t="inlineStr">
        <is>
          <t>SET</t>
        </is>
      </c>
      <c r="O54" s="2" t="inlineStr">
        <is>
          <t>Personalized Trucker Prayer Comforter Set product image</t>
        </is>
      </c>
      <c r="P54" s="2" t="inlineStr">
        <is>
          <t>FULL</t>
        </is>
      </c>
      <c r="Q54" s="2" t="inlineStr">
        <is>
          <t>FULL</t>
        </is>
      </c>
      <c r="R54" s="2" t="inlineStr">
        <is>
          <t>FULL</t>
        </is>
      </c>
      <c r="S54" s="2" t="inlineStr">
        <is>
          <t>FULL</t>
        </is>
      </c>
      <c r="T54" s="5">
        <f>IF(P54="FULL",40,IF(P54="PARTIAL",40/2,0))+IF(Q54="FULL",30,IF(Q54="PARTIAL",30/2,0))+IF(R54="FULL",20,IF(R54="PARTIAL",20/2,0))+IF(S54="FULL",10,IF(S54="PARTIAL",10/2,0))</f>
        <v/>
      </c>
      <c r="U54" s="5">
        <f>IF(P54="NOT_CHECKED",0,40)+IF(Q54="NOT_CHECKED",0,30)+IF(R54="NOT_CHECKED",0,20)+IF(S54="NOT_CHECKED",0,10)</f>
        <v/>
      </c>
      <c r="V54" s="5">
        <f>IF(U54=100,T54,"")</f>
        <v/>
      </c>
      <c r="W54" s="5">
        <f>T54</f>
        <v/>
      </c>
      <c r="X54" s="5">
        <f>T54+(100-U54)</f>
        <v/>
      </c>
      <c r="Y54" s="2" t="inlineStr">
        <is>
          <t>[]</t>
        </is>
      </c>
      <c r="Z54" s="2" t="inlineStr">
        <is>
          <t>["seo_runs\\jeminise.com\\20260906_234129\\evidence\\images\\48_custom-christian-faith-semi-truck-in-front-of-large-comforter-057143b1f8-057143b1f8\\image_06_47548707733703.jpg; seo_runs\\jeminise.com\\20260906_234129\\evidence\\contact_sheets\\48_custom-christian-faith-semi-truck-in-front-of-large-comforter-057143b1f8-057143b1f8.jpg", "https://jeminise.com/products/custom-christian-faith-semi-truck-in-front-of-large-comforter-057143b1f8-057143b1f8", "https://cdn.shopify.com/s/files/1/0792/5098/1063/files/7c006bddc94d4763c71c8376307e195c1bbce73b8c802ec73ac5a8cef1291262_e558ac05-8d88-4109-bd33-e9d9cdb886eb.jpg?v=1785132603"]</t>
        </is>
      </c>
      <c r="AA54" s="2" t="inlineStr">
        <is>
          <t>r4</t>
        </is>
      </c>
    </row>
    <row r="55" ht="66" customHeight="1">
      <c r="A55" s="3" t="inlineStr">
        <is>
          <t>jeminise.com+custom-christian-faith-semi-truck-in-front-of-large-comforter-057143b1f8-057143b1f8</t>
        </is>
      </c>
      <c r="B55" s="3" t="inlineStr">
        <is>
          <t>qaimg_ff827b19c16215ee</t>
        </is>
      </c>
      <c r="C55" s="4" t="inlineStr">
        <is>
          <t>https://cdn.shopify.com/s/files/1/0792/5098/1063/files/e5cad84edb4d7bf77c48fd7c8e52eb3b73f04eba8bf177671fd8a059c59422e8_a26ad42c-8f12-49d7-b045-54c792ede217.jpg?v=1785132603</t>
        </is>
      </c>
      <c r="D55" s="4" t="inlineStr">
        <is>
          <t>https://cdn.shopify.com/s/files/1/0792/5098/1063/files/e5cad84edb4d7bf77c48fd7c8e52eb3b73f04eba8bf177671fd8a059c59422e8_a26ad42c-8f12-49d7-b045-54c792ede217.jpg?v=1785132603</t>
        </is>
      </c>
      <c r="E55" s="3" t="inlineStr">
        <is>
          <t>38515201212615</t>
        </is>
      </c>
      <c r="F55" s="3" t="inlineStr">
        <is>
          <t>47548707766471</t>
        </is>
      </c>
      <c r="G55" s="3" t="inlineStr"/>
      <c r="H55" s="3" t="inlineStr">
        <is>
          <t>GALLERY</t>
        </is>
      </c>
      <c r="I55" s="3" t="inlineStr">
        <is>
          <t>DIRECT_ORIGINAL_IMAGE_REQA + R4_MEDIA_ID_COMPARISON</t>
        </is>
      </c>
      <c r="J55" s="3" t="inlineStr">
        <is>
          <t>2026-09-07T22:27:03.014477+07:00</t>
        </is>
      </c>
      <c r="K55" s="3" t="inlineStr">
        <is>
          <t>Comforter and duvet-cover size-dimension diagram.</t>
        </is>
      </c>
      <c r="L55" s="3" t="inlineStr">
        <is>
          <t>Additional lifestyle, feature or product detail image showing personalized Trucker's Prayer comforter.</t>
        </is>
      </c>
      <c r="M55" s="3" t="inlineStr">
        <is>
          <t>Custom Christian Faith Semi Truck in Front of Large Comforter</t>
        </is>
      </c>
      <c r="N55" s="3" t="inlineStr">
        <is>
          <t>SET</t>
        </is>
      </c>
      <c r="O55" s="3" t="inlineStr">
        <is>
          <t>Personalized Trucker Prayer Comforter Set product image</t>
        </is>
      </c>
      <c r="P55" s="3" t="inlineStr">
        <is>
          <t>FULL</t>
        </is>
      </c>
      <c r="Q55" s="3" t="inlineStr">
        <is>
          <t>FULL</t>
        </is>
      </c>
      <c r="R55" s="3" t="inlineStr">
        <is>
          <t>FULL</t>
        </is>
      </c>
      <c r="S55" s="3" t="inlineStr">
        <is>
          <t>FULL</t>
        </is>
      </c>
      <c r="T55" s="7">
        <f>IF(P55="FULL",40,IF(P55="PARTIAL",40/2,0))+IF(Q55="FULL",30,IF(Q55="PARTIAL",30/2,0))+IF(R55="FULL",20,IF(R55="PARTIAL",20/2,0))+IF(S55="FULL",10,IF(S55="PARTIAL",10/2,0))</f>
        <v/>
      </c>
      <c r="U55" s="7">
        <f>IF(P55="NOT_CHECKED",0,40)+IF(Q55="NOT_CHECKED",0,30)+IF(R55="NOT_CHECKED",0,20)+IF(S55="NOT_CHECKED",0,10)</f>
        <v/>
      </c>
      <c r="V55" s="7">
        <f>IF(U55=100,T55,"")</f>
        <v/>
      </c>
      <c r="W55" s="7">
        <f>T55</f>
        <v/>
      </c>
      <c r="X55" s="7">
        <f>T55+(100-U55)</f>
        <v/>
      </c>
      <c r="Y55" s="3" t="inlineStr">
        <is>
          <t>[]</t>
        </is>
      </c>
      <c r="Z55" s="3" t="inlineStr">
        <is>
          <t>["seo_runs\\jeminise.com\\20260906_234129\\evidence\\images\\48_custom-christian-faith-semi-truck-in-front-of-large-comforter-057143b1f8-057143b1f8\\image_07_47548707766471.jpg; seo_runs\\jeminise.com\\20260906_234129\\evidence\\contact_sheets\\48_custom-christian-faith-semi-truck-in-front-of-large-comforter-057143b1f8-057143b1f8.jpg", "https://jeminise.com/products/custom-christian-faith-semi-truck-in-front-of-large-comforter-057143b1f8-057143b1f8", "https://cdn.shopify.com/s/files/1/0792/5098/1063/files/e5cad84edb4d7bf77c48fd7c8e52eb3b73f04eba8bf177671fd8a059c59422e8_a26ad42c-8f12-49d7-b045-54c792ede217.jpg?v=1785132603"]</t>
        </is>
      </c>
      <c r="AA55" s="3" t="inlineStr">
        <is>
          <t>r4</t>
        </is>
      </c>
    </row>
    <row r="56" ht="66" customHeight="1">
      <c r="A56" s="2" t="inlineStr">
        <is>
          <t>jeminise.com+custom-christian-girl-bible-emergency-numbers-blanket-d12</t>
        </is>
      </c>
      <c r="B56" s="2" t="inlineStr">
        <is>
          <t>qaimg_1e13c8594220af26</t>
        </is>
      </c>
      <c r="C56" s="4" t="inlineStr">
        <is>
          <t>https://cdn.shopify.com/s/files/1/0792/5098/1063/files/b256b9200584c35cb542d9f0f89fc39d01989a03be1af664dce9420ebc84591d.jpg?v=1786596964</t>
        </is>
      </c>
      <c r="D56" s="4" t="inlineStr">
        <is>
          <t>https://cdn.shopify.com/s/files/1/0792/5098/1063/files/b256b9200584c35cb542d9f0f89fc39d01989a03be1af664dce9420ebc84591d.jpg?v=1786596964</t>
        </is>
      </c>
      <c r="E56" s="2" t="inlineStr">
        <is>
          <t>38793486205127</t>
        </is>
      </c>
      <c r="F56" s="2" t="inlineStr">
        <is>
          <t>47830612115655</t>
        </is>
      </c>
      <c r="G56" s="2" t="inlineStr"/>
      <c r="H56" s="2" t="inlineStr">
        <is>
          <t>GALLERY</t>
        </is>
      </c>
      <c r="I56" s="2" t="inlineStr">
        <is>
          <t>DIRECT_ORIGINAL_IMAGE_REQA + R4_MEDIA_ID_COMPARISON</t>
        </is>
      </c>
      <c r="J56" s="2" t="inlineStr">
        <is>
          <t>2026-09-07T22:27:03.014477+07:00</t>
        </is>
      </c>
      <c r="K56" s="2" t="inlineStr">
        <is>
          <t>Woman holding a floral Bible emergency numbers blanket with cartoon girl and sample name Sophia.</t>
        </is>
      </c>
      <c r="L56" s="2" t="inlineStr">
        <is>
          <t>Main product mockup showing personalized Bible emergency numbers blanket for girls.</t>
        </is>
      </c>
      <c r="M56" s="2" t="inlineStr">
        <is>
          <t>Custom Christian girl Bible emergency numbers Blanket</t>
        </is>
      </c>
      <c r="N56" s="2" t="inlineStr">
        <is>
          <t>SET</t>
        </is>
      </c>
      <c r="O56" s="2" t="inlineStr">
        <is>
          <t>Personalized Bible Emergency Numbers Blanket product image</t>
        </is>
      </c>
      <c r="P56" s="2" t="inlineStr">
        <is>
          <t>FULL</t>
        </is>
      </c>
      <c r="Q56" s="2" t="inlineStr">
        <is>
          <t>FULL</t>
        </is>
      </c>
      <c r="R56" s="2" t="inlineStr">
        <is>
          <t>FULL</t>
        </is>
      </c>
      <c r="S56" s="2" t="inlineStr">
        <is>
          <t>FULL</t>
        </is>
      </c>
      <c r="T56" s="5">
        <f>IF(P56="FULL",40,IF(P56="PARTIAL",40/2,0))+IF(Q56="FULL",30,IF(Q56="PARTIAL",30/2,0))+IF(R56="FULL",20,IF(R56="PARTIAL",20/2,0))+IF(S56="FULL",10,IF(S56="PARTIAL",10/2,0))</f>
        <v/>
      </c>
      <c r="U56" s="5">
        <f>IF(P56="NOT_CHECKED",0,40)+IF(Q56="NOT_CHECKED",0,30)+IF(R56="NOT_CHECKED",0,20)+IF(S56="NOT_CHECKED",0,10)</f>
        <v/>
      </c>
      <c r="V56" s="5">
        <f>IF(U56=100,T56,"")</f>
        <v/>
      </c>
      <c r="W56" s="5">
        <f>T56</f>
        <v/>
      </c>
      <c r="X56" s="5">
        <f>T56+(100-U56)</f>
        <v/>
      </c>
      <c r="Y56" s="2" t="inlineStr">
        <is>
          <t>[]</t>
        </is>
      </c>
      <c r="Z56" s="2" t="inlineStr">
        <is>
          <t>["seo_runs\\jeminise.com\\20260906_234129\\evidence\\images\\49_custom-christian-girl-bible-emergency-numbers-blanket-d12\\image_01_47830612115655.jpg; seo_runs\\jeminise.com\\20260906_234129\\evidence\\contact_sheets\\49_custom-christian-girl-bible-emergency-numbers-blanket-d12.jpg", "https://jeminise.com/products/custom-christian-girl-bible-emergency-numbers-blanket-d12", "https://cdn.shopify.com/s/files/1/0792/5098/1063/files/b256b9200584c35cb542d9f0f89fc39d01989a03be1af664dce9420ebc84591d.jpg?v=1786596964"]</t>
        </is>
      </c>
      <c r="AA56" s="2" t="inlineStr">
        <is>
          <t>r4</t>
        </is>
      </c>
    </row>
    <row r="57" ht="66" customHeight="1">
      <c r="A57" s="3" t="inlineStr">
        <is>
          <t>jeminise.com+custom-christian-girl-bible-emergency-numbers-blanket-d12</t>
        </is>
      </c>
      <c r="B57" s="3" t="inlineStr">
        <is>
          <t>qaimg_196178f21aaf1398</t>
        </is>
      </c>
      <c r="C57" s="4" t="inlineStr">
        <is>
          <t>https://cdn.shopify.com/s/files/1/0792/5098/1063/files/436e5921f9b84efd188794029f984801525b46fad95772d3c15a87a21db79f7c.jpg?v=1786596964</t>
        </is>
      </c>
      <c r="D57" s="4" t="inlineStr">
        <is>
          <t>https://cdn.shopify.com/s/files/1/0792/5098/1063/files/436e5921f9b84efd188794029f984801525b46fad95772d3c15a87a21db79f7c.jpg?v=1786596964</t>
        </is>
      </c>
      <c r="E57" s="3" t="inlineStr">
        <is>
          <t>38793486237895</t>
        </is>
      </c>
      <c r="F57" s="3" t="inlineStr">
        <is>
          <t>47830612148423</t>
        </is>
      </c>
      <c r="G57" s="3" t="inlineStr"/>
      <c r="H57" s="3" t="inlineStr">
        <is>
          <t>GALLERY</t>
        </is>
      </c>
      <c r="I57" s="3" t="inlineStr">
        <is>
          <t>DIRECT_ORIGINAL_IMAGE_REQA + R4_MEDIA_ID_COMPARISON</t>
        </is>
      </c>
      <c r="J57" s="3" t="inlineStr">
        <is>
          <t>2026-09-07T22:27:03.014477+07:00</t>
        </is>
      </c>
      <c r="K57" s="3" t="inlineStr">
        <is>
          <t>Bible emergency numbers blanket draped on a sofa.</t>
        </is>
      </c>
      <c r="L57" s="3" t="inlineStr">
        <is>
          <t>Secondary mockup or folded view showing personalized Bible emergency numbers blanket for girls.</t>
        </is>
      </c>
      <c r="M57" s="3" t="inlineStr">
        <is>
          <t>Custom Christian girl Bible emergency numbers Blanket</t>
        </is>
      </c>
      <c r="N57" s="3" t="inlineStr">
        <is>
          <t>SET</t>
        </is>
      </c>
      <c r="O57" s="3" t="inlineStr">
        <is>
          <t>Personalized Bible Emergency Numbers Blanket product image</t>
        </is>
      </c>
      <c r="P57" s="3" t="inlineStr">
        <is>
          <t>FULL</t>
        </is>
      </c>
      <c r="Q57" s="3" t="inlineStr">
        <is>
          <t>FULL</t>
        </is>
      </c>
      <c r="R57" s="3" t="inlineStr">
        <is>
          <t>FULL</t>
        </is>
      </c>
      <c r="S57" s="3" t="inlineStr">
        <is>
          <t>FULL</t>
        </is>
      </c>
      <c r="T57" s="7">
        <f>IF(P57="FULL",40,IF(P57="PARTIAL",40/2,0))+IF(Q57="FULL",30,IF(Q57="PARTIAL",30/2,0))+IF(R57="FULL",20,IF(R57="PARTIAL",20/2,0))+IF(S57="FULL",10,IF(S57="PARTIAL",10/2,0))</f>
        <v/>
      </c>
      <c r="U57" s="7">
        <f>IF(P57="NOT_CHECKED",0,40)+IF(Q57="NOT_CHECKED",0,30)+IF(R57="NOT_CHECKED",0,20)+IF(S57="NOT_CHECKED",0,10)</f>
        <v/>
      </c>
      <c r="V57" s="7">
        <f>IF(U57=100,T57,"")</f>
        <v/>
      </c>
      <c r="W57" s="7">
        <f>T57</f>
        <v/>
      </c>
      <c r="X57" s="7">
        <f>T57+(100-U57)</f>
        <v/>
      </c>
      <c r="Y57" s="3" t="inlineStr">
        <is>
          <t>[]</t>
        </is>
      </c>
      <c r="Z57" s="3" t="inlineStr">
        <is>
          <t>["seo_runs\\jeminise.com\\20260906_234129\\evidence\\images\\49_custom-christian-girl-bible-emergency-numbers-blanket-d12\\image_02_47830612148423.jpg; seo_runs\\jeminise.com\\20260906_234129\\evidence\\contact_sheets\\49_custom-christian-girl-bible-emergency-numbers-blanket-d12.jpg", "https://jeminise.com/products/custom-christian-girl-bible-emergency-numbers-blanket-d12", "https://cdn.shopify.com/s/files/1/0792/5098/1063/files/436e5921f9b84efd188794029f984801525b46fad95772d3c15a87a21db79f7c.jpg?v=1786596964"]</t>
        </is>
      </c>
      <c r="AA57" s="3" t="inlineStr">
        <is>
          <t>r4</t>
        </is>
      </c>
    </row>
    <row r="58" ht="66" customHeight="1">
      <c r="A58" s="2" t="inlineStr">
        <is>
          <t>jeminise.com+custom-christian-girl-bible-emergency-numbers-blanket-d12</t>
        </is>
      </c>
      <c r="B58" s="2" t="inlineStr">
        <is>
          <t>qaimg_e0717793bd35223e</t>
        </is>
      </c>
      <c r="C58" s="4" t="inlineStr">
        <is>
          <t>https://cdn.shopify.com/s/files/1/0792/5098/1063/files/7ee17d31454eba30bcf0521762be049abe20fe55df9641717b0c05cbd65511ce.jpg?v=1786596964</t>
        </is>
      </c>
      <c r="D58" s="4" t="inlineStr">
        <is>
          <t>https://cdn.shopify.com/s/files/1/0792/5098/1063/files/7ee17d31454eba30bcf0521762be049abe20fe55df9641717b0c05cbd65511ce.jpg?v=1786596964</t>
        </is>
      </c>
      <c r="E58" s="2" t="inlineStr">
        <is>
          <t>38793486270663</t>
        </is>
      </c>
      <c r="F58" s="2" t="inlineStr">
        <is>
          <t>47830612181191</t>
        </is>
      </c>
      <c r="G58" s="2" t="inlineStr"/>
      <c r="H58" s="2" t="inlineStr">
        <is>
          <t>GALLERY</t>
        </is>
      </c>
      <c r="I58" s="2" t="inlineStr">
        <is>
          <t>DIRECT_ORIGINAL_IMAGE_REQA + R4_MEDIA_ID_COMPARISON</t>
        </is>
      </c>
      <c r="J58" s="2" t="inlineStr">
        <is>
          <t>2026-09-07T22:27:03.014477+07:00</t>
        </is>
      </c>
      <c r="K58" s="2" t="inlineStr">
        <is>
          <t>Bedroom mockup of the Bible emergency numbers blanket.</t>
        </is>
      </c>
      <c r="L58" s="2" t="inlineStr">
        <is>
          <t>Personalization, feature or lifestyle image connected to personalized Bible emergency numbers blanket for girls.</t>
        </is>
      </c>
      <c r="M58" s="2" t="inlineStr">
        <is>
          <t>Custom Christian girl Bible emergency numbers Blanket</t>
        </is>
      </c>
      <c r="N58" s="2" t="inlineStr">
        <is>
          <t>SET</t>
        </is>
      </c>
      <c r="O58" s="2" t="inlineStr">
        <is>
          <t>Personalized Bible Emergency Numbers Blanket product image</t>
        </is>
      </c>
      <c r="P58" s="2" t="inlineStr">
        <is>
          <t>FULL</t>
        </is>
      </c>
      <c r="Q58" s="2" t="inlineStr">
        <is>
          <t>FULL</t>
        </is>
      </c>
      <c r="R58" s="2" t="inlineStr">
        <is>
          <t>FULL</t>
        </is>
      </c>
      <c r="S58" s="2" t="inlineStr">
        <is>
          <t>FULL</t>
        </is>
      </c>
      <c r="T58" s="5">
        <f>IF(P58="FULL",40,IF(P58="PARTIAL",40/2,0))+IF(Q58="FULL",30,IF(Q58="PARTIAL",30/2,0))+IF(R58="FULL",20,IF(R58="PARTIAL",20/2,0))+IF(S58="FULL",10,IF(S58="PARTIAL",10/2,0))</f>
        <v/>
      </c>
      <c r="U58" s="5">
        <f>IF(P58="NOT_CHECKED",0,40)+IF(Q58="NOT_CHECKED",0,30)+IF(R58="NOT_CHECKED",0,20)+IF(S58="NOT_CHECKED",0,10)</f>
        <v/>
      </c>
      <c r="V58" s="5">
        <f>IF(U58=100,T58,"")</f>
        <v/>
      </c>
      <c r="W58" s="5">
        <f>T58</f>
        <v/>
      </c>
      <c r="X58" s="5">
        <f>T58+(100-U58)</f>
        <v/>
      </c>
      <c r="Y58" s="2" t="inlineStr">
        <is>
          <t>[]</t>
        </is>
      </c>
      <c r="Z58" s="2" t="inlineStr">
        <is>
          <t>["seo_runs\\jeminise.com\\20260906_234129\\evidence\\images\\49_custom-christian-girl-bible-emergency-numbers-blanket-d12\\image_03_47830612181191.jpg; seo_runs\\jeminise.com\\20260906_234129\\evidence\\contact_sheets\\49_custom-christian-girl-bible-emergency-numbers-blanket-d12.jpg", "https://jeminise.com/products/custom-christian-girl-bible-emergency-numbers-blanket-d12", "https://cdn.shopify.com/s/files/1/0792/5098/1063/files/7ee17d31454eba30bcf0521762be049abe20fe55df9641717b0c05cbd65511ce.jpg?v=1786596964"]</t>
        </is>
      </c>
      <c r="AA58" s="2" t="inlineStr">
        <is>
          <t>r4</t>
        </is>
      </c>
    </row>
    <row r="59" ht="66" customHeight="1">
      <c r="A59" s="3" t="inlineStr">
        <is>
          <t>jeminise.com+custom-christian-girl-bible-emergency-numbers-blanket-d12</t>
        </is>
      </c>
      <c r="B59" s="3" t="inlineStr">
        <is>
          <t>qaimg_3a48b1e5eeba6c7d</t>
        </is>
      </c>
      <c r="C59" s="4" t="inlineStr">
        <is>
          <t>https://cdn.shopify.com/s/files/1/0792/5098/1063/files/8549f12737f3bee15ec5ff5f0e389f562e4a12f57f83d476fc1953431b959ea0.jpg?v=1786596964</t>
        </is>
      </c>
      <c r="D59" s="4" t="inlineStr">
        <is>
          <t>https://cdn.shopify.com/s/files/1/0792/5098/1063/files/8549f12737f3bee15ec5ff5f0e389f562e4a12f57f83d476fc1953431b959ea0.jpg?v=1786596964</t>
        </is>
      </c>
      <c r="E59" s="3" t="inlineStr">
        <is>
          <t>38793486303431</t>
        </is>
      </c>
      <c r="F59" s="3" t="inlineStr">
        <is>
          <t>47830612213959</t>
        </is>
      </c>
      <c r="G59" s="3" t="inlineStr"/>
      <c r="H59" s="3" t="inlineStr">
        <is>
          <t>GALLERY</t>
        </is>
      </c>
      <c r="I59" s="3" t="inlineStr">
        <is>
          <t>DIRECT_ORIGINAL_IMAGE_REQA + R4_MEDIA_ID_COMPARISON</t>
        </is>
      </c>
      <c r="J59" s="3" t="inlineStr">
        <is>
          <t>2026-09-07T22:27:03.014477+07:00</t>
        </is>
      </c>
      <c r="K59" s="3" t="inlineStr">
        <is>
          <t>60-inch blanket usage/size diagram.</t>
        </is>
      </c>
      <c r="L59" s="3" t="inlineStr">
        <is>
          <t>Close detail, care feature or sizing information for personalized Bible emergency numbers blanket for girls.</t>
        </is>
      </c>
      <c r="M59" s="3" t="inlineStr">
        <is>
          <t>Custom Christian girl Bible emergency numbers Blanket</t>
        </is>
      </c>
      <c r="N59" s="3" t="inlineStr">
        <is>
          <t>SET</t>
        </is>
      </c>
      <c r="O59" s="3" t="inlineStr">
        <is>
          <t>Personalized Bible Emergency Numbers Blanket product image</t>
        </is>
      </c>
      <c r="P59" s="3" t="inlineStr">
        <is>
          <t>FULL</t>
        </is>
      </c>
      <c r="Q59" s="3" t="inlineStr">
        <is>
          <t>FULL</t>
        </is>
      </c>
      <c r="R59" s="3" t="inlineStr">
        <is>
          <t>FULL</t>
        </is>
      </c>
      <c r="S59" s="3" t="inlineStr">
        <is>
          <t>FULL</t>
        </is>
      </c>
      <c r="T59" s="7">
        <f>IF(P59="FULL",40,IF(P59="PARTIAL",40/2,0))+IF(Q59="FULL",30,IF(Q59="PARTIAL",30/2,0))+IF(R59="FULL",20,IF(R59="PARTIAL",20/2,0))+IF(S59="FULL",10,IF(S59="PARTIAL",10/2,0))</f>
        <v/>
      </c>
      <c r="U59" s="7">
        <f>IF(P59="NOT_CHECKED",0,40)+IF(Q59="NOT_CHECKED",0,30)+IF(R59="NOT_CHECKED",0,20)+IF(S59="NOT_CHECKED",0,10)</f>
        <v/>
      </c>
      <c r="V59" s="7">
        <f>IF(U59=100,T59,"")</f>
        <v/>
      </c>
      <c r="W59" s="7">
        <f>T59</f>
        <v/>
      </c>
      <c r="X59" s="7">
        <f>T59+(100-U59)</f>
        <v/>
      </c>
      <c r="Y59" s="3" t="inlineStr">
        <is>
          <t>[]</t>
        </is>
      </c>
      <c r="Z59" s="3" t="inlineStr">
        <is>
          <t>["seo_runs\\jeminise.com\\20260906_234129\\evidence\\images\\49_custom-christian-girl-bible-emergency-numbers-blanket-d12\\image_04_47830612213959.jpg; seo_runs\\jeminise.com\\20260906_234129\\evidence\\contact_sheets\\49_custom-christian-girl-bible-emergency-numbers-blanket-d12.jpg", "https://jeminise.com/products/custom-christian-girl-bible-emergency-numbers-blanket-d12", "https://cdn.shopify.com/s/files/1/0792/5098/1063/files/8549f12737f3bee15ec5ff5f0e389f562e4a12f57f83d476fc1953431b959ea0.jpg?v=1786596964"]</t>
        </is>
      </c>
      <c r="AA59" s="3" t="inlineStr">
        <is>
          <t>r4</t>
        </is>
      </c>
    </row>
    <row r="60" ht="66" customHeight="1">
      <c r="A60" s="2" t="inlineStr">
        <is>
          <t>jeminise.com+custom-christian-girl-bible-emergency-numbers-blanket-d12</t>
        </is>
      </c>
      <c r="B60" s="2" t="inlineStr">
        <is>
          <t>qaimg_e2d77a3e5274e02c</t>
        </is>
      </c>
      <c r="C60" s="4" t="inlineStr">
        <is>
          <t>https://cdn.shopify.com/s/files/1/0792/5098/1063/files/d519d490e5587d4b52484078e51341d64ed6adf81ffbcef73997e4469eee174c.jpg?v=1786596964</t>
        </is>
      </c>
      <c r="D60" s="4" t="inlineStr">
        <is>
          <t>https://cdn.shopify.com/s/files/1/0792/5098/1063/files/d519d490e5587d4b52484078e51341d64ed6adf81ffbcef73997e4469eee174c.jpg?v=1786596964</t>
        </is>
      </c>
      <c r="E60" s="2" t="inlineStr">
        <is>
          <t>38793486336199</t>
        </is>
      </c>
      <c r="F60" s="2" t="inlineStr">
        <is>
          <t>47830612246727</t>
        </is>
      </c>
      <c r="G60" s="2" t="inlineStr"/>
      <c r="H60" s="2" t="inlineStr">
        <is>
          <t>GALLERY</t>
        </is>
      </c>
      <c r="I60" s="2" t="inlineStr">
        <is>
          <t>DIRECT_ORIGINAL_IMAGE_REQA + R4_MEDIA_ID_COMPARISON</t>
        </is>
      </c>
      <c r="J60" s="2" t="inlineStr">
        <is>
          <t>2026-09-07T22:27:03.014477+07:00</t>
        </is>
      </c>
      <c r="K60" s="2" t="inlineStr">
        <is>
          <t>Bed-and-reading lifestyle scene with the blanket and a dog.</t>
        </is>
      </c>
      <c r="L60" s="2" t="inlineStr">
        <is>
          <t>Material, wash or comfort feature image for personalized Bible emergency numbers blanket for girls.</t>
        </is>
      </c>
      <c r="M60" s="2" t="inlineStr">
        <is>
          <t>Custom Christian girl Bible emergency numbers Blanket</t>
        </is>
      </c>
      <c r="N60" s="2" t="inlineStr">
        <is>
          <t>SET</t>
        </is>
      </c>
      <c r="O60" s="2" t="inlineStr">
        <is>
          <t>Personalized Bible Emergency Numbers Blanket product image</t>
        </is>
      </c>
      <c r="P60" s="2" t="inlineStr">
        <is>
          <t>FULL</t>
        </is>
      </c>
      <c r="Q60" s="2" t="inlineStr">
        <is>
          <t>FULL</t>
        </is>
      </c>
      <c r="R60" s="2" t="inlineStr">
        <is>
          <t>FULL</t>
        </is>
      </c>
      <c r="S60" s="2" t="inlineStr">
        <is>
          <t>FULL</t>
        </is>
      </c>
      <c r="T60" s="5">
        <f>IF(P60="FULL",40,IF(P60="PARTIAL",40/2,0))+IF(Q60="FULL",30,IF(Q60="PARTIAL",30/2,0))+IF(R60="FULL",20,IF(R60="PARTIAL",20/2,0))+IF(S60="FULL",10,IF(S60="PARTIAL",10/2,0))</f>
        <v/>
      </c>
      <c r="U60" s="5">
        <f>IF(P60="NOT_CHECKED",0,40)+IF(Q60="NOT_CHECKED",0,30)+IF(R60="NOT_CHECKED",0,20)+IF(S60="NOT_CHECKED",0,10)</f>
        <v/>
      </c>
      <c r="V60" s="5">
        <f>IF(U60=100,T60,"")</f>
        <v/>
      </c>
      <c r="W60" s="5">
        <f>T60</f>
        <v/>
      </c>
      <c r="X60" s="5">
        <f>T60+(100-U60)</f>
        <v/>
      </c>
      <c r="Y60" s="2" t="inlineStr">
        <is>
          <t>[]</t>
        </is>
      </c>
      <c r="Z60" s="2" t="inlineStr">
        <is>
          <t>["seo_runs\\jeminise.com\\20260906_234129\\evidence\\images\\49_custom-christian-girl-bible-emergency-numbers-blanket-d12\\image_05_47830612246727.jpg; seo_runs\\jeminise.com\\20260906_234129\\evidence\\contact_sheets\\49_custom-christian-girl-bible-emergency-numbers-blanket-d12.jpg", "https://jeminise.com/products/custom-christian-girl-bible-emergency-numbers-blanket-d12", "https://cdn.shopify.com/s/files/1/0792/5098/1063/files/d519d490e5587d4b52484078e51341d64ed6adf81ffbcef73997e4469eee174c.jpg?v=1786596964"]</t>
        </is>
      </c>
      <c r="AA60" s="2" t="inlineStr">
        <is>
          <t>r4</t>
        </is>
      </c>
    </row>
    <row r="61" ht="66" customHeight="1">
      <c r="A61" s="3" t="inlineStr">
        <is>
          <t>jeminise.com+custom-christian-girl-bible-emergency-numbers-blanket-d12</t>
        </is>
      </c>
      <c r="B61" s="3" t="inlineStr">
        <is>
          <t>qaimg_4c3bb69e99684e16</t>
        </is>
      </c>
      <c r="C61" s="4" t="inlineStr">
        <is>
          <t>https://cdn.shopify.com/s/files/1/0792/5098/1063/files/ccb855a91f88b48bc6150279c00c849e18b8cc53d574ca2d6eed810aaf99b869_6a60546d-9b59-4ac8-b6f6-5842b3d4d2f8.jpg?v=1786596964</t>
        </is>
      </c>
      <c r="D61" s="4" t="inlineStr">
        <is>
          <t>https://cdn.shopify.com/s/files/1/0792/5098/1063/files/ccb855a91f88b48bc6150279c00c849e18b8cc53d574ca2d6eed810aaf99b869_6a60546d-9b59-4ac8-b6f6-5842b3d4d2f8.jpg?v=1786596964</t>
        </is>
      </c>
      <c r="E61" s="3" t="inlineStr">
        <is>
          <t>38793486368967</t>
        </is>
      </c>
      <c r="F61" s="3" t="inlineStr">
        <is>
          <t>47830612279495</t>
        </is>
      </c>
      <c r="G61" s="3" t="inlineStr"/>
      <c r="H61" s="3" t="inlineStr">
        <is>
          <t>GALLERY</t>
        </is>
      </c>
      <c r="I61" s="3" t="inlineStr">
        <is>
          <t>DIRECT_ORIGINAL_IMAGE_REQA + R4_MEDIA_ID_COMPARISON</t>
        </is>
      </c>
      <c r="J61" s="3" t="inlineStr">
        <is>
          <t>2026-09-07T22:27:03.014477+07:00</t>
        </is>
      </c>
      <c r="K61" s="3" t="inlineStr">
        <is>
          <t>Birth-month flower selection chart, not a blanket mockup.</t>
        </is>
      </c>
      <c r="L61" s="3" t="inlineStr">
        <is>
          <t>Size guide, feature panel or additional mockup for personalized Bible emergency numbers blanket for girls.</t>
        </is>
      </c>
      <c r="M61" s="3" t="inlineStr">
        <is>
          <t>Custom Christian girl Bible emergency numbers Blanket</t>
        </is>
      </c>
      <c r="N61" s="3" t="inlineStr">
        <is>
          <t>SET</t>
        </is>
      </c>
      <c r="O61" s="3" t="inlineStr">
        <is>
          <t>Personalized Bible Emergency Numbers Blanket product image</t>
        </is>
      </c>
      <c r="P61" s="3" t="inlineStr">
        <is>
          <t>FULL</t>
        </is>
      </c>
      <c r="Q61" s="3" t="inlineStr">
        <is>
          <t>FULL</t>
        </is>
      </c>
      <c r="R61" s="3" t="inlineStr">
        <is>
          <t>FULL</t>
        </is>
      </c>
      <c r="S61" s="3" t="inlineStr">
        <is>
          <t>FULL</t>
        </is>
      </c>
      <c r="T61" s="7">
        <f>IF(P61="FULL",40,IF(P61="PARTIAL",40/2,0))+IF(Q61="FULL",30,IF(Q61="PARTIAL",30/2,0))+IF(R61="FULL",20,IF(R61="PARTIAL",20/2,0))+IF(S61="FULL",10,IF(S61="PARTIAL",10/2,0))</f>
        <v/>
      </c>
      <c r="U61" s="7">
        <f>IF(P61="NOT_CHECKED",0,40)+IF(Q61="NOT_CHECKED",0,30)+IF(R61="NOT_CHECKED",0,20)+IF(S61="NOT_CHECKED",0,10)</f>
        <v/>
      </c>
      <c r="V61" s="7">
        <f>IF(U61=100,T61,"")</f>
        <v/>
      </c>
      <c r="W61" s="7">
        <f>T61</f>
        <v/>
      </c>
      <c r="X61" s="7">
        <f>T61+(100-U61)</f>
        <v/>
      </c>
      <c r="Y61" s="3" t="inlineStr">
        <is>
          <t>[]</t>
        </is>
      </c>
      <c r="Z61" s="3" t="inlineStr">
        <is>
          <t>["seo_runs\\jeminise.com\\20260906_234129\\evidence\\images\\49_custom-christian-girl-bible-emergency-numbers-blanket-d12\\image_06_47830612279495.jpg; seo_runs\\jeminise.com\\20260906_234129\\evidence\\contact_sheets\\49_custom-christian-girl-bible-emergency-numbers-blanket-d12.jpg", "https://jeminise.com/products/custom-christian-girl-bible-emergency-numbers-blanket-d12", "https://cdn.shopify.com/s/files/1/0792/5098/1063/files/ccb855a91f88b48bc6150279c00c849e18b8cc53d574ca2d6eed810aaf99b869_6a60546d-9b59-4ac8-b6f6-5842b3d4d2f8.jpg?v=1786596964"]</t>
        </is>
      </c>
      <c r="AA61" s="3" t="inlineStr">
        <is>
          <t>r4</t>
        </is>
      </c>
    </row>
    <row r="62" ht="66" customHeight="1">
      <c r="A62" s="2" t="inlineStr">
        <is>
          <t>jeminise.com+custom-christian-girl-bible-emergency-numbers-blanket-d12</t>
        </is>
      </c>
      <c r="B62" s="2" t="inlineStr">
        <is>
          <t>qaimg_ef1489540dfc9682</t>
        </is>
      </c>
      <c r="C62" s="4" t="inlineStr">
        <is>
          <t>https://cdn.shopify.com/s/files/1/0792/5098/1063/files/833e6afd5fbc7b151ab7f92eeb0067af26b00a56ec3166519690569db08b1b56.jpg?v=1786596964</t>
        </is>
      </c>
      <c r="D62" s="4" t="inlineStr">
        <is>
          <t>https://cdn.shopify.com/s/files/1/0792/5098/1063/files/833e6afd5fbc7b151ab7f92eeb0067af26b00a56ec3166519690569db08b1b56.jpg?v=1786596964</t>
        </is>
      </c>
      <c r="E62" s="2" t="inlineStr">
        <is>
          <t>38793486401735</t>
        </is>
      </c>
      <c r="F62" s="2" t="inlineStr">
        <is>
          <t>47830612312263</t>
        </is>
      </c>
      <c r="G62" s="2" t="inlineStr"/>
      <c r="H62" s="2" t="inlineStr">
        <is>
          <t>GALLERY</t>
        </is>
      </c>
      <c r="I62" s="2" t="inlineStr">
        <is>
          <t>DIRECT_ORIGINAL_IMAGE_REQA + R4_MEDIA_ID_COMPARISON</t>
        </is>
      </c>
      <c r="J62" s="2" t="inlineStr">
        <is>
          <t>2026-09-07T22:27:03.014477+07:00</t>
        </is>
      </c>
      <c r="K62" s="2" t="inlineStr">
        <is>
          <t>Close lifestyle view of the blanket with a reader and mug.</t>
        </is>
      </c>
      <c r="L62" s="2" t="inlineStr">
        <is>
          <t>Additional lifestyle, feature or product detail image showing personalized Bible emergency numbers blanket for girls.</t>
        </is>
      </c>
      <c r="M62" s="2" t="inlineStr">
        <is>
          <t>Custom Christian girl Bible emergency numbers Blanket</t>
        </is>
      </c>
      <c r="N62" s="2" t="inlineStr">
        <is>
          <t>SET</t>
        </is>
      </c>
      <c r="O62" s="2" t="inlineStr">
        <is>
          <t>Personalized Bible Emergency Numbers Blanket product image</t>
        </is>
      </c>
      <c r="P62" s="2" t="inlineStr">
        <is>
          <t>FULL</t>
        </is>
      </c>
      <c r="Q62" s="2" t="inlineStr">
        <is>
          <t>FULL</t>
        </is>
      </c>
      <c r="R62" s="2" t="inlineStr">
        <is>
          <t>FULL</t>
        </is>
      </c>
      <c r="S62" s="2" t="inlineStr">
        <is>
          <t>FULL</t>
        </is>
      </c>
      <c r="T62" s="5">
        <f>IF(P62="FULL",40,IF(P62="PARTIAL",40/2,0))+IF(Q62="FULL",30,IF(Q62="PARTIAL",30/2,0))+IF(R62="FULL",20,IF(R62="PARTIAL",20/2,0))+IF(S62="FULL",10,IF(S62="PARTIAL",10/2,0))</f>
        <v/>
      </c>
      <c r="U62" s="5">
        <f>IF(P62="NOT_CHECKED",0,40)+IF(Q62="NOT_CHECKED",0,30)+IF(R62="NOT_CHECKED",0,20)+IF(S62="NOT_CHECKED",0,10)</f>
        <v/>
      </c>
      <c r="V62" s="5">
        <f>IF(U62=100,T62,"")</f>
        <v/>
      </c>
      <c r="W62" s="5">
        <f>T62</f>
        <v/>
      </c>
      <c r="X62" s="5">
        <f>T62+(100-U62)</f>
        <v/>
      </c>
      <c r="Y62" s="2" t="inlineStr">
        <is>
          <t>[]</t>
        </is>
      </c>
      <c r="Z62" s="2" t="inlineStr">
        <is>
          <t>["seo_runs\\jeminise.com\\20260906_234129\\evidence\\images\\49_custom-christian-girl-bible-emergency-numbers-blanket-d12\\image_07_47830612312263.jpg; seo_runs\\jeminise.com\\20260906_234129\\evidence\\contact_sheets\\49_custom-christian-girl-bible-emergency-numbers-blanket-d12.jpg", "https://jeminise.com/products/custom-christian-girl-bible-emergency-numbers-blanket-d12", "https://cdn.shopify.com/s/files/1/0792/5098/1063/files/833e6afd5fbc7b151ab7f92eeb0067af26b00a56ec3166519690569db08b1b56.jpg?v=1786596964"]</t>
        </is>
      </c>
      <c r="AA62" s="2" t="inlineStr">
        <is>
          <t>r4</t>
        </is>
      </c>
    </row>
    <row r="63" ht="66" customHeight="1">
      <c r="A63" s="3" t="inlineStr">
        <is>
          <t>jeminise.com+custom-christian-girl-bible-emergency-numbers-blanket-d12</t>
        </is>
      </c>
      <c r="B63" s="3" t="inlineStr">
        <is>
          <t>qaimg_1aa2cc47fbc8cb82</t>
        </is>
      </c>
      <c r="C63" s="4" t="inlineStr">
        <is>
          <t>https://cdn.shopify.com/s/files/1/0792/5098/1063/files/cff961958bdb42a227b5dc21167a19c8a59d040b501ecb50723701f9b49aaf52.jpg?v=1786596964</t>
        </is>
      </c>
      <c r="D63" s="4" t="inlineStr">
        <is>
          <t>https://cdn.shopify.com/s/files/1/0792/5098/1063/files/cff961958bdb42a227b5dc21167a19c8a59d040b501ecb50723701f9b49aaf52.jpg?v=1786596964</t>
        </is>
      </c>
      <c r="E63" s="3" t="inlineStr">
        <is>
          <t>38793486434503</t>
        </is>
      </c>
      <c r="F63" s="3" t="inlineStr">
        <is>
          <t>47830612345031</t>
        </is>
      </c>
      <c r="G63" s="3" t="inlineStr"/>
      <c r="H63" s="3" t="inlineStr">
        <is>
          <t>GALLERY</t>
        </is>
      </c>
      <c r="I63" s="3" t="inlineStr">
        <is>
          <t>DIRECT_ORIGINAL_IMAGE_REQA + R4_MEDIA_ID_COMPARISON</t>
        </is>
      </c>
      <c r="J63" s="3" t="inlineStr">
        <is>
          <t>2026-09-07T22:27:03.014477+07:00</t>
        </is>
      </c>
      <c r="K63" s="3" t="inlineStr">
        <is>
          <t>Blanket fabric-feature panel.</t>
        </is>
      </c>
      <c r="L63" s="3" t="inlineStr">
        <is>
          <t>Additional lifestyle, feature or product detail image showing personalized Bible emergency numbers blanket for girls.</t>
        </is>
      </c>
      <c r="M63" s="3" t="inlineStr">
        <is>
          <t>Custom Christian girl Bible emergency numbers Blanket</t>
        </is>
      </c>
      <c r="N63" s="3" t="inlineStr">
        <is>
          <t>SET</t>
        </is>
      </c>
      <c r="O63" s="3" t="inlineStr">
        <is>
          <t>Personalized Bible Emergency Numbers Blanket product image</t>
        </is>
      </c>
      <c r="P63" s="3" t="inlineStr">
        <is>
          <t>FULL</t>
        </is>
      </c>
      <c r="Q63" s="3" t="inlineStr">
        <is>
          <t>FULL</t>
        </is>
      </c>
      <c r="R63" s="3" t="inlineStr">
        <is>
          <t>FULL</t>
        </is>
      </c>
      <c r="S63" s="3" t="inlineStr">
        <is>
          <t>FULL</t>
        </is>
      </c>
      <c r="T63" s="7">
        <f>IF(P63="FULL",40,IF(P63="PARTIAL",40/2,0))+IF(Q63="FULL",30,IF(Q63="PARTIAL",30/2,0))+IF(R63="FULL",20,IF(R63="PARTIAL",20/2,0))+IF(S63="FULL",10,IF(S63="PARTIAL",10/2,0))</f>
        <v/>
      </c>
      <c r="U63" s="7">
        <f>IF(P63="NOT_CHECKED",0,40)+IF(Q63="NOT_CHECKED",0,30)+IF(R63="NOT_CHECKED",0,20)+IF(S63="NOT_CHECKED",0,10)</f>
        <v/>
      </c>
      <c r="V63" s="7">
        <f>IF(U63=100,T63,"")</f>
        <v/>
      </c>
      <c r="W63" s="7">
        <f>T63</f>
        <v/>
      </c>
      <c r="X63" s="7">
        <f>T63+(100-U63)</f>
        <v/>
      </c>
      <c r="Y63" s="3" t="inlineStr">
        <is>
          <t>[]</t>
        </is>
      </c>
      <c r="Z63" s="3" t="inlineStr">
        <is>
          <t>["seo_runs\\jeminise.com\\20260906_234129\\evidence\\images\\49_custom-christian-girl-bible-emergency-numbers-blanket-d12\\image_08_47830612345031.jpg; seo_runs\\jeminise.com\\20260906_234129\\evidence\\contact_sheets\\49_custom-christian-girl-bible-emergency-numbers-blanket-d12.jpg", "https://jeminise.com/products/custom-christian-girl-bible-emergency-numbers-blanket-d12", "https://cdn.shopify.com/s/files/1/0792/5098/1063/files/cff961958bdb42a227b5dc21167a19c8a59d040b501ecb50723701f9b49aaf52.jpg?v=1786596964"]</t>
        </is>
      </c>
      <c r="AA63" s="3" t="inlineStr">
        <is>
          <t>r4</t>
        </is>
      </c>
    </row>
    <row r="64" ht="66" customHeight="1">
      <c r="A64" s="2" t="inlineStr">
        <is>
          <t>jeminise.com+custom-christian-girl-bible-emergency-numbers-blanket-d12</t>
        </is>
      </c>
      <c r="B64" s="2" t="inlineStr">
        <is>
          <t>qaimg_5ab6d7e8adacfd20</t>
        </is>
      </c>
      <c r="C64" s="4" t="inlineStr">
        <is>
          <t>https://cdn.shopify.com/s/files/1/0792/5098/1063/files/668fa35dea61c8362a3121e2bd433091aa8dbda948fc90bac71e900f6e974dda.jpg?v=1786596964</t>
        </is>
      </c>
      <c r="D64" s="4" t="inlineStr">
        <is>
          <t>https://cdn.shopify.com/s/files/1/0792/5098/1063/files/668fa35dea61c8362a3121e2bd433091aa8dbda948fc90bac71e900f6e974dda.jpg?v=1786596964</t>
        </is>
      </c>
      <c r="E64" s="2" t="inlineStr">
        <is>
          <t>38793486467271</t>
        </is>
      </c>
      <c r="F64" s="2" t="inlineStr">
        <is>
          <t>47830612377799</t>
        </is>
      </c>
      <c r="G64" s="2" t="inlineStr"/>
      <c r="H64" s="2" t="inlineStr">
        <is>
          <t>GALLERY</t>
        </is>
      </c>
      <c r="I64" s="2" t="inlineStr">
        <is>
          <t>DIRECT_ORIGINAL_IMAGE_REQA + R4_MEDIA_ID_COMPARISON</t>
        </is>
      </c>
      <c r="J64" s="2" t="inlineStr">
        <is>
          <t>2026-09-07T22:27:03.014477+07:00</t>
        </is>
      </c>
      <c r="K64" s="2" t="inlineStr">
        <is>
          <t>Blanket detail and fabric collage.</t>
        </is>
      </c>
      <c r="L64" s="2" t="inlineStr">
        <is>
          <t>Additional lifestyle, feature or product detail image showing personalized Bible emergency numbers blanket for girls.</t>
        </is>
      </c>
      <c r="M64" s="2" t="inlineStr">
        <is>
          <t>Custom Christian girl Bible emergency numbers Blanket</t>
        </is>
      </c>
      <c r="N64" s="2" t="inlineStr">
        <is>
          <t>SET</t>
        </is>
      </c>
      <c r="O64" s="2" t="inlineStr">
        <is>
          <t>Personalized Bible Emergency Numbers Blanket product image</t>
        </is>
      </c>
      <c r="P64" s="2" t="inlineStr">
        <is>
          <t>FULL</t>
        </is>
      </c>
      <c r="Q64" s="2" t="inlineStr">
        <is>
          <t>FULL</t>
        </is>
      </c>
      <c r="R64" s="2" t="inlineStr">
        <is>
          <t>FULL</t>
        </is>
      </c>
      <c r="S64" s="2" t="inlineStr">
        <is>
          <t>FULL</t>
        </is>
      </c>
      <c r="T64" s="5">
        <f>IF(P64="FULL",40,IF(P64="PARTIAL",40/2,0))+IF(Q64="FULL",30,IF(Q64="PARTIAL",30/2,0))+IF(R64="FULL",20,IF(R64="PARTIAL",20/2,0))+IF(S64="FULL",10,IF(S64="PARTIAL",10/2,0))</f>
        <v/>
      </c>
      <c r="U64" s="5">
        <f>IF(P64="NOT_CHECKED",0,40)+IF(Q64="NOT_CHECKED",0,30)+IF(R64="NOT_CHECKED",0,20)+IF(S64="NOT_CHECKED",0,10)</f>
        <v/>
      </c>
      <c r="V64" s="5">
        <f>IF(U64=100,T64,"")</f>
        <v/>
      </c>
      <c r="W64" s="5">
        <f>T64</f>
        <v/>
      </c>
      <c r="X64" s="5">
        <f>T64+(100-U64)</f>
        <v/>
      </c>
      <c r="Y64" s="2" t="inlineStr">
        <is>
          <t>[]</t>
        </is>
      </c>
      <c r="Z64" s="2" t="inlineStr">
        <is>
          <t>["seo_runs\\jeminise.com\\20260906_234129\\evidence\\images\\49_custom-christian-girl-bible-emergency-numbers-blanket-d12\\image_09_47830612377799.jpg; seo_runs\\jeminise.com\\20260906_234129\\evidence\\contact_sheets\\49_custom-christian-girl-bible-emergency-numbers-blanket-d12.jpg", "https://jeminise.com/products/custom-christian-girl-bible-emergency-numbers-blanket-d12", "https://cdn.shopify.com/s/files/1/0792/5098/1063/files/668fa35dea61c8362a3121e2bd433091aa8dbda948fc90bac71e900f6e974dda.jpg?v=1786596964"]</t>
        </is>
      </c>
      <c r="AA64" s="2" t="inlineStr">
        <is>
          <t>r4</t>
        </is>
      </c>
    </row>
    <row r="65" ht="66" customHeight="1">
      <c r="A65" s="3" t="inlineStr">
        <is>
          <t>jeminise.com+custom-christian-inspirational-sophia-blanket-machine-washable-d11</t>
        </is>
      </c>
      <c r="B65" s="3" t="inlineStr">
        <is>
          <t>qaimg_63bc9109c08f3ed2</t>
        </is>
      </c>
      <c r="C65" s="4" t="inlineStr">
        <is>
          <t>https://cdn.shopify.com/s/files/1/0792/5098/1063/files/64645971a4bbefd9dd18e9af52e87c04a6682f6a06adfa46b06f5e449480de9f.jpg?v=1786596381</t>
        </is>
      </c>
      <c r="D65" s="4" t="inlineStr">
        <is>
          <t>https://cdn.shopify.com/s/files/1/0792/5098/1063/files/64645971a4bbefd9dd18e9af52e87c04a6682f6a06adfa46b06f5e449480de9f.jpg?v=1786596381</t>
        </is>
      </c>
      <c r="E65" s="3" t="inlineStr">
        <is>
          <t>38793351659719</t>
        </is>
      </c>
      <c r="F65" s="3" t="inlineStr">
        <is>
          <t>47830476619975</t>
        </is>
      </c>
      <c r="G65" s="3" t="inlineStr"/>
      <c r="H65" s="3" t="inlineStr">
        <is>
          <t>GALLERY</t>
        </is>
      </c>
      <c r="I65" s="3" t="inlineStr">
        <is>
          <t>DIRECT_ORIGINAL_IMAGE_REQA + R4_MEDIA_ID_COMPARISON</t>
        </is>
      </c>
      <c r="J65" s="3" t="inlineStr">
        <is>
          <t>2026-09-07T22:27:03.014477+07:00</t>
        </is>
      </c>
      <c r="K65" s="3" t="inlineStr">
        <is>
          <t>Woman holding a Dear Sophia Christian affirmation blanket with cartoon girl and flower graphic.</t>
        </is>
      </c>
      <c r="L65" s="3" t="inlineStr">
        <is>
          <t>Main product mockup showing personalized Christian Sophia inspirational blanket.</t>
        </is>
      </c>
      <c r="M65" s="3" t="inlineStr">
        <is>
          <t>Custom Christian Inspirational Sophia Blanket, Machine Washable</t>
        </is>
      </c>
      <c r="N65" s="3" t="inlineStr">
        <is>
          <t>SET</t>
        </is>
      </c>
      <c r="O65" s="3" t="inlineStr">
        <is>
          <t>Personalized Christian Affirmation Blanket for Girls product image</t>
        </is>
      </c>
      <c r="P65" s="3" t="inlineStr">
        <is>
          <t>FULL</t>
        </is>
      </c>
      <c r="Q65" s="3" t="inlineStr">
        <is>
          <t>FULL</t>
        </is>
      </c>
      <c r="R65" s="3" t="inlineStr">
        <is>
          <t>FULL</t>
        </is>
      </c>
      <c r="S65" s="3" t="inlineStr">
        <is>
          <t>FULL</t>
        </is>
      </c>
      <c r="T65" s="7">
        <f>IF(P65="FULL",40,IF(P65="PARTIAL",40/2,0))+IF(Q65="FULL",30,IF(Q65="PARTIAL",30/2,0))+IF(R65="FULL",20,IF(R65="PARTIAL",20/2,0))+IF(S65="FULL",10,IF(S65="PARTIAL",10/2,0))</f>
        <v/>
      </c>
      <c r="U65" s="7">
        <f>IF(P65="NOT_CHECKED",0,40)+IF(Q65="NOT_CHECKED",0,30)+IF(R65="NOT_CHECKED",0,20)+IF(S65="NOT_CHECKED",0,10)</f>
        <v/>
      </c>
      <c r="V65" s="7">
        <f>IF(U65=100,T65,"")</f>
        <v/>
      </c>
      <c r="W65" s="7">
        <f>T65</f>
        <v/>
      </c>
      <c r="X65" s="7">
        <f>T65+(100-U65)</f>
        <v/>
      </c>
      <c r="Y65" s="3" t="inlineStr">
        <is>
          <t>[]</t>
        </is>
      </c>
      <c r="Z65" s="3" t="inlineStr">
        <is>
          <t>["seo_runs\\jeminise.com\\20260906_234129\\evidence\\images\\50_custom-christian-inspirational-sophia-blanket-machine-washable-d11\\image_01_47830476619975.jpg; seo_runs\\jeminise.com\\20260906_234129\\evidence\\contact_sheets\\50_custom-christian-inspirational-sophia-blanket-machine-washable-d11.jpg", "https://jeminise.com/products/custom-christian-inspirational-sophia-blanket-machine-washable-d11", "https://cdn.shopify.com/s/files/1/0792/5098/1063/files/64645971a4bbefd9dd18e9af52e87c04a6682f6a06adfa46b06f5e449480de9f.jpg?v=1786596381"]</t>
        </is>
      </c>
      <c r="AA65" s="3" t="inlineStr">
        <is>
          <t>r4</t>
        </is>
      </c>
    </row>
    <row r="66" ht="66" customHeight="1">
      <c r="A66" s="2" t="inlineStr">
        <is>
          <t>jeminise.com+custom-christian-inspirational-sophia-blanket-machine-washable-d11</t>
        </is>
      </c>
      <c r="B66" s="2" t="inlineStr">
        <is>
          <t>qaimg_f1c2c4ccea6ebfaf</t>
        </is>
      </c>
      <c r="C66" s="4" t="inlineStr">
        <is>
          <t>https://cdn.shopify.com/s/files/1/0792/5098/1063/files/7b62f2168e7a1d45566ff77b84d97885b429d47d303031055b65e26e885bc065.jpg?v=1786596381</t>
        </is>
      </c>
      <c r="D66" s="4" t="inlineStr">
        <is>
          <t>https://cdn.shopify.com/s/files/1/0792/5098/1063/files/7b62f2168e7a1d45566ff77b84d97885b429d47d303031055b65e26e885bc065.jpg?v=1786596381</t>
        </is>
      </c>
      <c r="E66" s="2" t="inlineStr">
        <is>
          <t>38793351692487</t>
        </is>
      </c>
      <c r="F66" s="2" t="inlineStr">
        <is>
          <t>47830476652743</t>
        </is>
      </c>
      <c r="G66" s="2" t="inlineStr"/>
      <c r="H66" s="2" t="inlineStr">
        <is>
          <t>GALLERY</t>
        </is>
      </c>
      <c r="I66" s="2" t="inlineStr">
        <is>
          <t>DIRECT_ORIGINAL_IMAGE_REQA + R4_MEDIA_ID_COMPARISON</t>
        </is>
      </c>
      <c r="J66" s="2" t="inlineStr">
        <is>
          <t>2026-09-07T22:27:03.014477+07:00</t>
        </is>
      </c>
      <c r="K66" s="2" t="inlineStr">
        <is>
          <t>Bedroom mockup of the Dear Sophia blanket.</t>
        </is>
      </c>
      <c r="L66" s="2" t="inlineStr">
        <is>
          <t>Secondary mockup or folded view showing personalized Christian Sophia inspirational blanket.</t>
        </is>
      </c>
      <c r="M66" s="2" t="inlineStr">
        <is>
          <t>Custom Christian Inspirational Sophia Blanket, Machine Washable</t>
        </is>
      </c>
      <c r="N66" s="2" t="inlineStr">
        <is>
          <t>SET</t>
        </is>
      </c>
      <c r="O66" s="2" t="inlineStr">
        <is>
          <t>Personalized Christian Affirmation Blanket for Girls product image</t>
        </is>
      </c>
      <c r="P66" s="2" t="inlineStr">
        <is>
          <t>FULL</t>
        </is>
      </c>
      <c r="Q66" s="2" t="inlineStr">
        <is>
          <t>FULL</t>
        </is>
      </c>
      <c r="R66" s="2" t="inlineStr">
        <is>
          <t>FULL</t>
        </is>
      </c>
      <c r="S66" s="2" t="inlineStr">
        <is>
          <t>FULL</t>
        </is>
      </c>
      <c r="T66" s="5">
        <f>IF(P66="FULL",40,IF(P66="PARTIAL",40/2,0))+IF(Q66="FULL",30,IF(Q66="PARTIAL",30/2,0))+IF(R66="FULL",20,IF(R66="PARTIAL",20/2,0))+IF(S66="FULL",10,IF(S66="PARTIAL",10/2,0))</f>
        <v/>
      </c>
      <c r="U66" s="5">
        <f>IF(P66="NOT_CHECKED",0,40)+IF(Q66="NOT_CHECKED",0,30)+IF(R66="NOT_CHECKED",0,20)+IF(S66="NOT_CHECKED",0,10)</f>
        <v/>
      </c>
      <c r="V66" s="5">
        <f>IF(U66=100,T66,"")</f>
        <v/>
      </c>
      <c r="W66" s="5">
        <f>T66</f>
        <v/>
      </c>
      <c r="X66" s="5">
        <f>T66+(100-U66)</f>
        <v/>
      </c>
      <c r="Y66" s="2" t="inlineStr">
        <is>
          <t>[]</t>
        </is>
      </c>
      <c r="Z66" s="2" t="inlineStr">
        <is>
          <t>["seo_runs\\jeminise.com\\20260906_234129\\evidence\\images\\50_custom-christian-inspirational-sophia-blanket-machine-washable-d11\\image_02_47830476652743.jpg; seo_runs\\jeminise.com\\20260906_234129\\evidence\\contact_sheets\\50_custom-christian-inspirational-sophia-blanket-machine-washable-d11.jpg", "https://jeminise.com/products/custom-christian-inspirational-sophia-blanket-machine-washable-d11", "https://cdn.shopify.com/s/files/1/0792/5098/1063/files/7b62f2168e7a1d45566ff77b84d97885b429d47d303031055b65e26e885bc065.jpg?v=1786596381"]</t>
        </is>
      </c>
      <c r="AA66" s="2" t="inlineStr">
        <is>
          <t>r4</t>
        </is>
      </c>
    </row>
    <row r="67" ht="66" customHeight="1">
      <c r="A67" s="3" t="inlineStr">
        <is>
          <t>jeminise.com+custom-christian-inspirational-sophia-blanket-machine-washable-d11</t>
        </is>
      </c>
      <c r="B67" s="3" t="inlineStr">
        <is>
          <t>qaimg_cd1574932bd436d0</t>
        </is>
      </c>
      <c r="C67" s="4" t="inlineStr">
        <is>
          <t>https://cdn.shopify.com/s/files/1/0792/5098/1063/files/b8b420c5155e6c391231f22c60f5089338032ec574bb6c287bb37673601cc42b.jpg?v=1786596380</t>
        </is>
      </c>
      <c r="D67" s="4" t="inlineStr">
        <is>
          <t>https://cdn.shopify.com/s/files/1/0792/5098/1063/files/b8b420c5155e6c391231f22c60f5089338032ec574bb6c287bb37673601cc42b.jpg?v=1786596380</t>
        </is>
      </c>
      <c r="E67" s="3" t="inlineStr">
        <is>
          <t>38793351725255</t>
        </is>
      </c>
      <c r="F67" s="3" t="inlineStr">
        <is>
          <t>47830476685511</t>
        </is>
      </c>
      <c r="G67" s="3" t="inlineStr"/>
      <c r="H67" s="3" t="inlineStr">
        <is>
          <t>GALLERY</t>
        </is>
      </c>
      <c r="I67" s="3" t="inlineStr">
        <is>
          <t>DIRECT_ORIGINAL_IMAGE_REQA + R4_MEDIA_ID_COMPARISON</t>
        </is>
      </c>
      <c r="J67" s="3" t="inlineStr">
        <is>
          <t>2026-09-07T22:27:03.014477+07:00</t>
        </is>
      </c>
      <c r="K67" s="3" t="inlineStr">
        <is>
          <t>Dear Sophia blanket draped on a sofa.</t>
        </is>
      </c>
      <c r="L67" s="3" t="inlineStr">
        <is>
          <t>Personalization, feature or lifestyle image connected to personalized Christian Sophia inspirational blanket.</t>
        </is>
      </c>
      <c r="M67" s="3" t="inlineStr">
        <is>
          <t>Custom Christian Inspirational Sophia Blanket, Machine Washable</t>
        </is>
      </c>
      <c r="N67" s="3" t="inlineStr">
        <is>
          <t>SET</t>
        </is>
      </c>
      <c r="O67" s="3" t="inlineStr">
        <is>
          <t>Personalized Christian Affirmation Blanket for Girls product image</t>
        </is>
      </c>
      <c r="P67" s="3" t="inlineStr">
        <is>
          <t>FULL</t>
        </is>
      </c>
      <c r="Q67" s="3" t="inlineStr">
        <is>
          <t>FULL</t>
        </is>
      </c>
      <c r="R67" s="3" t="inlineStr">
        <is>
          <t>FULL</t>
        </is>
      </c>
      <c r="S67" s="3" t="inlineStr">
        <is>
          <t>FULL</t>
        </is>
      </c>
      <c r="T67" s="7">
        <f>IF(P67="FULL",40,IF(P67="PARTIAL",40/2,0))+IF(Q67="FULL",30,IF(Q67="PARTIAL",30/2,0))+IF(R67="FULL",20,IF(R67="PARTIAL",20/2,0))+IF(S67="FULL",10,IF(S67="PARTIAL",10/2,0))</f>
        <v/>
      </c>
      <c r="U67" s="7">
        <f>IF(P67="NOT_CHECKED",0,40)+IF(Q67="NOT_CHECKED",0,30)+IF(R67="NOT_CHECKED",0,20)+IF(S67="NOT_CHECKED",0,10)</f>
        <v/>
      </c>
      <c r="V67" s="7">
        <f>IF(U67=100,T67,"")</f>
        <v/>
      </c>
      <c r="W67" s="7">
        <f>T67</f>
        <v/>
      </c>
      <c r="X67" s="7">
        <f>T67+(100-U67)</f>
        <v/>
      </c>
      <c r="Y67" s="3" t="inlineStr">
        <is>
          <t>[]</t>
        </is>
      </c>
      <c r="Z67" s="3" t="inlineStr">
        <is>
          <t>["seo_runs\\jeminise.com\\20260906_234129\\evidence\\images\\50_custom-christian-inspirational-sophia-blanket-machine-washable-d11\\image_03_47830476685511.jpg; seo_runs\\jeminise.com\\20260906_234129\\evidence\\contact_sheets\\50_custom-christian-inspirational-sophia-blanket-machine-washable-d11.jpg", "https://jeminise.com/products/custom-christian-inspirational-sophia-blanket-machine-washable-d11", "https://cdn.shopify.com/s/files/1/0792/5098/1063/files/b8b420c5155e6c391231f22c60f5089338032ec574bb6c287bb37673601cc42b.jpg?v=1786596380"]</t>
        </is>
      </c>
      <c r="AA67" s="3" t="inlineStr">
        <is>
          <t>r4</t>
        </is>
      </c>
    </row>
    <row r="68" ht="66" customHeight="1">
      <c r="A68" s="2" t="inlineStr">
        <is>
          <t>jeminise.com+custom-christian-inspirational-sophia-blanket-machine-washable-d11</t>
        </is>
      </c>
      <c r="B68" s="2" t="inlineStr">
        <is>
          <t>qaimg_98676dc5993446ad</t>
        </is>
      </c>
      <c r="C68" s="4" t="inlineStr">
        <is>
          <t>https://cdn.shopify.com/s/files/1/0792/5098/1063/files/ccb855a91f88b48bc6150279c00c849e18b8cc53d574ca2d6eed810aaf99b869.jpg?v=1786596380</t>
        </is>
      </c>
      <c r="D68" s="4" t="inlineStr">
        <is>
          <t>https://cdn.shopify.com/s/files/1/0792/5098/1063/files/ccb855a91f88b48bc6150279c00c849e18b8cc53d574ca2d6eed810aaf99b869.jpg?v=1786596380</t>
        </is>
      </c>
      <c r="E68" s="2" t="inlineStr">
        <is>
          <t>38793351758023</t>
        </is>
      </c>
      <c r="F68" s="2" t="inlineStr">
        <is>
          <t>47830476718279</t>
        </is>
      </c>
      <c r="G68" s="2" t="inlineStr"/>
      <c r="H68" s="2" t="inlineStr">
        <is>
          <t>GALLERY</t>
        </is>
      </c>
      <c r="I68" s="2" t="inlineStr">
        <is>
          <t>DIRECT_ORIGINAL_IMAGE_REQA + R4_MEDIA_ID_COMPARISON</t>
        </is>
      </c>
      <c r="J68" s="2" t="inlineStr">
        <is>
          <t>2026-09-07T22:27:03.014477+07:00</t>
        </is>
      </c>
      <c r="K68" s="2" t="inlineStr">
        <is>
          <t>Birth-month flower selection chart, not a blanket mockup.</t>
        </is>
      </c>
      <c r="L68" s="2" t="inlineStr">
        <is>
          <t>Close detail, care feature or sizing information for personalized Christian Sophia inspirational blanket.</t>
        </is>
      </c>
      <c r="M68" s="2" t="inlineStr">
        <is>
          <t>Custom Christian Inspirational Sophia Blanket, Machine Washable</t>
        </is>
      </c>
      <c r="N68" s="2" t="inlineStr">
        <is>
          <t>SET</t>
        </is>
      </c>
      <c r="O68" s="2" t="inlineStr">
        <is>
          <t>Personalized Christian Affirmation Blanket for Girls product image</t>
        </is>
      </c>
      <c r="P68" s="2" t="inlineStr">
        <is>
          <t>FULL</t>
        </is>
      </c>
      <c r="Q68" s="2" t="inlineStr">
        <is>
          <t>FULL</t>
        </is>
      </c>
      <c r="R68" s="2" t="inlineStr">
        <is>
          <t>FULL</t>
        </is>
      </c>
      <c r="S68" s="2" t="inlineStr">
        <is>
          <t>FULL</t>
        </is>
      </c>
      <c r="T68" s="5">
        <f>IF(P68="FULL",40,IF(P68="PARTIAL",40/2,0))+IF(Q68="FULL",30,IF(Q68="PARTIAL",30/2,0))+IF(R68="FULL",20,IF(R68="PARTIAL",20/2,0))+IF(S68="FULL",10,IF(S68="PARTIAL",10/2,0))</f>
        <v/>
      </c>
      <c r="U68" s="5">
        <f>IF(P68="NOT_CHECKED",0,40)+IF(Q68="NOT_CHECKED",0,30)+IF(R68="NOT_CHECKED",0,20)+IF(S68="NOT_CHECKED",0,10)</f>
        <v/>
      </c>
      <c r="V68" s="5">
        <f>IF(U68=100,T68,"")</f>
        <v/>
      </c>
      <c r="W68" s="5">
        <f>T68</f>
        <v/>
      </c>
      <c r="X68" s="5">
        <f>T68+(100-U68)</f>
        <v/>
      </c>
      <c r="Y68" s="2" t="inlineStr">
        <is>
          <t>[]</t>
        </is>
      </c>
      <c r="Z68" s="2" t="inlineStr">
        <is>
          <t>["seo_runs\\jeminise.com\\20260906_234129\\evidence\\images\\50_custom-christian-inspirational-sophia-blanket-machine-washable-d11\\image_04_47830476718279.jpg; seo_runs\\jeminise.com\\20260906_234129\\evidence\\contact_sheets\\50_custom-christian-inspirational-sophia-blanket-machine-washable-d11.jpg", "https://jeminise.com/products/custom-christian-inspirational-sophia-blanket-machine-washable-d11", "https://cdn.shopify.com/s/files/1/0792/5098/1063/files/ccb855a91f88b48bc6150279c00c849e18b8cc53d574ca2d6eed810aaf99b869.jpg?v=1786596380"]</t>
        </is>
      </c>
      <c r="AA68" s="2" t="inlineStr">
        <is>
          <t>r4</t>
        </is>
      </c>
    </row>
    <row r="69" ht="66" customHeight="1">
      <c r="A69" s="3" t="inlineStr">
        <is>
          <t>jeminise.com+custom-christian-inspirational-sophia-blanket-machine-washable-d11</t>
        </is>
      </c>
      <c r="B69" s="3" t="inlineStr">
        <is>
          <t>qaimg_9797bf10909a6cfc</t>
        </is>
      </c>
      <c r="C69" s="4" t="inlineStr">
        <is>
          <t>https://cdn.shopify.com/s/files/1/0792/5098/1063/files/903e259e4525b0ce70cd98bd796885f99fb320671827b45012e99c75dc0efd93.jpg?v=1786596380</t>
        </is>
      </c>
      <c r="D69" s="4" t="inlineStr">
        <is>
          <t>https://cdn.shopify.com/s/files/1/0792/5098/1063/files/903e259e4525b0ce70cd98bd796885f99fb320671827b45012e99c75dc0efd93.jpg?v=1786596380</t>
        </is>
      </c>
      <c r="E69" s="3" t="inlineStr">
        <is>
          <t>38793351790791</t>
        </is>
      </c>
      <c r="F69" s="3" t="inlineStr">
        <is>
          <t>47830476751047</t>
        </is>
      </c>
      <c r="G69" s="3" t="inlineStr"/>
      <c r="H69" s="3" t="inlineStr">
        <is>
          <t>GALLERY</t>
        </is>
      </c>
      <c r="I69" s="3" t="inlineStr">
        <is>
          <t>DIRECT_ORIGINAL_IMAGE_REQA + R4_MEDIA_ID_COMPARISON</t>
        </is>
      </c>
      <c r="J69" s="3" t="inlineStr">
        <is>
          <t>2026-09-07T22:27:03.014477+07:00</t>
        </is>
      </c>
      <c r="K69" s="3" t="inlineStr">
        <is>
          <t>Bed-and-reading lifestyle scene with the blanket and a dog.</t>
        </is>
      </c>
      <c r="L69" s="3" t="inlineStr">
        <is>
          <t>Material, wash or comfort feature image for personalized Christian Sophia inspirational blanket.</t>
        </is>
      </c>
      <c r="M69" s="3" t="inlineStr">
        <is>
          <t>Custom Christian Inspirational Sophia Blanket, Machine Washable</t>
        </is>
      </c>
      <c r="N69" s="3" t="inlineStr">
        <is>
          <t>SET</t>
        </is>
      </c>
      <c r="O69" s="3" t="inlineStr">
        <is>
          <t>Personalized Christian Affirmation Blanket for Girls product image</t>
        </is>
      </c>
      <c r="P69" s="3" t="inlineStr">
        <is>
          <t>FULL</t>
        </is>
      </c>
      <c r="Q69" s="3" t="inlineStr">
        <is>
          <t>FULL</t>
        </is>
      </c>
      <c r="R69" s="3" t="inlineStr">
        <is>
          <t>FULL</t>
        </is>
      </c>
      <c r="S69" s="3" t="inlineStr">
        <is>
          <t>FULL</t>
        </is>
      </c>
      <c r="T69" s="7">
        <f>IF(P69="FULL",40,IF(P69="PARTIAL",40/2,0))+IF(Q69="FULL",30,IF(Q69="PARTIAL",30/2,0))+IF(R69="FULL",20,IF(R69="PARTIAL",20/2,0))+IF(S69="FULL",10,IF(S69="PARTIAL",10/2,0))</f>
        <v/>
      </c>
      <c r="U69" s="7">
        <f>IF(P69="NOT_CHECKED",0,40)+IF(Q69="NOT_CHECKED",0,30)+IF(R69="NOT_CHECKED",0,20)+IF(S69="NOT_CHECKED",0,10)</f>
        <v/>
      </c>
      <c r="V69" s="7">
        <f>IF(U69=100,T69,"")</f>
        <v/>
      </c>
      <c r="W69" s="7">
        <f>T69</f>
        <v/>
      </c>
      <c r="X69" s="7">
        <f>T69+(100-U69)</f>
        <v/>
      </c>
      <c r="Y69" s="3" t="inlineStr">
        <is>
          <t>[]</t>
        </is>
      </c>
      <c r="Z69" s="3" t="inlineStr">
        <is>
          <t>["seo_runs\\jeminise.com\\20260906_234129\\evidence\\images\\50_custom-christian-inspirational-sophia-blanket-machine-washable-d11\\image_05_47830476751047.jpg; seo_runs\\jeminise.com\\20260906_234129\\evidence\\contact_sheets\\50_custom-christian-inspirational-sophia-blanket-machine-washable-d11.jpg", "https://jeminise.com/products/custom-christian-inspirational-sophia-blanket-machine-washable-d11", "https://cdn.shopify.com/s/files/1/0792/5098/1063/files/903e259e4525b0ce70cd98bd796885f99fb320671827b45012e99c75dc0efd93.jpg?v=1786596380"]</t>
        </is>
      </c>
      <c r="AA69" s="3" t="inlineStr">
        <is>
          <t>r4</t>
        </is>
      </c>
    </row>
    <row r="70" ht="66" customHeight="1">
      <c r="A70" s="2" t="inlineStr">
        <is>
          <t>jeminise.com+custom-christian-inspirational-sophia-blanket-machine-washable-d11</t>
        </is>
      </c>
      <c r="B70" s="2" t="inlineStr">
        <is>
          <t>qaimg_1b102dbddb27f497</t>
        </is>
      </c>
      <c r="C70" s="4" t="inlineStr">
        <is>
          <t>https://cdn.shopify.com/s/files/1/0792/5098/1063/files/bf8108bf2597520094d30861e395e79ee495ea432cb0a10bcea923947ec3c625.jpg?v=1786596380</t>
        </is>
      </c>
      <c r="D70" s="4" t="inlineStr">
        <is>
          <t>https://cdn.shopify.com/s/files/1/0792/5098/1063/files/bf8108bf2597520094d30861e395e79ee495ea432cb0a10bcea923947ec3c625.jpg?v=1786596380</t>
        </is>
      </c>
      <c r="E70" s="2" t="inlineStr">
        <is>
          <t>38793351823559</t>
        </is>
      </c>
      <c r="F70" s="2" t="inlineStr">
        <is>
          <t>47830476783815</t>
        </is>
      </c>
      <c r="G70" s="2" t="inlineStr"/>
      <c r="H70" s="2" t="inlineStr">
        <is>
          <t>GALLERY</t>
        </is>
      </c>
      <c r="I70" s="2" t="inlineStr">
        <is>
          <t>DIRECT_ORIGINAL_IMAGE_REQA + R4_MEDIA_ID_COMPARISON</t>
        </is>
      </c>
      <c r="J70" s="2" t="inlineStr">
        <is>
          <t>2026-09-07T22:27:03.014477+07:00</t>
        </is>
      </c>
      <c r="K70" s="2" t="inlineStr">
        <is>
          <t>Blanket detail and fabric collage.</t>
        </is>
      </c>
      <c r="L70" s="2" t="inlineStr">
        <is>
          <t>Size guide, feature panel or additional mockup for personalized Christian Sophia inspirational blanket.</t>
        </is>
      </c>
      <c r="M70" s="2" t="inlineStr">
        <is>
          <t>Custom Christian Inspirational Sophia Blanket, Machine Washable</t>
        </is>
      </c>
      <c r="N70" s="2" t="inlineStr">
        <is>
          <t>SET</t>
        </is>
      </c>
      <c r="O70" s="2" t="inlineStr">
        <is>
          <t>Personalized Christian Affirmation Blanket for Girls product image</t>
        </is>
      </c>
      <c r="P70" s="2" t="inlineStr">
        <is>
          <t>FULL</t>
        </is>
      </c>
      <c r="Q70" s="2" t="inlineStr">
        <is>
          <t>FULL</t>
        </is>
      </c>
      <c r="R70" s="2" t="inlineStr">
        <is>
          <t>FULL</t>
        </is>
      </c>
      <c r="S70" s="2" t="inlineStr">
        <is>
          <t>FULL</t>
        </is>
      </c>
      <c r="T70" s="5">
        <f>IF(P70="FULL",40,IF(P70="PARTIAL",40/2,0))+IF(Q70="FULL",30,IF(Q70="PARTIAL",30/2,0))+IF(R70="FULL",20,IF(R70="PARTIAL",20/2,0))+IF(S70="FULL",10,IF(S70="PARTIAL",10/2,0))</f>
        <v/>
      </c>
      <c r="U70" s="5">
        <f>IF(P70="NOT_CHECKED",0,40)+IF(Q70="NOT_CHECKED",0,30)+IF(R70="NOT_CHECKED",0,20)+IF(S70="NOT_CHECKED",0,10)</f>
        <v/>
      </c>
      <c r="V70" s="5">
        <f>IF(U70=100,T70,"")</f>
        <v/>
      </c>
      <c r="W70" s="5">
        <f>T70</f>
        <v/>
      </c>
      <c r="X70" s="5">
        <f>T70+(100-U70)</f>
        <v/>
      </c>
      <c r="Y70" s="2" t="inlineStr">
        <is>
          <t>[]</t>
        </is>
      </c>
      <c r="Z70" s="2" t="inlineStr">
        <is>
          <t>["seo_runs\\jeminise.com\\20260906_234129\\evidence\\images\\50_custom-christian-inspirational-sophia-blanket-machine-washable-d11\\image_06_47830476783815.jpg; seo_runs\\jeminise.com\\20260906_234129\\evidence\\contact_sheets\\50_custom-christian-inspirational-sophia-blanket-machine-washable-d11.jpg", "https://jeminise.com/products/custom-christian-inspirational-sophia-blanket-machine-washable-d11", "https://cdn.shopify.com/s/files/1/0792/5098/1063/files/bf8108bf2597520094d30861e395e79ee495ea432cb0a10bcea923947ec3c625.jpg?v=1786596380"]</t>
        </is>
      </c>
      <c r="AA70" s="2" t="inlineStr">
        <is>
          <t>r4</t>
        </is>
      </c>
    </row>
    <row r="71" ht="66" customHeight="1">
      <c r="A71" s="3" t="inlineStr">
        <is>
          <t>jeminise.com+custom-christian-inspirational-sophia-blanket-machine-washable-d11</t>
        </is>
      </c>
      <c r="B71" s="3" t="inlineStr">
        <is>
          <t>qaimg_860dddc42802a550</t>
        </is>
      </c>
      <c r="C71" s="4" t="inlineStr">
        <is>
          <t>https://cdn.shopify.com/s/files/1/0792/5098/1063/files/ce10229836d480dae8c18d3cbc37b394ff23c2752af44c05c46ccd6f4c0545b5.jpg?v=1786596380</t>
        </is>
      </c>
      <c r="D71" s="4" t="inlineStr">
        <is>
          <t>https://cdn.shopify.com/s/files/1/0792/5098/1063/files/ce10229836d480dae8c18d3cbc37b394ff23c2752af44c05c46ccd6f4c0545b5.jpg?v=1786596380</t>
        </is>
      </c>
      <c r="E71" s="3" t="inlineStr">
        <is>
          <t>38793351856327</t>
        </is>
      </c>
      <c r="F71" s="3" t="inlineStr">
        <is>
          <t>47830476816583</t>
        </is>
      </c>
      <c r="G71" s="3" t="inlineStr"/>
      <c r="H71" s="3" t="inlineStr">
        <is>
          <t>GALLERY</t>
        </is>
      </c>
      <c r="I71" s="3" t="inlineStr">
        <is>
          <t>DIRECT_ORIGINAL_IMAGE_REQA + R4_MEDIA_ID_COMPARISON</t>
        </is>
      </c>
      <c r="J71" s="3" t="inlineStr">
        <is>
          <t>2026-09-07T22:27:03.014477+07:00</t>
        </is>
      </c>
      <c r="K71" s="3" t="inlineStr">
        <is>
          <t>Blanket fabric-feature panel.</t>
        </is>
      </c>
      <c r="L71" s="3" t="inlineStr">
        <is>
          <t>Additional lifestyle, feature or product detail image showing personalized Christian Sophia inspirational blanket.</t>
        </is>
      </c>
      <c r="M71" s="3" t="inlineStr">
        <is>
          <t>Custom Christian Inspirational Sophia Blanket, Machine Washable</t>
        </is>
      </c>
      <c r="N71" s="3" t="inlineStr">
        <is>
          <t>SET</t>
        </is>
      </c>
      <c r="O71" s="3" t="inlineStr">
        <is>
          <t>Personalized Christian Affirmation Blanket for Girls product image</t>
        </is>
      </c>
      <c r="P71" s="3" t="inlineStr">
        <is>
          <t>FULL</t>
        </is>
      </c>
      <c r="Q71" s="3" t="inlineStr">
        <is>
          <t>FULL</t>
        </is>
      </c>
      <c r="R71" s="3" t="inlineStr">
        <is>
          <t>FULL</t>
        </is>
      </c>
      <c r="S71" s="3" t="inlineStr">
        <is>
          <t>FULL</t>
        </is>
      </c>
      <c r="T71" s="7">
        <f>IF(P71="FULL",40,IF(P71="PARTIAL",40/2,0))+IF(Q71="FULL",30,IF(Q71="PARTIAL",30/2,0))+IF(R71="FULL",20,IF(R71="PARTIAL",20/2,0))+IF(S71="FULL",10,IF(S71="PARTIAL",10/2,0))</f>
        <v/>
      </c>
      <c r="U71" s="7">
        <f>IF(P71="NOT_CHECKED",0,40)+IF(Q71="NOT_CHECKED",0,30)+IF(R71="NOT_CHECKED",0,20)+IF(S71="NOT_CHECKED",0,10)</f>
        <v/>
      </c>
      <c r="V71" s="7">
        <f>IF(U71=100,T71,"")</f>
        <v/>
      </c>
      <c r="W71" s="7">
        <f>T71</f>
        <v/>
      </c>
      <c r="X71" s="7">
        <f>T71+(100-U71)</f>
        <v/>
      </c>
      <c r="Y71" s="3" t="inlineStr">
        <is>
          <t>[]</t>
        </is>
      </c>
      <c r="Z71" s="3" t="inlineStr">
        <is>
          <t>["seo_runs\\jeminise.com\\20260906_234129\\evidence\\images\\50_custom-christian-inspirational-sophia-blanket-machine-washable-d11\\image_07_47830476816583.jpg; seo_runs\\jeminise.com\\20260906_234129\\evidence\\contact_sheets\\50_custom-christian-inspirational-sophia-blanket-machine-washable-d11.jpg", "https://jeminise.com/products/custom-christian-inspirational-sophia-blanket-machine-washable-d11", "https://cdn.shopify.com/s/files/1/0792/5098/1063/files/ce10229836d480dae8c18d3cbc37b394ff23c2752af44c05c46ccd6f4c0545b5.jpg?v=1786596380"]</t>
        </is>
      </c>
      <c r="AA71" s="3" t="inlineStr">
        <is>
          <t>r4</t>
        </is>
      </c>
    </row>
    <row r="72" ht="66" customHeight="1">
      <c r="A72" s="2" t="inlineStr">
        <is>
          <t>jeminise.com+custom-christian-inspirational-sophia-blanket-machine-washable-d11</t>
        </is>
      </c>
      <c r="B72" s="2" t="inlineStr">
        <is>
          <t>qaimg_bbec5ed7395767a4</t>
        </is>
      </c>
      <c r="C72" s="4" t="inlineStr">
        <is>
          <t>https://cdn.shopify.com/s/files/1/0792/5098/1063/files/6a0dd75b4493d3d638fea8bc8d2fcf8f0b9466af78c6dee27e819bf409a6d9a4.jpg?v=1786596380</t>
        </is>
      </c>
      <c r="D72" s="4" t="inlineStr">
        <is>
          <t>https://cdn.shopify.com/s/files/1/0792/5098/1063/files/6a0dd75b4493d3d638fea8bc8d2fcf8f0b9466af78c6dee27e819bf409a6d9a4.jpg?v=1786596380</t>
        </is>
      </c>
      <c r="E72" s="2" t="inlineStr">
        <is>
          <t>38793351889095</t>
        </is>
      </c>
      <c r="F72" s="2" t="inlineStr">
        <is>
          <t>47830476849351</t>
        </is>
      </c>
      <c r="G72" s="2" t="inlineStr"/>
      <c r="H72" s="2" t="inlineStr">
        <is>
          <t>GALLERY</t>
        </is>
      </c>
      <c r="I72" s="2" t="inlineStr">
        <is>
          <t>DIRECT_ORIGINAL_IMAGE_REQA + R4_MEDIA_ID_COMPARISON</t>
        </is>
      </c>
      <c r="J72" s="2" t="inlineStr">
        <is>
          <t>2026-09-07T22:27:03.014477+07:00</t>
        </is>
      </c>
      <c r="K72" s="2" t="inlineStr">
        <is>
          <t>60-inch blanket usage/size diagram.</t>
        </is>
      </c>
      <c r="L72" s="2" t="inlineStr">
        <is>
          <t>Additional lifestyle, feature or product detail image showing personalized Christian Sophia inspirational blanket.</t>
        </is>
      </c>
      <c r="M72" s="2" t="inlineStr">
        <is>
          <t>Custom Christian Inspirational Sophia Blanket, Machine Washable</t>
        </is>
      </c>
      <c r="N72" s="2" t="inlineStr">
        <is>
          <t>SET</t>
        </is>
      </c>
      <c r="O72" s="2" t="inlineStr">
        <is>
          <t>Personalized Christian Affirmation Blanket for Girls product image</t>
        </is>
      </c>
      <c r="P72" s="2" t="inlineStr">
        <is>
          <t>FULL</t>
        </is>
      </c>
      <c r="Q72" s="2" t="inlineStr">
        <is>
          <t>FULL</t>
        </is>
      </c>
      <c r="R72" s="2" t="inlineStr">
        <is>
          <t>FULL</t>
        </is>
      </c>
      <c r="S72" s="2" t="inlineStr">
        <is>
          <t>FULL</t>
        </is>
      </c>
      <c r="T72" s="5">
        <f>IF(P72="FULL",40,IF(P72="PARTIAL",40/2,0))+IF(Q72="FULL",30,IF(Q72="PARTIAL",30/2,0))+IF(R72="FULL",20,IF(R72="PARTIAL",20/2,0))+IF(S72="FULL",10,IF(S72="PARTIAL",10/2,0))</f>
        <v/>
      </c>
      <c r="U72" s="5">
        <f>IF(P72="NOT_CHECKED",0,40)+IF(Q72="NOT_CHECKED",0,30)+IF(R72="NOT_CHECKED",0,20)+IF(S72="NOT_CHECKED",0,10)</f>
        <v/>
      </c>
      <c r="V72" s="5">
        <f>IF(U72=100,T72,"")</f>
        <v/>
      </c>
      <c r="W72" s="5">
        <f>T72</f>
        <v/>
      </c>
      <c r="X72" s="5">
        <f>T72+(100-U72)</f>
        <v/>
      </c>
      <c r="Y72" s="2" t="inlineStr">
        <is>
          <t>[]</t>
        </is>
      </c>
      <c r="Z72" s="2" t="inlineStr">
        <is>
          <t>["seo_runs\\jeminise.com\\20260906_234129\\evidence\\images\\50_custom-christian-inspirational-sophia-blanket-machine-washable-d11\\image_08_47830476849351.jpg; seo_runs\\jeminise.com\\20260906_234129\\evidence\\contact_sheets\\50_custom-christian-inspirational-sophia-blanket-machine-washable-d11.jpg", "https://jeminise.com/products/custom-christian-inspirational-sophia-blanket-machine-washable-d11", "https://cdn.shopify.com/s/files/1/0792/5098/1063/files/6a0dd75b4493d3d638fea8bc8d2fcf8f0b9466af78c6dee27e819bf409a6d9a4.jpg?v=1786596380"]</t>
        </is>
      </c>
      <c r="AA72" s="2" t="inlineStr">
        <is>
          <t>r4</t>
        </is>
      </c>
    </row>
    <row r="73" ht="66" customHeight="1">
      <c r="A73" s="3" t="inlineStr">
        <is>
          <t>jeminise.com+custom-christian-inspirational-sophia-blanket-machine-washable-d11</t>
        </is>
      </c>
      <c r="B73" s="3" t="inlineStr">
        <is>
          <t>qaimg_964f2d916381b6f4</t>
        </is>
      </c>
      <c r="C73" s="4" t="inlineStr">
        <is>
          <t>https://cdn.shopify.com/s/files/1/0792/5098/1063/files/cb9ab8c716536e92af73186f82538ab95214e0a1adde3088ec2a19d3372d6e2f.jpg?v=1786596380</t>
        </is>
      </c>
      <c r="D73" s="4" t="inlineStr">
        <is>
          <t>https://cdn.shopify.com/s/files/1/0792/5098/1063/files/cb9ab8c716536e92af73186f82538ab95214e0a1adde3088ec2a19d3372d6e2f.jpg?v=1786596380</t>
        </is>
      </c>
      <c r="E73" s="3" t="inlineStr">
        <is>
          <t>38793351921863</t>
        </is>
      </c>
      <c r="F73" s="3" t="inlineStr">
        <is>
          <t>47830476882119</t>
        </is>
      </c>
      <c r="G73" s="3" t="inlineStr"/>
      <c r="H73" s="3" t="inlineStr">
        <is>
          <t>GALLERY</t>
        </is>
      </c>
      <c r="I73" s="3" t="inlineStr">
        <is>
          <t>DIRECT_ORIGINAL_IMAGE_REQA + R4_MEDIA_ID_COMPARISON</t>
        </is>
      </c>
      <c r="J73" s="3" t="inlineStr">
        <is>
          <t>2026-09-07T22:27:03.014477+07:00</t>
        </is>
      </c>
      <c r="K73" s="3" t="inlineStr">
        <is>
          <t>Close lifestyle view of the blanket with a reader and mug.</t>
        </is>
      </c>
      <c r="L73" s="3" t="inlineStr">
        <is>
          <t>Additional lifestyle, feature or product detail image showing personalized Christian Sophia inspirational blanket.</t>
        </is>
      </c>
      <c r="M73" s="3" t="inlineStr">
        <is>
          <t>Custom Christian Inspirational Sophia Blanket, Machine Washable</t>
        </is>
      </c>
      <c r="N73" s="3" t="inlineStr">
        <is>
          <t>SET</t>
        </is>
      </c>
      <c r="O73" s="3" t="inlineStr">
        <is>
          <t>Personalized Christian Affirmation Blanket for Girls product image</t>
        </is>
      </c>
      <c r="P73" s="3" t="inlineStr">
        <is>
          <t>FULL</t>
        </is>
      </c>
      <c r="Q73" s="3" t="inlineStr">
        <is>
          <t>FULL</t>
        </is>
      </c>
      <c r="R73" s="3" t="inlineStr">
        <is>
          <t>FULL</t>
        </is>
      </c>
      <c r="S73" s="3" t="inlineStr">
        <is>
          <t>FULL</t>
        </is>
      </c>
      <c r="T73" s="7">
        <f>IF(P73="FULL",40,IF(P73="PARTIAL",40/2,0))+IF(Q73="FULL",30,IF(Q73="PARTIAL",30/2,0))+IF(R73="FULL",20,IF(R73="PARTIAL",20/2,0))+IF(S73="FULL",10,IF(S73="PARTIAL",10/2,0))</f>
        <v/>
      </c>
      <c r="U73" s="7">
        <f>IF(P73="NOT_CHECKED",0,40)+IF(Q73="NOT_CHECKED",0,30)+IF(R73="NOT_CHECKED",0,20)+IF(S73="NOT_CHECKED",0,10)</f>
        <v/>
      </c>
      <c r="V73" s="7">
        <f>IF(U73=100,T73,"")</f>
        <v/>
      </c>
      <c r="W73" s="7">
        <f>T73</f>
        <v/>
      </c>
      <c r="X73" s="7">
        <f>T73+(100-U73)</f>
        <v/>
      </c>
      <c r="Y73" s="3" t="inlineStr">
        <is>
          <t>[]</t>
        </is>
      </c>
      <c r="Z73" s="3" t="inlineStr">
        <is>
          <t>["seo_runs\\jeminise.com\\20260906_234129\\evidence\\images\\50_custom-christian-inspirational-sophia-blanket-machine-washable-d11\\image_09_47830476882119.jpg; seo_runs\\jeminise.com\\20260906_234129\\evidence\\contact_sheets\\50_custom-christian-inspirational-sophia-blanket-machine-washable-d11.jpg", "https://jeminise.com/products/custom-christian-inspirational-sophia-blanket-machine-washable-d11", "https://cdn.shopify.com/s/files/1/0792/5098/1063/files/cb9ab8c716536e92af73186f82538ab95214e0a1adde3088ec2a19d3372d6e2f.jpg?v=1786596380"]</t>
        </is>
      </c>
      <c r="AA73" s="3" t="inlineStr">
        <is>
          <t>r4</t>
        </is>
      </c>
    </row>
  </sheetData>
  <autoFilter ref="A1:AA73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C11" r:id="rId19"/>
    <hyperlink xmlns:r="http://schemas.openxmlformats.org/officeDocument/2006/relationships" ref="D11" r:id="rId20"/>
    <hyperlink xmlns:r="http://schemas.openxmlformats.org/officeDocument/2006/relationships" ref="C12" r:id="rId21"/>
    <hyperlink xmlns:r="http://schemas.openxmlformats.org/officeDocument/2006/relationships" ref="D12" r:id="rId22"/>
    <hyperlink xmlns:r="http://schemas.openxmlformats.org/officeDocument/2006/relationships" ref="C13" r:id="rId23"/>
    <hyperlink xmlns:r="http://schemas.openxmlformats.org/officeDocument/2006/relationships" ref="D13" r:id="rId24"/>
    <hyperlink xmlns:r="http://schemas.openxmlformats.org/officeDocument/2006/relationships" ref="C14" r:id="rId25"/>
    <hyperlink xmlns:r="http://schemas.openxmlformats.org/officeDocument/2006/relationships" ref="D14" r:id="rId26"/>
    <hyperlink xmlns:r="http://schemas.openxmlformats.org/officeDocument/2006/relationships" ref="C15" r:id="rId27"/>
    <hyperlink xmlns:r="http://schemas.openxmlformats.org/officeDocument/2006/relationships" ref="D15" r:id="rId28"/>
    <hyperlink xmlns:r="http://schemas.openxmlformats.org/officeDocument/2006/relationships" ref="C16" r:id="rId29"/>
    <hyperlink xmlns:r="http://schemas.openxmlformats.org/officeDocument/2006/relationships" ref="D16" r:id="rId30"/>
    <hyperlink xmlns:r="http://schemas.openxmlformats.org/officeDocument/2006/relationships" ref="C17" r:id="rId31"/>
    <hyperlink xmlns:r="http://schemas.openxmlformats.org/officeDocument/2006/relationships" ref="D17" r:id="rId32"/>
    <hyperlink xmlns:r="http://schemas.openxmlformats.org/officeDocument/2006/relationships" ref="C18" r:id="rId33"/>
    <hyperlink xmlns:r="http://schemas.openxmlformats.org/officeDocument/2006/relationships" ref="D18" r:id="rId34"/>
    <hyperlink xmlns:r="http://schemas.openxmlformats.org/officeDocument/2006/relationships" ref="C19" r:id="rId35"/>
    <hyperlink xmlns:r="http://schemas.openxmlformats.org/officeDocument/2006/relationships" ref="D19" r:id="rId36"/>
    <hyperlink xmlns:r="http://schemas.openxmlformats.org/officeDocument/2006/relationships" ref="C20" r:id="rId37"/>
    <hyperlink xmlns:r="http://schemas.openxmlformats.org/officeDocument/2006/relationships" ref="D20" r:id="rId38"/>
    <hyperlink xmlns:r="http://schemas.openxmlformats.org/officeDocument/2006/relationships" ref="C21" r:id="rId39"/>
    <hyperlink xmlns:r="http://schemas.openxmlformats.org/officeDocument/2006/relationships" ref="D21" r:id="rId40"/>
    <hyperlink xmlns:r="http://schemas.openxmlformats.org/officeDocument/2006/relationships" ref="C22" r:id="rId41"/>
    <hyperlink xmlns:r="http://schemas.openxmlformats.org/officeDocument/2006/relationships" ref="D22" r:id="rId42"/>
    <hyperlink xmlns:r="http://schemas.openxmlformats.org/officeDocument/2006/relationships" ref="C23" r:id="rId43"/>
    <hyperlink xmlns:r="http://schemas.openxmlformats.org/officeDocument/2006/relationships" ref="D23" r:id="rId44"/>
    <hyperlink xmlns:r="http://schemas.openxmlformats.org/officeDocument/2006/relationships" ref="C24" r:id="rId45"/>
    <hyperlink xmlns:r="http://schemas.openxmlformats.org/officeDocument/2006/relationships" ref="D24" r:id="rId46"/>
    <hyperlink xmlns:r="http://schemas.openxmlformats.org/officeDocument/2006/relationships" ref="C25" r:id="rId47"/>
    <hyperlink xmlns:r="http://schemas.openxmlformats.org/officeDocument/2006/relationships" ref="D25" r:id="rId48"/>
    <hyperlink xmlns:r="http://schemas.openxmlformats.org/officeDocument/2006/relationships" ref="C26" r:id="rId49"/>
    <hyperlink xmlns:r="http://schemas.openxmlformats.org/officeDocument/2006/relationships" ref="D26" r:id="rId50"/>
    <hyperlink xmlns:r="http://schemas.openxmlformats.org/officeDocument/2006/relationships" ref="C27" r:id="rId51"/>
    <hyperlink xmlns:r="http://schemas.openxmlformats.org/officeDocument/2006/relationships" ref="D27" r:id="rId52"/>
    <hyperlink xmlns:r="http://schemas.openxmlformats.org/officeDocument/2006/relationships" ref="C28" r:id="rId53"/>
    <hyperlink xmlns:r="http://schemas.openxmlformats.org/officeDocument/2006/relationships" ref="D28" r:id="rId54"/>
    <hyperlink xmlns:r="http://schemas.openxmlformats.org/officeDocument/2006/relationships" ref="C29" r:id="rId55"/>
    <hyperlink xmlns:r="http://schemas.openxmlformats.org/officeDocument/2006/relationships" ref="D29" r:id="rId56"/>
    <hyperlink xmlns:r="http://schemas.openxmlformats.org/officeDocument/2006/relationships" ref="C30" r:id="rId57"/>
    <hyperlink xmlns:r="http://schemas.openxmlformats.org/officeDocument/2006/relationships" ref="D30" r:id="rId58"/>
    <hyperlink xmlns:r="http://schemas.openxmlformats.org/officeDocument/2006/relationships" ref="C31" r:id="rId59"/>
    <hyperlink xmlns:r="http://schemas.openxmlformats.org/officeDocument/2006/relationships" ref="D31" r:id="rId60"/>
    <hyperlink xmlns:r="http://schemas.openxmlformats.org/officeDocument/2006/relationships" ref="C32" r:id="rId61"/>
    <hyperlink xmlns:r="http://schemas.openxmlformats.org/officeDocument/2006/relationships" ref="D32" r:id="rId62"/>
    <hyperlink xmlns:r="http://schemas.openxmlformats.org/officeDocument/2006/relationships" ref="C33" r:id="rId63"/>
    <hyperlink xmlns:r="http://schemas.openxmlformats.org/officeDocument/2006/relationships" ref="D33" r:id="rId64"/>
    <hyperlink xmlns:r="http://schemas.openxmlformats.org/officeDocument/2006/relationships" ref="C34" r:id="rId65"/>
    <hyperlink xmlns:r="http://schemas.openxmlformats.org/officeDocument/2006/relationships" ref="D34" r:id="rId66"/>
    <hyperlink xmlns:r="http://schemas.openxmlformats.org/officeDocument/2006/relationships" ref="C35" r:id="rId67"/>
    <hyperlink xmlns:r="http://schemas.openxmlformats.org/officeDocument/2006/relationships" ref="D35" r:id="rId68"/>
    <hyperlink xmlns:r="http://schemas.openxmlformats.org/officeDocument/2006/relationships" ref="C36" r:id="rId69"/>
    <hyperlink xmlns:r="http://schemas.openxmlformats.org/officeDocument/2006/relationships" ref="D36" r:id="rId70"/>
    <hyperlink xmlns:r="http://schemas.openxmlformats.org/officeDocument/2006/relationships" ref="C37" r:id="rId71"/>
    <hyperlink xmlns:r="http://schemas.openxmlformats.org/officeDocument/2006/relationships" ref="D37" r:id="rId72"/>
    <hyperlink xmlns:r="http://schemas.openxmlformats.org/officeDocument/2006/relationships" ref="C38" r:id="rId73"/>
    <hyperlink xmlns:r="http://schemas.openxmlformats.org/officeDocument/2006/relationships" ref="D38" r:id="rId74"/>
    <hyperlink xmlns:r="http://schemas.openxmlformats.org/officeDocument/2006/relationships" ref="C39" r:id="rId75"/>
    <hyperlink xmlns:r="http://schemas.openxmlformats.org/officeDocument/2006/relationships" ref="D39" r:id="rId76"/>
    <hyperlink xmlns:r="http://schemas.openxmlformats.org/officeDocument/2006/relationships" ref="C40" r:id="rId77"/>
    <hyperlink xmlns:r="http://schemas.openxmlformats.org/officeDocument/2006/relationships" ref="D40" r:id="rId78"/>
    <hyperlink xmlns:r="http://schemas.openxmlformats.org/officeDocument/2006/relationships" ref="C41" r:id="rId79"/>
    <hyperlink xmlns:r="http://schemas.openxmlformats.org/officeDocument/2006/relationships" ref="D41" r:id="rId80"/>
    <hyperlink xmlns:r="http://schemas.openxmlformats.org/officeDocument/2006/relationships" ref="C42" r:id="rId81"/>
    <hyperlink xmlns:r="http://schemas.openxmlformats.org/officeDocument/2006/relationships" ref="D42" r:id="rId82"/>
    <hyperlink xmlns:r="http://schemas.openxmlformats.org/officeDocument/2006/relationships" ref="C43" r:id="rId83"/>
    <hyperlink xmlns:r="http://schemas.openxmlformats.org/officeDocument/2006/relationships" ref="D43" r:id="rId84"/>
    <hyperlink xmlns:r="http://schemas.openxmlformats.org/officeDocument/2006/relationships" ref="C44" r:id="rId85"/>
    <hyperlink xmlns:r="http://schemas.openxmlformats.org/officeDocument/2006/relationships" ref="D44" r:id="rId86"/>
    <hyperlink xmlns:r="http://schemas.openxmlformats.org/officeDocument/2006/relationships" ref="C45" r:id="rId87"/>
    <hyperlink xmlns:r="http://schemas.openxmlformats.org/officeDocument/2006/relationships" ref="D45" r:id="rId88"/>
    <hyperlink xmlns:r="http://schemas.openxmlformats.org/officeDocument/2006/relationships" ref="C46" r:id="rId89"/>
    <hyperlink xmlns:r="http://schemas.openxmlformats.org/officeDocument/2006/relationships" ref="D46" r:id="rId90"/>
    <hyperlink xmlns:r="http://schemas.openxmlformats.org/officeDocument/2006/relationships" ref="C47" r:id="rId91"/>
    <hyperlink xmlns:r="http://schemas.openxmlformats.org/officeDocument/2006/relationships" ref="D47" r:id="rId92"/>
    <hyperlink xmlns:r="http://schemas.openxmlformats.org/officeDocument/2006/relationships" ref="C48" r:id="rId93"/>
    <hyperlink xmlns:r="http://schemas.openxmlformats.org/officeDocument/2006/relationships" ref="D48" r:id="rId94"/>
    <hyperlink xmlns:r="http://schemas.openxmlformats.org/officeDocument/2006/relationships" ref="C49" r:id="rId95"/>
    <hyperlink xmlns:r="http://schemas.openxmlformats.org/officeDocument/2006/relationships" ref="D49" r:id="rId96"/>
    <hyperlink xmlns:r="http://schemas.openxmlformats.org/officeDocument/2006/relationships" ref="C50" r:id="rId97"/>
    <hyperlink xmlns:r="http://schemas.openxmlformats.org/officeDocument/2006/relationships" ref="D50" r:id="rId98"/>
    <hyperlink xmlns:r="http://schemas.openxmlformats.org/officeDocument/2006/relationships" ref="C51" r:id="rId99"/>
    <hyperlink xmlns:r="http://schemas.openxmlformats.org/officeDocument/2006/relationships" ref="D51" r:id="rId100"/>
    <hyperlink xmlns:r="http://schemas.openxmlformats.org/officeDocument/2006/relationships" ref="C52" r:id="rId101"/>
    <hyperlink xmlns:r="http://schemas.openxmlformats.org/officeDocument/2006/relationships" ref="D52" r:id="rId102"/>
    <hyperlink xmlns:r="http://schemas.openxmlformats.org/officeDocument/2006/relationships" ref="C53" r:id="rId103"/>
    <hyperlink xmlns:r="http://schemas.openxmlformats.org/officeDocument/2006/relationships" ref="D53" r:id="rId104"/>
    <hyperlink xmlns:r="http://schemas.openxmlformats.org/officeDocument/2006/relationships" ref="C54" r:id="rId105"/>
    <hyperlink xmlns:r="http://schemas.openxmlformats.org/officeDocument/2006/relationships" ref="D54" r:id="rId106"/>
    <hyperlink xmlns:r="http://schemas.openxmlformats.org/officeDocument/2006/relationships" ref="C55" r:id="rId107"/>
    <hyperlink xmlns:r="http://schemas.openxmlformats.org/officeDocument/2006/relationships" ref="D55" r:id="rId108"/>
    <hyperlink xmlns:r="http://schemas.openxmlformats.org/officeDocument/2006/relationships" ref="C56" r:id="rId109"/>
    <hyperlink xmlns:r="http://schemas.openxmlformats.org/officeDocument/2006/relationships" ref="D56" r:id="rId110"/>
    <hyperlink xmlns:r="http://schemas.openxmlformats.org/officeDocument/2006/relationships" ref="C57" r:id="rId111"/>
    <hyperlink xmlns:r="http://schemas.openxmlformats.org/officeDocument/2006/relationships" ref="D57" r:id="rId112"/>
    <hyperlink xmlns:r="http://schemas.openxmlformats.org/officeDocument/2006/relationships" ref="C58" r:id="rId113"/>
    <hyperlink xmlns:r="http://schemas.openxmlformats.org/officeDocument/2006/relationships" ref="D58" r:id="rId114"/>
    <hyperlink xmlns:r="http://schemas.openxmlformats.org/officeDocument/2006/relationships" ref="C59" r:id="rId115"/>
    <hyperlink xmlns:r="http://schemas.openxmlformats.org/officeDocument/2006/relationships" ref="D59" r:id="rId116"/>
    <hyperlink xmlns:r="http://schemas.openxmlformats.org/officeDocument/2006/relationships" ref="C60" r:id="rId117"/>
    <hyperlink xmlns:r="http://schemas.openxmlformats.org/officeDocument/2006/relationships" ref="D60" r:id="rId118"/>
    <hyperlink xmlns:r="http://schemas.openxmlformats.org/officeDocument/2006/relationships" ref="C61" r:id="rId119"/>
    <hyperlink xmlns:r="http://schemas.openxmlformats.org/officeDocument/2006/relationships" ref="D61" r:id="rId120"/>
    <hyperlink xmlns:r="http://schemas.openxmlformats.org/officeDocument/2006/relationships" ref="C62" r:id="rId121"/>
    <hyperlink xmlns:r="http://schemas.openxmlformats.org/officeDocument/2006/relationships" ref="D62" r:id="rId122"/>
    <hyperlink xmlns:r="http://schemas.openxmlformats.org/officeDocument/2006/relationships" ref="C63" r:id="rId123"/>
    <hyperlink xmlns:r="http://schemas.openxmlformats.org/officeDocument/2006/relationships" ref="D63" r:id="rId124"/>
    <hyperlink xmlns:r="http://schemas.openxmlformats.org/officeDocument/2006/relationships" ref="C64" r:id="rId125"/>
    <hyperlink xmlns:r="http://schemas.openxmlformats.org/officeDocument/2006/relationships" ref="D64" r:id="rId126"/>
    <hyperlink xmlns:r="http://schemas.openxmlformats.org/officeDocument/2006/relationships" ref="C65" r:id="rId127"/>
    <hyperlink xmlns:r="http://schemas.openxmlformats.org/officeDocument/2006/relationships" ref="D65" r:id="rId128"/>
    <hyperlink xmlns:r="http://schemas.openxmlformats.org/officeDocument/2006/relationships" ref="C66" r:id="rId129"/>
    <hyperlink xmlns:r="http://schemas.openxmlformats.org/officeDocument/2006/relationships" ref="D66" r:id="rId130"/>
    <hyperlink xmlns:r="http://schemas.openxmlformats.org/officeDocument/2006/relationships" ref="C67" r:id="rId131"/>
    <hyperlink xmlns:r="http://schemas.openxmlformats.org/officeDocument/2006/relationships" ref="D67" r:id="rId132"/>
    <hyperlink xmlns:r="http://schemas.openxmlformats.org/officeDocument/2006/relationships" ref="C68" r:id="rId133"/>
    <hyperlink xmlns:r="http://schemas.openxmlformats.org/officeDocument/2006/relationships" ref="D68" r:id="rId134"/>
    <hyperlink xmlns:r="http://schemas.openxmlformats.org/officeDocument/2006/relationships" ref="C69" r:id="rId135"/>
    <hyperlink xmlns:r="http://schemas.openxmlformats.org/officeDocument/2006/relationships" ref="D69" r:id="rId136"/>
    <hyperlink xmlns:r="http://schemas.openxmlformats.org/officeDocument/2006/relationships" ref="C70" r:id="rId137"/>
    <hyperlink xmlns:r="http://schemas.openxmlformats.org/officeDocument/2006/relationships" ref="D70" r:id="rId138"/>
    <hyperlink xmlns:r="http://schemas.openxmlformats.org/officeDocument/2006/relationships" ref="C71" r:id="rId139"/>
    <hyperlink xmlns:r="http://schemas.openxmlformats.org/officeDocument/2006/relationships" ref="D71" r:id="rId140"/>
    <hyperlink xmlns:r="http://schemas.openxmlformats.org/officeDocument/2006/relationships" ref="C72" r:id="rId141"/>
    <hyperlink xmlns:r="http://schemas.openxmlformats.org/officeDocument/2006/relationships" ref="D72" r:id="rId142"/>
    <hyperlink xmlns:r="http://schemas.openxmlformats.org/officeDocument/2006/relationships" ref="C73" r:id="rId143"/>
    <hyperlink xmlns:r="http://schemas.openxmlformats.org/officeDocument/2006/relationships" ref="D73" r:id="rId144"/>
  </hyperlinks>
  <printOptions horizontalCentered="0"/>
  <pageMargins left="0.25" right="0.25" top="0.5" bottom="0.5" header="0.5" footer="0.5"/>
  <pageSetup orientation="landscape" fitToHeight="0" fitToWidth="3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2" customWidth="1" min="2" max="2"/>
    <col width="20" customWidth="1" min="3" max="3"/>
    <col width="20" customWidth="1" min="4" max="4"/>
    <col width="24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 ht="32" customHeight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 ht="84" customHeight="1">
      <c r="A2" s="2" t="inlineStr">
        <is>
          <t>R4-LIM-SNAPSHOT</t>
        </is>
      </c>
      <c r="B2" s="2" t="inlineStr"/>
      <c r="C2" s="2" t="inlineStr"/>
      <c r="D2" s="2" t="inlineStr">
        <is>
          <t>LIMITATION</t>
        </is>
      </c>
      <c r="E2" s="2" t="inlineStr">
        <is>
          <t>historical HTML snapshot</t>
        </is>
      </c>
      <c r="F2" s="2" t="inlineStr">
        <is>
          <t>Historical rendered HTML snapshot was unavailable.</t>
        </is>
      </c>
      <c r="G2" s="2" t="inlineStr">
        <is>
          <t>Frozen r4 workbook, product/media evidence and admin export are available.</t>
        </is>
      </c>
      <c r="H2" s="2" t="inlineStr">
        <is>
          <t>This is a source-history limitation, not an r4 content defect.</t>
        </is>
      </c>
      <c r="I2" s="2" t="inlineStr">
        <is>
          <t>Capture an immutable HTML snapshot next source collection.</t>
        </is>
      </c>
      <c r="J2" s="2" t="inlineStr">
        <is>
          <t>D:\Shopify_Workspace\jeminise_seo\seo_runs\jeminise.com\20260906_234129\qa\20260908_005000\source_snapshot\SEO_Product_Optimization_qa_batch_005_r4.xlsx</t>
        </is>
      </c>
      <c r="K2" s="2" t="inlineStr">
        <is>
          <t>Compare readable rendered snapshots.</t>
        </is>
      </c>
    </row>
  </sheetData>
  <autoFilter ref="A1:K2"/>
  <conditionalFormatting sqref="D2">
    <cfRule type="expression" priority="1" dxfId="3">
      <formula>D2="CRITICAL"</formula>
    </cfRule>
    <cfRule type="expression" priority="2" dxfId="2">
      <formula>D2="MAJOR"</formula>
    </cfRule>
    <cfRule type="expression" priority="3" dxfId="1">
      <formula>D2="MINOR"</formula>
    </cfRule>
    <cfRule type="expression" priority="4" dxfId="4">
      <formula>D2="LIMITATION"</formula>
    </cfRule>
  </conditionalFormatting>
  <printOptions horizontalCentered="0"/>
  <pageMargins left="0.25" right="0.25" top="0.5" bottom="0.5" header="0.5" footer="0.5"/>
  <pageSetup orientation="landscape" fitToHeight="0" fitToWidth="2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2026-09-08T02:00:04Z</dcterms:created>
  <dcterms:modified xmlns:dcterms="http://purl.org/dc/terms/" xmlns:xsi="http://www.w3.org/2001/XMLSchema-instance" xsi:type="dcterms:W3CDTF">2026-09-08T02:00:04Z</dcterms:modified>
</cp:coreProperties>
</file>