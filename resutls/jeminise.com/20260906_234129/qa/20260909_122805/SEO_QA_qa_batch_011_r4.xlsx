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'QA_Images'!$A$1:$X$78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semi-truck-with-american-flag-background-comforter-104ae45e5d-104ae45e5d" TargetMode="External" Id="rId1"/><Relationship Type="http://schemas.openxmlformats.org/officeDocument/2006/relationships/hyperlink" Target="https://jeminise.com/products/custom-soccer-ball-cleats-personalized-comforter-set-machine-washable" TargetMode="External" Id="rId2"/><Relationship Type="http://schemas.openxmlformats.org/officeDocument/2006/relationships/hyperlink" Target="https://jeminise.com/products/custom-soccer-ball-goal-net-comforter-set-machine-washabl-design-13" TargetMode="External" Id="rId3"/><Relationship Type="http://schemas.openxmlformats.org/officeDocument/2006/relationships/hyperlink" Target="https://jeminise.com/products/custom-soccer-ball-goal-personalized-bedding-comforter-set-a4" TargetMode="External" Id="rId4"/><Relationship Type="http://schemas.openxmlformats.org/officeDocument/2006/relationships/hyperlink" Target="https://jeminise.com/products/custom-soccer-ball-net-comforter-set-machine-washable-a2" TargetMode="External" Id="rId5"/><Relationship Type="http://schemas.openxmlformats.org/officeDocument/2006/relationships/hyperlink" Target="https://jeminise.com/products/custom-soccer-ball-water-splashes-comforter-set-machine-washable" TargetMode="External" Id="rId6"/><Relationship Type="http://schemas.openxmlformats.org/officeDocument/2006/relationships/hyperlink" Target="https://jeminise.com/products/custom-soccer-ball-with-lightning-splash-comforter-set-a11" TargetMode="External" Id="rId7"/><Relationship Type="http://schemas.openxmlformats.org/officeDocument/2006/relationships/hyperlink" Target="https://jeminise.com/products/custom-soccer-ball-with-number-07-comforter-set-machine-w-design-17" TargetMode="External" Id="rId8"/><Relationship Type="http://schemas.openxmlformats.org/officeDocument/2006/relationships/hyperlink" Target="https://jeminise.com/products/custom-soccer-goal-splash-bedding-comforter-set-machine-washable" TargetMode="External" Id="rId9"/><Relationship Type="http://schemas.openxmlformats.org/officeDocument/2006/relationships/hyperlink" Target="https://jeminise.com/products/custom-soccer-net-with-number-07-comforter-set-machine-washable-a7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3b328383c995be54509b263af54b728aa2e6ffd82467fcae85efb7a7bbc8bbe9.jpg?v=1785132509" TargetMode="External" Id="rId1"/><Relationship Type="http://schemas.openxmlformats.org/officeDocument/2006/relationships/hyperlink" Target="https://cdn.shopify.com/s/files/1/0792/5098/1063/files/3b328383c995be54509b263af54b728aa2e6ffd82467fcae85efb7a7bbc8bbe9.jpg?v=1785132509" TargetMode="External" Id="rId2"/><Relationship Type="http://schemas.openxmlformats.org/officeDocument/2006/relationships/hyperlink" Target="https://cdn.shopify.com/s/files/1/0792/5098/1063/files/5a72649f12223279408a8ba4f60e4feccc572655cc0b5fbe85d070d456150657.jpg?v=1785132509" TargetMode="External" Id="rId3"/><Relationship Type="http://schemas.openxmlformats.org/officeDocument/2006/relationships/hyperlink" Target="https://cdn.shopify.com/s/files/1/0792/5098/1063/files/5a72649f12223279408a8ba4f60e4feccc572655cc0b5fbe85d070d456150657.jpg?v=1785132509" TargetMode="External" Id="rId4"/><Relationship Type="http://schemas.openxmlformats.org/officeDocument/2006/relationships/hyperlink" Target="https://cdn.shopify.com/s/files/1/0792/5098/1063/files/16f7293cbefa5743a35b2e6316a5a114e5c052d08151e367dafd26aa5e2e542b_8545ce0e-b9a2-48f6-9d25-38463fc247cf.jpg?v=1785132508" TargetMode="External" Id="rId5"/><Relationship Type="http://schemas.openxmlformats.org/officeDocument/2006/relationships/hyperlink" Target="https://cdn.shopify.com/s/files/1/0792/5098/1063/files/16f7293cbefa5743a35b2e6316a5a114e5c052d08151e367dafd26aa5e2e542b_8545ce0e-b9a2-48f6-9d25-38463fc247cf.jpg?v=1785132508" TargetMode="External" Id="rId6"/><Relationship Type="http://schemas.openxmlformats.org/officeDocument/2006/relationships/hyperlink" Target="https://cdn.shopify.com/s/files/1/0792/5098/1063/files/acbb169b6180a5d5a284c57047db2a608ed28a3a238e325e3c27fc789a3511cc.jpg?v=1785132509" TargetMode="External" Id="rId7"/><Relationship Type="http://schemas.openxmlformats.org/officeDocument/2006/relationships/hyperlink" Target="https://cdn.shopify.com/s/files/1/0792/5098/1063/files/acbb169b6180a5d5a284c57047db2a608ed28a3a238e325e3c27fc789a3511cc.jpg?v=1785132509" TargetMode="External" Id="rId8"/><Relationship Type="http://schemas.openxmlformats.org/officeDocument/2006/relationships/hyperlink" Target="https://cdn.shopify.com/s/files/1/0792/5098/1063/files/2cf8e8740cc4e9f648f45a3cc8860feca87eed6ed2ebe6db1806a7a72c904174.jpg?v=1785132508" TargetMode="External" Id="rId9"/><Relationship Type="http://schemas.openxmlformats.org/officeDocument/2006/relationships/hyperlink" Target="https://cdn.shopify.com/s/files/1/0792/5098/1063/files/2cf8e8740cc4e9f648f45a3cc8860feca87eed6ed2ebe6db1806a7a72c904174.jpg?v=1785132508" TargetMode="External" Id="rId10"/><Relationship Type="http://schemas.openxmlformats.org/officeDocument/2006/relationships/hyperlink" Target="https://cdn.shopify.com/s/files/1/0792/5098/1063/files/7c006bddc94d4763c71c8376307e195c1bbce73b8c802ec73ac5a8cef1291262_848066e2-c73f-4a34-bc01-26c2845f2dd2.jpg?v=1785132508" TargetMode="External" Id="rId11"/><Relationship Type="http://schemas.openxmlformats.org/officeDocument/2006/relationships/hyperlink" Target="https://cdn.shopify.com/s/files/1/0792/5098/1063/files/7c006bddc94d4763c71c8376307e195c1bbce73b8c802ec73ac5a8cef1291262_848066e2-c73f-4a34-bc01-26c2845f2dd2.jpg?v=1785132508" TargetMode="External" Id="rId12"/><Relationship Type="http://schemas.openxmlformats.org/officeDocument/2006/relationships/hyperlink" Target="https://cdn.shopify.com/s/files/1/0792/5098/1063/files/e5cad84edb4d7bf77c48fd7c8e52eb3b73f04eba8bf177671fd8a059c59422e8_0dcf69cb-e73b-4a03-b131-3b86abcfe91a.jpg?v=1785132508" TargetMode="External" Id="rId13"/><Relationship Type="http://schemas.openxmlformats.org/officeDocument/2006/relationships/hyperlink" Target="https://cdn.shopify.com/s/files/1/0792/5098/1063/files/e5cad84edb4d7bf77c48fd7c8e52eb3b73f04eba8bf177671fd8a059c59422e8_0dcf69cb-e73b-4a03-b131-3b86abcfe91a.jpg?v=1785132508" TargetMode="External" Id="rId14"/><Relationship Type="http://schemas.openxmlformats.org/officeDocument/2006/relationships/hyperlink" Target="https://cdn.shopify.com/s/files/1/0792/5098/1063/files/3afc018e90ed49ef925c143f160e13a00ecff6c51398c938910988b9aa62eee5.jpg?v=1786611045" TargetMode="External" Id="rId15"/><Relationship Type="http://schemas.openxmlformats.org/officeDocument/2006/relationships/hyperlink" Target="https://cdn.shopify.com/s/files/1/0792/5098/1063/files/3afc018e90ed49ef925c143f160e13a00ecff6c51398c938910988b9aa62eee5.jpg?v=1786611045" TargetMode="External" Id="rId16"/><Relationship Type="http://schemas.openxmlformats.org/officeDocument/2006/relationships/hyperlink" Target="https://cdn.shopify.com/s/files/1/0792/5098/1063/files/853d2abb96fc99745b7d0d14923249d8511e73900ecb3d6dd11282145d533cc2.jpg?v=1786611045" TargetMode="External" Id="rId17"/><Relationship Type="http://schemas.openxmlformats.org/officeDocument/2006/relationships/hyperlink" Target="https://cdn.shopify.com/s/files/1/0792/5098/1063/files/853d2abb96fc99745b7d0d14923249d8511e73900ecb3d6dd11282145d533cc2.jpg?v=1786611045" TargetMode="External" Id="rId18"/><Relationship Type="http://schemas.openxmlformats.org/officeDocument/2006/relationships/hyperlink" Target="https://cdn.shopify.com/s/files/1/0792/5098/1063/files/5362f06de02f8fe4ecf4c49af6b8fbdc72b6839ac032fb1c1d6a0f34181df88d.jpg?v=1786611045" TargetMode="External" Id="rId19"/><Relationship Type="http://schemas.openxmlformats.org/officeDocument/2006/relationships/hyperlink" Target="https://cdn.shopify.com/s/files/1/0792/5098/1063/files/5362f06de02f8fe4ecf4c49af6b8fbdc72b6839ac032fb1c1d6a0f34181df88d.jpg?v=1786611045" TargetMode="External" Id="rId20"/><Relationship Type="http://schemas.openxmlformats.org/officeDocument/2006/relationships/hyperlink" Target="https://cdn.shopify.com/s/files/1/0792/5098/1063/files/0b1d1e19cab6d757366a36700f895ecca060303e705a8aece2f5fa486b6770da_be61eea0-f110-43df-83bb-ae00fb92f24c.jpg?v=1786611045" TargetMode="External" Id="rId21"/><Relationship Type="http://schemas.openxmlformats.org/officeDocument/2006/relationships/hyperlink" Target="https://cdn.shopify.com/s/files/1/0792/5098/1063/files/0b1d1e19cab6d757366a36700f895ecca060303e705a8aece2f5fa486b6770da_be61eea0-f110-43df-83bb-ae00fb92f24c.jpg?v=1786611045" TargetMode="External" Id="rId22"/><Relationship Type="http://schemas.openxmlformats.org/officeDocument/2006/relationships/hyperlink" Target="https://cdn.shopify.com/s/files/1/0792/5098/1063/files/15f9c4be9f852f86496ec17edfcb3959b6568999d70ef06031f97dfdc4f4e51b.jpg?v=1786611045" TargetMode="External" Id="rId23"/><Relationship Type="http://schemas.openxmlformats.org/officeDocument/2006/relationships/hyperlink" Target="https://cdn.shopify.com/s/files/1/0792/5098/1063/files/15f9c4be9f852f86496ec17edfcb3959b6568999d70ef06031f97dfdc4f4e51b.jpg?v=1786611045" TargetMode="External" Id="rId24"/><Relationship Type="http://schemas.openxmlformats.org/officeDocument/2006/relationships/hyperlink" Target="https://cdn.shopify.com/s/files/1/0792/5098/1063/files/bdd70066a735fd65ca8f22b14e13e7e7d8f1a8473be945bbd71d518ab775916d.jpg?v=1786611045" TargetMode="External" Id="rId25"/><Relationship Type="http://schemas.openxmlformats.org/officeDocument/2006/relationships/hyperlink" Target="https://cdn.shopify.com/s/files/1/0792/5098/1063/files/bdd70066a735fd65ca8f22b14e13e7e7d8f1a8473be945bbd71d518ab775916d.jpg?v=1786611045" TargetMode="External" Id="rId26"/><Relationship Type="http://schemas.openxmlformats.org/officeDocument/2006/relationships/hyperlink" Target="https://cdn.shopify.com/s/files/1/0792/5098/1063/files/d761ea3ae4f4c0b26b7473177b21a616c5199552823ec637c64fe7b0d6b0f12f_112bfa92-667b-4b1e-b14e-46ce602ac9ea.jpg?v=1786611045" TargetMode="External" Id="rId27"/><Relationship Type="http://schemas.openxmlformats.org/officeDocument/2006/relationships/hyperlink" Target="https://cdn.shopify.com/s/files/1/0792/5098/1063/files/d761ea3ae4f4c0b26b7473177b21a616c5199552823ec637c64fe7b0d6b0f12f_112bfa92-667b-4b1e-b14e-46ce602ac9ea.jpg?v=1786611045" TargetMode="External" Id="rId28"/><Relationship Type="http://schemas.openxmlformats.org/officeDocument/2006/relationships/hyperlink" Target="https://cdn.shopify.com/s/files/1/0792/5098/1063/files/dd6b2f75d5d331064be3e2ace151f6872c3f1f67675d8c1c7fa00f207341180b_60f212b7-b79b-45e6-8e22-e0a6a0e3e447.jpg?v=1786611045" TargetMode="External" Id="rId29"/><Relationship Type="http://schemas.openxmlformats.org/officeDocument/2006/relationships/hyperlink" Target="https://cdn.shopify.com/s/files/1/0792/5098/1063/files/dd6b2f75d5d331064be3e2ace151f6872c3f1f67675d8c1c7fa00f207341180b_60f212b7-b79b-45e6-8e22-e0a6a0e3e447.jpg?v=1786611045" TargetMode="External" Id="rId30"/><Relationship Type="http://schemas.openxmlformats.org/officeDocument/2006/relationships/hyperlink" Target="https://cdn.shopify.com/s/files/1/0792/5098/1063/files/e40fbf151dd4e744c6057704570d5d6266da44452209f9c566b1d299ec7ec161.jpg?v=1786610997" TargetMode="External" Id="rId31"/><Relationship Type="http://schemas.openxmlformats.org/officeDocument/2006/relationships/hyperlink" Target="https://cdn.shopify.com/s/files/1/0792/5098/1063/files/e40fbf151dd4e744c6057704570d5d6266da44452209f9c566b1d299ec7ec161.jpg?v=1786610997" TargetMode="External" Id="rId32"/><Relationship Type="http://schemas.openxmlformats.org/officeDocument/2006/relationships/hyperlink" Target="https://cdn.shopify.com/s/files/1/0792/5098/1063/files/9d16e4651681178117899f3856d564de180d3403ef433870aff7721c9e7a86ca.jpg?v=1786610997" TargetMode="External" Id="rId33"/><Relationship Type="http://schemas.openxmlformats.org/officeDocument/2006/relationships/hyperlink" Target="https://cdn.shopify.com/s/files/1/0792/5098/1063/files/9d16e4651681178117899f3856d564de180d3403ef433870aff7721c9e7a86ca.jpg?v=1786610997" TargetMode="External" Id="rId34"/><Relationship Type="http://schemas.openxmlformats.org/officeDocument/2006/relationships/hyperlink" Target="https://cdn.shopify.com/s/files/1/0792/5098/1063/files/f97a7dd8f82a6d24e5f9be7db591aec54c2e0b2b4fc0b12240776533166c536d.jpg?v=1786610997" TargetMode="External" Id="rId35"/><Relationship Type="http://schemas.openxmlformats.org/officeDocument/2006/relationships/hyperlink" Target="https://cdn.shopify.com/s/files/1/0792/5098/1063/files/f97a7dd8f82a6d24e5f9be7db591aec54c2e0b2b4fc0b12240776533166c536d.jpg?v=1786610997" TargetMode="External" Id="rId36"/><Relationship Type="http://schemas.openxmlformats.org/officeDocument/2006/relationships/hyperlink" Target="https://cdn.shopify.com/s/files/1/0792/5098/1063/files/0b1d1e19cab6d757366a36700f895ecca060303e705a8aece2f5fa486b6770da_15525c0b-4f16-4d00-b2cf-d9086002e031.jpg?v=1786610997" TargetMode="External" Id="rId37"/><Relationship Type="http://schemas.openxmlformats.org/officeDocument/2006/relationships/hyperlink" Target="https://cdn.shopify.com/s/files/1/0792/5098/1063/files/0b1d1e19cab6d757366a36700f895ecca060303e705a8aece2f5fa486b6770da_15525c0b-4f16-4d00-b2cf-d9086002e031.jpg?v=1786610997" TargetMode="External" Id="rId38"/><Relationship Type="http://schemas.openxmlformats.org/officeDocument/2006/relationships/hyperlink" Target="https://cdn.shopify.com/s/files/1/0792/5098/1063/files/88f6045ef306b30edfc20bd2567313983a1ae212a11493f8f24ef3cb27df3a3d.jpg?v=1786610997" TargetMode="External" Id="rId39"/><Relationship Type="http://schemas.openxmlformats.org/officeDocument/2006/relationships/hyperlink" Target="https://cdn.shopify.com/s/files/1/0792/5098/1063/files/88f6045ef306b30edfc20bd2567313983a1ae212a11493f8f24ef3cb27df3a3d.jpg?v=1786610997" TargetMode="External" Id="rId40"/><Relationship Type="http://schemas.openxmlformats.org/officeDocument/2006/relationships/hyperlink" Target="https://cdn.shopify.com/s/files/1/0792/5098/1063/files/5e5e8c6c659c3bbc094017cc64ad1f11d843f6684d630e8ec7ab0e203fb80666.jpg?v=1786610997" TargetMode="External" Id="rId41"/><Relationship Type="http://schemas.openxmlformats.org/officeDocument/2006/relationships/hyperlink" Target="https://cdn.shopify.com/s/files/1/0792/5098/1063/files/5e5e8c6c659c3bbc094017cc64ad1f11d843f6684d630e8ec7ab0e203fb80666.jpg?v=1786610997" TargetMode="External" Id="rId42"/><Relationship Type="http://schemas.openxmlformats.org/officeDocument/2006/relationships/hyperlink" Target="https://cdn.shopify.com/s/files/1/0792/5098/1063/files/569ca20f02dd45e1e5ebb32a75c34b1495da6793e5f1a6fc3ad8bb882275d389.jpg?v=1786610997" TargetMode="External" Id="rId43"/><Relationship Type="http://schemas.openxmlformats.org/officeDocument/2006/relationships/hyperlink" Target="https://cdn.shopify.com/s/files/1/0792/5098/1063/files/569ca20f02dd45e1e5ebb32a75c34b1495da6793e5f1a6fc3ad8bb882275d389.jpg?v=1786610997" TargetMode="External" Id="rId44"/><Relationship Type="http://schemas.openxmlformats.org/officeDocument/2006/relationships/hyperlink" Target="https://cdn.shopify.com/s/files/1/0792/5098/1063/files/dd6b2f75d5d331064be3e2ace151f6872c3f1f67675d8c1c7fa00f207341180b_032fc95e-87be-4f21-94db-1aed6ba6a2f4.jpg?v=1786610997" TargetMode="External" Id="rId45"/><Relationship Type="http://schemas.openxmlformats.org/officeDocument/2006/relationships/hyperlink" Target="https://cdn.shopify.com/s/files/1/0792/5098/1063/files/dd6b2f75d5d331064be3e2ace151f6872c3f1f67675d8c1c7fa00f207341180b_032fc95e-87be-4f21-94db-1aed6ba6a2f4.jpg?v=1786610997" TargetMode="External" Id="rId46"/><Relationship Type="http://schemas.openxmlformats.org/officeDocument/2006/relationships/hyperlink" Target="https://cdn.shopify.com/s/files/1/0792/5098/1063/files/c8002c1036e987b59bab3d14d64dda24c6dd83936cf1089df50345790d2ab310.jpg?v=1786610956" TargetMode="External" Id="rId47"/><Relationship Type="http://schemas.openxmlformats.org/officeDocument/2006/relationships/hyperlink" Target="https://cdn.shopify.com/s/files/1/0792/5098/1063/files/c8002c1036e987b59bab3d14d64dda24c6dd83936cf1089df50345790d2ab310.jpg?v=1786610956" TargetMode="External" Id="rId48"/><Relationship Type="http://schemas.openxmlformats.org/officeDocument/2006/relationships/hyperlink" Target="https://cdn.shopify.com/s/files/1/0792/5098/1063/files/7d7d424bfee4840d7d140607b0005999eb51175eb1c17769af9e683165361fef.jpg?v=1786610956" TargetMode="External" Id="rId49"/><Relationship Type="http://schemas.openxmlformats.org/officeDocument/2006/relationships/hyperlink" Target="https://cdn.shopify.com/s/files/1/0792/5098/1063/files/7d7d424bfee4840d7d140607b0005999eb51175eb1c17769af9e683165361fef.jpg?v=1786610956" TargetMode="External" Id="rId50"/><Relationship Type="http://schemas.openxmlformats.org/officeDocument/2006/relationships/hyperlink" Target="https://cdn.shopify.com/s/files/1/0792/5098/1063/files/627f0c01c4f3364f98ac4ff820fb9d697a7fe3d1c6e2c06735cc8a0f4a203ec4.jpg?v=1786610956" TargetMode="External" Id="rId51"/><Relationship Type="http://schemas.openxmlformats.org/officeDocument/2006/relationships/hyperlink" Target="https://cdn.shopify.com/s/files/1/0792/5098/1063/files/627f0c01c4f3364f98ac4ff820fb9d697a7fe3d1c6e2c06735cc8a0f4a203ec4.jpg?v=1786610956" TargetMode="External" Id="rId52"/><Relationship Type="http://schemas.openxmlformats.org/officeDocument/2006/relationships/hyperlink" Target="https://cdn.shopify.com/s/files/1/0792/5098/1063/files/a65a6b587bf08ed6016241cc5d9b5248124a63cc6dbd58587fb9a31a5dedaa90.jpg?v=1786610956" TargetMode="External" Id="rId53"/><Relationship Type="http://schemas.openxmlformats.org/officeDocument/2006/relationships/hyperlink" Target="https://cdn.shopify.com/s/files/1/0792/5098/1063/files/a65a6b587bf08ed6016241cc5d9b5248124a63cc6dbd58587fb9a31a5dedaa90.jpg?v=1786610956" TargetMode="External" Id="rId54"/><Relationship Type="http://schemas.openxmlformats.org/officeDocument/2006/relationships/hyperlink" Target="https://cdn.shopify.com/s/files/1/0792/5098/1063/files/0b1d1e19cab6d757366a36700f895ecca060303e705a8aece2f5fa486b6770da_3f918262-2a19-4418-a746-5d533ad71a6a.jpg?v=1786610956" TargetMode="External" Id="rId55"/><Relationship Type="http://schemas.openxmlformats.org/officeDocument/2006/relationships/hyperlink" Target="https://cdn.shopify.com/s/files/1/0792/5098/1063/files/0b1d1e19cab6d757366a36700f895ecca060303e705a8aece2f5fa486b6770da_3f918262-2a19-4418-a746-5d533ad71a6a.jpg?v=1786610956" TargetMode="External" Id="rId56"/><Relationship Type="http://schemas.openxmlformats.org/officeDocument/2006/relationships/hyperlink" Target="https://cdn.shopify.com/s/files/1/0792/5098/1063/files/4922d4866ae120bf5fa8b1880951c618d4173a48a3021af525b49854d05a8e9b.jpg?v=1786610956" TargetMode="External" Id="rId57"/><Relationship Type="http://schemas.openxmlformats.org/officeDocument/2006/relationships/hyperlink" Target="https://cdn.shopify.com/s/files/1/0792/5098/1063/files/4922d4866ae120bf5fa8b1880951c618d4173a48a3021af525b49854d05a8e9b.jpg?v=1786610956" TargetMode="External" Id="rId58"/><Relationship Type="http://schemas.openxmlformats.org/officeDocument/2006/relationships/hyperlink" Target="https://cdn.shopify.com/s/files/1/0792/5098/1063/files/d761ea3ae4f4c0b26b7473177b21a616c5199552823ec637c64fe7b0d6b0f12f_d9ec0d73-2117-4b5e-8e27-b91f649eb31b.jpg?v=1786610956" TargetMode="External" Id="rId59"/><Relationship Type="http://schemas.openxmlformats.org/officeDocument/2006/relationships/hyperlink" Target="https://cdn.shopify.com/s/files/1/0792/5098/1063/files/d761ea3ae4f4c0b26b7473177b21a616c5199552823ec637c64fe7b0d6b0f12f_d9ec0d73-2117-4b5e-8e27-b91f649eb31b.jpg?v=1786610956" TargetMode="External" Id="rId60"/><Relationship Type="http://schemas.openxmlformats.org/officeDocument/2006/relationships/hyperlink" Target="https://cdn.shopify.com/s/files/1/0792/5098/1063/files/82333601a7ee5503b2c8e1c2000337833e2c7d844138e0b4a3807c18149eb399.jpg?v=1786610952" TargetMode="External" Id="rId61"/><Relationship Type="http://schemas.openxmlformats.org/officeDocument/2006/relationships/hyperlink" Target="https://cdn.shopify.com/s/files/1/0792/5098/1063/files/82333601a7ee5503b2c8e1c2000337833e2c7d844138e0b4a3807c18149eb399.jpg?v=1786610952" TargetMode="External" Id="rId62"/><Relationship Type="http://schemas.openxmlformats.org/officeDocument/2006/relationships/hyperlink" Target="https://cdn.shopify.com/s/files/1/0792/5098/1063/files/e4f89c76a6f8185e66e32b20ec9b5d9d740e4909068e0941f30f334583036115.jpg?v=1786610952" TargetMode="External" Id="rId63"/><Relationship Type="http://schemas.openxmlformats.org/officeDocument/2006/relationships/hyperlink" Target="https://cdn.shopify.com/s/files/1/0792/5098/1063/files/e4f89c76a6f8185e66e32b20ec9b5d9d740e4909068e0941f30f334583036115.jpg?v=1786610952" TargetMode="External" Id="rId64"/><Relationship Type="http://schemas.openxmlformats.org/officeDocument/2006/relationships/hyperlink" Target="https://cdn.shopify.com/s/files/1/0792/5098/1063/files/09c92d20270c366068722749877dfcc163d94f944c4ad88cb639774033eb44af.jpg?v=1786610952" TargetMode="External" Id="rId65"/><Relationship Type="http://schemas.openxmlformats.org/officeDocument/2006/relationships/hyperlink" Target="https://cdn.shopify.com/s/files/1/0792/5098/1063/files/09c92d20270c366068722749877dfcc163d94f944c4ad88cb639774033eb44af.jpg?v=1786610952" TargetMode="External" Id="rId66"/><Relationship Type="http://schemas.openxmlformats.org/officeDocument/2006/relationships/hyperlink" Target="https://cdn.shopify.com/s/files/1/0792/5098/1063/files/164b95e35a478522bf4ed840c25aa88e4b59617a11cd183d2bfa520cd5e35df7.jpg?v=1786610952" TargetMode="External" Id="rId67"/><Relationship Type="http://schemas.openxmlformats.org/officeDocument/2006/relationships/hyperlink" Target="https://cdn.shopify.com/s/files/1/0792/5098/1063/files/164b95e35a478522bf4ed840c25aa88e4b59617a11cd183d2bfa520cd5e35df7.jpg?v=1786610952" TargetMode="External" Id="rId68"/><Relationship Type="http://schemas.openxmlformats.org/officeDocument/2006/relationships/hyperlink" Target="https://cdn.shopify.com/s/files/1/0792/5098/1063/files/0b1d1e19cab6d757366a36700f895ecca060303e705a8aece2f5fa486b6770da_bc8d7f75-219a-4b5d-8e66-9489d2be706d.jpg?v=1786610952" TargetMode="External" Id="rId69"/><Relationship Type="http://schemas.openxmlformats.org/officeDocument/2006/relationships/hyperlink" Target="https://cdn.shopify.com/s/files/1/0792/5098/1063/files/0b1d1e19cab6d757366a36700f895ecca060303e705a8aece2f5fa486b6770da_bc8d7f75-219a-4b5d-8e66-9489d2be706d.jpg?v=1786610952" TargetMode="External" Id="rId70"/><Relationship Type="http://schemas.openxmlformats.org/officeDocument/2006/relationships/hyperlink" Target="https://cdn.shopify.com/s/files/1/0792/5098/1063/files/caf001b85a4e79727d87996286013724e2de3319e9c06e0f70d0f157cd572bf5.jpg?v=1786610952" TargetMode="External" Id="rId71"/><Relationship Type="http://schemas.openxmlformats.org/officeDocument/2006/relationships/hyperlink" Target="https://cdn.shopify.com/s/files/1/0792/5098/1063/files/caf001b85a4e79727d87996286013724e2de3319e9c06e0f70d0f157cd572bf5.jpg?v=1786610952" TargetMode="External" Id="rId72"/><Relationship Type="http://schemas.openxmlformats.org/officeDocument/2006/relationships/hyperlink" Target="https://cdn.shopify.com/s/files/1/0792/5098/1063/files/b8808b19366c3be9b3f9b5d165e01bbcd407febd46189c1e8cfda33dbc968095.jpg?v=1786610952" TargetMode="External" Id="rId73"/><Relationship Type="http://schemas.openxmlformats.org/officeDocument/2006/relationships/hyperlink" Target="https://cdn.shopify.com/s/files/1/0792/5098/1063/files/b8808b19366c3be9b3f9b5d165e01bbcd407febd46189c1e8cfda33dbc968095.jpg?v=1786610952" TargetMode="External" Id="rId74"/><Relationship Type="http://schemas.openxmlformats.org/officeDocument/2006/relationships/hyperlink" Target="https://cdn.shopify.com/s/files/1/0792/5098/1063/files/dd6b2f75d5d331064be3e2ace151f6872c3f1f67675d8c1c7fa00f207341180b_f495c796-ec94-4c7a-ae83-a703dc0e4a3c.jpg?v=1786610952" TargetMode="External" Id="rId75"/><Relationship Type="http://schemas.openxmlformats.org/officeDocument/2006/relationships/hyperlink" Target="https://cdn.shopify.com/s/files/1/0792/5098/1063/files/dd6b2f75d5d331064be3e2ace151f6872c3f1f67675d8c1c7fa00f207341180b_f495c796-ec94-4c7a-ae83-a703dc0e4a3c.jpg?v=1786610952" TargetMode="External" Id="rId76"/><Relationship Type="http://schemas.openxmlformats.org/officeDocument/2006/relationships/hyperlink" Target="https://cdn.shopify.com/s/files/1/0792/5098/1063/files/f55864bd923cfb841eb33123844bd7bddec61cb2871b60e8b3599cfa4e4987d1.jpg?v=1786610971" TargetMode="External" Id="rId77"/><Relationship Type="http://schemas.openxmlformats.org/officeDocument/2006/relationships/hyperlink" Target="https://cdn.shopify.com/s/files/1/0792/5098/1063/files/f55864bd923cfb841eb33123844bd7bddec61cb2871b60e8b3599cfa4e4987d1.jpg?v=1786610971" TargetMode="External" Id="rId78"/><Relationship Type="http://schemas.openxmlformats.org/officeDocument/2006/relationships/hyperlink" Target="https://cdn.shopify.com/s/files/1/0792/5098/1063/files/e57ab99e727175c89654887c2283894fe8a7e00033511ddc129efed7defe230c.jpg?v=1786610972" TargetMode="External" Id="rId79"/><Relationship Type="http://schemas.openxmlformats.org/officeDocument/2006/relationships/hyperlink" Target="https://cdn.shopify.com/s/files/1/0792/5098/1063/files/e57ab99e727175c89654887c2283894fe8a7e00033511ddc129efed7defe230c.jpg?v=1786610972" TargetMode="External" Id="rId80"/><Relationship Type="http://schemas.openxmlformats.org/officeDocument/2006/relationships/hyperlink" Target="https://cdn.shopify.com/s/files/1/0792/5098/1063/files/0b1d1e19cab6d757366a36700f895ecca060303e705a8aece2f5fa486b6770da_d0ea3391-1dbc-4cd3-ba29-00beca290e13.jpg?v=1786610972" TargetMode="External" Id="rId81"/><Relationship Type="http://schemas.openxmlformats.org/officeDocument/2006/relationships/hyperlink" Target="https://cdn.shopify.com/s/files/1/0792/5098/1063/files/0b1d1e19cab6d757366a36700f895ecca060303e705a8aece2f5fa486b6770da_d0ea3391-1dbc-4cd3-ba29-00beca290e13.jpg?v=1786610972" TargetMode="External" Id="rId82"/><Relationship Type="http://schemas.openxmlformats.org/officeDocument/2006/relationships/hyperlink" Target="https://cdn.shopify.com/s/files/1/0792/5098/1063/files/09698594226d8d0790d2d60d7e9422bcf5582493d9bc17e46842c5cc0e151233.jpg?v=1786610971" TargetMode="External" Id="rId83"/><Relationship Type="http://schemas.openxmlformats.org/officeDocument/2006/relationships/hyperlink" Target="https://cdn.shopify.com/s/files/1/0792/5098/1063/files/09698594226d8d0790d2d60d7e9422bcf5582493d9bc17e46842c5cc0e151233.jpg?v=1786610971" TargetMode="External" Id="rId84"/><Relationship Type="http://schemas.openxmlformats.org/officeDocument/2006/relationships/hyperlink" Target="https://cdn.shopify.com/s/files/1/0792/5098/1063/files/edd6c5b1619100663d28a2e1f0044a8134f12d71d4e2e0beaf1aebe286083b00.jpg?v=1786610971" TargetMode="External" Id="rId85"/><Relationship Type="http://schemas.openxmlformats.org/officeDocument/2006/relationships/hyperlink" Target="https://cdn.shopify.com/s/files/1/0792/5098/1063/files/edd6c5b1619100663d28a2e1f0044a8134f12d71d4e2e0beaf1aebe286083b00.jpg?v=1786610971" TargetMode="External" Id="rId86"/><Relationship Type="http://schemas.openxmlformats.org/officeDocument/2006/relationships/hyperlink" Target="https://cdn.shopify.com/s/files/1/0792/5098/1063/files/eb3bcbfe3f8d762beed0aeedacccf09e473ce42fc43e30ffab6a54c49783ff7f.jpg?v=1786610972" TargetMode="External" Id="rId87"/><Relationship Type="http://schemas.openxmlformats.org/officeDocument/2006/relationships/hyperlink" Target="https://cdn.shopify.com/s/files/1/0792/5098/1063/files/eb3bcbfe3f8d762beed0aeedacccf09e473ce42fc43e30ffab6a54c49783ff7f.jpg?v=1786610972" TargetMode="External" Id="rId88"/><Relationship Type="http://schemas.openxmlformats.org/officeDocument/2006/relationships/hyperlink" Target="https://cdn.shopify.com/s/files/1/0792/5098/1063/files/dd6b2f75d5d331064be3e2ace151f6872c3f1f67675d8c1c7fa00f207341180b_2a160289-1bc0-441f-97ca-4eb1ab9defdf.jpg?v=1786610971" TargetMode="External" Id="rId89"/><Relationship Type="http://schemas.openxmlformats.org/officeDocument/2006/relationships/hyperlink" Target="https://cdn.shopify.com/s/files/1/0792/5098/1063/files/dd6b2f75d5d331064be3e2ace151f6872c3f1f67675d8c1c7fa00f207341180b_2a160289-1bc0-441f-97ca-4eb1ab9defdf.jpg?v=1786610971" TargetMode="External" Id="rId90"/><Relationship Type="http://schemas.openxmlformats.org/officeDocument/2006/relationships/hyperlink" Target="https://cdn.shopify.com/s/files/1/0792/5098/1063/files/d761ea3ae4f4c0b26b7473177b21a616c5199552823ec637c64fe7b0d6b0f12f_d968ca6a-19c4-4159-9b4e-958c04bbc806.jpg?v=1786610971" TargetMode="External" Id="rId91"/><Relationship Type="http://schemas.openxmlformats.org/officeDocument/2006/relationships/hyperlink" Target="https://cdn.shopify.com/s/files/1/0792/5098/1063/files/d761ea3ae4f4c0b26b7473177b21a616c5199552823ec637c64fe7b0d6b0f12f_d968ca6a-19c4-4159-9b4e-958c04bbc806.jpg?v=1786610971" TargetMode="External" Id="rId92"/><Relationship Type="http://schemas.openxmlformats.org/officeDocument/2006/relationships/hyperlink" Target="https://cdn.shopify.com/s/files/1/0792/5098/1063/files/99c0337aa1a903214fd6d8c8bd8e26623ae3840aacc91fae513643a9bb227f75.jpg?v=1786611005" TargetMode="External" Id="rId93"/><Relationship Type="http://schemas.openxmlformats.org/officeDocument/2006/relationships/hyperlink" Target="https://cdn.shopify.com/s/files/1/0792/5098/1063/files/99c0337aa1a903214fd6d8c8bd8e26623ae3840aacc91fae513643a9bb227f75.jpg?v=1786611005" TargetMode="External" Id="rId94"/><Relationship Type="http://schemas.openxmlformats.org/officeDocument/2006/relationships/hyperlink" Target="https://cdn.shopify.com/s/files/1/0792/5098/1063/files/bbceee785f4fb5333bde47a326fc902c71760ff9d93f2a06824ccb2e16d5a223.jpg?v=1786611005" TargetMode="External" Id="rId95"/><Relationship Type="http://schemas.openxmlformats.org/officeDocument/2006/relationships/hyperlink" Target="https://cdn.shopify.com/s/files/1/0792/5098/1063/files/bbceee785f4fb5333bde47a326fc902c71760ff9d93f2a06824ccb2e16d5a223.jpg?v=1786611005" TargetMode="External" Id="rId96"/><Relationship Type="http://schemas.openxmlformats.org/officeDocument/2006/relationships/hyperlink" Target="https://cdn.shopify.com/s/files/1/0792/5098/1063/files/4e804d60961fc10370a298e8612c0ff95ce56d8f156f00a5b5ba1ec7ec563d47.jpg?v=1786611005" TargetMode="External" Id="rId97"/><Relationship Type="http://schemas.openxmlformats.org/officeDocument/2006/relationships/hyperlink" Target="https://cdn.shopify.com/s/files/1/0792/5098/1063/files/4e804d60961fc10370a298e8612c0ff95ce56d8f156f00a5b5ba1ec7ec563d47.jpg?v=1786611005" TargetMode="External" Id="rId98"/><Relationship Type="http://schemas.openxmlformats.org/officeDocument/2006/relationships/hyperlink" Target="https://cdn.shopify.com/s/files/1/0792/5098/1063/files/0b1d1e19cab6d757366a36700f895ecca060303e705a8aece2f5fa486b6770da_ad3381b0-8f12-41ea-826f-8b1b630f53f9.jpg?v=1786611005" TargetMode="External" Id="rId99"/><Relationship Type="http://schemas.openxmlformats.org/officeDocument/2006/relationships/hyperlink" Target="https://cdn.shopify.com/s/files/1/0792/5098/1063/files/0b1d1e19cab6d757366a36700f895ecca060303e705a8aece2f5fa486b6770da_ad3381b0-8f12-41ea-826f-8b1b630f53f9.jpg?v=1786611005" TargetMode="External" Id="rId100"/><Relationship Type="http://schemas.openxmlformats.org/officeDocument/2006/relationships/hyperlink" Target="https://cdn.shopify.com/s/files/1/0792/5098/1063/files/0dea1872a1830ca71627f3c05a584b4d71ad52bf0c115e041b118ed27a4ac318.jpg?v=1786611005" TargetMode="External" Id="rId101"/><Relationship Type="http://schemas.openxmlformats.org/officeDocument/2006/relationships/hyperlink" Target="https://cdn.shopify.com/s/files/1/0792/5098/1063/files/0dea1872a1830ca71627f3c05a584b4d71ad52bf0c115e041b118ed27a4ac318.jpg?v=1786611005" TargetMode="External" Id="rId102"/><Relationship Type="http://schemas.openxmlformats.org/officeDocument/2006/relationships/hyperlink" Target="https://cdn.shopify.com/s/files/1/0792/5098/1063/files/4edb46799f9b82103799a5b6d38c9f1782f7b643f8416b1988caae354b918b0d.jpg?v=1786611005" TargetMode="External" Id="rId103"/><Relationship Type="http://schemas.openxmlformats.org/officeDocument/2006/relationships/hyperlink" Target="https://cdn.shopify.com/s/files/1/0792/5098/1063/files/4edb46799f9b82103799a5b6d38c9f1782f7b643f8416b1988caae354b918b0d.jpg?v=1786611005" TargetMode="External" Id="rId104"/><Relationship Type="http://schemas.openxmlformats.org/officeDocument/2006/relationships/hyperlink" Target="https://cdn.shopify.com/s/files/1/0792/5098/1063/files/f9477607c6de568da5d083144193776fcd05487159137f454c1cc1e191f3fe04.jpg?v=1786611005" TargetMode="External" Id="rId105"/><Relationship Type="http://schemas.openxmlformats.org/officeDocument/2006/relationships/hyperlink" Target="https://cdn.shopify.com/s/files/1/0792/5098/1063/files/f9477607c6de568da5d083144193776fcd05487159137f454c1cc1e191f3fe04.jpg?v=1786611005" TargetMode="External" Id="rId106"/><Relationship Type="http://schemas.openxmlformats.org/officeDocument/2006/relationships/hyperlink" Target="https://cdn.shopify.com/s/files/1/0792/5098/1063/files/dd6b2f75d5d331064be3e2ace151f6872c3f1f67675d8c1c7fa00f207341180b_dcd01edf-59bd-4789-a33f-4d7561619c86.jpg?v=1786611005" TargetMode="External" Id="rId107"/><Relationship Type="http://schemas.openxmlformats.org/officeDocument/2006/relationships/hyperlink" Target="https://cdn.shopify.com/s/files/1/0792/5098/1063/files/dd6b2f75d5d331064be3e2ace151f6872c3f1f67675d8c1c7fa00f207341180b_dcd01edf-59bd-4789-a33f-4d7561619c86.jpg?v=1786611005" TargetMode="External" Id="rId108"/><Relationship Type="http://schemas.openxmlformats.org/officeDocument/2006/relationships/hyperlink" Target="https://cdn.shopify.com/s/files/1/0792/5098/1063/files/91bf412567430222fd923eb6025e10f4826c9605c89111734a5f062094f92ef4.jpg?v=1786611043" TargetMode="External" Id="rId109"/><Relationship Type="http://schemas.openxmlformats.org/officeDocument/2006/relationships/hyperlink" Target="https://cdn.shopify.com/s/files/1/0792/5098/1063/files/91bf412567430222fd923eb6025e10f4826c9605c89111734a5f062094f92ef4.jpg?v=1786611043" TargetMode="External" Id="rId110"/><Relationship Type="http://schemas.openxmlformats.org/officeDocument/2006/relationships/hyperlink" Target="https://cdn.shopify.com/s/files/1/0792/5098/1063/files/c1d7e0543d7d78889025c6fd2615c8271070249caec922fb5c3530ad03e9ba80.jpg?v=1786611043" TargetMode="External" Id="rId111"/><Relationship Type="http://schemas.openxmlformats.org/officeDocument/2006/relationships/hyperlink" Target="https://cdn.shopify.com/s/files/1/0792/5098/1063/files/c1d7e0543d7d78889025c6fd2615c8271070249caec922fb5c3530ad03e9ba80.jpg?v=1786611043" TargetMode="External" Id="rId112"/><Relationship Type="http://schemas.openxmlformats.org/officeDocument/2006/relationships/hyperlink" Target="https://cdn.shopify.com/s/files/1/0792/5098/1063/files/5921b3a6552e3ebdb61cdcfd51f1dfa3145e5562d9a445bcaae4cd8065d33658.jpg?v=1786611043" TargetMode="External" Id="rId113"/><Relationship Type="http://schemas.openxmlformats.org/officeDocument/2006/relationships/hyperlink" Target="https://cdn.shopify.com/s/files/1/0792/5098/1063/files/5921b3a6552e3ebdb61cdcfd51f1dfa3145e5562d9a445bcaae4cd8065d33658.jpg?v=1786611043" TargetMode="External" Id="rId114"/><Relationship Type="http://schemas.openxmlformats.org/officeDocument/2006/relationships/hyperlink" Target="https://cdn.shopify.com/s/files/1/0792/5098/1063/files/8915ff40073ca5d3c05e6bf212701da7635e4e3e8b623331a3f20f312315416a.jpg?v=1786611043" TargetMode="External" Id="rId115"/><Relationship Type="http://schemas.openxmlformats.org/officeDocument/2006/relationships/hyperlink" Target="https://cdn.shopify.com/s/files/1/0792/5098/1063/files/8915ff40073ca5d3c05e6bf212701da7635e4e3e8b623331a3f20f312315416a.jpg?v=1786611043" TargetMode="External" Id="rId116"/><Relationship Type="http://schemas.openxmlformats.org/officeDocument/2006/relationships/hyperlink" Target="https://cdn.shopify.com/s/files/1/0792/5098/1063/files/0b1d1e19cab6d757366a36700f895ecca060303e705a8aece2f5fa486b6770da_0ef5481c-0a4c-4890-8fe0-c2bd9767fd9f.jpg?v=1786611043" TargetMode="External" Id="rId117"/><Relationship Type="http://schemas.openxmlformats.org/officeDocument/2006/relationships/hyperlink" Target="https://cdn.shopify.com/s/files/1/0792/5098/1063/files/0b1d1e19cab6d757366a36700f895ecca060303e705a8aece2f5fa486b6770da_0ef5481c-0a4c-4890-8fe0-c2bd9767fd9f.jpg?v=1786611043" TargetMode="External" Id="rId118"/><Relationship Type="http://schemas.openxmlformats.org/officeDocument/2006/relationships/hyperlink" Target="https://cdn.shopify.com/s/files/1/0792/5098/1063/files/ee0b4798b32779dd09e0d1fb674f076dc4cfa4a148d92219e582e7833d8d2fd3.jpg?v=1786611043" TargetMode="External" Id="rId119"/><Relationship Type="http://schemas.openxmlformats.org/officeDocument/2006/relationships/hyperlink" Target="https://cdn.shopify.com/s/files/1/0792/5098/1063/files/ee0b4798b32779dd09e0d1fb674f076dc4cfa4a148d92219e582e7833d8d2fd3.jpg?v=1786611043" TargetMode="External" Id="rId120"/><Relationship Type="http://schemas.openxmlformats.org/officeDocument/2006/relationships/hyperlink" Target="https://cdn.shopify.com/s/files/1/0792/5098/1063/files/dd6b2f75d5d331064be3e2ace151f6872c3f1f67675d8c1c7fa00f207341180b_fde49913-84ae-4485-af7c-4e189c410f22.jpg?v=1786611043" TargetMode="External" Id="rId121"/><Relationship Type="http://schemas.openxmlformats.org/officeDocument/2006/relationships/hyperlink" Target="https://cdn.shopify.com/s/files/1/0792/5098/1063/files/dd6b2f75d5d331064be3e2ace151f6872c3f1f67675d8c1c7fa00f207341180b_fde49913-84ae-4485-af7c-4e189c410f22.jpg?v=1786611043" TargetMode="External" Id="rId122"/><Relationship Type="http://schemas.openxmlformats.org/officeDocument/2006/relationships/hyperlink" Target="https://cdn.shopify.com/s/files/1/0792/5098/1063/files/d761ea3ae4f4c0b26b7473177b21a616c5199552823ec637c64fe7b0d6b0f12f_0edc7eea-7c34-4e9e-8459-d2e8633eed35.jpg?v=1786611043" TargetMode="External" Id="rId123"/><Relationship Type="http://schemas.openxmlformats.org/officeDocument/2006/relationships/hyperlink" Target="https://cdn.shopify.com/s/files/1/0792/5098/1063/files/d761ea3ae4f4c0b26b7473177b21a616c5199552823ec637c64fe7b0d6b0f12f_0edc7eea-7c34-4e9e-8459-d2e8633eed35.jpg?v=1786611043" TargetMode="External" Id="rId124"/><Relationship Type="http://schemas.openxmlformats.org/officeDocument/2006/relationships/hyperlink" Target="https://cdn.shopify.com/s/files/1/0792/5098/1063/files/a548b7a12b46780de719980f5aebe8bad1e9ad2c7c30734bccbfe2dcfe856d73.jpg?v=1786611048" TargetMode="External" Id="rId125"/><Relationship Type="http://schemas.openxmlformats.org/officeDocument/2006/relationships/hyperlink" Target="https://cdn.shopify.com/s/files/1/0792/5098/1063/files/a548b7a12b46780de719980f5aebe8bad1e9ad2c7c30734bccbfe2dcfe856d73.jpg?v=1786611048" TargetMode="External" Id="rId126"/><Relationship Type="http://schemas.openxmlformats.org/officeDocument/2006/relationships/hyperlink" Target="https://cdn.shopify.com/s/files/1/0792/5098/1063/files/5c704f0a883d6fc932e3f19dd6a044ce58cb8f2b758de38b1b25d170d7b21f6f.jpg?v=1786611048" TargetMode="External" Id="rId127"/><Relationship Type="http://schemas.openxmlformats.org/officeDocument/2006/relationships/hyperlink" Target="https://cdn.shopify.com/s/files/1/0792/5098/1063/files/5c704f0a883d6fc932e3f19dd6a044ce58cb8f2b758de38b1b25d170d7b21f6f.jpg?v=1786611048" TargetMode="External" Id="rId128"/><Relationship Type="http://schemas.openxmlformats.org/officeDocument/2006/relationships/hyperlink" Target="https://cdn.shopify.com/s/files/1/0792/5098/1063/files/345f34fa489840aa22aa3a0e090018fd9c82df0bdc286e0c1eb2432811f14b79.jpg?v=1786611048" TargetMode="External" Id="rId129"/><Relationship Type="http://schemas.openxmlformats.org/officeDocument/2006/relationships/hyperlink" Target="https://cdn.shopify.com/s/files/1/0792/5098/1063/files/345f34fa489840aa22aa3a0e090018fd9c82df0bdc286e0c1eb2432811f14b79.jpg?v=1786611048" TargetMode="External" Id="rId130"/><Relationship Type="http://schemas.openxmlformats.org/officeDocument/2006/relationships/hyperlink" Target="https://cdn.shopify.com/s/files/1/0792/5098/1063/files/0b1d1e19cab6d757366a36700f895ecca060303e705a8aece2f5fa486b6770da_c3389c8f-7a06-4fdc-96a5-ca5c521b6b7f.jpg?v=1786611048" TargetMode="External" Id="rId131"/><Relationship Type="http://schemas.openxmlformats.org/officeDocument/2006/relationships/hyperlink" Target="https://cdn.shopify.com/s/files/1/0792/5098/1063/files/0b1d1e19cab6d757366a36700f895ecca060303e705a8aece2f5fa486b6770da_c3389c8f-7a06-4fdc-96a5-ca5c521b6b7f.jpg?v=1786611048" TargetMode="External" Id="rId132"/><Relationship Type="http://schemas.openxmlformats.org/officeDocument/2006/relationships/hyperlink" Target="https://cdn.shopify.com/s/files/1/0792/5098/1063/files/387b24b7b756f19379f192051961dd52f2d354a3a6e0a48cf79a36fc9a3ae8dc.jpg?v=1786611048" TargetMode="External" Id="rId133"/><Relationship Type="http://schemas.openxmlformats.org/officeDocument/2006/relationships/hyperlink" Target="https://cdn.shopify.com/s/files/1/0792/5098/1063/files/387b24b7b756f19379f192051961dd52f2d354a3a6e0a48cf79a36fc9a3ae8dc.jpg?v=1786611048" TargetMode="External" Id="rId134"/><Relationship Type="http://schemas.openxmlformats.org/officeDocument/2006/relationships/hyperlink" Target="https://cdn.shopify.com/s/files/1/0792/5098/1063/files/e0f4f6d6fb487b2ea1c8b7aef407d92df149557cd53c6130d47a131bbd2dc16d.jpg?v=1786611048" TargetMode="External" Id="rId135"/><Relationship Type="http://schemas.openxmlformats.org/officeDocument/2006/relationships/hyperlink" Target="https://cdn.shopify.com/s/files/1/0792/5098/1063/files/e0f4f6d6fb487b2ea1c8b7aef407d92df149557cd53c6130d47a131bbd2dc16d.jpg?v=1786611048" TargetMode="External" Id="rId136"/><Relationship Type="http://schemas.openxmlformats.org/officeDocument/2006/relationships/hyperlink" Target="https://cdn.shopify.com/s/files/1/0792/5098/1063/files/dd6b2f75d5d331064be3e2ace151f6872c3f1f67675d8c1c7fa00f207341180b_a281baad-d8bd-45c6-9029-cb6ec16f9e8e.jpg?v=1786611048" TargetMode="External" Id="rId137"/><Relationship Type="http://schemas.openxmlformats.org/officeDocument/2006/relationships/hyperlink" Target="https://cdn.shopify.com/s/files/1/0792/5098/1063/files/dd6b2f75d5d331064be3e2ace151f6872c3f1f67675d8c1c7fa00f207341180b_a281baad-d8bd-45c6-9029-cb6ec16f9e8e.jpg?v=1786611048" TargetMode="External" Id="rId138"/><Relationship Type="http://schemas.openxmlformats.org/officeDocument/2006/relationships/hyperlink" Target="https://cdn.shopify.com/s/files/1/0792/5098/1063/files/d5eff6ecbe959bbbb3957e92b28382391b5f27c8e5b7675c96fce64707e4f0e4.jpg?v=1786611012" TargetMode="External" Id="rId139"/><Relationship Type="http://schemas.openxmlformats.org/officeDocument/2006/relationships/hyperlink" Target="https://cdn.shopify.com/s/files/1/0792/5098/1063/files/d5eff6ecbe959bbbb3957e92b28382391b5f27c8e5b7675c96fce64707e4f0e4.jpg?v=1786611012" TargetMode="External" Id="rId140"/><Relationship Type="http://schemas.openxmlformats.org/officeDocument/2006/relationships/hyperlink" Target="https://cdn.shopify.com/s/files/1/0792/5098/1063/files/9fa260bfa3a0f8ded5e1af7786072b4f2e3346d50d8fcbebe8997626617ffa0f.jpg?v=1786611012" TargetMode="External" Id="rId141"/><Relationship Type="http://schemas.openxmlformats.org/officeDocument/2006/relationships/hyperlink" Target="https://cdn.shopify.com/s/files/1/0792/5098/1063/files/9fa260bfa3a0f8ded5e1af7786072b4f2e3346d50d8fcbebe8997626617ffa0f.jpg?v=1786611012" TargetMode="External" Id="rId142"/><Relationship Type="http://schemas.openxmlformats.org/officeDocument/2006/relationships/hyperlink" Target="https://cdn.shopify.com/s/files/1/0792/5098/1063/files/c13ca5980b6e29e305326351ee6a301120915a8e8ed77c0a5fdc431493a53f29.jpg?v=1786611012" TargetMode="External" Id="rId143"/><Relationship Type="http://schemas.openxmlformats.org/officeDocument/2006/relationships/hyperlink" Target="https://cdn.shopify.com/s/files/1/0792/5098/1063/files/c13ca5980b6e29e305326351ee6a301120915a8e8ed77c0a5fdc431493a53f29.jpg?v=1786611012" TargetMode="External" Id="rId144"/><Relationship Type="http://schemas.openxmlformats.org/officeDocument/2006/relationships/hyperlink" Target="https://cdn.shopify.com/s/files/1/0792/5098/1063/files/0b1d1e19cab6d757366a36700f895ecca060303e705a8aece2f5fa486b6770da_9a927c8a-0f79-4e61-90d9-c6095bfaff90.jpg?v=1786611012" TargetMode="External" Id="rId145"/><Relationship Type="http://schemas.openxmlformats.org/officeDocument/2006/relationships/hyperlink" Target="https://cdn.shopify.com/s/files/1/0792/5098/1063/files/0b1d1e19cab6d757366a36700f895ecca060303e705a8aece2f5fa486b6770da_9a927c8a-0f79-4e61-90d9-c6095bfaff90.jpg?v=1786611012" TargetMode="External" Id="rId146"/><Relationship Type="http://schemas.openxmlformats.org/officeDocument/2006/relationships/hyperlink" Target="https://cdn.shopify.com/s/files/1/0792/5098/1063/files/da276a0ac696bef8efb88e29faa67b97016515782d65504b709149a78664278e.jpg?v=1786611012" TargetMode="External" Id="rId147"/><Relationship Type="http://schemas.openxmlformats.org/officeDocument/2006/relationships/hyperlink" Target="https://cdn.shopify.com/s/files/1/0792/5098/1063/files/da276a0ac696bef8efb88e29faa67b97016515782d65504b709149a78664278e.jpg?v=1786611012" TargetMode="External" Id="rId148"/><Relationship Type="http://schemas.openxmlformats.org/officeDocument/2006/relationships/hyperlink" Target="https://cdn.shopify.com/s/files/1/0792/5098/1063/files/08a6835f0f310b6c922134d6c70195cce131eefffb65e5e69df3431e2da006d6.jpg?v=1786611012" TargetMode="External" Id="rId149"/><Relationship Type="http://schemas.openxmlformats.org/officeDocument/2006/relationships/hyperlink" Target="https://cdn.shopify.com/s/files/1/0792/5098/1063/files/08a6835f0f310b6c922134d6c70195cce131eefffb65e5e69df3431e2da006d6.jpg?v=1786611012" TargetMode="External" Id="rId150"/><Relationship Type="http://schemas.openxmlformats.org/officeDocument/2006/relationships/hyperlink" Target="https://cdn.shopify.com/s/files/1/0792/5098/1063/files/034a3b59ce0473836fb14c3f70ca7d76227b68f5472b25b6beeb567187aa41d8.jpg?v=1786611012" TargetMode="External" Id="rId151"/><Relationship Type="http://schemas.openxmlformats.org/officeDocument/2006/relationships/hyperlink" Target="https://cdn.shopify.com/s/files/1/0792/5098/1063/files/034a3b59ce0473836fb14c3f70ca7d76227b68f5472b25b6beeb567187aa41d8.jpg?v=1786611012" TargetMode="External" Id="rId152"/><Relationship Type="http://schemas.openxmlformats.org/officeDocument/2006/relationships/hyperlink" Target="https://cdn.shopify.com/s/files/1/0792/5098/1063/files/dd6b2f75d5d331064be3e2ace151f6872c3f1f67675d8c1c7fa00f207341180b_b475f815-4d5d-453d-b6f6-f77cd2efa580.jpg?v=1786611012" TargetMode="External" Id="rId153"/><Relationship Type="http://schemas.openxmlformats.org/officeDocument/2006/relationships/hyperlink" Target="https://cdn.shopify.com/s/files/1/0792/5098/1063/files/dd6b2f75d5d331064be3e2ace151f6872c3f1f67675d8c1c7fa00f207341180b_b475f815-4d5d-453d-b6f6-f77cd2efa580.jpg?v=1786611012" TargetMode="External" Id="rId15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D:\Shopify_Workspace\jeminise_seo\resutls\jeminise.com\20260906_234129\revisions\qa_batch_011_r4\SEO_Product_Optimization_qa_batch_011_r4.xlsx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E25034AE119AE590EDB62EA73FF5B6D1AB95CDB1C65C2AE76079009D17131E65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20260909_122805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qa_batch_011_r4</t>
        </is>
      </c>
      <c r="C6" s="2" t="inlineStr">
        <is>
          <t>Inventory positions 101-110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77/77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101</v>
      </c>
      <c r="B2" s="2" t="inlineStr">
        <is>
          <t>jeminise.com+custom-semi-truck-with-american-flag-background-comforter-104ae45e5d-104ae45e5d</t>
        </is>
      </c>
      <c r="C2" s="4" t="inlineStr">
        <is>
          <t>https://jeminise.com/products/custom-semi-truck-with-american-flag-background-comforter-104ae45e5d-104ae45e5d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["B11R4-MIN-001"]</t>
        </is>
      </c>
      <c r="U2" s="2" t="inlineStr">
        <is>
          <t>["evidence_batch_011_101", "https://jeminise.com/products/custom-semi-truck-with-american-flag-background-comforter-104ae45e5d-104ae45e5d", "serp_qa_batch_011_r4_101_1", "live_pages", "customizer_fields_audit.json"]</t>
        </is>
      </c>
    </row>
    <row r="3" ht="42" customHeight="1">
      <c r="A3" s="3" t="n">
        <v>102</v>
      </c>
      <c r="B3" s="3" t="inlineStr">
        <is>
          <t>jeminise.com+custom-soccer-ball-cleats-personalized-comforter-set-machine-washable</t>
        </is>
      </c>
      <c r="C3" s="4" t="inlineStr">
        <is>
          <t>https://jeminise.com/products/custom-soccer-ball-cleats-personalized-comforter-set-machine-washable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8</v>
      </c>
      <c r="M3" s="3" t="n">
        <v>8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["B11R4-MIN-002"]</t>
        </is>
      </c>
      <c r="U3" s="3" t="inlineStr">
        <is>
          <t>["evidence_batch_011_102", "https://jeminise.com/products/custom-soccer-ball-cleats-personalized-comforter-set-machine-washable", "serp_qa_batch_011_r4_102_1", "live_pages", "customizer_fields_audit.json"]</t>
        </is>
      </c>
    </row>
    <row r="4" ht="42" customHeight="1">
      <c r="A4" s="2" t="n">
        <v>103</v>
      </c>
      <c r="B4" s="2" t="inlineStr">
        <is>
          <t>jeminise.com+custom-soccer-ball-goal-net-comforter-set-machine-washabl-design-13</t>
        </is>
      </c>
      <c r="C4" s="4" t="inlineStr">
        <is>
          <t>https://jeminise.com/products/custom-soccer-ball-goal-net-comforter-set-machine-washabl-design-13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8</v>
      </c>
      <c r="M4" s="2" t="n">
        <v>8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["B11R4-MIN-003"]</t>
        </is>
      </c>
      <c r="U4" s="2" t="inlineStr">
        <is>
          <t>["evidence_batch_011_103", "https://jeminise.com/products/custom-soccer-ball-goal-net-comforter-set-machine-washabl-design-13", "serp_qa_batch_011_r4_103_1", "live_pages", "customizer_fields_audit.json"]</t>
        </is>
      </c>
    </row>
    <row r="5" ht="42" customHeight="1">
      <c r="A5" s="3" t="n">
        <v>104</v>
      </c>
      <c r="B5" s="3" t="inlineStr">
        <is>
          <t>jeminise.com+custom-soccer-ball-goal-personalized-bedding-comforter-set-a4</t>
        </is>
      </c>
      <c r="C5" s="4" t="inlineStr">
        <is>
          <t>https://jeminise.com/products/custom-soccer-ball-goal-personalized-bedding-comforter-set-a4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["B11R4-MIN-004"]</t>
        </is>
      </c>
      <c r="U5" s="3" t="inlineStr">
        <is>
          <t>["evidence_batch_011_104", "https://jeminise.com/products/custom-soccer-ball-goal-personalized-bedding-comforter-set-a4", "serp_qa_batch_011_r4_104_1", "live_pages", "customizer_fields_audit.json"]</t>
        </is>
      </c>
    </row>
    <row r="6" ht="42" customHeight="1">
      <c r="A6" s="2" t="n">
        <v>105</v>
      </c>
      <c r="B6" s="2" t="inlineStr">
        <is>
          <t>jeminise.com+custom-soccer-ball-net-comforter-set-machine-washable-a2</t>
        </is>
      </c>
      <c r="C6" s="4" t="inlineStr">
        <is>
          <t>https://jeminise.com/products/custom-soccer-ball-net-comforter-set-machine-washable-a2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8</v>
      </c>
      <c r="M6" s="2" t="n">
        <v>8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["B11R4-MIN-005"]</t>
        </is>
      </c>
      <c r="U6" s="2" t="inlineStr">
        <is>
          <t>["evidence_batch_011_105", "https://jeminise.com/products/custom-soccer-ball-net-comforter-set-machine-washable-a2", "serp_qa_batch_011_r4_105_1", "live_pages", "customizer_fields_audit.json"]</t>
        </is>
      </c>
    </row>
    <row r="7" ht="42" customHeight="1">
      <c r="A7" s="3" t="n">
        <v>106</v>
      </c>
      <c r="B7" s="3" t="inlineStr">
        <is>
          <t>jeminise.com+custom-soccer-ball-water-splashes-comforter-set-machine-washable</t>
        </is>
      </c>
      <c r="C7" s="4" t="inlineStr">
        <is>
          <t>https://jeminise.com/products/custom-soccer-ball-water-splashes-comforter-set-machine-washable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8</v>
      </c>
      <c r="M7" s="3" t="n">
        <v>8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["B11R4-MIN-006"]</t>
        </is>
      </c>
      <c r="U7" s="3" t="inlineStr">
        <is>
          <t>["evidence_batch_011_106", "https://jeminise.com/products/custom-soccer-ball-water-splashes-comforter-set-machine-washable", "serp_qa_batch_011_r4_106_1", "live_pages", "customizer_fields_audit.json"]</t>
        </is>
      </c>
    </row>
    <row r="8" ht="42" customHeight="1">
      <c r="A8" s="2" t="n">
        <v>107</v>
      </c>
      <c r="B8" s="2" t="inlineStr">
        <is>
          <t>jeminise.com+custom-soccer-ball-with-lightning-splash-comforter-set-a11</t>
        </is>
      </c>
      <c r="C8" s="4" t="inlineStr">
        <is>
          <t>https://jeminise.com/products/custom-soccer-ball-with-lightning-splash-comforter-set-a11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8</v>
      </c>
      <c r="M8" s="2" t="n">
        <v>8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["B11R4-MIN-007"]</t>
        </is>
      </c>
      <c r="U8" s="2" t="inlineStr">
        <is>
          <t>["evidence_batch_011_107", "https://jeminise.com/products/custom-soccer-ball-with-lightning-splash-comforter-set-a11", "serp_qa_batch_011_r4_107_1", "live_pages", "customizer_fields_audit.json"]</t>
        </is>
      </c>
    </row>
    <row r="9" ht="42" customHeight="1">
      <c r="A9" s="3" t="n">
        <v>108</v>
      </c>
      <c r="B9" s="3" t="inlineStr">
        <is>
          <t>jeminise.com+custom-soccer-ball-with-number-07-comforter-set-machine-w-design-17</t>
        </is>
      </c>
      <c r="C9" s="4" t="inlineStr">
        <is>
          <t>https://jeminise.com/products/custom-soccer-ball-with-number-07-comforter-set-machine-w-design-17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8</v>
      </c>
      <c r="M9" s="3" t="n">
        <v>8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["B11R4-MIN-008"]</t>
        </is>
      </c>
      <c r="U9" s="3" t="inlineStr">
        <is>
          <t>["evidence_batch_011_108", "https://jeminise.com/products/custom-soccer-ball-with-number-07-comforter-set-machine-w-design-17", "serp_qa_batch_011_r4_108_1", "live_pages", "customizer_fields_audit.json"]</t>
        </is>
      </c>
    </row>
    <row r="10" ht="42" customHeight="1">
      <c r="A10" s="2" t="n">
        <v>109</v>
      </c>
      <c r="B10" s="2" t="inlineStr">
        <is>
          <t>jeminise.com+custom-soccer-goal-splash-bedding-comforter-set-machine-washable</t>
        </is>
      </c>
      <c r="C10" s="4" t="inlineStr">
        <is>
          <t>https://jeminise.com/products/custom-soccer-goal-splash-bedding-comforter-set-machine-washable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["B11R4-MIN-009"]</t>
        </is>
      </c>
      <c r="U10" s="2" t="inlineStr">
        <is>
          <t>["evidence_batch_011_109", "https://jeminise.com/products/custom-soccer-goal-splash-bedding-comforter-set-machine-washable", "serp_qa_batch_011_r4_109_1", "live_pages", "customizer_fields_audit.json"]</t>
        </is>
      </c>
    </row>
    <row r="11" ht="42" customHeight="1">
      <c r="A11" s="3" t="n">
        <v>110</v>
      </c>
      <c r="B11" s="3" t="inlineStr">
        <is>
          <t>jeminise.com+custom-soccer-net-with-number-07-comforter-set-machine-washable-a7</t>
        </is>
      </c>
      <c r="C11" s="4" t="inlineStr">
        <is>
          <t>https://jeminise.com/products/custom-soccer-net-with-number-07-comforter-set-machine-washable-a7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8</v>
      </c>
      <c r="M11" s="3" t="n">
        <v>8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["B11R4-MIN-010"]</t>
        </is>
      </c>
      <c r="U11" s="3" t="inlineStr">
        <is>
          <t>["evidence_batch_011_110", "https://jeminise.com/products/custom-soccer-net-with-number-07-comforter-set-machine-washable-a7", "serp_qa_batch_011_r4_110_1",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jeminise.com+custom-semi-truck-with-american-flag-background-comforter-104ae45e5d-104ae45e5d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IF(B2="I1",AVERAGEIF('QA_Images'!$A$2:$A$78,A2,'QA_Images'!$R$2:$R$78)/100,IF(D2="FULL",1,IF(D2="PARTIAL",0.5,IF(D2="FAIL",0,""))))</f>
        <v/>
      </c>
      <c r="F2" s="5">
        <f>IF(E2="",0,C2*E2)</f>
        <v/>
      </c>
      <c r="G2" s="5">
        <f>IF(B2="I1",20*AVERAGEIF('QA_Images'!$A$2:$A$78,A2,'QA_Images'!$S$2:$S$78)/100,IF(D2="NOT_CHECKED",0,C2))</f>
        <v/>
      </c>
      <c r="H2" s="2" t="inlineStr">
        <is>
          <t>FULL: source workbook, product JSON and direct image checks support the product identity; verified motif: Keep On Truckin flag comforter with semi truck and American flag artwork.</t>
        </is>
      </c>
      <c r="I2" s="2" t="inlineStr">
        <is>
          <t>["evidence_batch_011_101", "https://jeminise.com/products/custom-semi-truck-with-american-flag-background-comforter-104ae45e5d-104ae45e5d"]</t>
        </is>
      </c>
      <c r="J2" s="2" t="inlineStr">
        <is>
          <t>[]</t>
        </is>
      </c>
    </row>
    <row r="3" ht="42" customHeight="1">
      <c r="A3" s="3" t="inlineStr">
        <is>
          <t>jeminise.com+custom-semi-truck-with-american-flag-background-comforter-104ae45e5d-104ae45e5d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IF(B3="I1",AVERAGEIF('QA_Images'!$A$2:$A$78,A3,'QA_Images'!$R$2:$R$78)/100,IF(D3="FULL",1,IF(D3="PARTIAL",0.5,IF(D3="FAIL",0,""))))</f>
        <v/>
      </c>
      <c r="F3" s="7">
        <f>IF(E3="",0,C3*E3)</f>
        <v/>
      </c>
      <c r="G3" s="7">
        <f>IF(B3="I1",20*AVERAGEIF('QA_Images'!$A$2:$A$78,A3,'QA_Images'!$S$2:$S$78)/100,IF(D3="NOT_CHECKED",0,C3))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["evidence_batch_011_101", "https://jeminise.com/products/custom-semi-truck-with-american-flag-background-comforter-104ae45e5d-104ae45e5d",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jeminise.com+custom-semi-truck-with-american-flag-background-comforter-104ae45e5d-104ae45e5d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IF(B4="I1",AVERAGEIF('QA_Images'!$A$2:$A$78,A4,'QA_Images'!$R$2:$R$78)/100,IF(D4="FULL",1,IF(D4="PARTIAL",0.5,IF(D4="FAIL",0,""))))</f>
        <v/>
      </c>
      <c r="F4" s="5">
        <f>IF(E4="",0,C4*E4)</f>
        <v/>
      </c>
      <c r="G4" s="5">
        <f>IF(B4="I1",20*AVERAGEIF('QA_Images'!$A$2:$A$78,A4,'QA_Images'!$S$2:$S$78)/100,IF(D4="NOT_CHECKED",0,C4))</f>
        <v/>
      </c>
      <c r="H4" s="2" t="inlineStr">
        <is>
          <t>PARTIAL: primary keyword 'Keep On Truckin flag comforter' was checked against this product's own US/English SERP; partial means the exact phrase is niche or sample-name driven.</t>
        </is>
      </c>
      <c r="I4" s="2" t="inlineStr">
        <is>
          <t>["evidence_batch_011_101", "https://jeminise.com/products/custom-semi-truck-with-american-flag-background-comforter-104ae45e5d-104ae45e5d", "serp_qa_batch_011_r4_101_1", "serp_qa_batch_011_r4_101_2"]</t>
        </is>
      </c>
      <c r="J4" s="2" t="inlineStr">
        <is>
          <t>["B11R4-MIN-001"]</t>
        </is>
      </c>
    </row>
    <row r="5" ht="42" customHeight="1">
      <c r="A5" s="3" t="inlineStr">
        <is>
          <t>jeminise.com+custom-semi-truck-with-american-flag-background-comforter-104ae45e5d-104ae45e5d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IF(B5="I1",AVERAGEIF('QA_Images'!$A$2:$A$78,A5,'QA_Images'!$R$2:$R$78)/100,IF(D5="FULL",1,IF(D5="PARTIAL",0.5,IF(D5="FAIL",0,""))))</f>
        <v/>
      </c>
      <c r="F5" s="7">
        <f>IF(E5="",0,C5*E5)</f>
        <v/>
      </c>
      <c r="G5" s="7">
        <f>IF(B5="I1",20*AVERAGEIF('QA_Images'!$A$2:$A$78,A5,'QA_Images'!$S$2:$S$78)/100,IF(D5="NOT_CHECKED",0,C5))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["evidence_batch_011_101", "https://jeminise.com/products/custom-semi-truck-with-american-flag-background-comforter-104ae45e5d-104ae45e5d", "serp_qa_batch_011_r4_101_1", "serp_qa_batch_011_r4_101_2"]</t>
        </is>
      </c>
      <c r="J5" s="3" t="inlineStr">
        <is>
          <t>["B11R4-MIN-001"]</t>
        </is>
      </c>
    </row>
    <row r="6" ht="42" customHeight="1">
      <c r="A6" s="2" t="inlineStr">
        <is>
          <t>jeminise.com+custom-semi-truck-with-american-flag-background-comforter-104ae45e5d-104ae45e5d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IF(B6="I1",AVERAGEIF('QA_Images'!$A$2:$A$78,A6,'QA_Images'!$R$2:$R$78)/100,IF(D6="FULL",1,IF(D6="PARTIAL",0.5,IF(D6="FAIL",0,""))))</f>
        <v/>
      </c>
      <c r="F6" s="5">
        <f>IF(E6="",0,C6*E6)</f>
        <v/>
      </c>
      <c r="G6" s="5">
        <f>IF(B6="I1",20*AVERAGEIF('QA_Images'!$A$2:$A$78,A6,'QA_Images'!$S$2:$S$78)/100,IF(D6="NOT_CHECKED",0,C6))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["evidence_batch_011_101", "https://jeminise.com/products/custom-semi-truck-with-american-flag-background-comforter-104ae45e5d-104ae45e5d", "serp_qa_batch_011_r4_101_1", "serp_qa_batch_011_r4_101_2"]</t>
        </is>
      </c>
      <c r="J6" s="2" t="inlineStr">
        <is>
          <t>[]</t>
        </is>
      </c>
    </row>
    <row r="7" ht="42" customHeight="1">
      <c r="A7" s="3" t="inlineStr">
        <is>
          <t>jeminise.com+custom-semi-truck-with-american-flag-background-comforter-104ae45e5d-104ae45e5d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IF(B7="I1",AVERAGEIF('QA_Images'!$A$2:$A$78,A7,'QA_Images'!$R$2:$R$78)/100,IF(D7="FULL",1,IF(D7="PARTIAL",0.5,IF(D7="FAIL",0,""))))</f>
        <v/>
      </c>
      <c r="F7" s="7">
        <f>IF(E7="",0,C7*E7)</f>
        <v/>
      </c>
      <c r="G7" s="7">
        <f>IF(B7="I1",20*AVERAGEIF('QA_Images'!$A$2:$A$78,A7,'QA_Images'!$S$2:$S$78)/100,IF(D7="NOT_CHECKED",0,C7))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["evidence_batch_011_101", "https://jeminise.com/products/custom-semi-truck-with-american-flag-background-comforter-104ae45e5d-104ae45e5d"]</t>
        </is>
      </c>
      <c r="J7" s="3" t="inlineStr">
        <is>
          <t>[]</t>
        </is>
      </c>
    </row>
    <row r="8" ht="42" customHeight="1">
      <c r="A8" s="2" t="inlineStr">
        <is>
          <t>jeminise.com+custom-semi-truck-with-american-flag-background-comforter-104ae45e5d-104ae45e5d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IF(B8="I1",AVERAGEIF('QA_Images'!$A$2:$A$78,A8,'QA_Images'!$R$2:$R$78)/100,IF(D8="FULL",1,IF(D8="PARTIAL",0.5,IF(D8="FAIL",0,""))))</f>
        <v/>
      </c>
      <c r="F8" s="5">
        <f>IF(E8="",0,C8*E8)</f>
        <v/>
      </c>
      <c r="G8" s="5">
        <f>IF(B8="I1",20*AVERAGEIF('QA_Images'!$A$2:$A$78,A8,'QA_Images'!$S$2:$S$78)/100,IF(D8="NOT_CHECKED",0,C8))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["evidence_batch_011_101", "https://jeminise.com/products/custom-semi-truck-with-american-flag-background-comforter-104ae45e5d-104ae45e5d"]</t>
        </is>
      </c>
      <c r="J8" s="2" t="inlineStr">
        <is>
          <t>[]</t>
        </is>
      </c>
    </row>
    <row r="9" ht="42" customHeight="1">
      <c r="A9" s="3" t="inlineStr">
        <is>
          <t>jeminise.com+custom-semi-truck-with-american-flag-background-comforter-104ae45e5d-104ae45e5d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IF(B9="I1",AVERAGEIF('QA_Images'!$A$2:$A$78,A9,'QA_Images'!$R$2:$R$78)/100,IF(D9="FULL",1,IF(D9="PARTIAL",0.5,IF(D9="FAIL",0,""))))</f>
        <v/>
      </c>
      <c r="F9" s="7">
        <f>IF(E9="",0,C9*E9)</f>
        <v/>
      </c>
      <c r="G9" s="7">
        <f>IF(B9="I1",20*AVERAGEIF('QA_Images'!$A$2:$A$78,A9,'QA_Images'!$S$2:$S$78)/100,IF(D9="NOT_CHECKED",0,C9))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["evidence_batch_011_101", "https://jeminise.com/products/custom-semi-truck-with-american-flag-background-comforter-104ae45e5d-104ae45e5d"]</t>
        </is>
      </c>
      <c r="J9" s="3" t="inlineStr">
        <is>
          <t>[]</t>
        </is>
      </c>
    </row>
    <row r="10" ht="42" customHeight="1">
      <c r="A10" s="2" t="inlineStr">
        <is>
          <t>jeminise.com+custom-semi-truck-with-american-flag-background-comforter-104ae45e5d-104ae45e5d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IF(B10="I1",AVERAGEIF('QA_Images'!$A$2:$A$78,A10,'QA_Images'!$R$2:$R$78)/100,IF(D10="FULL",1,IF(D10="PARTIAL",0.5,IF(D10="FAIL",0,""))))</f>
        <v/>
      </c>
      <c r="F10" s="5">
        <f>IF(E10="",0,C10*E10)</f>
        <v/>
      </c>
      <c r="G10" s="5">
        <f>IF(B10="I1",20*AVERAGEIF('QA_Images'!$A$2:$A$78,A10,'QA_Images'!$S$2:$S$78)/100,IF(D10="NOT_CHECKED",0,C10))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["evidence_batch_011_101", "https://jeminise.com/products/custom-semi-truck-with-american-flag-background-comforter-104ae45e5d-104ae45e5d"]</t>
        </is>
      </c>
      <c r="J10" s="2" t="inlineStr">
        <is>
          <t>["B11R4-MIN-001"]</t>
        </is>
      </c>
    </row>
    <row r="11" ht="42" customHeight="1">
      <c r="A11" s="3" t="inlineStr">
        <is>
          <t>jeminise.com+custom-semi-truck-with-american-flag-background-comforter-104ae45e5d-104ae45e5d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IF(B11="I1",AVERAGEIF('QA_Images'!$A$2:$A$78,A11,'QA_Images'!$R$2:$R$78)/100,IF(D11="FULL",1,IF(D11="PARTIAL",0.5,IF(D11="FAIL",0,""))))</f>
        <v/>
      </c>
      <c r="F11" s="7">
        <f>IF(E11="",0,C11*E11)</f>
        <v/>
      </c>
      <c r="G11" s="7">
        <f>IF(B11="I1",20*AVERAGEIF('QA_Images'!$A$2:$A$78,A11,'QA_Images'!$S$2:$S$78)/100,IF(D11="NOT_CHECKED",0,C11))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"evidence_batch_011_101"]</t>
        </is>
      </c>
      <c r="J11" s="3" t="inlineStr">
        <is>
          <t>[]</t>
        </is>
      </c>
    </row>
    <row r="12" ht="42" customHeight="1">
      <c r="A12" s="2" t="inlineStr">
        <is>
          <t>jeminise.com+custom-semi-truck-with-american-flag-background-comforter-104ae45e5d-104ae45e5d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IF(B12="I1",AVERAGEIF('QA_Images'!$A$2:$A$78,A12,'QA_Images'!$R$2:$R$78)/100,IF(D12="FULL",1,IF(D12="PARTIAL",0.5,IF(D12="FAIL",0,""))))</f>
        <v/>
      </c>
      <c r="F12" s="5">
        <f>IF(E12="",0,C12*E12)</f>
        <v/>
      </c>
      <c r="G12" s="5">
        <f>IF(B12="I1",20*AVERAGEIF('QA_Images'!$A$2:$A$78,A12,'QA_Images'!$S$2:$S$78)/100,IF(D12="NOT_CHECKED",0,C12))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["evidence_batch_011_101", "https://jeminise.com/products/custom-semi-truck-with-american-flag-background-comforter-104ae45e5d-104ae45e5d"]</t>
        </is>
      </c>
      <c r="J12" s="2" t="inlineStr">
        <is>
          <t>[]</t>
        </is>
      </c>
    </row>
    <row r="13" ht="42" customHeight="1">
      <c r="A13" s="3" t="inlineStr">
        <is>
          <t>jeminise.com+custom-soccer-ball-cleats-personalized-comforter-set-machine-washable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IF(B13="I1",AVERAGEIF('QA_Images'!$A$2:$A$78,A13,'QA_Images'!$R$2:$R$78)/100,IF(D13="FULL",1,IF(D13="PARTIAL",0.5,IF(D13="FAIL",0,""))))</f>
        <v/>
      </c>
      <c r="F13" s="7">
        <f>IF(E13="",0,C13*E13)</f>
        <v/>
      </c>
      <c r="G13" s="7">
        <f>IF(B13="I1",20*AVERAGEIF('QA_Images'!$A$2:$A$78,A13,'QA_Images'!$S$2:$S$78)/100,IF(D13="NOT_CHECKED",0,C13))</f>
        <v/>
      </c>
      <c r="H13" s="3" t="inlineStr">
        <is>
          <t>FULL: source workbook, product JSON and direct image checks support the product identity; verified motif: black soccer cleats comforter set with soccer ball and cleats motif.</t>
        </is>
      </c>
      <c r="I13" s="3" t="inlineStr">
        <is>
          <t>["evidence_batch_011_102", "https://jeminise.com/products/custom-soccer-ball-cleats-personalized-comforter-set-machine-washable"]</t>
        </is>
      </c>
      <c r="J13" s="3" t="inlineStr">
        <is>
          <t>[]</t>
        </is>
      </c>
    </row>
    <row r="14" ht="42" customHeight="1">
      <c r="A14" s="2" t="inlineStr">
        <is>
          <t>jeminise.com+custom-soccer-ball-cleats-personalized-comforter-set-machine-washable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IF(B14="I1",AVERAGEIF('QA_Images'!$A$2:$A$78,A14,'QA_Images'!$R$2:$R$78)/100,IF(D14="FULL",1,IF(D14="PARTIAL",0.5,IF(D14="FAIL",0,""))))</f>
        <v/>
      </c>
      <c r="F14" s="5">
        <f>IF(E14="",0,C14*E14)</f>
        <v/>
      </c>
      <c r="G14" s="5">
        <f>IF(B14="I1",20*AVERAGEIF('QA_Images'!$A$2:$A$78,A14,'QA_Images'!$S$2:$S$78)/100,IF(D14="NOT_CHECKED",0,C14))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["evidence_batch_011_102", "https://jeminise.com/products/custom-soccer-ball-cleats-personalized-comforter-set-machine-washable",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jeminise.com+custom-soccer-ball-cleats-personalized-comforter-set-machine-washable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IF(B15="I1",AVERAGEIF('QA_Images'!$A$2:$A$78,A15,'QA_Images'!$R$2:$R$78)/100,IF(D15="FULL",1,IF(D15="PARTIAL",0.5,IF(D15="FAIL",0,""))))</f>
        <v/>
      </c>
      <c r="F15" s="7">
        <f>IF(E15="",0,C15*E15)</f>
        <v/>
      </c>
      <c r="G15" s="7">
        <f>IF(B15="I1",20*AVERAGEIF('QA_Images'!$A$2:$A$78,A15,'QA_Images'!$S$2:$S$78)/100,IF(D15="NOT_CHECKED",0,C15))</f>
        <v/>
      </c>
      <c r="H15" s="3" t="inlineStr">
        <is>
          <t>PARTIAL: primary keyword 'black soccer cleats comforter set' was checked against this product's own US/English SERP; partial means the exact phrase is niche or sample-name driven.</t>
        </is>
      </c>
      <c r="I15" s="3" t="inlineStr">
        <is>
          <t>["evidence_batch_011_102", "https://jeminise.com/products/custom-soccer-ball-cleats-personalized-comforter-set-machine-washable", "serp_qa_batch_011_r4_102_1", "serp_qa_batch_011_r4_102_2"]</t>
        </is>
      </c>
      <c r="J15" s="3" t="inlineStr">
        <is>
          <t>["B11R4-MIN-002"]</t>
        </is>
      </c>
    </row>
    <row r="16" ht="42" customHeight="1">
      <c r="A16" s="2" t="inlineStr">
        <is>
          <t>jeminise.com+custom-soccer-ball-cleats-personalized-comforter-set-machine-washable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IF(B16="I1",AVERAGEIF('QA_Images'!$A$2:$A$78,A16,'QA_Images'!$R$2:$R$78)/100,IF(D16="FULL",1,IF(D16="PARTIAL",0.5,IF(D16="FAIL",0,""))))</f>
        <v/>
      </c>
      <c r="F16" s="5">
        <f>IF(E16="",0,C16*E16)</f>
        <v/>
      </c>
      <c r="G16" s="5">
        <f>IF(B16="I1",20*AVERAGEIF('QA_Images'!$A$2:$A$78,A16,'QA_Images'!$S$2:$S$78)/100,IF(D16="NOT_CHECKED",0,C16))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["evidence_batch_011_102", "https://jeminise.com/products/custom-soccer-ball-cleats-personalized-comforter-set-machine-washable", "serp_qa_batch_011_r4_102_1", "serp_qa_batch_011_r4_102_2"]</t>
        </is>
      </c>
      <c r="J16" s="2" t="inlineStr">
        <is>
          <t>["B11R4-MIN-002"]</t>
        </is>
      </c>
    </row>
    <row r="17" ht="42" customHeight="1">
      <c r="A17" s="3" t="inlineStr">
        <is>
          <t>jeminise.com+custom-soccer-ball-cleats-personalized-comforter-set-machine-washable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IF(B17="I1",AVERAGEIF('QA_Images'!$A$2:$A$78,A17,'QA_Images'!$R$2:$R$78)/100,IF(D17="FULL",1,IF(D17="PARTIAL",0.5,IF(D17="FAIL",0,""))))</f>
        <v/>
      </c>
      <c r="F17" s="7">
        <f>IF(E17="",0,C17*E17)</f>
        <v/>
      </c>
      <c r="G17" s="7">
        <f>IF(B17="I1",20*AVERAGEIF('QA_Images'!$A$2:$A$78,A17,'QA_Images'!$S$2:$S$78)/100,IF(D17="NOT_CHECKED",0,C17))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["evidence_batch_011_102", "https://jeminise.com/products/custom-soccer-ball-cleats-personalized-comforter-set-machine-washable", "serp_qa_batch_011_r4_102_1", "serp_qa_batch_011_r4_102_2"]</t>
        </is>
      </c>
      <c r="J17" s="3" t="inlineStr">
        <is>
          <t>[]</t>
        </is>
      </c>
    </row>
    <row r="18" ht="42" customHeight="1">
      <c r="A18" s="2" t="inlineStr">
        <is>
          <t>jeminise.com+custom-soccer-ball-cleats-personalized-comforter-set-machine-washable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IF(B18="I1",AVERAGEIF('QA_Images'!$A$2:$A$78,A18,'QA_Images'!$R$2:$R$78)/100,IF(D18="FULL",1,IF(D18="PARTIAL",0.5,IF(D18="FAIL",0,""))))</f>
        <v/>
      </c>
      <c r="F18" s="5">
        <f>IF(E18="",0,C18*E18)</f>
        <v/>
      </c>
      <c r="G18" s="5">
        <f>IF(B18="I1",20*AVERAGEIF('QA_Images'!$A$2:$A$78,A18,'QA_Images'!$S$2:$S$78)/100,IF(D18="NOT_CHECKED",0,C18))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["evidence_batch_011_102", "https://jeminise.com/products/custom-soccer-ball-cleats-personalized-comforter-set-machine-washable"]</t>
        </is>
      </c>
      <c r="J18" s="2" t="inlineStr">
        <is>
          <t>[]</t>
        </is>
      </c>
    </row>
    <row r="19" ht="42" customHeight="1">
      <c r="A19" s="3" t="inlineStr">
        <is>
          <t>jeminise.com+custom-soccer-ball-cleats-personalized-comforter-set-machine-washable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IF(B19="I1",AVERAGEIF('QA_Images'!$A$2:$A$78,A19,'QA_Images'!$R$2:$R$78)/100,IF(D19="FULL",1,IF(D19="PARTIAL",0.5,IF(D19="FAIL",0,""))))</f>
        <v/>
      </c>
      <c r="F19" s="7">
        <f>IF(E19="",0,C19*E19)</f>
        <v/>
      </c>
      <c r="G19" s="7">
        <f>IF(B19="I1",20*AVERAGEIF('QA_Images'!$A$2:$A$78,A19,'QA_Images'!$S$2:$S$78)/100,IF(D19="NOT_CHECKED",0,C19))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["evidence_batch_011_102", "https://jeminise.com/products/custom-soccer-ball-cleats-personalized-comforter-set-machine-washable"]</t>
        </is>
      </c>
      <c r="J19" s="3" t="inlineStr">
        <is>
          <t>[]</t>
        </is>
      </c>
    </row>
    <row r="20" ht="42" customHeight="1">
      <c r="A20" s="2" t="inlineStr">
        <is>
          <t>jeminise.com+custom-soccer-ball-cleats-personalized-comforter-set-machine-washable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IF(B20="I1",AVERAGEIF('QA_Images'!$A$2:$A$78,A20,'QA_Images'!$R$2:$R$78)/100,IF(D20="FULL",1,IF(D20="PARTIAL",0.5,IF(D20="FAIL",0,""))))</f>
        <v/>
      </c>
      <c r="F20" s="5">
        <f>IF(E20="",0,C20*E20)</f>
        <v/>
      </c>
      <c r="G20" s="5">
        <f>IF(B20="I1",20*AVERAGEIF('QA_Images'!$A$2:$A$78,A20,'QA_Images'!$S$2:$S$78)/100,IF(D20="NOT_CHECKED",0,C20))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["evidence_batch_011_102", "https://jeminise.com/products/custom-soccer-ball-cleats-personalized-comforter-set-machine-washable"]</t>
        </is>
      </c>
      <c r="J20" s="2" t="inlineStr">
        <is>
          <t>[]</t>
        </is>
      </c>
    </row>
    <row r="21" ht="42" customHeight="1">
      <c r="A21" s="3" t="inlineStr">
        <is>
          <t>jeminise.com+custom-soccer-ball-cleats-personalized-comforter-set-machine-washable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IF(B21="I1",AVERAGEIF('QA_Images'!$A$2:$A$78,A21,'QA_Images'!$R$2:$R$78)/100,IF(D21="FULL",1,IF(D21="PARTIAL",0.5,IF(D21="FAIL",0,""))))</f>
        <v/>
      </c>
      <c r="F21" s="7">
        <f>IF(E21="",0,C21*E21)</f>
        <v/>
      </c>
      <c r="G21" s="7">
        <f>IF(B21="I1",20*AVERAGEIF('QA_Images'!$A$2:$A$78,A21,'QA_Images'!$S$2:$S$78)/100,IF(D21="NOT_CHECKED",0,C21))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["evidence_batch_011_102", "https://jeminise.com/products/custom-soccer-ball-cleats-personalized-comforter-set-machine-washable"]</t>
        </is>
      </c>
      <c r="J21" s="3" t="inlineStr">
        <is>
          <t>["B11R4-MIN-002"]</t>
        </is>
      </c>
    </row>
    <row r="22" ht="42" customHeight="1">
      <c r="A22" s="2" t="inlineStr">
        <is>
          <t>jeminise.com+custom-soccer-ball-cleats-personalized-comforter-set-machine-washable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IF(B22="I1",AVERAGEIF('QA_Images'!$A$2:$A$78,A22,'QA_Images'!$R$2:$R$78)/100,IF(D22="FULL",1,IF(D22="PARTIAL",0.5,IF(D22="FAIL",0,""))))</f>
        <v/>
      </c>
      <c r="F22" s="5">
        <f>IF(E22="",0,C22*E22)</f>
        <v/>
      </c>
      <c r="G22" s="5">
        <f>IF(B22="I1",20*AVERAGEIF('QA_Images'!$A$2:$A$78,A22,'QA_Images'!$S$2:$S$78)/100,IF(D22="NOT_CHECKED",0,C22))</f>
        <v/>
      </c>
      <c r="H22" s="2" t="inlineStr">
        <is>
          <t>Derived from 8 QA_Images rows for this product; average image score 100/100.</t>
        </is>
      </c>
      <c r="I22" s="2" t="inlineStr">
        <is>
          <t>["QA_Images", "evidence_batch_011_102"]</t>
        </is>
      </c>
      <c r="J22" s="2" t="inlineStr">
        <is>
          <t>[]</t>
        </is>
      </c>
    </row>
    <row r="23" ht="42" customHeight="1">
      <c r="A23" s="3" t="inlineStr">
        <is>
          <t>jeminise.com+custom-soccer-ball-cleats-personalized-comforter-set-machine-washable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IF(B23="I1",AVERAGEIF('QA_Images'!$A$2:$A$78,A23,'QA_Images'!$R$2:$R$78)/100,IF(D23="FULL",1,IF(D23="PARTIAL",0.5,IF(D23="FAIL",0,""))))</f>
        <v/>
      </c>
      <c r="F23" s="7">
        <f>IF(E23="",0,C23*E23)</f>
        <v/>
      </c>
      <c r="G23" s="7">
        <f>IF(B23="I1",20*AVERAGEIF('QA_Images'!$A$2:$A$78,A23,'QA_Images'!$S$2:$S$78)/100,IF(D23="NOT_CHECKED",0,C23))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["evidence_batch_011_102", "https://jeminise.com/products/custom-soccer-ball-cleats-personalized-comforter-set-machine-washable"]</t>
        </is>
      </c>
      <c r="J23" s="3" t="inlineStr">
        <is>
          <t>[]</t>
        </is>
      </c>
    </row>
    <row r="24" ht="42" customHeight="1">
      <c r="A24" s="2" t="inlineStr">
        <is>
          <t>jeminise.com+custom-soccer-ball-goal-net-comforter-set-machine-washabl-design-13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IF(B24="I1",AVERAGEIF('QA_Images'!$A$2:$A$78,A24,'QA_Images'!$R$2:$R$78)/100,IF(D24="FULL",1,IF(D24="PARTIAL",0.5,IF(D24="FAIL",0,""))))</f>
        <v/>
      </c>
      <c r="F24" s="5">
        <f>IF(E24="",0,C24*E24)</f>
        <v/>
      </c>
      <c r="G24" s="5">
        <f>IF(B24="I1",20*AVERAGEIF('QA_Images'!$A$2:$A$78,A24,'QA_Images'!$S$2:$S$78)/100,IF(D24="NOT_CHECKED",0,C24))</f>
        <v/>
      </c>
      <c r="H24" s="2" t="inlineStr">
        <is>
          <t>FULL: source workbook, product JSON and direct image checks support the product identity; verified motif: blue soccer goal net comforter set with ball/goal-net motif.</t>
        </is>
      </c>
      <c r="I24" s="2" t="inlineStr">
        <is>
          <t>["evidence_batch_011_103", "https://jeminise.com/products/custom-soccer-ball-goal-net-comforter-set-machine-washabl-design-13"]</t>
        </is>
      </c>
      <c r="J24" s="2" t="inlineStr">
        <is>
          <t>[]</t>
        </is>
      </c>
    </row>
    <row r="25" ht="42" customHeight="1">
      <c r="A25" s="3" t="inlineStr">
        <is>
          <t>jeminise.com+custom-soccer-ball-goal-net-comforter-set-machine-washabl-design-13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IF(B25="I1",AVERAGEIF('QA_Images'!$A$2:$A$78,A25,'QA_Images'!$R$2:$R$78)/100,IF(D25="FULL",1,IF(D25="PARTIAL",0.5,IF(D25="FAIL",0,""))))</f>
        <v/>
      </c>
      <c r="F25" s="7">
        <f>IF(E25="",0,C25*E25)</f>
        <v/>
      </c>
      <c r="G25" s="7">
        <f>IF(B25="I1",20*AVERAGEIF('QA_Images'!$A$2:$A$78,A25,'QA_Images'!$S$2:$S$78)/100,IF(D25="NOT_CHECKED",0,C25))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["evidence_batch_011_103", "https://jeminise.com/products/custom-soccer-ball-goal-net-comforter-set-machine-washabl-design-13",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jeminise.com+custom-soccer-ball-goal-net-comforter-set-machine-washabl-design-13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IF(B26="I1",AVERAGEIF('QA_Images'!$A$2:$A$78,A26,'QA_Images'!$R$2:$R$78)/100,IF(D26="FULL",1,IF(D26="PARTIAL",0.5,IF(D26="FAIL",0,""))))</f>
        <v/>
      </c>
      <c r="F26" s="5">
        <f>IF(E26="",0,C26*E26)</f>
        <v/>
      </c>
      <c r="G26" s="5">
        <f>IF(B26="I1",20*AVERAGEIF('QA_Images'!$A$2:$A$78,A26,'QA_Images'!$S$2:$S$78)/100,IF(D26="NOT_CHECKED",0,C26))</f>
        <v/>
      </c>
      <c r="H26" s="2" t="inlineStr">
        <is>
          <t>FULL: primary keyword 'blue soccer goal net comforter set' was checked against this product's own US/English SERP; partial means the exact phrase is niche or sample-name driven.</t>
        </is>
      </c>
      <c r="I26" s="2" t="inlineStr">
        <is>
          <t>["evidence_batch_011_103", "https://jeminise.com/products/custom-soccer-ball-goal-net-comforter-set-machine-washabl-design-13", "serp_qa_batch_011_r4_103_1", "serp_qa_batch_011_r4_103_2"]</t>
        </is>
      </c>
      <c r="J26" s="2" t="inlineStr">
        <is>
          <t>["B11R4-MIN-003"]</t>
        </is>
      </c>
    </row>
    <row r="27" ht="42" customHeight="1">
      <c r="A27" s="3" t="inlineStr">
        <is>
          <t>jeminise.com+custom-soccer-ball-goal-net-comforter-set-machine-washabl-design-13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IF(B27="I1",AVERAGEIF('QA_Images'!$A$2:$A$78,A27,'QA_Images'!$R$2:$R$78)/100,IF(D27="FULL",1,IF(D27="PARTIAL",0.5,IF(D27="FAIL",0,""))))</f>
        <v/>
      </c>
      <c r="F27" s="7">
        <f>IF(E27="",0,C27*E27)</f>
        <v/>
      </c>
      <c r="G27" s="7">
        <f>IF(B27="I1",20*AVERAGEIF('QA_Images'!$A$2:$A$78,A27,'QA_Images'!$S$2:$S$78)/100,IF(D27="NOT_CHECKED",0,C27))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["evidence_batch_011_103", "https://jeminise.com/products/custom-soccer-ball-goal-net-comforter-set-machine-washabl-design-13", "serp_qa_batch_011_r4_103_1", "serp_qa_batch_011_r4_103_2"]</t>
        </is>
      </c>
      <c r="J27" s="3" t="inlineStr">
        <is>
          <t>["B11R4-MIN-003"]</t>
        </is>
      </c>
    </row>
    <row r="28" ht="42" customHeight="1">
      <c r="A28" s="2" t="inlineStr">
        <is>
          <t>jeminise.com+custom-soccer-ball-goal-net-comforter-set-machine-washabl-design-13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IF(B28="I1",AVERAGEIF('QA_Images'!$A$2:$A$78,A28,'QA_Images'!$R$2:$R$78)/100,IF(D28="FULL",1,IF(D28="PARTIAL",0.5,IF(D28="FAIL",0,""))))</f>
        <v/>
      </c>
      <c r="F28" s="5">
        <f>IF(E28="",0,C28*E28)</f>
        <v/>
      </c>
      <c r="G28" s="5">
        <f>IF(B28="I1",20*AVERAGEIF('QA_Images'!$A$2:$A$78,A28,'QA_Images'!$S$2:$S$78)/100,IF(D28="NOT_CHECKED",0,C28))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["evidence_batch_011_103", "https://jeminise.com/products/custom-soccer-ball-goal-net-comforter-set-machine-washabl-design-13", "serp_qa_batch_011_r4_103_1", "serp_qa_batch_011_r4_103_2"]</t>
        </is>
      </c>
      <c r="J28" s="2" t="inlineStr">
        <is>
          <t>[]</t>
        </is>
      </c>
    </row>
    <row r="29" ht="42" customHeight="1">
      <c r="A29" s="3" t="inlineStr">
        <is>
          <t>jeminise.com+custom-soccer-ball-goal-net-comforter-set-machine-washabl-design-13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IF(B29="I1",AVERAGEIF('QA_Images'!$A$2:$A$78,A29,'QA_Images'!$R$2:$R$78)/100,IF(D29="FULL",1,IF(D29="PARTIAL",0.5,IF(D29="FAIL",0,""))))</f>
        <v/>
      </c>
      <c r="F29" s="7">
        <f>IF(E29="",0,C29*E29)</f>
        <v/>
      </c>
      <c r="G29" s="7">
        <f>IF(B29="I1",20*AVERAGEIF('QA_Images'!$A$2:$A$78,A29,'QA_Images'!$S$2:$S$78)/100,IF(D29="NOT_CHECKED",0,C29))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["evidence_batch_011_103", "https://jeminise.com/products/custom-soccer-ball-goal-net-comforter-set-machine-washabl-design-13"]</t>
        </is>
      </c>
      <c r="J29" s="3" t="inlineStr">
        <is>
          <t>[]</t>
        </is>
      </c>
    </row>
    <row r="30" ht="42" customHeight="1">
      <c r="A30" s="2" t="inlineStr">
        <is>
          <t>jeminise.com+custom-soccer-ball-goal-net-comforter-set-machine-washabl-design-13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IF(B30="I1",AVERAGEIF('QA_Images'!$A$2:$A$78,A30,'QA_Images'!$R$2:$R$78)/100,IF(D30="FULL",1,IF(D30="PARTIAL",0.5,IF(D30="FAIL",0,""))))</f>
        <v/>
      </c>
      <c r="F30" s="5">
        <f>IF(E30="",0,C30*E30)</f>
        <v/>
      </c>
      <c r="G30" s="5">
        <f>IF(B30="I1",20*AVERAGEIF('QA_Images'!$A$2:$A$78,A30,'QA_Images'!$S$2:$S$78)/100,IF(D30="NOT_CHECKED",0,C30))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["evidence_batch_011_103", "https://jeminise.com/products/custom-soccer-ball-goal-net-comforter-set-machine-washabl-design-13"]</t>
        </is>
      </c>
      <c r="J30" s="2" t="inlineStr">
        <is>
          <t>[]</t>
        </is>
      </c>
    </row>
    <row r="31" ht="42" customHeight="1">
      <c r="A31" s="3" t="inlineStr">
        <is>
          <t>jeminise.com+custom-soccer-ball-goal-net-comforter-set-machine-washabl-design-13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IF(B31="I1",AVERAGEIF('QA_Images'!$A$2:$A$78,A31,'QA_Images'!$R$2:$R$78)/100,IF(D31="FULL",1,IF(D31="PARTIAL",0.5,IF(D31="FAIL",0,""))))</f>
        <v/>
      </c>
      <c r="F31" s="7">
        <f>IF(E31="",0,C31*E31)</f>
        <v/>
      </c>
      <c r="G31" s="7">
        <f>IF(B31="I1",20*AVERAGEIF('QA_Images'!$A$2:$A$78,A31,'QA_Images'!$S$2:$S$78)/100,IF(D31="NOT_CHECKED",0,C31))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["evidence_batch_011_103", "https://jeminise.com/products/custom-soccer-ball-goal-net-comforter-set-machine-washabl-design-13"]</t>
        </is>
      </c>
      <c r="J31" s="3" t="inlineStr">
        <is>
          <t>[]</t>
        </is>
      </c>
    </row>
    <row r="32" ht="42" customHeight="1">
      <c r="A32" s="2" t="inlineStr">
        <is>
          <t>jeminise.com+custom-soccer-ball-goal-net-comforter-set-machine-washabl-design-13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IF(B32="I1",AVERAGEIF('QA_Images'!$A$2:$A$78,A32,'QA_Images'!$R$2:$R$78)/100,IF(D32="FULL",1,IF(D32="PARTIAL",0.5,IF(D32="FAIL",0,""))))</f>
        <v/>
      </c>
      <c r="F32" s="5">
        <f>IF(E32="",0,C32*E32)</f>
        <v/>
      </c>
      <c r="G32" s="5">
        <f>IF(B32="I1",20*AVERAGEIF('QA_Images'!$A$2:$A$78,A32,'QA_Images'!$S$2:$S$78)/100,IF(D32="NOT_CHECKED",0,C32))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["evidence_batch_011_103", "https://jeminise.com/products/custom-soccer-ball-goal-net-comforter-set-machine-washabl-design-13"]</t>
        </is>
      </c>
      <c r="J32" s="2" t="inlineStr">
        <is>
          <t>["B11R4-MIN-003"]</t>
        </is>
      </c>
    </row>
    <row r="33" ht="42" customHeight="1">
      <c r="A33" s="3" t="inlineStr">
        <is>
          <t>jeminise.com+custom-soccer-ball-goal-net-comforter-set-machine-washabl-design-13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IF(B33="I1",AVERAGEIF('QA_Images'!$A$2:$A$78,A33,'QA_Images'!$R$2:$R$78)/100,IF(D33="FULL",1,IF(D33="PARTIAL",0.5,IF(D33="FAIL",0,""))))</f>
        <v/>
      </c>
      <c r="F33" s="7">
        <f>IF(E33="",0,C33*E33)</f>
        <v/>
      </c>
      <c r="G33" s="7">
        <f>IF(B33="I1",20*AVERAGEIF('QA_Images'!$A$2:$A$78,A33,'QA_Images'!$S$2:$S$78)/100,IF(D33="NOT_CHECKED",0,C33))</f>
        <v/>
      </c>
      <c r="H33" s="3" t="inlineStr">
        <is>
          <t>Derived from 8 QA_Images rows for this product; average image score 100/100.</t>
        </is>
      </c>
      <c r="I33" s="3" t="inlineStr">
        <is>
          <t>["QA_Images", "evidence_batch_011_103"]</t>
        </is>
      </c>
      <c r="J33" s="3" t="inlineStr">
        <is>
          <t>[]</t>
        </is>
      </c>
    </row>
    <row r="34" ht="42" customHeight="1">
      <c r="A34" s="2" t="inlineStr">
        <is>
          <t>jeminise.com+custom-soccer-ball-goal-net-comforter-set-machine-washabl-design-13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IF(B34="I1",AVERAGEIF('QA_Images'!$A$2:$A$78,A34,'QA_Images'!$R$2:$R$78)/100,IF(D34="FULL",1,IF(D34="PARTIAL",0.5,IF(D34="FAIL",0,""))))</f>
        <v/>
      </c>
      <c r="F34" s="5">
        <f>IF(E34="",0,C34*E34)</f>
        <v/>
      </c>
      <c r="G34" s="5">
        <f>IF(B34="I1",20*AVERAGEIF('QA_Images'!$A$2:$A$78,A34,'QA_Images'!$S$2:$S$78)/100,IF(D34="NOT_CHECKED",0,C34))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["evidence_batch_011_103", "https://jeminise.com/products/custom-soccer-ball-goal-net-comforter-set-machine-washabl-design-13"]</t>
        </is>
      </c>
      <c r="J34" s="2" t="inlineStr">
        <is>
          <t>[]</t>
        </is>
      </c>
    </row>
    <row r="35" ht="42" customHeight="1">
      <c r="A35" s="3" t="inlineStr">
        <is>
          <t>jeminise.com+custom-soccer-ball-goal-personalized-bedding-comforter-set-a4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IF(B35="I1",AVERAGEIF('QA_Images'!$A$2:$A$78,A35,'QA_Images'!$R$2:$R$78)/100,IF(D35="FULL",1,IF(D35="PARTIAL",0.5,IF(D35="FAIL",0,""))))</f>
        <v/>
      </c>
      <c r="F35" s="7">
        <f>IF(E35="",0,C35*E35)</f>
        <v/>
      </c>
      <c r="G35" s="7">
        <f>IF(B35="I1",20*AVERAGEIF('QA_Images'!$A$2:$A$78,A35,'QA_Images'!$S$2:$S$78)/100,IF(D35="NOT_CHECKED",0,C35))</f>
        <v/>
      </c>
      <c r="H35" s="3" t="inlineStr">
        <is>
          <t>FULL: source workbook, product JSON and direct image checks support the product identity; verified motif: Kenzo soccer number comforter set using a sample name/number personalization motif.</t>
        </is>
      </c>
      <c r="I35" s="3" t="inlineStr">
        <is>
          <t>["evidence_batch_011_104", "https://jeminise.com/products/custom-soccer-ball-goal-personalized-bedding-comforter-set-a4"]</t>
        </is>
      </c>
      <c r="J35" s="3" t="inlineStr">
        <is>
          <t>[]</t>
        </is>
      </c>
    </row>
    <row r="36" ht="42" customHeight="1">
      <c r="A36" s="2" t="inlineStr">
        <is>
          <t>jeminise.com+custom-soccer-ball-goal-personalized-bedding-comforter-set-a4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IF(B36="I1",AVERAGEIF('QA_Images'!$A$2:$A$78,A36,'QA_Images'!$R$2:$R$78)/100,IF(D36="FULL",1,IF(D36="PARTIAL",0.5,IF(D36="FAIL",0,""))))</f>
        <v/>
      </c>
      <c r="F36" s="5">
        <f>IF(E36="",0,C36*E36)</f>
        <v/>
      </c>
      <c r="G36" s="5">
        <f>IF(B36="I1",20*AVERAGEIF('QA_Images'!$A$2:$A$78,A36,'QA_Images'!$S$2:$S$78)/100,IF(D36="NOT_CHECKED",0,C36))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["evidence_batch_011_104", "https://jeminise.com/products/custom-soccer-ball-goal-personalized-bedding-comforter-set-a4",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jeminise.com+custom-soccer-ball-goal-personalized-bedding-comforter-set-a4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IF(B37="I1",AVERAGEIF('QA_Images'!$A$2:$A$78,A37,'QA_Images'!$R$2:$R$78)/100,IF(D37="FULL",1,IF(D37="PARTIAL",0.5,IF(D37="FAIL",0,""))))</f>
        <v/>
      </c>
      <c r="F37" s="7">
        <f>IF(E37="",0,C37*E37)</f>
        <v/>
      </c>
      <c r="G37" s="7">
        <f>IF(B37="I1",20*AVERAGEIF('QA_Images'!$A$2:$A$78,A37,'QA_Images'!$S$2:$S$78)/100,IF(D37="NOT_CHECKED",0,C37))</f>
        <v/>
      </c>
      <c r="H37" s="3" t="inlineStr">
        <is>
          <t>PARTIAL: primary keyword 'Kenzo soccer number comforter set' was checked against this product's own US/English SERP; partial means the exact phrase is niche or sample-name driven.</t>
        </is>
      </c>
      <c r="I37" s="3" t="inlineStr">
        <is>
          <t>["evidence_batch_011_104", "https://jeminise.com/products/custom-soccer-ball-goal-personalized-bedding-comforter-set-a4", "serp_qa_batch_011_r4_104_1", "serp_qa_batch_011_r4_104_2"]</t>
        </is>
      </c>
      <c r="J37" s="3" t="inlineStr">
        <is>
          <t>["B11R4-MIN-004"]</t>
        </is>
      </c>
    </row>
    <row r="38" ht="42" customHeight="1">
      <c r="A38" s="2" t="inlineStr">
        <is>
          <t>jeminise.com+custom-soccer-ball-goal-personalized-bedding-comforter-set-a4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IF(B38="I1",AVERAGEIF('QA_Images'!$A$2:$A$78,A38,'QA_Images'!$R$2:$R$78)/100,IF(D38="FULL",1,IF(D38="PARTIAL",0.5,IF(D38="FAIL",0,""))))</f>
        <v/>
      </c>
      <c r="F38" s="5">
        <f>IF(E38="",0,C38*E38)</f>
        <v/>
      </c>
      <c r="G38" s="5">
        <f>IF(B38="I1",20*AVERAGEIF('QA_Images'!$A$2:$A$78,A38,'QA_Images'!$S$2:$S$78)/100,IF(D38="NOT_CHECKED",0,C38))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["evidence_batch_011_104", "https://jeminise.com/products/custom-soccer-ball-goal-personalized-bedding-comforter-set-a4", "serp_qa_batch_011_r4_104_1", "serp_qa_batch_011_r4_104_2"]</t>
        </is>
      </c>
      <c r="J38" s="2" t="inlineStr">
        <is>
          <t>["B11R4-MIN-004"]</t>
        </is>
      </c>
    </row>
    <row r="39" ht="42" customHeight="1">
      <c r="A39" s="3" t="inlineStr">
        <is>
          <t>jeminise.com+custom-soccer-ball-goal-personalized-bedding-comforter-set-a4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IF(B39="I1",AVERAGEIF('QA_Images'!$A$2:$A$78,A39,'QA_Images'!$R$2:$R$78)/100,IF(D39="FULL",1,IF(D39="PARTIAL",0.5,IF(D39="FAIL",0,""))))</f>
        <v/>
      </c>
      <c r="F39" s="7">
        <f>IF(E39="",0,C39*E39)</f>
        <v/>
      </c>
      <c r="G39" s="7">
        <f>IF(B39="I1",20*AVERAGEIF('QA_Images'!$A$2:$A$78,A39,'QA_Images'!$S$2:$S$78)/100,IF(D39="NOT_CHECKED",0,C39))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["evidence_batch_011_104", "https://jeminise.com/products/custom-soccer-ball-goal-personalized-bedding-comforter-set-a4", "serp_qa_batch_011_r4_104_1", "serp_qa_batch_011_r4_104_2"]</t>
        </is>
      </c>
      <c r="J39" s="3" t="inlineStr">
        <is>
          <t>[]</t>
        </is>
      </c>
    </row>
    <row r="40" ht="42" customHeight="1">
      <c r="A40" s="2" t="inlineStr">
        <is>
          <t>jeminise.com+custom-soccer-ball-goal-personalized-bedding-comforter-set-a4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IF(B40="I1",AVERAGEIF('QA_Images'!$A$2:$A$78,A40,'QA_Images'!$R$2:$R$78)/100,IF(D40="FULL",1,IF(D40="PARTIAL",0.5,IF(D40="FAIL",0,""))))</f>
        <v/>
      </c>
      <c r="F40" s="5">
        <f>IF(E40="",0,C40*E40)</f>
        <v/>
      </c>
      <c r="G40" s="5">
        <f>IF(B40="I1",20*AVERAGEIF('QA_Images'!$A$2:$A$78,A40,'QA_Images'!$S$2:$S$78)/100,IF(D40="NOT_CHECKED",0,C40))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["evidence_batch_011_104", "https://jeminise.com/products/custom-soccer-ball-goal-personalized-bedding-comforter-set-a4"]</t>
        </is>
      </c>
      <c r="J40" s="2" t="inlineStr">
        <is>
          <t>[]</t>
        </is>
      </c>
    </row>
    <row r="41" ht="42" customHeight="1">
      <c r="A41" s="3" t="inlineStr">
        <is>
          <t>jeminise.com+custom-soccer-ball-goal-personalized-bedding-comforter-set-a4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IF(B41="I1",AVERAGEIF('QA_Images'!$A$2:$A$78,A41,'QA_Images'!$R$2:$R$78)/100,IF(D41="FULL",1,IF(D41="PARTIAL",0.5,IF(D41="FAIL",0,""))))</f>
        <v/>
      </c>
      <c r="F41" s="7">
        <f>IF(E41="",0,C41*E41)</f>
        <v/>
      </c>
      <c r="G41" s="7">
        <f>IF(B41="I1",20*AVERAGEIF('QA_Images'!$A$2:$A$78,A41,'QA_Images'!$S$2:$S$78)/100,IF(D41="NOT_CHECKED",0,C41))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["evidence_batch_011_104", "https://jeminise.com/products/custom-soccer-ball-goal-personalized-bedding-comforter-set-a4"]</t>
        </is>
      </c>
      <c r="J41" s="3" t="inlineStr">
        <is>
          <t>[]</t>
        </is>
      </c>
    </row>
    <row r="42" ht="42" customHeight="1">
      <c r="A42" s="2" t="inlineStr">
        <is>
          <t>jeminise.com+custom-soccer-ball-goal-personalized-bedding-comforter-set-a4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IF(B42="I1",AVERAGEIF('QA_Images'!$A$2:$A$78,A42,'QA_Images'!$R$2:$R$78)/100,IF(D42="FULL",1,IF(D42="PARTIAL",0.5,IF(D42="FAIL",0,""))))</f>
        <v/>
      </c>
      <c r="F42" s="5">
        <f>IF(E42="",0,C42*E42)</f>
        <v/>
      </c>
      <c r="G42" s="5">
        <f>IF(B42="I1",20*AVERAGEIF('QA_Images'!$A$2:$A$78,A42,'QA_Images'!$S$2:$S$78)/100,IF(D42="NOT_CHECKED",0,C42))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["evidence_batch_011_104", "https://jeminise.com/products/custom-soccer-ball-goal-personalized-bedding-comforter-set-a4"]</t>
        </is>
      </c>
      <c r="J42" s="2" t="inlineStr">
        <is>
          <t>[]</t>
        </is>
      </c>
    </row>
    <row r="43" ht="42" customHeight="1">
      <c r="A43" s="3" t="inlineStr">
        <is>
          <t>jeminise.com+custom-soccer-ball-goal-personalized-bedding-comforter-set-a4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IF(B43="I1",AVERAGEIF('QA_Images'!$A$2:$A$78,A43,'QA_Images'!$R$2:$R$78)/100,IF(D43="FULL",1,IF(D43="PARTIAL",0.5,IF(D43="FAIL",0,""))))</f>
        <v/>
      </c>
      <c r="F43" s="7">
        <f>IF(E43="",0,C43*E43)</f>
        <v/>
      </c>
      <c r="G43" s="7">
        <f>IF(B43="I1",20*AVERAGEIF('QA_Images'!$A$2:$A$78,A43,'QA_Images'!$S$2:$S$78)/100,IF(D43="NOT_CHECKED",0,C43))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["evidence_batch_011_104", "https://jeminise.com/products/custom-soccer-ball-goal-personalized-bedding-comforter-set-a4"]</t>
        </is>
      </c>
      <c r="J43" s="3" t="inlineStr">
        <is>
          <t>["B11R4-MIN-004"]</t>
        </is>
      </c>
    </row>
    <row r="44" ht="42" customHeight="1">
      <c r="A44" s="2" t="inlineStr">
        <is>
          <t>jeminise.com+custom-soccer-ball-goal-personalized-bedding-comforter-set-a4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IF(B44="I1",AVERAGEIF('QA_Images'!$A$2:$A$78,A44,'QA_Images'!$R$2:$R$78)/100,IF(D44="FULL",1,IF(D44="PARTIAL",0.5,IF(D44="FAIL",0,""))))</f>
        <v/>
      </c>
      <c r="F44" s="5">
        <f>IF(E44="",0,C44*E44)</f>
        <v/>
      </c>
      <c r="G44" s="5">
        <f>IF(B44="I1",20*AVERAGEIF('QA_Images'!$A$2:$A$78,A44,'QA_Images'!$S$2:$S$78)/100,IF(D44="NOT_CHECKED",0,C44))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"evidence_batch_011_104"]</t>
        </is>
      </c>
      <c r="J44" s="2" t="inlineStr">
        <is>
          <t>[]</t>
        </is>
      </c>
    </row>
    <row r="45" ht="42" customHeight="1">
      <c r="A45" s="3" t="inlineStr">
        <is>
          <t>jeminise.com+custom-soccer-ball-goal-personalized-bedding-comforter-set-a4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IF(B45="I1",AVERAGEIF('QA_Images'!$A$2:$A$78,A45,'QA_Images'!$R$2:$R$78)/100,IF(D45="FULL",1,IF(D45="PARTIAL",0.5,IF(D45="FAIL",0,""))))</f>
        <v/>
      </c>
      <c r="F45" s="7">
        <f>IF(E45="",0,C45*E45)</f>
        <v/>
      </c>
      <c r="G45" s="7">
        <f>IF(B45="I1",20*AVERAGEIF('QA_Images'!$A$2:$A$78,A45,'QA_Images'!$S$2:$S$78)/100,IF(D45="NOT_CHECKED",0,C45))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["evidence_batch_011_104", "https://jeminise.com/products/custom-soccer-ball-goal-personalized-bedding-comforter-set-a4"]</t>
        </is>
      </c>
      <c r="J45" s="3" t="inlineStr">
        <is>
          <t>[]</t>
        </is>
      </c>
    </row>
    <row r="46" ht="42" customHeight="1">
      <c r="A46" s="2" t="inlineStr">
        <is>
          <t>jeminise.com+custom-soccer-ball-net-comforter-set-machine-washable-a2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IF(B46="I1",AVERAGEIF('QA_Images'!$A$2:$A$78,A46,'QA_Images'!$R$2:$R$78)/100,IF(D46="FULL",1,IF(D46="PARTIAL",0.5,IF(D46="FAIL",0,""))))</f>
        <v/>
      </c>
      <c r="F46" s="5">
        <f>IF(E46="",0,C46*E46)</f>
        <v/>
      </c>
      <c r="G46" s="5">
        <f>IF(B46="I1",20*AVERAGEIF('QA_Images'!$A$2:$A$78,A46,'QA_Images'!$S$2:$S$78)/100,IF(D46="NOT_CHECKED",0,C46))</f>
        <v/>
      </c>
      <c r="H46" s="2" t="inlineStr">
        <is>
          <t>FULL: source workbook, product JSON and direct image checks support the product identity; verified motif: Jayden soccer net comforter set using a sample name and soccer net motif.</t>
        </is>
      </c>
      <c r="I46" s="2" t="inlineStr">
        <is>
          <t>["evidence_batch_011_105", "https://jeminise.com/products/custom-soccer-ball-net-comforter-set-machine-washable-a2"]</t>
        </is>
      </c>
      <c r="J46" s="2" t="inlineStr">
        <is>
          <t>[]</t>
        </is>
      </c>
    </row>
    <row r="47" ht="42" customHeight="1">
      <c r="A47" s="3" t="inlineStr">
        <is>
          <t>jeminise.com+custom-soccer-ball-net-comforter-set-machine-washable-a2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IF(B47="I1",AVERAGEIF('QA_Images'!$A$2:$A$78,A47,'QA_Images'!$R$2:$R$78)/100,IF(D47="FULL",1,IF(D47="PARTIAL",0.5,IF(D47="FAIL",0,""))))</f>
        <v/>
      </c>
      <c r="F47" s="7">
        <f>IF(E47="",0,C47*E47)</f>
        <v/>
      </c>
      <c r="G47" s="7">
        <f>IF(B47="I1",20*AVERAGEIF('QA_Images'!$A$2:$A$78,A47,'QA_Images'!$S$2:$S$78)/100,IF(D47="NOT_CHECKED",0,C47))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["evidence_batch_011_105", "https://jeminise.com/products/custom-soccer-ball-net-comforter-set-machine-washable-a2",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jeminise.com+custom-soccer-ball-net-comforter-set-machine-washable-a2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IF(B48="I1",AVERAGEIF('QA_Images'!$A$2:$A$78,A48,'QA_Images'!$R$2:$R$78)/100,IF(D48="FULL",1,IF(D48="PARTIAL",0.5,IF(D48="FAIL",0,""))))</f>
        <v/>
      </c>
      <c r="F48" s="5">
        <f>IF(E48="",0,C48*E48)</f>
        <v/>
      </c>
      <c r="G48" s="5">
        <f>IF(B48="I1",20*AVERAGEIF('QA_Images'!$A$2:$A$78,A48,'QA_Images'!$S$2:$S$78)/100,IF(D48="NOT_CHECKED",0,C48))</f>
        <v/>
      </c>
      <c r="H48" s="2" t="inlineStr">
        <is>
          <t>PARTIAL: primary keyword 'Jayden soccer net comforter set' was checked against this product's own US/English SERP; partial means the exact phrase is niche or sample-name driven.</t>
        </is>
      </c>
      <c r="I48" s="2" t="inlineStr">
        <is>
          <t>["evidence_batch_011_105", "https://jeminise.com/products/custom-soccer-ball-net-comforter-set-machine-washable-a2", "serp_qa_batch_011_r4_105_1", "serp_qa_batch_011_r4_105_2"]</t>
        </is>
      </c>
      <c r="J48" s="2" t="inlineStr">
        <is>
          <t>["B11R4-MIN-005"]</t>
        </is>
      </c>
    </row>
    <row r="49" ht="42" customHeight="1">
      <c r="A49" s="3" t="inlineStr">
        <is>
          <t>jeminise.com+custom-soccer-ball-net-comforter-set-machine-washable-a2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IF(B49="I1",AVERAGEIF('QA_Images'!$A$2:$A$78,A49,'QA_Images'!$R$2:$R$78)/100,IF(D49="FULL",1,IF(D49="PARTIAL",0.5,IF(D49="FAIL",0,""))))</f>
        <v/>
      </c>
      <c r="F49" s="7">
        <f>IF(E49="",0,C49*E49)</f>
        <v/>
      </c>
      <c r="G49" s="7">
        <f>IF(B49="I1",20*AVERAGEIF('QA_Images'!$A$2:$A$78,A49,'QA_Images'!$S$2:$S$78)/100,IF(D49="NOT_CHECKED",0,C49))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["evidence_batch_011_105", "https://jeminise.com/products/custom-soccer-ball-net-comforter-set-machine-washable-a2", "serp_qa_batch_011_r4_105_1", "serp_qa_batch_011_r4_105_2"]</t>
        </is>
      </c>
      <c r="J49" s="3" t="inlineStr">
        <is>
          <t>["B11R4-MIN-005"]</t>
        </is>
      </c>
    </row>
    <row r="50" ht="42" customHeight="1">
      <c r="A50" s="2" t="inlineStr">
        <is>
          <t>jeminise.com+custom-soccer-ball-net-comforter-set-machine-washable-a2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IF(B50="I1",AVERAGEIF('QA_Images'!$A$2:$A$78,A50,'QA_Images'!$R$2:$R$78)/100,IF(D50="FULL",1,IF(D50="PARTIAL",0.5,IF(D50="FAIL",0,""))))</f>
        <v/>
      </c>
      <c r="F50" s="5">
        <f>IF(E50="",0,C50*E50)</f>
        <v/>
      </c>
      <c r="G50" s="5">
        <f>IF(B50="I1",20*AVERAGEIF('QA_Images'!$A$2:$A$78,A50,'QA_Images'!$S$2:$S$78)/100,IF(D50="NOT_CHECKED",0,C50))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["evidence_batch_011_105", "https://jeminise.com/products/custom-soccer-ball-net-comforter-set-machine-washable-a2", "serp_qa_batch_011_r4_105_1", "serp_qa_batch_011_r4_105_2"]</t>
        </is>
      </c>
      <c r="J50" s="2" t="inlineStr">
        <is>
          <t>[]</t>
        </is>
      </c>
    </row>
    <row r="51" ht="42" customHeight="1">
      <c r="A51" s="3" t="inlineStr">
        <is>
          <t>jeminise.com+custom-soccer-ball-net-comforter-set-machine-washable-a2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IF(B51="I1",AVERAGEIF('QA_Images'!$A$2:$A$78,A51,'QA_Images'!$R$2:$R$78)/100,IF(D51="FULL",1,IF(D51="PARTIAL",0.5,IF(D51="FAIL",0,""))))</f>
        <v/>
      </c>
      <c r="F51" s="7">
        <f>IF(E51="",0,C51*E51)</f>
        <v/>
      </c>
      <c r="G51" s="7">
        <f>IF(B51="I1",20*AVERAGEIF('QA_Images'!$A$2:$A$78,A51,'QA_Images'!$S$2:$S$78)/100,IF(D51="NOT_CHECKED",0,C51))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["evidence_batch_011_105", "https://jeminise.com/products/custom-soccer-ball-net-comforter-set-machine-washable-a2"]</t>
        </is>
      </c>
      <c r="J51" s="3" t="inlineStr">
        <is>
          <t>[]</t>
        </is>
      </c>
    </row>
    <row r="52" ht="42" customHeight="1">
      <c r="A52" s="2" t="inlineStr">
        <is>
          <t>jeminise.com+custom-soccer-ball-net-comforter-set-machine-washable-a2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IF(B52="I1",AVERAGEIF('QA_Images'!$A$2:$A$78,A52,'QA_Images'!$R$2:$R$78)/100,IF(D52="FULL",1,IF(D52="PARTIAL",0.5,IF(D52="FAIL",0,""))))</f>
        <v/>
      </c>
      <c r="F52" s="5">
        <f>IF(E52="",0,C52*E52)</f>
        <v/>
      </c>
      <c r="G52" s="5">
        <f>IF(B52="I1",20*AVERAGEIF('QA_Images'!$A$2:$A$78,A52,'QA_Images'!$S$2:$S$78)/100,IF(D52="NOT_CHECKED",0,C52))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["evidence_batch_011_105", "https://jeminise.com/products/custom-soccer-ball-net-comforter-set-machine-washable-a2"]</t>
        </is>
      </c>
      <c r="J52" s="2" t="inlineStr">
        <is>
          <t>[]</t>
        </is>
      </c>
    </row>
    <row r="53" ht="42" customHeight="1">
      <c r="A53" s="3" t="inlineStr">
        <is>
          <t>jeminise.com+custom-soccer-ball-net-comforter-set-machine-washable-a2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IF(B53="I1",AVERAGEIF('QA_Images'!$A$2:$A$78,A53,'QA_Images'!$R$2:$R$78)/100,IF(D53="FULL",1,IF(D53="PARTIAL",0.5,IF(D53="FAIL",0,""))))</f>
        <v/>
      </c>
      <c r="F53" s="7">
        <f>IF(E53="",0,C53*E53)</f>
        <v/>
      </c>
      <c r="G53" s="7">
        <f>IF(B53="I1",20*AVERAGEIF('QA_Images'!$A$2:$A$78,A53,'QA_Images'!$S$2:$S$78)/100,IF(D53="NOT_CHECKED",0,C53))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["evidence_batch_011_105", "https://jeminise.com/products/custom-soccer-ball-net-comforter-set-machine-washable-a2"]</t>
        </is>
      </c>
      <c r="J53" s="3" t="inlineStr">
        <is>
          <t>[]</t>
        </is>
      </c>
    </row>
    <row r="54" ht="42" customHeight="1">
      <c r="A54" s="2" t="inlineStr">
        <is>
          <t>jeminise.com+custom-soccer-ball-net-comforter-set-machine-washable-a2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IF(B54="I1",AVERAGEIF('QA_Images'!$A$2:$A$78,A54,'QA_Images'!$R$2:$R$78)/100,IF(D54="FULL",1,IF(D54="PARTIAL",0.5,IF(D54="FAIL",0,""))))</f>
        <v/>
      </c>
      <c r="F54" s="5">
        <f>IF(E54="",0,C54*E54)</f>
        <v/>
      </c>
      <c r="G54" s="5">
        <f>IF(B54="I1",20*AVERAGEIF('QA_Images'!$A$2:$A$78,A54,'QA_Images'!$S$2:$S$78)/100,IF(D54="NOT_CHECKED",0,C54))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["evidence_batch_011_105", "https://jeminise.com/products/custom-soccer-ball-net-comforter-set-machine-washable-a2"]</t>
        </is>
      </c>
      <c r="J54" s="2" t="inlineStr">
        <is>
          <t>["B11R4-MIN-005"]</t>
        </is>
      </c>
    </row>
    <row r="55" ht="42" customHeight="1">
      <c r="A55" s="3" t="inlineStr">
        <is>
          <t>jeminise.com+custom-soccer-ball-net-comforter-set-machine-washable-a2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IF(B55="I1",AVERAGEIF('QA_Images'!$A$2:$A$78,A55,'QA_Images'!$R$2:$R$78)/100,IF(D55="FULL",1,IF(D55="PARTIAL",0.5,IF(D55="FAIL",0,""))))</f>
        <v/>
      </c>
      <c r="F55" s="7">
        <f>IF(E55="",0,C55*E55)</f>
        <v/>
      </c>
      <c r="G55" s="7">
        <f>IF(B55="I1",20*AVERAGEIF('QA_Images'!$A$2:$A$78,A55,'QA_Images'!$S$2:$S$78)/100,IF(D55="NOT_CHECKED",0,C55))</f>
        <v/>
      </c>
      <c r="H55" s="3" t="inlineStr">
        <is>
          <t>Derived from 8 QA_Images rows for this product; average image score 100/100.</t>
        </is>
      </c>
      <c r="I55" s="3" t="inlineStr">
        <is>
          <t>["QA_Images", "evidence_batch_011_105"]</t>
        </is>
      </c>
      <c r="J55" s="3" t="inlineStr">
        <is>
          <t>[]</t>
        </is>
      </c>
    </row>
    <row r="56" ht="42" customHeight="1">
      <c r="A56" s="2" t="inlineStr">
        <is>
          <t>jeminise.com+custom-soccer-ball-net-comforter-set-machine-washable-a2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IF(B56="I1",AVERAGEIF('QA_Images'!$A$2:$A$78,A56,'QA_Images'!$R$2:$R$78)/100,IF(D56="FULL",1,IF(D56="PARTIAL",0.5,IF(D56="FAIL",0,""))))</f>
        <v/>
      </c>
      <c r="F56" s="5">
        <f>IF(E56="",0,C56*E56)</f>
        <v/>
      </c>
      <c r="G56" s="5">
        <f>IF(B56="I1",20*AVERAGEIF('QA_Images'!$A$2:$A$78,A56,'QA_Images'!$S$2:$S$78)/100,IF(D56="NOT_CHECKED",0,C56))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["evidence_batch_011_105", "https://jeminise.com/products/custom-soccer-ball-net-comforter-set-machine-washable-a2"]</t>
        </is>
      </c>
      <c r="J56" s="2" t="inlineStr">
        <is>
          <t>[]</t>
        </is>
      </c>
    </row>
    <row r="57" ht="42" customHeight="1">
      <c r="A57" s="3" t="inlineStr">
        <is>
          <t>jeminise.com+custom-soccer-ball-water-splashes-comforter-set-machine-washable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IF(B57="I1",AVERAGEIF('QA_Images'!$A$2:$A$78,A57,'QA_Images'!$R$2:$R$78)/100,IF(D57="FULL",1,IF(D57="PARTIAL",0.5,IF(D57="FAIL",0,""))))</f>
        <v/>
      </c>
      <c r="F57" s="7">
        <f>IF(E57="",0,C57*E57)</f>
        <v/>
      </c>
      <c r="G57" s="7">
        <f>IF(B57="I1",20*AVERAGEIF('QA_Images'!$A$2:$A$78,A57,'QA_Images'!$S$2:$S$78)/100,IF(D57="NOT_CHECKED",0,C57))</f>
        <v/>
      </c>
      <c r="H57" s="3" t="inlineStr">
        <is>
          <t>FULL: source workbook, product JSON and direct image checks support the product identity; verified motif: Matthew water splash soccer comforter with sample name and water splash soccer ball motif.</t>
        </is>
      </c>
      <c r="I57" s="3" t="inlineStr">
        <is>
          <t>["evidence_batch_011_106", "https://jeminise.com/products/custom-soccer-ball-water-splashes-comforter-set-machine-washable"]</t>
        </is>
      </c>
      <c r="J57" s="3" t="inlineStr">
        <is>
          <t>[]</t>
        </is>
      </c>
    </row>
    <row r="58" ht="42" customHeight="1">
      <c r="A58" s="2" t="inlineStr">
        <is>
          <t>jeminise.com+custom-soccer-ball-water-splashes-comforter-set-machine-washable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IF(B58="I1",AVERAGEIF('QA_Images'!$A$2:$A$78,A58,'QA_Images'!$R$2:$R$78)/100,IF(D58="FULL",1,IF(D58="PARTIAL",0.5,IF(D58="FAIL",0,""))))</f>
        <v/>
      </c>
      <c r="F58" s="5">
        <f>IF(E58="",0,C58*E58)</f>
        <v/>
      </c>
      <c r="G58" s="5">
        <f>IF(B58="I1",20*AVERAGEIF('QA_Images'!$A$2:$A$78,A58,'QA_Images'!$S$2:$S$78)/100,IF(D58="NOT_CHECKED",0,C58))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["evidence_batch_011_106", "https://jeminise.com/products/custom-soccer-ball-water-splashes-comforter-set-machine-washable",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jeminise.com+custom-soccer-ball-water-splashes-comforter-set-machine-washable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IF(B59="I1",AVERAGEIF('QA_Images'!$A$2:$A$78,A59,'QA_Images'!$R$2:$R$78)/100,IF(D59="FULL",1,IF(D59="PARTIAL",0.5,IF(D59="FAIL",0,""))))</f>
        <v/>
      </c>
      <c r="F59" s="7">
        <f>IF(E59="",0,C59*E59)</f>
        <v/>
      </c>
      <c r="G59" s="7">
        <f>IF(B59="I1",20*AVERAGEIF('QA_Images'!$A$2:$A$78,A59,'QA_Images'!$S$2:$S$78)/100,IF(D59="NOT_CHECKED",0,C59))</f>
        <v/>
      </c>
      <c r="H59" s="3" t="inlineStr">
        <is>
          <t>PARTIAL: primary keyword 'Matthew water splash soccer comforter' was checked against this product's own US/English SERP; partial means the exact phrase is niche or sample-name driven.</t>
        </is>
      </c>
      <c r="I59" s="3" t="inlineStr">
        <is>
          <t>["evidence_batch_011_106", "https://jeminise.com/products/custom-soccer-ball-water-splashes-comforter-set-machine-washable", "serp_qa_batch_011_r4_106_1", "serp_qa_batch_011_r4_106_2"]</t>
        </is>
      </c>
      <c r="J59" s="3" t="inlineStr">
        <is>
          <t>["B11R4-MIN-006"]</t>
        </is>
      </c>
    </row>
    <row r="60" ht="42" customHeight="1">
      <c r="A60" s="2" t="inlineStr">
        <is>
          <t>jeminise.com+custom-soccer-ball-water-splashes-comforter-set-machine-washable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IF(B60="I1",AVERAGEIF('QA_Images'!$A$2:$A$78,A60,'QA_Images'!$R$2:$R$78)/100,IF(D60="FULL",1,IF(D60="PARTIAL",0.5,IF(D60="FAIL",0,""))))</f>
        <v/>
      </c>
      <c r="F60" s="5">
        <f>IF(E60="",0,C60*E60)</f>
        <v/>
      </c>
      <c r="G60" s="5">
        <f>IF(B60="I1",20*AVERAGEIF('QA_Images'!$A$2:$A$78,A60,'QA_Images'!$S$2:$S$78)/100,IF(D60="NOT_CHECKED",0,C60))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["evidence_batch_011_106", "https://jeminise.com/products/custom-soccer-ball-water-splashes-comforter-set-machine-washable", "serp_qa_batch_011_r4_106_1", "serp_qa_batch_011_r4_106_2"]</t>
        </is>
      </c>
      <c r="J60" s="2" t="inlineStr">
        <is>
          <t>["B11R4-MIN-006"]</t>
        </is>
      </c>
    </row>
    <row r="61" ht="42" customHeight="1">
      <c r="A61" s="3" t="inlineStr">
        <is>
          <t>jeminise.com+custom-soccer-ball-water-splashes-comforter-set-machine-washable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IF(B61="I1",AVERAGEIF('QA_Images'!$A$2:$A$78,A61,'QA_Images'!$R$2:$R$78)/100,IF(D61="FULL",1,IF(D61="PARTIAL",0.5,IF(D61="FAIL",0,""))))</f>
        <v/>
      </c>
      <c r="F61" s="7">
        <f>IF(E61="",0,C61*E61)</f>
        <v/>
      </c>
      <c r="G61" s="7">
        <f>IF(B61="I1",20*AVERAGEIF('QA_Images'!$A$2:$A$78,A61,'QA_Images'!$S$2:$S$78)/100,IF(D61="NOT_CHECKED",0,C61))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["evidence_batch_011_106", "https://jeminise.com/products/custom-soccer-ball-water-splashes-comforter-set-machine-washable", "serp_qa_batch_011_r4_106_1", "serp_qa_batch_011_r4_106_2"]</t>
        </is>
      </c>
      <c r="J61" s="3" t="inlineStr">
        <is>
          <t>[]</t>
        </is>
      </c>
    </row>
    <row r="62" ht="42" customHeight="1">
      <c r="A62" s="2" t="inlineStr">
        <is>
          <t>jeminise.com+custom-soccer-ball-water-splashes-comforter-set-machine-washable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IF(B62="I1",AVERAGEIF('QA_Images'!$A$2:$A$78,A62,'QA_Images'!$R$2:$R$78)/100,IF(D62="FULL",1,IF(D62="PARTIAL",0.5,IF(D62="FAIL",0,""))))</f>
        <v/>
      </c>
      <c r="F62" s="5">
        <f>IF(E62="",0,C62*E62)</f>
        <v/>
      </c>
      <c r="G62" s="5">
        <f>IF(B62="I1",20*AVERAGEIF('QA_Images'!$A$2:$A$78,A62,'QA_Images'!$S$2:$S$78)/100,IF(D62="NOT_CHECKED",0,C62))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["evidence_batch_011_106", "https://jeminise.com/products/custom-soccer-ball-water-splashes-comforter-set-machine-washable"]</t>
        </is>
      </c>
      <c r="J62" s="2" t="inlineStr">
        <is>
          <t>[]</t>
        </is>
      </c>
    </row>
    <row r="63" ht="42" customHeight="1">
      <c r="A63" s="3" t="inlineStr">
        <is>
          <t>jeminise.com+custom-soccer-ball-water-splashes-comforter-set-machine-washable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IF(B63="I1",AVERAGEIF('QA_Images'!$A$2:$A$78,A63,'QA_Images'!$R$2:$R$78)/100,IF(D63="FULL",1,IF(D63="PARTIAL",0.5,IF(D63="FAIL",0,""))))</f>
        <v/>
      </c>
      <c r="F63" s="7">
        <f>IF(E63="",0,C63*E63)</f>
        <v/>
      </c>
      <c r="G63" s="7">
        <f>IF(B63="I1",20*AVERAGEIF('QA_Images'!$A$2:$A$78,A63,'QA_Images'!$S$2:$S$78)/100,IF(D63="NOT_CHECKED",0,C63))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["evidence_batch_011_106", "https://jeminise.com/products/custom-soccer-ball-water-splashes-comforter-set-machine-washable"]</t>
        </is>
      </c>
      <c r="J63" s="3" t="inlineStr">
        <is>
          <t>[]</t>
        </is>
      </c>
    </row>
    <row r="64" ht="42" customHeight="1">
      <c r="A64" s="2" t="inlineStr">
        <is>
          <t>jeminise.com+custom-soccer-ball-water-splashes-comforter-set-machine-washable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IF(B64="I1",AVERAGEIF('QA_Images'!$A$2:$A$78,A64,'QA_Images'!$R$2:$R$78)/100,IF(D64="FULL",1,IF(D64="PARTIAL",0.5,IF(D64="FAIL",0,""))))</f>
        <v/>
      </c>
      <c r="F64" s="5">
        <f>IF(E64="",0,C64*E64)</f>
        <v/>
      </c>
      <c r="G64" s="5">
        <f>IF(B64="I1",20*AVERAGEIF('QA_Images'!$A$2:$A$78,A64,'QA_Images'!$S$2:$S$78)/100,IF(D64="NOT_CHECKED",0,C64))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["evidence_batch_011_106", "https://jeminise.com/products/custom-soccer-ball-water-splashes-comforter-set-machine-washable"]</t>
        </is>
      </c>
      <c r="J64" s="2" t="inlineStr">
        <is>
          <t>[]</t>
        </is>
      </c>
    </row>
    <row r="65" ht="42" customHeight="1">
      <c r="A65" s="3" t="inlineStr">
        <is>
          <t>jeminise.com+custom-soccer-ball-water-splashes-comforter-set-machine-washable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IF(B65="I1",AVERAGEIF('QA_Images'!$A$2:$A$78,A65,'QA_Images'!$R$2:$R$78)/100,IF(D65="FULL",1,IF(D65="PARTIAL",0.5,IF(D65="FAIL",0,""))))</f>
        <v/>
      </c>
      <c r="F65" s="7">
        <f>IF(E65="",0,C65*E65)</f>
        <v/>
      </c>
      <c r="G65" s="7">
        <f>IF(B65="I1",20*AVERAGEIF('QA_Images'!$A$2:$A$78,A65,'QA_Images'!$S$2:$S$78)/100,IF(D65="NOT_CHECKED",0,C65))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["evidence_batch_011_106", "https://jeminise.com/products/custom-soccer-ball-water-splashes-comforter-set-machine-washable"]</t>
        </is>
      </c>
      <c r="J65" s="3" t="inlineStr">
        <is>
          <t>["B11R4-MIN-006"]</t>
        </is>
      </c>
    </row>
    <row r="66" ht="42" customHeight="1">
      <c r="A66" s="2" t="inlineStr">
        <is>
          <t>jeminise.com+custom-soccer-ball-water-splashes-comforter-set-machine-washable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IF(B66="I1",AVERAGEIF('QA_Images'!$A$2:$A$78,A66,'QA_Images'!$R$2:$R$78)/100,IF(D66="FULL",1,IF(D66="PARTIAL",0.5,IF(D66="FAIL",0,""))))</f>
        <v/>
      </c>
      <c r="F66" s="5">
        <f>IF(E66="",0,C66*E66)</f>
        <v/>
      </c>
      <c r="G66" s="5">
        <f>IF(B66="I1",20*AVERAGEIF('QA_Images'!$A$2:$A$78,A66,'QA_Images'!$S$2:$S$78)/100,IF(D66="NOT_CHECKED",0,C66))</f>
        <v/>
      </c>
      <c r="H66" s="2" t="inlineStr">
        <is>
          <t>Derived from 8 QA_Images rows for this product; average image score 100/100.</t>
        </is>
      </c>
      <c r="I66" s="2" t="inlineStr">
        <is>
          <t>["QA_Images", "evidence_batch_011_106"]</t>
        </is>
      </c>
      <c r="J66" s="2" t="inlineStr">
        <is>
          <t>[]</t>
        </is>
      </c>
    </row>
    <row r="67" ht="42" customHeight="1">
      <c r="A67" s="3" t="inlineStr">
        <is>
          <t>jeminise.com+custom-soccer-ball-water-splashes-comforter-set-machine-washable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IF(B67="I1",AVERAGEIF('QA_Images'!$A$2:$A$78,A67,'QA_Images'!$R$2:$R$78)/100,IF(D67="FULL",1,IF(D67="PARTIAL",0.5,IF(D67="FAIL",0,""))))</f>
        <v/>
      </c>
      <c r="F67" s="7">
        <f>IF(E67="",0,C67*E67)</f>
        <v/>
      </c>
      <c r="G67" s="7">
        <f>IF(B67="I1",20*AVERAGEIF('QA_Images'!$A$2:$A$78,A67,'QA_Images'!$S$2:$S$78)/100,IF(D67="NOT_CHECKED",0,C67))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["evidence_batch_011_106", "https://jeminise.com/products/custom-soccer-ball-water-splashes-comforter-set-machine-washable"]</t>
        </is>
      </c>
      <c r="J67" s="3" t="inlineStr">
        <is>
          <t>[]</t>
        </is>
      </c>
    </row>
    <row r="68" ht="42" customHeight="1">
      <c r="A68" s="2" t="inlineStr">
        <is>
          <t>jeminise.com+custom-soccer-ball-with-lightning-splash-comforter-set-a11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IF(B68="I1",AVERAGEIF('QA_Images'!$A$2:$A$78,A68,'QA_Images'!$R$2:$R$78)/100,IF(D68="FULL",1,IF(D68="PARTIAL",0.5,IF(D68="FAIL",0,""))))</f>
        <v/>
      </c>
      <c r="F68" s="5">
        <f>IF(E68="",0,C68*E68)</f>
        <v/>
      </c>
      <c r="G68" s="5">
        <f>IF(B68="I1",20*AVERAGEIF('QA_Images'!$A$2:$A$78,A68,'QA_Images'!$S$2:$S$78)/100,IF(D68="NOT_CHECKED",0,C68))</f>
        <v/>
      </c>
      <c r="H68" s="2" t="inlineStr">
        <is>
          <t>FULL: source workbook, product JSON and direct image checks support the product identity; verified motif: Lucas lightning soccer comforter set with sample name and lightning soccer artwork.</t>
        </is>
      </c>
      <c r="I68" s="2" t="inlineStr">
        <is>
          <t>["evidence_batch_011_107", "https://jeminise.com/products/custom-soccer-ball-with-lightning-splash-comforter-set-a11"]</t>
        </is>
      </c>
      <c r="J68" s="2" t="inlineStr">
        <is>
          <t>[]</t>
        </is>
      </c>
    </row>
    <row r="69" ht="42" customHeight="1">
      <c r="A69" s="3" t="inlineStr">
        <is>
          <t>jeminise.com+custom-soccer-ball-with-lightning-splash-comforter-set-a11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IF(B69="I1",AVERAGEIF('QA_Images'!$A$2:$A$78,A69,'QA_Images'!$R$2:$R$78)/100,IF(D69="FULL",1,IF(D69="PARTIAL",0.5,IF(D69="FAIL",0,""))))</f>
        <v/>
      </c>
      <c r="F69" s="7">
        <f>IF(E69="",0,C69*E69)</f>
        <v/>
      </c>
      <c r="G69" s="7">
        <f>IF(B69="I1",20*AVERAGEIF('QA_Images'!$A$2:$A$78,A69,'QA_Images'!$S$2:$S$78)/100,IF(D69="NOT_CHECKED",0,C69))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["evidence_batch_011_107", "https://jeminise.com/products/custom-soccer-ball-with-lightning-splash-comforter-set-a11",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jeminise.com+custom-soccer-ball-with-lightning-splash-comforter-set-a11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IF(B70="I1",AVERAGEIF('QA_Images'!$A$2:$A$78,A70,'QA_Images'!$R$2:$R$78)/100,IF(D70="FULL",1,IF(D70="PARTIAL",0.5,IF(D70="FAIL",0,""))))</f>
        <v/>
      </c>
      <c r="F70" s="5">
        <f>IF(E70="",0,C70*E70)</f>
        <v/>
      </c>
      <c r="G70" s="5">
        <f>IF(B70="I1",20*AVERAGEIF('QA_Images'!$A$2:$A$78,A70,'QA_Images'!$S$2:$S$78)/100,IF(D70="NOT_CHECKED",0,C70))</f>
        <v/>
      </c>
      <c r="H70" s="2" t="inlineStr">
        <is>
          <t>FULL: primary keyword 'Lucas lightning soccer comforter set' was checked against this product's own US/English SERP; partial means the exact phrase is niche or sample-name driven.</t>
        </is>
      </c>
      <c r="I70" s="2" t="inlineStr">
        <is>
          <t>["evidence_batch_011_107", "https://jeminise.com/products/custom-soccer-ball-with-lightning-splash-comforter-set-a11", "serp_qa_batch_011_r4_107_1", "serp_qa_batch_011_r4_107_2"]</t>
        </is>
      </c>
      <c r="J70" s="2" t="inlineStr">
        <is>
          <t>["B11R4-MIN-007"]</t>
        </is>
      </c>
    </row>
    <row r="71" ht="42" customHeight="1">
      <c r="A71" s="3" t="inlineStr">
        <is>
          <t>jeminise.com+custom-soccer-ball-with-lightning-splash-comforter-set-a11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IF(B71="I1",AVERAGEIF('QA_Images'!$A$2:$A$78,A71,'QA_Images'!$R$2:$R$78)/100,IF(D71="FULL",1,IF(D71="PARTIAL",0.5,IF(D71="FAIL",0,""))))</f>
        <v/>
      </c>
      <c r="F71" s="7">
        <f>IF(E71="",0,C71*E71)</f>
        <v/>
      </c>
      <c r="G71" s="7">
        <f>IF(B71="I1",20*AVERAGEIF('QA_Images'!$A$2:$A$78,A71,'QA_Images'!$S$2:$S$78)/100,IF(D71="NOT_CHECKED",0,C71))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["evidence_batch_011_107", "https://jeminise.com/products/custom-soccer-ball-with-lightning-splash-comforter-set-a11", "serp_qa_batch_011_r4_107_1", "serp_qa_batch_011_r4_107_2"]</t>
        </is>
      </c>
      <c r="J71" s="3" t="inlineStr">
        <is>
          <t>["B11R4-MIN-007"]</t>
        </is>
      </c>
    </row>
    <row r="72" ht="42" customHeight="1">
      <c r="A72" s="2" t="inlineStr">
        <is>
          <t>jeminise.com+custom-soccer-ball-with-lightning-splash-comforter-set-a11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IF(B72="I1",AVERAGEIF('QA_Images'!$A$2:$A$78,A72,'QA_Images'!$R$2:$R$78)/100,IF(D72="FULL",1,IF(D72="PARTIAL",0.5,IF(D72="FAIL",0,""))))</f>
        <v/>
      </c>
      <c r="F72" s="5">
        <f>IF(E72="",0,C72*E72)</f>
        <v/>
      </c>
      <c r="G72" s="5">
        <f>IF(B72="I1",20*AVERAGEIF('QA_Images'!$A$2:$A$78,A72,'QA_Images'!$S$2:$S$78)/100,IF(D72="NOT_CHECKED",0,C72))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["evidence_batch_011_107", "https://jeminise.com/products/custom-soccer-ball-with-lightning-splash-comforter-set-a11", "serp_qa_batch_011_r4_107_1", "serp_qa_batch_011_r4_107_2"]</t>
        </is>
      </c>
      <c r="J72" s="2" t="inlineStr">
        <is>
          <t>[]</t>
        </is>
      </c>
    </row>
    <row r="73" ht="42" customHeight="1">
      <c r="A73" s="3" t="inlineStr">
        <is>
          <t>jeminise.com+custom-soccer-ball-with-lightning-splash-comforter-set-a11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IF(B73="I1",AVERAGEIF('QA_Images'!$A$2:$A$78,A73,'QA_Images'!$R$2:$R$78)/100,IF(D73="FULL",1,IF(D73="PARTIAL",0.5,IF(D73="FAIL",0,""))))</f>
        <v/>
      </c>
      <c r="F73" s="7">
        <f>IF(E73="",0,C73*E73)</f>
        <v/>
      </c>
      <c r="G73" s="7">
        <f>IF(B73="I1",20*AVERAGEIF('QA_Images'!$A$2:$A$78,A73,'QA_Images'!$S$2:$S$78)/100,IF(D73="NOT_CHECKED",0,C73))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["evidence_batch_011_107", "https://jeminise.com/products/custom-soccer-ball-with-lightning-splash-comforter-set-a11"]</t>
        </is>
      </c>
      <c r="J73" s="3" t="inlineStr">
        <is>
          <t>[]</t>
        </is>
      </c>
    </row>
    <row r="74" ht="42" customHeight="1">
      <c r="A74" s="2" t="inlineStr">
        <is>
          <t>jeminise.com+custom-soccer-ball-with-lightning-splash-comforter-set-a11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IF(B74="I1",AVERAGEIF('QA_Images'!$A$2:$A$78,A74,'QA_Images'!$R$2:$R$78)/100,IF(D74="FULL",1,IF(D74="PARTIAL",0.5,IF(D74="FAIL",0,""))))</f>
        <v/>
      </c>
      <c r="F74" s="5">
        <f>IF(E74="",0,C74*E74)</f>
        <v/>
      </c>
      <c r="G74" s="5">
        <f>IF(B74="I1",20*AVERAGEIF('QA_Images'!$A$2:$A$78,A74,'QA_Images'!$S$2:$S$78)/100,IF(D74="NOT_CHECKED",0,C74))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["evidence_batch_011_107", "https://jeminise.com/products/custom-soccer-ball-with-lightning-splash-comforter-set-a11"]</t>
        </is>
      </c>
      <c r="J74" s="2" t="inlineStr">
        <is>
          <t>[]</t>
        </is>
      </c>
    </row>
    <row r="75" ht="42" customHeight="1">
      <c r="A75" s="3" t="inlineStr">
        <is>
          <t>jeminise.com+custom-soccer-ball-with-lightning-splash-comforter-set-a11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IF(B75="I1",AVERAGEIF('QA_Images'!$A$2:$A$78,A75,'QA_Images'!$R$2:$R$78)/100,IF(D75="FULL",1,IF(D75="PARTIAL",0.5,IF(D75="FAIL",0,""))))</f>
        <v/>
      </c>
      <c r="F75" s="7">
        <f>IF(E75="",0,C75*E75)</f>
        <v/>
      </c>
      <c r="G75" s="7">
        <f>IF(B75="I1",20*AVERAGEIF('QA_Images'!$A$2:$A$78,A75,'QA_Images'!$S$2:$S$78)/100,IF(D75="NOT_CHECKED",0,C75))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["evidence_batch_011_107", "https://jeminise.com/products/custom-soccer-ball-with-lightning-splash-comforter-set-a11"]</t>
        </is>
      </c>
      <c r="J75" s="3" t="inlineStr">
        <is>
          <t>[]</t>
        </is>
      </c>
    </row>
    <row r="76" ht="42" customHeight="1">
      <c r="A76" s="2" t="inlineStr">
        <is>
          <t>jeminise.com+custom-soccer-ball-with-lightning-splash-comforter-set-a11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IF(B76="I1",AVERAGEIF('QA_Images'!$A$2:$A$78,A76,'QA_Images'!$R$2:$R$78)/100,IF(D76="FULL",1,IF(D76="PARTIAL",0.5,IF(D76="FAIL",0,""))))</f>
        <v/>
      </c>
      <c r="F76" s="5">
        <f>IF(E76="",0,C76*E76)</f>
        <v/>
      </c>
      <c r="G76" s="5">
        <f>IF(B76="I1",20*AVERAGEIF('QA_Images'!$A$2:$A$78,A76,'QA_Images'!$S$2:$S$78)/100,IF(D76="NOT_CHECKED",0,C76))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["evidence_batch_011_107", "https://jeminise.com/products/custom-soccer-ball-with-lightning-splash-comforter-set-a11"]</t>
        </is>
      </c>
      <c r="J76" s="2" t="inlineStr">
        <is>
          <t>["B11R4-MIN-007"]</t>
        </is>
      </c>
    </row>
    <row r="77" ht="42" customHeight="1">
      <c r="A77" s="3" t="inlineStr">
        <is>
          <t>jeminise.com+custom-soccer-ball-with-lightning-splash-comforter-set-a11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IF(B77="I1",AVERAGEIF('QA_Images'!$A$2:$A$78,A77,'QA_Images'!$R$2:$R$78)/100,IF(D77="FULL",1,IF(D77="PARTIAL",0.5,IF(D77="FAIL",0,""))))</f>
        <v/>
      </c>
      <c r="F77" s="7">
        <f>IF(E77="",0,C77*E77)</f>
        <v/>
      </c>
      <c r="G77" s="7">
        <f>IF(B77="I1",20*AVERAGEIF('QA_Images'!$A$2:$A$78,A77,'QA_Images'!$S$2:$S$78)/100,IF(D77="NOT_CHECKED",0,C77))</f>
        <v/>
      </c>
      <c r="H77" s="3" t="inlineStr">
        <is>
          <t>Derived from 8 QA_Images rows for this product; average image score 100/100.</t>
        </is>
      </c>
      <c r="I77" s="3" t="inlineStr">
        <is>
          <t>["QA_Images", "evidence_batch_011_107"]</t>
        </is>
      </c>
      <c r="J77" s="3" t="inlineStr">
        <is>
          <t>[]</t>
        </is>
      </c>
    </row>
    <row r="78" ht="42" customHeight="1">
      <c r="A78" s="2" t="inlineStr">
        <is>
          <t>jeminise.com+custom-soccer-ball-with-lightning-splash-comforter-set-a11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IF(B78="I1",AVERAGEIF('QA_Images'!$A$2:$A$78,A78,'QA_Images'!$R$2:$R$78)/100,IF(D78="FULL",1,IF(D78="PARTIAL",0.5,IF(D78="FAIL",0,""))))</f>
        <v/>
      </c>
      <c r="F78" s="5">
        <f>IF(E78="",0,C78*E78)</f>
        <v/>
      </c>
      <c r="G78" s="5">
        <f>IF(B78="I1",20*AVERAGEIF('QA_Images'!$A$2:$A$78,A78,'QA_Images'!$S$2:$S$78)/100,IF(D78="NOT_CHECKED",0,C78))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["evidence_batch_011_107", "https://jeminise.com/products/custom-soccer-ball-with-lightning-splash-comforter-set-a11"]</t>
        </is>
      </c>
      <c r="J78" s="2" t="inlineStr">
        <is>
          <t>[]</t>
        </is>
      </c>
    </row>
    <row r="79" ht="42" customHeight="1">
      <c r="A79" s="3" t="inlineStr">
        <is>
          <t>jeminise.com+custom-soccer-ball-with-number-07-comforter-set-machine-w-design-17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IF(B79="I1",AVERAGEIF('QA_Images'!$A$2:$A$78,A79,'QA_Images'!$R$2:$R$78)/100,IF(D79="FULL",1,IF(D79="PARTIAL",0.5,IF(D79="FAIL",0,""))))</f>
        <v/>
      </c>
      <c r="F79" s="7">
        <f>IF(E79="",0,C79*E79)</f>
        <v/>
      </c>
      <c r="G79" s="7">
        <f>IF(B79="I1",20*AVERAGEIF('QA_Images'!$A$2:$A$78,A79,'QA_Images'!$S$2:$S$78)/100,IF(D79="NOT_CHECKED",0,C79))</f>
        <v/>
      </c>
      <c r="H79" s="3" t="inlineStr">
        <is>
          <t>FULL: source workbook, product JSON and direct image checks support the product identity; verified motif: Isaac soccer ball 07 comforter set with sample name/number soccer ball motif.</t>
        </is>
      </c>
      <c r="I79" s="3" t="inlineStr">
        <is>
          <t>["evidence_batch_011_108", "https://jeminise.com/products/custom-soccer-ball-with-number-07-comforter-set-machine-w-design-17"]</t>
        </is>
      </c>
      <c r="J79" s="3" t="inlineStr">
        <is>
          <t>[]</t>
        </is>
      </c>
    </row>
    <row r="80" ht="42" customHeight="1">
      <c r="A80" s="2" t="inlineStr">
        <is>
          <t>jeminise.com+custom-soccer-ball-with-number-07-comforter-set-machine-w-design-17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IF(B80="I1",AVERAGEIF('QA_Images'!$A$2:$A$78,A80,'QA_Images'!$R$2:$R$78)/100,IF(D80="FULL",1,IF(D80="PARTIAL",0.5,IF(D80="FAIL",0,""))))</f>
        <v/>
      </c>
      <c r="F80" s="5">
        <f>IF(E80="",0,C80*E80)</f>
        <v/>
      </c>
      <c r="G80" s="5">
        <f>IF(B80="I1",20*AVERAGEIF('QA_Images'!$A$2:$A$78,A80,'QA_Images'!$S$2:$S$78)/100,IF(D80="NOT_CHECKED",0,C80))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["evidence_batch_011_108", "https://jeminise.com/products/custom-soccer-ball-with-number-07-comforter-set-machine-w-design-17",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jeminise.com+custom-soccer-ball-with-number-07-comforter-set-machine-w-design-17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IF(B81="I1",AVERAGEIF('QA_Images'!$A$2:$A$78,A81,'QA_Images'!$R$2:$R$78)/100,IF(D81="FULL",1,IF(D81="PARTIAL",0.5,IF(D81="FAIL",0,""))))</f>
        <v/>
      </c>
      <c r="F81" s="7">
        <f>IF(E81="",0,C81*E81)</f>
        <v/>
      </c>
      <c r="G81" s="7">
        <f>IF(B81="I1",20*AVERAGEIF('QA_Images'!$A$2:$A$78,A81,'QA_Images'!$S$2:$S$78)/100,IF(D81="NOT_CHECKED",0,C81))</f>
        <v/>
      </c>
      <c r="H81" s="3" t="inlineStr">
        <is>
          <t>PARTIAL: primary keyword 'Isaac soccer ball 07 comforter set' was checked against this product's own US/English SERP; partial means the exact phrase is niche or sample-name driven.</t>
        </is>
      </c>
      <c r="I81" s="3" t="inlineStr">
        <is>
          <t>["evidence_batch_011_108", "https://jeminise.com/products/custom-soccer-ball-with-number-07-comforter-set-machine-w-design-17", "serp_qa_batch_011_r4_108_1", "serp_qa_batch_011_r4_108_2"]</t>
        </is>
      </c>
      <c r="J81" s="3" t="inlineStr">
        <is>
          <t>["B11R4-MIN-008"]</t>
        </is>
      </c>
    </row>
    <row r="82" ht="42" customHeight="1">
      <c r="A82" s="2" t="inlineStr">
        <is>
          <t>jeminise.com+custom-soccer-ball-with-number-07-comforter-set-machine-w-design-17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IF(B82="I1",AVERAGEIF('QA_Images'!$A$2:$A$78,A82,'QA_Images'!$R$2:$R$78)/100,IF(D82="FULL",1,IF(D82="PARTIAL",0.5,IF(D82="FAIL",0,""))))</f>
        <v/>
      </c>
      <c r="F82" s="5">
        <f>IF(E82="",0,C82*E82)</f>
        <v/>
      </c>
      <c r="G82" s="5">
        <f>IF(B82="I1",20*AVERAGEIF('QA_Images'!$A$2:$A$78,A82,'QA_Images'!$S$2:$S$78)/100,IF(D82="NOT_CHECKED",0,C82))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["evidence_batch_011_108", "https://jeminise.com/products/custom-soccer-ball-with-number-07-comforter-set-machine-w-design-17", "serp_qa_batch_011_r4_108_1", "serp_qa_batch_011_r4_108_2"]</t>
        </is>
      </c>
      <c r="J82" s="2" t="inlineStr">
        <is>
          <t>["B11R4-MIN-008"]</t>
        </is>
      </c>
    </row>
    <row r="83" ht="42" customHeight="1">
      <c r="A83" s="3" t="inlineStr">
        <is>
          <t>jeminise.com+custom-soccer-ball-with-number-07-comforter-set-machine-w-design-17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IF(B83="I1",AVERAGEIF('QA_Images'!$A$2:$A$78,A83,'QA_Images'!$R$2:$R$78)/100,IF(D83="FULL",1,IF(D83="PARTIAL",0.5,IF(D83="FAIL",0,""))))</f>
        <v/>
      </c>
      <c r="F83" s="7">
        <f>IF(E83="",0,C83*E83)</f>
        <v/>
      </c>
      <c r="G83" s="7">
        <f>IF(B83="I1",20*AVERAGEIF('QA_Images'!$A$2:$A$78,A83,'QA_Images'!$S$2:$S$78)/100,IF(D83="NOT_CHECKED",0,C83))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["evidence_batch_011_108", "https://jeminise.com/products/custom-soccer-ball-with-number-07-comforter-set-machine-w-design-17", "serp_qa_batch_011_r4_108_1", "serp_qa_batch_011_r4_108_2"]</t>
        </is>
      </c>
      <c r="J83" s="3" t="inlineStr">
        <is>
          <t>[]</t>
        </is>
      </c>
    </row>
    <row r="84" ht="42" customHeight="1">
      <c r="A84" s="2" t="inlineStr">
        <is>
          <t>jeminise.com+custom-soccer-ball-with-number-07-comforter-set-machine-w-design-17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IF(B84="I1",AVERAGEIF('QA_Images'!$A$2:$A$78,A84,'QA_Images'!$R$2:$R$78)/100,IF(D84="FULL",1,IF(D84="PARTIAL",0.5,IF(D84="FAIL",0,""))))</f>
        <v/>
      </c>
      <c r="F84" s="5">
        <f>IF(E84="",0,C84*E84)</f>
        <v/>
      </c>
      <c r="G84" s="5">
        <f>IF(B84="I1",20*AVERAGEIF('QA_Images'!$A$2:$A$78,A84,'QA_Images'!$S$2:$S$78)/100,IF(D84="NOT_CHECKED",0,C84))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["evidence_batch_011_108", "https://jeminise.com/products/custom-soccer-ball-with-number-07-comforter-set-machine-w-design-17"]</t>
        </is>
      </c>
      <c r="J84" s="2" t="inlineStr">
        <is>
          <t>[]</t>
        </is>
      </c>
    </row>
    <row r="85" ht="42" customHeight="1">
      <c r="A85" s="3" t="inlineStr">
        <is>
          <t>jeminise.com+custom-soccer-ball-with-number-07-comforter-set-machine-w-design-17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IF(B85="I1",AVERAGEIF('QA_Images'!$A$2:$A$78,A85,'QA_Images'!$R$2:$R$78)/100,IF(D85="FULL",1,IF(D85="PARTIAL",0.5,IF(D85="FAIL",0,""))))</f>
        <v/>
      </c>
      <c r="F85" s="7">
        <f>IF(E85="",0,C85*E85)</f>
        <v/>
      </c>
      <c r="G85" s="7">
        <f>IF(B85="I1",20*AVERAGEIF('QA_Images'!$A$2:$A$78,A85,'QA_Images'!$S$2:$S$78)/100,IF(D85="NOT_CHECKED",0,C85))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["evidence_batch_011_108", "https://jeminise.com/products/custom-soccer-ball-with-number-07-comforter-set-machine-w-design-17"]</t>
        </is>
      </c>
      <c r="J85" s="3" t="inlineStr">
        <is>
          <t>[]</t>
        </is>
      </c>
    </row>
    <row r="86" ht="42" customHeight="1">
      <c r="A86" s="2" t="inlineStr">
        <is>
          <t>jeminise.com+custom-soccer-ball-with-number-07-comforter-set-machine-w-design-17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IF(B86="I1",AVERAGEIF('QA_Images'!$A$2:$A$78,A86,'QA_Images'!$R$2:$R$78)/100,IF(D86="FULL",1,IF(D86="PARTIAL",0.5,IF(D86="FAIL",0,""))))</f>
        <v/>
      </c>
      <c r="F86" s="5">
        <f>IF(E86="",0,C86*E86)</f>
        <v/>
      </c>
      <c r="G86" s="5">
        <f>IF(B86="I1",20*AVERAGEIF('QA_Images'!$A$2:$A$78,A86,'QA_Images'!$S$2:$S$78)/100,IF(D86="NOT_CHECKED",0,C86))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["evidence_batch_011_108", "https://jeminise.com/products/custom-soccer-ball-with-number-07-comforter-set-machine-w-design-17"]</t>
        </is>
      </c>
      <c r="J86" s="2" t="inlineStr">
        <is>
          <t>[]</t>
        </is>
      </c>
    </row>
    <row r="87" ht="42" customHeight="1">
      <c r="A87" s="3" t="inlineStr">
        <is>
          <t>jeminise.com+custom-soccer-ball-with-number-07-comforter-set-machine-w-design-17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IF(B87="I1",AVERAGEIF('QA_Images'!$A$2:$A$78,A87,'QA_Images'!$R$2:$R$78)/100,IF(D87="FULL",1,IF(D87="PARTIAL",0.5,IF(D87="FAIL",0,""))))</f>
        <v/>
      </c>
      <c r="F87" s="7">
        <f>IF(E87="",0,C87*E87)</f>
        <v/>
      </c>
      <c r="G87" s="7">
        <f>IF(B87="I1",20*AVERAGEIF('QA_Images'!$A$2:$A$78,A87,'QA_Images'!$S$2:$S$78)/100,IF(D87="NOT_CHECKED",0,C87))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["evidence_batch_011_108", "https://jeminise.com/products/custom-soccer-ball-with-number-07-comforter-set-machine-w-design-17"]</t>
        </is>
      </c>
      <c r="J87" s="3" t="inlineStr">
        <is>
          <t>["B11R4-MIN-008"]</t>
        </is>
      </c>
    </row>
    <row r="88" ht="42" customHeight="1">
      <c r="A88" s="2" t="inlineStr">
        <is>
          <t>jeminise.com+custom-soccer-ball-with-number-07-comforter-set-machine-w-design-17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IF(B88="I1",AVERAGEIF('QA_Images'!$A$2:$A$78,A88,'QA_Images'!$R$2:$R$78)/100,IF(D88="FULL",1,IF(D88="PARTIAL",0.5,IF(D88="FAIL",0,""))))</f>
        <v/>
      </c>
      <c r="F88" s="5">
        <f>IF(E88="",0,C88*E88)</f>
        <v/>
      </c>
      <c r="G88" s="5">
        <f>IF(B88="I1",20*AVERAGEIF('QA_Images'!$A$2:$A$78,A88,'QA_Images'!$S$2:$S$78)/100,IF(D88="NOT_CHECKED",0,C88))</f>
        <v/>
      </c>
      <c r="H88" s="2" t="inlineStr">
        <is>
          <t>Derived from 8 QA_Images rows for this product; average image score 100/100.</t>
        </is>
      </c>
      <c r="I88" s="2" t="inlineStr">
        <is>
          <t>["QA_Images", "evidence_batch_011_108"]</t>
        </is>
      </c>
      <c r="J88" s="2" t="inlineStr">
        <is>
          <t>[]</t>
        </is>
      </c>
    </row>
    <row r="89" ht="42" customHeight="1">
      <c r="A89" s="3" t="inlineStr">
        <is>
          <t>jeminise.com+custom-soccer-ball-with-number-07-comforter-set-machine-w-design-17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IF(B89="I1",AVERAGEIF('QA_Images'!$A$2:$A$78,A89,'QA_Images'!$R$2:$R$78)/100,IF(D89="FULL",1,IF(D89="PARTIAL",0.5,IF(D89="FAIL",0,""))))</f>
        <v/>
      </c>
      <c r="F89" s="7">
        <f>IF(E89="",0,C89*E89)</f>
        <v/>
      </c>
      <c r="G89" s="7">
        <f>IF(B89="I1",20*AVERAGEIF('QA_Images'!$A$2:$A$78,A89,'QA_Images'!$S$2:$S$78)/100,IF(D89="NOT_CHECKED",0,C89))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["evidence_batch_011_108", "https://jeminise.com/products/custom-soccer-ball-with-number-07-comforter-set-machine-w-design-17"]</t>
        </is>
      </c>
      <c r="J89" s="3" t="inlineStr">
        <is>
          <t>[]</t>
        </is>
      </c>
    </row>
    <row r="90" ht="42" customHeight="1">
      <c r="A90" s="2" t="inlineStr">
        <is>
          <t>jeminise.com+custom-soccer-goal-splash-bedding-comforter-set-machine-washable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IF(B90="I1",AVERAGEIF('QA_Images'!$A$2:$A$78,A90,'QA_Images'!$R$2:$R$78)/100,IF(D90="FULL",1,IF(D90="PARTIAL",0.5,IF(D90="FAIL",0,""))))</f>
        <v/>
      </c>
      <c r="F90" s="5">
        <f>IF(E90="",0,C90*E90)</f>
        <v/>
      </c>
      <c r="G90" s="5">
        <f>IF(B90="I1",20*AVERAGEIF('QA_Images'!$A$2:$A$78,A90,'QA_Images'!$S$2:$S$78)/100,IF(D90="NOT_CHECKED",0,C90))</f>
        <v/>
      </c>
      <c r="H90" s="2" t="inlineStr">
        <is>
          <t>FULL: source workbook, product JSON and direct image checks support the product identity; verified motif: James green soccer goal comforter with sample name and green goal artwork.</t>
        </is>
      </c>
      <c r="I90" s="2" t="inlineStr">
        <is>
          <t>["evidence_batch_011_109", "https://jeminise.com/products/custom-soccer-goal-splash-bedding-comforter-set-machine-washable"]</t>
        </is>
      </c>
      <c r="J90" s="2" t="inlineStr">
        <is>
          <t>[]</t>
        </is>
      </c>
    </row>
    <row r="91" ht="42" customHeight="1">
      <c r="A91" s="3" t="inlineStr">
        <is>
          <t>jeminise.com+custom-soccer-goal-splash-bedding-comforter-set-machine-washable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IF(B91="I1",AVERAGEIF('QA_Images'!$A$2:$A$78,A91,'QA_Images'!$R$2:$R$78)/100,IF(D91="FULL",1,IF(D91="PARTIAL",0.5,IF(D91="FAIL",0,""))))</f>
        <v/>
      </c>
      <c r="F91" s="7">
        <f>IF(E91="",0,C91*E91)</f>
        <v/>
      </c>
      <c r="G91" s="7">
        <f>IF(B91="I1",20*AVERAGEIF('QA_Images'!$A$2:$A$78,A91,'QA_Images'!$S$2:$S$78)/100,IF(D91="NOT_CHECKED",0,C91))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["evidence_batch_011_109", "https://jeminise.com/products/custom-soccer-goal-splash-bedding-comforter-set-machine-washable",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jeminise.com+custom-soccer-goal-splash-bedding-comforter-set-machine-washable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IF(B92="I1",AVERAGEIF('QA_Images'!$A$2:$A$78,A92,'QA_Images'!$R$2:$R$78)/100,IF(D92="FULL",1,IF(D92="PARTIAL",0.5,IF(D92="FAIL",0,""))))</f>
        <v/>
      </c>
      <c r="F92" s="5">
        <f>IF(E92="",0,C92*E92)</f>
        <v/>
      </c>
      <c r="G92" s="5">
        <f>IF(B92="I1",20*AVERAGEIF('QA_Images'!$A$2:$A$78,A92,'QA_Images'!$S$2:$S$78)/100,IF(D92="NOT_CHECKED",0,C92))</f>
        <v/>
      </c>
      <c r="H92" s="2" t="inlineStr">
        <is>
          <t>PARTIAL: primary keyword 'James green soccer goal comforter' was checked against this product's own US/English SERP; partial means the exact phrase is niche or sample-name driven.</t>
        </is>
      </c>
      <c r="I92" s="2" t="inlineStr">
        <is>
          <t>["evidence_batch_011_109", "https://jeminise.com/products/custom-soccer-goal-splash-bedding-comforter-set-machine-washable", "serp_qa_batch_011_r4_109_1", "serp_qa_batch_011_r4_109_2"]</t>
        </is>
      </c>
      <c r="J92" s="2" t="inlineStr">
        <is>
          <t>["B11R4-MIN-009"]</t>
        </is>
      </c>
    </row>
    <row r="93" ht="42" customHeight="1">
      <c r="A93" s="3" t="inlineStr">
        <is>
          <t>jeminise.com+custom-soccer-goal-splash-bedding-comforter-set-machine-washable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IF(B93="I1",AVERAGEIF('QA_Images'!$A$2:$A$78,A93,'QA_Images'!$R$2:$R$78)/100,IF(D93="FULL",1,IF(D93="PARTIAL",0.5,IF(D93="FAIL",0,""))))</f>
        <v/>
      </c>
      <c r="F93" s="7">
        <f>IF(E93="",0,C93*E93)</f>
        <v/>
      </c>
      <c r="G93" s="7">
        <f>IF(B93="I1",20*AVERAGEIF('QA_Images'!$A$2:$A$78,A93,'QA_Images'!$S$2:$S$78)/100,IF(D93="NOT_CHECKED",0,C93))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["evidence_batch_011_109", "https://jeminise.com/products/custom-soccer-goal-splash-bedding-comforter-set-machine-washable", "serp_qa_batch_011_r4_109_1", "serp_qa_batch_011_r4_109_2"]</t>
        </is>
      </c>
      <c r="J93" s="3" t="inlineStr">
        <is>
          <t>["B11R4-MIN-009"]</t>
        </is>
      </c>
    </row>
    <row r="94" ht="42" customHeight="1">
      <c r="A94" s="2" t="inlineStr">
        <is>
          <t>jeminise.com+custom-soccer-goal-splash-bedding-comforter-set-machine-washable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IF(B94="I1",AVERAGEIF('QA_Images'!$A$2:$A$78,A94,'QA_Images'!$R$2:$R$78)/100,IF(D94="FULL",1,IF(D94="PARTIAL",0.5,IF(D94="FAIL",0,""))))</f>
        <v/>
      </c>
      <c r="F94" s="5">
        <f>IF(E94="",0,C94*E94)</f>
        <v/>
      </c>
      <c r="G94" s="5">
        <f>IF(B94="I1",20*AVERAGEIF('QA_Images'!$A$2:$A$78,A94,'QA_Images'!$S$2:$S$78)/100,IF(D94="NOT_CHECKED",0,C94))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["evidence_batch_011_109", "https://jeminise.com/products/custom-soccer-goal-splash-bedding-comforter-set-machine-washable", "serp_qa_batch_011_r4_109_1", "serp_qa_batch_011_r4_109_2"]</t>
        </is>
      </c>
      <c r="J94" s="2" t="inlineStr">
        <is>
          <t>[]</t>
        </is>
      </c>
    </row>
    <row r="95" ht="42" customHeight="1">
      <c r="A95" s="3" t="inlineStr">
        <is>
          <t>jeminise.com+custom-soccer-goal-splash-bedding-comforter-set-machine-washable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IF(B95="I1",AVERAGEIF('QA_Images'!$A$2:$A$78,A95,'QA_Images'!$R$2:$R$78)/100,IF(D95="FULL",1,IF(D95="PARTIAL",0.5,IF(D95="FAIL",0,""))))</f>
        <v/>
      </c>
      <c r="F95" s="7">
        <f>IF(E95="",0,C95*E95)</f>
        <v/>
      </c>
      <c r="G95" s="7">
        <f>IF(B95="I1",20*AVERAGEIF('QA_Images'!$A$2:$A$78,A95,'QA_Images'!$S$2:$S$78)/100,IF(D95="NOT_CHECKED",0,C95))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["evidence_batch_011_109", "https://jeminise.com/products/custom-soccer-goal-splash-bedding-comforter-set-machine-washable"]</t>
        </is>
      </c>
      <c r="J95" s="3" t="inlineStr">
        <is>
          <t>[]</t>
        </is>
      </c>
    </row>
    <row r="96" ht="42" customHeight="1">
      <c r="A96" s="2" t="inlineStr">
        <is>
          <t>jeminise.com+custom-soccer-goal-splash-bedding-comforter-set-machine-washable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IF(B96="I1",AVERAGEIF('QA_Images'!$A$2:$A$78,A96,'QA_Images'!$R$2:$R$78)/100,IF(D96="FULL",1,IF(D96="PARTIAL",0.5,IF(D96="FAIL",0,""))))</f>
        <v/>
      </c>
      <c r="F96" s="5">
        <f>IF(E96="",0,C96*E96)</f>
        <v/>
      </c>
      <c r="G96" s="5">
        <f>IF(B96="I1",20*AVERAGEIF('QA_Images'!$A$2:$A$78,A96,'QA_Images'!$S$2:$S$78)/100,IF(D96="NOT_CHECKED",0,C96))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["evidence_batch_011_109", "https://jeminise.com/products/custom-soccer-goal-splash-bedding-comforter-set-machine-washable"]</t>
        </is>
      </c>
      <c r="J96" s="2" t="inlineStr">
        <is>
          <t>[]</t>
        </is>
      </c>
    </row>
    <row r="97" ht="42" customHeight="1">
      <c r="A97" s="3" t="inlineStr">
        <is>
          <t>jeminise.com+custom-soccer-goal-splash-bedding-comforter-set-machine-washable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IF(B97="I1",AVERAGEIF('QA_Images'!$A$2:$A$78,A97,'QA_Images'!$R$2:$R$78)/100,IF(D97="FULL",1,IF(D97="PARTIAL",0.5,IF(D97="FAIL",0,""))))</f>
        <v/>
      </c>
      <c r="F97" s="7">
        <f>IF(E97="",0,C97*E97)</f>
        <v/>
      </c>
      <c r="G97" s="7">
        <f>IF(B97="I1",20*AVERAGEIF('QA_Images'!$A$2:$A$78,A97,'QA_Images'!$S$2:$S$78)/100,IF(D97="NOT_CHECKED",0,C97))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["evidence_batch_011_109", "https://jeminise.com/products/custom-soccer-goal-splash-bedding-comforter-set-machine-washable"]</t>
        </is>
      </c>
      <c r="J97" s="3" t="inlineStr">
        <is>
          <t>[]</t>
        </is>
      </c>
    </row>
    <row r="98" ht="42" customHeight="1">
      <c r="A98" s="2" t="inlineStr">
        <is>
          <t>jeminise.com+custom-soccer-goal-splash-bedding-comforter-set-machine-washable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IF(B98="I1",AVERAGEIF('QA_Images'!$A$2:$A$78,A98,'QA_Images'!$R$2:$R$78)/100,IF(D98="FULL",1,IF(D98="PARTIAL",0.5,IF(D98="FAIL",0,""))))</f>
        <v/>
      </c>
      <c r="F98" s="5">
        <f>IF(E98="",0,C98*E98)</f>
        <v/>
      </c>
      <c r="G98" s="5">
        <f>IF(B98="I1",20*AVERAGEIF('QA_Images'!$A$2:$A$78,A98,'QA_Images'!$S$2:$S$78)/100,IF(D98="NOT_CHECKED",0,C98))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["evidence_batch_011_109", "https://jeminise.com/products/custom-soccer-goal-splash-bedding-comforter-set-machine-washable"]</t>
        </is>
      </c>
      <c r="J98" s="2" t="inlineStr">
        <is>
          <t>["B11R4-MIN-009"]</t>
        </is>
      </c>
    </row>
    <row r="99" ht="42" customHeight="1">
      <c r="A99" s="3" t="inlineStr">
        <is>
          <t>jeminise.com+custom-soccer-goal-splash-bedding-comforter-set-machine-washable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IF(B99="I1",AVERAGEIF('QA_Images'!$A$2:$A$78,A99,'QA_Images'!$R$2:$R$78)/100,IF(D99="FULL",1,IF(D99="PARTIAL",0.5,IF(D99="FAIL",0,""))))</f>
        <v/>
      </c>
      <c r="F99" s="7">
        <f>IF(E99="",0,C99*E99)</f>
        <v/>
      </c>
      <c r="G99" s="7">
        <f>IF(B99="I1",20*AVERAGEIF('QA_Images'!$A$2:$A$78,A99,'QA_Images'!$S$2:$S$78)/100,IF(D99="NOT_CHECKED",0,C99))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"evidence_batch_011_109"]</t>
        </is>
      </c>
      <c r="J99" s="3" t="inlineStr">
        <is>
          <t>[]</t>
        </is>
      </c>
    </row>
    <row r="100" ht="42" customHeight="1">
      <c r="A100" s="2" t="inlineStr">
        <is>
          <t>jeminise.com+custom-soccer-goal-splash-bedding-comforter-set-machine-washable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IF(B100="I1",AVERAGEIF('QA_Images'!$A$2:$A$78,A100,'QA_Images'!$R$2:$R$78)/100,IF(D100="FULL",1,IF(D100="PARTIAL",0.5,IF(D100="FAIL",0,""))))</f>
        <v/>
      </c>
      <c r="F100" s="5">
        <f>IF(E100="",0,C100*E100)</f>
        <v/>
      </c>
      <c r="G100" s="5">
        <f>IF(B100="I1",20*AVERAGEIF('QA_Images'!$A$2:$A$78,A100,'QA_Images'!$S$2:$S$78)/100,IF(D100="NOT_CHECKED",0,C100))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["evidence_batch_011_109", "https://jeminise.com/products/custom-soccer-goal-splash-bedding-comforter-set-machine-washable"]</t>
        </is>
      </c>
      <c r="J100" s="2" t="inlineStr">
        <is>
          <t>[]</t>
        </is>
      </c>
    </row>
    <row r="101" ht="42" customHeight="1">
      <c r="A101" s="3" t="inlineStr">
        <is>
          <t>jeminise.com+custom-soccer-net-with-number-07-comforter-set-machine-washable-a7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IF(B101="I1",AVERAGEIF('QA_Images'!$A$2:$A$78,A101,'QA_Images'!$R$2:$R$78)/100,IF(D101="FULL",1,IF(D101="PARTIAL",0.5,IF(D101="FAIL",0,""))))</f>
        <v/>
      </c>
      <c r="F101" s="7">
        <f>IF(E101="",0,C101*E101)</f>
        <v/>
      </c>
      <c r="G101" s="7">
        <f>IF(B101="I1",20*AVERAGEIF('QA_Images'!$A$2:$A$78,A101,'QA_Images'!$S$2:$S$78)/100,IF(D101="NOT_CHECKED",0,C101))</f>
        <v/>
      </c>
      <c r="H101" s="3" t="inlineStr">
        <is>
          <t>FULL: source workbook, product JSON and direct image checks support the product identity; verified motif: Kenzo black soccer net comforter with sample name and black soccer net motif.</t>
        </is>
      </c>
      <c r="I101" s="3" t="inlineStr">
        <is>
          <t>["evidence_batch_011_110", "https://jeminise.com/products/custom-soccer-net-with-number-07-comforter-set-machine-washable-a7"]</t>
        </is>
      </c>
      <c r="J101" s="3" t="inlineStr">
        <is>
          <t>[]</t>
        </is>
      </c>
    </row>
    <row r="102" ht="42" customHeight="1">
      <c r="A102" s="2" t="inlineStr">
        <is>
          <t>jeminise.com+custom-soccer-net-with-number-07-comforter-set-machine-washable-a7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IF(B102="I1",AVERAGEIF('QA_Images'!$A$2:$A$78,A102,'QA_Images'!$R$2:$R$78)/100,IF(D102="FULL",1,IF(D102="PARTIAL",0.5,IF(D102="FAIL",0,""))))</f>
        <v/>
      </c>
      <c r="F102" s="5">
        <f>IF(E102="",0,C102*E102)</f>
        <v/>
      </c>
      <c r="G102" s="5">
        <f>IF(B102="I1",20*AVERAGEIF('QA_Images'!$A$2:$A$78,A102,'QA_Images'!$S$2:$S$78)/100,IF(D102="NOT_CHECKED",0,C102))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["evidence_batch_011_110", "https://jeminise.com/products/custom-soccer-net-with-number-07-comforter-set-machine-washable-a7",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jeminise.com+custom-soccer-net-with-number-07-comforter-set-machine-washable-a7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IF(B103="I1",AVERAGEIF('QA_Images'!$A$2:$A$78,A103,'QA_Images'!$R$2:$R$78)/100,IF(D103="FULL",1,IF(D103="PARTIAL",0.5,IF(D103="FAIL",0,""))))</f>
        <v/>
      </c>
      <c r="F103" s="7">
        <f>IF(E103="",0,C103*E103)</f>
        <v/>
      </c>
      <c r="G103" s="7">
        <f>IF(B103="I1",20*AVERAGEIF('QA_Images'!$A$2:$A$78,A103,'QA_Images'!$S$2:$S$78)/100,IF(D103="NOT_CHECKED",0,C103))</f>
        <v/>
      </c>
      <c r="H103" s="3" t="inlineStr">
        <is>
          <t>PARTIAL: primary keyword 'Kenzo black soccer net comforter' was checked against this product's own US/English SERP; partial means the exact phrase is niche or sample-name driven.</t>
        </is>
      </c>
      <c r="I103" s="3" t="inlineStr">
        <is>
          <t>["evidence_batch_011_110", "https://jeminise.com/products/custom-soccer-net-with-number-07-comforter-set-machine-washable-a7", "serp_qa_batch_011_r4_110_1", "serp_qa_batch_011_r4_110_2"]</t>
        </is>
      </c>
      <c r="J103" s="3" t="inlineStr">
        <is>
          <t>["B11R4-MIN-010"]</t>
        </is>
      </c>
    </row>
    <row r="104" ht="42" customHeight="1">
      <c r="A104" s="2" t="inlineStr">
        <is>
          <t>jeminise.com+custom-soccer-net-with-number-07-comforter-set-machine-washable-a7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IF(B104="I1",AVERAGEIF('QA_Images'!$A$2:$A$78,A104,'QA_Images'!$R$2:$R$78)/100,IF(D104="FULL",1,IF(D104="PARTIAL",0.5,IF(D104="FAIL",0,""))))</f>
        <v/>
      </c>
      <c r="F104" s="5">
        <f>IF(E104="",0,C104*E104)</f>
        <v/>
      </c>
      <c r="G104" s="5">
        <f>IF(B104="I1",20*AVERAGEIF('QA_Images'!$A$2:$A$78,A104,'QA_Images'!$S$2:$S$78)/100,IF(D104="NOT_CHECKED",0,C104))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["evidence_batch_011_110", "https://jeminise.com/products/custom-soccer-net-with-number-07-comforter-set-machine-washable-a7", "serp_qa_batch_011_r4_110_1", "serp_qa_batch_011_r4_110_2"]</t>
        </is>
      </c>
      <c r="J104" s="2" t="inlineStr">
        <is>
          <t>["B11R4-MIN-010"]</t>
        </is>
      </c>
    </row>
    <row r="105" ht="42" customHeight="1">
      <c r="A105" s="3" t="inlineStr">
        <is>
          <t>jeminise.com+custom-soccer-net-with-number-07-comforter-set-machine-washable-a7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IF(B105="I1",AVERAGEIF('QA_Images'!$A$2:$A$78,A105,'QA_Images'!$R$2:$R$78)/100,IF(D105="FULL",1,IF(D105="PARTIAL",0.5,IF(D105="FAIL",0,""))))</f>
        <v/>
      </c>
      <c r="F105" s="7">
        <f>IF(E105="",0,C105*E105)</f>
        <v/>
      </c>
      <c r="G105" s="7">
        <f>IF(B105="I1",20*AVERAGEIF('QA_Images'!$A$2:$A$78,A105,'QA_Images'!$S$2:$S$78)/100,IF(D105="NOT_CHECKED",0,C105))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["evidence_batch_011_110", "https://jeminise.com/products/custom-soccer-net-with-number-07-comforter-set-machine-washable-a7", "serp_qa_batch_011_r4_110_1", "serp_qa_batch_011_r4_110_2"]</t>
        </is>
      </c>
      <c r="J105" s="3" t="inlineStr">
        <is>
          <t>[]</t>
        </is>
      </c>
    </row>
    <row r="106" ht="42" customHeight="1">
      <c r="A106" s="2" t="inlineStr">
        <is>
          <t>jeminise.com+custom-soccer-net-with-number-07-comforter-set-machine-washable-a7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IF(B106="I1",AVERAGEIF('QA_Images'!$A$2:$A$78,A106,'QA_Images'!$R$2:$R$78)/100,IF(D106="FULL",1,IF(D106="PARTIAL",0.5,IF(D106="FAIL",0,""))))</f>
        <v/>
      </c>
      <c r="F106" s="5">
        <f>IF(E106="",0,C106*E106)</f>
        <v/>
      </c>
      <c r="G106" s="5">
        <f>IF(B106="I1",20*AVERAGEIF('QA_Images'!$A$2:$A$78,A106,'QA_Images'!$S$2:$S$78)/100,IF(D106="NOT_CHECKED",0,C106))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["evidence_batch_011_110", "https://jeminise.com/products/custom-soccer-net-with-number-07-comforter-set-machine-washable-a7"]</t>
        </is>
      </c>
      <c r="J106" s="2" t="inlineStr">
        <is>
          <t>[]</t>
        </is>
      </c>
    </row>
    <row r="107" ht="42" customHeight="1">
      <c r="A107" s="3" t="inlineStr">
        <is>
          <t>jeminise.com+custom-soccer-net-with-number-07-comforter-set-machine-washable-a7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IF(B107="I1",AVERAGEIF('QA_Images'!$A$2:$A$78,A107,'QA_Images'!$R$2:$R$78)/100,IF(D107="FULL",1,IF(D107="PARTIAL",0.5,IF(D107="FAIL",0,""))))</f>
        <v/>
      </c>
      <c r="F107" s="7">
        <f>IF(E107="",0,C107*E107)</f>
        <v/>
      </c>
      <c r="G107" s="7">
        <f>IF(B107="I1",20*AVERAGEIF('QA_Images'!$A$2:$A$78,A107,'QA_Images'!$S$2:$S$78)/100,IF(D107="NOT_CHECKED",0,C107))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["evidence_batch_011_110", "https://jeminise.com/products/custom-soccer-net-with-number-07-comforter-set-machine-washable-a7"]</t>
        </is>
      </c>
      <c r="J107" s="3" t="inlineStr">
        <is>
          <t>[]</t>
        </is>
      </c>
    </row>
    <row r="108" ht="42" customHeight="1">
      <c r="A108" s="2" t="inlineStr">
        <is>
          <t>jeminise.com+custom-soccer-net-with-number-07-comforter-set-machine-washable-a7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IF(B108="I1",AVERAGEIF('QA_Images'!$A$2:$A$78,A108,'QA_Images'!$R$2:$R$78)/100,IF(D108="FULL",1,IF(D108="PARTIAL",0.5,IF(D108="FAIL",0,""))))</f>
        <v/>
      </c>
      <c r="F108" s="5">
        <f>IF(E108="",0,C108*E108)</f>
        <v/>
      </c>
      <c r="G108" s="5">
        <f>IF(B108="I1",20*AVERAGEIF('QA_Images'!$A$2:$A$78,A108,'QA_Images'!$S$2:$S$78)/100,IF(D108="NOT_CHECKED",0,C108))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["evidence_batch_011_110", "https://jeminise.com/products/custom-soccer-net-with-number-07-comforter-set-machine-washable-a7"]</t>
        </is>
      </c>
      <c r="J108" s="2" t="inlineStr">
        <is>
          <t>[]</t>
        </is>
      </c>
    </row>
    <row r="109" ht="42" customHeight="1">
      <c r="A109" s="3" t="inlineStr">
        <is>
          <t>jeminise.com+custom-soccer-net-with-number-07-comforter-set-machine-washable-a7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IF(B109="I1",AVERAGEIF('QA_Images'!$A$2:$A$78,A109,'QA_Images'!$R$2:$R$78)/100,IF(D109="FULL",1,IF(D109="PARTIAL",0.5,IF(D109="FAIL",0,""))))</f>
        <v/>
      </c>
      <c r="F109" s="7">
        <f>IF(E109="",0,C109*E109)</f>
        <v/>
      </c>
      <c r="G109" s="7">
        <f>IF(B109="I1",20*AVERAGEIF('QA_Images'!$A$2:$A$78,A109,'QA_Images'!$S$2:$S$78)/100,IF(D109="NOT_CHECKED",0,C109))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["evidence_batch_011_110", "https://jeminise.com/products/custom-soccer-net-with-number-07-comforter-set-machine-washable-a7"]</t>
        </is>
      </c>
      <c r="J109" s="3" t="inlineStr">
        <is>
          <t>["B11R4-MIN-010"]</t>
        </is>
      </c>
    </row>
    <row r="110" ht="42" customHeight="1">
      <c r="A110" s="2" t="inlineStr">
        <is>
          <t>jeminise.com+custom-soccer-net-with-number-07-comforter-set-machine-washable-a7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IF(B110="I1",AVERAGEIF('QA_Images'!$A$2:$A$78,A110,'QA_Images'!$R$2:$R$78)/100,IF(D110="FULL",1,IF(D110="PARTIAL",0.5,IF(D110="FAIL",0,""))))</f>
        <v/>
      </c>
      <c r="F110" s="5">
        <f>IF(E110="",0,C110*E110)</f>
        <v/>
      </c>
      <c r="G110" s="5">
        <f>IF(B110="I1",20*AVERAGEIF('QA_Images'!$A$2:$A$78,A110,'QA_Images'!$S$2:$S$78)/100,IF(D110="NOT_CHECKED",0,C110))</f>
        <v/>
      </c>
      <c r="H110" s="2" t="inlineStr">
        <is>
          <t>Derived from 8 QA_Images rows for this product; average image score 100/100.</t>
        </is>
      </c>
      <c r="I110" s="2" t="inlineStr">
        <is>
          <t>["QA_Images", "evidence_batch_011_110"]</t>
        </is>
      </c>
      <c r="J110" s="2" t="inlineStr">
        <is>
          <t>[]</t>
        </is>
      </c>
    </row>
    <row r="111" ht="42" customHeight="1">
      <c r="A111" s="3" t="inlineStr">
        <is>
          <t>jeminise.com+custom-soccer-net-with-number-07-comforter-set-machine-washable-a7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IF(B111="I1",AVERAGEIF('QA_Images'!$A$2:$A$78,A111,'QA_Images'!$R$2:$R$78)/100,IF(D111="FULL",1,IF(D111="PARTIAL",0.5,IF(D111="FAIL",0,""))))</f>
        <v/>
      </c>
      <c r="F111" s="7">
        <f>IF(E111="",0,C111*E111)</f>
        <v/>
      </c>
      <c r="G111" s="7">
        <f>IF(B111="I1",20*AVERAGEIF('QA_Images'!$A$2:$A$78,A111,'QA_Images'!$S$2:$S$78)/100,IF(D111="NOT_CHECKED",0,C111))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["evidence_batch_011_110", "https://jeminise.com/products/custom-soccer-net-with-number-07-comforter-set-machine-washable-a7"]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jeminise.com+custom-semi-truck-with-american-flag-background-comforter-104ae45e5d-104ae45e5d</t>
        </is>
      </c>
      <c r="B2" s="2" t="inlineStr">
        <is>
          <t>qaimg_e09e328eb7b60dc7</t>
        </is>
      </c>
      <c r="C2" s="4" t="inlineStr">
        <is>
          <t>https://cdn.shopify.com/s/files/1/0792/5098/1063/files/3b328383c995be54509b263af54b728aa2e6ffd82467fcae85efb7a7bbc8bbe9.jpg?v=1785132509</t>
        </is>
      </c>
      <c r="D2" s="4" t="inlineStr">
        <is>
          <t>https://cdn.shopify.com/s/files/1/0792/5098/1063/files/3b328383c995be54509b263af54b728aa2e6ffd82467fcae85efb7a7bbc8bbe9.jpg?v=1785132509</t>
        </is>
      </c>
      <c r="E2" s="2" t="inlineStr">
        <is>
          <t>47548693348551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2026-09-09T12:28:05+07:00</t>
        </is>
      </c>
      <c r="J2" s="2" t="inlineStr">
        <is>
          <t>QA opened 101_01.jpg (1000x1000) and checked against workbook observation: Bedroom mockup of red semi truck comforter with American flag ribbons, Keep On Truckin text and YOUR NAME panel.</t>
        </is>
      </c>
      <c r="K2" s="2" t="inlineStr">
        <is>
          <t>Bedroom mockup of red semi truck comforter with American flag ribbons, Keep On Truckin text and YOUR NAME panel.</t>
        </is>
      </c>
      <c r="L2" s="2" t="inlineStr">
        <is>
          <t>SET</t>
        </is>
      </c>
      <c r="M2" s="2" t="inlineStr">
        <is>
          <t>Keep On Truckin red semi truck comforter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["seo_runs\\jeminise.com\\20260906_234129\\qa\\20260909_122805\\images\\101_01.jpg", "https://cdn.shopify.com/s/files/1/0792/5098/1063/files/3b328383c995be54509b263af54b728aa2e6ffd82467fcae85efb7a7bbc8bbe9.jpg?v=1785132509"]</t>
        </is>
      </c>
    </row>
    <row r="3" ht="66" customHeight="1">
      <c r="A3" s="3" t="inlineStr">
        <is>
          <t>jeminise.com+custom-semi-truck-with-american-flag-background-comforter-104ae45e5d-104ae45e5d</t>
        </is>
      </c>
      <c r="B3" s="3" t="inlineStr">
        <is>
          <t>qaimg_8dd39a293bcede30</t>
        </is>
      </c>
      <c r="C3" s="4" t="inlineStr">
        <is>
          <t>https://cdn.shopify.com/s/files/1/0792/5098/1063/files/5a72649f12223279408a8ba4f60e4feccc572655cc0b5fbe85d070d456150657.jpg?v=1785132509</t>
        </is>
      </c>
      <c r="D3" s="4" t="inlineStr">
        <is>
          <t>https://cdn.shopify.com/s/files/1/0792/5098/1063/files/5a72649f12223279408a8ba4f60e4feccc572655cc0b5fbe85d070d456150657.jpg?v=1785132509</t>
        </is>
      </c>
      <c r="E3" s="3" t="inlineStr">
        <is>
          <t>47548693381319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2026-09-09T12:28:05+07:00</t>
        </is>
      </c>
      <c r="J3" s="3" t="inlineStr">
        <is>
          <t>QA opened 101_02.jpg (1000x1000) and checked against workbook observation: Bedroom mockup of red truck flag bedding set with matching shams and folded white top sheet.</t>
        </is>
      </c>
      <c r="K3" s="3" t="inlineStr">
        <is>
          <t>Bedroom mockup of red truck flag bedding set with matching shams and folded white top sheet.</t>
        </is>
      </c>
      <c r="L3" s="3" t="inlineStr">
        <is>
          <t>SET</t>
        </is>
      </c>
      <c r="M3" s="3" t="inlineStr">
        <is>
          <t>Red semi truck flag bedding set with shams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["seo_runs\\jeminise.com\\20260906_234129\\qa\\20260909_122805\\images\\101_02.jpg", "https://cdn.shopify.com/s/files/1/0792/5098/1063/files/5a72649f12223279408a8ba4f60e4feccc572655cc0b5fbe85d070d456150657.jpg?v=1785132509"]</t>
        </is>
      </c>
    </row>
    <row r="4" ht="66" customHeight="1">
      <c r="A4" s="2" t="inlineStr">
        <is>
          <t>jeminise.com+custom-semi-truck-with-american-flag-background-comforter-104ae45e5d-104ae45e5d</t>
        </is>
      </c>
      <c r="B4" s="2" t="inlineStr">
        <is>
          <t>qaimg_38ea89f5c5b4ea3a</t>
        </is>
      </c>
      <c r="C4" s="4" t="inlineStr">
        <is>
          <t>https://cdn.shopify.com/s/files/1/0792/5098/1063/files/16f7293cbefa5743a35b2e6316a5a114e5c052d08151e367dafd26aa5e2e542b_8545ce0e-b9a2-48f6-9d25-38463fc247cf.jpg?v=1785132508</t>
        </is>
      </c>
      <c r="D4" s="4" t="inlineStr">
        <is>
          <t>https://cdn.shopify.com/s/files/1/0792/5098/1063/files/16f7293cbefa5743a35b2e6316a5a114e5c052d08151e367dafd26aa5e2e542b_8545ce0e-b9a2-48f6-9d25-38463fc247cf.jpg?v=1785132508</t>
        </is>
      </c>
      <c r="E4" s="2" t="inlineStr">
        <is>
          <t>47548693414087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2026-09-09T12:28:05+07:00</t>
        </is>
      </c>
      <c r="J4" s="2" t="inlineStr">
        <is>
          <t>QA opened 101_03.jpg (1000x1000) and checked against workbook observation: Comparison panel explaining duvet cover set and comforter set bedding options.</t>
        </is>
      </c>
      <c r="K4" s="2" t="inlineStr">
        <is>
          <t>Comparison panel explaining duvet cover set and comforter set bedding options.</t>
        </is>
      </c>
      <c r="L4" s="2" t="inlineStr">
        <is>
          <t>SET</t>
        </is>
      </c>
      <c r="M4" s="2" t="inlineStr">
        <is>
          <t>Duvet cover and comforter set comparison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["seo_runs\\jeminise.com\\20260906_234129\\qa\\20260909_122805\\images\\101_03.jpg", "https://cdn.shopify.com/s/files/1/0792/5098/1063/files/16f7293cbefa5743a35b2e6316a5a114e5c052d08151e367dafd26aa5e2e542b_8545ce0e-b9a2-48f6-9d25-38463fc247cf.jpg?v=1785132508"]</t>
        </is>
      </c>
    </row>
    <row r="5" ht="66" customHeight="1">
      <c r="A5" s="3" t="inlineStr">
        <is>
          <t>jeminise.com+custom-semi-truck-with-american-flag-background-comforter-104ae45e5d-104ae45e5d</t>
        </is>
      </c>
      <c r="B5" s="3" t="inlineStr">
        <is>
          <t>qaimg_1b5956640af03ae6</t>
        </is>
      </c>
      <c r="C5" s="4" t="inlineStr">
        <is>
          <t>https://cdn.shopify.com/s/files/1/0792/5098/1063/files/acbb169b6180a5d5a284c57047db2a608ed28a3a238e325e3c27fc789a3511cc.jpg?v=1785132509</t>
        </is>
      </c>
      <c r="D5" s="4" t="inlineStr">
        <is>
          <t>https://cdn.shopify.com/s/files/1/0792/5098/1063/files/acbb169b6180a5d5a284c57047db2a608ed28a3a238e325e3c27fc789a3511cc.jpg?v=1785132509</t>
        </is>
      </c>
      <c r="E5" s="3" t="inlineStr">
        <is>
          <t>47548693446855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2026-09-09T12:28:05+07:00</t>
        </is>
      </c>
      <c r="J5" s="3" t="inlineStr">
        <is>
          <t>QA opened 101_04.jpg (1000x1000) and checked against workbook observation: Microfiber feature panel with red semi truck pillow mockup and 3D printed pattern callouts.</t>
        </is>
      </c>
      <c r="K5" s="3" t="inlineStr">
        <is>
          <t>Microfiber feature panel with red semi truck pillow mockup and 3D printed pattern callouts.</t>
        </is>
      </c>
      <c r="L5" s="3" t="inlineStr">
        <is>
          <t>SET</t>
        </is>
      </c>
      <c r="M5" s="3" t="inlineStr">
        <is>
          <t>Red semi truck comforter feature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["seo_runs\\jeminise.com\\20260906_234129\\qa\\20260909_122805\\images\\101_04.jpg", "https://cdn.shopify.com/s/files/1/0792/5098/1063/files/acbb169b6180a5d5a284c57047db2a608ed28a3a238e325e3c27fc789a3511cc.jpg?v=1785132509"]</t>
        </is>
      </c>
    </row>
    <row r="6" ht="66" customHeight="1">
      <c r="A6" s="2" t="inlineStr">
        <is>
          <t>jeminise.com+custom-semi-truck-with-american-flag-background-comforter-104ae45e5d-104ae45e5d</t>
        </is>
      </c>
      <c r="B6" s="2" t="inlineStr">
        <is>
          <t>qaimg_c618e0b15bd0059a</t>
        </is>
      </c>
      <c r="C6" s="4" t="inlineStr">
        <is>
          <t>https://cdn.shopify.com/s/files/1/0792/5098/1063/files/2cf8e8740cc4e9f648f45a3cc8860feca87eed6ed2ebe6db1806a7a72c904174.jpg?v=1785132508</t>
        </is>
      </c>
      <c r="D6" s="4" t="inlineStr">
        <is>
          <t>https://cdn.shopify.com/s/files/1/0792/5098/1063/files/2cf8e8740cc4e9f648f45a3cc8860feca87eed6ed2ebe6db1806a7a72c904174.jpg?v=1785132508</t>
        </is>
      </c>
      <c r="E6" s="2" t="inlineStr">
        <is>
          <t>47548693479623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2026-09-09T12:28:05+07:00</t>
        </is>
      </c>
      <c r="J6" s="2" t="inlineStr">
        <is>
          <t>QA opened 101_05.jpg (1000x1000) and checked against workbook observation: Low-angle red truck bedding mockup with soft, lightweight, durable and breathable icons.</t>
        </is>
      </c>
      <c r="K6" s="2" t="inlineStr">
        <is>
          <t>Low-angle red truck bedding mockup with soft, lightweight, durable and breathable icons.</t>
        </is>
      </c>
      <c r="L6" s="2" t="inlineStr">
        <is>
          <t>SET</t>
        </is>
      </c>
      <c r="M6" s="2" t="inlineStr">
        <is>
          <t>Red truck comforter with feature icons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["seo_runs\\jeminise.com\\20260906_234129\\qa\\20260909_122805\\images\\101_05.jpg", "https://cdn.shopify.com/s/files/1/0792/5098/1063/files/2cf8e8740cc4e9f648f45a3cc8860feca87eed6ed2ebe6db1806a7a72c904174.jpg?v=1785132508"]</t>
        </is>
      </c>
    </row>
    <row r="7" ht="66" customHeight="1">
      <c r="A7" s="3" t="inlineStr">
        <is>
          <t>jeminise.com+custom-semi-truck-with-american-flag-background-comforter-104ae45e5d-104ae45e5d</t>
        </is>
      </c>
      <c r="B7" s="3" t="inlineStr">
        <is>
          <t>qaimg_24de09d3e347439f</t>
        </is>
      </c>
      <c r="C7" s="4" t="inlineStr">
        <is>
          <t>https://cdn.shopify.com/s/files/1/0792/5098/1063/files/7c006bddc94d4763c71c8376307e195c1bbce73b8c802ec73ac5a8cef1291262_848066e2-c73f-4a34-bc01-26c2845f2dd2.jpg?v=1785132508</t>
        </is>
      </c>
      <c r="D7" s="4" t="inlineStr">
        <is>
          <t>https://cdn.shopify.com/s/files/1/0792/5098/1063/files/7c006bddc94d4763c71c8376307e195c1bbce73b8c802ec73ac5a8cef1291262_848066e2-c73f-4a34-bc01-26c2845f2dd2.jpg?v=1785132508</t>
        </is>
      </c>
      <c r="E7" s="3" t="inlineStr">
        <is>
          <t>47548693512391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2026-09-09T12:28:05+07:00</t>
        </is>
      </c>
      <c r="J7" s="3" t="inlineStr">
        <is>
          <t>QA opened 101_06.jpg (1000x1000) and checked against workbook observation: Stress-free easy-care panel listing wrinkle-free, stain-proof, anti-pilling and wash durability.</t>
        </is>
      </c>
      <c r="K7" s="3" t="inlineStr">
        <is>
          <t>Stress-free easy-care panel listing wrinkle-free, stain-proof, anti-pilling and wash durability.</t>
        </is>
      </c>
      <c r="L7" s="3" t="inlineStr">
        <is>
          <t>SET</t>
        </is>
      </c>
      <c r="M7" s="3" t="inlineStr">
        <is>
          <t>Easy care panel for comforter bedding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["seo_runs\\jeminise.com\\20260906_234129\\qa\\20260909_122805\\images\\101_06.jpg", "https://cdn.shopify.com/s/files/1/0792/5098/1063/files/7c006bddc94d4763c71c8376307e195c1bbce73b8c802ec73ac5a8cef1291262_848066e2-c73f-4a34-bc01-26c2845f2dd2.jpg?v=1785132508"]</t>
        </is>
      </c>
    </row>
    <row r="8" ht="66" customHeight="1">
      <c r="A8" s="2" t="inlineStr">
        <is>
          <t>jeminise.com+custom-semi-truck-with-american-flag-background-comforter-104ae45e5d-104ae45e5d</t>
        </is>
      </c>
      <c r="B8" s="2" t="inlineStr">
        <is>
          <t>qaimg_a1301d331f9ff7c8</t>
        </is>
      </c>
      <c r="C8" s="4" t="inlineStr">
        <is>
          <t>https://cdn.shopify.com/s/files/1/0792/5098/1063/files/e5cad84edb4d7bf77c48fd7c8e52eb3b73f04eba8bf177671fd8a059c59422e8_0dcf69cb-e73b-4a03-b131-3b86abcfe91a.jpg?v=1785132508</t>
        </is>
      </c>
      <c r="D8" s="4" t="inlineStr">
        <is>
          <t>https://cdn.shopify.com/s/files/1/0792/5098/1063/files/e5cad84edb4d7bf77c48fd7c8e52eb3b73f04eba8bf177671fd8a059c59422e8_0dcf69cb-e73b-4a03-b131-3b86abcfe91a.jpg?v=1785132508</t>
        </is>
      </c>
      <c r="E8" s="2" t="inlineStr">
        <is>
          <t>47548693545159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2026-09-09T12:28:05+07:00</t>
        </is>
      </c>
      <c r="J8" s="2" t="inlineStr">
        <is>
          <t>QA opened 101_07.jpg (1000x1000) and checked against workbook observation: Size dimension chart showing twin, full, queen and king bedding measurements.</t>
        </is>
      </c>
      <c r="K8" s="2" t="inlineStr">
        <is>
          <t>Size dimension chart showing twin, full, queen and king bedding measurements.</t>
        </is>
      </c>
      <c r="L8" s="2" t="inlineStr">
        <is>
          <t>SET</t>
        </is>
      </c>
      <c r="M8" s="2" t="inlineStr">
        <is>
          <t>Comforter set size dimension chart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["seo_runs\\jeminise.com\\20260906_234129\\qa\\20260909_122805\\images\\101_07.jpg", "https://cdn.shopify.com/s/files/1/0792/5098/1063/files/e5cad84edb4d7bf77c48fd7c8e52eb3b73f04eba8bf177671fd8a059c59422e8_0dcf69cb-e73b-4a03-b131-3b86abcfe91a.jpg?v=1785132508"]</t>
        </is>
      </c>
    </row>
    <row r="9" ht="66" customHeight="1">
      <c r="A9" s="3" t="inlineStr">
        <is>
          <t>jeminise.com+custom-soccer-ball-cleats-personalized-comforter-set-machine-washable</t>
        </is>
      </c>
      <c r="B9" s="3" t="inlineStr">
        <is>
          <t>qaimg_15b59d1483b192e7</t>
        </is>
      </c>
      <c r="C9" s="4" t="inlineStr">
        <is>
          <t>https://cdn.shopify.com/s/files/1/0792/5098/1063/files/3afc018e90ed49ef925c143f160e13a00ecff6c51398c938910988b9aa62eee5.jpg?v=1786611045</t>
        </is>
      </c>
      <c r="D9" s="4" t="inlineStr">
        <is>
          <t>https://cdn.shopify.com/s/files/1/0792/5098/1063/files/3afc018e90ed49ef925c143f160e13a00ecff6c51398c938910988b9aa62eee5.jpg?v=1786611045</t>
        </is>
      </c>
      <c r="E9" s="3" t="inlineStr">
        <is>
          <t>47833444188359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2026-09-09T12:28:05+07:00</t>
        </is>
      </c>
      <c r="J9" s="3" t="inlineStr">
        <is>
          <t>QA opened 102_01.jpg (1000x1000) and checked against workbook observation: Bedroom mockup of grayscale soccer comforter with black cleats, soccer ball, Alexis text and 07 shams.</t>
        </is>
      </c>
      <c r="K9" s="3" t="inlineStr">
        <is>
          <t>Bedroom mockup of grayscale soccer comforter with black cleats, soccer ball, Alexis text and 07 shams.</t>
        </is>
      </c>
      <c r="L9" s="3" t="inlineStr">
        <is>
          <t>SET</t>
        </is>
      </c>
      <c r="M9" s="3" t="inlineStr">
        <is>
          <t>Black soccer cleats comforter with Alexis 07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["seo_runs\\jeminise.com\\20260906_234129\\qa\\20260909_122805\\images\\102_01.jpg", "https://cdn.shopify.com/s/files/1/0792/5098/1063/files/3afc018e90ed49ef925c143f160e13a00ecff6c51398c938910988b9aa62eee5.jpg?v=1786611045"]</t>
        </is>
      </c>
    </row>
    <row r="10" ht="66" customHeight="1">
      <c r="A10" s="2" t="inlineStr">
        <is>
          <t>jeminise.com+custom-soccer-ball-cleats-personalized-comforter-set-machine-washable</t>
        </is>
      </c>
      <c r="B10" s="2" t="inlineStr">
        <is>
          <t>qaimg_c83451a287b7c86a</t>
        </is>
      </c>
      <c r="C10" s="4" t="inlineStr">
        <is>
          <t>https://cdn.shopify.com/s/files/1/0792/5098/1063/files/853d2abb96fc99745b7d0d14923249d8511e73900ecb3d6dd11282145d533cc2.jpg?v=1786611045</t>
        </is>
      </c>
      <c r="D10" s="4" t="inlineStr">
        <is>
          <t>https://cdn.shopify.com/s/files/1/0792/5098/1063/files/853d2abb96fc99745b7d0d14923249d8511e73900ecb3d6dd11282145d533cc2.jpg?v=1786611045</t>
        </is>
      </c>
      <c r="E10" s="2" t="inlineStr">
        <is>
          <t>47833444221127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2026-09-09T12:28:05+07:00</t>
        </is>
      </c>
      <c r="J10" s="2" t="inlineStr">
        <is>
          <t>QA opened 102_02.jpg (1000x1000) and checked against workbook observation: Low-angle grayscale soccer cleats bedding mockup with soft, lightweight, durable and breathable icons.</t>
        </is>
      </c>
      <c r="K10" s="2" t="inlineStr">
        <is>
          <t>Low-angle grayscale soccer cleats bedding mockup with soft, lightweight, durable and breathable icons.</t>
        </is>
      </c>
      <c r="L10" s="2" t="inlineStr">
        <is>
          <t>SET</t>
        </is>
      </c>
      <c r="M10" s="2" t="inlineStr">
        <is>
          <t>Soccer cleats bedding with feature icons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["seo_runs\\jeminise.com\\20260906_234129\\qa\\20260909_122805\\images\\102_02.jpg", "https://cdn.shopify.com/s/files/1/0792/5098/1063/files/853d2abb96fc99745b7d0d14923249d8511e73900ecb3d6dd11282145d533cc2.jpg?v=1786611045"]</t>
        </is>
      </c>
    </row>
    <row r="11" ht="66" customHeight="1">
      <c r="A11" s="3" t="inlineStr">
        <is>
          <t>jeminise.com+custom-soccer-ball-cleats-personalized-comforter-set-machine-washable</t>
        </is>
      </c>
      <c r="B11" s="3" t="inlineStr">
        <is>
          <t>qaimg_1726e96ddab495e9</t>
        </is>
      </c>
      <c r="C11" s="4" t="inlineStr">
        <is>
          <t>https://cdn.shopify.com/s/files/1/0792/5098/1063/files/5362f06de02f8fe4ecf4c49af6b8fbdc72b6839ac032fb1c1d6a0f34181df88d.jpg?v=1786611045</t>
        </is>
      </c>
      <c r="D11" s="4" t="inlineStr">
        <is>
          <t>https://cdn.shopify.com/s/files/1/0792/5098/1063/files/5362f06de02f8fe4ecf4c49af6b8fbdc72b6839ac032fb1c1d6a0f34181df88d.jpg?v=1786611045</t>
        </is>
      </c>
      <c r="E11" s="3" t="inlineStr">
        <is>
          <t>47833444253895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2026-09-09T12:28:05+07:00</t>
        </is>
      </c>
      <c r="J11" s="3" t="inlineStr">
        <is>
          <t>QA opened 102_03.jpg (1000x1000) and checked against workbook observation: Microfiber feature panel with soccer cleats pillow mockup and 3D printed pattern callouts.</t>
        </is>
      </c>
      <c r="K11" s="3" t="inlineStr">
        <is>
          <t>Microfiber feature panel with soccer cleats pillow mockup and 3D printed pattern callouts.</t>
        </is>
      </c>
      <c r="L11" s="3" t="inlineStr">
        <is>
          <t>SET</t>
        </is>
      </c>
      <c r="M11" s="3" t="inlineStr">
        <is>
          <t>Soccer cleats comforter feature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["seo_runs\\jeminise.com\\20260906_234129\\qa\\20260909_122805\\images\\102_03.jpg", "https://cdn.shopify.com/s/files/1/0792/5098/1063/files/5362f06de02f8fe4ecf4c49af6b8fbdc72b6839ac032fb1c1d6a0f34181df88d.jpg?v=1786611045"]</t>
        </is>
      </c>
    </row>
    <row r="12" ht="66" customHeight="1">
      <c r="A12" s="2" t="inlineStr">
        <is>
          <t>jeminise.com+custom-soccer-ball-cleats-personalized-comforter-set-machine-washable</t>
        </is>
      </c>
      <c r="B12" s="2" t="inlineStr">
        <is>
          <t>qaimg_aa04dd24ce082068</t>
        </is>
      </c>
      <c r="C12" s="4" t="inlineStr">
        <is>
          <t>https://cdn.shopify.com/s/files/1/0792/5098/1063/files/0b1d1e19cab6d757366a36700f895ecca060303e705a8aece2f5fa486b6770da_be61eea0-f110-43df-83bb-ae00fb92f24c.jpg?v=1786611045</t>
        </is>
      </c>
      <c r="D12" s="4" t="inlineStr">
        <is>
          <t>https://cdn.shopify.com/s/files/1/0792/5098/1063/files/0b1d1e19cab6d757366a36700f895ecca060303e705a8aece2f5fa486b6770da_be61eea0-f110-43df-83bb-ae00fb92f24c.jpg?v=1786611045</t>
        </is>
      </c>
      <c r="E12" s="2" t="inlineStr">
        <is>
          <t>47833444286663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2026-09-09T12:28:05+07:00</t>
        </is>
      </c>
      <c r="J12" s="2" t="inlineStr">
        <is>
          <t>QA opened 102_04.jpg (1000x1000) and checked against workbook observation: Comparison panel explaining duvet cover set and comforter set bedding options.</t>
        </is>
      </c>
      <c r="K12" s="2" t="inlineStr">
        <is>
          <t>Comparison panel explaining duvet cover set and comforter set bedding options.</t>
        </is>
      </c>
      <c r="L12" s="2" t="inlineStr">
        <is>
          <t>SET</t>
        </is>
      </c>
      <c r="M12" s="2" t="inlineStr">
        <is>
          <t>Duvet cover and comforter set comparison panel for grayscale soccer cleats and ball comforter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["seo_runs\\jeminise.com\\20260906_234129\\qa\\20260909_122805\\images\\102_04.jpg", "https://cdn.shopify.com/s/files/1/0792/5098/1063/files/0b1d1e19cab6d757366a36700f895ecca060303e705a8aece2f5fa486b6770da_be61eea0-f110-43df-83bb-ae00fb92f24c.jpg?v=1786611045"]</t>
        </is>
      </c>
    </row>
    <row r="13" ht="66" customHeight="1">
      <c r="A13" s="3" t="inlineStr">
        <is>
          <t>jeminise.com+custom-soccer-ball-cleats-personalized-comforter-set-machine-washable</t>
        </is>
      </c>
      <c r="B13" s="3" t="inlineStr">
        <is>
          <t>qaimg_067b25ba8e77653d</t>
        </is>
      </c>
      <c r="C13" s="4" t="inlineStr">
        <is>
          <t>https://cdn.shopify.com/s/files/1/0792/5098/1063/files/15f9c4be9f852f86496ec17edfcb3959b6568999d70ef06031f97dfdc4f4e51b.jpg?v=1786611045</t>
        </is>
      </c>
      <c r="D13" s="4" t="inlineStr">
        <is>
          <t>https://cdn.shopify.com/s/files/1/0792/5098/1063/files/15f9c4be9f852f86496ec17edfcb3959b6568999d70ef06031f97dfdc4f4e51b.jpg?v=1786611045</t>
        </is>
      </c>
      <c r="E13" s="3" t="inlineStr">
        <is>
          <t>47833444319431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2026-09-09T12:28:05+07:00</t>
        </is>
      </c>
      <c r="J13" s="3" t="inlineStr">
        <is>
          <t>QA opened 102_05.jpg (1000x1000) and checked against workbook observation: Pillow sham mockup showing black soccer cleats and number 07 on white bedding.</t>
        </is>
      </c>
      <c r="K13" s="3" t="inlineStr">
        <is>
          <t>Pillow sham mockup showing black soccer cleats and number 07 on white bedding.</t>
        </is>
      </c>
      <c r="L13" s="3" t="inlineStr">
        <is>
          <t>SET</t>
        </is>
      </c>
      <c r="M13" s="3" t="inlineStr">
        <is>
          <t>Soccer cleats pillow shams with 07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["seo_runs\\jeminise.com\\20260906_234129\\qa\\20260909_122805\\images\\102_05.jpg", "https://cdn.shopify.com/s/files/1/0792/5098/1063/files/15f9c4be9f852f86496ec17edfcb3959b6568999d70ef06031f97dfdc4f4e51b.jpg?v=1786611045"]</t>
        </is>
      </c>
    </row>
    <row r="14" ht="66" customHeight="1">
      <c r="A14" s="2" t="inlineStr">
        <is>
          <t>jeminise.com+custom-soccer-ball-cleats-personalized-comforter-set-machine-washable</t>
        </is>
      </c>
      <c r="B14" s="2" t="inlineStr">
        <is>
          <t>qaimg_4183ccc7d5d1f4a2</t>
        </is>
      </c>
      <c r="C14" s="4" t="inlineStr">
        <is>
          <t>https://cdn.shopify.com/s/files/1/0792/5098/1063/files/bdd70066a735fd65ca8f22b14e13e7e7d8f1a8473be945bbd71d518ab775916d.jpg?v=1786611045</t>
        </is>
      </c>
      <c r="D14" s="4" t="inlineStr">
        <is>
          <t>https://cdn.shopify.com/s/files/1/0792/5098/1063/files/bdd70066a735fd65ca8f22b14e13e7e7d8f1a8473be945bbd71d518ab775916d.jpg?v=1786611045</t>
        </is>
      </c>
      <c r="E14" s="2" t="inlineStr">
        <is>
          <t>47833444352199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2026-09-09T12:28:05+07:00</t>
        </is>
      </c>
      <c r="J14" s="2" t="inlineStr">
        <is>
          <t>QA opened 102_06.jpg (1000x1000) and checked against workbook observation: Bedroom mockup of grayscale soccer cleats comforter with Alexis text.</t>
        </is>
      </c>
      <c r="K14" s="2" t="inlineStr">
        <is>
          <t>Bedroom mockup of grayscale soccer cleats comforter with Alexis text.</t>
        </is>
      </c>
      <c r="L14" s="2" t="inlineStr">
        <is>
          <t>SET</t>
        </is>
      </c>
      <c r="M14" s="2" t="inlineStr">
        <is>
          <t>Grayscale soccer cleats comforter on bed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["seo_runs\\jeminise.com\\20260906_234129\\qa\\20260909_122805\\images\\102_06.jpg", "https://cdn.shopify.com/s/files/1/0792/5098/1063/files/bdd70066a735fd65ca8f22b14e13e7e7d8f1a8473be945bbd71d518ab775916d.jpg?v=1786611045"]</t>
        </is>
      </c>
    </row>
    <row r="15" ht="66" customHeight="1">
      <c r="A15" s="3" t="inlineStr">
        <is>
          <t>jeminise.com+custom-soccer-ball-cleats-personalized-comforter-set-machine-washable</t>
        </is>
      </c>
      <c r="B15" s="3" t="inlineStr">
        <is>
          <t>qaimg_4dea48c2dc6834da</t>
        </is>
      </c>
      <c r="C15" s="4" t="inlineStr">
        <is>
          <t>https://cdn.shopify.com/s/files/1/0792/5098/1063/files/d761ea3ae4f4c0b26b7473177b21a616c5199552823ec637c64fe7b0d6b0f12f_112bfa92-667b-4b1e-b14e-46ce602ac9ea.jpg?v=1786611045</t>
        </is>
      </c>
      <c r="D15" s="4" t="inlineStr">
        <is>
          <t>https://cdn.shopify.com/s/files/1/0792/5098/1063/files/d761ea3ae4f4c0b26b7473177b21a616c5199552823ec637c64fe7b0d6b0f12f_112bfa92-667b-4b1e-b14e-46ce602ac9ea.jpg?v=1786611045</t>
        </is>
      </c>
      <c r="E15" s="3" t="inlineStr">
        <is>
          <t>47833444384967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2026-09-09T12:28:05+07:00</t>
        </is>
      </c>
      <c r="J15" s="3" t="inlineStr">
        <is>
          <t>QA opened 102_07.jpg (1000x1000) and checked against workbook observation: Size dimension chart showing twin, full, queen and king bedding measurements.</t>
        </is>
      </c>
      <c r="K15" s="3" t="inlineStr">
        <is>
          <t>Size dimension chart showing twin, full, queen and king bedding measurements.</t>
        </is>
      </c>
      <c r="L15" s="3" t="inlineStr">
        <is>
          <t>SET</t>
        </is>
      </c>
      <c r="M15" s="3" t="inlineStr">
        <is>
          <t>Comforter set size dimension chart for grayscale soccer cleats and ball comforter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["seo_runs\\jeminise.com\\20260906_234129\\qa\\20260909_122805\\images\\102_07.jpg", "https://cdn.shopify.com/s/files/1/0792/5098/1063/files/d761ea3ae4f4c0b26b7473177b21a616c5199552823ec637c64fe7b0d6b0f12f_112bfa92-667b-4b1e-b14e-46ce602ac9ea.jpg?v=1786611045"]</t>
        </is>
      </c>
    </row>
    <row r="16" ht="66" customHeight="1">
      <c r="A16" s="2" t="inlineStr">
        <is>
          <t>jeminise.com+custom-soccer-ball-cleats-personalized-comforter-set-machine-washable</t>
        </is>
      </c>
      <c r="B16" s="2" t="inlineStr">
        <is>
          <t>qaimg_879d0c3dbe96d540</t>
        </is>
      </c>
      <c r="C16" s="4" t="inlineStr">
        <is>
          <t>https://cdn.shopify.com/s/files/1/0792/5098/1063/files/dd6b2f75d5d331064be3e2ace151f6872c3f1f67675d8c1c7fa00f207341180b_60f212b7-b79b-45e6-8e22-e0a6a0e3e447.jpg?v=1786611045</t>
        </is>
      </c>
      <c r="D16" s="4" t="inlineStr">
        <is>
          <t>https://cdn.shopify.com/s/files/1/0792/5098/1063/files/dd6b2f75d5d331064be3e2ace151f6872c3f1f67675d8c1c7fa00f207341180b_60f212b7-b79b-45e6-8e22-e0a6a0e3e447.jpg?v=1786611045</t>
        </is>
      </c>
      <c r="E16" s="2" t="inlineStr">
        <is>
          <t>47833444417735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2026-09-09T12:28:05+07:00</t>
        </is>
      </c>
      <c r="J16" s="2" t="inlineStr">
        <is>
          <t>QA opened 102_08.jpg (1000x1000) and checked against workbook observation: Stress-free easy-care panel listing wrinkle-free, stain-proof, anti-pilling and wash durability.</t>
        </is>
      </c>
      <c r="K16" s="2" t="inlineStr">
        <is>
          <t>Stress-free easy-care panel listing wrinkle-free, stain-proof, anti-pilling and wash durability.</t>
        </is>
      </c>
      <c r="L16" s="2" t="inlineStr">
        <is>
          <t>SET</t>
        </is>
      </c>
      <c r="M16" s="2" t="inlineStr">
        <is>
          <t>Easy care panel for comforter bedding for grayscale soccer cleats and ball comforter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["seo_runs\\jeminise.com\\20260906_234129\\qa\\20260909_122805\\images\\102_08.jpg", "https://cdn.shopify.com/s/files/1/0792/5098/1063/files/dd6b2f75d5d331064be3e2ace151f6872c3f1f67675d8c1c7fa00f207341180b_60f212b7-b79b-45e6-8e22-e0a6a0e3e447.jpg?v=1786611045"]</t>
        </is>
      </c>
    </row>
    <row r="17" ht="66" customHeight="1">
      <c r="A17" s="3" t="inlineStr">
        <is>
          <t>jeminise.com+custom-soccer-ball-goal-net-comforter-set-machine-washabl-design-13</t>
        </is>
      </c>
      <c r="B17" s="3" t="inlineStr">
        <is>
          <t>qaimg_9adfa443eba2b61f</t>
        </is>
      </c>
      <c r="C17" s="4" t="inlineStr">
        <is>
          <t>https://cdn.shopify.com/s/files/1/0792/5098/1063/files/e40fbf151dd4e744c6057704570d5d6266da44452209f9c566b1d299ec7ec161.jpg?v=1786610997</t>
        </is>
      </c>
      <c r="D17" s="4" t="inlineStr">
        <is>
          <t>https://cdn.shopify.com/s/files/1/0792/5098/1063/files/e40fbf151dd4e744c6057704570d5d6266da44452209f9c566b1d299ec7ec161.jpg?v=1786610997</t>
        </is>
      </c>
      <c r="E17" s="3" t="inlineStr">
        <is>
          <t>47833433735367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2026-09-09T12:28:05+07:00</t>
        </is>
      </c>
      <c r="J17" s="3" t="inlineStr">
        <is>
          <t>QA opened 103_01.jpg (1000x1000) and checked against workbook observation: Bedroom mockup of blue soccer goal net comforter with large ball, Matthew text and 15 number.</t>
        </is>
      </c>
      <c r="K17" s="3" t="inlineStr">
        <is>
          <t>Bedroom mockup of blue soccer goal net comforter with large ball, Matthew text and 15 number.</t>
        </is>
      </c>
      <c r="L17" s="3" t="inlineStr">
        <is>
          <t>SET</t>
        </is>
      </c>
      <c r="M17" s="3" t="inlineStr">
        <is>
          <t>Blue soccer goal net comforter with Matthew 15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["seo_runs\\jeminise.com\\20260906_234129\\qa\\20260909_122805\\images\\103_01.jpg", "https://cdn.shopify.com/s/files/1/0792/5098/1063/files/e40fbf151dd4e744c6057704570d5d6266da44452209f9c566b1d299ec7ec161.jpg?v=1786610997"]</t>
        </is>
      </c>
    </row>
    <row r="18" ht="66" customHeight="1">
      <c r="A18" s="2" t="inlineStr">
        <is>
          <t>jeminise.com+custom-soccer-ball-goal-net-comforter-set-machine-washabl-design-13</t>
        </is>
      </c>
      <c r="B18" s="2" t="inlineStr">
        <is>
          <t>qaimg_d4f2d1c18870bdb5</t>
        </is>
      </c>
      <c r="C18" s="4" t="inlineStr">
        <is>
          <t>https://cdn.shopify.com/s/files/1/0792/5098/1063/files/9d16e4651681178117899f3856d564de180d3403ef433870aff7721c9e7a86ca.jpg?v=1786610997</t>
        </is>
      </c>
      <c r="D18" s="4" t="inlineStr">
        <is>
          <t>https://cdn.shopify.com/s/files/1/0792/5098/1063/files/9d16e4651681178117899f3856d564de180d3403ef433870aff7721c9e7a86ca.jpg?v=1786610997</t>
        </is>
      </c>
      <c r="E18" s="2" t="inlineStr">
        <is>
          <t>47833433768135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2026-09-09T12:28:05+07:00</t>
        </is>
      </c>
      <c r="J18" s="2" t="inlineStr">
        <is>
          <t>QA opened 103_02.jpg (1000x1000) and checked against workbook observation: Feature panel showing blue soccer ball bedding, microfiber label and 3D printed pattern callouts.</t>
        </is>
      </c>
      <c r="K18" s="2" t="inlineStr">
        <is>
          <t>Feature panel showing blue soccer ball bedding, microfiber label and 3D printed pattern callouts.</t>
        </is>
      </c>
      <c r="L18" s="2" t="inlineStr">
        <is>
          <t>SET</t>
        </is>
      </c>
      <c r="M18" s="2" t="inlineStr">
        <is>
          <t>Blue soccer goal net comforter feature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["seo_runs\\jeminise.com\\20260906_234129\\qa\\20260909_122805\\images\\103_02.jpg", "https://cdn.shopify.com/s/files/1/0792/5098/1063/files/9d16e4651681178117899f3856d564de180d3403ef433870aff7721c9e7a86ca.jpg?v=1786610997"]</t>
        </is>
      </c>
    </row>
    <row r="19" ht="66" customHeight="1">
      <c r="A19" s="3" t="inlineStr">
        <is>
          <t>jeminise.com+custom-soccer-ball-goal-net-comforter-set-machine-washabl-design-13</t>
        </is>
      </c>
      <c r="B19" s="3" t="inlineStr">
        <is>
          <t>qaimg_fa45aa6c9690a876</t>
        </is>
      </c>
      <c r="C19" s="4" t="inlineStr">
        <is>
          <t>https://cdn.shopify.com/s/files/1/0792/5098/1063/files/f97a7dd8f82a6d24e5f9be7db591aec54c2e0b2b4fc0b12240776533166c536d.jpg?v=1786610997</t>
        </is>
      </c>
      <c r="D19" s="4" t="inlineStr">
        <is>
          <t>https://cdn.shopify.com/s/files/1/0792/5098/1063/files/f97a7dd8f82a6d24e5f9be7db591aec54c2e0b2b4fc0b12240776533166c536d.jpg?v=1786610997</t>
        </is>
      </c>
      <c r="E19" s="3" t="inlineStr">
        <is>
          <t>47833433800903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2026-09-09T12:28:05+07:00</t>
        </is>
      </c>
      <c r="J19" s="3" t="inlineStr">
        <is>
          <t>QA opened 103_03.jpg (1000x1000) and checked against workbook observation: Pillow sham mockup showing blue soccer ball and number 15 on white bedding.</t>
        </is>
      </c>
      <c r="K19" s="3" t="inlineStr">
        <is>
          <t>Pillow sham mockup showing blue soccer ball and number 15 on white bedding.</t>
        </is>
      </c>
      <c r="L19" s="3" t="inlineStr">
        <is>
          <t>SET</t>
        </is>
      </c>
      <c r="M19" s="3" t="inlineStr">
        <is>
          <t>Blue soccer ball pillow shams with 15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["seo_runs\\jeminise.com\\20260906_234129\\qa\\20260909_122805\\images\\103_03.jpg", "https://cdn.shopify.com/s/files/1/0792/5098/1063/files/f97a7dd8f82a6d24e5f9be7db591aec54c2e0b2b4fc0b12240776533166c536d.jpg?v=1786610997"]</t>
        </is>
      </c>
    </row>
    <row r="20" ht="66" customHeight="1">
      <c r="A20" s="2" t="inlineStr">
        <is>
          <t>jeminise.com+custom-soccer-ball-goal-net-comforter-set-machine-washabl-design-13</t>
        </is>
      </c>
      <c r="B20" s="2" t="inlineStr">
        <is>
          <t>qaimg_efc42f209d2914fc</t>
        </is>
      </c>
      <c r="C20" s="4" t="inlineStr">
        <is>
          <t>https://cdn.shopify.com/s/files/1/0792/5098/1063/files/0b1d1e19cab6d757366a36700f895ecca060303e705a8aece2f5fa486b6770da_15525c0b-4f16-4d00-b2cf-d9086002e031.jpg?v=1786610997</t>
        </is>
      </c>
      <c r="D20" s="4" t="inlineStr">
        <is>
          <t>https://cdn.shopify.com/s/files/1/0792/5098/1063/files/0b1d1e19cab6d757366a36700f895ecca060303e705a8aece2f5fa486b6770da_15525c0b-4f16-4d00-b2cf-d9086002e031.jpg?v=1786610997</t>
        </is>
      </c>
      <c r="E20" s="2" t="inlineStr">
        <is>
          <t>47833433833671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2026-09-09T12:28:05+07:00</t>
        </is>
      </c>
      <c r="J20" s="2" t="inlineStr">
        <is>
          <t>QA opened 103_04.jpg (1000x1000) and checked against workbook observation: Comparison panel explaining duvet cover set and comforter set bedding options.</t>
        </is>
      </c>
      <c r="K20" s="2" t="inlineStr">
        <is>
          <t>Comparison panel explaining duvet cover set and comforter set bedding options.</t>
        </is>
      </c>
      <c r="L20" s="2" t="inlineStr">
        <is>
          <t>SET</t>
        </is>
      </c>
      <c r="M20" s="2" t="inlineStr">
        <is>
          <t>Duvet cover and comforter set comparison panel for blue soccer ball in goal net comforter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["seo_runs\\jeminise.com\\20260906_234129\\qa\\20260909_122805\\images\\103_04.jpg", "https://cdn.shopify.com/s/files/1/0792/5098/1063/files/0b1d1e19cab6d757366a36700f895ecca060303e705a8aece2f5fa486b6770da_15525c0b-4f16-4d00-b2cf-d9086002e031.jpg?v=1786610997"]</t>
        </is>
      </c>
    </row>
    <row r="21" ht="66" customHeight="1">
      <c r="A21" s="3" t="inlineStr">
        <is>
          <t>jeminise.com+custom-soccer-ball-goal-net-comforter-set-machine-washabl-design-13</t>
        </is>
      </c>
      <c r="B21" s="3" t="inlineStr">
        <is>
          <t>qaimg_ed3f8c1b20cc8f7e</t>
        </is>
      </c>
      <c r="C21" s="4" t="inlineStr">
        <is>
          <t>https://cdn.shopify.com/s/files/1/0792/5098/1063/files/88f6045ef306b30edfc20bd2567313983a1ae212a11493f8f24ef3cb27df3a3d.jpg?v=1786610997</t>
        </is>
      </c>
      <c r="D21" s="4" t="inlineStr">
        <is>
          <t>https://cdn.shopify.com/s/files/1/0792/5098/1063/files/88f6045ef306b30edfc20bd2567313983a1ae212a11493f8f24ef3cb27df3a3d.jpg?v=1786610997</t>
        </is>
      </c>
      <c r="E21" s="3" t="inlineStr">
        <is>
          <t>47833433866439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2026-09-09T12:28:05+07:00</t>
        </is>
      </c>
      <c r="J21" s="3" t="inlineStr">
        <is>
          <t>QA opened 103_05.jpg (1000x1000) and checked against workbook observation: Bedroom mockup of blue goal net soccer bedding with Matthew text and matching shams.</t>
        </is>
      </c>
      <c r="K21" s="3" t="inlineStr">
        <is>
          <t>Bedroom mockup of blue goal net soccer bedding with Matthew text and matching shams.</t>
        </is>
      </c>
      <c r="L21" s="3" t="inlineStr">
        <is>
          <t>SET</t>
        </is>
      </c>
      <c r="M21" s="3" t="inlineStr">
        <is>
          <t>Matthew blue soccer goal bedding set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["seo_runs\\jeminise.com\\20260906_234129\\qa\\20260909_122805\\images\\103_05.jpg", "https://cdn.shopify.com/s/files/1/0792/5098/1063/files/88f6045ef306b30edfc20bd2567313983a1ae212a11493f8f24ef3cb27df3a3d.jpg?v=1786610997"]</t>
        </is>
      </c>
    </row>
    <row r="22" ht="66" customHeight="1">
      <c r="A22" s="2" t="inlineStr">
        <is>
          <t>jeminise.com+custom-soccer-ball-goal-net-comforter-set-machine-washabl-design-13</t>
        </is>
      </c>
      <c r="B22" s="2" t="inlineStr">
        <is>
          <t>qaimg_ac2fe4ca3290468f</t>
        </is>
      </c>
      <c r="C22" s="4" t="inlineStr">
        <is>
          <t>https://cdn.shopify.com/s/files/1/0792/5098/1063/files/5e5e8c6c659c3bbc094017cc64ad1f11d843f6684d630e8ec7ab0e203fb80666.jpg?v=1786610997</t>
        </is>
      </c>
      <c r="D22" s="4" t="inlineStr">
        <is>
          <t>https://cdn.shopify.com/s/files/1/0792/5098/1063/files/5e5e8c6c659c3bbc094017cc64ad1f11d843f6684d630e8ec7ab0e203fb80666.jpg?v=1786610997</t>
        </is>
      </c>
      <c r="E22" s="2" t="inlineStr">
        <is>
          <t>47833433899207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2026-09-09T12:28:05+07:00</t>
        </is>
      </c>
      <c r="J22" s="2" t="inlineStr">
        <is>
          <t>QA opened 103_06.jpg (1000x1000) and checked against workbook observation: Low-angle blue soccer goal bedding mockup with soft, lightweight, durable and breathable icons.</t>
        </is>
      </c>
      <c r="K22" s="2" t="inlineStr">
        <is>
          <t>Low-angle blue soccer goal bedding mockup with soft, lightweight, durable and breathable icons.</t>
        </is>
      </c>
      <c r="L22" s="2" t="inlineStr">
        <is>
          <t>SET</t>
        </is>
      </c>
      <c r="M22" s="2" t="inlineStr">
        <is>
          <t>Blue soccer goal bedding with feature icons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["seo_runs\\jeminise.com\\20260906_234129\\qa\\20260909_122805\\images\\103_06.jpg", "https://cdn.shopify.com/s/files/1/0792/5098/1063/files/5e5e8c6c659c3bbc094017cc64ad1f11d843f6684d630e8ec7ab0e203fb80666.jpg?v=1786610997"]</t>
        </is>
      </c>
    </row>
    <row r="23" ht="66" customHeight="1">
      <c r="A23" s="3" t="inlineStr">
        <is>
          <t>jeminise.com+custom-soccer-ball-goal-net-comforter-set-machine-washabl-design-13</t>
        </is>
      </c>
      <c r="B23" s="3" t="inlineStr">
        <is>
          <t>qaimg_142b74ab3816d6a6</t>
        </is>
      </c>
      <c r="C23" s="4" t="inlineStr">
        <is>
          <t>https://cdn.shopify.com/s/files/1/0792/5098/1063/files/569ca20f02dd45e1e5ebb32a75c34b1495da6793e5f1a6fc3ad8bb882275d389.jpg?v=1786610997</t>
        </is>
      </c>
      <c r="D23" s="4" t="inlineStr">
        <is>
          <t>https://cdn.shopify.com/s/files/1/0792/5098/1063/files/569ca20f02dd45e1e5ebb32a75c34b1495da6793e5f1a6fc3ad8bb882275d389.jpg?v=1786610997</t>
        </is>
      </c>
      <c r="E23" s="3" t="inlineStr">
        <is>
          <t>47833433931975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2026-09-09T12:28:05+07:00</t>
        </is>
      </c>
      <c r="J23" s="3" t="inlineStr">
        <is>
          <t>QA opened 103_07.jpg (1000x1000) and checked against workbook observation: Close-up corner showing blue net artwork under white microfiber filling.</t>
        </is>
      </c>
      <c r="K23" s="3" t="inlineStr">
        <is>
          <t>Close-up corner showing blue net artwork under white microfiber filling.</t>
        </is>
      </c>
      <c r="L23" s="3" t="inlineStr">
        <is>
          <t>SET</t>
        </is>
      </c>
      <c r="M23" s="3" t="inlineStr">
        <is>
          <t>Blue soccer goal comforter microfiber close-up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["seo_runs\\jeminise.com\\20260906_234129\\qa\\20260909_122805\\images\\103_07.jpg", "https://cdn.shopify.com/s/files/1/0792/5098/1063/files/569ca20f02dd45e1e5ebb32a75c34b1495da6793e5f1a6fc3ad8bb882275d389.jpg?v=1786610997"]</t>
        </is>
      </c>
    </row>
    <row r="24" ht="66" customHeight="1">
      <c r="A24" s="2" t="inlineStr">
        <is>
          <t>jeminise.com+custom-soccer-ball-goal-net-comforter-set-machine-washabl-design-13</t>
        </is>
      </c>
      <c r="B24" s="2" t="inlineStr">
        <is>
          <t>qaimg_39674d320d19b10d</t>
        </is>
      </c>
      <c r="C24" s="4" t="inlineStr">
        <is>
          <t>https://cdn.shopify.com/s/files/1/0792/5098/1063/files/dd6b2f75d5d331064be3e2ace151f6872c3f1f67675d8c1c7fa00f207341180b_032fc95e-87be-4f21-94db-1aed6ba6a2f4.jpg?v=1786610997</t>
        </is>
      </c>
      <c r="D24" s="4" t="inlineStr">
        <is>
          <t>https://cdn.shopify.com/s/files/1/0792/5098/1063/files/dd6b2f75d5d331064be3e2ace151f6872c3f1f67675d8c1c7fa00f207341180b_032fc95e-87be-4f21-94db-1aed6ba6a2f4.jpg?v=1786610997</t>
        </is>
      </c>
      <c r="E24" s="2" t="inlineStr">
        <is>
          <t>47833433964743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2026-09-09T12:28:05+07:00</t>
        </is>
      </c>
      <c r="J24" s="2" t="inlineStr">
        <is>
          <t>QA opened 103_08.jpg (1000x1000) and checked against workbook observation: Stress-free easy-care panel listing wrinkle-free, stain-proof, anti-pilling and wash durability.</t>
        </is>
      </c>
      <c r="K24" s="2" t="inlineStr">
        <is>
          <t>Stress-free easy-care panel listing wrinkle-free, stain-proof, anti-pilling and wash durability.</t>
        </is>
      </c>
      <c r="L24" s="2" t="inlineStr">
        <is>
          <t>SET</t>
        </is>
      </c>
      <c r="M24" s="2" t="inlineStr">
        <is>
          <t>Easy care panel for comforter bedding for blue soccer ball in goal net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["seo_runs\\jeminise.com\\20260906_234129\\qa\\20260909_122805\\images\\103_08.jpg", "https://cdn.shopify.com/s/files/1/0792/5098/1063/files/dd6b2f75d5d331064be3e2ace151f6872c3f1f67675d8c1c7fa00f207341180b_032fc95e-87be-4f21-94db-1aed6ba6a2f4.jpg?v=1786610997"]</t>
        </is>
      </c>
    </row>
    <row r="25" ht="66" customHeight="1">
      <c r="A25" s="3" t="inlineStr">
        <is>
          <t>jeminise.com+custom-soccer-ball-goal-personalized-bedding-comforter-set-a4</t>
        </is>
      </c>
      <c r="B25" s="3" t="inlineStr">
        <is>
          <t>qaimg_4c8e344a9a361a83</t>
        </is>
      </c>
      <c r="C25" s="4" t="inlineStr">
        <is>
          <t>https://cdn.shopify.com/s/files/1/0792/5098/1063/files/c8002c1036e987b59bab3d14d64dda24c6dd83936cf1089df50345790d2ab310.jpg?v=1786610956</t>
        </is>
      </c>
      <c r="D25" s="4" t="inlineStr">
        <is>
          <t>https://cdn.shopify.com/s/files/1/0792/5098/1063/files/c8002c1036e987b59bab3d14d64dda24c6dd83936cf1089df50345790d2ab310.jpg?v=1786610956</t>
        </is>
      </c>
      <c r="E25" s="3" t="inlineStr">
        <is>
          <t>47833418334407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2026-09-09T12:28:05+07:00</t>
        </is>
      </c>
      <c r="J25" s="3" t="inlineStr">
        <is>
          <t>QA opened 104_01.jpg (1000x1000) and checked against workbook observation: Bedroom mockup of blue-white soccer comforter with large number 10 ball and Kenzo side text.</t>
        </is>
      </c>
      <c r="K25" s="3" t="inlineStr">
        <is>
          <t>Bedroom mockup of blue-white soccer comforter with large number 10 ball and Kenzo side text.</t>
        </is>
      </c>
      <c r="L25" s="3" t="inlineStr">
        <is>
          <t>SET</t>
        </is>
      </c>
      <c r="M25" s="3" t="inlineStr">
        <is>
          <t>Kenzo soccer number 10 comforter set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["seo_runs\\jeminise.com\\20260906_234129\\qa\\20260909_122805\\images\\104_01.jpg", "https://cdn.shopify.com/s/files/1/0792/5098/1063/files/c8002c1036e987b59bab3d14d64dda24c6dd83936cf1089df50345790d2ab310.jpg?v=1786610956"]</t>
        </is>
      </c>
    </row>
    <row r="26" ht="66" customHeight="1">
      <c r="A26" s="2" t="inlineStr">
        <is>
          <t>jeminise.com+custom-soccer-ball-goal-personalized-bedding-comforter-set-a4</t>
        </is>
      </c>
      <c r="B26" s="2" t="inlineStr">
        <is>
          <t>qaimg_3852e5d1246e8e9b</t>
        </is>
      </c>
      <c r="C26" s="4" t="inlineStr">
        <is>
          <t>https://cdn.shopify.com/s/files/1/0792/5098/1063/files/7d7d424bfee4840d7d140607b0005999eb51175eb1c17769af9e683165361fef.jpg?v=1786610956</t>
        </is>
      </c>
      <c r="D26" s="4" t="inlineStr">
        <is>
          <t>https://cdn.shopify.com/s/files/1/0792/5098/1063/files/7d7d424bfee4840d7d140607b0005999eb51175eb1c17769af9e683165361fef.jpg?v=1786610956</t>
        </is>
      </c>
      <c r="E26" s="2" t="inlineStr">
        <is>
          <t>47833418367175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2026-09-09T12:28:05+07:00</t>
        </is>
      </c>
      <c r="J26" s="2" t="inlineStr">
        <is>
          <t>QA opened 104_02.jpg (1000x1000) and checked against workbook observation: Feature panel showing Kenzo soccer pillow mockup, microfiber label and 3D printed pattern callouts.</t>
        </is>
      </c>
      <c r="K26" s="2" t="inlineStr">
        <is>
          <t>Feature panel showing Kenzo soccer pillow mockup, microfiber label and 3D printed pattern callouts.</t>
        </is>
      </c>
      <c r="L26" s="2" t="inlineStr">
        <is>
          <t>SET</t>
        </is>
      </c>
      <c r="M26" s="2" t="inlineStr">
        <is>
          <t>Kenzo soccer comforter feature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["seo_runs\\jeminise.com\\20260906_234129\\qa\\20260909_122805\\images\\104_02.jpg", "https://cdn.shopify.com/s/files/1/0792/5098/1063/files/7d7d424bfee4840d7d140607b0005999eb51175eb1c17769af9e683165361fef.jpg?v=1786610956"]</t>
        </is>
      </c>
    </row>
    <row r="27" ht="66" customHeight="1">
      <c r="A27" s="3" t="inlineStr">
        <is>
          <t>jeminise.com+custom-soccer-ball-goal-personalized-bedding-comforter-set-a4</t>
        </is>
      </c>
      <c r="B27" s="3" t="inlineStr">
        <is>
          <t>qaimg_5fb15b62c2e5f41c</t>
        </is>
      </c>
      <c r="C27" s="4" t="inlineStr">
        <is>
          <t>https://cdn.shopify.com/s/files/1/0792/5098/1063/files/627f0c01c4f3364f98ac4ff820fb9d697a7fe3d1c6e2c06735cc8a0f4a203ec4.jpg?v=1786610956</t>
        </is>
      </c>
      <c r="D27" s="4" t="inlineStr">
        <is>
          <t>https://cdn.shopify.com/s/files/1/0792/5098/1063/files/627f0c01c4f3364f98ac4ff820fb9d697a7fe3d1c6e2c06735cc8a0f4a203ec4.jpg?v=1786610956</t>
        </is>
      </c>
      <c r="E27" s="3" t="inlineStr">
        <is>
          <t>47833418399943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2026-09-09T12:28:05+07:00</t>
        </is>
      </c>
      <c r="J27" s="3" t="inlineStr">
        <is>
          <t>QA opened 104_03.jpg (1000x1000) and checked against workbook observation: Low-angle Kenzo number 10 soccer bedding mockup with feature icons.</t>
        </is>
      </c>
      <c r="K27" s="3" t="inlineStr">
        <is>
          <t>Low-angle Kenzo number 10 soccer bedding mockup with feature icons.</t>
        </is>
      </c>
      <c r="L27" s="3" t="inlineStr">
        <is>
          <t>SET</t>
        </is>
      </c>
      <c r="M27" s="3" t="inlineStr">
        <is>
          <t>Kenzo soccer bedding with feature icons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["seo_runs\\jeminise.com\\20260906_234129\\qa\\20260909_122805\\images\\104_03.jpg", "https://cdn.shopify.com/s/files/1/0792/5098/1063/files/627f0c01c4f3364f98ac4ff820fb9d697a7fe3d1c6e2c06735cc8a0f4a203ec4.jpg?v=1786610956"]</t>
        </is>
      </c>
    </row>
    <row r="28" ht="66" customHeight="1">
      <c r="A28" s="2" t="inlineStr">
        <is>
          <t>jeminise.com+custom-soccer-ball-goal-personalized-bedding-comforter-set-a4</t>
        </is>
      </c>
      <c r="B28" s="2" t="inlineStr">
        <is>
          <t>qaimg_527793ebf50bf9aa</t>
        </is>
      </c>
      <c r="C28" s="4" t="inlineStr">
        <is>
          <t>https://cdn.shopify.com/s/files/1/0792/5098/1063/files/a65a6b587bf08ed6016241cc5d9b5248124a63cc6dbd58587fb9a31a5dedaa90.jpg?v=1786610956</t>
        </is>
      </c>
      <c r="D28" s="4" t="inlineStr">
        <is>
          <t>https://cdn.shopify.com/s/files/1/0792/5098/1063/files/a65a6b587bf08ed6016241cc5d9b5248124a63cc6dbd58587fb9a31a5dedaa90.jpg?v=1786610956</t>
        </is>
      </c>
      <c r="E28" s="2" t="inlineStr">
        <is>
          <t>47833418432711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2026-09-09T12:28:05+07:00</t>
        </is>
      </c>
      <c r="J28" s="2" t="inlineStr">
        <is>
          <t>QA opened 104_04.jpg (1000x1000) and checked against workbook observation: Pillow sham mockup showing Kenzo side text and number 10 soccer ball artwork.</t>
        </is>
      </c>
      <c r="K28" s="2" t="inlineStr">
        <is>
          <t>Pillow sham mockup showing Kenzo side text and number 10 soccer ball artwork.</t>
        </is>
      </c>
      <c r="L28" s="2" t="inlineStr">
        <is>
          <t>SET</t>
        </is>
      </c>
      <c r="M28" s="2" t="inlineStr">
        <is>
          <t>Kenzo soccer pillow shams with number 10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["seo_runs\\jeminise.com\\20260906_234129\\qa\\20260909_122805\\images\\104_04.jpg", "https://cdn.shopify.com/s/files/1/0792/5098/1063/files/a65a6b587bf08ed6016241cc5d9b5248124a63cc6dbd58587fb9a31a5dedaa90.jpg?v=1786610956"]</t>
        </is>
      </c>
    </row>
    <row r="29" ht="66" customHeight="1">
      <c r="A29" s="3" t="inlineStr">
        <is>
          <t>jeminise.com+custom-soccer-ball-goal-personalized-bedding-comforter-set-a4</t>
        </is>
      </c>
      <c r="B29" s="3" t="inlineStr">
        <is>
          <t>qaimg_a18eef8508ba8467</t>
        </is>
      </c>
      <c r="C29" s="4" t="inlineStr">
        <is>
          <t>https://cdn.shopify.com/s/files/1/0792/5098/1063/files/0b1d1e19cab6d757366a36700f895ecca060303e705a8aece2f5fa486b6770da_3f918262-2a19-4418-a746-5d533ad71a6a.jpg?v=1786610956</t>
        </is>
      </c>
      <c r="D29" s="4" t="inlineStr">
        <is>
          <t>https://cdn.shopify.com/s/files/1/0792/5098/1063/files/0b1d1e19cab6d757366a36700f895ecca060303e705a8aece2f5fa486b6770da_3f918262-2a19-4418-a746-5d533ad71a6a.jpg?v=1786610956</t>
        </is>
      </c>
      <c r="E29" s="3" t="inlineStr">
        <is>
          <t>47833418465479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2026-09-09T12:28:05+07:00</t>
        </is>
      </c>
      <c r="J29" s="3" t="inlineStr">
        <is>
          <t>QA opened 104_05.jpg (1000x1000) and checked against workbook observation: Comparison panel explaining duvet cover set and comforter set bedding options.</t>
        </is>
      </c>
      <c r="K29" s="3" t="inlineStr">
        <is>
          <t>Comparison panel explaining duvet cover set and comforter set bedding options.</t>
        </is>
      </c>
      <c r="L29" s="3" t="inlineStr">
        <is>
          <t>SET</t>
        </is>
      </c>
      <c r="M29" s="3" t="inlineStr">
        <is>
          <t>Duvet cover and comforter set comparison panel for Kenzo number 10 soccer ball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["seo_runs\\jeminise.com\\20260906_234129\\qa\\20260909_122805\\images\\104_05.jpg", "https://cdn.shopify.com/s/files/1/0792/5098/1063/files/0b1d1e19cab6d757366a36700f895ecca060303e705a8aece2f5fa486b6770da_3f918262-2a19-4418-a746-5d533ad71a6a.jpg?v=1786610956"]</t>
        </is>
      </c>
    </row>
    <row r="30" ht="66" customHeight="1">
      <c r="A30" s="2" t="inlineStr">
        <is>
          <t>jeminise.com+custom-soccer-ball-goal-personalized-bedding-comforter-set-a4</t>
        </is>
      </c>
      <c r="B30" s="2" t="inlineStr">
        <is>
          <t>qaimg_565294f1956e6d0c</t>
        </is>
      </c>
      <c r="C30" s="4" t="inlineStr">
        <is>
          <t>https://cdn.shopify.com/s/files/1/0792/5098/1063/files/4922d4866ae120bf5fa8b1880951c618d4173a48a3021af525b49854d05a8e9b.jpg?v=1786610956</t>
        </is>
      </c>
      <c r="D30" s="4" t="inlineStr">
        <is>
          <t>https://cdn.shopify.com/s/files/1/0792/5098/1063/files/4922d4866ae120bf5fa8b1880951c618d4173a48a3021af525b49854d05a8e9b.jpg?v=1786610956</t>
        </is>
      </c>
      <c r="E30" s="2" t="inlineStr">
        <is>
          <t>47833418498247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2026-09-09T12:28:05+07:00</t>
        </is>
      </c>
      <c r="J30" s="2" t="inlineStr">
        <is>
          <t>QA opened 104_06.jpg (1000x1000) and checked against workbook observation: Bedroom mockup of Kenzo number 10 soccer bedding with matching shams.</t>
        </is>
      </c>
      <c r="K30" s="2" t="inlineStr">
        <is>
          <t>Bedroom mockup of Kenzo number 10 soccer bedding with matching shams.</t>
        </is>
      </c>
      <c r="L30" s="2" t="inlineStr">
        <is>
          <t>SET</t>
        </is>
      </c>
      <c r="M30" s="2" t="inlineStr">
        <is>
          <t>Kenzo soccer comforter set on bed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["seo_runs\\jeminise.com\\20260906_234129\\qa\\20260909_122805\\images\\104_06.jpg", "https://cdn.shopify.com/s/files/1/0792/5098/1063/files/4922d4866ae120bf5fa8b1880951c618d4173a48a3021af525b49854d05a8e9b.jpg?v=1786610956"]</t>
        </is>
      </c>
    </row>
    <row r="31" ht="66" customHeight="1">
      <c r="A31" s="3" t="inlineStr">
        <is>
          <t>jeminise.com+custom-soccer-ball-goal-personalized-bedding-comforter-set-a4</t>
        </is>
      </c>
      <c r="B31" s="3" t="inlineStr">
        <is>
          <t>qaimg_9c213024c972d81c</t>
        </is>
      </c>
      <c r="C31" s="4" t="inlineStr">
        <is>
          <t>https://cdn.shopify.com/s/files/1/0792/5098/1063/files/d761ea3ae4f4c0b26b7473177b21a616c5199552823ec637c64fe7b0d6b0f12f_d9ec0d73-2117-4b5e-8e27-b91f649eb31b.jpg?v=1786610956</t>
        </is>
      </c>
      <c r="D31" s="4" t="inlineStr">
        <is>
          <t>https://cdn.shopify.com/s/files/1/0792/5098/1063/files/d761ea3ae4f4c0b26b7473177b21a616c5199552823ec637c64fe7b0d6b0f12f_d9ec0d73-2117-4b5e-8e27-b91f649eb31b.jpg?v=1786610956</t>
        </is>
      </c>
      <c r="E31" s="3" t="inlineStr">
        <is>
          <t>47833418531015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2026-09-09T12:28:05+07:00</t>
        </is>
      </c>
      <c r="J31" s="3" t="inlineStr">
        <is>
          <t>QA opened 104_07.jpg (1000x1000) and checked against workbook observation: Size dimension chart showing twin, full, queen and king bedding measurements.</t>
        </is>
      </c>
      <c r="K31" s="3" t="inlineStr">
        <is>
          <t>Size dimension chart showing twin, full, queen and king bedding measurements.</t>
        </is>
      </c>
      <c r="L31" s="3" t="inlineStr">
        <is>
          <t>SET</t>
        </is>
      </c>
      <c r="M31" s="3" t="inlineStr">
        <is>
          <t>Comforter set size dimension chart for Kenzo number 10 soccer ball comforter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["seo_runs\\jeminise.com\\20260906_234129\\qa\\20260909_122805\\images\\104_07.jpg", "https://cdn.shopify.com/s/files/1/0792/5098/1063/files/d761ea3ae4f4c0b26b7473177b21a616c5199552823ec637c64fe7b0d6b0f12f_d9ec0d73-2117-4b5e-8e27-b91f649eb31b.jpg?v=1786610956"]</t>
        </is>
      </c>
    </row>
    <row r="32" ht="66" customHeight="1">
      <c r="A32" s="2" t="inlineStr">
        <is>
          <t>jeminise.com+custom-soccer-ball-net-comforter-set-machine-washable-a2</t>
        </is>
      </c>
      <c r="B32" s="2" t="inlineStr">
        <is>
          <t>qaimg_017266b441ed0688</t>
        </is>
      </c>
      <c r="C32" s="4" t="inlineStr">
        <is>
          <t>https://cdn.shopify.com/s/files/1/0792/5098/1063/files/82333601a7ee5503b2c8e1c2000337833e2c7d844138e0b4a3807c18149eb399.jpg?v=1786610952</t>
        </is>
      </c>
      <c r="D32" s="4" t="inlineStr">
        <is>
          <t>https://cdn.shopify.com/s/files/1/0792/5098/1063/files/82333601a7ee5503b2c8e1c2000337833e2c7d844138e0b4a3807c18149eb399.jpg?v=1786610952</t>
        </is>
      </c>
      <c r="E32" s="2" t="inlineStr">
        <is>
          <t>47833417941191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2026-09-09T12:28:05+07:00</t>
        </is>
      </c>
      <c r="J32" s="2" t="inlineStr">
        <is>
          <t>QA opened 105_01.jpg (1000x1000) and checked against workbook observation: Bedroom mockup of multicolor soccer net comforter with Jayden side text and number 07 ball.</t>
        </is>
      </c>
      <c r="K32" s="2" t="inlineStr">
        <is>
          <t>Bedroom mockup of multicolor soccer net comforter with Jayden side text and number 07 ball.</t>
        </is>
      </c>
      <c r="L32" s="2" t="inlineStr">
        <is>
          <t>SET</t>
        </is>
      </c>
      <c r="M32" s="2" t="inlineStr">
        <is>
          <t>Jayden soccer net comforter with 07 ball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["seo_runs\\jeminise.com\\20260906_234129\\qa\\20260909_122805\\images\\105_01.jpg", "https://cdn.shopify.com/s/files/1/0792/5098/1063/files/82333601a7ee5503b2c8e1c2000337833e2c7d844138e0b4a3807c18149eb399.jpg?v=1786610952"]</t>
        </is>
      </c>
    </row>
    <row r="33" ht="66" customHeight="1">
      <c r="A33" s="3" t="inlineStr">
        <is>
          <t>jeminise.com+custom-soccer-ball-net-comforter-set-machine-washable-a2</t>
        </is>
      </c>
      <c r="B33" s="3" t="inlineStr">
        <is>
          <t>qaimg_c1a0635891a0815e</t>
        </is>
      </c>
      <c r="C33" s="4" t="inlineStr">
        <is>
          <t>https://cdn.shopify.com/s/files/1/0792/5098/1063/files/e4f89c76a6f8185e66e32b20ec9b5d9d740e4909068e0941f30f334583036115.jpg?v=1786610952</t>
        </is>
      </c>
      <c r="D33" s="4" t="inlineStr">
        <is>
          <t>https://cdn.shopify.com/s/files/1/0792/5098/1063/files/e4f89c76a6f8185e66e32b20ec9b5d9d740e4909068e0941f30f334583036115.jpg?v=1786610952</t>
        </is>
      </c>
      <c r="E33" s="3" t="inlineStr">
        <is>
          <t>47833417973959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2026-09-09T12:28:05+07:00</t>
        </is>
      </c>
      <c r="J33" s="3" t="inlineStr">
        <is>
          <t>QA opened 105_02.jpg (1000x1000) and checked against workbook observation: Feature panel showing Jayden soccer net bedding details and 3D printed pattern callouts.</t>
        </is>
      </c>
      <c r="K33" s="3" t="inlineStr">
        <is>
          <t>Feature panel showing Jayden soccer net bedding details and 3D printed pattern callouts.</t>
        </is>
      </c>
      <c r="L33" s="3" t="inlineStr">
        <is>
          <t>SET</t>
        </is>
      </c>
      <c r="M33" s="3" t="inlineStr">
        <is>
          <t>Jayden soccer net comforter feature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["seo_runs\\jeminise.com\\20260906_234129\\qa\\20260909_122805\\images\\105_02.jpg", "https://cdn.shopify.com/s/files/1/0792/5098/1063/files/e4f89c76a6f8185e66e32b20ec9b5d9d740e4909068e0941f30f334583036115.jpg?v=1786610952"]</t>
        </is>
      </c>
    </row>
    <row r="34" ht="66" customHeight="1">
      <c r="A34" s="2" t="inlineStr">
        <is>
          <t>jeminise.com+custom-soccer-ball-net-comforter-set-machine-washable-a2</t>
        </is>
      </c>
      <c r="B34" s="2" t="inlineStr">
        <is>
          <t>qaimg_f968a83c7f59406c</t>
        </is>
      </c>
      <c r="C34" s="4" t="inlineStr">
        <is>
          <t>https://cdn.shopify.com/s/files/1/0792/5098/1063/files/09c92d20270c366068722749877dfcc163d94f944c4ad88cb639774033eb44af.jpg?v=1786610952</t>
        </is>
      </c>
      <c r="D34" s="4" t="inlineStr">
        <is>
          <t>https://cdn.shopify.com/s/files/1/0792/5098/1063/files/09c92d20270c366068722749877dfcc163d94f944c4ad88cb639774033eb44af.jpg?v=1786610952</t>
        </is>
      </c>
      <c r="E34" s="2" t="inlineStr">
        <is>
          <t>47833418006727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2026-09-09T12:28:05+07:00</t>
        </is>
      </c>
      <c r="J34" s="2" t="inlineStr">
        <is>
          <t>QA opened 105_03.jpg (1000x1000) and checked against workbook observation: Pillow sham mockup showing number 07 ball with orange and teal speed lines.</t>
        </is>
      </c>
      <c r="K34" s="2" t="inlineStr">
        <is>
          <t>Pillow sham mockup showing number 07 ball with orange and teal speed lines.</t>
        </is>
      </c>
      <c r="L34" s="2" t="inlineStr">
        <is>
          <t>SET</t>
        </is>
      </c>
      <c r="M34" s="2" t="inlineStr">
        <is>
          <t>Soccer net pillow shams with 07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["seo_runs\\jeminise.com\\20260906_234129\\qa\\20260909_122805\\images\\105_03.jpg", "https://cdn.shopify.com/s/files/1/0792/5098/1063/files/09c92d20270c366068722749877dfcc163d94f944c4ad88cb639774033eb44af.jpg?v=1786610952"]</t>
        </is>
      </c>
    </row>
    <row r="35" ht="66" customHeight="1">
      <c r="A35" s="3" t="inlineStr">
        <is>
          <t>jeminise.com+custom-soccer-ball-net-comforter-set-machine-washable-a2</t>
        </is>
      </c>
      <c r="B35" s="3" t="inlineStr">
        <is>
          <t>qaimg_2b1244206480f148</t>
        </is>
      </c>
      <c r="C35" s="4" t="inlineStr">
        <is>
          <t>https://cdn.shopify.com/s/files/1/0792/5098/1063/files/164b95e35a478522bf4ed840c25aa88e4b59617a11cd183d2bfa520cd5e35df7.jpg?v=1786610952</t>
        </is>
      </c>
      <c r="D35" s="4" t="inlineStr">
        <is>
          <t>https://cdn.shopify.com/s/files/1/0792/5098/1063/files/164b95e35a478522bf4ed840c25aa88e4b59617a11cd183d2bfa520cd5e35df7.jpg?v=1786610952</t>
        </is>
      </c>
      <c r="E35" s="3" t="inlineStr">
        <is>
          <t>47833418039495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2026-09-09T12:28:05+07:00</t>
        </is>
      </c>
      <c r="J35" s="3" t="inlineStr">
        <is>
          <t>QA opened 105_04.jpg (1000x1000) and checked against workbook observation: Close-up corner showing soccer net artwork under white microfiber filling.</t>
        </is>
      </c>
      <c r="K35" s="3" t="inlineStr">
        <is>
          <t>Close-up corner showing soccer net artwork under white microfiber filling.</t>
        </is>
      </c>
      <c r="L35" s="3" t="inlineStr">
        <is>
          <t>SET</t>
        </is>
      </c>
      <c r="M35" s="3" t="inlineStr">
        <is>
          <t>Jayden soccer net comforter microfiber close-up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["seo_runs\\jeminise.com\\20260906_234129\\qa\\20260909_122805\\images\\105_04.jpg", "https://cdn.shopify.com/s/files/1/0792/5098/1063/files/164b95e35a478522bf4ed840c25aa88e4b59617a11cd183d2bfa520cd5e35df7.jpg?v=1786610952"]</t>
        </is>
      </c>
    </row>
    <row r="36" ht="66" customHeight="1">
      <c r="A36" s="2" t="inlineStr">
        <is>
          <t>jeminise.com+custom-soccer-ball-net-comforter-set-machine-washable-a2</t>
        </is>
      </c>
      <c r="B36" s="2" t="inlineStr">
        <is>
          <t>qaimg_b8a4aed8a954292f</t>
        </is>
      </c>
      <c r="C36" s="4" t="inlineStr">
        <is>
          <t>https://cdn.shopify.com/s/files/1/0792/5098/1063/files/0b1d1e19cab6d757366a36700f895ecca060303e705a8aece2f5fa486b6770da_bc8d7f75-219a-4b5d-8e66-9489d2be706d.jpg?v=1786610952</t>
        </is>
      </c>
      <c r="D36" s="4" t="inlineStr">
        <is>
          <t>https://cdn.shopify.com/s/files/1/0792/5098/1063/files/0b1d1e19cab6d757366a36700f895ecca060303e705a8aece2f5fa486b6770da_bc8d7f75-219a-4b5d-8e66-9489d2be706d.jpg?v=1786610952</t>
        </is>
      </c>
      <c r="E36" s="2" t="inlineStr">
        <is>
          <t>47833418072263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2026-09-09T12:28:05+07:00</t>
        </is>
      </c>
      <c r="J36" s="2" t="inlineStr">
        <is>
          <t>QA opened 105_05.jpg (1000x1000) and checked against workbook observation: Comparison panel explaining duvet cover set and comforter set bedding options.</t>
        </is>
      </c>
      <c r="K36" s="2" t="inlineStr">
        <is>
          <t>Comparison panel explaining duvet cover set and comforter set bedding options.</t>
        </is>
      </c>
      <c r="L36" s="2" t="inlineStr">
        <is>
          <t>SET</t>
        </is>
      </c>
      <c r="M36" s="2" t="inlineStr">
        <is>
          <t>Duvet cover and comforter set comparison panel for multicolor Jayden soccer net comforter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["seo_runs\\jeminise.com\\20260906_234129\\qa\\20260909_122805\\images\\105_05.jpg", "https://cdn.shopify.com/s/files/1/0792/5098/1063/files/0b1d1e19cab6d757366a36700f895ecca060303e705a8aece2f5fa486b6770da_bc8d7f75-219a-4b5d-8e66-9489d2be706d.jpg?v=1786610952"]</t>
        </is>
      </c>
    </row>
    <row r="37" ht="66" customHeight="1">
      <c r="A37" s="3" t="inlineStr">
        <is>
          <t>jeminise.com+custom-soccer-ball-net-comforter-set-machine-washable-a2</t>
        </is>
      </c>
      <c r="B37" s="3" t="inlineStr">
        <is>
          <t>qaimg_5da472cb8fd38d04</t>
        </is>
      </c>
      <c r="C37" s="4" t="inlineStr">
        <is>
          <t>https://cdn.shopify.com/s/files/1/0792/5098/1063/files/caf001b85a4e79727d87996286013724e2de3319e9c06e0f70d0f157cd572bf5.jpg?v=1786610952</t>
        </is>
      </c>
      <c r="D37" s="4" t="inlineStr">
        <is>
          <t>https://cdn.shopify.com/s/files/1/0792/5098/1063/files/caf001b85a4e79727d87996286013724e2de3319e9c06e0f70d0f157cd572bf5.jpg?v=1786610952</t>
        </is>
      </c>
      <c r="E37" s="3" t="inlineStr">
        <is>
          <t>47833418105031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2026-09-09T12:28:05+07:00</t>
        </is>
      </c>
      <c r="J37" s="3" t="inlineStr">
        <is>
          <t>QA opened 105_06.jpg (1000x1000) and checked against workbook observation: Bedroom mockup of Jayden soccer net bedding with multicolor speed-line artwork.</t>
        </is>
      </c>
      <c r="K37" s="3" t="inlineStr">
        <is>
          <t>Bedroom mockup of Jayden soccer net bedding with multicolor speed-line artwork.</t>
        </is>
      </c>
      <c r="L37" s="3" t="inlineStr">
        <is>
          <t>SET</t>
        </is>
      </c>
      <c r="M37" s="3" t="inlineStr">
        <is>
          <t>Jayden multicolor soccer bedding set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["seo_runs\\jeminise.com\\20260906_234129\\qa\\20260909_122805\\images\\105_06.jpg", "https://cdn.shopify.com/s/files/1/0792/5098/1063/files/caf001b85a4e79727d87996286013724e2de3319e9c06e0f70d0f157cd572bf5.jpg?v=1786610952"]</t>
        </is>
      </c>
    </row>
    <row r="38" ht="66" customHeight="1">
      <c r="A38" s="2" t="inlineStr">
        <is>
          <t>jeminise.com+custom-soccer-ball-net-comforter-set-machine-washable-a2</t>
        </is>
      </c>
      <c r="B38" s="2" t="inlineStr">
        <is>
          <t>qaimg_e7780b1fa8170452</t>
        </is>
      </c>
      <c r="C38" s="4" t="inlineStr">
        <is>
          <t>https://cdn.shopify.com/s/files/1/0792/5098/1063/files/b8808b19366c3be9b3f9b5d165e01bbcd407febd46189c1e8cfda33dbc968095.jpg?v=1786610952</t>
        </is>
      </c>
      <c r="D38" s="4" t="inlineStr">
        <is>
          <t>https://cdn.shopify.com/s/files/1/0792/5098/1063/files/b8808b19366c3be9b3f9b5d165e01bbcd407febd46189c1e8cfda33dbc968095.jpg?v=1786610952</t>
        </is>
      </c>
      <c r="E38" s="2" t="inlineStr">
        <is>
          <t>47833418137799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2026-09-09T12:28:05+07:00</t>
        </is>
      </c>
      <c r="J38" s="2" t="inlineStr">
        <is>
          <t>QA opened 105_07.jpg (1000x1000) and checked against workbook observation: Low-angle soccer net bedding mockup with soft, lightweight, durable and breathable icons.</t>
        </is>
      </c>
      <c r="K38" s="2" t="inlineStr">
        <is>
          <t>Low-angle soccer net bedding mockup with soft, lightweight, durable and breathable icons.</t>
        </is>
      </c>
      <c r="L38" s="2" t="inlineStr">
        <is>
          <t>SET</t>
        </is>
      </c>
      <c r="M38" s="2" t="inlineStr">
        <is>
          <t>Jayden soccer net bedding with feature icons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["seo_runs\\jeminise.com\\20260906_234129\\qa\\20260909_122805\\images\\105_07.jpg", "https://cdn.shopify.com/s/files/1/0792/5098/1063/files/b8808b19366c3be9b3f9b5d165e01bbcd407febd46189c1e8cfda33dbc968095.jpg?v=1786610952"]</t>
        </is>
      </c>
    </row>
    <row r="39" ht="66" customHeight="1">
      <c r="A39" s="3" t="inlineStr">
        <is>
          <t>jeminise.com+custom-soccer-ball-net-comforter-set-machine-washable-a2</t>
        </is>
      </c>
      <c r="B39" s="3" t="inlineStr">
        <is>
          <t>qaimg_bfa675c6cb36134d</t>
        </is>
      </c>
      <c r="C39" s="4" t="inlineStr">
        <is>
          <t>https://cdn.shopify.com/s/files/1/0792/5098/1063/files/dd6b2f75d5d331064be3e2ace151f6872c3f1f67675d8c1c7fa00f207341180b_f495c796-ec94-4c7a-ae83-a703dc0e4a3c.jpg?v=1786610952</t>
        </is>
      </c>
      <c r="D39" s="4" t="inlineStr">
        <is>
          <t>https://cdn.shopify.com/s/files/1/0792/5098/1063/files/dd6b2f75d5d331064be3e2ace151f6872c3f1f67675d8c1c7fa00f207341180b_f495c796-ec94-4c7a-ae83-a703dc0e4a3c.jpg?v=1786610952</t>
        </is>
      </c>
      <c r="E39" s="3" t="inlineStr">
        <is>
          <t>47833418170567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2026-09-09T12:28:05+07:00</t>
        </is>
      </c>
      <c r="J39" s="3" t="inlineStr">
        <is>
          <t>QA opened 105_08.jpg (1000x1000) and checked against workbook observation: Stress-free easy-care panel listing wrinkle-free, stain-proof, anti-pilling and wash durability.</t>
        </is>
      </c>
      <c r="K39" s="3" t="inlineStr">
        <is>
          <t>Stress-free easy-care panel listing wrinkle-free, stain-proof, anti-pilling and wash durability.</t>
        </is>
      </c>
      <c r="L39" s="3" t="inlineStr">
        <is>
          <t>SET</t>
        </is>
      </c>
      <c r="M39" s="3" t="inlineStr">
        <is>
          <t>Easy care panel for comforter bedding for multicolor Jayden soccer net comforter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["seo_runs\\jeminise.com\\20260906_234129\\qa\\20260909_122805\\images\\105_08.jpg", "https://cdn.shopify.com/s/files/1/0792/5098/1063/files/dd6b2f75d5d331064be3e2ace151f6872c3f1f67675d8c1c7fa00f207341180b_f495c796-ec94-4c7a-ae83-a703dc0e4a3c.jpg?v=1786610952"]</t>
        </is>
      </c>
    </row>
    <row r="40" ht="66" customHeight="1">
      <c r="A40" s="2" t="inlineStr">
        <is>
          <t>jeminise.com+custom-soccer-ball-water-splashes-comforter-set-machine-washable</t>
        </is>
      </c>
      <c r="B40" s="2" t="inlineStr">
        <is>
          <t>qaimg_8c603dc3486df9fa</t>
        </is>
      </c>
      <c r="C40" s="4" t="inlineStr">
        <is>
          <t>https://cdn.shopify.com/s/files/1/0792/5098/1063/files/f55864bd923cfb841eb33123844bd7bddec61cb2871b60e8b3599cfa4e4987d1.jpg?v=1786610971</t>
        </is>
      </c>
      <c r="D40" s="4" t="inlineStr">
        <is>
          <t>https://cdn.shopify.com/s/files/1/0792/5098/1063/files/f55864bd923cfb841eb33123844bd7bddec61cb2871b60e8b3599cfa4e4987d1.jpg?v=1786610971</t>
        </is>
      </c>
      <c r="E40" s="2" t="inlineStr">
        <is>
          <t>47833424789703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2026-09-09T12:28:05+07:00</t>
        </is>
      </c>
      <c r="J40" s="2" t="inlineStr">
        <is>
          <t>QA opened 106_01.jpg (1000x1000) and checked against workbook observation: Bedroom mockup of blue water splash soccer comforter with Matthew text and 15 shams.</t>
        </is>
      </c>
      <c r="K40" s="2" t="inlineStr">
        <is>
          <t>Bedroom mockup of blue water splash soccer comforter with Matthew text and 15 shams.</t>
        </is>
      </c>
      <c r="L40" s="2" t="inlineStr">
        <is>
          <t>SET</t>
        </is>
      </c>
      <c r="M40" s="2" t="inlineStr">
        <is>
          <t>Matthew water splash soccer comforter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["seo_runs\\jeminise.com\\20260906_234129\\qa\\20260909_122805\\images\\106_01.jpg", "https://cdn.shopify.com/s/files/1/0792/5098/1063/files/f55864bd923cfb841eb33123844bd7bddec61cb2871b60e8b3599cfa4e4987d1.jpg?v=1786610971"]</t>
        </is>
      </c>
    </row>
    <row r="41" ht="66" customHeight="1">
      <c r="A41" s="3" t="inlineStr">
        <is>
          <t>jeminise.com+custom-soccer-ball-water-splashes-comforter-set-machine-washable</t>
        </is>
      </c>
      <c r="B41" s="3" t="inlineStr">
        <is>
          <t>qaimg_7eccf26cde6afdeb</t>
        </is>
      </c>
      <c r="C41" s="4" t="inlineStr">
        <is>
          <t>https://cdn.shopify.com/s/files/1/0792/5098/1063/files/e57ab99e727175c89654887c2283894fe8a7e00033511ddc129efed7defe230c.jpg?v=1786610972</t>
        </is>
      </c>
      <c r="D41" s="4" t="inlineStr">
        <is>
          <t>https://cdn.shopify.com/s/files/1/0792/5098/1063/files/e57ab99e727175c89654887c2283894fe8a7e00033511ddc129efed7defe230c.jpg?v=1786610972</t>
        </is>
      </c>
      <c r="E41" s="3" t="inlineStr">
        <is>
          <t>47833424822471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2026-09-09T12:28:05+07:00</t>
        </is>
      </c>
      <c r="J41" s="3" t="inlineStr">
        <is>
          <t>QA opened 106_02.jpg (1000x1000) and checked against workbook observation: Feature panel showing water splash soccer bedding and 3D printed pattern callouts.</t>
        </is>
      </c>
      <c r="K41" s="3" t="inlineStr">
        <is>
          <t>Feature panel showing water splash soccer bedding and 3D printed pattern callouts.</t>
        </is>
      </c>
      <c r="L41" s="3" t="inlineStr">
        <is>
          <t>SET</t>
        </is>
      </c>
      <c r="M41" s="3" t="inlineStr">
        <is>
          <t>Water splash soccer comforter feature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["seo_runs\\jeminise.com\\20260906_234129\\qa\\20260909_122805\\images\\106_02.jpg", "https://cdn.shopify.com/s/files/1/0792/5098/1063/files/e57ab99e727175c89654887c2283894fe8a7e00033511ddc129efed7defe230c.jpg?v=1786610972"]</t>
        </is>
      </c>
    </row>
    <row r="42" ht="66" customHeight="1">
      <c r="A42" s="2" t="inlineStr">
        <is>
          <t>jeminise.com+custom-soccer-ball-water-splashes-comforter-set-machine-washable</t>
        </is>
      </c>
      <c r="B42" s="2" t="inlineStr">
        <is>
          <t>qaimg_f91ed83d24374dd9</t>
        </is>
      </c>
      <c r="C42" s="4" t="inlineStr">
        <is>
          <t>https://cdn.shopify.com/s/files/1/0792/5098/1063/files/0b1d1e19cab6d757366a36700f895ecca060303e705a8aece2f5fa486b6770da_d0ea3391-1dbc-4cd3-ba29-00beca290e13.jpg?v=1786610972</t>
        </is>
      </c>
      <c r="D42" s="4" t="inlineStr">
        <is>
          <t>https://cdn.shopify.com/s/files/1/0792/5098/1063/files/0b1d1e19cab6d757366a36700f895ecca060303e705a8aece2f5fa486b6770da_d0ea3391-1dbc-4cd3-ba29-00beca290e13.jpg?v=1786610972</t>
        </is>
      </c>
      <c r="E42" s="2" t="inlineStr">
        <is>
          <t>47833424855239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2026-09-09T12:28:05+07:00</t>
        </is>
      </c>
      <c r="J42" s="2" t="inlineStr">
        <is>
          <t>QA opened 106_03.jpg (1000x1000) and checked against workbook observation: Comparison panel explaining duvet cover set and comforter set bedding options.</t>
        </is>
      </c>
      <c r="K42" s="2" t="inlineStr">
        <is>
          <t>Comparison panel explaining duvet cover set and comforter set bedding options.</t>
        </is>
      </c>
      <c r="L42" s="2" t="inlineStr">
        <is>
          <t>SET</t>
        </is>
      </c>
      <c r="M42" s="2" t="inlineStr">
        <is>
          <t>Duvet cover and comforter set comparison panel for Matthew blue water splash soccer comforter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["seo_runs\\jeminise.com\\20260906_234129\\qa\\20260909_122805\\images\\106_03.jpg", "https://cdn.shopify.com/s/files/1/0792/5098/1063/files/0b1d1e19cab6d757366a36700f895ecca060303e705a8aece2f5fa486b6770da_d0ea3391-1dbc-4cd3-ba29-00beca290e13.jpg?v=1786610972"]</t>
        </is>
      </c>
    </row>
    <row r="43" ht="66" customHeight="1">
      <c r="A43" s="3" t="inlineStr">
        <is>
          <t>jeminise.com+custom-soccer-ball-water-splashes-comforter-set-machine-washable</t>
        </is>
      </c>
      <c r="B43" s="3" t="inlineStr">
        <is>
          <t>qaimg_c4f4d359dc60a938</t>
        </is>
      </c>
      <c r="C43" s="4" t="inlineStr">
        <is>
          <t>https://cdn.shopify.com/s/files/1/0792/5098/1063/files/09698594226d8d0790d2d60d7e9422bcf5582493d9bc17e46842c5cc0e151233.jpg?v=1786610971</t>
        </is>
      </c>
      <c r="D43" s="4" t="inlineStr">
        <is>
          <t>https://cdn.shopify.com/s/files/1/0792/5098/1063/files/09698594226d8d0790d2d60d7e9422bcf5582493d9bc17e46842c5cc0e151233.jpg?v=1786610971</t>
        </is>
      </c>
      <c r="E43" s="3" t="inlineStr">
        <is>
          <t>47833424888007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2026-09-09T12:28:05+07:00</t>
        </is>
      </c>
      <c r="J43" s="3" t="inlineStr">
        <is>
          <t>QA opened 106_04.jpg (1000x1000) and checked against workbook observation: Bedroom mockup of Matthew water splash soccer bedding with matching 15 shams.</t>
        </is>
      </c>
      <c r="K43" s="3" t="inlineStr">
        <is>
          <t>Bedroom mockup of Matthew water splash soccer bedding with matching 15 shams.</t>
        </is>
      </c>
      <c r="L43" s="3" t="inlineStr">
        <is>
          <t>SET</t>
        </is>
      </c>
      <c r="M43" s="3" t="inlineStr">
        <is>
          <t>Matthew water splash soccer bedding set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["seo_runs\\jeminise.com\\20260906_234129\\qa\\20260909_122805\\images\\106_04.jpg", "https://cdn.shopify.com/s/files/1/0792/5098/1063/files/09698594226d8d0790d2d60d7e9422bcf5582493d9bc17e46842c5cc0e151233.jpg?v=1786610971"]</t>
        </is>
      </c>
    </row>
    <row r="44" ht="66" customHeight="1">
      <c r="A44" s="2" t="inlineStr">
        <is>
          <t>jeminise.com+custom-soccer-ball-water-splashes-comforter-set-machine-washable</t>
        </is>
      </c>
      <c r="B44" s="2" t="inlineStr">
        <is>
          <t>qaimg_da5952753a10b18c</t>
        </is>
      </c>
      <c r="C44" s="4" t="inlineStr">
        <is>
          <t>https://cdn.shopify.com/s/files/1/0792/5098/1063/files/edd6c5b1619100663d28a2e1f0044a8134f12d71d4e2e0beaf1aebe286083b00.jpg?v=1786610971</t>
        </is>
      </c>
      <c r="D44" s="4" t="inlineStr">
        <is>
          <t>https://cdn.shopify.com/s/files/1/0792/5098/1063/files/edd6c5b1619100663d28a2e1f0044a8134f12d71d4e2e0beaf1aebe286083b00.jpg?v=1786610971</t>
        </is>
      </c>
      <c r="E44" s="2" t="inlineStr">
        <is>
          <t>47833424920775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2026-09-09T12:28:05+07:00</t>
        </is>
      </c>
      <c r="J44" s="2" t="inlineStr">
        <is>
          <t>QA opened 106_05.jpg (1000x1000) and checked against workbook observation: Close-up corner showing water splash soccer artwork under white microfiber filling.</t>
        </is>
      </c>
      <c r="K44" s="2" t="inlineStr">
        <is>
          <t>Close-up corner showing water splash soccer artwork under white microfiber filling.</t>
        </is>
      </c>
      <c r="L44" s="2" t="inlineStr">
        <is>
          <t>SET</t>
        </is>
      </c>
      <c r="M44" s="2" t="inlineStr">
        <is>
          <t>Water splash soccer comforter microfiber close-up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["seo_runs\\jeminise.com\\20260906_234129\\qa\\20260909_122805\\images\\106_05.jpg", "https://cdn.shopify.com/s/files/1/0792/5098/1063/files/edd6c5b1619100663d28a2e1f0044a8134f12d71d4e2e0beaf1aebe286083b00.jpg?v=1786610971"]</t>
        </is>
      </c>
    </row>
    <row r="45" ht="66" customHeight="1">
      <c r="A45" s="3" t="inlineStr">
        <is>
          <t>jeminise.com+custom-soccer-ball-water-splashes-comforter-set-machine-washable</t>
        </is>
      </c>
      <c r="B45" s="3" t="inlineStr">
        <is>
          <t>qaimg_5075bb7be2f3ce77</t>
        </is>
      </c>
      <c r="C45" s="4" t="inlineStr">
        <is>
          <t>https://cdn.shopify.com/s/files/1/0792/5098/1063/files/eb3bcbfe3f8d762beed0aeedacccf09e473ce42fc43e30ffab6a54c49783ff7f.jpg?v=1786610972</t>
        </is>
      </c>
      <c r="D45" s="4" t="inlineStr">
        <is>
          <t>https://cdn.shopify.com/s/files/1/0792/5098/1063/files/eb3bcbfe3f8d762beed0aeedacccf09e473ce42fc43e30ffab6a54c49783ff7f.jpg?v=1786610972</t>
        </is>
      </c>
      <c r="E45" s="3" t="inlineStr">
        <is>
          <t>47833424953543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2026-09-09T12:28:05+07:00</t>
        </is>
      </c>
      <c r="J45" s="3" t="inlineStr">
        <is>
          <t>QA opened 106_06.jpg (1000x1000) and checked against workbook observation: Low-angle water splash soccer bedding mockup with soft, lightweight, durable and breathable icons.</t>
        </is>
      </c>
      <c r="K45" s="3" t="inlineStr">
        <is>
          <t>Low-angle water splash soccer bedding mockup with soft, lightweight, durable and breathable icons.</t>
        </is>
      </c>
      <c r="L45" s="3" t="inlineStr">
        <is>
          <t>SET</t>
        </is>
      </c>
      <c r="M45" s="3" t="inlineStr">
        <is>
          <t>Water splash soccer bedding with feature icons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["seo_runs\\jeminise.com\\20260906_234129\\qa\\20260909_122805\\images\\106_06.jpg", "https://cdn.shopify.com/s/files/1/0792/5098/1063/files/eb3bcbfe3f8d762beed0aeedacccf09e473ce42fc43e30ffab6a54c49783ff7f.jpg?v=1786610972"]</t>
        </is>
      </c>
    </row>
    <row r="46" ht="66" customHeight="1">
      <c r="A46" s="2" t="inlineStr">
        <is>
          <t>jeminise.com+custom-soccer-ball-water-splashes-comforter-set-machine-washable</t>
        </is>
      </c>
      <c r="B46" s="2" t="inlineStr">
        <is>
          <t>qaimg_b1c8d908627f576a</t>
        </is>
      </c>
      <c r="C46" s="4" t="inlineStr">
        <is>
          <t>https://cdn.shopify.com/s/files/1/0792/5098/1063/files/dd6b2f75d5d331064be3e2ace151f6872c3f1f67675d8c1c7fa00f207341180b_2a160289-1bc0-441f-97ca-4eb1ab9defdf.jpg?v=1786610971</t>
        </is>
      </c>
      <c r="D46" s="4" t="inlineStr">
        <is>
          <t>https://cdn.shopify.com/s/files/1/0792/5098/1063/files/dd6b2f75d5d331064be3e2ace151f6872c3f1f67675d8c1c7fa00f207341180b_2a160289-1bc0-441f-97ca-4eb1ab9defdf.jpg?v=1786610971</t>
        </is>
      </c>
      <c r="E46" s="2" t="inlineStr">
        <is>
          <t>47833424986311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2026-09-09T12:28:05+07:00</t>
        </is>
      </c>
      <c r="J46" s="2" t="inlineStr">
        <is>
          <t>QA opened 106_07.jpg (1000x1000) and checked against workbook observation: Stress-free easy-care panel listing wrinkle-free, stain-proof, anti-pilling and wash durability.</t>
        </is>
      </c>
      <c r="K46" s="2" t="inlineStr">
        <is>
          <t>Stress-free easy-care panel listing wrinkle-free, stain-proof, anti-pilling and wash durability.</t>
        </is>
      </c>
      <c r="L46" s="2" t="inlineStr">
        <is>
          <t>SET</t>
        </is>
      </c>
      <c r="M46" s="2" t="inlineStr">
        <is>
          <t>Easy care panel for comforter bedding for Matthew blue water splash soccer comforter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["seo_runs\\jeminise.com\\20260906_234129\\qa\\20260909_122805\\images\\106_07.jpg", "https://cdn.shopify.com/s/files/1/0792/5098/1063/files/dd6b2f75d5d331064be3e2ace151f6872c3f1f67675d8c1c7fa00f207341180b_2a160289-1bc0-441f-97ca-4eb1ab9defdf.jpg?v=1786610971"]</t>
        </is>
      </c>
    </row>
    <row r="47" ht="66" customHeight="1">
      <c r="A47" s="3" t="inlineStr">
        <is>
          <t>jeminise.com+custom-soccer-ball-water-splashes-comforter-set-machine-washable</t>
        </is>
      </c>
      <c r="B47" s="3" t="inlineStr">
        <is>
          <t>qaimg_b69dc4c7ad32632c</t>
        </is>
      </c>
      <c r="C47" s="4" t="inlineStr">
        <is>
          <t>https://cdn.shopify.com/s/files/1/0792/5098/1063/files/d761ea3ae4f4c0b26b7473177b21a616c5199552823ec637c64fe7b0d6b0f12f_d968ca6a-19c4-4159-9b4e-958c04bbc806.jpg?v=1786610971</t>
        </is>
      </c>
      <c r="D47" s="4" t="inlineStr">
        <is>
          <t>https://cdn.shopify.com/s/files/1/0792/5098/1063/files/d761ea3ae4f4c0b26b7473177b21a616c5199552823ec637c64fe7b0d6b0f12f_d968ca6a-19c4-4159-9b4e-958c04bbc806.jpg?v=1786610971</t>
        </is>
      </c>
      <c r="E47" s="3" t="inlineStr">
        <is>
          <t>47833425019079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2026-09-09T12:28:05+07:00</t>
        </is>
      </c>
      <c r="J47" s="3" t="inlineStr">
        <is>
          <t>QA opened 106_08.jpg (1000x1000) and checked against workbook observation: Size dimension chart showing twin, full, queen and king bedding measurements.</t>
        </is>
      </c>
      <c r="K47" s="3" t="inlineStr">
        <is>
          <t>Size dimension chart showing twin, full, queen and king bedding measurements.</t>
        </is>
      </c>
      <c r="L47" s="3" t="inlineStr">
        <is>
          <t>SET</t>
        </is>
      </c>
      <c r="M47" s="3" t="inlineStr">
        <is>
          <t>Comforter set size dimension chart for Matthew blue water splash soccer comforter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["seo_runs\\jeminise.com\\20260906_234129\\qa\\20260909_122805\\images\\106_08.jpg", "https://cdn.shopify.com/s/files/1/0792/5098/1063/files/d761ea3ae4f4c0b26b7473177b21a616c5199552823ec637c64fe7b0d6b0f12f_d968ca6a-19c4-4159-9b4e-958c04bbc806.jpg?v=1786610971"]</t>
        </is>
      </c>
    </row>
    <row r="48" ht="66" customHeight="1">
      <c r="A48" s="2" t="inlineStr">
        <is>
          <t>jeminise.com+custom-soccer-ball-with-lightning-splash-comforter-set-a11</t>
        </is>
      </c>
      <c r="B48" s="2" t="inlineStr">
        <is>
          <t>qaimg_3c1f865bd002c87a</t>
        </is>
      </c>
      <c r="C48" s="4" t="inlineStr">
        <is>
          <t>https://cdn.shopify.com/s/files/1/0792/5098/1063/files/99c0337aa1a903214fd6d8c8bd8e26623ae3840aacc91fae513643a9bb227f75.jpg?v=1786611005</t>
        </is>
      </c>
      <c r="D48" s="4" t="inlineStr">
        <is>
          <t>https://cdn.shopify.com/s/files/1/0792/5098/1063/files/99c0337aa1a903214fd6d8c8bd8e26623ae3840aacc91fae513643a9bb227f75.jpg?v=1786611005</t>
        </is>
      </c>
      <c r="E48" s="2" t="inlineStr">
        <is>
          <t>47833434423495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2026-09-09T12:28:05+07:00</t>
        </is>
      </c>
      <c r="J48" s="2" t="inlineStr">
        <is>
          <t>QA opened 107_01.jpg (1000x1000) and checked against workbook observation: Bedroom mockup of dark blue lightning soccer comforter with Lucas text and number 10 shams.</t>
        </is>
      </c>
      <c r="K48" s="2" t="inlineStr">
        <is>
          <t>Bedroom mockup of dark blue lightning soccer comforter with Lucas text and number 10 shams.</t>
        </is>
      </c>
      <c r="L48" s="2" t="inlineStr">
        <is>
          <t>SET</t>
        </is>
      </c>
      <c r="M48" s="2" t="inlineStr">
        <is>
          <t>Lucas lightning soccer comforter set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["seo_runs\\jeminise.com\\20260906_234129\\qa\\20260909_122805\\images\\107_01.jpg", "https://cdn.shopify.com/s/files/1/0792/5098/1063/files/99c0337aa1a903214fd6d8c8bd8e26623ae3840aacc91fae513643a9bb227f75.jpg?v=1786611005"]</t>
        </is>
      </c>
    </row>
    <row r="49" ht="66" customHeight="1">
      <c r="A49" s="3" t="inlineStr">
        <is>
          <t>jeminise.com+custom-soccer-ball-with-lightning-splash-comforter-set-a11</t>
        </is>
      </c>
      <c r="B49" s="3" t="inlineStr">
        <is>
          <t>qaimg_1b695b0e728297bb</t>
        </is>
      </c>
      <c r="C49" s="4" t="inlineStr">
        <is>
          <t>https://cdn.shopify.com/s/files/1/0792/5098/1063/files/bbceee785f4fb5333bde47a326fc902c71760ff9d93f2a06824ccb2e16d5a223.jpg?v=1786611005</t>
        </is>
      </c>
      <c r="D49" s="4" t="inlineStr">
        <is>
          <t>https://cdn.shopify.com/s/files/1/0792/5098/1063/files/bbceee785f4fb5333bde47a326fc902c71760ff9d93f2a06824ccb2e16d5a223.jpg?v=1786611005</t>
        </is>
      </c>
      <c r="E49" s="3" t="inlineStr">
        <is>
          <t>47833434456263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2026-09-09T12:28:05+07:00</t>
        </is>
      </c>
      <c r="J49" s="3" t="inlineStr">
        <is>
          <t>QA opened 107_02.jpg (1000x1000) and checked against workbook observation: Feature panel showing lightning soccer bedding and 3D printed pattern callouts.</t>
        </is>
      </c>
      <c r="K49" s="3" t="inlineStr">
        <is>
          <t>Feature panel showing lightning soccer bedding and 3D printed pattern callouts.</t>
        </is>
      </c>
      <c r="L49" s="3" t="inlineStr">
        <is>
          <t>SET</t>
        </is>
      </c>
      <c r="M49" s="3" t="inlineStr">
        <is>
          <t>Lightning soccer comforter feature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["seo_runs\\jeminise.com\\20260906_234129\\qa\\20260909_122805\\images\\107_02.jpg", "https://cdn.shopify.com/s/files/1/0792/5098/1063/files/bbceee785f4fb5333bde47a326fc902c71760ff9d93f2a06824ccb2e16d5a223.jpg?v=1786611005"]</t>
        </is>
      </c>
    </row>
    <row r="50" ht="66" customHeight="1">
      <c r="A50" s="2" t="inlineStr">
        <is>
          <t>jeminise.com+custom-soccer-ball-with-lightning-splash-comforter-set-a11</t>
        </is>
      </c>
      <c r="B50" s="2" t="inlineStr">
        <is>
          <t>qaimg_0dc53f34e87fe6ac</t>
        </is>
      </c>
      <c r="C50" s="4" t="inlineStr">
        <is>
          <t>https://cdn.shopify.com/s/files/1/0792/5098/1063/files/4e804d60961fc10370a298e8612c0ff95ce56d8f156f00a5b5ba1ec7ec563d47.jpg?v=1786611005</t>
        </is>
      </c>
      <c r="D50" s="4" t="inlineStr">
        <is>
          <t>https://cdn.shopify.com/s/files/1/0792/5098/1063/files/4e804d60961fc10370a298e8612c0ff95ce56d8f156f00a5b5ba1ec7ec563d47.jpg?v=1786611005</t>
        </is>
      </c>
      <c r="E50" s="2" t="inlineStr">
        <is>
          <t>47833434489031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2026-09-09T12:28:05+07:00</t>
        </is>
      </c>
      <c r="J50" s="2" t="inlineStr">
        <is>
          <t>QA opened 107_03.jpg (1000x1000) and checked against workbook observation: Pillow sham mockup showing number 10 soccer ball with lightning splash.</t>
        </is>
      </c>
      <c r="K50" s="2" t="inlineStr">
        <is>
          <t>Pillow sham mockup showing number 10 soccer ball with lightning splash.</t>
        </is>
      </c>
      <c r="L50" s="2" t="inlineStr">
        <is>
          <t>SET</t>
        </is>
      </c>
      <c r="M50" s="2" t="inlineStr">
        <is>
          <t>Lightning soccer pillow shams with number 10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["seo_runs\\jeminise.com\\20260906_234129\\qa\\20260909_122805\\images\\107_03.jpg", "https://cdn.shopify.com/s/files/1/0792/5098/1063/files/4e804d60961fc10370a298e8612c0ff95ce56d8f156f00a5b5ba1ec7ec563d47.jpg?v=1786611005"]</t>
        </is>
      </c>
    </row>
    <row r="51" ht="66" customHeight="1">
      <c r="A51" s="3" t="inlineStr">
        <is>
          <t>jeminise.com+custom-soccer-ball-with-lightning-splash-comforter-set-a11</t>
        </is>
      </c>
      <c r="B51" s="3" t="inlineStr">
        <is>
          <t>qaimg_772cdda85ac8d622</t>
        </is>
      </c>
      <c r="C51" s="4" t="inlineStr">
        <is>
          <t>https://cdn.shopify.com/s/files/1/0792/5098/1063/files/0b1d1e19cab6d757366a36700f895ecca060303e705a8aece2f5fa486b6770da_ad3381b0-8f12-41ea-826f-8b1b630f53f9.jpg?v=1786611005</t>
        </is>
      </c>
      <c r="D51" s="4" t="inlineStr">
        <is>
          <t>https://cdn.shopify.com/s/files/1/0792/5098/1063/files/0b1d1e19cab6d757366a36700f895ecca060303e705a8aece2f5fa486b6770da_ad3381b0-8f12-41ea-826f-8b1b630f53f9.jpg?v=1786611005</t>
        </is>
      </c>
      <c r="E51" s="3" t="inlineStr">
        <is>
          <t>47833434521799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2026-09-09T12:28:05+07:00</t>
        </is>
      </c>
      <c r="J51" s="3" t="inlineStr">
        <is>
          <t>QA opened 107_04.jpg (1000x1000) and checked against workbook observation: Comparison panel explaining duvet cover set and comforter set bedding options.</t>
        </is>
      </c>
      <c r="K51" s="3" t="inlineStr">
        <is>
          <t>Comparison panel explaining duvet cover set and comforter set bedding options.</t>
        </is>
      </c>
      <c r="L51" s="3" t="inlineStr">
        <is>
          <t>SET</t>
        </is>
      </c>
      <c r="M51" s="3" t="inlineStr">
        <is>
          <t>Duvet cover and comforter set comparison panel for Lucas lightning splash soccer comforter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["seo_runs\\jeminise.com\\20260906_234129\\qa\\20260909_122805\\images\\107_04.jpg", "https://cdn.shopify.com/s/files/1/0792/5098/1063/files/0b1d1e19cab6d757366a36700f895ecca060303e705a8aece2f5fa486b6770da_ad3381b0-8f12-41ea-826f-8b1b630f53f9.jpg?v=1786611005"]</t>
        </is>
      </c>
    </row>
    <row r="52" ht="66" customHeight="1">
      <c r="A52" s="2" t="inlineStr">
        <is>
          <t>jeminise.com+custom-soccer-ball-with-lightning-splash-comforter-set-a11</t>
        </is>
      </c>
      <c r="B52" s="2" t="inlineStr">
        <is>
          <t>qaimg_8d711ca56d2332fb</t>
        </is>
      </c>
      <c r="C52" s="4" t="inlineStr">
        <is>
          <t>https://cdn.shopify.com/s/files/1/0792/5098/1063/files/0dea1872a1830ca71627f3c05a584b4d71ad52bf0c115e041b118ed27a4ac318.jpg?v=1786611005</t>
        </is>
      </c>
      <c r="D52" s="4" t="inlineStr">
        <is>
          <t>https://cdn.shopify.com/s/files/1/0792/5098/1063/files/0dea1872a1830ca71627f3c05a584b4d71ad52bf0c115e041b118ed27a4ac318.jpg?v=1786611005</t>
        </is>
      </c>
      <c r="E52" s="2" t="inlineStr">
        <is>
          <t>47833434554567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2026-09-09T12:28:05+07:00</t>
        </is>
      </c>
      <c r="J52" s="2" t="inlineStr">
        <is>
          <t>QA opened 107_05.jpg (1000x1000) and checked against workbook observation: Close-up corner showing lightning soccer artwork under white microfiber filling.</t>
        </is>
      </c>
      <c r="K52" s="2" t="inlineStr">
        <is>
          <t>Close-up corner showing lightning soccer artwork under white microfiber filling.</t>
        </is>
      </c>
      <c r="L52" s="2" t="inlineStr">
        <is>
          <t>SET</t>
        </is>
      </c>
      <c r="M52" s="2" t="inlineStr">
        <is>
          <t>Lightning soccer comforter microfiber close-up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["seo_runs\\jeminise.com\\20260906_234129\\qa\\20260909_122805\\images\\107_05.jpg", "https://cdn.shopify.com/s/files/1/0792/5098/1063/files/0dea1872a1830ca71627f3c05a584b4d71ad52bf0c115e041b118ed27a4ac318.jpg?v=1786611005"]</t>
        </is>
      </c>
    </row>
    <row r="53" ht="66" customHeight="1">
      <c r="A53" s="3" t="inlineStr">
        <is>
          <t>jeminise.com+custom-soccer-ball-with-lightning-splash-comforter-set-a11</t>
        </is>
      </c>
      <c r="B53" s="3" t="inlineStr">
        <is>
          <t>qaimg_915e4d1e1de45077</t>
        </is>
      </c>
      <c r="C53" s="4" t="inlineStr">
        <is>
          <t>https://cdn.shopify.com/s/files/1/0792/5098/1063/files/4edb46799f9b82103799a5b6d38c9f1782f7b643f8416b1988caae354b918b0d.jpg?v=1786611005</t>
        </is>
      </c>
      <c r="D53" s="4" t="inlineStr">
        <is>
          <t>https://cdn.shopify.com/s/files/1/0792/5098/1063/files/4edb46799f9b82103799a5b6d38c9f1782f7b643f8416b1988caae354b918b0d.jpg?v=1786611005</t>
        </is>
      </c>
      <c r="E53" s="3" t="inlineStr">
        <is>
          <t>47833434587335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2026-09-09T12:28:05+07:00</t>
        </is>
      </c>
      <c r="J53" s="3" t="inlineStr">
        <is>
          <t>QA opened 107_06.jpg (1000x1000) and checked against workbook observation: Bedroom mockup of Lucas lightning soccer bedding with matching shams.</t>
        </is>
      </c>
      <c r="K53" s="3" t="inlineStr">
        <is>
          <t>Bedroom mockup of Lucas lightning soccer bedding with matching shams.</t>
        </is>
      </c>
      <c r="L53" s="3" t="inlineStr">
        <is>
          <t>SET</t>
        </is>
      </c>
      <c r="M53" s="3" t="inlineStr">
        <is>
          <t>Lucas lightning soccer bedding on bed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["seo_runs\\jeminise.com\\20260906_234129\\qa\\20260909_122805\\images\\107_06.jpg", "https://cdn.shopify.com/s/files/1/0792/5098/1063/files/4edb46799f9b82103799a5b6d38c9f1782f7b643f8416b1988caae354b918b0d.jpg?v=1786611005"]</t>
        </is>
      </c>
    </row>
    <row r="54" ht="66" customHeight="1">
      <c r="A54" s="2" t="inlineStr">
        <is>
          <t>jeminise.com+custom-soccer-ball-with-lightning-splash-comforter-set-a11</t>
        </is>
      </c>
      <c r="B54" s="2" t="inlineStr">
        <is>
          <t>qaimg_c8b0aad4e4d2e60b</t>
        </is>
      </c>
      <c r="C54" s="4" t="inlineStr">
        <is>
          <t>https://cdn.shopify.com/s/files/1/0792/5098/1063/files/f9477607c6de568da5d083144193776fcd05487159137f454c1cc1e191f3fe04.jpg?v=1786611005</t>
        </is>
      </c>
      <c r="D54" s="4" t="inlineStr">
        <is>
          <t>https://cdn.shopify.com/s/files/1/0792/5098/1063/files/f9477607c6de568da5d083144193776fcd05487159137f454c1cc1e191f3fe04.jpg?v=1786611005</t>
        </is>
      </c>
      <c r="E54" s="2" t="inlineStr">
        <is>
          <t>47833434620103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2026-09-09T12:28:05+07:00</t>
        </is>
      </c>
      <c r="J54" s="2" t="inlineStr">
        <is>
          <t>QA opened 107_07.jpg (1000x1000) and checked against workbook observation: Low-angle lightning soccer bedding mockup with soft, lightweight, durable and breathable icons.</t>
        </is>
      </c>
      <c r="K54" s="2" t="inlineStr">
        <is>
          <t>Low-angle lightning soccer bedding mockup with soft, lightweight, durable and breathable icons.</t>
        </is>
      </c>
      <c r="L54" s="2" t="inlineStr">
        <is>
          <t>SET</t>
        </is>
      </c>
      <c r="M54" s="2" t="inlineStr">
        <is>
          <t>Lightning soccer bedding with feature icons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["seo_runs\\jeminise.com\\20260906_234129\\qa\\20260909_122805\\images\\107_07.jpg", "https://cdn.shopify.com/s/files/1/0792/5098/1063/files/f9477607c6de568da5d083144193776fcd05487159137f454c1cc1e191f3fe04.jpg?v=1786611005"]</t>
        </is>
      </c>
    </row>
    <row r="55" ht="66" customHeight="1">
      <c r="A55" s="3" t="inlineStr">
        <is>
          <t>jeminise.com+custom-soccer-ball-with-lightning-splash-comforter-set-a11</t>
        </is>
      </c>
      <c r="B55" s="3" t="inlineStr">
        <is>
          <t>qaimg_e2e30ed9eb199d9b</t>
        </is>
      </c>
      <c r="C55" s="4" t="inlineStr">
        <is>
          <t>https://cdn.shopify.com/s/files/1/0792/5098/1063/files/dd6b2f75d5d331064be3e2ace151f6872c3f1f67675d8c1c7fa00f207341180b_dcd01edf-59bd-4789-a33f-4d7561619c86.jpg?v=1786611005</t>
        </is>
      </c>
      <c r="D55" s="4" t="inlineStr">
        <is>
          <t>https://cdn.shopify.com/s/files/1/0792/5098/1063/files/dd6b2f75d5d331064be3e2ace151f6872c3f1f67675d8c1c7fa00f207341180b_dcd01edf-59bd-4789-a33f-4d7561619c86.jpg?v=1786611005</t>
        </is>
      </c>
      <c r="E55" s="3" t="inlineStr">
        <is>
          <t>47833434652871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2026-09-09T12:28:05+07:00</t>
        </is>
      </c>
      <c r="J55" s="3" t="inlineStr">
        <is>
          <t>QA opened 107_08.jpg (1000x1000) and checked against workbook observation: Stress-free easy-care panel listing wrinkle-free, stain-proof, anti-pilling and wash durability.</t>
        </is>
      </c>
      <c r="K55" s="3" t="inlineStr">
        <is>
          <t>Stress-free easy-care panel listing wrinkle-free, stain-proof, anti-pilling and wash durability.</t>
        </is>
      </c>
      <c r="L55" s="3" t="inlineStr">
        <is>
          <t>SET</t>
        </is>
      </c>
      <c r="M55" s="3" t="inlineStr">
        <is>
          <t>Easy care panel for comforter bedding for Lucas lightning splash soccer comforter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["seo_runs\\jeminise.com\\20260906_234129\\qa\\20260909_122805\\images\\107_08.jpg", "https://cdn.shopify.com/s/files/1/0792/5098/1063/files/dd6b2f75d5d331064be3e2ace151f6872c3f1f67675d8c1c7fa00f207341180b_dcd01edf-59bd-4789-a33f-4d7561619c86.jpg?v=1786611005"]</t>
        </is>
      </c>
    </row>
    <row r="56" ht="66" customHeight="1">
      <c r="A56" s="2" t="inlineStr">
        <is>
          <t>jeminise.com+custom-soccer-ball-with-number-07-comforter-set-machine-w-design-17</t>
        </is>
      </c>
      <c r="B56" s="2" t="inlineStr">
        <is>
          <t>qaimg_d11e33ed04a122b6</t>
        </is>
      </c>
      <c r="C56" s="4" t="inlineStr">
        <is>
          <t>https://cdn.shopify.com/s/files/1/0792/5098/1063/files/91bf412567430222fd923eb6025e10f4826c9605c89111734a5f062094f92ef4.jpg?v=1786611043</t>
        </is>
      </c>
      <c r="D56" s="4" t="inlineStr">
        <is>
          <t>https://cdn.shopify.com/s/files/1/0792/5098/1063/files/91bf412567430222fd923eb6025e10f4826c9605c89111734a5f062094f92ef4.jpg?v=1786611043</t>
        </is>
      </c>
      <c r="E56" s="2" t="inlineStr">
        <is>
          <t>47833443795143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2026-09-09T12:28:05+07:00</t>
        </is>
      </c>
      <c r="J56" s="2" t="inlineStr">
        <is>
          <t>QA opened 108_01.jpg (1000x1000) and checked against workbook observation: Bedroom mockup of white and blue soccer comforter with Isaac text and number 07 ball.</t>
        </is>
      </c>
      <c r="K56" s="2" t="inlineStr">
        <is>
          <t>Bedroom mockup of white and blue soccer comforter with Isaac text and number 07 ball.</t>
        </is>
      </c>
      <c r="L56" s="2" t="inlineStr">
        <is>
          <t>SET</t>
        </is>
      </c>
      <c r="M56" s="2" t="inlineStr">
        <is>
          <t>Isaac soccer ball 07 comforter set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["seo_runs\\jeminise.com\\20260906_234129\\qa\\20260909_122805\\images\\108_01.jpg", "https://cdn.shopify.com/s/files/1/0792/5098/1063/files/91bf412567430222fd923eb6025e10f4826c9605c89111734a5f062094f92ef4.jpg?v=1786611043"]</t>
        </is>
      </c>
    </row>
    <row r="57" ht="66" customHeight="1">
      <c r="A57" s="3" t="inlineStr">
        <is>
          <t>jeminise.com+custom-soccer-ball-with-number-07-comforter-set-machine-w-design-17</t>
        </is>
      </c>
      <c r="B57" s="3" t="inlineStr">
        <is>
          <t>qaimg_cfbc50595c9b0338</t>
        </is>
      </c>
      <c r="C57" s="4" t="inlineStr">
        <is>
          <t>https://cdn.shopify.com/s/files/1/0792/5098/1063/files/c1d7e0543d7d78889025c6fd2615c8271070249caec922fb5c3530ad03e9ba80.jpg?v=1786611043</t>
        </is>
      </c>
      <c r="D57" s="4" t="inlineStr">
        <is>
          <t>https://cdn.shopify.com/s/files/1/0792/5098/1063/files/c1d7e0543d7d78889025c6fd2615c8271070249caec922fb5c3530ad03e9ba80.jpg?v=1786611043</t>
        </is>
      </c>
      <c r="E57" s="3" t="inlineStr">
        <is>
          <t>47833443827911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2026-09-09T12:28:05+07:00</t>
        </is>
      </c>
      <c r="J57" s="3" t="inlineStr">
        <is>
          <t>QA opened 108_02.jpg (1000x1000) and checked against workbook observation: Feature panel showing Isaac soccer ball bedding and 3D printed pattern callouts.</t>
        </is>
      </c>
      <c r="K57" s="3" t="inlineStr">
        <is>
          <t>Feature panel showing Isaac soccer ball bedding and 3D printed pattern callouts.</t>
        </is>
      </c>
      <c r="L57" s="3" t="inlineStr">
        <is>
          <t>SET</t>
        </is>
      </c>
      <c r="M57" s="3" t="inlineStr">
        <is>
          <t>Isaac soccer comforter feature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["seo_runs\\jeminise.com\\20260906_234129\\qa\\20260909_122805\\images\\108_02.jpg", "https://cdn.shopify.com/s/files/1/0792/5098/1063/files/c1d7e0543d7d78889025c6fd2615c8271070249caec922fb5c3530ad03e9ba80.jpg?v=1786611043"]</t>
        </is>
      </c>
    </row>
    <row r="58" ht="66" customHeight="1">
      <c r="A58" s="2" t="inlineStr">
        <is>
          <t>jeminise.com+custom-soccer-ball-with-number-07-comforter-set-machine-w-design-17</t>
        </is>
      </c>
      <c r="B58" s="2" t="inlineStr">
        <is>
          <t>qaimg_d29fcf431955d4ca</t>
        </is>
      </c>
      <c r="C58" s="4" t="inlineStr">
        <is>
          <t>https://cdn.shopify.com/s/files/1/0792/5098/1063/files/5921b3a6552e3ebdb61cdcfd51f1dfa3145e5562d9a445bcaae4cd8065d33658.jpg?v=1786611043</t>
        </is>
      </c>
      <c r="D58" s="4" t="inlineStr">
        <is>
          <t>https://cdn.shopify.com/s/files/1/0792/5098/1063/files/5921b3a6552e3ebdb61cdcfd51f1dfa3145e5562d9a445bcaae4cd8065d33658.jpg?v=1786611043</t>
        </is>
      </c>
      <c r="E58" s="2" t="inlineStr">
        <is>
          <t>47833443860679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2026-09-09T12:28:05+07:00</t>
        </is>
      </c>
      <c r="J58" s="2" t="inlineStr">
        <is>
          <t>QA opened 108_03.jpg (1000x1000) and checked against workbook observation: Bedroom mockup of Isaac soccer ball bedding with blue paint-splash background.</t>
        </is>
      </c>
      <c r="K58" s="2" t="inlineStr">
        <is>
          <t>Bedroom mockup of Isaac soccer ball bedding with blue paint-splash background.</t>
        </is>
      </c>
      <c r="L58" s="2" t="inlineStr">
        <is>
          <t>SET</t>
        </is>
      </c>
      <c r="M58" s="2" t="inlineStr">
        <is>
          <t>Isaac soccer comforter set on bed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["seo_runs\\jeminise.com\\20260906_234129\\qa\\20260909_122805\\images\\108_03.jpg", "https://cdn.shopify.com/s/files/1/0792/5098/1063/files/5921b3a6552e3ebdb61cdcfd51f1dfa3145e5562d9a445bcaae4cd8065d33658.jpg?v=1786611043"]</t>
        </is>
      </c>
    </row>
    <row r="59" ht="66" customHeight="1">
      <c r="A59" s="3" t="inlineStr">
        <is>
          <t>jeminise.com+custom-soccer-ball-with-number-07-comforter-set-machine-w-design-17</t>
        </is>
      </c>
      <c r="B59" s="3" t="inlineStr">
        <is>
          <t>qaimg_d34a599cdeab0322</t>
        </is>
      </c>
      <c r="C59" s="4" t="inlineStr">
        <is>
          <t>https://cdn.shopify.com/s/files/1/0792/5098/1063/files/8915ff40073ca5d3c05e6bf212701da7635e4e3e8b623331a3f20f312315416a.jpg?v=1786611043</t>
        </is>
      </c>
      <c r="D59" s="4" t="inlineStr">
        <is>
          <t>https://cdn.shopify.com/s/files/1/0792/5098/1063/files/8915ff40073ca5d3c05e6bf212701da7635e4e3e8b623331a3f20f312315416a.jpg?v=1786611043</t>
        </is>
      </c>
      <c r="E59" s="3" t="inlineStr">
        <is>
          <t>47833443893447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2026-09-09T12:28:05+07:00</t>
        </is>
      </c>
      <c r="J59" s="3" t="inlineStr">
        <is>
          <t>QA opened 108_04.jpg (1000x1000) and checked against workbook observation: Close-up corner showing 07 soccer ball artwork under white microfiber filling.</t>
        </is>
      </c>
      <c r="K59" s="3" t="inlineStr">
        <is>
          <t>Close-up corner showing 07 soccer ball artwork under white microfiber filling.</t>
        </is>
      </c>
      <c r="L59" s="3" t="inlineStr">
        <is>
          <t>SET</t>
        </is>
      </c>
      <c r="M59" s="3" t="inlineStr">
        <is>
          <t>Isaac soccer ball comforter microfiber close-up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["seo_runs\\jeminise.com\\20260906_234129\\qa\\20260909_122805\\images\\108_04.jpg", "https://cdn.shopify.com/s/files/1/0792/5098/1063/files/8915ff40073ca5d3c05e6bf212701da7635e4e3e8b623331a3f20f312315416a.jpg?v=1786611043"]</t>
        </is>
      </c>
    </row>
    <row r="60" ht="66" customHeight="1">
      <c r="A60" s="2" t="inlineStr">
        <is>
          <t>jeminise.com+custom-soccer-ball-with-number-07-comforter-set-machine-w-design-17</t>
        </is>
      </c>
      <c r="B60" s="2" t="inlineStr">
        <is>
          <t>qaimg_a2bcb2fc63e15af2</t>
        </is>
      </c>
      <c r="C60" s="4" t="inlineStr">
        <is>
          <t>https://cdn.shopify.com/s/files/1/0792/5098/1063/files/0b1d1e19cab6d757366a36700f895ecca060303e705a8aece2f5fa486b6770da_0ef5481c-0a4c-4890-8fe0-c2bd9767fd9f.jpg?v=1786611043</t>
        </is>
      </c>
      <c r="D60" s="4" t="inlineStr">
        <is>
          <t>https://cdn.shopify.com/s/files/1/0792/5098/1063/files/0b1d1e19cab6d757366a36700f895ecca060303e705a8aece2f5fa486b6770da_0ef5481c-0a4c-4890-8fe0-c2bd9767fd9f.jpg?v=1786611043</t>
        </is>
      </c>
      <c r="E60" s="2" t="inlineStr">
        <is>
          <t>47833443926215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2026-09-09T12:28:05+07:00</t>
        </is>
      </c>
      <c r="J60" s="2" t="inlineStr">
        <is>
          <t>QA opened 108_05.jpg (1000x1000) and checked against workbook observation: Comparison panel explaining duvet cover set and comforter set bedding options.</t>
        </is>
      </c>
      <c r="K60" s="2" t="inlineStr">
        <is>
          <t>Comparison panel explaining duvet cover set and comforter set bedding options.</t>
        </is>
      </c>
      <c r="L60" s="2" t="inlineStr">
        <is>
          <t>SET</t>
        </is>
      </c>
      <c r="M60" s="2" t="inlineStr">
        <is>
          <t>Duvet cover and comforter set comparison panel for Isaac white blue soccer ball 07 comforter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["seo_runs\\jeminise.com\\20260906_234129\\qa\\20260909_122805\\images\\108_05.jpg", "https://cdn.shopify.com/s/files/1/0792/5098/1063/files/0b1d1e19cab6d757366a36700f895ecca060303e705a8aece2f5fa486b6770da_0ef5481c-0a4c-4890-8fe0-c2bd9767fd9f.jpg?v=1786611043"]</t>
        </is>
      </c>
    </row>
    <row r="61" ht="66" customHeight="1">
      <c r="A61" s="3" t="inlineStr">
        <is>
          <t>jeminise.com+custom-soccer-ball-with-number-07-comforter-set-machine-w-design-17</t>
        </is>
      </c>
      <c r="B61" s="3" t="inlineStr">
        <is>
          <t>qaimg_fa1a0010611358b0</t>
        </is>
      </c>
      <c r="C61" s="4" t="inlineStr">
        <is>
          <t>https://cdn.shopify.com/s/files/1/0792/5098/1063/files/ee0b4798b32779dd09e0d1fb674f076dc4cfa4a148d92219e582e7833d8d2fd3.jpg?v=1786611043</t>
        </is>
      </c>
      <c r="D61" s="4" t="inlineStr">
        <is>
          <t>https://cdn.shopify.com/s/files/1/0792/5098/1063/files/ee0b4798b32779dd09e0d1fb674f076dc4cfa4a148d92219e582e7833d8d2fd3.jpg?v=1786611043</t>
        </is>
      </c>
      <c r="E61" s="3" t="inlineStr">
        <is>
          <t>47833443958983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2026-09-09T12:28:05+07:00</t>
        </is>
      </c>
      <c r="J61" s="3" t="inlineStr">
        <is>
          <t>QA opened 108_06.jpg (1000x1000) and checked against workbook observation: Low-angle Isaac soccer bedding mockup with soft, lightweight, durable and breathable icons.</t>
        </is>
      </c>
      <c r="K61" s="3" t="inlineStr">
        <is>
          <t>Low-angle Isaac soccer bedding mockup with soft, lightweight, durable and breathable icons.</t>
        </is>
      </c>
      <c r="L61" s="3" t="inlineStr">
        <is>
          <t>SET</t>
        </is>
      </c>
      <c r="M61" s="3" t="inlineStr">
        <is>
          <t>Isaac soccer bedding with feature icons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["seo_runs\\jeminise.com\\20260906_234129\\qa\\20260909_122805\\images\\108_06.jpg", "https://cdn.shopify.com/s/files/1/0792/5098/1063/files/ee0b4798b32779dd09e0d1fb674f076dc4cfa4a148d92219e582e7833d8d2fd3.jpg?v=1786611043"]</t>
        </is>
      </c>
    </row>
    <row r="62" ht="66" customHeight="1">
      <c r="A62" s="2" t="inlineStr">
        <is>
          <t>jeminise.com+custom-soccer-ball-with-number-07-comforter-set-machine-w-design-17</t>
        </is>
      </c>
      <c r="B62" s="2" t="inlineStr">
        <is>
          <t>qaimg_8625043e34889765</t>
        </is>
      </c>
      <c r="C62" s="4" t="inlineStr">
        <is>
          <t>https://cdn.shopify.com/s/files/1/0792/5098/1063/files/dd6b2f75d5d331064be3e2ace151f6872c3f1f67675d8c1c7fa00f207341180b_fde49913-84ae-4485-af7c-4e189c410f22.jpg?v=1786611043</t>
        </is>
      </c>
      <c r="D62" s="4" t="inlineStr">
        <is>
          <t>https://cdn.shopify.com/s/files/1/0792/5098/1063/files/dd6b2f75d5d331064be3e2ace151f6872c3f1f67675d8c1c7fa00f207341180b_fde49913-84ae-4485-af7c-4e189c410f22.jpg?v=1786611043</t>
        </is>
      </c>
      <c r="E62" s="2" t="inlineStr">
        <is>
          <t>47833443991751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2026-09-09T12:28:05+07:00</t>
        </is>
      </c>
      <c r="J62" s="2" t="inlineStr">
        <is>
          <t>QA opened 108_07.jpg (1000x1000) and checked against workbook observation: Stress-free easy-care panel listing wrinkle-free, stain-proof, anti-pilling and wash durability.</t>
        </is>
      </c>
      <c r="K62" s="2" t="inlineStr">
        <is>
          <t>Stress-free easy-care panel listing wrinkle-free, stain-proof, anti-pilling and wash durability.</t>
        </is>
      </c>
      <c r="L62" s="2" t="inlineStr">
        <is>
          <t>SET</t>
        </is>
      </c>
      <c r="M62" s="2" t="inlineStr">
        <is>
          <t>Easy care panel for comforter bedding for Isaac white blue soccer ball 07 comforter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["seo_runs\\jeminise.com\\20260906_234129\\qa\\20260909_122805\\images\\108_07.jpg", "https://cdn.shopify.com/s/files/1/0792/5098/1063/files/dd6b2f75d5d331064be3e2ace151f6872c3f1f67675d8c1c7fa00f207341180b_fde49913-84ae-4485-af7c-4e189c410f22.jpg?v=1786611043"]</t>
        </is>
      </c>
    </row>
    <row r="63" ht="66" customHeight="1">
      <c r="A63" s="3" t="inlineStr">
        <is>
          <t>jeminise.com+custom-soccer-ball-with-number-07-comforter-set-machine-w-design-17</t>
        </is>
      </c>
      <c r="B63" s="3" t="inlineStr">
        <is>
          <t>qaimg_a19c170971ee34f3</t>
        </is>
      </c>
      <c r="C63" s="4" t="inlineStr">
        <is>
          <t>https://cdn.shopify.com/s/files/1/0792/5098/1063/files/d761ea3ae4f4c0b26b7473177b21a616c5199552823ec637c64fe7b0d6b0f12f_0edc7eea-7c34-4e9e-8459-d2e8633eed35.jpg?v=1786611043</t>
        </is>
      </c>
      <c r="D63" s="4" t="inlineStr">
        <is>
          <t>https://cdn.shopify.com/s/files/1/0792/5098/1063/files/d761ea3ae4f4c0b26b7473177b21a616c5199552823ec637c64fe7b0d6b0f12f_0edc7eea-7c34-4e9e-8459-d2e8633eed35.jpg?v=1786611043</t>
        </is>
      </c>
      <c r="E63" s="3" t="inlineStr">
        <is>
          <t>47833444024519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2026-09-09T12:28:05+07:00</t>
        </is>
      </c>
      <c r="J63" s="3" t="inlineStr">
        <is>
          <t>QA opened 108_08.jpg (1000x1000) and checked against workbook observation: Size dimension chart showing twin, full, queen and king bedding measurements.</t>
        </is>
      </c>
      <c r="K63" s="3" t="inlineStr">
        <is>
          <t>Size dimension chart showing twin, full, queen and king bedding measurements.</t>
        </is>
      </c>
      <c r="L63" s="3" t="inlineStr">
        <is>
          <t>SET</t>
        </is>
      </c>
      <c r="M63" s="3" t="inlineStr">
        <is>
          <t>Comforter set size dimension chart for Isaac white blue soccer ball 07 comforter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["seo_runs\\jeminise.com\\20260906_234129\\qa\\20260909_122805\\images\\108_08.jpg", "https://cdn.shopify.com/s/files/1/0792/5098/1063/files/d761ea3ae4f4c0b26b7473177b21a616c5199552823ec637c64fe7b0d6b0f12f_0edc7eea-7c34-4e9e-8459-d2e8633eed35.jpg?v=1786611043"]</t>
        </is>
      </c>
    </row>
    <row r="64" ht="66" customHeight="1">
      <c r="A64" s="2" t="inlineStr">
        <is>
          <t>jeminise.com+custom-soccer-goal-splash-bedding-comforter-set-machine-washable</t>
        </is>
      </c>
      <c r="B64" s="2" t="inlineStr">
        <is>
          <t>qaimg_767eaae1c9951653</t>
        </is>
      </c>
      <c r="C64" s="4" t="inlineStr">
        <is>
          <t>https://cdn.shopify.com/s/files/1/0792/5098/1063/files/a548b7a12b46780de719980f5aebe8bad1e9ad2c7c30734bccbfe2dcfe856d73.jpg?v=1786611048</t>
        </is>
      </c>
      <c r="D64" s="4" t="inlineStr">
        <is>
          <t>https://cdn.shopify.com/s/files/1/0792/5098/1063/files/a548b7a12b46780de719980f5aebe8bad1e9ad2c7c30734bccbfe2dcfe856d73.jpg?v=1786611048</t>
        </is>
      </c>
      <c r="E64" s="2" t="inlineStr">
        <is>
          <t>47833444614343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2026-09-09T12:28:05+07:00</t>
        </is>
      </c>
      <c r="J64" s="2" t="inlineStr">
        <is>
          <t>QA opened 109_01.jpg (1000x1000) and checked against workbook observation: Bedroom mockup of green soccer goal comforter with James text, 07 shams and net splash artwork.</t>
        </is>
      </c>
      <c r="K64" s="2" t="inlineStr">
        <is>
          <t>Bedroom mockup of green soccer goal comforter with James text, 07 shams and net splash artwork.</t>
        </is>
      </c>
      <c r="L64" s="2" t="inlineStr">
        <is>
          <t>SET</t>
        </is>
      </c>
      <c r="M64" s="2" t="inlineStr">
        <is>
          <t>James green soccer goal comforter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["seo_runs\\jeminise.com\\20260906_234129\\qa\\20260909_122805\\images\\109_01.jpg", "https://cdn.shopify.com/s/files/1/0792/5098/1063/files/a548b7a12b46780de719980f5aebe8bad1e9ad2c7c30734bccbfe2dcfe856d73.jpg?v=1786611048"]</t>
        </is>
      </c>
    </row>
    <row r="65" ht="66" customHeight="1">
      <c r="A65" s="3" t="inlineStr">
        <is>
          <t>jeminise.com+custom-soccer-goal-splash-bedding-comforter-set-machine-washable</t>
        </is>
      </c>
      <c r="B65" s="3" t="inlineStr">
        <is>
          <t>qaimg_d897c97b07c602a3</t>
        </is>
      </c>
      <c r="C65" s="4" t="inlineStr">
        <is>
          <t>https://cdn.shopify.com/s/files/1/0792/5098/1063/files/5c704f0a883d6fc932e3f19dd6a044ce58cb8f2b758de38b1b25d170d7b21f6f.jpg?v=1786611048</t>
        </is>
      </c>
      <c r="D65" s="4" t="inlineStr">
        <is>
          <t>https://cdn.shopify.com/s/files/1/0792/5098/1063/files/5c704f0a883d6fc932e3f19dd6a044ce58cb8f2b758de38b1b25d170d7b21f6f.jpg?v=1786611048</t>
        </is>
      </c>
      <c r="E65" s="3" t="inlineStr">
        <is>
          <t>47833444647111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2026-09-09T12:28:05+07:00</t>
        </is>
      </c>
      <c r="J65" s="3" t="inlineStr">
        <is>
          <t>QA opened 109_02.jpg (1000x1000) and checked against workbook observation: Feature panel showing green soccer goal bedding and 3D printed pattern callouts.</t>
        </is>
      </c>
      <c r="K65" s="3" t="inlineStr">
        <is>
          <t>Feature panel showing green soccer goal bedding and 3D printed pattern callouts.</t>
        </is>
      </c>
      <c r="L65" s="3" t="inlineStr">
        <is>
          <t>SET</t>
        </is>
      </c>
      <c r="M65" s="3" t="inlineStr">
        <is>
          <t>Green soccer goal comforter feature panel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["seo_runs\\jeminise.com\\20260906_234129\\qa\\20260909_122805\\images\\109_02.jpg", "https://cdn.shopify.com/s/files/1/0792/5098/1063/files/5c704f0a883d6fc932e3f19dd6a044ce58cb8f2b758de38b1b25d170d7b21f6f.jpg?v=1786611048"]</t>
        </is>
      </c>
    </row>
    <row r="66" ht="66" customHeight="1">
      <c r="A66" s="2" t="inlineStr">
        <is>
          <t>jeminise.com+custom-soccer-goal-splash-bedding-comforter-set-machine-washable</t>
        </is>
      </c>
      <c r="B66" s="2" t="inlineStr">
        <is>
          <t>qaimg_3dce1803040c58f1</t>
        </is>
      </c>
      <c r="C66" s="4" t="inlineStr">
        <is>
          <t>https://cdn.shopify.com/s/files/1/0792/5098/1063/files/345f34fa489840aa22aa3a0e090018fd9c82df0bdc286e0c1eb2432811f14b79.jpg?v=1786611048</t>
        </is>
      </c>
      <c r="D66" s="4" t="inlineStr">
        <is>
          <t>https://cdn.shopify.com/s/files/1/0792/5098/1063/files/345f34fa489840aa22aa3a0e090018fd9c82df0bdc286e0c1eb2432811f14b79.jpg?v=1786611048</t>
        </is>
      </c>
      <c r="E66" s="2" t="inlineStr">
        <is>
          <t>47833444679879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2026-09-09T12:28:05+07:00</t>
        </is>
      </c>
      <c r="J66" s="2" t="inlineStr">
        <is>
          <t>QA opened 109_03.jpg (1000x1000) and checked against workbook observation: Pillow sham mockup showing green soccer ball with number 10 on white bedding.</t>
        </is>
      </c>
      <c r="K66" s="2" t="inlineStr">
        <is>
          <t>Pillow sham mockup showing green soccer ball with number 10 on white bedding.</t>
        </is>
      </c>
      <c r="L66" s="2" t="inlineStr">
        <is>
          <t>SET</t>
        </is>
      </c>
      <c r="M66" s="2" t="inlineStr">
        <is>
          <t>Green soccer pillow shams with number 10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["seo_runs\\jeminise.com\\20260906_234129\\qa\\20260909_122805\\images\\109_03.jpg", "https://cdn.shopify.com/s/files/1/0792/5098/1063/files/345f34fa489840aa22aa3a0e090018fd9c82df0bdc286e0c1eb2432811f14b79.jpg?v=1786611048"]</t>
        </is>
      </c>
    </row>
    <row r="67" ht="66" customHeight="1">
      <c r="A67" s="3" t="inlineStr">
        <is>
          <t>jeminise.com+custom-soccer-goal-splash-bedding-comforter-set-machine-washable</t>
        </is>
      </c>
      <c r="B67" s="3" t="inlineStr">
        <is>
          <t>qaimg_0da36bc3e8503222</t>
        </is>
      </c>
      <c r="C67" s="4" t="inlineStr">
        <is>
          <t>https://cdn.shopify.com/s/files/1/0792/5098/1063/files/0b1d1e19cab6d757366a36700f895ecca060303e705a8aece2f5fa486b6770da_c3389c8f-7a06-4fdc-96a5-ca5c521b6b7f.jpg?v=1786611048</t>
        </is>
      </c>
      <c r="D67" s="4" t="inlineStr">
        <is>
          <t>https://cdn.shopify.com/s/files/1/0792/5098/1063/files/0b1d1e19cab6d757366a36700f895ecca060303e705a8aece2f5fa486b6770da_c3389c8f-7a06-4fdc-96a5-ca5c521b6b7f.jpg?v=1786611048</t>
        </is>
      </c>
      <c r="E67" s="3" t="inlineStr">
        <is>
          <t>47833444712647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2026-09-09T12:28:05+07:00</t>
        </is>
      </c>
      <c r="J67" s="3" t="inlineStr">
        <is>
          <t>QA opened 109_04.jpg (1000x1000) and checked against workbook observation: Comparison panel explaining duvet cover set and comforter set bedding options.</t>
        </is>
      </c>
      <c r="K67" s="3" t="inlineStr">
        <is>
          <t>Comparison panel explaining duvet cover set and comforter set bedding options.</t>
        </is>
      </c>
      <c r="L67" s="3" t="inlineStr">
        <is>
          <t>SET</t>
        </is>
      </c>
      <c r="M67" s="3" t="inlineStr">
        <is>
          <t>Duvet cover and comforter set comparison panel for James green soccer goal splash comforter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["seo_runs\\jeminise.com\\20260906_234129\\qa\\20260909_122805\\images\\109_04.jpg", "https://cdn.shopify.com/s/files/1/0792/5098/1063/files/0b1d1e19cab6d757366a36700f895ecca060303e705a8aece2f5fa486b6770da_c3389c8f-7a06-4fdc-96a5-ca5c521b6b7f.jpg?v=1786611048"]</t>
        </is>
      </c>
    </row>
    <row r="68" ht="66" customHeight="1">
      <c r="A68" s="2" t="inlineStr">
        <is>
          <t>jeminise.com+custom-soccer-goal-splash-bedding-comforter-set-machine-washable</t>
        </is>
      </c>
      <c r="B68" s="2" t="inlineStr">
        <is>
          <t>qaimg_936539b32711b831</t>
        </is>
      </c>
      <c r="C68" s="4" t="inlineStr">
        <is>
          <t>https://cdn.shopify.com/s/files/1/0792/5098/1063/files/387b24b7b756f19379f192051961dd52f2d354a3a6e0a48cf79a36fc9a3ae8dc.jpg?v=1786611048</t>
        </is>
      </c>
      <c r="D68" s="4" t="inlineStr">
        <is>
          <t>https://cdn.shopify.com/s/files/1/0792/5098/1063/files/387b24b7b756f19379f192051961dd52f2d354a3a6e0a48cf79a36fc9a3ae8dc.jpg?v=1786611048</t>
        </is>
      </c>
      <c r="E68" s="2" t="inlineStr">
        <is>
          <t>47833444745415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2026-09-09T12:28:05+07:00</t>
        </is>
      </c>
      <c r="J68" s="2" t="inlineStr">
        <is>
          <t>QA opened 109_05.jpg (1000x1000) and checked against workbook observation: Bedroom mockup of James green soccer goal bedding with matching 07 shams.</t>
        </is>
      </c>
      <c r="K68" s="2" t="inlineStr">
        <is>
          <t>Bedroom mockup of James green soccer goal bedding with matching 07 shams.</t>
        </is>
      </c>
      <c r="L68" s="2" t="inlineStr">
        <is>
          <t>SET</t>
        </is>
      </c>
      <c r="M68" s="2" t="inlineStr">
        <is>
          <t>James green soccer goal bedding set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["seo_runs\\jeminise.com\\20260906_234129\\qa\\20260909_122805\\images\\109_05.jpg", "https://cdn.shopify.com/s/files/1/0792/5098/1063/files/387b24b7b756f19379f192051961dd52f2d354a3a6e0a48cf79a36fc9a3ae8dc.jpg?v=1786611048"]</t>
        </is>
      </c>
    </row>
    <row r="69" ht="66" customHeight="1">
      <c r="A69" s="3" t="inlineStr">
        <is>
          <t>jeminise.com+custom-soccer-goal-splash-bedding-comforter-set-machine-washable</t>
        </is>
      </c>
      <c r="B69" s="3" t="inlineStr">
        <is>
          <t>qaimg_f516e8c5ab5092ef</t>
        </is>
      </c>
      <c r="C69" s="4" t="inlineStr">
        <is>
          <t>https://cdn.shopify.com/s/files/1/0792/5098/1063/files/e0f4f6d6fb487b2ea1c8b7aef407d92df149557cd53c6130d47a131bbd2dc16d.jpg?v=1786611048</t>
        </is>
      </c>
      <c r="D69" s="4" t="inlineStr">
        <is>
          <t>https://cdn.shopify.com/s/files/1/0792/5098/1063/files/e0f4f6d6fb487b2ea1c8b7aef407d92df149557cd53c6130d47a131bbd2dc16d.jpg?v=1786611048</t>
        </is>
      </c>
      <c r="E69" s="3" t="inlineStr">
        <is>
          <t>47833444778183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2026-09-09T12:28:05+07:00</t>
        </is>
      </c>
      <c r="J69" s="3" t="inlineStr">
        <is>
          <t>QA opened 109_06.jpg (1000x1000) and checked against workbook observation: Low-angle green soccer goal bedding mockup with soft, lightweight, durable and breathable icons.</t>
        </is>
      </c>
      <c r="K69" s="3" t="inlineStr">
        <is>
          <t>Low-angle green soccer goal bedding mockup with soft, lightweight, durable and breathable icons.</t>
        </is>
      </c>
      <c r="L69" s="3" t="inlineStr">
        <is>
          <t>SET</t>
        </is>
      </c>
      <c r="M69" s="3" t="inlineStr">
        <is>
          <t>Green soccer goal bedding with feature icons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["seo_runs\\jeminise.com\\20260906_234129\\qa\\20260909_122805\\images\\109_06.jpg", "https://cdn.shopify.com/s/files/1/0792/5098/1063/files/e0f4f6d6fb487b2ea1c8b7aef407d92df149557cd53c6130d47a131bbd2dc16d.jpg?v=1786611048"]</t>
        </is>
      </c>
    </row>
    <row r="70" ht="66" customHeight="1">
      <c r="A70" s="2" t="inlineStr">
        <is>
          <t>jeminise.com+custom-soccer-goal-splash-bedding-comforter-set-machine-washable</t>
        </is>
      </c>
      <c r="B70" s="2" t="inlineStr">
        <is>
          <t>qaimg_04d4e1617a4b433b</t>
        </is>
      </c>
      <c r="C70" s="4" t="inlineStr">
        <is>
          <t>https://cdn.shopify.com/s/files/1/0792/5098/1063/files/dd6b2f75d5d331064be3e2ace151f6872c3f1f67675d8c1c7fa00f207341180b_a281baad-d8bd-45c6-9029-cb6ec16f9e8e.jpg?v=1786611048</t>
        </is>
      </c>
      <c r="D70" s="4" t="inlineStr">
        <is>
          <t>https://cdn.shopify.com/s/files/1/0792/5098/1063/files/dd6b2f75d5d331064be3e2ace151f6872c3f1f67675d8c1c7fa00f207341180b_a281baad-d8bd-45c6-9029-cb6ec16f9e8e.jpg?v=1786611048</t>
        </is>
      </c>
      <c r="E70" s="2" t="inlineStr">
        <is>
          <t>47833444810951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2026-09-09T12:28:05+07:00</t>
        </is>
      </c>
      <c r="J70" s="2" t="inlineStr">
        <is>
          <t>QA opened 109_07.jpg (1000x1000) and checked against workbook observation: Stress-free easy-care panel listing wrinkle-free, stain-proof, anti-pilling and wash durability.</t>
        </is>
      </c>
      <c r="K70" s="2" t="inlineStr">
        <is>
          <t>Stress-free easy-care panel listing wrinkle-free, stain-proof, anti-pilling and wash durability.</t>
        </is>
      </c>
      <c r="L70" s="2" t="inlineStr">
        <is>
          <t>SET</t>
        </is>
      </c>
      <c r="M70" s="2" t="inlineStr">
        <is>
          <t>Easy care panel for comforter bedding for James green soccer goal splash comforter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["seo_runs\\jeminise.com\\20260906_234129\\qa\\20260909_122805\\images\\109_07.jpg", "https://cdn.shopify.com/s/files/1/0792/5098/1063/files/dd6b2f75d5d331064be3e2ace151f6872c3f1f67675d8c1c7fa00f207341180b_a281baad-d8bd-45c6-9029-cb6ec16f9e8e.jpg?v=1786611048"]</t>
        </is>
      </c>
    </row>
    <row r="71" ht="66" customHeight="1">
      <c r="A71" s="3" t="inlineStr">
        <is>
          <t>jeminise.com+custom-soccer-net-with-number-07-comforter-set-machine-washable-a7</t>
        </is>
      </c>
      <c r="B71" s="3" t="inlineStr">
        <is>
          <t>qaimg_b3ada23785814a62</t>
        </is>
      </c>
      <c r="C71" s="4" t="inlineStr">
        <is>
          <t>https://cdn.shopify.com/s/files/1/0792/5098/1063/files/d5eff6ecbe959bbbb3957e92b28382391b5f27c8e5b7675c96fce64707e4f0e4.jpg?v=1786611012</t>
        </is>
      </c>
      <c r="D71" s="4" t="inlineStr">
        <is>
          <t>https://cdn.shopify.com/s/files/1/0792/5098/1063/files/d5eff6ecbe959bbbb3957e92b28382391b5f27c8e5b7675c96fce64707e4f0e4.jpg?v=1786611012</t>
        </is>
      </c>
      <c r="E71" s="3" t="inlineStr">
        <is>
          <t>47833435734215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2026-09-09T12:28:05+07:00</t>
        </is>
      </c>
      <c r="J71" s="3" t="inlineStr">
        <is>
          <t>QA opened 110_01.jpg (1000x1000) and checked against workbook observation: Bedroom mockup of black and white soccer net comforter with Kenzo side text and number 07 ball.</t>
        </is>
      </c>
      <c r="K71" s="3" t="inlineStr">
        <is>
          <t>Bedroom mockup of black and white soccer net comforter with Kenzo side text and number 07 ball.</t>
        </is>
      </c>
      <c r="L71" s="3" t="inlineStr">
        <is>
          <t>SET</t>
        </is>
      </c>
      <c r="M71" s="3" t="inlineStr">
        <is>
          <t>Kenzo black soccer net comforter with 07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["seo_runs\\jeminise.com\\20260906_234129\\qa\\20260909_122805\\images\\110_01.jpg", "https://cdn.shopify.com/s/files/1/0792/5098/1063/files/d5eff6ecbe959bbbb3957e92b28382391b5f27c8e5b7675c96fce64707e4f0e4.jpg?v=1786611012"]</t>
        </is>
      </c>
    </row>
    <row r="72" ht="66" customHeight="1">
      <c r="A72" s="2" t="inlineStr">
        <is>
          <t>jeminise.com+custom-soccer-net-with-number-07-comforter-set-machine-washable-a7</t>
        </is>
      </c>
      <c r="B72" s="2" t="inlineStr">
        <is>
          <t>qaimg_070a9d0d92f96f7c</t>
        </is>
      </c>
      <c r="C72" s="4" t="inlineStr">
        <is>
          <t>https://cdn.shopify.com/s/files/1/0792/5098/1063/files/9fa260bfa3a0f8ded5e1af7786072b4f2e3346d50d8fcbebe8997626617ffa0f.jpg?v=1786611012</t>
        </is>
      </c>
      <c r="D72" s="4" t="inlineStr">
        <is>
          <t>https://cdn.shopify.com/s/files/1/0792/5098/1063/files/9fa260bfa3a0f8ded5e1af7786072b4f2e3346d50d8fcbebe8997626617ffa0f.jpg?v=1786611012</t>
        </is>
      </c>
      <c r="E72" s="2" t="inlineStr">
        <is>
          <t>47833435766983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2026-09-09T12:28:05+07:00</t>
        </is>
      </c>
      <c r="J72" s="2" t="inlineStr">
        <is>
          <t>QA opened 110_02.jpg (1000x1000) and checked against workbook observation: Bedroom mockup of Kenzo black soccer net bedding set with matching 07 shams.</t>
        </is>
      </c>
      <c r="K72" s="2" t="inlineStr">
        <is>
          <t>Bedroom mockup of Kenzo black soccer net bedding set with matching 07 shams.</t>
        </is>
      </c>
      <c r="L72" s="2" t="inlineStr">
        <is>
          <t>SET</t>
        </is>
      </c>
      <c r="M72" s="2" t="inlineStr">
        <is>
          <t>Kenzo black soccer net bedding set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["seo_runs\\jeminise.com\\20260906_234129\\qa\\20260909_122805\\images\\110_02.jpg", "https://cdn.shopify.com/s/files/1/0792/5098/1063/files/9fa260bfa3a0f8ded5e1af7786072b4f2e3346d50d8fcbebe8997626617ffa0f.jpg?v=1786611012"]</t>
        </is>
      </c>
    </row>
    <row r="73" ht="66" customHeight="1">
      <c r="A73" s="3" t="inlineStr">
        <is>
          <t>jeminise.com+custom-soccer-net-with-number-07-comforter-set-machine-washable-a7</t>
        </is>
      </c>
      <c r="B73" s="3" t="inlineStr">
        <is>
          <t>qaimg_0d733153328edca4</t>
        </is>
      </c>
      <c r="C73" s="4" t="inlineStr">
        <is>
          <t>https://cdn.shopify.com/s/files/1/0792/5098/1063/files/c13ca5980b6e29e305326351ee6a301120915a8e8ed77c0a5fdc431493a53f29.jpg?v=1786611012</t>
        </is>
      </c>
      <c r="D73" s="4" t="inlineStr">
        <is>
          <t>https://cdn.shopify.com/s/files/1/0792/5098/1063/files/c13ca5980b6e29e305326351ee6a301120915a8e8ed77c0a5fdc431493a53f29.jpg?v=1786611012</t>
        </is>
      </c>
      <c r="E73" s="3" t="inlineStr">
        <is>
          <t>47833435799751</t>
        </is>
      </c>
      <c r="F73" s="3" t="inlineStr"/>
      <c r="G73" s="3" t="inlineStr">
        <is>
          <t>GALLERY</t>
        </is>
      </c>
      <c r="H73" s="3" t="inlineStr">
        <is>
          <t>DIRECT_IMAGE_FILE_OPENED_AND_VISUALLY_REVIEWED</t>
        </is>
      </c>
      <c r="I73" s="3" t="inlineStr">
        <is>
          <t>2026-09-09T12:28:05+07:00</t>
        </is>
      </c>
      <c r="J73" s="3" t="inlineStr">
        <is>
          <t>QA opened 110_03.jpg (1000x1000) and checked against workbook observation: Feature panel showing black soccer net bedding and 3D printed pattern callouts.</t>
        </is>
      </c>
      <c r="K73" s="3" t="inlineStr">
        <is>
          <t>Feature panel showing black soccer net bedding and 3D printed pattern callouts.</t>
        </is>
      </c>
      <c r="L73" s="3" t="inlineStr">
        <is>
          <t>SET</t>
        </is>
      </c>
      <c r="M73" s="3" t="inlineStr">
        <is>
          <t>Black soccer net comforter feature panel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>
        <is>
          <t>[]</t>
        </is>
      </c>
      <c r="X73" s="3" t="inlineStr">
        <is>
          <t>["seo_runs\\jeminise.com\\20260906_234129\\qa\\20260909_122805\\images\\110_03.jpg", "https://cdn.shopify.com/s/files/1/0792/5098/1063/files/c13ca5980b6e29e305326351ee6a301120915a8e8ed77c0a5fdc431493a53f29.jpg?v=1786611012"]</t>
        </is>
      </c>
    </row>
    <row r="74" ht="66" customHeight="1">
      <c r="A74" s="2" t="inlineStr">
        <is>
          <t>jeminise.com+custom-soccer-net-with-number-07-comforter-set-machine-washable-a7</t>
        </is>
      </c>
      <c r="B74" s="2" t="inlineStr">
        <is>
          <t>qaimg_ffd3045c26ba7c86</t>
        </is>
      </c>
      <c r="C74" s="4" t="inlineStr">
        <is>
          <t>https://cdn.shopify.com/s/files/1/0792/5098/1063/files/0b1d1e19cab6d757366a36700f895ecca060303e705a8aece2f5fa486b6770da_9a927c8a-0f79-4e61-90d9-c6095bfaff90.jpg?v=1786611012</t>
        </is>
      </c>
      <c r="D74" s="4" t="inlineStr">
        <is>
          <t>https://cdn.shopify.com/s/files/1/0792/5098/1063/files/0b1d1e19cab6d757366a36700f895ecca060303e705a8aece2f5fa486b6770da_9a927c8a-0f79-4e61-90d9-c6095bfaff90.jpg?v=1786611012</t>
        </is>
      </c>
      <c r="E74" s="2" t="inlineStr">
        <is>
          <t>47833435832519</t>
        </is>
      </c>
      <c r="F74" s="2" t="inlineStr"/>
      <c r="G74" s="2" t="inlineStr">
        <is>
          <t>GALLERY</t>
        </is>
      </c>
      <c r="H74" s="2" t="inlineStr">
        <is>
          <t>DIRECT_IMAGE_FILE_OPENED_AND_VISUALLY_REVIEWED</t>
        </is>
      </c>
      <c r="I74" s="2" t="inlineStr">
        <is>
          <t>2026-09-09T12:28:05+07:00</t>
        </is>
      </c>
      <c r="J74" s="2" t="inlineStr">
        <is>
          <t>QA opened 110_04.jpg (1000x1000) and checked against workbook observation: Comparison panel explaining duvet cover set and comforter set bedding options.</t>
        </is>
      </c>
      <c r="K74" s="2" t="inlineStr">
        <is>
          <t>Comparison panel explaining duvet cover set and comforter set bedding options.</t>
        </is>
      </c>
      <c r="L74" s="2" t="inlineStr">
        <is>
          <t>SET</t>
        </is>
      </c>
      <c r="M74" s="2" t="inlineStr">
        <is>
          <t>Duvet cover and comforter set comparison panel for Kenzo black and white soccer net comforter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5">
        <f>IF(N74="FULL",40,IF(N74="PARTIAL",40/2,0))+IF(O74="FULL",30,IF(O74="PARTIAL",30/2,0))+IF(P74="FULL",20,IF(P74="PARTIAL",20/2,0))+IF(Q74="FULL",10,IF(Q74="PARTIAL",10/2,0))</f>
        <v/>
      </c>
      <c r="S74" s="5">
        <f>IF(N74="NOT_CHECKED",0,40)+IF(O74="NOT_CHECKED",0,30)+IF(P74="NOT_CHECKED",0,20)+IF(Q74="NOT_CHECKED",0,10)</f>
        <v/>
      </c>
      <c r="T74" s="5">
        <f>IF(S74=100,R74,"")</f>
        <v/>
      </c>
      <c r="U74" s="5">
        <f>R74</f>
        <v/>
      </c>
      <c r="V74" s="5">
        <f>R74+(100-S74)</f>
        <v/>
      </c>
      <c r="W74" s="2" t="inlineStr">
        <is>
          <t>[]</t>
        </is>
      </c>
      <c r="X74" s="2" t="inlineStr">
        <is>
          <t>["seo_runs\\jeminise.com\\20260906_234129\\qa\\20260909_122805\\images\\110_04.jpg", "https://cdn.shopify.com/s/files/1/0792/5098/1063/files/0b1d1e19cab6d757366a36700f895ecca060303e705a8aece2f5fa486b6770da_9a927c8a-0f79-4e61-90d9-c6095bfaff90.jpg?v=1786611012"]</t>
        </is>
      </c>
    </row>
    <row r="75" ht="66" customHeight="1">
      <c r="A75" s="3" t="inlineStr">
        <is>
          <t>jeminise.com+custom-soccer-net-with-number-07-comforter-set-machine-washable-a7</t>
        </is>
      </c>
      <c r="B75" s="3" t="inlineStr">
        <is>
          <t>qaimg_210b056f9f8afe15</t>
        </is>
      </c>
      <c r="C75" s="4" t="inlineStr">
        <is>
          <t>https://cdn.shopify.com/s/files/1/0792/5098/1063/files/da276a0ac696bef8efb88e29faa67b97016515782d65504b709149a78664278e.jpg?v=1786611012</t>
        </is>
      </c>
      <c r="D75" s="4" t="inlineStr">
        <is>
          <t>https://cdn.shopify.com/s/files/1/0792/5098/1063/files/da276a0ac696bef8efb88e29faa67b97016515782d65504b709149a78664278e.jpg?v=1786611012</t>
        </is>
      </c>
      <c r="E75" s="3" t="inlineStr">
        <is>
          <t>47833435865287</t>
        </is>
      </c>
      <c r="F75" s="3" t="inlineStr"/>
      <c r="G75" s="3" t="inlineStr">
        <is>
          <t>GALLERY</t>
        </is>
      </c>
      <c r="H75" s="3" t="inlineStr">
        <is>
          <t>DIRECT_IMAGE_FILE_OPENED_AND_VISUALLY_REVIEWED</t>
        </is>
      </c>
      <c r="I75" s="3" t="inlineStr">
        <is>
          <t>2026-09-09T12:28:05+07:00</t>
        </is>
      </c>
      <c r="J75" s="3" t="inlineStr">
        <is>
          <t>QA opened 110_05.jpg (1000x1000) and checked against workbook observation: Pillow sham mockup showing black soccer ball and number 07 on white bedding.</t>
        </is>
      </c>
      <c r="K75" s="3" t="inlineStr">
        <is>
          <t>Pillow sham mockup showing black soccer ball and number 07 on white bedding.</t>
        </is>
      </c>
      <c r="L75" s="3" t="inlineStr">
        <is>
          <t>SET</t>
        </is>
      </c>
      <c r="M75" s="3" t="inlineStr">
        <is>
          <t>Black soccer ball pillow shams with 07</t>
        </is>
      </c>
      <c r="N75" s="3" t="inlineStr">
        <is>
          <t>FULL</t>
        </is>
      </c>
      <c r="O75" s="3" t="inlineStr">
        <is>
          <t>FULL</t>
        </is>
      </c>
      <c r="P75" s="3" t="inlineStr">
        <is>
          <t>FULL</t>
        </is>
      </c>
      <c r="Q75" s="3" t="inlineStr">
        <is>
          <t>FULL</t>
        </is>
      </c>
      <c r="R75" s="7">
        <f>IF(N75="FULL",40,IF(N75="PARTIAL",40/2,0))+IF(O75="FULL",30,IF(O75="PARTIAL",30/2,0))+IF(P75="FULL",20,IF(P75="PARTIAL",20/2,0))+IF(Q75="FULL",10,IF(Q75="PARTIAL",10/2,0))</f>
        <v/>
      </c>
      <c r="S75" s="7">
        <f>IF(N75="NOT_CHECKED",0,40)+IF(O75="NOT_CHECKED",0,30)+IF(P75="NOT_CHECKED",0,20)+IF(Q75="NOT_CHECKED",0,10)</f>
        <v/>
      </c>
      <c r="T75" s="7">
        <f>IF(S75=100,R75,"")</f>
        <v/>
      </c>
      <c r="U75" s="7">
        <f>R75</f>
        <v/>
      </c>
      <c r="V75" s="7">
        <f>R75+(100-S75)</f>
        <v/>
      </c>
      <c r="W75" s="3" t="inlineStr">
        <is>
          <t>[]</t>
        </is>
      </c>
      <c r="X75" s="3" t="inlineStr">
        <is>
          <t>["seo_runs\\jeminise.com\\20260906_234129\\qa\\20260909_122805\\images\\110_05.jpg", "https://cdn.shopify.com/s/files/1/0792/5098/1063/files/da276a0ac696bef8efb88e29faa67b97016515782d65504b709149a78664278e.jpg?v=1786611012"]</t>
        </is>
      </c>
    </row>
    <row r="76" ht="66" customHeight="1">
      <c r="A76" s="2" t="inlineStr">
        <is>
          <t>jeminise.com+custom-soccer-net-with-number-07-comforter-set-machine-washable-a7</t>
        </is>
      </c>
      <c r="B76" s="2" t="inlineStr">
        <is>
          <t>qaimg_01981a17ff420ef3</t>
        </is>
      </c>
      <c r="C76" s="4" t="inlineStr">
        <is>
          <t>https://cdn.shopify.com/s/files/1/0792/5098/1063/files/08a6835f0f310b6c922134d6c70195cce131eefffb65e5e69df3431e2da006d6.jpg?v=1786611012</t>
        </is>
      </c>
      <c r="D76" s="4" t="inlineStr">
        <is>
          <t>https://cdn.shopify.com/s/files/1/0792/5098/1063/files/08a6835f0f310b6c922134d6c70195cce131eefffb65e5e69df3431e2da006d6.jpg?v=1786611012</t>
        </is>
      </c>
      <c r="E76" s="2" t="inlineStr">
        <is>
          <t>47833435898055</t>
        </is>
      </c>
      <c r="F76" s="2" t="inlineStr"/>
      <c r="G76" s="2" t="inlineStr">
        <is>
          <t>GALLERY</t>
        </is>
      </c>
      <c r="H76" s="2" t="inlineStr">
        <is>
          <t>DIRECT_IMAGE_FILE_OPENED_AND_VISUALLY_REVIEWED</t>
        </is>
      </c>
      <c r="I76" s="2" t="inlineStr">
        <is>
          <t>2026-09-09T12:28:05+07:00</t>
        </is>
      </c>
      <c r="J76" s="2" t="inlineStr">
        <is>
          <t>QA opened 110_06.jpg (1000x1000) and checked against workbook observation: Low-angle black soccer net bedding mockup with soft, lightweight, durable and breathable icons.</t>
        </is>
      </c>
      <c r="K76" s="2" t="inlineStr">
        <is>
          <t>Low-angle black soccer net bedding mockup with soft, lightweight, durable and breathable icons.</t>
        </is>
      </c>
      <c r="L76" s="2" t="inlineStr">
        <is>
          <t>SET</t>
        </is>
      </c>
      <c r="M76" s="2" t="inlineStr">
        <is>
          <t>Black soccer net bedding with feature icons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5">
        <f>IF(N76="FULL",40,IF(N76="PARTIAL",40/2,0))+IF(O76="FULL",30,IF(O76="PARTIAL",30/2,0))+IF(P76="FULL",20,IF(P76="PARTIAL",20/2,0))+IF(Q76="FULL",10,IF(Q76="PARTIAL",10/2,0))</f>
        <v/>
      </c>
      <c r="S76" s="5">
        <f>IF(N76="NOT_CHECKED",0,40)+IF(O76="NOT_CHECKED",0,30)+IF(P76="NOT_CHECKED",0,20)+IF(Q76="NOT_CHECKED",0,10)</f>
        <v/>
      </c>
      <c r="T76" s="5">
        <f>IF(S76=100,R76,"")</f>
        <v/>
      </c>
      <c r="U76" s="5">
        <f>R76</f>
        <v/>
      </c>
      <c r="V76" s="5">
        <f>R76+(100-S76)</f>
        <v/>
      </c>
      <c r="W76" s="2" t="inlineStr">
        <is>
          <t>[]</t>
        </is>
      </c>
      <c r="X76" s="2" t="inlineStr">
        <is>
          <t>["seo_runs\\jeminise.com\\20260906_234129\\qa\\20260909_122805\\images\\110_06.jpg", "https://cdn.shopify.com/s/files/1/0792/5098/1063/files/08a6835f0f310b6c922134d6c70195cce131eefffb65e5e69df3431e2da006d6.jpg?v=1786611012"]</t>
        </is>
      </c>
    </row>
    <row r="77" ht="66" customHeight="1">
      <c r="A77" s="3" t="inlineStr">
        <is>
          <t>jeminise.com+custom-soccer-net-with-number-07-comforter-set-machine-washable-a7</t>
        </is>
      </c>
      <c r="B77" s="3" t="inlineStr">
        <is>
          <t>qaimg_51908db2bf5c1a74</t>
        </is>
      </c>
      <c r="C77" s="4" t="inlineStr">
        <is>
          <t>https://cdn.shopify.com/s/files/1/0792/5098/1063/files/034a3b59ce0473836fb14c3f70ca7d76227b68f5472b25b6beeb567187aa41d8.jpg?v=1786611012</t>
        </is>
      </c>
      <c r="D77" s="4" t="inlineStr">
        <is>
          <t>https://cdn.shopify.com/s/files/1/0792/5098/1063/files/034a3b59ce0473836fb14c3f70ca7d76227b68f5472b25b6beeb567187aa41d8.jpg?v=1786611012</t>
        </is>
      </c>
      <c r="E77" s="3" t="inlineStr">
        <is>
          <t>47833435930823</t>
        </is>
      </c>
      <c r="F77" s="3" t="inlineStr"/>
      <c r="G77" s="3" t="inlineStr">
        <is>
          <t>GALLERY</t>
        </is>
      </c>
      <c r="H77" s="3" t="inlineStr">
        <is>
          <t>DIRECT_IMAGE_FILE_OPENED_AND_VISUALLY_REVIEWED</t>
        </is>
      </c>
      <c r="I77" s="3" t="inlineStr">
        <is>
          <t>2026-09-09T12:28:05+07:00</t>
        </is>
      </c>
      <c r="J77" s="3" t="inlineStr">
        <is>
          <t>QA opened 110_07.jpg (1000x1000) and checked against workbook observation: Close-up corner showing black soccer ball artwork under white microfiber filling.</t>
        </is>
      </c>
      <c r="K77" s="3" t="inlineStr">
        <is>
          <t>Close-up corner showing black soccer ball artwork under white microfiber filling.</t>
        </is>
      </c>
      <c r="L77" s="3" t="inlineStr">
        <is>
          <t>SET</t>
        </is>
      </c>
      <c r="M77" s="3" t="inlineStr">
        <is>
          <t>Black soccer net comforter microfiber close-up</t>
        </is>
      </c>
      <c r="N77" s="3" t="inlineStr">
        <is>
          <t>FULL</t>
        </is>
      </c>
      <c r="O77" s="3" t="inlineStr">
        <is>
          <t>FULL</t>
        </is>
      </c>
      <c r="P77" s="3" t="inlineStr">
        <is>
          <t>FULL</t>
        </is>
      </c>
      <c r="Q77" s="3" t="inlineStr">
        <is>
          <t>FULL</t>
        </is>
      </c>
      <c r="R77" s="7">
        <f>IF(N77="FULL",40,IF(N77="PARTIAL",40/2,0))+IF(O77="FULL",30,IF(O77="PARTIAL",30/2,0))+IF(P77="FULL",20,IF(P77="PARTIAL",20/2,0))+IF(Q77="FULL",10,IF(Q77="PARTIAL",10/2,0))</f>
        <v/>
      </c>
      <c r="S77" s="7">
        <f>IF(N77="NOT_CHECKED",0,40)+IF(O77="NOT_CHECKED",0,30)+IF(P77="NOT_CHECKED",0,20)+IF(Q77="NOT_CHECKED",0,10)</f>
        <v/>
      </c>
      <c r="T77" s="7">
        <f>IF(S77=100,R77,"")</f>
        <v/>
      </c>
      <c r="U77" s="7">
        <f>R77</f>
        <v/>
      </c>
      <c r="V77" s="7">
        <f>R77+(100-S77)</f>
        <v/>
      </c>
      <c r="W77" s="3" t="inlineStr">
        <is>
          <t>[]</t>
        </is>
      </c>
      <c r="X77" s="3" t="inlineStr">
        <is>
          <t>["seo_runs\\jeminise.com\\20260906_234129\\qa\\20260909_122805\\images\\110_07.jpg", "https://cdn.shopify.com/s/files/1/0792/5098/1063/files/034a3b59ce0473836fb14c3f70ca7d76227b68f5472b25b6beeb567187aa41d8.jpg?v=1786611012"]</t>
        </is>
      </c>
    </row>
    <row r="78" ht="66" customHeight="1">
      <c r="A78" s="2" t="inlineStr">
        <is>
          <t>jeminise.com+custom-soccer-net-with-number-07-comforter-set-machine-washable-a7</t>
        </is>
      </c>
      <c r="B78" s="2" t="inlineStr">
        <is>
          <t>qaimg_5dc05414301baaf1</t>
        </is>
      </c>
      <c r="C78" s="4" t="inlineStr">
        <is>
          <t>https://cdn.shopify.com/s/files/1/0792/5098/1063/files/dd6b2f75d5d331064be3e2ace151f6872c3f1f67675d8c1c7fa00f207341180b_b475f815-4d5d-453d-b6f6-f77cd2efa580.jpg?v=1786611012</t>
        </is>
      </c>
      <c r="D78" s="4" t="inlineStr">
        <is>
          <t>https://cdn.shopify.com/s/files/1/0792/5098/1063/files/dd6b2f75d5d331064be3e2ace151f6872c3f1f67675d8c1c7fa00f207341180b_b475f815-4d5d-453d-b6f6-f77cd2efa580.jpg?v=1786611012</t>
        </is>
      </c>
      <c r="E78" s="2" t="inlineStr">
        <is>
          <t>47833435963591</t>
        </is>
      </c>
      <c r="F78" s="2" t="inlineStr"/>
      <c r="G78" s="2" t="inlineStr">
        <is>
          <t>GALLERY</t>
        </is>
      </c>
      <c r="H78" s="2" t="inlineStr">
        <is>
          <t>DIRECT_IMAGE_FILE_OPENED_AND_VISUALLY_REVIEWED</t>
        </is>
      </c>
      <c r="I78" s="2" t="inlineStr">
        <is>
          <t>2026-09-09T12:28:05+07:00</t>
        </is>
      </c>
      <c r="J78" s="2" t="inlineStr">
        <is>
          <t>QA opened 110_08.jpg (1000x1000) and checked against workbook observation: Stress-free easy-care panel listing wrinkle-free, stain-proof, anti-pilling and wash durability.</t>
        </is>
      </c>
      <c r="K78" s="2" t="inlineStr">
        <is>
          <t>Stress-free easy-care panel listing wrinkle-free, stain-proof, anti-pilling and wash durability.</t>
        </is>
      </c>
      <c r="L78" s="2" t="inlineStr">
        <is>
          <t>SET</t>
        </is>
      </c>
      <c r="M78" s="2" t="inlineStr">
        <is>
          <t>Easy care panel for comforter bedding for Kenzo black and white soccer net comforter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5">
        <f>IF(N78="FULL",40,IF(N78="PARTIAL",40/2,0))+IF(O78="FULL",30,IF(O78="PARTIAL",30/2,0))+IF(P78="FULL",20,IF(P78="PARTIAL",20/2,0))+IF(Q78="FULL",10,IF(Q78="PARTIAL",10/2,0))</f>
        <v/>
      </c>
      <c r="S78" s="5">
        <f>IF(N78="NOT_CHECKED",0,40)+IF(O78="NOT_CHECKED",0,30)+IF(P78="NOT_CHECKED",0,20)+IF(Q78="NOT_CHECKED",0,10)</f>
        <v/>
      </c>
      <c r="T78" s="5">
        <f>IF(S78=100,R78,"")</f>
        <v/>
      </c>
      <c r="U78" s="5">
        <f>R78</f>
        <v/>
      </c>
      <c r="V78" s="5">
        <f>R78+(100-S78)</f>
        <v/>
      </c>
      <c r="W78" s="2" t="inlineStr">
        <is>
          <t>[]</t>
        </is>
      </c>
      <c r="X78" s="2" t="inlineStr">
        <is>
          <t>["seo_runs\\jeminise.com\\20260906_234129\\qa\\20260909_122805\\images\\110_08.jpg", "https://cdn.shopify.com/s/files/1/0792/5098/1063/files/dd6b2f75d5d331064be3e2ace151f6872c3f1f67675d8c1c7fa00f207341180b_b475f815-4d5d-453d-b6f6-f77cd2efa580.jpg?v=1786611012"]</t>
        </is>
      </c>
    </row>
  </sheetData>
  <autoFilter ref="A1:X7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B11R4-MIN-001</t>
        </is>
      </c>
      <c r="B2" s="2" t="inlineStr">
        <is>
          <t>jeminise.com+custom-semi-truck-with-american-flag-background-comforter-104ae45e5d-104ae45e5d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101: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Keep On Truckin Flag Comforter using only panels verified in Image_Audit/live gallery.</t>
        </is>
      </c>
      <c r="J2" s="2" t="inlineStr">
        <is>
          <t>D:\Shopify_Workspace\jeminise_seo\resutls\jeminise.com\20260906_234129\revisions\qa_batch_011_r4\SEO_Product_Optimization_qa_batch_011_r4.xlsx | pos 101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B11R4-MIN-002</t>
        </is>
      </c>
      <c r="B3" s="3" t="inlineStr">
        <is>
          <t>jeminise.com+custom-soccer-ball-cleats-personalized-comforter-set-machine-washable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102: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Black Soccer Cleats Comforter Set using only panels verified in Image_Audit/live gallery.</t>
        </is>
      </c>
      <c r="J3" s="3" t="inlineStr">
        <is>
          <t>D:\Shopify_Workspace\jeminise_seo\resutls\jeminise.com\20260906_234129\revisions\qa_batch_011_r4\SEO_Product_Optimization_qa_batch_011_r4.xlsx | pos 102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B11R4-MIN-003</t>
        </is>
      </c>
      <c r="B4" s="2" t="inlineStr">
        <is>
          <t>jeminise.com+custom-soccer-ball-goal-net-comforter-set-machine-washabl-design-13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103: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Blue Soccer Goal Net Comforter Set using only panels verified in Image_Audit/live gallery.</t>
        </is>
      </c>
      <c r="J4" s="2" t="inlineStr">
        <is>
          <t>D:\Shopify_Workspace\jeminise_seo\resutls\jeminise.com\20260906_234129\revisions\qa_batch_011_r4\SEO_Product_Optimization_qa_batch_011_r4.xlsx | pos 103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B11R4-MIN-004</t>
        </is>
      </c>
      <c r="B5" s="3" t="inlineStr">
        <is>
          <t>jeminise.com+custom-soccer-ball-goal-personalized-bedding-comforter-set-a4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104: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Kenzo Soccer Number Comforter Set using only panels verified in Image_Audit/live gallery.</t>
        </is>
      </c>
      <c r="J5" s="3" t="inlineStr">
        <is>
          <t>D:\Shopify_Workspace\jeminise_seo\resutls\jeminise.com\20260906_234129\revisions\qa_batch_011_r4\SEO_Product_Optimization_qa_batch_011_r4.xlsx | pos 104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B11R4-MIN-005</t>
        </is>
      </c>
      <c r="B6" s="2" t="inlineStr">
        <is>
          <t>jeminise.com+custom-soccer-ball-net-comforter-set-machine-washable-a2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105: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Jayden Soccer Net Comforter Set using only panels verified in Image_Audit/live gallery.</t>
        </is>
      </c>
      <c r="J6" s="2" t="inlineStr">
        <is>
          <t>D:\Shopify_Workspace\jeminise_seo\resutls\jeminise.com\20260906_234129\revisions\qa_batch_011_r4\SEO_Product_Optimization_qa_batch_011_r4.xlsx | pos 105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B11R4-MIN-006</t>
        </is>
      </c>
      <c r="B7" s="3" t="inlineStr">
        <is>
          <t>jeminise.com+custom-soccer-ball-water-splashes-comforter-set-machine-washable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106: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Matthew Water Splash Soccer Comforter using only panels verified in Image_Audit/live gallery.</t>
        </is>
      </c>
      <c r="J7" s="3" t="inlineStr">
        <is>
          <t>D:\Shopify_Workspace\jeminise_seo\resutls\jeminise.com\20260906_234129\revisions\qa_batch_011_r4\SEO_Product_Optimization_qa_batch_011_r4.xlsx | pos 106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B11R4-MIN-007</t>
        </is>
      </c>
      <c r="B8" s="2" t="inlineStr">
        <is>
          <t>jeminise.com+custom-soccer-ball-with-lightning-splash-comforter-set-a11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107: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Lucas Lightning Soccer Comforter Set using only panels verified in Image_Audit/live gallery.</t>
        </is>
      </c>
      <c r="J8" s="2" t="inlineStr">
        <is>
          <t>D:\Shopify_Workspace\jeminise_seo\resutls\jeminise.com\20260906_234129\revisions\qa_batch_011_r4\SEO_Product_Optimization_qa_batch_011_r4.xlsx | pos 107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B11R4-MIN-008</t>
        </is>
      </c>
      <c r="B9" s="3" t="inlineStr">
        <is>
          <t>jeminise.com+custom-soccer-ball-with-number-07-comforter-set-machine-w-design-17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108: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Isaac Soccer Ball 07 Comforter Set using only panels verified in Image_Audit/live gallery.</t>
        </is>
      </c>
      <c r="J9" s="3" t="inlineStr">
        <is>
          <t>D:\Shopify_Workspace\jeminise_seo\resutls\jeminise.com\20260906_234129\revisions\qa_batch_011_r4\SEO_Product_Optimization_qa_batch_011_r4.xlsx | pos 108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B11R4-MIN-009</t>
        </is>
      </c>
      <c r="B10" s="2" t="inlineStr">
        <is>
          <t>jeminise.com+custom-soccer-goal-splash-bedding-comforter-set-machine-washable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109: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James Green Soccer Goal Comforter using only panels verified in Image_Audit/live gallery.</t>
        </is>
      </c>
      <c r="J10" s="2" t="inlineStr">
        <is>
          <t>D:\Shopify_Workspace\jeminise_seo\resutls\jeminise.com\20260906_234129\revisions\qa_batch_011_r4\SEO_Product_Optimization_qa_batch_011_r4.xlsx | pos 109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B11R4-MIN-010</t>
        </is>
      </c>
      <c r="B11" s="3" t="inlineStr">
        <is>
          <t>jeminise.com+custom-soccer-net-with-number-07-comforter-set-machine-washable-a7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110: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Kenzo Black Soccer Net Comforter using only panels verified in Image_Audit/live gallery.</t>
        </is>
      </c>
      <c r="J11" s="3" t="inlineStr">
        <is>
          <t>D:\Shopify_Workspace\jeminise_seo\resutls\jeminise.com\20260906_234129\revisions\qa_batch_011_r4\SEO_Product_Optimization_qa_batch_011_r4.xlsx | pos 110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B11R4-LIM-TRACE-001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r4 workbook.</t>
        </is>
      </c>
      <c r="G12" s="2" t="inlineStr">
        <is>
          <t>Workbook filename/path/hash identify qa_batch_011_r4, while row metadata was not fully relabeled after r4.</t>
        </is>
      </c>
      <c r="H12" s="2" t="inlineStr">
        <is>
          <t>Traceability limitation only; it does not prove the submitted r4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D:\Shopify_Workspace\jeminise_seo\resutls\jeminise.com\20260906_234129\revisions\qa_batch_011_r4\SEO_Product_Optimization_qa_batch_011_r4.xlsx</t>
        </is>
      </c>
      <c r="K12" s="2" t="inlineStr">
        <is>
          <t>All row-level revision fields and summary paths consistently identify r4.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2026-09-09T05:28:25Z</dcterms:created>
  <dcterms:modified xmlns:dcterms="http://purl.org/dc/terms/" xmlns:xsi="http://www.w3.org/2001/XMLSchema-instance" xsi:type="dcterms:W3CDTF">2026-09-09T05:28:25Z</dcterms:modified>
</cp:coreProperties>
</file>