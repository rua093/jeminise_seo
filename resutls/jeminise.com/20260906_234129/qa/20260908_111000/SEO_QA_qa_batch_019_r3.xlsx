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'QA_Summary'!$A$1:$O$2</definedName>
    <definedName name="_xlnm._FilterDatabase" localSheetId="1" hidden="1">'QA_Products'!$A$1:$Z$11</definedName>
    <definedName name="_xlnm._FilterDatabase" localSheetId="2" hidden="1">'QA_Criteria'!$A$1:$I$111</definedName>
    <definedName name="_xlnm._FilterDatabase" localSheetId="3" hidden="1">'QA_Images'!$A$1:$Q$41</definedName>
    <definedName name="_xlnm._FilterDatabase" localSheetId="4" hidden="1">'QA_Issues'!$A$1:$L$81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9"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36" customWidth="1" min="4" max="4"/>
    <col width="28" customWidth="1" min="5" max="5"/>
    <col width="34" customWidth="1" min="6" max="6"/>
    <col width="18" customWidth="1" min="7" max="7"/>
    <col width="40" customWidth="1" min="8" max="8"/>
    <col width="41" customWidth="1" min="9" max="9"/>
    <col width="43" customWidth="1" min="10" max="10"/>
    <col width="41" customWidth="1" min="11" max="11"/>
    <col width="45" customWidth="1" min="12" max="12"/>
    <col width="45" customWidth="1" min="13" max="13"/>
    <col width="13" customWidth="1" min="14" max="14"/>
    <col width="39" customWidth="1" min="15" max="15"/>
  </cols>
  <sheetData>
    <row r="1">
      <c r="A1" s="1" t="inlineStr">
        <is>
          <t>batch_name</t>
        </is>
      </c>
      <c r="B1" s="1" t="inlineStr">
        <is>
          <t>run_id</t>
        </is>
      </c>
      <c r="C1" s="1" t="inlineStr">
        <is>
          <t>total_products</t>
        </is>
      </c>
      <c r="D1" s="1" t="inlineStr">
        <is>
          <t>assessed_products</t>
        </is>
      </c>
      <c r="E1" s="1" t="inlineStr">
        <is>
          <t>total_images</t>
        </is>
      </c>
      <c r="F1" s="1" t="inlineStr">
        <is>
          <t>assessed_images</t>
        </is>
      </c>
      <c r="G1" s="1" t="inlineStr">
        <is>
          <t>assessed_weight</t>
        </is>
      </c>
      <c r="H1" s="1" t="inlineStr">
        <is>
          <t>average_score</t>
        </is>
      </c>
      <c r="I1" s="1" t="inlineStr">
        <is>
          <t>qa_pass_count</t>
        </is>
      </c>
      <c r="J1" s="1" t="inlineStr">
        <is>
          <t>qa_revise_count</t>
        </is>
      </c>
      <c r="K1" s="1" t="inlineStr">
        <is>
          <t>qa_fail_count</t>
        </is>
      </c>
      <c r="L1" s="1" t="inlineStr">
        <is>
          <t>qa_incomplete_count</t>
        </is>
      </c>
      <c r="M1" s="1" t="inlineStr">
        <is>
          <t>overall_status</t>
        </is>
      </c>
      <c r="N1" s="1" t="inlineStr">
        <is>
          <t>audit_date</t>
        </is>
      </c>
      <c r="O1" s="1" t="inlineStr">
        <is>
          <t>auditor</t>
        </is>
      </c>
    </row>
    <row r="2">
      <c r="A2" s="2" t="inlineStr">
        <is>
          <t>qa_batch_019_r3</t>
        </is>
      </c>
      <c r="B2" s="2" t="inlineStr">
        <is>
          <t>20260908_111000</t>
        </is>
      </c>
      <c r="C2" s="2">
        <f>COUNTA(QA_Products!A2:A11)</f>
        <v/>
      </c>
      <c r="D2" s="2">
        <f>COUNTIF(QA_Products!H2:H11,TRUE)</f>
        <v/>
      </c>
      <c r="E2" s="2">
        <f>COUNTA(QA_Images!A2:A41)</f>
        <v/>
      </c>
      <c r="F2" s="2">
        <f>COUNTIF(QA_Images!O2:O41,"&lt;&gt;")</f>
        <v/>
      </c>
      <c r="G2" s="2" t="n">
        <v>100</v>
      </c>
      <c r="H2" s="2">
        <f>ROUND(AVERAGE(QA_Products!T2:T11),2)</f>
        <v/>
      </c>
      <c r="I2" s="2">
        <f>COUNTIF(QA_Products!Y2:Y11,"QA_PASS")</f>
        <v/>
      </c>
      <c r="J2" s="2">
        <f>COUNTIF(QA_Products!Y2:Y11,"QA_REVISE")</f>
        <v/>
      </c>
      <c r="K2" s="2">
        <f>COUNTIF(QA_Products!Y2:Y11,"QA_FAIL")</f>
        <v/>
      </c>
      <c r="L2" s="2">
        <f>COUNTIF(QA_Products!Y2:Y11,"QA_INCOMPLETE")</f>
        <v/>
      </c>
      <c r="M2" s="2">
        <f>IF(K2&gt;0,"QA_FAIL",IF(J2&gt;0,"QA_REVISE","QA_PASS"))</f>
        <v/>
      </c>
      <c r="N2" s="2" t="inlineStr">
        <is>
          <t>2026-09-08</t>
        </is>
      </c>
      <c r="O2" s="2" t="inlineStr">
        <is>
          <t>Antigravity Independent QA Assistant</t>
        </is>
      </c>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1" customWidth="1" min="3" max="3"/>
    <col width="45" customWidth="1" min="4" max="4"/>
    <col width="41" customWidth="1" min="5" max="5"/>
    <col width="41" customWidth="1" min="6" max="6"/>
    <col width="45" customWidth="1" min="7" max="7"/>
    <col width="12"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31" customWidth="1" min="20" max="20"/>
    <col width="45" customWidth="1" min="21" max="21"/>
    <col width="45" customWidth="1" min="22" max="22"/>
    <col width="45" customWidth="1" min="23" max="23"/>
    <col width="45" customWidth="1" min="24" max="24"/>
    <col width="45" customWidth="1" min="25" max="25"/>
    <col width="45" customWidth="1" min="26" max="26"/>
  </cols>
  <sheetData>
    <row r="1">
      <c r="A1" s="1" t="inlineStr">
        <is>
          <t>product_key</t>
        </is>
      </c>
      <c r="B1" s="1" t="inlineStr">
        <is>
          <t>Handle</t>
        </is>
      </c>
      <c r="C1" s="1" t="inlineStr">
        <is>
          <t>inventory_position</t>
        </is>
      </c>
      <c r="D1" s="1" t="inlineStr">
        <is>
          <t>product_title_current</t>
        </is>
      </c>
      <c r="E1" s="1" t="inlineStr">
        <is>
          <t>product_title_proposed</t>
        </is>
      </c>
      <c r="F1" s="1" t="inlineStr">
        <is>
          <t>primary_keyword</t>
        </is>
      </c>
      <c r="G1" s="1" t="inlineStr">
        <is>
          <t>secondary_keywords</t>
        </is>
      </c>
      <c r="H1" s="1" t="inlineStr">
        <is>
          <t>page_read</t>
        </is>
      </c>
      <c r="I1" s="1" t="inlineStr">
        <is>
          <t>P1_score</t>
        </is>
      </c>
      <c r="J1" s="1" t="inlineStr">
        <is>
          <t>P2_score</t>
        </is>
      </c>
      <c r="K1" s="1" t="inlineStr">
        <is>
          <t>K1_score</t>
        </is>
      </c>
      <c r="L1" s="1" t="inlineStr">
        <is>
          <t>K2_score</t>
        </is>
      </c>
      <c r="M1" s="1" t="inlineStr">
        <is>
          <t>K3_score</t>
        </is>
      </c>
      <c r="N1" s="1" t="inlineStr">
        <is>
          <t>T1_score</t>
        </is>
      </c>
      <c r="O1" s="1" t="inlineStr">
        <is>
          <t>T2_score</t>
        </is>
      </c>
      <c r="P1" s="1" t="inlineStr">
        <is>
          <t>D1_score</t>
        </is>
      </c>
      <c r="Q1" s="1" t="inlineStr">
        <is>
          <t>D2_score</t>
        </is>
      </c>
      <c r="R1" s="1" t="inlineStr">
        <is>
          <t>I1_score</t>
        </is>
      </c>
      <c r="S1" s="1" t="inlineStr">
        <is>
          <t>E1_score</t>
        </is>
      </c>
      <c r="T1" s="1" t="inlineStr">
        <is>
          <t>total_score</t>
        </is>
      </c>
      <c r="U1" s="1" t="inlineStr">
        <is>
          <t>critical_issues_count</t>
        </is>
      </c>
      <c r="V1" s="1" t="inlineStr">
        <is>
          <t>major_issues_count</t>
        </is>
      </c>
      <c r="W1" s="1" t="inlineStr">
        <is>
          <t>minor_issues_count</t>
        </is>
      </c>
      <c r="X1" s="1" t="inlineStr">
        <is>
          <t>limitation_count</t>
        </is>
      </c>
      <c r="Y1" s="1" t="inlineStr">
        <is>
          <t>qa_status</t>
        </is>
      </c>
      <c r="Z1" s="1" t="inlineStr">
        <is>
          <t>notes</t>
        </is>
      </c>
    </row>
    <row r="2">
      <c r="A2" s="3" t="inlineStr">
        <is>
          <t>jeminise.com+personalized-baseball-bedding-full-size-flag-custom-name-d-design-06</t>
        </is>
      </c>
      <c r="B2" s="2" t="inlineStr">
        <is>
          <t>personalized-baseball-bedding-full-size-flag-custom-name-d-design-06</t>
        </is>
      </c>
      <c r="C2" s="2" t="n">
        <v>181</v>
      </c>
      <c r="D2" s="2" t="inlineStr">
        <is>
          <t>Personalized Baseball Bedding Full Size Flag Custom Name D - Design 06</t>
        </is>
      </c>
      <c r="E2" s="2" t="inlineStr">
        <is>
          <t>Custom Baseball Glove Name Bedding</t>
        </is>
      </c>
      <c r="F2" s="2" t="inlineStr">
        <is>
          <t>custom baseball glove name bedding</t>
        </is>
      </c>
      <c r="G2" s="2" t="inlineStr">
        <is>
          <t>baseball glove bedding, personalized baseball comforter, custom name baseball bedding</t>
        </is>
      </c>
      <c r="H2" s="2" t="b">
        <v>1</v>
      </c>
      <c r="I2" s="2">
        <f>SUMIFS(QA_Criteria!F:F,QA_Criteria!B:B,A2,QA_Criteria!C:C,"P1")</f>
        <v/>
      </c>
      <c r="J2" s="2">
        <f>SUMIFS(QA_Criteria!F:F,QA_Criteria!B:B,A2,QA_Criteria!C:C,"P2")</f>
        <v/>
      </c>
      <c r="K2" s="2">
        <f>SUMIFS(QA_Criteria!F:F,QA_Criteria!B:B,A2,QA_Criteria!C:C,"K1")</f>
        <v/>
      </c>
      <c r="L2" s="2">
        <f>SUMIFS(QA_Criteria!F:F,QA_Criteria!B:B,A2,QA_Criteria!C:C,"K2")</f>
        <v/>
      </c>
      <c r="M2" s="2">
        <f>SUMIFS(QA_Criteria!F:F,QA_Criteria!B:B,A2,QA_Criteria!C:C,"K3")</f>
        <v/>
      </c>
      <c r="N2" s="2">
        <f>SUMIFS(QA_Criteria!F:F,QA_Criteria!B:B,A2,QA_Criteria!C:C,"T1")</f>
        <v/>
      </c>
      <c r="O2" s="2">
        <f>SUMIFS(QA_Criteria!F:F,QA_Criteria!B:B,A2,QA_Criteria!C:C,"T2")</f>
        <v/>
      </c>
      <c r="P2" s="2">
        <f>SUMIFS(QA_Criteria!F:F,QA_Criteria!B:B,A2,QA_Criteria!C:C,"D1")</f>
        <v/>
      </c>
      <c r="Q2" s="2">
        <f>SUMIFS(QA_Criteria!F:F,QA_Criteria!B:B,A2,QA_Criteria!C:C,"D2")</f>
        <v/>
      </c>
      <c r="R2" s="2">
        <f>ROUND(0.20*AVERAGEIF(QA_Images!B:B,A2,QA_Images!N:N),2)</f>
        <v/>
      </c>
      <c r="S2" s="2">
        <f>SUMIFS(QA_Criteria!F:F,QA_Criteria!B:B,A2,QA_Criteria!C:C,"E1")</f>
        <v/>
      </c>
      <c r="T2" s="2">
        <f>IF(H2=TRUE,SUM(I2:S2),0)</f>
        <v/>
      </c>
      <c r="U2" s="2">
        <f>COUNTIFS(QA_Issues!B:B,A2,QA_Issues!D:D,"CRITICAL",QA_Issues!L:L,"&lt;&gt;RESOLVED",QA_Issues!L:L,"&lt;&gt;NOT_APPLICABLE")</f>
        <v/>
      </c>
      <c r="V2" s="2">
        <f>COUNTIFS(QA_Issues!B:B,A2,QA_Issues!D:D,"MAJOR",QA_Issues!L:L,"&lt;&gt;RESOLVED",QA_Issues!L:L,"&lt;&gt;NOT_APPLICABLE")</f>
        <v/>
      </c>
      <c r="W2" s="2">
        <f>COUNTIFS(QA_Issues!B:B,A2,QA_Issues!D:D,"MINOR",QA_Issues!L:L,"&lt;&gt;RESOLVED",QA_Issues!L:L,"&lt;&gt;NOT_APPLICABLE")</f>
        <v/>
      </c>
      <c r="X2" s="2">
        <f>COUNTIFS(QA_Issues!B:B,A2,QA_Issues!D:D,"LIMITATION",QA_Issues!L:L,"&lt;&gt;RESOLVED",QA_Issues!L:L,"&lt;&gt;NOT_APPLICABLE")</f>
        <v/>
      </c>
      <c r="Y2" s="2">
        <f>IF(U2&gt;0,"QA_FAIL",IF(H2=FALSE,"QA_INCOMPLETE",IF(T2&lt;70,"QA_FAIL",IF(OR(T2&lt;85,V2&gt;0),"QA_REVISE","QA_PASS"))))</f>
        <v/>
      </c>
      <c r="Z2" s="2" t="inlineStr">
        <is>
          <t>Direct visual review verified across all gallery images. Titles, keywords, and meta tags are high quality. Proposed description copy contains internal meta-commentary notes regarding required name fields / sample numbers (D2 MAJOR issue).</t>
        </is>
      </c>
    </row>
    <row r="3">
      <c r="A3" s="3" t="inlineStr">
        <is>
          <t>jeminise.com+personalized-baseball-bedding-full-size-flag-custom-name-d-design-07</t>
        </is>
      </c>
      <c r="B3" s="2" t="inlineStr">
        <is>
          <t>personalized-baseball-bedding-full-size-flag-custom-name-d-design-07</t>
        </is>
      </c>
      <c r="C3" s="2" t="n">
        <v>182</v>
      </c>
      <c r="D3" s="2" t="inlineStr">
        <is>
          <t>Personalized Baseball Bedding Full Size Flag Custom Name D - Design 07</t>
        </is>
      </c>
      <c r="E3" s="2" t="inlineStr">
        <is>
          <t>Custom Baseball Flag Name Bedding</t>
        </is>
      </c>
      <c r="F3" s="2" t="inlineStr">
        <is>
          <t>custom baseball flag name bedding</t>
        </is>
      </c>
      <c r="G3" s="2" t="inlineStr">
        <is>
          <t>American flag baseball bedding, personalized baseball bedding, baseball name comforter</t>
        </is>
      </c>
      <c r="H3" s="2" t="b">
        <v>1</v>
      </c>
      <c r="I3" s="2">
        <f>SUMIFS(QA_Criteria!F:F,QA_Criteria!B:B,A3,QA_Criteria!C:C,"P1")</f>
        <v/>
      </c>
      <c r="J3" s="2">
        <f>SUMIFS(QA_Criteria!F:F,QA_Criteria!B:B,A3,QA_Criteria!C:C,"P2")</f>
        <v/>
      </c>
      <c r="K3" s="2">
        <f>SUMIFS(QA_Criteria!F:F,QA_Criteria!B:B,A3,QA_Criteria!C:C,"K1")</f>
        <v/>
      </c>
      <c r="L3" s="2">
        <f>SUMIFS(QA_Criteria!F:F,QA_Criteria!B:B,A3,QA_Criteria!C:C,"K2")</f>
        <v/>
      </c>
      <c r="M3" s="2">
        <f>SUMIFS(QA_Criteria!F:F,QA_Criteria!B:B,A3,QA_Criteria!C:C,"K3")</f>
        <v/>
      </c>
      <c r="N3" s="2">
        <f>SUMIFS(QA_Criteria!F:F,QA_Criteria!B:B,A3,QA_Criteria!C:C,"T1")</f>
        <v/>
      </c>
      <c r="O3" s="2">
        <f>SUMIFS(QA_Criteria!F:F,QA_Criteria!B:B,A3,QA_Criteria!C:C,"T2")</f>
        <v/>
      </c>
      <c r="P3" s="2">
        <f>SUMIFS(QA_Criteria!F:F,QA_Criteria!B:B,A3,QA_Criteria!C:C,"D1")</f>
        <v/>
      </c>
      <c r="Q3" s="2">
        <f>SUMIFS(QA_Criteria!F:F,QA_Criteria!B:B,A3,QA_Criteria!C:C,"D2")</f>
        <v/>
      </c>
      <c r="R3" s="2">
        <f>ROUND(0.20*AVERAGEIF(QA_Images!B:B,A3,QA_Images!N:N),2)</f>
        <v/>
      </c>
      <c r="S3" s="2">
        <f>SUMIFS(QA_Criteria!F:F,QA_Criteria!B:B,A3,QA_Criteria!C:C,"E1")</f>
        <v/>
      </c>
      <c r="T3" s="2">
        <f>IF(H3=TRUE,SUM(I3:S3),0)</f>
        <v/>
      </c>
      <c r="U3" s="2">
        <f>COUNTIFS(QA_Issues!B:B,A3,QA_Issues!D:D,"CRITICAL",QA_Issues!L:L,"&lt;&gt;RESOLVED",QA_Issues!L:L,"&lt;&gt;NOT_APPLICABLE")</f>
        <v/>
      </c>
      <c r="V3" s="2">
        <f>COUNTIFS(QA_Issues!B:B,A3,QA_Issues!D:D,"MAJOR",QA_Issues!L:L,"&lt;&gt;RESOLVED",QA_Issues!L:L,"&lt;&gt;NOT_APPLICABLE")</f>
        <v/>
      </c>
      <c r="W3" s="2">
        <f>COUNTIFS(QA_Issues!B:B,A3,QA_Issues!D:D,"MINOR",QA_Issues!L:L,"&lt;&gt;RESOLVED",QA_Issues!L:L,"&lt;&gt;NOT_APPLICABLE")</f>
        <v/>
      </c>
      <c r="X3" s="2">
        <f>COUNTIFS(QA_Issues!B:B,A3,QA_Issues!D:D,"LIMITATION",QA_Issues!L:L,"&lt;&gt;RESOLVED",QA_Issues!L:L,"&lt;&gt;NOT_APPLICABLE")</f>
        <v/>
      </c>
      <c r="Y3" s="2">
        <f>IF(U3&gt;0,"QA_FAIL",IF(H3=FALSE,"QA_INCOMPLETE",IF(T3&lt;70,"QA_FAIL",IF(OR(T3&lt;85,V3&gt;0),"QA_REVISE","QA_PASS"))))</f>
        <v/>
      </c>
      <c r="Z3" s="2" t="inlineStr">
        <is>
          <t>Direct visual review verified across all gallery images. Titles, keywords, and meta tags are high quality. Proposed description copy contains internal meta-commentary notes regarding required name fields / sample numbers (D2 MAJOR issue).</t>
        </is>
      </c>
    </row>
    <row r="4">
      <c r="A4" s="3" t="inlineStr">
        <is>
          <t>jeminise.com+personalized-baseball-bedding-full-size-flag-custom-name-d-design-08</t>
        </is>
      </c>
      <c r="B4" s="2" t="inlineStr">
        <is>
          <t>personalized-baseball-bedding-full-size-flag-custom-name-d-design-08</t>
        </is>
      </c>
      <c r="C4" s="2" t="n">
        <v>183</v>
      </c>
      <c r="D4" s="2" t="inlineStr">
        <is>
          <t>Personalized Baseball Bedding Full Size Flag Custom Name D - Design 08</t>
        </is>
      </c>
      <c r="E4" s="2" t="inlineStr">
        <is>
          <t>Custom Baseball Flag Glove Bedding</t>
        </is>
      </c>
      <c r="F4" s="2" t="inlineStr">
        <is>
          <t>custom baseball flag glove bedding</t>
        </is>
      </c>
      <c r="G4" s="2" t="inlineStr">
        <is>
          <t>baseball flag bedding, American flag baseball bedding, personalized sports bedding</t>
        </is>
      </c>
      <c r="H4" s="2" t="b">
        <v>1</v>
      </c>
      <c r="I4" s="2">
        <f>SUMIFS(QA_Criteria!F:F,QA_Criteria!B:B,A4,QA_Criteria!C:C,"P1")</f>
        <v/>
      </c>
      <c r="J4" s="2">
        <f>SUMIFS(QA_Criteria!F:F,QA_Criteria!B:B,A4,QA_Criteria!C:C,"P2")</f>
        <v/>
      </c>
      <c r="K4" s="2">
        <f>SUMIFS(QA_Criteria!F:F,QA_Criteria!B:B,A4,QA_Criteria!C:C,"K1")</f>
        <v/>
      </c>
      <c r="L4" s="2">
        <f>SUMIFS(QA_Criteria!F:F,QA_Criteria!B:B,A4,QA_Criteria!C:C,"K2")</f>
        <v/>
      </c>
      <c r="M4" s="2">
        <f>SUMIFS(QA_Criteria!F:F,QA_Criteria!B:B,A4,QA_Criteria!C:C,"K3")</f>
        <v/>
      </c>
      <c r="N4" s="2">
        <f>SUMIFS(QA_Criteria!F:F,QA_Criteria!B:B,A4,QA_Criteria!C:C,"T1")</f>
        <v/>
      </c>
      <c r="O4" s="2">
        <f>SUMIFS(QA_Criteria!F:F,QA_Criteria!B:B,A4,QA_Criteria!C:C,"T2")</f>
        <v/>
      </c>
      <c r="P4" s="2">
        <f>SUMIFS(QA_Criteria!F:F,QA_Criteria!B:B,A4,QA_Criteria!C:C,"D1")</f>
        <v/>
      </c>
      <c r="Q4" s="2">
        <f>SUMIFS(QA_Criteria!F:F,QA_Criteria!B:B,A4,QA_Criteria!C:C,"D2")</f>
        <v/>
      </c>
      <c r="R4" s="2">
        <f>ROUND(0.20*AVERAGEIF(QA_Images!B:B,A4,QA_Images!N:N),2)</f>
        <v/>
      </c>
      <c r="S4" s="2">
        <f>SUMIFS(QA_Criteria!F:F,QA_Criteria!B:B,A4,QA_Criteria!C:C,"E1")</f>
        <v/>
      </c>
      <c r="T4" s="2">
        <f>IF(H4=TRUE,SUM(I4:S4),0)</f>
        <v/>
      </c>
      <c r="U4" s="2">
        <f>COUNTIFS(QA_Issues!B:B,A4,QA_Issues!D:D,"CRITICAL",QA_Issues!L:L,"&lt;&gt;RESOLVED",QA_Issues!L:L,"&lt;&gt;NOT_APPLICABLE")</f>
        <v/>
      </c>
      <c r="V4" s="2">
        <f>COUNTIFS(QA_Issues!B:B,A4,QA_Issues!D:D,"MAJOR",QA_Issues!L:L,"&lt;&gt;RESOLVED",QA_Issues!L:L,"&lt;&gt;NOT_APPLICABLE")</f>
        <v/>
      </c>
      <c r="W4" s="2">
        <f>COUNTIFS(QA_Issues!B:B,A4,QA_Issues!D:D,"MINOR",QA_Issues!L:L,"&lt;&gt;RESOLVED",QA_Issues!L:L,"&lt;&gt;NOT_APPLICABLE")</f>
        <v/>
      </c>
      <c r="X4" s="2">
        <f>COUNTIFS(QA_Issues!B:B,A4,QA_Issues!D:D,"LIMITATION",QA_Issues!L:L,"&lt;&gt;RESOLVED",QA_Issues!L:L,"&lt;&gt;NOT_APPLICABLE")</f>
        <v/>
      </c>
      <c r="Y4" s="2">
        <f>IF(U4&gt;0,"QA_FAIL",IF(H4=FALSE,"QA_INCOMPLETE",IF(T4&lt;70,"QA_FAIL",IF(OR(T4&lt;85,V4&gt;0),"QA_REVISE","QA_PASS"))))</f>
        <v/>
      </c>
      <c r="Z4" s="2" t="inlineStr">
        <is>
          <t>Direct visual review verified across all gallery images. Titles, keywords, and meta tags are high quality. Proposed description copy contains internal meta-commentary notes regarding required name fields / sample numbers (D2 MAJOR issue).</t>
        </is>
      </c>
    </row>
    <row r="5">
      <c r="A5" s="3" t="inlineStr">
        <is>
          <t>jeminise.com+personalized-baseball-bedding-full-size-flag-custom-name-d-design-09</t>
        </is>
      </c>
      <c r="B5" s="2" t="inlineStr">
        <is>
          <t>personalized-baseball-bedding-full-size-flag-custom-name-d-design-09</t>
        </is>
      </c>
      <c r="C5" s="2" t="n">
        <v>184</v>
      </c>
      <c r="D5" s="2" t="inlineStr">
        <is>
          <t>Personalized Baseball Bedding Full Size Flag Custom Name D - Design 09</t>
        </is>
      </c>
      <c r="E5" s="2" t="inlineStr">
        <is>
          <t>Custom Close-Up Baseball Glove Bedding</t>
        </is>
      </c>
      <c r="F5" s="2" t="inlineStr">
        <is>
          <t>custom close-up baseball glove bedding</t>
        </is>
      </c>
      <c r="G5" s="2" t="inlineStr">
        <is>
          <t>baseball glove comforter, personalized baseball bedding, custom name sports bedding</t>
        </is>
      </c>
      <c r="H5" s="2" t="b">
        <v>1</v>
      </c>
      <c r="I5" s="2">
        <f>SUMIFS(QA_Criteria!F:F,QA_Criteria!B:B,A5,QA_Criteria!C:C,"P1")</f>
        <v/>
      </c>
      <c r="J5" s="2">
        <f>SUMIFS(QA_Criteria!F:F,QA_Criteria!B:B,A5,QA_Criteria!C:C,"P2")</f>
        <v/>
      </c>
      <c r="K5" s="2">
        <f>SUMIFS(QA_Criteria!F:F,QA_Criteria!B:B,A5,QA_Criteria!C:C,"K1")</f>
        <v/>
      </c>
      <c r="L5" s="2">
        <f>SUMIFS(QA_Criteria!F:F,QA_Criteria!B:B,A5,QA_Criteria!C:C,"K2")</f>
        <v/>
      </c>
      <c r="M5" s="2">
        <f>SUMIFS(QA_Criteria!F:F,QA_Criteria!B:B,A5,QA_Criteria!C:C,"K3")</f>
        <v/>
      </c>
      <c r="N5" s="2">
        <f>SUMIFS(QA_Criteria!F:F,QA_Criteria!B:B,A5,QA_Criteria!C:C,"T1")</f>
        <v/>
      </c>
      <c r="O5" s="2">
        <f>SUMIFS(QA_Criteria!F:F,QA_Criteria!B:B,A5,QA_Criteria!C:C,"T2")</f>
        <v/>
      </c>
      <c r="P5" s="2">
        <f>SUMIFS(QA_Criteria!F:F,QA_Criteria!B:B,A5,QA_Criteria!C:C,"D1")</f>
        <v/>
      </c>
      <c r="Q5" s="2">
        <f>SUMIFS(QA_Criteria!F:F,QA_Criteria!B:B,A5,QA_Criteria!C:C,"D2")</f>
        <v/>
      </c>
      <c r="R5" s="2">
        <f>ROUND(0.20*AVERAGEIF(QA_Images!B:B,A5,QA_Images!N:N),2)</f>
        <v/>
      </c>
      <c r="S5" s="2">
        <f>SUMIFS(QA_Criteria!F:F,QA_Criteria!B:B,A5,QA_Criteria!C:C,"E1")</f>
        <v/>
      </c>
      <c r="T5" s="2">
        <f>IF(H5=TRUE,SUM(I5:S5),0)</f>
        <v/>
      </c>
      <c r="U5" s="2">
        <f>COUNTIFS(QA_Issues!B:B,A5,QA_Issues!D:D,"CRITICAL",QA_Issues!L:L,"&lt;&gt;RESOLVED",QA_Issues!L:L,"&lt;&gt;NOT_APPLICABLE")</f>
        <v/>
      </c>
      <c r="V5" s="2">
        <f>COUNTIFS(QA_Issues!B:B,A5,QA_Issues!D:D,"MAJOR",QA_Issues!L:L,"&lt;&gt;RESOLVED",QA_Issues!L:L,"&lt;&gt;NOT_APPLICABLE")</f>
        <v/>
      </c>
      <c r="W5" s="2">
        <f>COUNTIFS(QA_Issues!B:B,A5,QA_Issues!D:D,"MINOR",QA_Issues!L:L,"&lt;&gt;RESOLVED",QA_Issues!L:L,"&lt;&gt;NOT_APPLICABLE")</f>
        <v/>
      </c>
      <c r="X5" s="2">
        <f>COUNTIFS(QA_Issues!B:B,A5,QA_Issues!D:D,"LIMITATION",QA_Issues!L:L,"&lt;&gt;RESOLVED",QA_Issues!L:L,"&lt;&gt;NOT_APPLICABLE")</f>
        <v/>
      </c>
      <c r="Y5" s="2">
        <f>IF(U5&gt;0,"QA_FAIL",IF(H5=FALSE,"QA_INCOMPLETE",IF(T5&lt;70,"QA_FAIL",IF(OR(T5&lt;85,V5&gt;0),"QA_REVISE","QA_PASS"))))</f>
        <v/>
      </c>
      <c r="Z5" s="2" t="inlineStr">
        <is>
          <t>Direct visual review verified across all gallery images. Titles, keywords, and meta tags are high quality. Proposed description copy contains internal meta-commentary notes regarding required name fields / sample numbers (D2 MAJOR issue).</t>
        </is>
      </c>
    </row>
    <row r="6">
      <c r="A6" s="3" t="inlineStr">
        <is>
          <t>jeminise.com+personalized-baseball-bedding-full-size-flag-custom-name-d-design-10</t>
        </is>
      </c>
      <c r="B6" s="2" t="inlineStr">
        <is>
          <t>personalized-baseball-bedding-full-size-flag-custom-name-d-design-10</t>
        </is>
      </c>
      <c r="C6" s="2" t="n">
        <v>185</v>
      </c>
      <c r="D6" s="2" t="inlineStr">
        <is>
          <t>Personalized Baseball Bedding Full Size Flag Custom Name D - Design 10</t>
        </is>
      </c>
      <c r="E6" s="2" t="inlineStr">
        <is>
          <t>Custom Gray Baseball Flag Bedding</t>
        </is>
      </c>
      <c r="F6" s="2" t="inlineStr">
        <is>
          <t>custom gray baseball flag bedding</t>
        </is>
      </c>
      <c r="G6" s="2" t="inlineStr">
        <is>
          <t>gray baseball bedding, American flag baseball comforter, personalized baseball bedding</t>
        </is>
      </c>
      <c r="H6" s="2" t="b">
        <v>1</v>
      </c>
      <c r="I6" s="2">
        <f>SUMIFS(QA_Criteria!F:F,QA_Criteria!B:B,A6,QA_Criteria!C:C,"P1")</f>
        <v/>
      </c>
      <c r="J6" s="2">
        <f>SUMIFS(QA_Criteria!F:F,QA_Criteria!B:B,A6,QA_Criteria!C:C,"P2")</f>
        <v/>
      </c>
      <c r="K6" s="2">
        <f>SUMIFS(QA_Criteria!F:F,QA_Criteria!B:B,A6,QA_Criteria!C:C,"K1")</f>
        <v/>
      </c>
      <c r="L6" s="2">
        <f>SUMIFS(QA_Criteria!F:F,QA_Criteria!B:B,A6,QA_Criteria!C:C,"K2")</f>
        <v/>
      </c>
      <c r="M6" s="2">
        <f>SUMIFS(QA_Criteria!F:F,QA_Criteria!B:B,A6,QA_Criteria!C:C,"K3")</f>
        <v/>
      </c>
      <c r="N6" s="2">
        <f>SUMIFS(QA_Criteria!F:F,QA_Criteria!B:B,A6,QA_Criteria!C:C,"T1")</f>
        <v/>
      </c>
      <c r="O6" s="2">
        <f>SUMIFS(QA_Criteria!F:F,QA_Criteria!B:B,A6,QA_Criteria!C:C,"T2")</f>
        <v/>
      </c>
      <c r="P6" s="2">
        <f>SUMIFS(QA_Criteria!F:F,QA_Criteria!B:B,A6,QA_Criteria!C:C,"D1")</f>
        <v/>
      </c>
      <c r="Q6" s="2">
        <f>SUMIFS(QA_Criteria!F:F,QA_Criteria!B:B,A6,QA_Criteria!C:C,"D2")</f>
        <v/>
      </c>
      <c r="R6" s="2">
        <f>ROUND(0.20*AVERAGEIF(QA_Images!B:B,A6,QA_Images!N:N),2)</f>
        <v/>
      </c>
      <c r="S6" s="2">
        <f>SUMIFS(QA_Criteria!F:F,QA_Criteria!B:B,A6,QA_Criteria!C:C,"E1")</f>
        <v/>
      </c>
      <c r="T6" s="2">
        <f>IF(H6=TRUE,SUM(I6:S6),0)</f>
        <v/>
      </c>
      <c r="U6" s="2">
        <f>COUNTIFS(QA_Issues!B:B,A6,QA_Issues!D:D,"CRITICAL",QA_Issues!L:L,"&lt;&gt;RESOLVED",QA_Issues!L:L,"&lt;&gt;NOT_APPLICABLE")</f>
        <v/>
      </c>
      <c r="V6" s="2">
        <f>COUNTIFS(QA_Issues!B:B,A6,QA_Issues!D:D,"MAJOR",QA_Issues!L:L,"&lt;&gt;RESOLVED",QA_Issues!L:L,"&lt;&gt;NOT_APPLICABLE")</f>
        <v/>
      </c>
      <c r="W6" s="2">
        <f>COUNTIFS(QA_Issues!B:B,A6,QA_Issues!D:D,"MINOR",QA_Issues!L:L,"&lt;&gt;RESOLVED",QA_Issues!L:L,"&lt;&gt;NOT_APPLICABLE")</f>
        <v/>
      </c>
      <c r="X6" s="2">
        <f>COUNTIFS(QA_Issues!B:B,A6,QA_Issues!D:D,"LIMITATION",QA_Issues!L:L,"&lt;&gt;RESOLVED",QA_Issues!L:L,"&lt;&gt;NOT_APPLICABLE")</f>
        <v/>
      </c>
      <c r="Y6" s="2">
        <f>IF(U6&gt;0,"QA_FAIL",IF(H6=FALSE,"QA_INCOMPLETE",IF(T6&lt;70,"QA_FAIL",IF(OR(T6&lt;85,V6&gt;0),"QA_REVISE","QA_PASS"))))</f>
        <v/>
      </c>
      <c r="Z6" s="2" t="inlineStr">
        <is>
          <t>Direct visual review verified across all gallery images. Titles, keywords, and meta tags are high quality. Proposed description copy contains internal meta-commentary notes regarding required name fields / sample numbers (D2 MAJOR issue).</t>
        </is>
      </c>
    </row>
    <row r="7">
      <c r="A7" s="3" t="inlineStr">
        <is>
          <t>jeminise.com+personalized-baseball-bedding-full-size-flag-custom-name-d-design-11</t>
        </is>
      </c>
      <c r="B7" s="2" t="inlineStr">
        <is>
          <t>personalized-baseball-bedding-full-size-flag-custom-name-d-design-11</t>
        </is>
      </c>
      <c r="C7" s="2" t="n">
        <v>186</v>
      </c>
      <c r="D7" s="2" t="inlineStr">
        <is>
          <t>Personalized Baseball Bedding Full Size Flag Custom Name D - Design 11</t>
        </is>
      </c>
      <c r="E7" s="2" t="inlineStr">
        <is>
          <t>Custom Baseball Pattern Name Bedding</t>
        </is>
      </c>
      <c r="F7" s="2" t="inlineStr">
        <is>
          <t>custom baseball pattern name bedding</t>
        </is>
      </c>
      <c r="G7" s="2" t="inlineStr">
        <is>
          <t>red white blue baseball bedding, baseball number bedding, personalized baseball comforter</t>
        </is>
      </c>
      <c r="H7" s="2" t="b">
        <v>1</v>
      </c>
      <c r="I7" s="2">
        <f>SUMIFS(QA_Criteria!F:F,QA_Criteria!B:B,A7,QA_Criteria!C:C,"P1")</f>
        <v/>
      </c>
      <c r="J7" s="2">
        <f>SUMIFS(QA_Criteria!F:F,QA_Criteria!B:B,A7,QA_Criteria!C:C,"P2")</f>
        <v/>
      </c>
      <c r="K7" s="2">
        <f>SUMIFS(QA_Criteria!F:F,QA_Criteria!B:B,A7,QA_Criteria!C:C,"K1")</f>
        <v/>
      </c>
      <c r="L7" s="2">
        <f>SUMIFS(QA_Criteria!F:F,QA_Criteria!B:B,A7,QA_Criteria!C:C,"K2")</f>
        <v/>
      </c>
      <c r="M7" s="2">
        <f>SUMIFS(QA_Criteria!F:F,QA_Criteria!B:B,A7,QA_Criteria!C:C,"K3")</f>
        <v/>
      </c>
      <c r="N7" s="2">
        <f>SUMIFS(QA_Criteria!F:F,QA_Criteria!B:B,A7,QA_Criteria!C:C,"T1")</f>
        <v/>
      </c>
      <c r="O7" s="2">
        <f>SUMIFS(QA_Criteria!F:F,QA_Criteria!B:B,A7,QA_Criteria!C:C,"T2")</f>
        <v/>
      </c>
      <c r="P7" s="2">
        <f>SUMIFS(QA_Criteria!F:F,QA_Criteria!B:B,A7,QA_Criteria!C:C,"D1")</f>
        <v/>
      </c>
      <c r="Q7" s="2">
        <f>SUMIFS(QA_Criteria!F:F,QA_Criteria!B:B,A7,QA_Criteria!C:C,"D2")</f>
        <v/>
      </c>
      <c r="R7" s="2">
        <f>ROUND(0.20*AVERAGEIF(QA_Images!B:B,A7,QA_Images!N:N),2)</f>
        <v/>
      </c>
      <c r="S7" s="2">
        <f>SUMIFS(QA_Criteria!F:F,QA_Criteria!B:B,A7,QA_Criteria!C:C,"E1")</f>
        <v/>
      </c>
      <c r="T7" s="2">
        <f>IF(H7=TRUE,SUM(I7:S7),0)</f>
        <v/>
      </c>
      <c r="U7" s="2">
        <f>COUNTIFS(QA_Issues!B:B,A7,QA_Issues!D:D,"CRITICAL",QA_Issues!L:L,"&lt;&gt;RESOLVED",QA_Issues!L:L,"&lt;&gt;NOT_APPLICABLE")</f>
        <v/>
      </c>
      <c r="V7" s="2">
        <f>COUNTIFS(QA_Issues!B:B,A7,QA_Issues!D:D,"MAJOR",QA_Issues!L:L,"&lt;&gt;RESOLVED",QA_Issues!L:L,"&lt;&gt;NOT_APPLICABLE")</f>
        <v/>
      </c>
      <c r="W7" s="2">
        <f>COUNTIFS(QA_Issues!B:B,A7,QA_Issues!D:D,"MINOR",QA_Issues!L:L,"&lt;&gt;RESOLVED",QA_Issues!L:L,"&lt;&gt;NOT_APPLICABLE")</f>
        <v/>
      </c>
      <c r="X7" s="2">
        <f>COUNTIFS(QA_Issues!B:B,A7,QA_Issues!D:D,"LIMITATION",QA_Issues!L:L,"&lt;&gt;RESOLVED",QA_Issues!L:L,"&lt;&gt;NOT_APPLICABLE")</f>
        <v/>
      </c>
      <c r="Y7" s="2">
        <f>IF(U7&gt;0,"QA_FAIL",IF(H7=FALSE,"QA_INCOMPLETE",IF(T7&lt;70,"QA_FAIL",IF(OR(T7&lt;85,V7&gt;0),"QA_REVISE","QA_PASS"))))</f>
        <v/>
      </c>
      <c r="Z7" s="2" t="inlineStr">
        <is>
          <t>Direct visual review verified across all gallery images. Titles, keywords, and meta tags are high quality. Proposed description copy contains internal meta-commentary notes regarding required name fields / sample numbers (D2 MAJOR issue).</t>
        </is>
      </c>
    </row>
    <row r="8">
      <c r="A8" s="3" t="inlineStr">
        <is>
          <t>jeminise.com+personalized-baseball-bedding-full-size-flag-custom-name-d-design-12</t>
        </is>
      </c>
      <c r="B8" s="2" t="inlineStr">
        <is>
          <t>personalized-baseball-bedding-full-size-flag-custom-name-d-design-12</t>
        </is>
      </c>
      <c r="C8" s="2" t="n">
        <v>187</v>
      </c>
      <c r="D8" s="2" t="inlineStr">
        <is>
          <t>Personalized Baseball Bedding Full Size Flag Custom Name D - Design 12</t>
        </is>
      </c>
      <c r="E8" s="2" t="inlineStr">
        <is>
          <t>Custom Pitcher Baseball Bedding</t>
        </is>
      </c>
      <c r="F8" s="2" t="inlineStr">
        <is>
          <t>custom pitcher baseball bedding</t>
        </is>
      </c>
      <c r="G8" s="2" t="inlineStr">
        <is>
          <t>baseball player bedding, pitcher silhouette comforter, personalized baseball bedding</t>
        </is>
      </c>
      <c r="H8" s="2" t="b">
        <v>1</v>
      </c>
      <c r="I8" s="2">
        <f>SUMIFS(QA_Criteria!F:F,QA_Criteria!B:B,A8,QA_Criteria!C:C,"P1")</f>
        <v/>
      </c>
      <c r="J8" s="2">
        <f>SUMIFS(QA_Criteria!F:F,QA_Criteria!B:B,A8,QA_Criteria!C:C,"P2")</f>
        <v/>
      </c>
      <c r="K8" s="2">
        <f>SUMIFS(QA_Criteria!F:F,QA_Criteria!B:B,A8,QA_Criteria!C:C,"K1")</f>
        <v/>
      </c>
      <c r="L8" s="2">
        <f>SUMIFS(QA_Criteria!F:F,QA_Criteria!B:B,A8,QA_Criteria!C:C,"K2")</f>
        <v/>
      </c>
      <c r="M8" s="2">
        <f>SUMIFS(QA_Criteria!F:F,QA_Criteria!B:B,A8,QA_Criteria!C:C,"K3")</f>
        <v/>
      </c>
      <c r="N8" s="2">
        <f>SUMIFS(QA_Criteria!F:F,QA_Criteria!B:B,A8,QA_Criteria!C:C,"T1")</f>
        <v/>
      </c>
      <c r="O8" s="2">
        <f>SUMIFS(QA_Criteria!F:F,QA_Criteria!B:B,A8,QA_Criteria!C:C,"T2")</f>
        <v/>
      </c>
      <c r="P8" s="2">
        <f>SUMIFS(QA_Criteria!F:F,QA_Criteria!B:B,A8,QA_Criteria!C:C,"D1")</f>
        <v/>
      </c>
      <c r="Q8" s="2">
        <f>SUMIFS(QA_Criteria!F:F,QA_Criteria!B:B,A8,QA_Criteria!C:C,"D2")</f>
        <v/>
      </c>
      <c r="R8" s="2">
        <f>ROUND(0.20*AVERAGEIF(QA_Images!B:B,A8,QA_Images!N:N),2)</f>
        <v/>
      </c>
      <c r="S8" s="2">
        <f>SUMIFS(QA_Criteria!F:F,QA_Criteria!B:B,A8,QA_Criteria!C:C,"E1")</f>
        <v/>
      </c>
      <c r="T8" s="2">
        <f>IF(H8=TRUE,SUM(I8:S8),0)</f>
        <v/>
      </c>
      <c r="U8" s="2">
        <f>COUNTIFS(QA_Issues!B:B,A8,QA_Issues!D:D,"CRITICAL",QA_Issues!L:L,"&lt;&gt;RESOLVED",QA_Issues!L:L,"&lt;&gt;NOT_APPLICABLE")</f>
        <v/>
      </c>
      <c r="V8" s="2">
        <f>COUNTIFS(QA_Issues!B:B,A8,QA_Issues!D:D,"MAJOR",QA_Issues!L:L,"&lt;&gt;RESOLVED",QA_Issues!L:L,"&lt;&gt;NOT_APPLICABLE")</f>
        <v/>
      </c>
      <c r="W8" s="2">
        <f>COUNTIFS(QA_Issues!B:B,A8,QA_Issues!D:D,"MINOR",QA_Issues!L:L,"&lt;&gt;RESOLVED",QA_Issues!L:L,"&lt;&gt;NOT_APPLICABLE")</f>
        <v/>
      </c>
      <c r="X8" s="2">
        <f>COUNTIFS(QA_Issues!B:B,A8,QA_Issues!D:D,"LIMITATION",QA_Issues!L:L,"&lt;&gt;RESOLVED",QA_Issues!L:L,"&lt;&gt;NOT_APPLICABLE")</f>
        <v/>
      </c>
      <c r="Y8" s="2">
        <f>IF(U8&gt;0,"QA_FAIL",IF(H8=FALSE,"QA_INCOMPLETE",IF(T8&lt;70,"QA_FAIL",IF(OR(T8&lt;85,V8&gt;0),"QA_REVISE","QA_PASS"))))</f>
        <v/>
      </c>
      <c r="Z8" s="2" t="inlineStr">
        <is>
          <t>Direct visual review verified across all gallery images. Titles, keywords, and meta tags are high quality. Proposed description copy contains internal meta-commentary notes regarding required name fields / sample numbers (D2 MAJOR issue).</t>
        </is>
      </c>
    </row>
    <row r="9">
      <c r="A9" s="3" t="inlineStr">
        <is>
          <t>jeminise.com+personalized-baseball-bedding-full-size-flag-custom-name-d-design-13</t>
        </is>
      </c>
      <c r="B9" s="2" t="inlineStr">
        <is>
          <t>personalized-baseball-bedding-full-size-flag-custom-name-d-design-13</t>
        </is>
      </c>
      <c r="C9" s="2" t="n">
        <v>188</v>
      </c>
      <c r="D9" s="2" t="inlineStr">
        <is>
          <t>Personalized Baseball Bedding Full Size Flag Custom Name D - Design 13</t>
        </is>
      </c>
      <c r="E9" s="2" t="inlineStr">
        <is>
          <t>Custom Black Baseball Glove Bedding</t>
        </is>
      </c>
      <c r="F9" s="2" t="inlineStr">
        <is>
          <t>custom black baseball glove bedding</t>
        </is>
      </c>
      <c r="G9" s="2" t="inlineStr">
        <is>
          <t>black baseball bedding, baseball glove comforter, personalized sports bedding</t>
        </is>
      </c>
      <c r="H9" s="2" t="b">
        <v>1</v>
      </c>
      <c r="I9" s="2">
        <f>SUMIFS(QA_Criteria!F:F,QA_Criteria!B:B,A9,QA_Criteria!C:C,"P1")</f>
        <v/>
      </c>
      <c r="J9" s="2">
        <f>SUMIFS(QA_Criteria!F:F,QA_Criteria!B:B,A9,QA_Criteria!C:C,"P2")</f>
        <v/>
      </c>
      <c r="K9" s="2">
        <f>SUMIFS(QA_Criteria!F:F,QA_Criteria!B:B,A9,QA_Criteria!C:C,"K1")</f>
        <v/>
      </c>
      <c r="L9" s="2">
        <f>SUMIFS(QA_Criteria!F:F,QA_Criteria!B:B,A9,QA_Criteria!C:C,"K2")</f>
        <v/>
      </c>
      <c r="M9" s="2">
        <f>SUMIFS(QA_Criteria!F:F,QA_Criteria!B:B,A9,QA_Criteria!C:C,"K3")</f>
        <v/>
      </c>
      <c r="N9" s="2">
        <f>SUMIFS(QA_Criteria!F:F,QA_Criteria!B:B,A9,QA_Criteria!C:C,"T1")</f>
        <v/>
      </c>
      <c r="O9" s="2">
        <f>SUMIFS(QA_Criteria!F:F,QA_Criteria!B:B,A9,QA_Criteria!C:C,"T2")</f>
        <v/>
      </c>
      <c r="P9" s="2">
        <f>SUMIFS(QA_Criteria!F:F,QA_Criteria!B:B,A9,QA_Criteria!C:C,"D1")</f>
        <v/>
      </c>
      <c r="Q9" s="2">
        <f>SUMIFS(QA_Criteria!F:F,QA_Criteria!B:B,A9,QA_Criteria!C:C,"D2")</f>
        <v/>
      </c>
      <c r="R9" s="2">
        <f>ROUND(0.20*AVERAGEIF(QA_Images!B:B,A9,QA_Images!N:N),2)</f>
        <v/>
      </c>
      <c r="S9" s="2">
        <f>SUMIFS(QA_Criteria!F:F,QA_Criteria!B:B,A9,QA_Criteria!C:C,"E1")</f>
        <v/>
      </c>
      <c r="T9" s="2">
        <f>IF(H9=TRUE,SUM(I9:S9),0)</f>
        <v/>
      </c>
      <c r="U9" s="2">
        <f>COUNTIFS(QA_Issues!B:B,A9,QA_Issues!D:D,"CRITICAL",QA_Issues!L:L,"&lt;&gt;RESOLVED",QA_Issues!L:L,"&lt;&gt;NOT_APPLICABLE")</f>
        <v/>
      </c>
      <c r="V9" s="2">
        <f>COUNTIFS(QA_Issues!B:B,A9,QA_Issues!D:D,"MAJOR",QA_Issues!L:L,"&lt;&gt;RESOLVED",QA_Issues!L:L,"&lt;&gt;NOT_APPLICABLE")</f>
        <v/>
      </c>
      <c r="W9" s="2">
        <f>COUNTIFS(QA_Issues!B:B,A9,QA_Issues!D:D,"MINOR",QA_Issues!L:L,"&lt;&gt;RESOLVED",QA_Issues!L:L,"&lt;&gt;NOT_APPLICABLE")</f>
        <v/>
      </c>
      <c r="X9" s="2">
        <f>COUNTIFS(QA_Issues!B:B,A9,QA_Issues!D:D,"LIMITATION",QA_Issues!L:L,"&lt;&gt;RESOLVED",QA_Issues!L:L,"&lt;&gt;NOT_APPLICABLE")</f>
        <v/>
      </c>
      <c r="Y9" s="2">
        <f>IF(U9&gt;0,"QA_FAIL",IF(H9=FALSE,"QA_INCOMPLETE",IF(T9&lt;70,"QA_FAIL",IF(OR(T9&lt;85,V9&gt;0),"QA_REVISE","QA_PASS"))))</f>
        <v/>
      </c>
      <c r="Z9" s="2" t="inlineStr">
        <is>
          <t>Direct visual review verified across all gallery images. Titles, keywords, and meta tags are high quality. Proposed description copy contains internal meta-commentary notes regarding required name fields / sample numbers (D2 MAJOR issue).</t>
        </is>
      </c>
    </row>
    <row r="10">
      <c r="A10" s="3" t="inlineStr">
        <is>
          <t>jeminise.com+personalized-baseball-bedding-full-size-flag-custom-name-d-design-14</t>
        </is>
      </c>
      <c r="B10" s="2" t="inlineStr">
        <is>
          <t>personalized-baseball-bedding-full-size-flag-custom-name-d-design-14</t>
        </is>
      </c>
      <c r="C10" s="2" t="n">
        <v>189</v>
      </c>
      <c r="D10" s="2" t="inlineStr">
        <is>
          <t>Personalized Baseball Bedding Full Size Flag Custom Name D - Design 14</t>
        </is>
      </c>
      <c r="E10" s="2" t="inlineStr">
        <is>
          <t>Custom Blue Stripe Baseball Bedding</t>
        </is>
      </c>
      <c r="F10" s="2" t="inlineStr">
        <is>
          <t>custom blue stripe baseball bedding</t>
        </is>
      </c>
      <c r="G10" s="2" t="inlineStr">
        <is>
          <t>blue baseball bedding, personalized baseball comforter, custom name baseball bedding</t>
        </is>
      </c>
      <c r="H10" s="2" t="b">
        <v>1</v>
      </c>
      <c r="I10" s="2">
        <f>SUMIFS(QA_Criteria!F:F,QA_Criteria!B:B,A10,QA_Criteria!C:C,"P1")</f>
        <v/>
      </c>
      <c r="J10" s="2">
        <f>SUMIFS(QA_Criteria!F:F,QA_Criteria!B:B,A10,QA_Criteria!C:C,"P2")</f>
        <v/>
      </c>
      <c r="K10" s="2">
        <f>SUMIFS(QA_Criteria!F:F,QA_Criteria!B:B,A10,QA_Criteria!C:C,"K1")</f>
        <v/>
      </c>
      <c r="L10" s="2">
        <f>SUMIFS(QA_Criteria!F:F,QA_Criteria!B:B,A10,QA_Criteria!C:C,"K2")</f>
        <v/>
      </c>
      <c r="M10" s="2">
        <f>SUMIFS(QA_Criteria!F:F,QA_Criteria!B:B,A10,QA_Criteria!C:C,"K3")</f>
        <v/>
      </c>
      <c r="N10" s="2">
        <f>SUMIFS(QA_Criteria!F:F,QA_Criteria!B:B,A10,QA_Criteria!C:C,"T1")</f>
        <v/>
      </c>
      <c r="O10" s="2">
        <f>SUMIFS(QA_Criteria!F:F,QA_Criteria!B:B,A10,QA_Criteria!C:C,"T2")</f>
        <v/>
      </c>
      <c r="P10" s="2">
        <f>SUMIFS(QA_Criteria!F:F,QA_Criteria!B:B,A10,QA_Criteria!C:C,"D1")</f>
        <v/>
      </c>
      <c r="Q10" s="2">
        <f>SUMIFS(QA_Criteria!F:F,QA_Criteria!B:B,A10,QA_Criteria!C:C,"D2")</f>
        <v/>
      </c>
      <c r="R10" s="2">
        <f>ROUND(0.20*AVERAGEIF(QA_Images!B:B,A10,QA_Images!N:N),2)</f>
        <v/>
      </c>
      <c r="S10" s="2">
        <f>SUMIFS(QA_Criteria!F:F,QA_Criteria!B:B,A10,QA_Criteria!C:C,"E1")</f>
        <v/>
      </c>
      <c r="T10" s="2">
        <f>IF(H10=TRUE,SUM(I10:S10),0)</f>
        <v/>
      </c>
      <c r="U10" s="2">
        <f>COUNTIFS(QA_Issues!B:B,A10,QA_Issues!D:D,"CRITICAL",QA_Issues!L:L,"&lt;&gt;RESOLVED",QA_Issues!L:L,"&lt;&gt;NOT_APPLICABLE")</f>
        <v/>
      </c>
      <c r="V10" s="2">
        <f>COUNTIFS(QA_Issues!B:B,A10,QA_Issues!D:D,"MAJOR",QA_Issues!L:L,"&lt;&gt;RESOLVED",QA_Issues!L:L,"&lt;&gt;NOT_APPLICABLE")</f>
        <v/>
      </c>
      <c r="W10" s="2">
        <f>COUNTIFS(QA_Issues!B:B,A10,QA_Issues!D:D,"MINOR",QA_Issues!L:L,"&lt;&gt;RESOLVED",QA_Issues!L:L,"&lt;&gt;NOT_APPLICABLE")</f>
        <v/>
      </c>
      <c r="X10" s="2">
        <f>COUNTIFS(QA_Issues!B:B,A10,QA_Issues!D:D,"LIMITATION",QA_Issues!L:L,"&lt;&gt;RESOLVED",QA_Issues!L:L,"&lt;&gt;NOT_APPLICABLE")</f>
        <v/>
      </c>
      <c r="Y10" s="2">
        <f>IF(U10&gt;0,"QA_FAIL",IF(H10=FALSE,"QA_INCOMPLETE",IF(T10&lt;70,"QA_FAIL",IF(OR(T10&lt;85,V10&gt;0),"QA_REVISE","QA_PASS"))))</f>
        <v/>
      </c>
      <c r="Z10" s="2" t="inlineStr">
        <is>
          <t>Direct visual review verified across all gallery images. Titles, keywords, and meta tags are high quality. Proposed description copy contains internal meta-commentary notes regarding required name fields / sample numbers (D2 MAJOR issue).</t>
        </is>
      </c>
    </row>
    <row r="11">
      <c r="A11" s="3" t="inlineStr">
        <is>
          <t>jeminise.com+personalized-baseball-bedding-full-size-flag-custom-name-d-design-15</t>
        </is>
      </c>
      <c r="B11" s="2" t="inlineStr">
        <is>
          <t>personalized-baseball-bedding-full-size-flag-custom-name-d-design-15</t>
        </is>
      </c>
      <c r="C11" s="2" t="n">
        <v>190</v>
      </c>
      <c r="D11" s="2" t="inlineStr">
        <is>
          <t>Personalized Baseball Bedding Full Size Flag Custom Name D - Design 15</t>
        </is>
      </c>
      <c r="E11" s="2" t="inlineStr">
        <is>
          <t>Custom Galaxy Baseball Name Bedding</t>
        </is>
      </c>
      <c r="F11" s="2" t="inlineStr">
        <is>
          <t>custom galaxy baseball name bedding</t>
        </is>
      </c>
      <c r="G11" s="2" t="inlineStr">
        <is>
          <t>galaxy baseball bedding, baseball comforter, personalized baseball bedding</t>
        </is>
      </c>
      <c r="H11" s="2" t="b">
        <v>1</v>
      </c>
      <c r="I11" s="2">
        <f>SUMIFS(QA_Criteria!F:F,QA_Criteria!B:B,A11,QA_Criteria!C:C,"P1")</f>
        <v/>
      </c>
      <c r="J11" s="2">
        <f>SUMIFS(QA_Criteria!F:F,QA_Criteria!B:B,A11,QA_Criteria!C:C,"P2")</f>
        <v/>
      </c>
      <c r="K11" s="2">
        <f>SUMIFS(QA_Criteria!F:F,QA_Criteria!B:B,A11,QA_Criteria!C:C,"K1")</f>
        <v/>
      </c>
      <c r="L11" s="2">
        <f>SUMIFS(QA_Criteria!F:F,QA_Criteria!B:B,A11,QA_Criteria!C:C,"K2")</f>
        <v/>
      </c>
      <c r="M11" s="2">
        <f>SUMIFS(QA_Criteria!F:F,QA_Criteria!B:B,A11,QA_Criteria!C:C,"K3")</f>
        <v/>
      </c>
      <c r="N11" s="2">
        <f>SUMIFS(QA_Criteria!F:F,QA_Criteria!B:B,A11,QA_Criteria!C:C,"T1")</f>
        <v/>
      </c>
      <c r="O11" s="2">
        <f>SUMIFS(QA_Criteria!F:F,QA_Criteria!B:B,A11,QA_Criteria!C:C,"T2")</f>
        <v/>
      </c>
      <c r="P11" s="2">
        <f>SUMIFS(QA_Criteria!F:F,QA_Criteria!B:B,A11,QA_Criteria!C:C,"D1")</f>
        <v/>
      </c>
      <c r="Q11" s="2">
        <f>SUMIFS(QA_Criteria!F:F,QA_Criteria!B:B,A11,QA_Criteria!C:C,"D2")</f>
        <v/>
      </c>
      <c r="R11" s="2">
        <f>ROUND(0.20*AVERAGEIF(QA_Images!B:B,A11,QA_Images!N:N),2)</f>
        <v/>
      </c>
      <c r="S11" s="2">
        <f>SUMIFS(QA_Criteria!F:F,QA_Criteria!B:B,A11,QA_Criteria!C:C,"E1")</f>
        <v/>
      </c>
      <c r="T11" s="2">
        <f>IF(H11=TRUE,SUM(I11:S11),0)</f>
        <v/>
      </c>
      <c r="U11" s="2">
        <f>COUNTIFS(QA_Issues!B:B,A11,QA_Issues!D:D,"CRITICAL",QA_Issues!L:L,"&lt;&gt;RESOLVED",QA_Issues!L:L,"&lt;&gt;NOT_APPLICABLE")</f>
        <v/>
      </c>
      <c r="V11" s="2">
        <f>COUNTIFS(QA_Issues!B:B,A11,QA_Issues!D:D,"MAJOR",QA_Issues!L:L,"&lt;&gt;RESOLVED",QA_Issues!L:L,"&lt;&gt;NOT_APPLICABLE")</f>
        <v/>
      </c>
      <c r="W11" s="2">
        <f>COUNTIFS(QA_Issues!B:B,A11,QA_Issues!D:D,"MINOR",QA_Issues!L:L,"&lt;&gt;RESOLVED",QA_Issues!L:L,"&lt;&gt;NOT_APPLICABLE")</f>
        <v/>
      </c>
      <c r="X11" s="2">
        <f>COUNTIFS(QA_Issues!B:B,A11,QA_Issues!D:D,"LIMITATION",QA_Issues!L:L,"&lt;&gt;RESOLVED",QA_Issues!L:L,"&lt;&gt;NOT_APPLICABLE")</f>
        <v/>
      </c>
      <c r="Y11" s="2">
        <f>IF(U11&gt;0,"QA_FAIL",IF(H11=FALSE,"QA_INCOMPLETE",IF(T11&lt;70,"QA_FAIL",IF(OR(T11&lt;85,V11&gt;0),"QA_REVISE","QA_PASS"))))</f>
        <v/>
      </c>
      <c r="Z11" s="2" t="inlineStr">
        <is>
          <t>Direct visual review verified across all gallery images. Titles, keywords, and meta tags are high quality. Proposed description copy contains internal meta-commentary notes regarding required name fields / sample numbers (D2 MAJOR issue).</t>
        </is>
      </c>
    </row>
  </sheetData>
  <autoFilter ref="A1:Z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7" customWidth="1" min="3" max="3"/>
    <col width="30" customWidth="1" min="4" max="4"/>
    <col width="13" customWidth="1" min="5" max="5"/>
    <col width="15" customWidth="1" min="6" max="6"/>
    <col width="20" customWidth="1" min="7" max="7"/>
    <col width="45" customWidth="1" min="8" max="8"/>
    <col width="45" customWidth="1" min="9" max="9"/>
  </cols>
  <sheetData>
    <row r="1">
      <c r="A1" s="1" t="inlineStr">
        <is>
          <t>criterion_id</t>
        </is>
      </c>
      <c r="B1" s="1" t="inlineStr">
        <is>
          <t>product_key</t>
        </is>
      </c>
      <c r="C1" s="1" t="inlineStr">
        <is>
          <t>criterion_code</t>
        </is>
      </c>
      <c r="D1" s="1" t="inlineStr">
        <is>
          <t>criterion_name</t>
        </is>
      </c>
      <c r="E1" s="1" t="inlineStr">
        <is>
          <t>max_weight</t>
        </is>
      </c>
      <c r="F1" s="1" t="inlineStr">
        <is>
          <t>score_earned</t>
        </is>
      </c>
      <c r="G1" s="1" t="inlineStr">
        <is>
          <t>evaluation_status</t>
        </is>
      </c>
      <c r="H1" s="1" t="inlineStr">
        <is>
          <t>evaluation_details</t>
        </is>
      </c>
      <c r="I1" s="1" t="inlineStr">
        <is>
          <t>auditor_notes</t>
        </is>
      </c>
    </row>
    <row r="2">
      <c r="A2" s="3" t="inlineStr">
        <is>
          <t>CRIT-001</t>
        </is>
      </c>
      <c r="B2" s="3" t="inlineStr">
        <is>
          <t>jeminise.com+personalized-baseball-bedding-full-size-flag-custom-name-d-design-06</t>
        </is>
      </c>
      <c r="C2" s="2" t="inlineStr">
        <is>
          <t>P1</t>
        </is>
      </c>
      <c r="D2" s="2" t="inlineStr">
        <is>
          <t>Product Identification</t>
        </is>
      </c>
      <c r="E2" s="2" t="n">
        <v>15</v>
      </c>
      <c r="F2" s="2" t="n">
        <v>15</v>
      </c>
      <c r="G2" s="2" t="inlineStr">
        <is>
          <t>PASS</t>
        </is>
      </c>
      <c r="H2" s="2" t="inlineStr">
        <is>
          <t>personalized-baseball-bedding-full-size-flag-custom-name-d-design-06: Accurately identified product form factor (Comforter / Duvet Cover), material category (high-density brushed microfiber), and baseball artwork motif from direct visual audit and storefront data.</t>
        </is>
      </c>
      <c r="I2" s="2" t="inlineStr">
        <is>
          <t>Audited in batch 19 r3. Criteria P1 weight=15.0.</t>
        </is>
      </c>
    </row>
    <row r="3">
      <c r="A3" s="3" t="inlineStr">
        <is>
          <t>CRIT-002</t>
        </is>
      </c>
      <c r="B3" s="3" t="inlineStr">
        <is>
          <t>jeminise.com+personalized-baseball-bedding-full-size-flag-custom-name-d-design-06</t>
        </is>
      </c>
      <c r="C3" s="2" t="inlineStr">
        <is>
          <t>P2</t>
        </is>
      </c>
      <c r="D3" s="2" t="inlineStr">
        <is>
          <t>Taxonomy &amp; Classification</t>
        </is>
      </c>
      <c r="E3" s="2" t="n">
        <v>10</v>
      </c>
      <c r="F3" s="2" t="n">
        <v>10</v>
      </c>
      <c r="G3" s="2" t="inlineStr">
        <is>
          <t>PASS</t>
        </is>
      </c>
      <c r="H3" s="2" t="inlineStr">
        <is>
          <t>personalized-baseball-bedding-full-size-flag-custom-name-d-design-06: Correct category assignment aligning with Shopify collections, product type (Bedding), and option configurations (Product Type + Size, Pillowcases, Sheet Cover).</t>
        </is>
      </c>
      <c r="I3" s="2" t="inlineStr">
        <is>
          <t>Audited in batch 19 r3. Criteria P2 weight=10.0.</t>
        </is>
      </c>
    </row>
    <row r="4">
      <c r="A4" s="3" t="inlineStr">
        <is>
          <t>CRIT-003</t>
        </is>
      </c>
      <c r="B4" s="3" t="inlineStr">
        <is>
          <t>jeminise.com+personalized-baseball-bedding-full-size-flag-custom-name-d-design-06</t>
        </is>
      </c>
      <c r="C4" s="2" t="inlineStr">
        <is>
          <t>K1</t>
        </is>
      </c>
      <c r="D4" s="2" t="inlineStr">
        <is>
          <t>Primary Keyword Focus</t>
        </is>
      </c>
      <c r="E4" s="2" t="n">
        <v>10</v>
      </c>
      <c r="F4" s="2" t="n">
        <v>10</v>
      </c>
      <c r="G4" s="2" t="inlineStr">
        <is>
          <t>PASS</t>
        </is>
      </c>
      <c r="H4" s="2" t="inlineStr">
        <is>
          <t>personalized-baseball-bedding-full-size-flag-custom-name-d-design-06: Primary keyword accurately targets high-intent search demand validated via live US SERP analysis.</t>
        </is>
      </c>
      <c r="I4" s="2" t="inlineStr">
        <is>
          <t>Audited in batch 19 r3. Criteria K1 weight=10.0.</t>
        </is>
      </c>
    </row>
    <row r="5">
      <c r="A5" s="3" t="inlineStr">
        <is>
          <t>CRIT-004</t>
        </is>
      </c>
      <c r="B5" s="3" t="inlineStr">
        <is>
          <t>jeminise.com+personalized-baseball-bedding-full-size-flag-custom-name-d-design-06</t>
        </is>
      </c>
      <c r="C5" s="2" t="inlineStr">
        <is>
          <t>K2</t>
        </is>
      </c>
      <c r="D5" s="2" t="inlineStr">
        <is>
          <t>Secondary Keyword Support</t>
        </is>
      </c>
      <c r="E5" s="2" t="n">
        <v>5</v>
      </c>
      <c r="F5" s="2" t="n">
        <v>5</v>
      </c>
      <c r="G5" s="2" t="inlineStr">
        <is>
          <t>PASS</t>
        </is>
      </c>
      <c r="H5" s="2" t="inlineStr">
        <is>
          <t>personalized-baseball-bedding-full-size-flag-custom-name-d-design-06: Secondary keywords support relevant long-tail variations without keyword stuffing.</t>
        </is>
      </c>
      <c r="I5" s="2" t="inlineStr">
        <is>
          <t>Audited in batch 19 r3. Criteria K2 weight=5.0.</t>
        </is>
      </c>
    </row>
    <row r="6">
      <c r="A6" s="3" t="inlineStr">
        <is>
          <t>CRIT-005</t>
        </is>
      </c>
      <c r="B6" s="3" t="inlineStr">
        <is>
          <t>jeminise.com+personalized-baseball-bedding-full-size-flag-custom-name-d-design-06</t>
        </is>
      </c>
      <c r="C6" s="2" t="inlineStr">
        <is>
          <t>K3</t>
        </is>
      </c>
      <c r="D6" s="2" t="inlineStr">
        <is>
          <t>Search Intent Alignment</t>
        </is>
      </c>
      <c r="E6" s="2" t="n">
        <v>5</v>
      </c>
      <c r="F6" s="2" t="n">
        <v>5</v>
      </c>
      <c r="G6" s="2" t="inlineStr">
        <is>
          <t>PASS</t>
        </is>
      </c>
      <c r="H6" s="2" t="inlineStr">
        <is>
          <t>personalized-baseball-bedding-full-size-flag-custom-name-d-design-06: Commercial product search intent aligned with US home decor sports bedding buyer expectations.</t>
        </is>
      </c>
      <c r="I6" s="2" t="inlineStr">
        <is>
          <t>Audited in batch 19 r3. Criteria K3 weight=5.0.</t>
        </is>
      </c>
    </row>
    <row r="7">
      <c r="A7" s="3" t="inlineStr">
        <is>
          <t>CRIT-006</t>
        </is>
      </c>
      <c r="B7" s="3" t="inlineStr">
        <is>
          <t>jeminise.com+personalized-baseball-bedding-full-size-flag-custom-name-d-design-06</t>
        </is>
      </c>
      <c r="C7" s="2" t="inlineStr">
        <is>
          <t>T1</t>
        </is>
      </c>
      <c r="D7" s="2" t="inlineStr">
        <is>
          <t>Proposed Title Optimization</t>
        </is>
      </c>
      <c r="E7" s="2" t="n">
        <v>10</v>
      </c>
      <c r="F7" s="2" t="n">
        <v>10</v>
      </c>
      <c r="G7" s="2" t="inlineStr">
        <is>
          <t>PASS</t>
        </is>
      </c>
      <c r="H7" s="2" t="inlineStr">
        <is>
          <t>personalized-baseball-bedding-full-size-flag-custom-name-d-design-06: Title proposed is concise, front-loaded with primary keyword, and eliminates redundant keyword stuffing terms.</t>
        </is>
      </c>
      <c r="I7" s="2" t="inlineStr">
        <is>
          <t>Audited in batch 19 r3. Criteria T1 weight=10.0.</t>
        </is>
      </c>
    </row>
    <row r="8">
      <c r="A8" s="3" t="inlineStr">
        <is>
          <t>CRIT-007</t>
        </is>
      </c>
      <c r="B8" s="3" t="inlineStr">
        <is>
          <t>jeminise.com+personalized-baseball-bedding-full-size-flag-custom-name-d-design-06</t>
        </is>
      </c>
      <c r="C8" s="2" t="inlineStr">
        <is>
          <t>T2</t>
        </is>
      </c>
      <c r="D8" s="2" t="inlineStr">
        <is>
          <t>Meta Title Optimization</t>
        </is>
      </c>
      <c r="E8" s="2" t="n">
        <v>5</v>
      </c>
      <c r="F8" s="2" t="n">
        <v>5</v>
      </c>
      <c r="G8" s="2" t="inlineStr">
        <is>
          <t>PASS</t>
        </is>
      </c>
      <c r="H8" s="2" t="inlineStr">
        <is>
          <t>personalized-baseball-bedding-full-size-flag-custom-name-d-design-06: Meta title is within 60 characters, brand-aligned, and free of truncation issues.</t>
        </is>
      </c>
      <c r="I8" s="2" t="inlineStr">
        <is>
          <t>Audited in batch 19 r3. Criteria T2 weight=5.0.</t>
        </is>
      </c>
    </row>
    <row r="9">
      <c r="A9" s="3" t="inlineStr">
        <is>
          <t>CRIT-008</t>
        </is>
      </c>
      <c r="B9" s="3" t="inlineStr">
        <is>
          <t>jeminise.com+personalized-baseball-bedding-full-size-flag-custom-name-d-design-06</t>
        </is>
      </c>
      <c r="C9" s="2" t="inlineStr">
        <is>
          <t>D1</t>
        </is>
      </c>
      <c r="D9" s="2" t="inlineStr">
        <is>
          <t>Meta Description SEO</t>
        </is>
      </c>
      <c r="E9" s="2" t="n">
        <v>5</v>
      </c>
      <c r="F9" s="2" t="n">
        <v>5</v>
      </c>
      <c r="G9" s="2" t="inlineStr">
        <is>
          <t>PASS</t>
        </is>
      </c>
      <c r="H9" s="2" t="inlineStr">
        <is>
          <t>personalized-baseball-bedding-full-size-flag-custom-name-d-design-06: Meta description is within 100-128 characters, compelling, and free of draft/QA tags.</t>
        </is>
      </c>
      <c r="I9" s="2" t="inlineStr">
        <is>
          <t>Audited in batch 19 r3. Criteria D1 weight=5.0.</t>
        </is>
      </c>
    </row>
    <row r="10">
      <c r="A10" s="3" t="inlineStr">
        <is>
          <t>CRIT-009</t>
        </is>
      </c>
      <c r="B10" s="3" t="inlineStr">
        <is>
          <t>jeminise.com+personalized-baseball-bedding-full-size-flag-custom-name-d-design-06</t>
        </is>
      </c>
      <c r="C10" s="2" t="inlineStr">
        <is>
          <t>D2</t>
        </is>
      </c>
      <c r="D10" s="2" t="inlineStr">
        <is>
          <t>Product Description HTML</t>
        </is>
      </c>
      <c r="E10" s="2" t="n">
        <v>10</v>
      </c>
      <c r="F10" s="2" t="n">
        <v>7</v>
      </c>
      <c r="G10" s="2" t="inlineStr">
        <is>
          <t>PARTIAL</t>
        </is>
      </c>
      <c r="H10" s="2" t="inlineStr">
        <is>
          <t>personalized-baseball-bedding-full-size-flag-custom-name-d-design-06: HTML copy excised old internal QA tags, but contains internal verification commentary regarding name inputs/sample numbers and omits complete Comforter vs Duvet Cover breakdown.</t>
        </is>
      </c>
      <c r="I10" s="2" t="inlineStr">
        <is>
          <t>Audited in batch 19 r3. Criteria D2 weight=10.0.</t>
        </is>
      </c>
    </row>
    <row r="11">
      <c r="A11" s="3" t="inlineStr">
        <is>
          <t>CRIT-010</t>
        </is>
      </c>
      <c r="B11" s="3" t="inlineStr">
        <is>
          <t>jeminise.com+personalized-baseball-bedding-full-size-flag-custom-name-d-design-06</t>
        </is>
      </c>
      <c r="C11" s="2" t="inlineStr">
        <is>
          <t>I1</t>
        </is>
      </c>
      <c r="D11" s="2" t="inlineStr">
        <is>
          <t>Gallery Image Optimization</t>
        </is>
      </c>
      <c r="E11" s="2" t="n">
        <v>20</v>
      </c>
      <c r="F11" s="2" t="n">
        <v>20</v>
      </c>
      <c r="G11" s="2" t="inlineStr">
        <is>
          <t>PASS</t>
        </is>
      </c>
      <c r="H11" s="2" t="inlineStr">
        <is>
          <t>personalized-baseball-bedding-full-size-flag-custom-name-d-design-06: 100% of gallery images visually audited; alt text proposed accurately reflects visual subjects and features.</t>
        </is>
      </c>
      <c r="I11" s="2" t="inlineStr">
        <is>
          <t>Audited in batch 19 r3. Criteria I1 weight=20.0.</t>
        </is>
      </c>
    </row>
    <row r="12">
      <c r="A12" s="3" t="inlineStr">
        <is>
          <t>CRIT-011</t>
        </is>
      </c>
      <c r="B12" s="3" t="inlineStr">
        <is>
          <t>jeminise.com+personalized-baseball-bedding-full-size-flag-custom-name-d-design-06</t>
        </is>
      </c>
      <c r="C12" s="2" t="inlineStr">
        <is>
          <t>E1</t>
        </is>
      </c>
      <c r="D12" s="2" t="inlineStr">
        <is>
          <t>Evidence &amp; Grounding</t>
        </is>
      </c>
      <c r="E12" s="2" t="n">
        <v>5</v>
      </c>
      <c r="F12" s="2" t="n">
        <v>5</v>
      </c>
      <c r="G12" s="2" t="inlineStr">
        <is>
          <t>PASS</t>
        </is>
      </c>
      <c r="H12" s="2" t="inlineStr">
        <is>
          <t>personalized-baseball-bedding-full-size-flag-custom-name-d-design-06: Optimization grounded in live storefront audits, direct image inspection, and SERP verification.</t>
        </is>
      </c>
      <c r="I12" s="2" t="inlineStr">
        <is>
          <t>Audited in batch 19 r3. Criteria E1 weight=5.0.</t>
        </is>
      </c>
    </row>
    <row r="13">
      <c r="A13" s="3" t="inlineStr">
        <is>
          <t>CRIT-012</t>
        </is>
      </c>
      <c r="B13" s="3" t="inlineStr">
        <is>
          <t>jeminise.com+personalized-baseball-bedding-full-size-flag-custom-name-d-design-07</t>
        </is>
      </c>
      <c r="C13" s="2" t="inlineStr">
        <is>
          <t>P1</t>
        </is>
      </c>
      <c r="D13" s="2" t="inlineStr">
        <is>
          <t>Product Identification</t>
        </is>
      </c>
      <c r="E13" s="2" t="n">
        <v>15</v>
      </c>
      <c r="F13" s="2" t="n">
        <v>15</v>
      </c>
      <c r="G13" s="2" t="inlineStr">
        <is>
          <t>PASS</t>
        </is>
      </c>
      <c r="H13" s="2" t="inlineStr">
        <is>
          <t>personalized-baseball-bedding-full-size-flag-custom-name-d-design-07: Accurately identified product form factor (Comforter / Duvet Cover), material category (high-density brushed microfiber), and baseball artwork motif from direct visual audit and storefront data.</t>
        </is>
      </c>
      <c r="I13" s="2" t="inlineStr">
        <is>
          <t>Audited in batch 19 r3. Criteria P1 weight=15.0.</t>
        </is>
      </c>
    </row>
    <row r="14">
      <c r="A14" s="3" t="inlineStr">
        <is>
          <t>CRIT-013</t>
        </is>
      </c>
      <c r="B14" s="3" t="inlineStr">
        <is>
          <t>jeminise.com+personalized-baseball-bedding-full-size-flag-custom-name-d-design-07</t>
        </is>
      </c>
      <c r="C14" s="2" t="inlineStr">
        <is>
          <t>P2</t>
        </is>
      </c>
      <c r="D14" s="2" t="inlineStr">
        <is>
          <t>Taxonomy &amp; Classification</t>
        </is>
      </c>
      <c r="E14" s="2" t="n">
        <v>10</v>
      </c>
      <c r="F14" s="2" t="n">
        <v>10</v>
      </c>
      <c r="G14" s="2" t="inlineStr">
        <is>
          <t>PASS</t>
        </is>
      </c>
      <c r="H14" s="2" t="inlineStr">
        <is>
          <t>personalized-baseball-bedding-full-size-flag-custom-name-d-design-07: Correct category assignment aligning with Shopify collections, product type (Bedding), and option configurations (Product Type + Size, Pillowcases, Sheet Cover).</t>
        </is>
      </c>
      <c r="I14" s="2" t="inlineStr">
        <is>
          <t>Audited in batch 19 r3. Criteria P2 weight=10.0.</t>
        </is>
      </c>
    </row>
    <row r="15">
      <c r="A15" s="3" t="inlineStr">
        <is>
          <t>CRIT-014</t>
        </is>
      </c>
      <c r="B15" s="3" t="inlineStr">
        <is>
          <t>jeminise.com+personalized-baseball-bedding-full-size-flag-custom-name-d-design-07</t>
        </is>
      </c>
      <c r="C15" s="2" t="inlineStr">
        <is>
          <t>K1</t>
        </is>
      </c>
      <c r="D15" s="2" t="inlineStr">
        <is>
          <t>Primary Keyword Focus</t>
        </is>
      </c>
      <c r="E15" s="2" t="n">
        <v>10</v>
      </c>
      <c r="F15" s="2" t="n">
        <v>10</v>
      </c>
      <c r="G15" s="2" t="inlineStr">
        <is>
          <t>PASS</t>
        </is>
      </c>
      <c r="H15" s="2" t="inlineStr">
        <is>
          <t>personalized-baseball-bedding-full-size-flag-custom-name-d-design-07: Primary keyword accurately targets high-intent search demand validated via live US SERP analysis.</t>
        </is>
      </c>
      <c r="I15" s="2" t="inlineStr">
        <is>
          <t>Audited in batch 19 r3. Criteria K1 weight=10.0.</t>
        </is>
      </c>
    </row>
    <row r="16">
      <c r="A16" s="3" t="inlineStr">
        <is>
          <t>CRIT-015</t>
        </is>
      </c>
      <c r="B16" s="3" t="inlineStr">
        <is>
          <t>jeminise.com+personalized-baseball-bedding-full-size-flag-custom-name-d-design-07</t>
        </is>
      </c>
      <c r="C16" s="2" t="inlineStr">
        <is>
          <t>K2</t>
        </is>
      </c>
      <c r="D16" s="2" t="inlineStr">
        <is>
          <t>Secondary Keyword Support</t>
        </is>
      </c>
      <c r="E16" s="2" t="n">
        <v>5</v>
      </c>
      <c r="F16" s="2" t="n">
        <v>5</v>
      </c>
      <c r="G16" s="2" t="inlineStr">
        <is>
          <t>PASS</t>
        </is>
      </c>
      <c r="H16" s="2" t="inlineStr">
        <is>
          <t>personalized-baseball-bedding-full-size-flag-custom-name-d-design-07: Secondary keywords support relevant long-tail variations without keyword stuffing.</t>
        </is>
      </c>
      <c r="I16" s="2" t="inlineStr">
        <is>
          <t>Audited in batch 19 r3. Criteria K2 weight=5.0.</t>
        </is>
      </c>
    </row>
    <row r="17">
      <c r="A17" s="3" t="inlineStr">
        <is>
          <t>CRIT-016</t>
        </is>
      </c>
      <c r="B17" s="3" t="inlineStr">
        <is>
          <t>jeminise.com+personalized-baseball-bedding-full-size-flag-custom-name-d-design-07</t>
        </is>
      </c>
      <c r="C17" s="2" t="inlineStr">
        <is>
          <t>K3</t>
        </is>
      </c>
      <c r="D17" s="2" t="inlineStr">
        <is>
          <t>Search Intent Alignment</t>
        </is>
      </c>
      <c r="E17" s="2" t="n">
        <v>5</v>
      </c>
      <c r="F17" s="2" t="n">
        <v>5</v>
      </c>
      <c r="G17" s="2" t="inlineStr">
        <is>
          <t>PASS</t>
        </is>
      </c>
      <c r="H17" s="2" t="inlineStr">
        <is>
          <t>personalized-baseball-bedding-full-size-flag-custom-name-d-design-07: Commercial product search intent aligned with US home decor sports bedding buyer expectations.</t>
        </is>
      </c>
      <c r="I17" s="2" t="inlineStr">
        <is>
          <t>Audited in batch 19 r3. Criteria K3 weight=5.0.</t>
        </is>
      </c>
    </row>
    <row r="18">
      <c r="A18" s="3" t="inlineStr">
        <is>
          <t>CRIT-017</t>
        </is>
      </c>
      <c r="B18" s="3" t="inlineStr">
        <is>
          <t>jeminise.com+personalized-baseball-bedding-full-size-flag-custom-name-d-design-07</t>
        </is>
      </c>
      <c r="C18" s="2" t="inlineStr">
        <is>
          <t>T1</t>
        </is>
      </c>
      <c r="D18" s="2" t="inlineStr">
        <is>
          <t>Proposed Title Optimization</t>
        </is>
      </c>
      <c r="E18" s="2" t="n">
        <v>10</v>
      </c>
      <c r="F18" s="2" t="n">
        <v>10</v>
      </c>
      <c r="G18" s="2" t="inlineStr">
        <is>
          <t>PASS</t>
        </is>
      </c>
      <c r="H18" s="2" t="inlineStr">
        <is>
          <t>personalized-baseball-bedding-full-size-flag-custom-name-d-design-07: Title proposed is concise, front-loaded with primary keyword, and eliminates redundant keyword stuffing terms.</t>
        </is>
      </c>
      <c r="I18" s="2" t="inlineStr">
        <is>
          <t>Audited in batch 19 r3. Criteria T1 weight=10.0.</t>
        </is>
      </c>
    </row>
    <row r="19">
      <c r="A19" s="3" t="inlineStr">
        <is>
          <t>CRIT-018</t>
        </is>
      </c>
      <c r="B19" s="3" t="inlineStr">
        <is>
          <t>jeminise.com+personalized-baseball-bedding-full-size-flag-custom-name-d-design-07</t>
        </is>
      </c>
      <c r="C19" s="2" t="inlineStr">
        <is>
          <t>T2</t>
        </is>
      </c>
      <c r="D19" s="2" t="inlineStr">
        <is>
          <t>Meta Title Optimization</t>
        </is>
      </c>
      <c r="E19" s="2" t="n">
        <v>5</v>
      </c>
      <c r="F19" s="2" t="n">
        <v>5</v>
      </c>
      <c r="G19" s="2" t="inlineStr">
        <is>
          <t>PASS</t>
        </is>
      </c>
      <c r="H19" s="2" t="inlineStr">
        <is>
          <t>personalized-baseball-bedding-full-size-flag-custom-name-d-design-07: Meta title is within 60 characters, brand-aligned, and free of truncation issues.</t>
        </is>
      </c>
      <c r="I19" s="2" t="inlineStr">
        <is>
          <t>Audited in batch 19 r3. Criteria T2 weight=5.0.</t>
        </is>
      </c>
    </row>
    <row r="20">
      <c r="A20" s="3" t="inlineStr">
        <is>
          <t>CRIT-019</t>
        </is>
      </c>
      <c r="B20" s="3" t="inlineStr">
        <is>
          <t>jeminise.com+personalized-baseball-bedding-full-size-flag-custom-name-d-design-07</t>
        </is>
      </c>
      <c r="C20" s="2" t="inlineStr">
        <is>
          <t>D1</t>
        </is>
      </c>
      <c r="D20" s="2" t="inlineStr">
        <is>
          <t>Meta Description SEO</t>
        </is>
      </c>
      <c r="E20" s="2" t="n">
        <v>5</v>
      </c>
      <c r="F20" s="2" t="n">
        <v>5</v>
      </c>
      <c r="G20" s="2" t="inlineStr">
        <is>
          <t>PASS</t>
        </is>
      </c>
      <c r="H20" s="2" t="inlineStr">
        <is>
          <t>personalized-baseball-bedding-full-size-flag-custom-name-d-design-07: Meta description is within 100-128 characters, compelling, and free of draft/QA tags.</t>
        </is>
      </c>
      <c r="I20" s="2" t="inlineStr">
        <is>
          <t>Audited in batch 19 r3. Criteria D1 weight=5.0.</t>
        </is>
      </c>
    </row>
    <row r="21">
      <c r="A21" s="3" t="inlineStr">
        <is>
          <t>CRIT-020</t>
        </is>
      </c>
      <c r="B21" s="3" t="inlineStr">
        <is>
          <t>jeminise.com+personalized-baseball-bedding-full-size-flag-custom-name-d-design-07</t>
        </is>
      </c>
      <c r="C21" s="2" t="inlineStr">
        <is>
          <t>D2</t>
        </is>
      </c>
      <c r="D21" s="2" t="inlineStr">
        <is>
          <t>Product Description HTML</t>
        </is>
      </c>
      <c r="E21" s="2" t="n">
        <v>10</v>
      </c>
      <c r="F21" s="2" t="n">
        <v>7</v>
      </c>
      <c r="G21" s="2" t="inlineStr">
        <is>
          <t>PARTIAL</t>
        </is>
      </c>
      <c r="H21" s="2" t="inlineStr">
        <is>
          <t>personalized-baseball-bedding-full-size-flag-custom-name-d-design-07: HTML copy excised old internal QA tags, but contains internal verification commentary regarding name inputs/sample numbers and omits complete Comforter vs Duvet Cover breakdown.</t>
        </is>
      </c>
      <c r="I21" s="2" t="inlineStr">
        <is>
          <t>Audited in batch 19 r3. Criteria D2 weight=10.0.</t>
        </is>
      </c>
    </row>
    <row r="22">
      <c r="A22" s="3" t="inlineStr">
        <is>
          <t>CRIT-021</t>
        </is>
      </c>
      <c r="B22" s="3" t="inlineStr">
        <is>
          <t>jeminise.com+personalized-baseball-bedding-full-size-flag-custom-name-d-design-07</t>
        </is>
      </c>
      <c r="C22" s="2" t="inlineStr">
        <is>
          <t>I1</t>
        </is>
      </c>
      <c r="D22" s="2" t="inlineStr">
        <is>
          <t>Gallery Image Optimization</t>
        </is>
      </c>
      <c r="E22" s="2" t="n">
        <v>20</v>
      </c>
      <c r="F22" s="2" t="n">
        <v>20</v>
      </c>
      <c r="G22" s="2" t="inlineStr">
        <is>
          <t>PASS</t>
        </is>
      </c>
      <c r="H22" s="2" t="inlineStr">
        <is>
          <t>personalized-baseball-bedding-full-size-flag-custom-name-d-design-07: 100% of gallery images visually audited; alt text proposed accurately reflects visual subjects and features.</t>
        </is>
      </c>
      <c r="I22" s="2" t="inlineStr">
        <is>
          <t>Audited in batch 19 r3. Criteria I1 weight=20.0.</t>
        </is>
      </c>
    </row>
    <row r="23">
      <c r="A23" s="3" t="inlineStr">
        <is>
          <t>CRIT-022</t>
        </is>
      </c>
      <c r="B23" s="3" t="inlineStr">
        <is>
          <t>jeminise.com+personalized-baseball-bedding-full-size-flag-custom-name-d-design-07</t>
        </is>
      </c>
      <c r="C23" s="2" t="inlineStr">
        <is>
          <t>E1</t>
        </is>
      </c>
      <c r="D23" s="2" t="inlineStr">
        <is>
          <t>Evidence &amp; Grounding</t>
        </is>
      </c>
      <c r="E23" s="2" t="n">
        <v>5</v>
      </c>
      <c r="F23" s="2" t="n">
        <v>5</v>
      </c>
      <c r="G23" s="2" t="inlineStr">
        <is>
          <t>PASS</t>
        </is>
      </c>
      <c r="H23" s="2" t="inlineStr">
        <is>
          <t>personalized-baseball-bedding-full-size-flag-custom-name-d-design-07: Optimization grounded in live storefront audits, direct image inspection, and SERP verification.</t>
        </is>
      </c>
      <c r="I23" s="2" t="inlineStr">
        <is>
          <t>Audited in batch 19 r3. Criteria E1 weight=5.0.</t>
        </is>
      </c>
    </row>
    <row r="24">
      <c r="A24" s="3" t="inlineStr">
        <is>
          <t>CRIT-023</t>
        </is>
      </c>
      <c r="B24" s="3" t="inlineStr">
        <is>
          <t>jeminise.com+personalized-baseball-bedding-full-size-flag-custom-name-d-design-08</t>
        </is>
      </c>
      <c r="C24" s="2" t="inlineStr">
        <is>
          <t>P1</t>
        </is>
      </c>
      <c r="D24" s="2" t="inlineStr">
        <is>
          <t>Product Identification</t>
        </is>
      </c>
      <c r="E24" s="2" t="n">
        <v>15</v>
      </c>
      <c r="F24" s="2" t="n">
        <v>15</v>
      </c>
      <c r="G24" s="2" t="inlineStr">
        <is>
          <t>PASS</t>
        </is>
      </c>
      <c r="H24" s="2" t="inlineStr">
        <is>
          <t>personalized-baseball-bedding-full-size-flag-custom-name-d-design-08: Accurately identified product form factor (Comforter / Duvet Cover), material category (high-density brushed microfiber), and baseball artwork motif from direct visual audit and storefront data.</t>
        </is>
      </c>
      <c r="I24" s="2" t="inlineStr">
        <is>
          <t>Audited in batch 19 r3. Criteria P1 weight=15.0.</t>
        </is>
      </c>
    </row>
    <row r="25">
      <c r="A25" s="3" t="inlineStr">
        <is>
          <t>CRIT-024</t>
        </is>
      </c>
      <c r="B25" s="3" t="inlineStr">
        <is>
          <t>jeminise.com+personalized-baseball-bedding-full-size-flag-custom-name-d-design-08</t>
        </is>
      </c>
      <c r="C25" s="2" t="inlineStr">
        <is>
          <t>P2</t>
        </is>
      </c>
      <c r="D25" s="2" t="inlineStr">
        <is>
          <t>Taxonomy &amp; Classification</t>
        </is>
      </c>
      <c r="E25" s="2" t="n">
        <v>10</v>
      </c>
      <c r="F25" s="2" t="n">
        <v>10</v>
      </c>
      <c r="G25" s="2" t="inlineStr">
        <is>
          <t>PASS</t>
        </is>
      </c>
      <c r="H25" s="2" t="inlineStr">
        <is>
          <t>personalized-baseball-bedding-full-size-flag-custom-name-d-design-08: Correct category assignment aligning with Shopify collections, product type (Bedding), and option configurations (Product Type + Size, Pillowcases, Sheet Cover).</t>
        </is>
      </c>
      <c r="I25" s="2" t="inlineStr">
        <is>
          <t>Audited in batch 19 r3. Criteria P2 weight=10.0.</t>
        </is>
      </c>
    </row>
    <row r="26">
      <c r="A26" s="3" t="inlineStr">
        <is>
          <t>CRIT-025</t>
        </is>
      </c>
      <c r="B26" s="3" t="inlineStr">
        <is>
          <t>jeminise.com+personalized-baseball-bedding-full-size-flag-custom-name-d-design-08</t>
        </is>
      </c>
      <c r="C26" s="2" t="inlineStr">
        <is>
          <t>K1</t>
        </is>
      </c>
      <c r="D26" s="2" t="inlineStr">
        <is>
          <t>Primary Keyword Focus</t>
        </is>
      </c>
      <c r="E26" s="2" t="n">
        <v>10</v>
      </c>
      <c r="F26" s="2" t="n">
        <v>10</v>
      </c>
      <c r="G26" s="2" t="inlineStr">
        <is>
          <t>PASS</t>
        </is>
      </c>
      <c r="H26" s="2" t="inlineStr">
        <is>
          <t>personalized-baseball-bedding-full-size-flag-custom-name-d-design-08: Primary keyword accurately targets high-intent search demand validated via live US SERP analysis.</t>
        </is>
      </c>
      <c r="I26" s="2" t="inlineStr">
        <is>
          <t>Audited in batch 19 r3. Criteria K1 weight=10.0.</t>
        </is>
      </c>
    </row>
    <row r="27">
      <c r="A27" s="3" t="inlineStr">
        <is>
          <t>CRIT-026</t>
        </is>
      </c>
      <c r="B27" s="3" t="inlineStr">
        <is>
          <t>jeminise.com+personalized-baseball-bedding-full-size-flag-custom-name-d-design-08</t>
        </is>
      </c>
      <c r="C27" s="2" t="inlineStr">
        <is>
          <t>K2</t>
        </is>
      </c>
      <c r="D27" s="2" t="inlineStr">
        <is>
          <t>Secondary Keyword Support</t>
        </is>
      </c>
      <c r="E27" s="2" t="n">
        <v>5</v>
      </c>
      <c r="F27" s="2" t="n">
        <v>5</v>
      </c>
      <c r="G27" s="2" t="inlineStr">
        <is>
          <t>PASS</t>
        </is>
      </c>
      <c r="H27" s="2" t="inlineStr">
        <is>
          <t>personalized-baseball-bedding-full-size-flag-custom-name-d-design-08: Secondary keywords support relevant long-tail variations without keyword stuffing.</t>
        </is>
      </c>
      <c r="I27" s="2" t="inlineStr">
        <is>
          <t>Audited in batch 19 r3. Criteria K2 weight=5.0.</t>
        </is>
      </c>
    </row>
    <row r="28">
      <c r="A28" s="3" t="inlineStr">
        <is>
          <t>CRIT-027</t>
        </is>
      </c>
      <c r="B28" s="3" t="inlineStr">
        <is>
          <t>jeminise.com+personalized-baseball-bedding-full-size-flag-custom-name-d-design-08</t>
        </is>
      </c>
      <c r="C28" s="2" t="inlineStr">
        <is>
          <t>K3</t>
        </is>
      </c>
      <c r="D28" s="2" t="inlineStr">
        <is>
          <t>Search Intent Alignment</t>
        </is>
      </c>
      <c r="E28" s="2" t="n">
        <v>5</v>
      </c>
      <c r="F28" s="2" t="n">
        <v>5</v>
      </c>
      <c r="G28" s="2" t="inlineStr">
        <is>
          <t>PASS</t>
        </is>
      </c>
      <c r="H28" s="2" t="inlineStr">
        <is>
          <t>personalized-baseball-bedding-full-size-flag-custom-name-d-design-08: Commercial product search intent aligned with US home decor sports bedding buyer expectations.</t>
        </is>
      </c>
      <c r="I28" s="2" t="inlineStr">
        <is>
          <t>Audited in batch 19 r3. Criteria K3 weight=5.0.</t>
        </is>
      </c>
    </row>
    <row r="29">
      <c r="A29" s="3" t="inlineStr">
        <is>
          <t>CRIT-028</t>
        </is>
      </c>
      <c r="B29" s="3" t="inlineStr">
        <is>
          <t>jeminise.com+personalized-baseball-bedding-full-size-flag-custom-name-d-design-08</t>
        </is>
      </c>
      <c r="C29" s="2" t="inlineStr">
        <is>
          <t>T1</t>
        </is>
      </c>
      <c r="D29" s="2" t="inlineStr">
        <is>
          <t>Proposed Title Optimization</t>
        </is>
      </c>
      <c r="E29" s="2" t="n">
        <v>10</v>
      </c>
      <c r="F29" s="2" t="n">
        <v>10</v>
      </c>
      <c r="G29" s="2" t="inlineStr">
        <is>
          <t>PASS</t>
        </is>
      </c>
      <c r="H29" s="2" t="inlineStr">
        <is>
          <t>personalized-baseball-bedding-full-size-flag-custom-name-d-design-08: Title proposed is concise, front-loaded with primary keyword, and eliminates redundant keyword stuffing terms.</t>
        </is>
      </c>
      <c r="I29" s="2" t="inlineStr">
        <is>
          <t>Audited in batch 19 r3. Criteria T1 weight=10.0.</t>
        </is>
      </c>
    </row>
    <row r="30">
      <c r="A30" s="3" t="inlineStr">
        <is>
          <t>CRIT-029</t>
        </is>
      </c>
      <c r="B30" s="3" t="inlineStr">
        <is>
          <t>jeminise.com+personalized-baseball-bedding-full-size-flag-custom-name-d-design-08</t>
        </is>
      </c>
      <c r="C30" s="2" t="inlineStr">
        <is>
          <t>T2</t>
        </is>
      </c>
      <c r="D30" s="2" t="inlineStr">
        <is>
          <t>Meta Title Optimization</t>
        </is>
      </c>
      <c r="E30" s="2" t="n">
        <v>5</v>
      </c>
      <c r="F30" s="2" t="n">
        <v>5</v>
      </c>
      <c r="G30" s="2" t="inlineStr">
        <is>
          <t>PASS</t>
        </is>
      </c>
      <c r="H30" s="2" t="inlineStr">
        <is>
          <t>personalized-baseball-bedding-full-size-flag-custom-name-d-design-08: Meta title is within 60 characters, brand-aligned, and free of truncation issues.</t>
        </is>
      </c>
      <c r="I30" s="2" t="inlineStr">
        <is>
          <t>Audited in batch 19 r3. Criteria T2 weight=5.0.</t>
        </is>
      </c>
    </row>
    <row r="31">
      <c r="A31" s="3" t="inlineStr">
        <is>
          <t>CRIT-030</t>
        </is>
      </c>
      <c r="B31" s="3" t="inlineStr">
        <is>
          <t>jeminise.com+personalized-baseball-bedding-full-size-flag-custom-name-d-design-08</t>
        </is>
      </c>
      <c r="C31" s="2" t="inlineStr">
        <is>
          <t>D1</t>
        </is>
      </c>
      <c r="D31" s="2" t="inlineStr">
        <is>
          <t>Meta Description SEO</t>
        </is>
      </c>
      <c r="E31" s="2" t="n">
        <v>5</v>
      </c>
      <c r="F31" s="2" t="n">
        <v>5</v>
      </c>
      <c r="G31" s="2" t="inlineStr">
        <is>
          <t>PASS</t>
        </is>
      </c>
      <c r="H31" s="2" t="inlineStr">
        <is>
          <t>personalized-baseball-bedding-full-size-flag-custom-name-d-design-08: Meta description is within 100-128 characters, compelling, and free of draft/QA tags.</t>
        </is>
      </c>
      <c r="I31" s="2" t="inlineStr">
        <is>
          <t>Audited in batch 19 r3. Criteria D1 weight=5.0.</t>
        </is>
      </c>
    </row>
    <row r="32">
      <c r="A32" s="3" t="inlineStr">
        <is>
          <t>CRIT-031</t>
        </is>
      </c>
      <c r="B32" s="3" t="inlineStr">
        <is>
          <t>jeminise.com+personalized-baseball-bedding-full-size-flag-custom-name-d-design-08</t>
        </is>
      </c>
      <c r="C32" s="2" t="inlineStr">
        <is>
          <t>D2</t>
        </is>
      </c>
      <c r="D32" s="2" t="inlineStr">
        <is>
          <t>Product Description HTML</t>
        </is>
      </c>
      <c r="E32" s="2" t="n">
        <v>10</v>
      </c>
      <c r="F32" s="2" t="n">
        <v>7</v>
      </c>
      <c r="G32" s="2" t="inlineStr">
        <is>
          <t>PARTIAL</t>
        </is>
      </c>
      <c r="H32" s="2" t="inlineStr">
        <is>
          <t>personalized-baseball-bedding-full-size-flag-custom-name-d-design-08: HTML copy excised old internal QA tags, but contains internal verification commentary regarding name inputs/sample numbers and omits complete Comforter vs Duvet Cover breakdown.</t>
        </is>
      </c>
      <c r="I32" s="2" t="inlineStr">
        <is>
          <t>Audited in batch 19 r3. Criteria D2 weight=10.0.</t>
        </is>
      </c>
    </row>
    <row r="33">
      <c r="A33" s="3" t="inlineStr">
        <is>
          <t>CRIT-032</t>
        </is>
      </c>
      <c r="B33" s="3" t="inlineStr">
        <is>
          <t>jeminise.com+personalized-baseball-bedding-full-size-flag-custom-name-d-design-08</t>
        </is>
      </c>
      <c r="C33" s="2" t="inlineStr">
        <is>
          <t>I1</t>
        </is>
      </c>
      <c r="D33" s="2" t="inlineStr">
        <is>
          <t>Gallery Image Optimization</t>
        </is>
      </c>
      <c r="E33" s="2" t="n">
        <v>20</v>
      </c>
      <c r="F33" s="2" t="n">
        <v>20</v>
      </c>
      <c r="G33" s="2" t="inlineStr">
        <is>
          <t>PASS</t>
        </is>
      </c>
      <c r="H33" s="2" t="inlineStr">
        <is>
          <t>personalized-baseball-bedding-full-size-flag-custom-name-d-design-08: 100% of gallery images visually audited; alt text proposed accurately reflects visual subjects and features.</t>
        </is>
      </c>
      <c r="I33" s="2" t="inlineStr">
        <is>
          <t>Audited in batch 19 r3. Criteria I1 weight=20.0.</t>
        </is>
      </c>
    </row>
    <row r="34">
      <c r="A34" s="3" t="inlineStr">
        <is>
          <t>CRIT-033</t>
        </is>
      </c>
      <c r="B34" s="3" t="inlineStr">
        <is>
          <t>jeminise.com+personalized-baseball-bedding-full-size-flag-custom-name-d-design-08</t>
        </is>
      </c>
      <c r="C34" s="2" t="inlineStr">
        <is>
          <t>E1</t>
        </is>
      </c>
      <c r="D34" s="2" t="inlineStr">
        <is>
          <t>Evidence &amp; Grounding</t>
        </is>
      </c>
      <c r="E34" s="2" t="n">
        <v>5</v>
      </c>
      <c r="F34" s="2" t="n">
        <v>5</v>
      </c>
      <c r="G34" s="2" t="inlineStr">
        <is>
          <t>PASS</t>
        </is>
      </c>
      <c r="H34" s="2" t="inlineStr">
        <is>
          <t>personalized-baseball-bedding-full-size-flag-custom-name-d-design-08: Optimization grounded in live storefront audits, direct image inspection, and SERP verification.</t>
        </is>
      </c>
      <c r="I34" s="2" t="inlineStr">
        <is>
          <t>Audited in batch 19 r3. Criteria E1 weight=5.0.</t>
        </is>
      </c>
    </row>
    <row r="35">
      <c r="A35" s="3" t="inlineStr">
        <is>
          <t>CRIT-034</t>
        </is>
      </c>
      <c r="B35" s="3" t="inlineStr">
        <is>
          <t>jeminise.com+personalized-baseball-bedding-full-size-flag-custom-name-d-design-09</t>
        </is>
      </c>
      <c r="C35" s="2" t="inlineStr">
        <is>
          <t>P1</t>
        </is>
      </c>
      <c r="D35" s="2" t="inlineStr">
        <is>
          <t>Product Identification</t>
        </is>
      </c>
      <c r="E35" s="2" t="n">
        <v>15</v>
      </c>
      <c r="F35" s="2" t="n">
        <v>15</v>
      </c>
      <c r="G35" s="2" t="inlineStr">
        <is>
          <t>PASS</t>
        </is>
      </c>
      <c r="H35" s="2" t="inlineStr">
        <is>
          <t>personalized-baseball-bedding-full-size-flag-custom-name-d-design-09: Accurately identified product form factor (Comforter / Duvet Cover), material category (high-density brushed microfiber), and baseball artwork motif from direct visual audit and storefront data.</t>
        </is>
      </c>
      <c r="I35" s="2" t="inlineStr">
        <is>
          <t>Audited in batch 19 r3. Criteria P1 weight=15.0.</t>
        </is>
      </c>
    </row>
    <row r="36">
      <c r="A36" s="3" t="inlineStr">
        <is>
          <t>CRIT-035</t>
        </is>
      </c>
      <c r="B36" s="3" t="inlineStr">
        <is>
          <t>jeminise.com+personalized-baseball-bedding-full-size-flag-custom-name-d-design-09</t>
        </is>
      </c>
      <c r="C36" s="2" t="inlineStr">
        <is>
          <t>P2</t>
        </is>
      </c>
      <c r="D36" s="2" t="inlineStr">
        <is>
          <t>Taxonomy &amp; Classification</t>
        </is>
      </c>
      <c r="E36" s="2" t="n">
        <v>10</v>
      </c>
      <c r="F36" s="2" t="n">
        <v>10</v>
      </c>
      <c r="G36" s="2" t="inlineStr">
        <is>
          <t>PASS</t>
        </is>
      </c>
      <c r="H36" s="2" t="inlineStr">
        <is>
          <t>personalized-baseball-bedding-full-size-flag-custom-name-d-design-09: Correct category assignment aligning with Shopify collections, product type (Bedding), and option configurations (Product Type + Size, Pillowcases, Sheet Cover).</t>
        </is>
      </c>
      <c r="I36" s="2" t="inlineStr">
        <is>
          <t>Audited in batch 19 r3. Criteria P2 weight=10.0.</t>
        </is>
      </c>
    </row>
    <row r="37">
      <c r="A37" s="3" t="inlineStr">
        <is>
          <t>CRIT-036</t>
        </is>
      </c>
      <c r="B37" s="3" t="inlineStr">
        <is>
          <t>jeminise.com+personalized-baseball-bedding-full-size-flag-custom-name-d-design-09</t>
        </is>
      </c>
      <c r="C37" s="2" t="inlineStr">
        <is>
          <t>K1</t>
        </is>
      </c>
      <c r="D37" s="2" t="inlineStr">
        <is>
          <t>Primary Keyword Focus</t>
        </is>
      </c>
      <c r="E37" s="2" t="n">
        <v>10</v>
      </c>
      <c r="F37" s="2" t="n">
        <v>10</v>
      </c>
      <c r="G37" s="2" t="inlineStr">
        <is>
          <t>PASS</t>
        </is>
      </c>
      <c r="H37" s="2" t="inlineStr">
        <is>
          <t>personalized-baseball-bedding-full-size-flag-custom-name-d-design-09: Primary keyword accurately targets high-intent search demand validated via live US SERP analysis.</t>
        </is>
      </c>
      <c r="I37" s="2" t="inlineStr">
        <is>
          <t>Audited in batch 19 r3. Criteria K1 weight=10.0.</t>
        </is>
      </c>
    </row>
    <row r="38">
      <c r="A38" s="3" t="inlineStr">
        <is>
          <t>CRIT-037</t>
        </is>
      </c>
      <c r="B38" s="3" t="inlineStr">
        <is>
          <t>jeminise.com+personalized-baseball-bedding-full-size-flag-custom-name-d-design-09</t>
        </is>
      </c>
      <c r="C38" s="2" t="inlineStr">
        <is>
          <t>K2</t>
        </is>
      </c>
      <c r="D38" s="2" t="inlineStr">
        <is>
          <t>Secondary Keyword Support</t>
        </is>
      </c>
      <c r="E38" s="2" t="n">
        <v>5</v>
      </c>
      <c r="F38" s="2" t="n">
        <v>5</v>
      </c>
      <c r="G38" s="2" t="inlineStr">
        <is>
          <t>PASS</t>
        </is>
      </c>
      <c r="H38" s="2" t="inlineStr">
        <is>
          <t>personalized-baseball-bedding-full-size-flag-custom-name-d-design-09: Secondary keywords support relevant long-tail variations without keyword stuffing.</t>
        </is>
      </c>
      <c r="I38" s="2" t="inlineStr">
        <is>
          <t>Audited in batch 19 r3. Criteria K2 weight=5.0.</t>
        </is>
      </c>
    </row>
    <row r="39">
      <c r="A39" s="3" t="inlineStr">
        <is>
          <t>CRIT-038</t>
        </is>
      </c>
      <c r="B39" s="3" t="inlineStr">
        <is>
          <t>jeminise.com+personalized-baseball-bedding-full-size-flag-custom-name-d-design-09</t>
        </is>
      </c>
      <c r="C39" s="2" t="inlineStr">
        <is>
          <t>K3</t>
        </is>
      </c>
      <c r="D39" s="2" t="inlineStr">
        <is>
          <t>Search Intent Alignment</t>
        </is>
      </c>
      <c r="E39" s="2" t="n">
        <v>5</v>
      </c>
      <c r="F39" s="2" t="n">
        <v>5</v>
      </c>
      <c r="G39" s="2" t="inlineStr">
        <is>
          <t>PASS</t>
        </is>
      </c>
      <c r="H39" s="2" t="inlineStr">
        <is>
          <t>personalized-baseball-bedding-full-size-flag-custom-name-d-design-09: Commercial product search intent aligned with US home decor sports bedding buyer expectations.</t>
        </is>
      </c>
      <c r="I39" s="2" t="inlineStr">
        <is>
          <t>Audited in batch 19 r3. Criteria K3 weight=5.0.</t>
        </is>
      </c>
    </row>
    <row r="40">
      <c r="A40" s="3" t="inlineStr">
        <is>
          <t>CRIT-039</t>
        </is>
      </c>
      <c r="B40" s="3" t="inlineStr">
        <is>
          <t>jeminise.com+personalized-baseball-bedding-full-size-flag-custom-name-d-design-09</t>
        </is>
      </c>
      <c r="C40" s="2" t="inlineStr">
        <is>
          <t>T1</t>
        </is>
      </c>
      <c r="D40" s="2" t="inlineStr">
        <is>
          <t>Proposed Title Optimization</t>
        </is>
      </c>
      <c r="E40" s="2" t="n">
        <v>10</v>
      </c>
      <c r="F40" s="2" t="n">
        <v>10</v>
      </c>
      <c r="G40" s="2" t="inlineStr">
        <is>
          <t>PASS</t>
        </is>
      </c>
      <c r="H40" s="2" t="inlineStr">
        <is>
          <t>personalized-baseball-bedding-full-size-flag-custom-name-d-design-09: Title proposed is concise, front-loaded with primary keyword, and eliminates redundant keyword stuffing terms.</t>
        </is>
      </c>
      <c r="I40" s="2" t="inlineStr">
        <is>
          <t>Audited in batch 19 r3. Criteria T1 weight=10.0.</t>
        </is>
      </c>
    </row>
    <row r="41">
      <c r="A41" s="3" t="inlineStr">
        <is>
          <t>CRIT-040</t>
        </is>
      </c>
      <c r="B41" s="3" t="inlineStr">
        <is>
          <t>jeminise.com+personalized-baseball-bedding-full-size-flag-custom-name-d-design-09</t>
        </is>
      </c>
      <c r="C41" s="2" t="inlineStr">
        <is>
          <t>T2</t>
        </is>
      </c>
      <c r="D41" s="2" t="inlineStr">
        <is>
          <t>Meta Title Optimization</t>
        </is>
      </c>
      <c r="E41" s="2" t="n">
        <v>5</v>
      </c>
      <c r="F41" s="2" t="n">
        <v>5</v>
      </c>
      <c r="G41" s="2" t="inlineStr">
        <is>
          <t>PASS</t>
        </is>
      </c>
      <c r="H41" s="2" t="inlineStr">
        <is>
          <t>personalized-baseball-bedding-full-size-flag-custom-name-d-design-09: Meta title is within 60 characters, brand-aligned, and free of truncation issues.</t>
        </is>
      </c>
      <c r="I41" s="2" t="inlineStr">
        <is>
          <t>Audited in batch 19 r3. Criteria T2 weight=5.0.</t>
        </is>
      </c>
    </row>
    <row r="42">
      <c r="A42" s="3" t="inlineStr">
        <is>
          <t>CRIT-041</t>
        </is>
      </c>
      <c r="B42" s="3" t="inlineStr">
        <is>
          <t>jeminise.com+personalized-baseball-bedding-full-size-flag-custom-name-d-design-09</t>
        </is>
      </c>
      <c r="C42" s="2" t="inlineStr">
        <is>
          <t>D1</t>
        </is>
      </c>
      <c r="D42" s="2" t="inlineStr">
        <is>
          <t>Meta Description SEO</t>
        </is>
      </c>
      <c r="E42" s="2" t="n">
        <v>5</v>
      </c>
      <c r="F42" s="2" t="n">
        <v>5</v>
      </c>
      <c r="G42" s="2" t="inlineStr">
        <is>
          <t>PASS</t>
        </is>
      </c>
      <c r="H42" s="2" t="inlineStr">
        <is>
          <t>personalized-baseball-bedding-full-size-flag-custom-name-d-design-09: Meta description is within 100-128 characters, compelling, and free of draft/QA tags.</t>
        </is>
      </c>
      <c r="I42" s="2" t="inlineStr">
        <is>
          <t>Audited in batch 19 r3. Criteria D1 weight=5.0.</t>
        </is>
      </c>
    </row>
    <row r="43">
      <c r="A43" s="3" t="inlineStr">
        <is>
          <t>CRIT-042</t>
        </is>
      </c>
      <c r="B43" s="3" t="inlineStr">
        <is>
          <t>jeminise.com+personalized-baseball-bedding-full-size-flag-custom-name-d-design-09</t>
        </is>
      </c>
      <c r="C43" s="2" t="inlineStr">
        <is>
          <t>D2</t>
        </is>
      </c>
      <c r="D43" s="2" t="inlineStr">
        <is>
          <t>Product Description HTML</t>
        </is>
      </c>
      <c r="E43" s="2" t="n">
        <v>10</v>
      </c>
      <c r="F43" s="2" t="n">
        <v>7</v>
      </c>
      <c r="G43" s="2" t="inlineStr">
        <is>
          <t>PARTIAL</t>
        </is>
      </c>
      <c r="H43" s="2" t="inlineStr">
        <is>
          <t>personalized-baseball-bedding-full-size-flag-custom-name-d-design-09: HTML copy excised old internal QA tags, but contains internal verification commentary regarding name inputs/sample numbers and omits complete Comforter vs Duvet Cover breakdown.</t>
        </is>
      </c>
      <c r="I43" s="2" t="inlineStr">
        <is>
          <t>Audited in batch 19 r3. Criteria D2 weight=10.0.</t>
        </is>
      </c>
    </row>
    <row r="44">
      <c r="A44" s="3" t="inlineStr">
        <is>
          <t>CRIT-043</t>
        </is>
      </c>
      <c r="B44" s="3" t="inlineStr">
        <is>
          <t>jeminise.com+personalized-baseball-bedding-full-size-flag-custom-name-d-design-09</t>
        </is>
      </c>
      <c r="C44" s="2" t="inlineStr">
        <is>
          <t>I1</t>
        </is>
      </c>
      <c r="D44" s="2" t="inlineStr">
        <is>
          <t>Gallery Image Optimization</t>
        </is>
      </c>
      <c r="E44" s="2" t="n">
        <v>20</v>
      </c>
      <c r="F44" s="2" t="n">
        <v>20</v>
      </c>
      <c r="G44" s="2" t="inlineStr">
        <is>
          <t>PASS</t>
        </is>
      </c>
      <c r="H44" s="2" t="inlineStr">
        <is>
          <t>personalized-baseball-bedding-full-size-flag-custom-name-d-design-09: 100% of gallery images visually audited; alt text proposed accurately reflects visual subjects and features.</t>
        </is>
      </c>
      <c r="I44" s="2" t="inlineStr">
        <is>
          <t>Audited in batch 19 r3. Criteria I1 weight=20.0.</t>
        </is>
      </c>
    </row>
    <row r="45">
      <c r="A45" s="3" t="inlineStr">
        <is>
          <t>CRIT-044</t>
        </is>
      </c>
      <c r="B45" s="3" t="inlineStr">
        <is>
          <t>jeminise.com+personalized-baseball-bedding-full-size-flag-custom-name-d-design-09</t>
        </is>
      </c>
      <c r="C45" s="2" t="inlineStr">
        <is>
          <t>E1</t>
        </is>
      </c>
      <c r="D45" s="2" t="inlineStr">
        <is>
          <t>Evidence &amp; Grounding</t>
        </is>
      </c>
      <c r="E45" s="2" t="n">
        <v>5</v>
      </c>
      <c r="F45" s="2" t="n">
        <v>5</v>
      </c>
      <c r="G45" s="2" t="inlineStr">
        <is>
          <t>PASS</t>
        </is>
      </c>
      <c r="H45" s="2" t="inlineStr">
        <is>
          <t>personalized-baseball-bedding-full-size-flag-custom-name-d-design-09: Optimization grounded in live storefront audits, direct image inspection, and SERP verification.</t>
        </is>
      </c>
      <c r="I45" s="2" t="inlineStr">
        <is>
          <t>Audited in batch 19 r3. Criteria E1 weight=5.0.</t>
        </is>
      </c>
    </row>
    <row r="46">
      <c r="A46" s="3" t="inlineStr">
        <is>
          <t>CRIT-045</t>
        </is>
      </c>
      <c r="B46" s="3" t="inlineStr">
        <is>
          <t>jeminise.com+personalized-baseball-bedding-full-size-flag-custom-name-d-design-10</t>
        </is>
      </c>
      <c r="C46" s="2" t="inlineStr">
        <is>
          <t>P1</t>
        </is>
      </c>
      <c r="D46" s="2" t="inlineStr">
        <is>
          <t>Product Identification</t>
        </is>
      </c>
      <c r="E46" s="2" t="n">
        <v>15</v>
      </c>
      <c r="F46" s="2" t="n">
        <v>15</v>
      </c>
      <c r="G46" s="2" t="inlineStr">
        <is>
          <t>PASS</t>
        </is>
      </c>
      <c r="H46" s="2" t="inlineStr">
        <is>
          <t>personalized-baseball-bedding-full-size-flag-custom-name-d-design-10: Accurately identified product form factor (Comforter / Duvet Cover), material category (high-density brushed microfiber), and baseball artwork motif from direct visual audit and storefront data.</t>
        </is>
      </c>
      <c r="I46" s="2" t="inlineStr">
        <is>
          <t>Audited in batch 19 r3. Criteria P1 weight=15.0.</t>
        </is>
      </c>
    </row>
    <row r="47">
      <c r="A47" s="3" t="inlineStr">
        <is>
          <t>CRIT-046</t>
        </is>
      </c>
      <c r="B47" s="3" t="inlineStr">
        <is>
          <t>jeminise.com+personalized-baseball-bedding-full-size-flag-custom-name-d-design-10</t>
        </is>
      </c>
      <c r="C47" s="2" t="inlineStr">
        <is>
          <t>P2</t>
        </is>
      </c>
      <c r="D47" s="2" t="inlineStr">
        <is>
          <t>Taxonomy &amp; Classification</t>
        </is>
      </c>
      <c r="E47" s="2" t="n">
        <v>10</v>
      </c>
      <c r="F47" s="2" t="n">
        <v>10</v>
      </c>
      <c r="G47" s="2" t="inlineStr">
        <is>
          <t>PASS</t>
        </is>
      </c>
      <c r="H47" s="2" t="inlineStr">
        <is>
          <t>personalized-baseball-bedding-full-size-flag-custom-name-d-design-10: Correct category assignment aligning with Shopify collections, product type (Bedding), and option configurations (Product Type + Size, Pillowcases, Sheet Cover).</t>
        </is>
      </c>
      <c r="I47" s="2" t="inlineStr">
        <is>
          <t>Audited in batch 19 r3. Criteria P2 weight=10.0.</t>
        </is>
      </c>
    </row>
    <row r="48">
      <c r="A48" s="3" t="inlineStr">
        <is>
          <t>CRIT-047</t>
        </is>
      </c>
      <c r="B48" s="3" t="inlineStr">
        <is>
          <t>jeminise.com+personalized-baseball-bedding-full-size-flag-custom-name-d-design-10</t>
        </is>
      </c>
      <c r="C48" s="2" t="inlineStr">
        <is>
          <t>K1</t>
        </is>
      </c>
      <c r="D48" s="2" t="inlineStr">
        <is>
          <t>Primary Keyword Focus</t>
        </is>
      </c>
      <c r="E48" s="2" t="n">
        <v>10</v>
      </c>
      <c r="F48" s="2" t="n">
        <v>10</v>
      </c>
      <c r="G48" s="2" t="inlineStr">
        <is>
          <t>PASS</t>
        </is>
      </c>
      <c r="H48" s="2" t="inlineStr">
        <is>
          <t>personalized-baseball-bedding-full-size-flag-custom-name-d-design-10: Primary keyword accurately targets high-intent search demand validated via live US SERP analysis.</t>
        </is>
      </c>
      <c r="I48" s="2" t="inlineStr">
        <is>
          <t>Audited in batch 19 r3. Criteria K1 weight=10.0.</t>
        </is>
      </c>
    </row>
    <row r="49">
      <c r="A49" s="3" t="inlineStr">
        <is>
          <t>CRIT-048</t>
        </is>
      </c>
      <c r="B49" s="3" t="inlineStr">
        <is>
          <t>jeminise.com+personalized-baseball-bedding-full-size-flag-custom-name-d-design-10</t>
        </is>
      </c>
      <c r="C49" s="2" t="inlineStr">
        <is>
          <t>K2</t>
        </is>
      </c>
      <c r="D49" s="2" t="inlineStr">
        <is>
          <t>Secondary Keyword Support</t>
        </is>
      </c>
      <c r="E49" s="2" t="n">
        <v>5</v>
      </c>
      <c r="F49" s="2" t="n">
        <v>5</v>
      </c>
      <c r="G49" s="2" t="inlineStr">
        <is>
          <t>PASS</t>
        </is>
      </c>
      <c r="H49" s="2" t="inlineStr">
        <is>
          <t>personalized-baseball-bedding-full-size-flag-custom-name-d-design-10: Secondary keywords support relevant long-tail variations without keyword stuffing.</t>
        </is>
      </c>
      <c r="I49" s="2" t="inlineStr">
        <is>
          <t>Audited in batch 19 r3. Criteria K2 weight=5.0.</t>
        </is>
      </c>
    </row>
    <row r="50">
      <c r="A50" s="3" t="inlineStr">
        <is>
          <t>CRIT-049</t>
        </is>
      </c>
      <c r="B50" s="3" t="inlineStr">
        <is>
          <t>jeminise.com+personalized-baseball-bedding-full-size-flag-custom-name-d-design-10</t>
        </is>
      </c>
      <c r="C50" s="2" t="inlineStr">
        <is>
          <t>K3</t>
        </is>
      </c>
      <c r="D50" s="2" t="inlineStr">
        <is>
          <t>Search Intent Alignment</t>
        </is>
      </c>
      <c r="E50" s="2" t="n">
        <v>5</v>
      </c>
      <c r="F50" s="2" t="n">
        <v>5</v>
      </c>
      <c r="G50" s="2" t="inlineStr">
        <is>
          <t>PASS</t>
        </is>
      </c>
      <c r="H50" s="2" t="inlineStr">
        <is>
          <t>personalized-baseball-bedding-full-size-flag-custom-name-d-design-10: Commercial product search intent aligned with US home decor sports bedding buyer expectations.</t>
        </is>
      </c>
      <c r="I50" s="2" t="inlineStr">
        <is>
          <t>Audited in batch 19 r3. Criteria K3 weight=5.0.</t>
        </is>
      </c>
    </row>
    <row r="51">
      <c r="A51" s="3" t="inlineStr">
        <is>
          <t>CRIT-050</t>
        </is>
      </c>
      <c r="B51" s="3" t="inlineStr">
        <is>
          <t>jeminise.com+personalized-baseball-bedding-full-size-flag-custom-name-d-design-10</t>
        </is>
      </c>
      <c r="C51" s="2" t="inlineStr">
        <is>
          <t>T1</t>
        </is>
      </c>
      <c r="D51" s="2" t="inlineStr">
        <is>
          <t>Proposed Title Optimization</t>
        </is>
      </c>
      <c r="E51" s="2" t="n">
        <v>10</v>
      </c>
      <c r="F51" s="2" t="n">
        <v>10</v>
      </c>
      <c r="G51" s="2" t="inlineStr">
        <is>
          <t>PASS</t>
        </is>
      </c>
      <c r="H51" s="2" t="inlineStr">
        <is>
          <t>personalized-baseball-bedding-full-size-flag-custom-name-d-design-10: Title proposed is concise, front-loaded with primary keyword, and eliminates redundant keyword stuffing terms.</t>
        </is>
      </c>
      <c r="I51" s="2" t="inlineStr">
        <is>
          <t>Audited in batch 19 r3. Criteria T1 weight=10.0.</t>
        </is>
      </c>
    </row>
    <row r="52">
      <c r="A52" s="3" t="inlineStr">
        <is>
          <t>CRIT-051</t>
        </is>
      </c>
      <c r="B52" s="3" t="inlineStr">
        <is>
          <t>jeminise.com+personalized-baseball-bedding-full-size-flag-custom-name-d-design-10</t>
        </is>
      </c>
      <c r="C52" s="2" t="inlineStr">
        <is>
          <t>T2</t>
        </is>
      </c>
      <c r="D52" s="2" t="inlineStr">
        <is>
          <t>Meta Title Optimization</t>
        </is>
      </c>
      <c r="E52" s="2" t="n">
        <v>5</v>
      </c>
      <c r="F52" s="2" t="n">
        <v>5</v>
      </c>
      <c r="G52" s="2" t="inlineStr">
        <is>
          <t>PASS</t>
        </is>
      </c>
      <c r="H52" s="2" t="inlineStr">
        <is>
          <t>personalized-baseball-bedding-full-size-flag-custom-name-d-design-10: Meta title is within 60 characters, brand-aligned, and free of truncation issues.</t>
        </is>
      </c>
      <c r="I52" s="2" t="inlineStr">
        <is>
          <t>Audited in batch 19 r3. Criteria T2 weight=5.0.</t>
        </is>
      </c>
    </row>
    <row r="53">
      <c r="A53" s="3" t="inlineStr">
        <is>
          <t>CRIT-052</t>
        </is>
      </c>
      <c r="B53" s="3" t="inlineStr">
        <is>
          <t>jeminise.com+personalized-baseball-bedding-full-size-flag-custom-name-d-design-10</t>
        </is>
      </c>
      <c r="C53" s="2" t="inlineStr">
        <is>
          <t>D1</t>
        </is>
      </c>
      <c r="D53" s="2" t="inlineStr">
        <is>
          <t>Meta Description SEO</t>
        </is>
      </c>
      <c r="E53" s="2" t="n">
        <v>5</v>
      </c>
      <c r="F53" s="2" t="n">
        <v>5</v>
      </c>
      <c r="G53" s="2" t="inlineStr">
        <is>
          <t>PASS</t>
        </is>
      </c>
      <c r="H53" s="2" t="inlineStr">
        <is>
          <t>personalized-baseball-bedding-full-size-flag-custom-name-d-design-10: Meta description is within 100-128 characters, compelling, and free of draft/QA tags.</t>
        </is>
      </c>
      <c r="I53" s="2" t="inlineStr">
        <is>
          <t>Audited in batch 19 r3. Criteria D1 weight=5.0.</t>
        </is>
      </c>
    </row>
    <row r="54">
      <c r="A54" s="3" t="inlineStr">
        <is>
          <t>CRIT-053</t>
        </is>
      </c>
      <c r="B54" s="3" t="inlineStr">
        <is>
          <t>jeminise.com+personalized-baseball-bedding-full-size-flag-custom-name-d-design-10</t>
        </is>
      </c>
      <c r="C54" s="2" t="inlineStr">
        <is>
          <t>D2</t>
        </is>
      </c>
      <c r="D54" s="2" t="inlineStr">
        <is>
          <t>Product Description HTML</t>
        </is>
      </c>
      <c r="E54" s="2" t="n">
        <v>10</v>
      </c>
      <c r="F54" s="2" t="n">
        <v>7</v>
      </c>
      <c r="G54" s="2" t="inlineStr">
        <is>
          <t>PARTIAL</t>
        </is>
      </c>
      <c r="H54" s="2" t="inlineStr">
        <is>
          <t>personalized-baseball-bedding-full-size-flag-custom-name-d-design-10: HTML copy excised old internal QA tags, but contains internal verification commentary regarding name inputs/sample numbers and omits complete Comforter vs Duvet Cover breakdown.</t>
        </is>
      </c>
      <c r="I54" s="2" t="inlineStr">
        <is>
          <t>Audited in batch 19 r3. Criteria D2 weight=10.0.</t>
        </is>
      </c>
    </row>
    <row r="55">
      <c r="A55" s="3" t="inlineStr">
        <is>
          <t>CRIT-054</t>
        </is>
      </c>
      <c r="B55" s="3" t="inlineStr">
        <is>
          <t>jeminise.com+personalized-baseball-bedding-full-size-flag-custom-name-d-design-10</t>
        </is>
      </c>
      <c r="C55" s="2" t="inlineStr">
        <is>
          <t>I1</t>
        </is>
      </c>
      <c r="D55" s="2" t="inlineStr">
        <is>
          <t>Gallery Image Optimization</t>
        </is>
      </c>
      <c r="E55" s="2" t="n">
        <v>20</v>
      </c>
      <c r="F55" s="2" t="n">
        <v>20</v>
      </c>
      <c r="G55" s="2" t="inlineStr">
        <is>
          <t>PASS</t>
        </is>
      </c>
      <c r="H55" s="2" t="inlineStr">
        <is>
          <t>personalized-baseball-bedding-full-size-flag-custom-name-d-design-10: 100% of gallery images visually audited; alt text proposed accurately reflects visual subjects and features.</t>
        </is>
      </c>
      <c r="I55" s="2" t="inlineStr">
        <is>
          <t>Audited in batch 19 r3. Criteria I1 weight=20.0.</t>
        </is>
      </c>
    </row>
    <row r="56">
      <c r="A56" s="3" t="inlineStr">
        <is>
          <t>CRIT-055</t>
        </is>
      </c>
      <c r="B56" s="3" t="inlineStr">
        <is>
          <t>jeminise.com+personalized-baseball-bedding-full-size-flag-custom-name-d-design-10</t>
        </is>
      </c>
      <c r="C56" s="2" t="inlineStr">
        <is>
          <t>E1</t>
        </is>
      </c>
      <c r="D56" s="2" t="inlineStr">
        <is>
          <t>Evidence &amp; Grounding</t>
        </is>
      </c>
      <c r="E56" s="2" t="n">
        <v>5</v>
      </c>
      <c r="F56" s="2" t="n">
        <v>5</v>
      </c>
      <c r="G56" s="2" t="inlineStr">
        <is>
          <t>PASS</t>
        </is>
      </c>
      <c r="H56" s="2" t="inlineStr">
        <is>
          <t>personalized-baseball-bedding-full-size-flag-custom-name-d-design-10: Optimization grounded in live storefront audits, direct image inspection, and SERP verification.</t>
        </is>
      </c>
      <c r="I56" s="2" t="inlineStr">
        <is>
          <t>Audited in batch 19 r3. Criteria E1 weight=5.0.</t>
        </is>
      </c>
    </row>
    <row r="57">
      <c r="A57" s="3" t="inlineStr">
        <is>
          <t>CRIT-056</t>
        </is>
      </c>
      <c r="B57" s="3" t="inlineStr">
        <is>
          <t>jeminise.com+personalized-baseball-bedding-full-size-flag-custom-name-d-design-11</t>
        </is>
      </c>
      <c r="C57" s="2" t="inlineStr">
        <is>
          <t>P1</t>
        </is>
      </c>
      <c r="D57" s="2" t="inlineStr">
        <is>
          <t>Product Identification</t>
        </is>
      </c>
      <c r="E57" s="2" t="n">
        <v>15</v>
      </c>
      <c r="F57" s="2" t="n">
        <v>15</v>
      </c>
      <c r="G57" s="2" t="inlineStr">
        <is>
          <t>PASS</t>
        </is>
      </c>
      <c r="H57" s="2" t="inlineStr">
        <is>
          <t>personalized-baseball-bedding-full-size-flag-custom-name-d-design-11: Accurately identified product form factor (Comforter / Duvet Cover), material category (high-density brushed microfiber), and baseball artwork motif from direct visual audit and storefront data.</t>
        </is>
      </c>
      <c r="I57" s="2" t="inlineStr">
        <is>
          <t>Audited in batch 19 r3. Criteria P1 weight=15.0.</t>
        </is>
      </c>
    </row>
    <row r="58">
      <c r="A58" s="3" t="inlineStr">
        <is>
          <t>CRIT-057</t>
        </is>
      </c>
      <c r="B58" s="3" t="inlineStr">
        <is>
          <t>jeminise.com+personalized-baseball-bedding-full-size-flag-custom-name-d-design-11</t>
        </is>
      </c>
      <c r="C58" s="2" t="inlineStr">
        <is>
          <t>P2</t>
        </is>
      </c>
      <c r="D58" s="2" t="inlineStr">
        <is>
          <t>Taxonomy &amp; Classification</t>
        </is>
      </c>
      <c r="E58" s="2" t="n">
        <v>10</v>
      </c>
      <c r="F58" s="2" t="n">
        <v>10</v>
      </c>
      <c r="G58" s="2" t="inlineStr">
        <is>
          <t>PASS</t>
        </is>
      </c>
      <c r="H58" s="2" t="inlineStr">
        <is>
          <t>personalized-baseball-bedding-full-size-flag-custom-name-d-design-11: Correct category assignment aligning with Shopify collections, product type (Bedding), and option configurations (Product Type + Size, Pillowcases, Sheet Cover).</t>
        </is>
      </c>
      <c r="I58" s="2" t="inlineStr">
        <is>
          <t>Audited in batch 19 r3. Criteria P2 weight=10.0.</t>
        </is>
      </c>
    </row>
    <row r="59">
      <c r="A59" s="3" t="inlineStr">
        <is>
          <t>CRIT-058</t>
        </is>
      </c>
      <c r="B59" s="3" t="inlineStr">
        <is>
          <t>jeminise.com+personalized-baseball-bedding-full-size-flag-custom-name-d-design-11</t>
        </is>
      </c>
      <c r="C59" s="2" t="inlineStr">
        <is>
          <t>K1</t>
        </is>
      </c>
      <c r="D59" s="2" t="inlineStr">
        <is>
          <t>Primary Keyword Focus</t>
        </is>
      </c>
      <c r="E59" s="2" t="n">
        <v>10</v>
      </c>
      <c r="F59" s="2" t="n">
        <v>10</v>
      </c>
      <c r="G59" s="2" t="inlineStr">
        <is>
          <t>PASS</t>
        </is>
      </c>
      <c r="H59" s="2" t="inlineStr">
        <is>
          <t>personalized-baseball-bedding-full-size-flag-custom-name-d-design-11: Primary keyword accurately targets high-intent search demand validated via live US SERP analysis.</t>
        </is>
      </c>
      <c r="I59" s="2" t="inlineStr">
        <is>
          <t>Audited in batch 19 r3. Criteria K1 weight=10.0.</t>
        </is>
      </c>
    </row>
    <row r="60">
      <c r="A60" s="3" t="inlineStr">
        <is>
          <t>CRIT-059</t>
        </is>
      </c>
      <c r="B60" s="3" t="inlineStr">
        <is>
          <t>jeminise.com+personalized-baseball-bedding-full-size-flag-custom-name-d-design-11</t>
        </is>
      </c>
      <c r="C60" s="2" t="inlineStr">
        <is>
          <t>K2</t>
        </is>
      </c>
      <c r="D60" s="2" t="inlineStr">
        <is>
          <t>Secondary Keyword Support</t>
        </is>
      </c>
      <c r="E60" s="2" t="n">
        <v>5</v>
      </c>
      <c r="F60" s="2" t="n">
        <v>5</v>
      </c>
      <c r="G60" s="2" t="inlineStr">
        <is>
          <t>PASS</t>
        </is>
      </c>
      <c r="H60" s="2" t="inlineStr">
        <is>
          <t>personalized-baseball-bedding-full-size-flag-custom-name-d-design-11: Secondary keywords support relevant long-tail variations without keyword stuffing.</t>
        </is>
      </c>
      <c r="I60" s="2" t="inlineStr">
        <is>
          <t>Audited in batch 19 r3. Criteria K2 weight=5.0.</t>
        </is>
      </c>
    </row>
    <row r="61">
      <c r="A61" s="3" t="inlineStr">
        <is>
          <t>CRIT-060</t>
        </is>
      </c>
      <c r="B61" s="3" t="inlineStr">
        <is>
          <t>jeminise.com+personalized-baseball-bedding-full-size-flag-custom-name-d-design-11</t>
        </is>
      </c>
      <c r="C61" s="2" t="inlineStr">
        <is>
          <t>K3</t>
        </is>
      </c>
      <c r="D61" s="2" t="inlineStr">
        <is>
          <t>Search Intent Alignment</t>
        </is>
      </c>
      <c r="E61" s="2" t="n">
        <v>5</v>
      </c>
      <c r="F61" s="2" t="n">
        <v>5</v>
      </c>
      <c r="G61" s="2" t="inlineStr">
        <is>
          <t>PASS</t>
        </is>
      </c>
      <c r="H61" s="2" t="inlineStr">
        <is>
          <t>personalized-baseball-bedding-full-size-flag-custom-name-d-design-11: Commercial product search intent aligned with US home decor sports bedding buyer expectations.</t>
        </is>
      </c>
      <c r="I61" s="2" t="inlineStr">
        <is>
          <t>Audited in batch 19 r3. Criteria K3 weight=5.0.</t>
        </is>
      </c>
    </row>
    <row r="62">
      <c r="A62" s="3" t="inlineStr">
        <is>
          <t>CRIT-061</t>
        </is>
      </c>
      <c r="B62" s="3" t="inlineStr">
        <is>
          <t>jeminise.com+personalized-baseball-bedding-full-size-flag-custom-name-d-design-11</t>
        </is>
      </c>
      <c r="C62" s="2" t="inlineStr">
        <is>
          <t>T1</t>
        </is>
      </c>
      <c r="D62" s="2" t="inlineStr">
        <is>
          <t>Proposed Title Optimization</t>
        </is>
      </c>
      <c r="E62" s="2" t="n">
        <v>10</v>
      </c>
      <c r="F62" s="2" t="n">
        <v>10</v>
      </c>
      <c r="G62" s="2" t="inlineStr">
        <is>
          <t>PASS</t>
        </is>
      </c>
      <c r="H62" s="2" t="inlineStr">
        <is>
          <t>personalized-baseball-bedding-full-size-flag-custom-name-d-design-11: Title proposed is concise, front-loaded with primary keyword, and eliminates redundant keyword stuffing terms.</t>
        </is>
      </c>
      <c r="I62" s="2" t="inlineStr">
        <is>
          <t>Audited in batch 19 r3. Criteria T1 weight=10.0.</t>
        </is>
      </c>
    </row>
    <row r="63">
      <c r="A63" s="3" t="inlineStr">
        <is>
          <t>CRIT-062</t>
        </is>
      </c>
      <c r="B63" s="3" t="inlineStr">
        <is>
          <t>jeminise.com+personalized-baseball-bedding-full-size-flag-custom-name-d-design-11</t>
        </is>
      </c>
      <c r="C63" s="2" t="inlineStr">
        <is>
          <t>T2</t>
        </is>
      </c>
      <c r="D63" s="2" t="inlineStr">
        <is>
          <t>Meta Title Optimization</t>
        </is>
      </c>
      <c r="E63" s="2" t="n">
        <v>5</v>
      </c>
      <c r="F63" s="2" t="n">
        <v>5</v>
      </c>
      <c r="G63" s="2" t="inlineStr">
        <is>
          <t>PASS</t>
        </is>
      </c>
      <c r="H63" s="2" t="inlineStr">
        <is>
          <t>personalized-baseball-bedding-full-size-flag-custom-name-d-design-11: Meta title is within 60 characters, brand-aligned, and free of truncation issues.</t>
        </is>
      </c>
      <c r="I63" s="2" t="inlineStr">
        <is>
          <t>Audited in batch 19 r3. Criteria T2 weight=5.0.</t>
        </is>
      </c>
    </row>
    <row r="64">
      <c r="A64" s="3" t="inlineStr">
        <is>
          <t>CRIT-063</t>
        </is>
      </c>
      <c r="B64" s="3" t="inlineStr">
        <is>
          <t>jeminise.com+personalized-baseball-bedding-full-size-flag-custom-name-d-design-11</t>
        </is>
      </c>
      <c r="C64" s="2" t="inlineStr">
        <is>
          <t>D1</t>
        </is>
      </c>
      <c r="D64" s="2" t="inlineStr">
        <is>
          <t>Meta Description SEO</t>
        </is>
      </c>
      <c r="E64" s="2" t="n">
        <v>5</v>
      </c>
      <c r="F64" s="2" t="n">
        <v>5</v>
      </c>
      <c r="G64" s="2" t="inlineStr">
        <is>
          <t>PASS</t>
        </is>
      </c>
      <c r="H64" s="2" t="inlineStr">
        <is>
          <t>personalized-baseball-bedding-full-size-flag-custom-name-d-design-11: Meta description is within 100-128 characters, compelling, and free of draft/QA tags.</t>
        </is>
      </c>
      <c r="I64" s="2" t="inlineStr">
        <is>
          <t>Audited in batch 19 r3. Criteria D1 weight=5.0.</t>
        </is>
      </c>
    </row>
    <row r="65">
      <c r="A65" s="3" t="inlineStr">
        <is>
          <t>CRIT-064</t>
        </is>
      </c>
      <c r="B65" s="3" t="inlineStr">
        <is>
          <t>jeminise.com+personalized-baseball-bedding-full-size-flag-custom-name-d-design-11</t>
        </is>
      </c>
      <c r="C65" s="2" t="inlineStr">
        <is>
          <t>D2</t>
        </is>
      </c>
      <c r="D65" s="2" t="inlineStr">
        <is>
          <t>Product Description HTML</t>
        </is>
      </c>
      <c r="E65" s="2" t="n">
        <v>10</v>
      </c>
      <c r="F65" s="2" t="n">
        <v>7</v>
      </c>
      <c r="G65" s="2" t="inlineStr">
        <is>
          <t>PARTIAL</t>
        </is>
      </c>
      <c r="H65" s="2" t="inlineStr">
        <is>
          <t>personalized-baseball-bedding-full-size-flag-custom-name-d-design-11: HTML copy excised old internal QA tags, but contains internal verification commentary regarding name inputs/sample numbers and omits complete Comforter vs Duvet Cover breakdown.</t>
        </is>
      </c>
      <c r="I65" s="2" t="inlineStr">
        <is>
          <t>Audited in batch 19 r3. Criteria D2 weight=10.0.</t>
        </is>
      </c>
    </row>
    <row r="66">
      <c r="A66" s="3" t="inlineStr">
        <is>
          <t>CRIT-065</t>
        </is>
      </c>
      <c r="B66" s="3" t="inlineStr">
        <is>
          <t>jeminise.com+personalized-baseball-bedding-full-size-flag-custom-name-d-design-11</t>
        </is>
      </c>
      <c r="C66" s="2" t="inlineStr">
        <is>
          <t>I1</t>
        </is>
      </c>
      <c r="D66" s="2" t="inlineStr">
        <is>
          <t>Gallery Image Optimization</t>
        </is>
      </c>
      <c r="E66" s="2" t="n">
        <v>20</v>
      </c>
      <c r="F66" s="2" t="n">
        <v>20</v>
      </c>
      <c r="G66" s="2" t="inlineStr">
        <is>
          <t>PASS</t>
        </is>
      </c>
      <c r="H66" s="2" t="inlineStr">
        <is>
          <t>personalized-baseball-bedding-full-size-flag-custom-name-d-design-11: 100% of gallery images visually audited; alt text proposed accurately reflects visual subjects and features.</t>
        </is>
      </c>
      <c r="I66" s="2" t="inlineStr">
        <is>
          <t>Audited in batch 19 r3. Criteria I1 weight=20.0.</t>
        </is>
      </c>
    </row>
    <row r="67">
      <c r="A67" s="3" t="inlineStr">
        <is>
          <t>CRIT-066</t>
        </is>
      </c>
      <c r="B67" s="3" t="inlineStr">
        <is>
          <t>jeminise.com+personalized-baseball-bedding-full-size-flag-custom-name-d-design-11</t>
        </is>
      </c>
      <c r="C67" s="2" t="inlineStr">
        <is>
          <t>E1</t>
        </is>
      </c>
      <c r="D67" s="2" t="inlineStr">
        <is>
          <t>Evidence &amp; Grounding</t>
        </is>
      </c>
      <c r="E67" s="2" t="n">
        <v>5</v>
      </c>
      <c r="F67" s="2" t="n">
        <v>5</v>
      </c>
      <c r="G67" s="2" t="inlineStr">
        <is>
          <t>PASS</t>
        </is>
      </c>
      <c r="H67" s="2" t="inlineStr">
        <is>
          <t>personalized-baseball-bedding-full-size-flag-custom-name-d-design-11: Optimization grounded in live storefront audits, direct image inspection, and SERP verification.</t>
        </is>
      </c>
      <c r="I67" s="2" t="inlineStr">
        <is>
          <t>Audited in batch 19 r3. Criteria E1 weight=5.0.</t>
        </is>
      </c>
    </row>
    <row r="68">
      <c r="A68" s="3" t="inlineStr">
        <is>
          <t>CRIT-067</t>
        </is>
      </c>
      <c r="B68" s="3" t="inlineStr">
        <is>
          <t>jeminise.com+personalized-baseball-bedding-full-size-flag-custom-name-d-design-12</t>
        </is>
      </c>
      <c r="C68" s="2" t="inlineStr">
        <is>
          <t>P1</t>
        </is>
      </c>
      <c r="D68" s="2" t="inlineStr">
        <is>
          <t>Product Identification</t>
        </is>
      </c>
      <c r="E68" s="2" t="n">
        <v>15</v>
      </c>
      <c r="F68" s="2" t="n">
        <v>15</v>
      </c>
      <c r="G68" s="2" t="inlineStr">
        <is>
          <t>PASS</t>
        </is>
      </c>
      <c r="H68" s="2" t="inlineStr">
        <is>
          <t>personalized-baseball-bedding-full-size-flag-custom-name-d-design-12: Accurately identified product form factor (Comforter / Duvet Cover), material category (high-density brushed microfiber), and baseball artwork motif from direct visual audit and storefront data.</t>
        </is>
      </c>
      <c r="I68" s="2" t="inlineStr">
        <is>
          <t>Audited in batch 19 r3. Criteria P1 weight=15.0.</t>
        </is>
      </c>
    </row>
    <row r="69">
      <c r="A69" s="3" t="inlineStr">
        <is>
          <t>CRIT-068</t>
        </is>
      </c>
      <c r="B69" s="3" t="inlineStr">
        <is>
          <t>jeminise.com+personalized-baseball-bedding-full-size-flag-custom-name-d-design-12</t>
        </is>
      </c>
      <c r="C69" s="2" t="inlineStr">
        <is>
          <t>P2</t>
        </is>
      </c>
      <c r="D69" s="2" t="inlineStr">
        <is>
          <t>Taxonomy &amp; Classification</t>
        </is>
      </c>
      <c r="E69" s="2" t="n">
        <v>10</v>
      </c>
      <c r="F69" s="2" t="n">
        <v>10</v>
      </c>
      <c r="G69" s="2" t="inlineStr">
        <is>
          <t>PASS</t>
        </is>
      </c>
      <c r="H69" s="2" t="inlineStr">
        <is>
          <t>personalized-baseball-bedding-full-size-flag-custom-name-d-design-12: Correct category assignment aligning with Shopify collections, product type (Bedding), and option configurations (Product Type + Size, Pillowcases, Sheet Cover).</t>
        </is>
      </c>
      <c r="I69" s="2" t="inlineStr">
        <is>
          <t>Audited in batch 19 r3. Criteria P2 weight=10.0.</t>
        </is>
      </c>
    </row>
    <row r="70">
      <c r="A70" s="3" t="inlineStr">
        <is>
          <t>CRIT-069</t>
        </is>
      </c>
      <c r="B70" s="3" t="inlineStr">
        <is>
          <t>jeminise.com+personalized-baseball-bedding-full-size-flag-custom-name-d-design-12</t>
        </is>
      </c>
      <c r="C70" s="2" t="inlineStr">
        <is>
          <t>K1</t>
        </is>
      </c>
      <c r="D70" s="2" t="inlineStr">
        <is>
          <t>Primary Keyword Focus</t>
        </is>
      </c>
      <c r="E70" s="2" t="n">
        <v>10</v>
      </c>
      <c r="F70" s="2" t="n">
        <v>10</v>
      </c>
      <c r="G70" s="2" t="inlineStr">
        <is>
          <t>PASS</t>
        </is>
      </c>
      <c r="H70" s="2" t="inlineStr">
        <is>
          <t>personalized-baseball-bedding-full-size-flag-custom-name-d-design-12: Primary keyword accurately targets high-intent search demand validated via live US SERP analysis.</t>
        </is>
      </c>
      <c r="I70" s="2" t="inlineStr">
        <is>
          <t>Audited in batch 19 r3. Criteria K1 weight=10.0.</t>
        </is>
      </c>
    </row>
    <row r="71">
      <c r="A71" s="3" t="inlineStr">
        <is>
          <t>CRIT-070</t>
        </is>
      </c>
      <c r="B71" s="3" t="inlineStr">
        <is>
          <t>jeminise.com+personalized-baseball-bedding-full-size-flag-custom-name-d-design-12</t>
        </is>
      </c>
      <c r="C71" s="2" t="inlineStr">
        <is>
          <t>K2</t>
        </is>
      </c>
      <c r="D71" s="2" t="inlineStr">
        <is>
          <t>Secondary Keyword Support</t>
        </is>
      </c>
      <c r="E71" s="2" t="n">
        <v>5</v>
      </c>
      <c r="F71" s="2" t="n">
        <v>5</v>
      </c>
      <c r="G71" s="2" t="inlineStr">
        <is>
          <t>PASS</t>
        </is>
      </c>
      <c r="H71" s="2" t="inlineStr">
        <is>
          <t>personalized-baseball-bedding-full-size-flag-custom-name-d-design-12: Secondary keywords support relevant long-tail variations without keyword stuffing.</t>
        </is>
      </c>
      <c r="I71" s="2" t="inlineStr">
        <is>
          <t>Audited in batch 19 r3. Criteria K2 weight=5.0.</t>
        </is>
      </c>
    </row>
    <row r="72">
      <c r="A72" s="3" t="inlineStr">
        <is>
          <t>CRIT-071</t>
        </is>
      </c>
      <c r="B72" s="3" t="inlineStr">
        <is>
          <t>jeminise.com+personalized-baseball-bedding-full-size-flag-custom-name-d-design-12</t>
        </is>
      </c>
      <c r="C72" s="2" t="inlineStr">
        <is>
          <t>K3</t>
        </is>
      </c>
      <c r="D72" s="2" t="inlineStr">
        <is>
          <t>Search Intent Alignment</t>
        </is>
      </c>
      <c r="E72" s="2" t="n">
        <v>5</v>
      </c>
      <c r="F72" s="2" t="n">
        <v>5</v>
      </c>
      <c r="G72" s="2" t="inlineStr">
        <is>
          <t>PASS</t>
        </is>
      </c>
      <c r="H72" s="2" t="inlineStr">
        <is>
          <t>personalized-baseball-bedding-full-size-flag-custom-name-d-design-12: Commercial product search intent aligned with US home decor sports bedding buyer expectations.</t>
        </is>
      </c>
      <c r="I72" s="2" t="inlineStr">
        <is>
          <t>Audited in batch 19 r3. Criteria K3 weight=5.0.</t>
        </is>
      </c>
    </row>
    <row r="73">
      <c r="A73" s="3" t="inlineStr">
        <is>
          <t>CRIT-072</t>
        </is>
      </c>
      <c r="B73" s="3" t="inlineStr">
        <is>
          <t>jeminise.com+personalized-baseball-bedding-full-size-flag-custom-name-d-design-12</t>
        </is>
      </c>
      <c r="C73" s="2" t="inlineStr">
        <is>
          <t>T1</t>
        </is>
      </c>
      <c r="D73" s="2" t="inlineStr">
        <is>
          <t>Proposed Title Optimization</t>
        </is>
      </c>
      <c r="E73" s="2" t="n">
        <v>10</v>
      </c>
      <c r="F73" s="2" t="n">
        <v>10</v>
      </c>
      <c r="G73" s="2" t="inlineStr">
        <is>
          <t>PASS</t>
        </is>
      </c>
      <c r="H73" s="2" t="inlineStr">
        <is>
          <t>personalized-baseball-bedding-full-size-flag-custom-name-d-design-12: Title proposed is concise, front-loaded with primary keyword, and eliminates redundant keyword stuffing terms.</t>
        </is>
      </c>
      <c r="I73" s="2" t="inlineStr">
        <is>
          <t>Audited in batch 19 r3. Criteria T1 weight=10.0.</t>
        </is>
      </c>
    </row>
    <row r="74">
      <c r="A74" s="3" t="inlineStr">
        <is>
          <t>CRIT-073</t>
        </is>
      </c>
      <c r="B74" s="3" t="inlineStr">
        <is>
          <t>jeminise.com+personalized-baseball-bedding-full-size-flag-custom-name-d-design-12</t>
        </is>
      </c>
      <c r="C74" s="2" t="inlineStr">
        <is>
          <t>T2</t>
        </is>
      </c>
      <c r="D74" s="2" t="inlineStr">
        <is>
          <t>Meta Title Optimization</t>
        </is>
      </c>
      <c r="E74" s="2" t="n">
        <v>5</v>
      </c>
      <c r="F74" s="2" t="n">
        <v>5</v>
      </c>
      <c r="G74" s="2" t="inlineStr">
        <is>
          <t>PASS</t>
        </is>
      </c>
      <c r="H74" s="2" t="inlineStr">
        <is>
          <t>personalized-baseball-bedding-full-size-flag-custom-name-d-design-12: Meta title is within 60 characters, brand-aligned, and free of truncation issues.</t>
        </is>
      </c>
      <c r="I74" s="2" t="inlineStr">
        <is>
          <t>Audited in batch 19 r3. Criteria T2 weight=5.0.</t>
        </is>
      </c>
    </row>
    <row r="75">
      <c r="A75" s="3" t="inlineStr">
        <is>
          <t>CRIT-074</t>
        </is>
      </c>
      <c r="B75" s="3" t="inlineStr">
        <is>
          <t>jeminise.com+personalized-baseball-bedding-full-size-flag-custom-name-d-design-12</t>
        </is>
      </c>
      <c r="C75" s="2" t="inlineStr">
        <is>
          <t>D1</t>
        </is>
      </c>
      <c r="D75" s="2" t="inlineStr">
        <is>
          <t>Meta Description SEO</t>
        </is>
      </c>
      <c r="E75" s="2" t="n">
        <v>5</v>
      </c>
      <c r="F75" s="2" t="n">
        <v>5</v>
      </c>
      <c r="G75" s="2" t="inlineStr">
        <is>
          <t>PASS</t>
        </is>
      </c>
      <c r="H75" s="2" t="inlineStr">
        <is>
          <t>personalized-baseball-bedding-full-size-flag-custom-name-d-design-12: Meta description is within 100-128 characters, compelling, and free of draft/QA tags.</t>
        </is>
      </c>
      <c r="I75" s="2" t="inlineStr">
        <is>
          <t>Audited in batch 19 r3. Criteria D1 weight=5.0.</t>
        </is>
      </c>
    </row>
    <row r="76">
      <c r="A76" s="3" t="inlineStr">
        <is>
          <t>CRIT-075</t>
        </is>
      </c>
      <c r="B76" s="3" t="inlineStr">
        <is>
          <t>jeminise.com+personalized-baseball-bedding-full-size-flag-custom-name-d-design-12</t>
        </is>
      </c>
      <c r="C76" s="2" t="inlineStr">
        <is>
          <t>D2</t>
        </is>
      </c>
      <c r="D76" s="2" t="inlineStr">
        <is>
          <t>Product Description HTML</t>
        </is>
      </c>
      <c r="E76" s="2" t="n">
        <v>10</v>
      </c>
      <c r="F76" s="2" t="n">
        <v>7</v>
      </c>
      <c r="G76" s="2" t="inlineStr">
        <is>
          <t>PARTIAL</t>
        </is>
      </c>
      <c r="H76" s="2" t="inlineStr">
        <is>
          <t>personalized-baseball-bedding-full-size-flag-custom-name-d-design-12: HTML copy excised old internal QA tags, but contains internal verification commentary regarding name inputs/sample numbers and omits complete Comforter vs Duvet Cover breakdown.</t>
        </is>
      </c>
      <c r="I76" s="2" t="inlineStr">
        <is>
          <t>Audited in batch 19 r3. Criteria D2 weight=10.0.</t>
        </is>
      </c>
    </row>
    <row r="77">
      <c r="A77" s="3" t="inlineStr">
        <is>
          <t>CRIT-076</t>
        </is>
      </c>
      <c r="B77" s="3" t="inlineStr">
        <is>
          <t>jeminise.com+personalized-baseball-bedding-full-size-flag-custom-name-d-design-12</t>
        </is>
      </c>
      <c r="C77" s="2" t="inlineStr">
        <is>
          <t>I1</t>
        </is>
      </c>
      <c r="D77" s="2" t="inlineStr">
        <is>
          <t>Gallery Image Optimization</t>
        </is>
      </c>
      <c r="E77" s="2" t="n">
        <v>20</v>
      </c>
      <c r="F77" s="2" t="n">
        <v>20</v>
      </c>
      <c r="G77" s="2" t="inlineStr">
        <is>
          <t>PASS</t>
        </is>
      </c>
      <c r="H77" s="2" t="inlineStr">
        <is>
          <t>personalized-baseball-bedding-full-size-flag-custom-name-d-design-12: 100% of gallery images visually audited; alt text proposed accurately reflects visual subjects and features.</t>
        </is>
      </c>
      <c r="I77" s="2" t="inlineStr">
        <is>
          <t>Audited in batch 19 r3. Criteria I1 weight=20.0.</t>
        </is>
      </c>
    </row>
    <row r="78">
      <c r="A78" s="3" t="inlineStr">
        <is>
          <t>CRIT-077</t>
        </is>
      </c>
      <c r="B78" s="3" t="inlineStr">
        <is>
          <t>jeminise.com+personalized-baseball-bedding-full-size-flag-custom-name-d-design-12</t>
        </is>
      </c>
      <c r="C78" s="2" t="inlineStr">
        <is>
          <t>E1</t>
        </is>
      </c>
      <c r="D78" s="2" t="inlineStr">
        <is>
          <t>Evidence &amp; Grounding</t>
        </is>
      </c>
      <c r="E78" s="2" t="n">
        <v>5</v>
      </c>
      <c r="F78" s="2" t="n">
        <v>5</v>
      </c>
      <c r="G78" s="2" t="inlineStr">
        <is>
          <t>PASS</t>
        </is>
      </c>
      <c r="H78" s="2" t="inlineStr">
        <is>
          <t>personalized-baseball-bedding-full-size-flag-custom-name-d-design-12: Optimization grounded in live storefront audits, direct image inspection, and SERP verification.</t>
        </is>
      </c>
      <c r="I78" s="2" t="inlineStr">
        <is>
          <t>Audited in batch 19 r3. Criteria E1 weight=5.0.</t>
        </is>
      </c>
    </row>
    <row r="79">
      <c r="A79" s="3" t="inlineStr">
        <is>
          <t>CRIT-078</t>
        </is>
      </c>
      <c r="B79" s="3" t="inlineStr">
        <is>
          <t>jeminise.com+personalized-baseball-bedding-full-size-flag-custom-name-d-design-13</t>
        </is>
      </c>
      <c r="C79" s="2" t="inlineStr">
        <is>
          <t>P1</t>
        </is>
      </c>
      <c r="D79" s="2" t="inlineStr">
        <is>
          <t>Product Identification</t>
        </is>
      </c>
      <c r="E79" s="2" t="n">
        <v>15</v>
      </c>
      <c r="F79" s="2" t="n">
        <v>15</v>
      </c>
      <c r="G79" s="2" t="inlineStr">
        <is>
          <t>PASS</t>
        </is>
      </c>
      <c r="H79" s="2" t="inlineStr">
        <is>
          <t>personalized-baseball-bedding-full-size-flag-custom-name-d-design-13: Accurately identified product form factor (Comforter / Duvet Cover), material category (high-density brushed microfiber), and baseball artwork motif from direct visual audit and storefront data.</t>
        </is>
      </c>
      <c r="I79" s="2" t="inlineStr">
        <is>
          <t>Audited in batch 19 r3. Criteria P1 weight=15.0.</t>
        </is>
      </c>
    </row>
    <row r="80">
      <c r="A80" s="3" t="inlineStr">
        <is>
          <t>CRIT-079</t>
        </is>
      </c>
      <c r="B80" s="3" t="inlineStr">
        <is>
          <t>jeminise.com+personalized-baseball-bedding-full-size-flag-custom-name-d-design-13</t>
        </is>
      </c>
      <c r="C80" s="2" t="inlineStr">
        <is>
          <t>P2</t>
        </is>
      </c>
      <c r="D80" s="2" t="inlineStr">
        <is>
          <t>Taxonomy &amp; Classification</t>
        </is>
      </c>
      <c r="E80" s="2" t="n">
        <v>10</v>
      </c>
      <c r="F80" s="2" t="n">
        <v>10</v>
      </c>
      <c r="G80" s="2" t="inlineStr">
        <is>
          <t>PASS</t>
        </is>
      </c>
      <c r="H80" s="2" t="inlineStr">
        <is>
          <t>personalized-baseball-bedding-full-size-flag-custom-name-d-design-13: Correct category assignment aligning with Shopify collections, product type (Bedding), and option configurations (Product Type + Size, Pillowcases, Sheet Cover).</t>
        </is>
      </c>
      <c r="I80" s="2" t="inlineStr">
        <is>
          <t>Audited in batch 19 r3. Criteria P2 weight=10.0.</t>
        </is>
      </c>
    </row>
    <row r="81">
      <c r="A81" s="3" t="inlineStr">
        <is>
          <t>CRIT-080</t>
        </is>
      </c>
      <c r="B81" s="3" t="inlineStr">
        <is>
          <t>jeminise.com+personalized-baseball-bedding-full-size-flag-custom-name-d-design-13</t>
        </is>
      </c>
      <c r="C81" s="2" t="inlineStr">
        <is>
          <t>K1</t>
        </is>
      </c>
      <c r="D81" s="2" t="inlineStr">
        <is>
          <t>Primary Keyword Focus</t>
        </is>
      </c>
      <c r="E81" s="2" t="n">
        <v>10</v>
      </c>
      <c r="F81" s="2" t="n">
        <v>10</v>
      </c>
      <c r="G81" s="2" t="inlineStr">
        <is>
          <t>PASS</t>
        </is>
      </c>
      <c r="H81" s="2" t="inlineStr">
        <is>
          <t>personalized-baseball-bedding-full-size-flag-custom-name-d-design-13: Primary keyword accurately targets high-intent search demand validated via live US SERP analysis.</t>
        </is>
      </c>
      <c r="I81" s="2" t="inlineStr">
        <is>
          <t>Audited in batch 19 r3. Criteria K1 weight=10.0.</t>
        </is>
      </c>
    </row>
    <row r="82">
      <c r="A82" s="3" t="inlineStr">
        <is>
          <t>CRIT-081</t>
        </is>
      </c>
      <c r="B82" s="3" t="inlineStr">
        <is>
          <t>jeminise.com+personalized-baseball-bedding-full-size-flag-custom-name-d-design-13</t>
        </is>
      </c>
      <c r="C82" s="2" t="inlineStr">
        <is>
          <t>K2</t>
        </is>
      </c>
      <c r="D82" s="2" t="inlineStr">
        <is>
          <t>Secondary Keyword Support</t>
        </is>
      </c>
      <c r="E82" s="2" t="n">
        <v>5</v>
      </c>
      <c r="F82" s="2" t="n">
        <v>5</v>
      </c>
      <c r="G82" s="2" t="inlineStr">
        <is>
          <t>PASS</t>
        </is>
      </c>
      <c r="H82" s="2" t="inlineStr">
        <is>
          <t>personalized-baseball-bedding-full-size-flag-custom-name-d-design-13: Secondary keywords support relevant long-tail variations without keyword stuffing.</t>
        </is>
      </c>
      <c r="I82" s="2" t="inlineStr">
        <is>
          <t>Audited in batch 19 r3. Criteria K2 weight=5.0.</t>
        </is>
      </c>
    </row>
    <row r="83">
      <c r="A83" s="3" t="inlineStr">
        <is>
          <t>CRIT-082</t>
        </is>
      </c>
      <c r="B83" s="3" t="inlineStr">
        <is>
          <t>jeminise.com+personalized-baseball-bedding-full-size-flag-custom-name-d-design-13</t>
        </is>
      </c>
      <c r="C83" s="2" t="inlineStr">
        <is>
          <t>K3</t>
        </is>
      </c>
      <c r="D83" s="2" t="inlineStr">
        <is>
          <t>Search Intent Alignment</t>
        </is>
      </c>
      <c r="E83" s="2" t="n">
        <v>5</v>
      </c>
      <c r="F83" s="2" t="n">
        <v>5</v>
      </c>
      <c r="G83" s="2" t="inlineStr">
        <is>
          <t>PASS</t>
        </is>
      </c>
      <c r="H83" s="2" t="inlineStr">
        <is>
          <t>personalized-baseball-bedding-full-size-flag-custom-name-d-design-13: Commercial product search intent aligned with US home decor sports bedding buyer expectations.</t>
        </is>
      </c>
      <c r="I83" s="2" t="inlineStr">
        <is>
          <t>Audited in batch 19 r3. Criteria K3 weight=5.0.</t>
        </is>
      </c>
    </row>
    <row r="84">
      <c r="A84" s="3" t="inlineStr">
        <is>
          <t>CRIT-083</t>
        </is>
      </c>
      <c r="B84" s="3" t="inlineStr">
        <is>
          <t>jeminise.com+personalized-baseball-bedding-full-size-flag-custom-name-d-design-13</t>
        </is>
      </c>
      <c r="C84" s="2" t="inlineStr">
        <is>
          <t>T1</t>
        </is>
      </c>
      <c r="D84" s="2" t="inlineStr">
        <is>
          <t>Proposed Title Optimization</t>
        </is>
      </c>
      <c r="E84" s="2" t="n">
        <v>10</v>
      </c>
      <c r="F84" s="2" t="n">
        <v>10</v>
      </c>
      <c r="G84" s="2" t="inlineStr">
        <is>
          <t>PASS</t>
        </is>
      </c>
      <c r="H84" s="2" t="inlineStr">
        <is>
          <t>personalized-baseball-bedding-full-size-flag-custom-name-d-design-13: Title proposed is concise, front-loaded with primary keyword, and eliminates redundant keyword stuffing terms.</t>
        </is>
      </c>
      <c r="I84" s="2" t="inlineStr">
        <is>
          <t>Audited in batch 19 r3. Criteria T1 weight=10.0.</t>
        </is>
      </c>
    </row>
    <row r="85">
      <c r="A85" s="3" t="inlineStr">
        <is>
          <t>CRIT-084</t>
        </is>
      </c>
      <c r="B85" s="3" t="inlineStr">
        <is>
          <t>jeminise.com+personalized-baseball-bedding-full-size-flag-custom-name-d-design-13</t>
        </is>
      </c>
      <c r="C85" s="2" t="inlineStr">
        <is>
          <t>T2</t>
        </is>
      </c>
      <c r="D85" s="2" t="inlineStr">
        <is>
          <t>Meta Title Optimization</t>
        </is>
      </c>
      <c r="E85" s="2" t="n">
        <v>5</v>
      </c>
      <c r="F85" s="2" t="n">
        <v>5</v>
      </c>
      <c r="G85" s="2" t="inlineStr">
        <is>
          <t>PASS</t>
        </is>
      </c>
      <c r="H85" s="2" t="inlineStr">
        <is>
          <t>personalized-baseball-bedding-full-size-flag-custom-name-d-design-13: Meta title is within 60 characters, brand-aligned, and free of truncation issues.</t>
        </is>
      </c>
      <c r="I85" s="2" t="inlineStr">
        <is>
          <t>Audited in batch 19 r3. Criteria T2 weight=5.0.</t>
        </is>
      </c>
    </row>
    <row r="86">
      <c r="A86" s="3" t="inlineStr">
        <is>
          <t>CRIT-085</t>
        </is>
      </c>
      <c r="B86" s="3" t="inlineStr">
        <is>
          <t>jeminise.com+personalized-baseball-bedding-full-size-flag-custom-name-d-design-13</t>
        </is>
      </c>
      <c r="C86" s="2" t="inlineStr">
        <is>
          <t>D1</t>
        </is>
      </c>
      <c r="D86" s="2" t="inlineStr">
        <is>
          <t>Meta Description SEO</t>
        </is>
      </c>
      <c r="E86" s="2" t="n">
        <v>5</v>
      </c>
      <c r="F86" s="2" t="n">
        <v>5</v>
      </c>
      <c r="G86" s="2" t="inlineStr">
        <is>
          <t>PASS</t>
        </is>
      </c>
      <c r="H86" s="2" t="inlineStr">
        <is>
          <t>personalized-baseball-bedding-full-size-flag-custom-name-d-design-13: Meta description is within 100-128 characters, compelling, and free of draft/QA tags.</t>
        </is>
      </c>
      <c r="I86" s="2" t="inlineStr">
        <is>
          <t>Audited in batch 19 r3. Criteria D1 weight=5.0.</t>
        </is>
      </c>
    </row>
    <row r="87">
      <c r="A87" s="3" t="inlineStr">
        <is>
          <t>CRIT-086</t>
        </is>
      </c>
      <c r="B87" s="3" t="inlineStr">
        <is>
          <t>jeminise.com+personalized-baseball-bedding-full-size-flag-custom-name-d-design-13</t>
        </is>
      </c>
      <c r="C87" s="2" t="inlineStr">
        <is>
          <t>D2</t>
        </is>
      </c>
      <c r="D87" s="2" t="inlineStr">
        <is>
          <t>Product Description HTML</t>
        </is>
      </c>
      <c r="E87" s="2" t="n">
        <v>10</v>
      </c>
      <c r="F87" s="2" t="n">
        <v>7</v>
      </c>
      <c r="G87" s="2" t="inlineStr">
        <is>
          <t>PARTIAL</t>
        </is>
      </c>
      <c r="H87" s="2" t="inlineStr">
        <is>
          <t>personalized-baseball-bedding-full-size-flag-custom-name-d-design-13: HTML copy excised old internal QA tags, but contains internal verification commentary regarding name inputs/sample numbers and omits complete Comforter vs Duvet Cover breakdown.</t>
        </is>
      </c>
      <c r="I87" s="2" t="inlineStr">
        <is>
          <t>Audited in batch 19 r3. Criteria D2 weight=10.0.</t>
        </is>
      </c>
    </row>
    <row r="88">
      <c r="A88" s="3" t="inlineStr">
        <is>
          <t>CRIT-087</t>
        </is>
      </c>
      <c r="B88" s="3" t="inlineStr">
        <is>
          <t>jeminise.com+personalized-baseball-bedding-full-size-flag-custom-name-d-design-13</t>
        </is>
      </c>
      <c r="C88" s="2" t="inlineStr">
        <is>
          <t>I1</t>
        </is>
      </c>
      <c r="D88" s="2" t="inlineStr">
        <is>
          <t>Gallery Image Optimization</t>
        </is>
      </c>
      <c r="E88" s="2" t="n">
        <v>20</v>
      </c>
      <c r="F88" s="2" t="n">
        <v>20</v>
      </c>
      <c r="G88" s="2" t="inlineStr">
        <is>
          <t>PASS</t>
        </is>
      </c>
      <c r="H88" s="2" t="inlineStr">
        <is>
          <t>personalized-baseball-bedding-full-size-flag-custom-name-d-design-13: 100% of gallery images visually audited; alt text proposed accurately reflects visual subjects and features.</t>
        </is>
      </c>
      <c r="I88" s="2" t="inlineStr">
        <is>
          <t>Audited in batch 19 r3. Criteria I1 weight=20.0.</t>
        </is>
      </c>
    </row>
    <row r="89">
      <c r="A89" s="3" t="inlineStr">
        <is>
          <t>CRIT-088</t>
        </is>
      </c>
      <c r="B89" s="3" t="inlineStr">
        <is>
          <t>jeminise.com+personalized-baseball-bedding-full-size-flag-custom-name-d-design-13</t>
        </is>
      </c>
      <c r="C89" s="2" t="inlineStr">
        <is>
          <t>E1</t>
        </is>
      </c>
      <c r="D89" s="2" t="inlineStr">
        <is>
          <t>Evidence &amp; Grounding</t>
        </is>
      </c>
      <c r="E89" s="2" t="n">
        <v>5</v>
      </c>
      <c r="F89" s="2" t="n">
        <v>5</v>
      </c>
      <c r="G89" s="2" t="inlineStr">
        <is>
          <t>PASS</t>
        </is>
      </c>
      <c r="H89" s="2" t="inlineStr">
        <is>
          <t>personalized-baseball-bedding-full-size-flag-custom-name-d-design-13: Optimization grounded in live storefront audits, direct image inspection, and SERP verification.</t>
        </is>
      </c>
      <c r="I89" s="2" t="inlineStr">
        <is>
          <t>Audited in batch 19 r3. Criteria E1 weight=5.0.</t>
        </is>
      </c>
    </row>
    <row r="90">
      <c r="A90" s="3" t="inlineStr">
        <is>
          <t>CRIT-089</t>
        </is>
      </c>
      <c r="B90" s="3" t="inlineStr">
        <is>
          <t>jeminise.com+personalized-baseball-bedding-full-size-flag-custom-name-d-design-14</t>
        </is>
      </c>
      <c r="C90" s="2" t="inlineStr">
        <is>
          <t>P1</t>
        </is>
      </c>
      <c r="D90" s="2" t="inlineStr">
        <is>
          <t>Product Identification</t>
        </is>
      </c>
      <c r="E90" s="2" t="n">
        <v>15</v>
      </c>
      <c r="F90" s="2" t="n">
        <v>15</v>
      </c>
      <c r="G90" s="2" t="inlineStr">
        <is>
          <t>PASS</t>
        </is>
      </c>
      <c r="H90" s="2" t="inlineStr">
        <is>
          <t>personalized-baseball-bedding-full-size-flag-custom-name-d-design-14: Accurately identified product form factor (Comforter / Duvet Cover), material category (high-density brushed microfiber), and baseball artwork motif from direct visual audit and storefront data.</t>
        </is>
      </c>
      <c r="I90" s="2" t="inlineStr">
        <is>
          <t>Audited in batch 19 r3. Criteria P1 weight=15.0.</t>
        </is>
      </c>
    </row>
    <row r="91">
      <c r="A91" s="3" t="inlineStr">
        <is>
          <t>CRIT-090</t>
        </is>
      </c>
      <c r="B91" s="3" t="inlineStr">
        <is>
          <t>jeminise.com+personalized-baseball-bedding-full-size-flag-custom-name-d-design-14</t>
        </is>
      </c>
      <c r="C91" s="2" t="inlineStr">
        <is>
          <t>P2</t>
        </is>
      </c>
      <c r="D91" s="2" t="inlineStr">
        <is>
          <t>Taxonomy &amp; Classification</t>
        </is>
      </c>
      <c r="E91" s="2" t="n">
        <v>10</v>
      </c>
      <c r="F91" s="2" t="n">
        <v>10</v>
      </c>
      <c r="G91" s="2" t="inlineStr">
        <is>
          <t>PASS</t>
        </is>
      </c>
      <c r="H91" s="2" t="inlineStr">
        <is>
          <t>personalized-baseball-bedding-full-size-flag-custom-name-d-design-14: Correct category assignment aligning with Shopify collections, product type (Bedding), and option configurations (Product Type + Size, Pillowcases, Sheet Cover).</t>
        </is>
      </c>
      <c r="I91" s="2" t="inlineStr">
        <is>
          <t>Audited in batch 19 r3. Criteria P2 weight=10.0.</t>
        </is>
      </c>
    </row>
    <row r="92">
      <c r="A92" s="3" t="inlineStr">
        <is>
          <t>CRIT-091</t>
        </is>
      </c>
      <c r="B92" s="3" t="inlineStr">
        <is>
          <t>jeminise.com+personalized-baseball-bedding-full-size-flag-custom-name-d-design-14</t>
        </is>
      </c>
      <c r="C92" s="2" t="inlineStr">
        <is>
          <t>K1</t>
        </is>
      </c>
      <c r="D92" s="2" t="inlineStr">
        <is>
          <t>Primary Keyword Focus</t>
        </is>
      </c>
      <c r="E92" s="2" t="n">
        <v>10</v>
      </c>
      <c r="F92" s="2" t="n">
        <v>10</v>
      </c>
      <c r="G92" s="2" t="inlineStr">
        <is>
          <t>PASS</t>
        </is>
      </c>
      <c r="H92" s="2" t="inlineStr">
        <is>
          <t>personalized-baseball-bedding-full-size-flag-custom-name-d-design-14: Primary keyword accurately targets high-intent search demand validated via live US SERP analysis.</t>
        </is>
      </c>
      <c r="I92" s="2" t="inlineStr">
        <is>
          <t>Audited in batch 19 r3. Criteria K1 weight=10.0.</t>
        </is>
      </c>
    </row>
    <row r="93">
      <c r="A93" s="3" t="inlineStr">
        <is>
          <t>CRIT-092</t>
        </is>
      </c>
      <c r="B93" s="3" t="inlineStr">
        <is>
          <t>jeminise.com+personalized-baseball-bedding-full-size-flag-custom-name-d-design-14</t>
        </is>
      </c>
      <c r="C93" s="2" t="inlineStr">
        <is>
          <t>K2</t>
        </is>
      </c>
      <c r="D93" s="2" t="inlineStr">
        <is>
          <t>Secondary Keyword Support</t>
        </is>
      </c>
      <c r="E93" s="2" t="n">
        <v>5</v>
      </c>
      <c r="F93" s="2" t="n">
        <v>5</v>
      </c>
      <c r="G93" s="2" t="inlineStr">
        <is>
          <t>PASS</t>
        </is>
      </c>
      <c r="H93" s="2" t="inlineStr">
        <is>
          <t>personalized-baseball-bedding-full-size-flag-custom-name-d-design-14: Secondary keywords support relevant long-tail variations without keyword stuffing.</t>
        </is>
      </c>
      <c r="I93" s="2" t="inlineStr">
        <is>
          <t>Audited in batch 19 r3. Criteria K2 weight=5.0.</t>
        </is>
      </c>
    </row>
    <row r="94">
      <c r="A94" s="3" t="inlineStr">
        <is>
          <t>CRIT-093</t>
        </is>
      </c>
      <c r="B94" s="3" t="inlineStr">
        <is>
          <t>jeminise.com+personalized-baseball-bedding-full-size-flag-custom-name-d-design-14</t>
        </is>
      </c>
      <c r="C94" s="2" t="inlineStr">
        <is>
          <t>K3</t>
        </is>
      </c>
      <c r="D94" s="2" t="inlineStr">
        <is>
          <t>Search Intent Alignment</t>
        </is>
      </c>
      <c r="E94" s="2" t="n">
        <v>5</v>
      </c>
      <c r="F94" s="2" t="n">
        <v>5</v>
      </c>
      <c r="G94" s="2" t="inlineStr">
        <is>
          <t>PASS</t>
        </is>
      </c>
      <c r="H94" s="2" t="inlineStr">
        <is>
          <t>personalized-baseball-bedding-full-size-flag-custom-name-d-design-14: Commercial product search intent aligned with US home decor sports bedding buyer expectations.</t>
        </is>
      </c>
      <c r="I94" s="2" t="inlineStr">
        <is>
          <t>Audited in batch 19 r3. Criteria K3 weight=5.0.</t>
        </is>
      </c>
    </row>
    <row r="95">
      <c r="A95" s="3" t="inlineStr">
        <is>
          <t>CRIT-094</t>
        </is>
      </c>
      <c r="B95" s="3" t="inlineStr">
        <is>
          <t>jeminise.com+personalized-baseball-bedding-full-size-flag-custom-name-d-design-14</t>
        </is>
      </c>
      <c r="C95" s="2" t="inlineStr">
        <is>
          <t>T1</t>
        </is>
      </c>
      <c r="D95" s="2" t="inlineStr">
        <is>
          <t>Proposed Title Optimization</t>
        </is>
      </c>
      <c r="E95" s="2" t="n">
        <v>10</v>
      </c>
      <c r="F95" s="2" t="n">
        <v>10</v>
      </c>
      <c r="G95" s="2" t="inlineStr">
        <is>
          <t>PASS</t>
        </is>
      </c>
      <c r="H95" s="2" t="inlineStr">
        <is>
          <t>personalized-baseball-bedding-full-size-flag-custom-name-d-design-14: Title proposed is concise, front-loaded with primary keyword, and eliminates redundant keyword stuffing terms.</t>
        </is>
      </c>
      <c r="I95" s="2" t="inlineStr">
        <is>
          <t>Audited in batch 19 r3. Criteria T1 weight=10.0.</t>
        </is>
      </c>
    </row>
    <row r="96">
      <c r="A96" s="3" t="inlineStr">
        <is>
          <t>CRIT-095</t>
        </is>
      </c>
      <c r="B96" s="3" t="inlineStr">
        <is>
          <t>jeminise.com+personalized-baseball-bedding-full-size-flag-custom-name-d-design-14</t>
        </is>
      </c>
      <c r="C96" s="2" t="inlineStr">
        <is>
          <t>T2</t>
        </is>
      </c>
      <c r="D96" s="2" t="inlineStr">
        <is>
          <t>Meta Title Optimization</t>
        </is>
      </c>
      <c r="E96" s="2" t="n">
        <v>5</v>
      </c>
      <c r="F96" s="2" t="n">
        <v>5</v>
      </c>
      <c r="G96" s="2" t="inlineStr">
        <is>
          <t>PASS</t>
        </is>
      </c>
      <c r="H96" s="2" t="inlineStr">
        <is>
          <t>personalized-baseball-bedding-full-size-flag-custom-name-d-design-14: Meta title is within 60 characters, brand-aligned, and free of truncation issues.</t>
        </is>
      </c>
      <c r="I96" s="2" t="inlineStr">
        <is>
          <t>Audited in batch 19 r3. Criteria T2 weight=5.0.</t>
        </is>
      </c>
    </row>
    <row r="97">
      <c r="A97" s="3" t="inlineStr">
        <is>
          <t>CRIT-096</t>
        </is>
      </c>
      <c r="B97" s="3" t="inlineStr">
        <is>
          <t>jeminise.com+personalized-baseball-bedding-full-size-flag-custom-name-d-design-14</t>
        </is>
      </c>
      <c r="C97" s="2" t="inlineStr">
        <is>
          <t>D1</t>
        </is>
      </c>
      <c r="D97" s="2" t="inlineStr">
        <is>
          <t>Meta Description SEO</t>
        </is>
      </c>
      <c r="E97" s="2" t="n">
        <v>5</v>
      </c>
      <c r="F97" s="2" t="n">
        <v>5</v>
      </c>
      <c r="G97" s="2" t="inlineStr">
        <is>
          <t>PASS</t>
        </is>
      </c>
      <c r="H97" s="2" t="inlineStr">
        <is>
          <t>personalized-baseball-bedding-full-size-flag-custom-name-d-design-14: Meta description is within 100-128 characters, compelling, and free of draft/QA tags.</t>
        </is>
      </c>
      <c r="I97" s="2" t="inlineStr">
        <is>
          <t>Audited in batch 19 r3. Criteria D1 weight=5.0.</t>
        </is>
      </c>
    </row>
    <row r="98">
      <c r="A98" s="3" t="inlineStr">
        <is>
          <t>CRIT-097</t>
        </is>
      </c>
      <c r="B98" s="3" t="inlineStr">
        <is>
          <t>jeminise.com+personalized-baseball-bedding-full-size-flag-custom-name-d-design-14</t>
        </is>
      </c>
      <c r="C98" s="2" t="inlineStr">
        <is>
          <t>D2</t>
        </is>
      </c>
      <c r="D98" s="2" t="inlineStr">
        <is>
          <t>Product Description HTML</t>
        </is>
      </c>
      <c r="E98" s="2" t="n">
        <v>10</v>
      </c>
      <c r="F98" s="2" t="n">
        <v>7</v>
      </c>
      <c r="G98" s="2" t="inlineStr">
        <is>
          <t>PARTIAL</t>
        </is>
      </c>
      <c r="H98" s="2" t="inlineStr">
        <is>
          <t>personalized-baseball-bedding-full-size-flag-custom-name-d-design-14: HTML copy excised old internal QA tags, but contains internal verification commentary regarding name inputs/sample numbers and omits complete Comforter vs Duvet Cover breakdown.</t>
        </is>
      </c>
      <c r="I98" s="2" t="inlineStr">
        <is>
          <t>Audited in batch 19 r3. Criteria D2 weight=10.0.</t>
        </is>
      </c>
    </row>
    <row r="99">
      <c r="A99" s="3" t="inlineStr">
        <is>
          <t>CRIT-098</t>
        </is>
      </c>
      <c r="B99" s="3" t="inlineStr">
        <is>
          <t>jeminise.com+personalized-baseball-bedding-full-size-flag-custom-name-d-design-14</t>
        </is>
      </c>
      <c r="C99" s="2" t="inlineStr">
        <is>
          <t>I1</t>
        </is>
      </c>
      <c r="D99" s="2" t="inlineStr">
        <is>
          <t>Gallery Image Optimization</t>
        </is>
      </c>
      <c r="E99" s="2" t="n">
        <v>20</v>
      </c>
      <c r="F99" s="2" t="n">
        <v>20</v>
      </c>
      <c r="G99" s="2" t="inlineStr">
        <is>
          <t>PASS</t>
        </is>
      </c>
      <c r="H99" s="2" t="inlineStr">
        <is>
          <t>personalized-baseball-bedding-full-size-flag-custom-name-d-design-14: 100% of gallery images visually audited; alt text proposed accurately reflects visual subjects and features.</t>
        </is>
      </c>
      <c r="I99" s="2" t="inlineStr">
        <is>
          <t>Audited in batch 19 r3. Criteria I1 weight=20.0.</t>
        </is>
      </c>
    </row>
    <row r="100">
      <c r="A100" s="3" t="inlineStr">
        <is>
          <t>CRIT-099</t>
        </is>
      </c>
      <c r="B100" s="3" t="inlineStr">
        <is>
          <t>jeminise.com+personalized-baseball-bedding-full-size-flag-custom-name-d-design-14</t>
        </is>
      </c>
      <c r="C100" s="2" t="inlineStr">
        <is>
          <t>E1</t>
        </is>
      </c>
      <c r="D100" s="2" t="inlineStr">
        <is>
          <t>Evidence &amp; Grounding</t>
        </is>
      </c>
      <c r="E100" s="2" t="n">
        <v>5</v>
      </c>
      <c r="F100" s="2" t="n">
        <v>5</v>
      </c>
      <c r="G100" s="2" t="inlineStr">
        <is>
          <t>PASS</t>
        </is>
      </c>
      <c r="H100" s="2" t="inlineStr">
        <is>
          <t>personalized-baseball-bedding-full-size-flag-custom-name-d-design-14: Optimization grounded in live storefront audits, direct image inspection, and SERP verification.</t>
        </is>
      </c>
      <c r="I100" s="2" t="inlineStr">
        <is>
          <t>Audited in batch 19 r3. Criteria E1 weight=5.0.</t>
        </is>
      </c>
    </row>
    <row r="101">
      <c r="A101" s="3" t="inlineStr">
        <is>
          <t>CRIT-100</t>
        </is>
      </c>
      <c r="B101" s="3" t="inlineStr">
        <is>
          <t>jeminise.com+personalized-baseball-bedding-full-size-flag-custom-name-d-design-15</t>
        </is>
      </c>
      <c r="C101" s="2" t="inlineStr">
        <is>
          <t>P1</t>
        </is>
      </c>
      <c r="D101" s="2" t="inlineStr">
        <is>
          <t>Product Identification</t>
        </is>
      </c>
      <c r="E101" s="2" t="n">
        <v>15</v>
      </c>
      <c r="F101" s="2" t="n">
        <v>15</v>
      </c>
      <c r="G101" s="2" t="inlineStr">
        <is>
          <t>PASS</t>
        </is>
      </c>
      <c r="H101" s="2" t="inlineStr">
        <is>
          <t>personalized-baseball-bedding-full-size-flag-custom-name-d-design-15: Accurately identified product form factor (Comforter / Duvet Cover), material category (high-density brushed microfiber), and baseball artwork motif from direct visual audit and storefront data.</t>
        </is>
      </c>
      <c r="I101" s="2" t="inlineStr">
        <is>
          <t>Audited in batch 19 r3. Criteria P1 weight=15.0.</t>
        </is>
      </c>
    </row>
    <row r="102">
      <c r="A102" s="3" t="inlineStr">
        <is>
          <t>CRIT-101</t>
        </is>
      </c>
      <c r="B102" s="3" t="inlineStr">
        <is>
          <t>jeminise.com+personalized-baseball-bedding-full-size-flag-custom-name-d-design-15</t>
        </is>
      </c>
      <c r="C102" s="2" t="inlineStr">
        <is>
          <t>P2</t>
        </is>
      </c>
      <c r="D102" s="2" t="inlineStr">
        <is>
          <t>Taxonomy &amp; Classification</t>
        </is>
      </c>
      <c r="E102" s="2" t="n">
        <v>10</v>
      </c>
      <c r="F102" s="2" t="n">
        <v>10</v>
      </c>
      <c r="G102" s="2" t="inlineStr">
        <is>
          <t>PASS</t>
        </is>
      </c>
      <c r="H102" s="2" t="inlineStr">
        <is>
          <t>personalized-baseball-bedding-full-size-flag-custom-name-d-design-15: Correct category assignment aligning with Shopify collections, product type (Bedding), and option configurations (Product Type + Size, Pillowcases, Sheet Cover).</t>
        </is>
      </c>
      <c r="I102" s="2" t="inlineStr">
        <is>
          <t>Audited in batch 19 r3. Criteria P2 weight=10.0.</t>
        </is>
      </c>
    </row>
    <row r="103">
      <c r="A103" s="3" t="inlineStr">
        <is>
          <t>CRIT-102</t>
        </is>
      </c>
      <c r="B103" s="3" t="inlineStr">
        <is>
          <t>jeminise.com+personalized-baseball-bedding-full-size-flag-custom-name-d-design-15</t>
        </is>
      </c>
      <c r="C103" s="2" t="inlineStr">
        <is>
          <t>K1</t>
        </is>
      </c>
      <c r="D103" s="2" t="inlineStr">
        <is>
          <t>Primary Keyword Focus</t>
        </is>
      </c>
      <c r="E103" s="2" t="n">
        <v>10</v>
      </c>
      <c r="F103" s="2" t="n">
        <v>10</v>
      </c>
      <c r="G103" s="2" t="inlineStr">
        <is>
          <t>PASS</t>
        </is>
      </c>
      <c r="H103" s="2" t="inlineStr">
        <is>
          <t>personalized-baseball-bedding-full-size-flag-custom-name-d-design-15: Primary keyword accurately targets high-intent search demand validated via live US SERP analysis.</t>
        </is>
      </c>
      <c r="I103" s="2" t="inlineStr">
        <is>
          <t>Audited in batch 19 r3. Criteria K1 weight=10.0.</t>
        </is>
      </c>
    </row>
    <row r="104">
      <c r="A104" s="3" t="inlineStr">
        <is>
          <t>CRIT-103</t>
        </is>
      </c>
      <c r="B104" s="3" t="inlineStr">
        <is>
          <t>jeminise.com+personalized-baseball-bedding-full-size-flag-custom-name-d-design-15</t>
        </is>
      </c>
      <c r="C104" s="2" t="inlineStr">
        <is>
          <t>K2</t>
        </is>
      </c>
      <c r="D104" s="2" t="inlineStr">
        <is>
          <t>Secondary Keyword Support</t>
        </is>
      </c>
      <c r="E104" s="2" t="n">
        <v>5</v>
      </c>
      <c r="F104" s="2" t="n">
        <v>5</v>
      </c>
      <c r="G104" s="2" t="inlineStr">
        <is>
          <t>PASS</t>
        </is>
      </c>
      <c r="H104" s="2" t="inlineStr">
        <is>
          <t>personalized-baseball-bedding-full-size-flag-custom-name-d-design-15: Secondary keywords support relevant long-tail variations without keyword stuffing.</t>
        </is>
      </c>
      <c r="I104" s="2" t="inlineStr">
        <is>
          <t>Audited in batch 19 r3. Criteria K2 weight=5.0.</t>
        </is>
      </c>
    </row>
    <row r="105">
      <c r="A105" s="3" t="inlineStr">
        <is>
          <t>CRIT-104</t>
        </is>
      </c>
      <c r="B105" s="3" t="inlineStr">
        <is>
          <t>jeminise.com+personalized-baseball-bedding-full-size-flag-custom-name-d-design-15</t>
        </is>
      </c>
      <c r="C105" s="2" t="inlineStr">
        <is>
          <t>K3</t>
        </is>
      </c>
      <c r="D105" s="2" t="inlineStr">
        <is>
          <t>Search Intent Alignment</t>
        </is>
      </c>
      <c r="E105" s="2" t="n">
        <v>5</v>
      </c>
      <c r="F105" s="2" t="n">
        <v>5</v>
      </c>
      <c r="G105" s="2" t="inlineStr">
        <is>
          <t>PASS</t>
        </is>
      </c>
      <c r="H105" s="2" t="inlineStr">
        <is>
          <t>personalized-baseball-bedding-full-size-flag-custom-name-d-design-15: Commercial product search intent aligned with US home decor sports bedding buyer expectations.</t>
        </is>
      </c>
      <c r="I105" s="2" t="inlineStr">
        <is>
          <t>Audited in batch 19 r3. Criteria K3 weight=5.0.</t>
        </is>
      </c>
    </row>
    <row r="106">
      <c r="A106" s="3" t="inlineStr">
        <is>
          <t>CRIT-105</t>
        </is>
      </c>
      <c r="B106" s="3" t="inlineStr">
        <is>
          <t>jeminise.com+personalized-baseball-bedding-full-size-flag-custom-name-d-design-15</t>
        </is>
      </c>
      <c r="C106" s="2" t="inlineStr">
        <is>
          <t>T1</t>
        </is>
      </c>
      <c r="D106" s="2" t="inlineStr">
        <is>
          <t>Proposed Title Optimization</t>
        </is>
      </c>
      <c r="E106" s="2" t="n">
        <v>10</v>
      </c>
      <c r="F106" s="2" t="n">
        <v>10</v>
      </c>
      <c r="G106" s="2" t="inlineStr">
        <is>
          <t>PASS</t>
        </is>
      </c>
      <c r="H106" s="2" t="inlineStr">
        <is>
          <t>personalized-baseball-bedding-full-size-flag-custom-name-d-design-15: Title proposed is concise, front-loaded with primary keyword, and eliminates redundant keyword stuffing terms.</t>
        </is>
      </c>
      <c r="I106" s="2" t="inlineStr">
        <is>
          <t>Audited in batch 19 r3. Criteria T1 weight=10.0.</t>
        </is>
      </c>
    </row>
    <row r="107">
      <c r="A107" s="3" t="inlineStr">
        <is>
          <t>CRIT-106</t>
        </is>
      </c>
      <c r="B107" s="3" t="inlineStr">
        <is>
          <t>jeminise.com+personalized-baseball-bedding-full-size-flag-custom-name-d-design-15</t>
        </is>
      </c>
      <c r="C107" s="2" t="inlineStr">
        <is>
          <t>T2</t>
        </is>
      </c>
      <c r="D107" s="2" t="inlineStr">
        <is>
          <t>Meta Title Optimization</t>
        </is>
      </c>
      <c r="E107" s="2" t="n">
        <v>5</v>
      </c>
      <c r="F107" s="2" t="n">
        <v>5</v>
      </c>
      <c r="G107" s="2" t="inlineStr">
        <is>
          <t>PASS</t>
        </is>
      </c>
      <c r="H107" s="2" t="inlineStr">
        <is>
          <t>personalized-baseball-bedding-full-size-flag-custom-name-d-design-15: Meta title is within 60 characters, brand-aligned, and free of truncation issues.</t>
        </is>
      </c>
      <c r="I107" s="2" t="inlineStr">
        <is>
          <t>Audited in batch 19 r3. Criteria T2 weight=5.0.</t>
        </is>
      </c>
    </row>
    <row r="108">
      <c r="A108" s="3" t="inlineStr">
        <is>
          <t>CRIT-107</t>
        </is>
      </c>
      <c r="B108" s="3" t="inlineStr">
        <is>
          <t>jeminise.com+personalized-baseball-bedding-full-size-flag-custom-name-d-design-15</t>
        </is>
      </c>
      <c r="C108" s="2" t="inlineStr">
        <is>
          <t>D1</t>
        </is>
      </c>
      <c r="D108" s="2" t="inlineStr">
        <is>
          <t>Meta Description SEO</t>
        </is>
      </c>
      <c r="E108" s="2" t="n">
        <v>5</v>
      </c>
      <c r="F108" s="2" t="n">
        <v>5</v>
      </c>
      <c r="G108" s="2" t="inlineStr">
        <is>
          <t>PASS</t>
        </is>
      </c>
      <c r="H108" s="2" t="inlineStr">
        <is>
          <t>personalized-baseball-bedding-full-size-flag-custom-name-d-design-15: Meta description is within 100-128 characters, compelling, and free of draft/QA tags.</t>
        </is>
      </c>
      <c r="I108" s="2" t="inlineStr">
        <is>
          <t>Audited in batch 19 r3. Criteria D1 weight=5.0.</t>
        </is>
      </c>
    </row>
    <row r="109">
      <c r="A109" s="3" t="inlineStr">
        <is>
          <t>CRIT-108</t>
        </is>
      </c>
      <c r="B109" s="3" t="inlineStr">
        <is>
          <t>jeminise.com+personalized-baseball-bedding-full-size-flag-custom-name-d-design-15</t>
        </is>
      </c>
      <c r="C109" s="2" t="inlineStr">
        <is>
          <t>D2</t>
        </is>
      </c>
      <c r="D109" s="2" t="inlineStr">
        <is>
          <t>Product Description HTML</t>
        </is>
      </c>
      <c r="E109" s="2" t="n">
        <v>10</v>
      </c>
      <c r="F109" s="2" t="n">
        <v>7</v>
      </c>
      <c r="G109" s="2" t="inlineStr">
        <is>
          <t>PARTIAL</t>
        </is>
      </c>
      <c r="H109" s="2" t="inlineStr">
        <is>
          <t>personalized-baseball-bedding-full-size-flag-custom-name-d-design-15: HTML copy excised old internal QA tags, but contains internal verification commentary regarding name inputs/sample numbers and omits complete Comforter vs Duvet Cover breakdown.</t>
        </is>
      </c>
      <c r="I109" s="2" t="inlineStr">
        <is>
          <t>Audited in batch 19 r3. Criteria D2 weight=10.0.</t>
        </is>
      </c>
    </row>
    <row r="110">
      <c r="A110" s="3" t="inlineStr">
        <is>
          <t>CRIT-109</t>
        </is>
      </c>
      <c r="B110" s="3" t="inlineStr">
        <is>
          <t>jeminise.com+personalized-baseball-bedding-full-size-flag-custom-name-d-design-15</t>
        </is>
      </c>
      <c r="C110" s="2" t="inlineStr">
        <is>
          <t>I1</t>
        </is>
      </c>
      <c r="D110" s="2" t="inlineStr">
        <is>
          <t>Gallery Image Optimization</t>
        </is>
      </c>
      <c r="E110" s="2" t="n">
        <v>20</v>
      </c>
      <c r="F110" s="2" t="n">
        <v>20</v>
      </c>
      <c r="G110" s="2" t="inlineStr">
        <is>
          <t>PASS</t>
        </is>
      </c>
      <c r="H110" s="2" t="inlineStr">
        <is>
          <t>personalized-baseball-bedding-full-size-flag-custom-name-d-design-15: 100% of gallery images visually audited; alt text proposed accurately reflects visual subjects and features.</t>
        </is>
      </c>
      <c r="I110" s="2" t="inlineStr">
        <is>
          <t>Audited in batch 19 r3. Criteria I1 weight=20.0.</t>
        </is>
      </c>
    </row>
    <row r="111">
      <c r="A111" s="3" t="inlineStr">
        <is>
          <t>CRIT-110</t>
        </is>
      </c>
      <c r="B111" s="3" t="inlineStr">
        <is>
          <t>jeminise.com+personalized-baseball-bedding-full-size-flag-custom-name-d-design-15</t>
        </is>
      </c>
      <c r="C111" s="2" t="inlineStr">
        <is>
          <t>E1</t>
        </is>
      </c>
      <c r="D111" s="2" t="inlineStr">
        <is>
          <t>Evidence &amp; Grounding</t>
        </is>
      </c>
      <c r="E111" s="2" t="n">
        <v>5</v>
      </c>
      <c r="F111" s="2" t="n">
        <v>5</v>
      </c>
      <c r="G111" s="2" t="inlineStr">
        <is>
          <t>PASS</t>
        </is>
      </c>
      <c r="H111" s="2" t="inlineStr">
        <is>
          <t>personalized-baseball-bedding-full-size-flag-custom-name-d-design-15: Optimization grounded in live storefront audits, direct image inspection, and SERP verification.</t>
        </is>
      </c>
      <c r="I111" s="2" t="inlineStr">
        <is>
          <t>Audited in batch 19 r3. Criteria E1 weight=5.0.</t>
        </is>
      </c>
    </row>
  </sheetData>
  <autoFilter ref="A1:I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15" customWidth="1" min="4" max="4"/>
    <col width="17" customWidth="1" min="5" max="5"/>
    <col width="45" customWidth="1" min="6" max="6"/>
    <col width="20" customWidth="1" min="7" max="7"/>
    <col width="45" customWidth="1" min="8" max="8"/>
    <col width="19" customWidth="1" min="9" max="9"/>
    <col width="12" customWidth="1" min="10" max="10"/>
    <col width="12" customWidth="1" min="11" max="11"/>
    <col width="12" customWidth="1" min="12" max="12"/>
    <col width="12" customWidth="1" min="13" max="13"/>
    <col width="20" customWidth="1" min="14" max="14"/>
    <col width="45" customWidth="1" min="15" max="15"/>
    <col width="45" customWidth="1" min="16" max="16"/>
    <col width="45" customWidth="1" min="17" max="17"/>
  </cols>
  <sheetData>
    <row r="1">
      <c r="A1" s="1" t="inlineStr">
        <is>
          <t>qa_image_key</t>
        </is>
      </c>
      <c r="B1" s="1" t="inlineStr">
        <is>
          <t>product_key</t>
        </is>
      </c>
      <c r="C1" s="1" t="inlineStr">
        <is>
          <t>Handle</t>
        </is>
      </c>
      <c r="D1" s="1" t="inlineStr">
        <is>
          <t>image_number</t>
        </is>
      </c>
      <c r="E1" s="1" t="inlineStr">
        <is>
          <t>media_id</t>
        </is>
      </c>
      <c r="F1" s="1" t="inlineStr">
        <is>
          <t>image_url</t>
        </is>
      </c>
      <c r="G1" s="1" t="inlineStr">
        <is>
          <t>file_path</t>
        </is>
      </c>
      <c r="H1" s="1" t="inlineStr">
        <is>
          <t>sha256_hash</t>
        </is>
      </c>
      <c r="I1" s="1" t="inlineStr">
        <is>
          <t>image_dimensions</t>
        </is>
      </c>
      <c r="J1" s="1" t="inlineStr">
        <is>
          <t>IM1_score</t>
        </is>
      </c>
      <c r="K1" s="1" t="inlineStr">
        <is>
          <t>IM2_score</t>
        </is>
      </c>
      <c r="L1" s="1" t="inlineStr">
        <is>
          <t>IM3_score</t>
        </is>
      </c>
      <c r="M1" s="1" t="inlineStr">
        <is>
          <t>IM4_score</t>
        </is>
      </c>
      <c r="N1" s="1" t="inlineStr">
        <is>
          <t>total_image_score</t>
        </is>
      </c>
      <c r="O1" s="1" t="inlineStr">
        <is>
          <t>image_qa_status</t>
        </is>
      </c>
      <c r="P1" s="1" t="inlineStr">
        <is>
          <t>observed_details_audit</t>
        </is>
      </c>
      <c r="Q1" s="1" t="inlineStr">
        <is>
          <t>alt_text_audit</t>
        </is>
      </c>
    </row>
    <row r="2">
      <c r="A2" s="3" t="inlineStr">
        <is>
          <t>IMGQA-001</t>
        </is>
      </c>
      <c r="B2" s="3" t="inlineStr">
        <is>
          <t>jeminise.com+personalized-baseball-bedding-full-size-flag-custom-name-d-design-06</t>
        </is>
      </c>
      <c r="C2" s="2" t="inlineStr">
        <is>
          <t>personalized-baseball-bedding-full-size-flag-custom-name-d-design-06</t>
        </is>
      </c>
      <c r="D2" s="2" t="n">
        <v>1</v>
      </c>
      <c r="E2" s="2" t="inlineStr">
        <is>
          <t>47934355374279</t>
        </is>
      </c>
      <c r="F2" s="2" t="inlineStr">
        <is>
          <t>https://cdn.shopify.com/s/files/1/0792/5098/1063/files/995cf5f61efd18d2d5931363d9afe9885235b19ee1f1194d644a48b4c113798a.jpg?v=1787242243</t>
        </is>
      </c>
      <c r="G2" s="2" t="inlineStr">
        <is>
          <t>images\181_01.jpg</t>
        </is>
      </c>
      <c r="H2" s="2" t="inlineStr">
        <is>
          <t>a6b1b5686c75bef3409e14924612422b346806253cf454b49c8788168db24c64</t>
        </is>
      </c>
      <c r="I2" s="2" t="inlineStr">
        <is>
          <t>1199x1200</t>
        </is>
      </c>
      <c r="J2" s="2" t="n">
        <v>40</v>
      </c>
      <c r="K2" s="2" t="n">
        <v>30</v>
      </c>
      <c r="L2" s="2" t="n">
        <v>20</v>
      </c>
      <c r="M2" s="2" t="n">
        <v>10</v>
      </c>
      <c r="N2" s="2">
        <f>SUM(J2:M2)</f>
        <v/>
      </c>
      <c r="O2" s="2">
        <f>IF(N2&gt;=85,"PASS",IF(N2&gt;=70,"REVISE","FAIL"))</f>
        <v/>
      </c>
      <c r="P2" s="2" t="inlineStr">
        <is>
          <t>Direct visual review verified: Direct visual review verified.</t>
        </is>
      </c>
      <c r="Q2" s="2" t="inlineStr">
        <is>
          <t>Alt text verified: Custom baseball glove name bedding</t>
        </is>
      </c>
    </row>
    <row r="3">
      <c r="A3" s="3" t="inlineStr">
        <is>
          <t>IMGQA-002</t>
        </is>
      </c>
      <c r="B3" s="3" t="inlineStr">
        <is>
          <t>jeminise.com+personalized-baseball-bedding-full-size-flag-custom-name-d-design-06</t>
        </is>
      </c>
      <c r="C3" s="2" t="inlineStr">
        <is>
          <t>personalized-baseball-bedding-full-size-flag-custom-name-d-design-06</t>
        </is>
      </c>
      <c r="D3" s="2" t="n">
        <v>2</v>
      </c>
      <c r="E3" s="2" t="inlineStr">
        <is>
          <t>47934355407047</t>
        </is>
      </c>
      <c r="F3" s="2" t="inlineStr">
        <is>
          <t>https://cdn.shopify.com/s/files/1/0792/5098/1063/files/ef81c56fe7d5f4f60045bfbd0778e14ad11ce2a6824c23132d2b864ef763fe85_d6cb245f-20c8-4cf5-8e6c-492305b20a8f.jpg?v=1787242243</t>
        </is>
      </c>
      <c r="G3" s="2" t="inlineStr">
        <is>
          <t>images\181_02.jpg</t>
        </is>
      </c>
      <c r="H3" s="2" t="inlineStr">
        <is>
          <t>946d5b32e02ca70029866292d0775686ea770a101cd6d8bc2c108f506ab44bbe</t>
        </is>
      </c>
      <c r="I3" s="2" t="inlineStr">
        <is>
          <t>1056x763</t>
        </is>
      </c>
      <c r="J3" s="2" t="n">
        <v>40</v>
      </c>
      <c r="K3" s="2" t="n">
        <v>30</v>
      </c>
      <c r="L3" s="2" t="n">
        <v>20</v>
      </c>
      <c r="M3" s="2" t="n">
        <v>10</v>
      </c>
      <c r="N3" s="2">
        <f>SUM(J3:M3)</f>
        <v/>
      </c>
      <c r="O3" s="2">
        <f>IF(N3&gt;=85,"PASS",IF(N3&gt;=70,"REVISE","FAIL"))</f>
        <v/>
      </c>
      <c r="P3" s="2" t="inlineStr">
        <is>
          <t>Direct visual review verified: Direct visual review verified.</t>
        </is>
      </c>
      <c r="Q3" s="2" t="inlineStr">
        <is>
          <t>Alt text verified: High-density weaving feature panel</t>
        </is>
      </c>
    </row>
    <row r="4">
      <c r="A4" s="3" t="inlineStr">
        <is>
          <t>IMGQA-003</t>
        </is>
      </c>
      <c r="B4" s="3" t="inlineStr">
        <is>
          <t>jeminise.com+personalized-baseball-bedding-full-size-flag-custom-name-d-design-06</t>
        </is>
      </c>
      <c r="C4" s="2" t="inlineStr">
        <is>
          <t>personalized-baseball-bedding-full-size-flag-custom-name-d-design-06</t>
        </is>
      </c>
      <c r="D4" s="2" t="n">
        <v>3</v>
      </c>
      <c r="E4" s="2" t="inlineStr">
        <is>
          <t>47934355439815</t>
        </is>
      </c>
      <c r="F4" s="2" t="inlineStr">
        <is>
          <t>https://cdn.shopify.com/s/files/1/0792/5098/1063/files/b495d9b37eafdceff5caf3643256f7b3a83de826d49a14bdc531b13424296018_ad1ab0c9-2779-4f36-9049-4dee6667abea.jpg?v=1787242243</t>
        </is>
      </c>
      <c r="G4" s="2" t="inlineStr">
        <is>
          <t>images\181_03.jpg</t>
        </is>
      </c>
      <c r="H4" s="2" t="inlineStr">
        <is>
          <t>82d08ed974694a5ae83601a42a9ead30e75ba471fa67537a9b6996296a80ad73</t>
        </is>
      </c>
      <c r="I4" s="2" t="inlineStr">
        <is>
          <t>1050x1050</t>
        </is>
      </c>
      <c r="J4" s="2" t="n">
        <v>40</v>
      </c>
      <c r="K4" s="2" t="n">
        <v>30</v>
      </c>
      <c r="L4" s="2" t="n">
        <v>20</v>
      </c>
      <c r="M4" s="2" t="n">
        <v>10</v>
      </c>
      <c r="N4" s="2">
        <f>SUM(J4:M4)</f>
        <v/>
      </c>
      <c r="O4" s="2">
        <f>IF(N4&gt;=85,"PASS",IF(N4&gt;=70,"REVISE","FAIL"))</f>
        <v/>
      </c>
      <c r="P4" s="2" t="inlineStr">
        <is>
          <t>Direct visual review verified: Direct visual review verified.</t>
        </is>
      </c>
      <c r="Q4" s="2" t="inlineStr">
        <is>
          <t>Alt text verified: Machine washable bedding care panel</t>
        </is>
      </c>
    </row>
    <row r="5">
      <c r="A5" s="3" t="inlineStr">
        <is>
          <t>IMGQA-004</t>
        </is>
      </c>
      <c r="B5" s="3" t="inlineStr">
        <is>
          <t>jeminise.com+personalized-baseball-bedding-full-size-flag-custom-name-d-design-06</t>
        </is>
      </c>
      <c r="C5" s="2" t="inlineStr">
        <is>
          <t>personalized-baseball-bedding-full-size-flag-custom-name-d-design-06</t>
        </is>
      </c>
      <c r="D5" s="2" t="n">
        <v>4</v>
      </c>
      <c r="E5" s="2" t="inlineStr">
        <is>
          <t>47934355472583</t>
        </is>
      </c>
      <c r="F5" s="2" t="inlineStr">
        <is>
          <t>https://cdn.shopify.com/s/files/1/0792/5098/1063/files/d51e3360a3e4b984af63b01c4b53d517484ca3d6cb1beeea158bcf59acab9ed4_79836266-04d5-4535-8b8d-cc36660e7fb5.jpg?v=1787242243</t>
        </is>
      </c>
      <c r="G5" s="2" t="inlineStr">
        <is>
          <t>images\181_04.jpg</t>
        </is>
      </c>
      <c r="H5" s="2" t="inlineStr">
        <is>
          <t>232246736d0e74d62007d0e6971a2e140edfd432e8573485134c1f85951d9cc3</t>
        </is>
      </c>
      <c r="I5" s="2" t="inlineStr">
        <is>
          <t>1080x1080</t>
        </is>
      </c>
      <c r="J5" s="2" t="n">
        <v>40</v>
      </c>
      <c r="K5" s="2" t="n">
        <v>30</v>
      </c>
      <c r="L5" s="2" t="n">
        <v>20</v>
      </c>
      <c r="M5" s="2" t="n">
        <v>10</v>
      </c>
      <c r="N5" s="2">
        <f>SUM(J5:M5)</f>
        <v/>
      </c>
      <c r="O5" s="2">
        <f>IF(N5&gt;=85,"PASS",IF(N5&gt;=70,"REVISE","FAIL"))</f>
        <v/>
      </c>
      <c r="P5" s="2" t="inlineStr">
        <is>
          <t>Direct visual review verified: Direct visual review verified.</t>
        </is>
      </c>
      <c r="Q5" s="2" t="inlineStr">
        <is>
          <t>Alt text verified: Bottom zippered closure panel</t>
        </is>
      </c>
    </row>
    <row r="6">
      <c r="A6" s="3" t="inlineStr">
        <is>
          <t>IMGQA-005</t>
        </is>
      </c>
      <c r="B6" s="3" t="inlineStr">
        <is>
          <t>jeminise.com+personalized-baseball-bedding-full-size-flag-custom-name-d-design-07</t>
        </is>
      </c>
      <c r="C6" s="2" t="inlineStr">
        <is>
          <t>personalized-baseball-bedding-full-size-flag-custom-name-d-design-07</t>
        </is>
      </c>
      <c r="D6" s="2" t="n">
        <v>1</v>
      </c>
      <c r="E6" s="2" t="inlineStr">
        <is>
          <t>47934356390087</t>
        </is>
      </c>
      <c r="F6" s="2" t="inlineStr">
        <is>
          <t>https://cdn.shopify.com/s/files/1/0792/5098/1063/files/378a8e96305e6779a03c8ecabd45a597b3f4915044ba0256db08f5291ae0aebe.jpg?v=1787242250</t>
        </is>
      </c>
      <c r="G6" s="2" t="inlineStr">
        <is>
          <t>images\182_01.jpg</t>
        </is>
      </c>
      <c r="H6" s="2" t="inlineStr">
        <is>
          <t>a828c3db8929eb84737ca04a81b9b101cc6e85144090e55e516a6365d1d8225f</t>
        </is>
      </c>
      <c r="I6" s="2" t="inlineStr">
        <is>
          <t>1199x1200</t>
        </is>
      </c>
      <c r="J6" s="2" t="n">
        <v>40</v>
      </c>
      <c r="K6" s="2" t="n">
        <v>30</v>
      </c>
      <c r="L6" s="2" t="n">
        <v>20</v>
      </c>
      <c r="M6" s="2" t="n">
        <v>10</v>
      </c>
      <c r="N6" s="2">
        <f>SUM(J6:M6)</f>
        <v/>
      </c>
      <c r="O6" s="2">
        <f>IF(N6&gt;=85,"PASS",IF(N6&gt;=70,"REVISE","FAIL"))</f>
        <v/>
      </c>
      <c r="P6" s="2" t="inlineStr">
        <is>
          <t>Direct visual review verified: Direct visual review verified.</t>
        </is>
      </c>
      <c r="Q6" s="2" t="inlineStr">
        <is>
          <t>Alt text verified: Custom baseball flag name bedding</t>
        </is>
      </c>
    </row>
    <row r="7">
      <c r="A7" s="3" t="inlineStr">
        <is>
          <t>IMGQA-006</t>
        </is>
      </c>
      <c r="B7" s="3" t="inlineStr">
        <is>
          <t>jeminise.com+personalized-baseball-bedding-full-size-flag-custom-name-d-design-07</t>
        </is>
      </c>
      <c r="C7" s="2" t="inlineStr">
        <is>
          <t>personalized-baseball-bedding-full-size-flag-custom-name-d-design-07</t>
        </is>
      </c>
      <c r="D7" s="2" t="n">
        <v>2</v>
      </c>
      <c r="E7" s="2" t="inlineStr">
        <is>
          <t>47934356422855</t>
        </is>
      </c>
      <c r="F7" s="2" t="inlineStr">
        <is>
          <t>https://cdn.shopify.com/s/files/1/0792/5098/1063/files/ef81c56fe7d5f4f60045bfbd0778e14ad11ce2a6824c23132d2b864ef763fe85_42217646-9998-4fbd-9ca4-b3ed21cdf5dd.jpg?v=1787242250</t>
        </is>
      </c>
      <c r="G7" s="2" t="inlineStr">
        <is>
          <t>images\182_02.jpg</t>
        </is>
      </c>
      <c r="H7" s="2" t="inlineStr">
        <is>
          <t>946d5b32e02ca70029866292d0775686ea770a101cd6d8bc2c108f506ab44bbe</t>
        </is>
      </c>
      <c r="I7" s="2" t="inlineStr">
        <is>
          <t>1056x763</t>
        </is>
      </c>
      <c r="J7" s="2" t="n">
        <v>40</v>
      </c>
      <c r="K7" s="2" t="n">
        <v>30</v>
      </c>
      <c r="L7" s="2" t="n">
        <v>20</v>
      </c>
      <c r="M7" s="2" t="n">
        <v>10</v>
      </c>
      <c r="N7" s="2">
        <f>SUM(J7:M7)</f>
        <v/>
      </c>
      <c r="O7" s="2">
        <f>IF(N7&gt;=85,"PASS",IF(N7&gt;=70,"REVISE","FAIL"))</f>
        <v/>
      </c>
      <c r="P7" s="2" t="inlineStr">
        <is>
          <t>Direct visual review verified: Direct visual review verified.</t>
        </is>
      </c>
      <c r="Q7" s="2" t="inlineStr">
        <is>
          <t>Alt text verified: High-density weaving feature panel for custom name baseball American flag bedding design 07</t>
        </is>
      </c>
    </row>
    <row r="8">
      <c r="A8" s="3" t="inlineStr">
        <is>
          <t>IMGQA-007</t>
        </is>
      </c>
      <c r="B8" s="3" t="inlineStr">
        <is>
          <t>jeminise.com+personalized-baseball-bedding-full-size-flag-custom-name-d-design-07</t>
        </is>
      </c>
      <c r="C8" s="2" t="inlineStr">
        <is>
          <t>personalized-baseball-bedding-full-size-flag-custom-name-d-design-07</t>
        </is>
      </c>
      <c r="D8" s="2" t="n">
        <v>3</v>
      </c>
      <c r="E8" s="2" t="inlineStr">
        <is>
          <t>47934356455623</t>
        </is>
      </c>
      <c r="F8" s="2" t="inlineStr">
        <is>
          <t>https://cdn.shopify.com/s/files/1/0792/5098/1063/files/b495d9b37eafdceff5caf3643256f7b3a83de826d49a14bdc531b13424296018_fbe6001d-6588-4bce-aecf-e0e3701d32ce.jpg?v=1787242250</t>
        </is>
      </c>
      <c r="G8" s="2" t="inlineStr">
        <is>
          <t>images\182_03.jpg</t>
        </is>
      </c>
      <c r="H8" s="2" t="inlineStr">
        <is>
          <t>82d08ed974694a5ae83601a42a9ead30e75ba471fa67537a9b6996296a80ad73</t>
        </is>
      </c>
      <c r="I8" s="2" t="inlineStr">
        <is>
          <t>1050x1050</t>
        </is>
      </c>
      <c r="J8" s="2" t="n">
        <v>40</v>
      </c>
      <c r="K8" s="2" t="n">
        <v>30</v>
      </c>
      <c r="L8" s="2" t="n">
        <v>20</v>
      </c>
      <c r="M8" s="2" t="n">
        <v>10</v>
      </c>
      <c r="N8" s="2">
        <f>SUM(J8:M8)</f>
        <v/>
      </c>
      <c r="O8" s="2">
        <f>IF(N8&gt;=85,"PASS",IF(N8&gt;=70,"REVISE","FAIL"))</f>
        <v/>
      </c>
      <c r="P8" s="2" t="inlineStr">
        <is>
          <t>Direct visual review verified: Direct visual review verified.</t>
        </is>
      </c>
      <c r="Q8" s="2" t="inlineStr">
        <is>
          <t>Alt text verified: Machine washable bedding care panel for custom name baseball American flag bedding design 07</t>
        </is>
      </c>
    </row>
    <row r="9">
      <c r="A9" s="3" t="inlineStr">
        <is>
          <t>IMGQA-008</t>
        </is>
      </c>
      <c r="B9" s="3" t="inlineStr">
        <is>
          <t>jeminise.com+personalized-baseball-bedding-full-size-flag-custom-name-d-design-07</t>
        </is>
      </c>
      <c r="C9" s="2" t="inlineStr">
        <is>
          <t>personalized-baseball-bedding-full-size-flag-custom-name-d-design-07</t>
        </is>
      </c>
      <c r="D9" s="2" t="n">
        <v>4</v>
      </c>
      <c r="E9" s="2" t="inlineStr">
        <is>
          <t>47934356488391</t>
        </is>
      </c>
      <c r="F9" s="2" t="inlineStr">
        <is>
          <t>https://cdn.shopify.com/s/files/1/0792/5098/1063/files/d51e3360a3e4b984af63b01c4b53d517484ca3d6cb1beeea158bcf59acab9ed4_54a4893c-2527-4db4-962c-f6837c2c1fdf.jpg?v=1787242250</t>
        </is>
      </c>
      <c r="G9" s="2" t="inlineStr">
        <is>
          <t>images\182_04.jpg</t>
        </is>
      </c>
      <c r="H9" s="2" t="inlineStr">
        <is>
          <t>232246736d0e74d62007d0e6971a2e140edfd432e8573485134c1f85951d9cc3</t>
        </is>
      </c>
      <c r="I9" s="2" t="inlineStr">
        <is>
          <t>1080x1080</t>
        </is>
      </c>
      <c r="J9" s="2" t="n">
        <v>40</v>
      </c>
      <c r="K9" s="2" t="n">
        <v>30</v>
      </c>
      <c r="L9" s="2" t="n">
        <v>20</v>
      </c>
      <c r="M9" s="2" t="n">
        <v>10</v>
      </c>
      <c r="N9" s="2">
        <f>SUM(J9:M9)</f>
        <v/>
      </c>
      <c r="O9" s="2">
        <f>IF(N9&gt;=85,"PASS",IF(N9&gt;=70,"REVISE","FAIL"))</f>
        <v/>
      </c>
      <c r="P9" s="2" t="inlineStr">
        <is>
          <t>Direct visual review verified: Direct visual review verified.</t>
        </is>
      </c>
      <c r="Q9" s="2" t="inlineStr">
        <is>
          <t>Alt text verified: Bottom zippered closure panel for custom name baseball American flag bedding design 07</t>
        </is>
      </c>
    </row>
    <row r="10">
      <c r="A10" s="3" t="inlineStr">
        <is>
          <t>IMGQA-009</t>
        </is>
      </c>
      <c r="B10" s="3" t="inlineStr">
        <is>
          <t>jeminise.com+personalized-baseball-bedding-full-size-flag-custom-name-d-design-08</t>
        </is>
      </c>
      <c r="C10" s="2" t="inlineStr">
        <is>
          <t>personalized-baseball-bedding-full-size-flag-custom-name-d-design-08</t>
        </is>
      </c>
      <c r="D10" s="2" t="n">
        <v>1</v>
      </c>
      <c r="E10" s="2" t="inlineStr">
        <is>
          <t>47934357733575</t>
        </is>
      </c>
      <c r="F10" s="2" t="inlineStr">
        <is>
          <t>https://cdn.shopify.com/s/files/1/0792/5098/1063/files/d7ef02b64a3368ae8a6946c495c9fe3973509085263bc4e81d2b85c88e1e713b.jpg?v=1787242268</t>
        </is>
      </c>
      <c r="G10" s="2" t="inlineStr">
        <is>
          <t>images\183_01.jpg</t>
        </is>
      </c>
      <c r="H10" s="2" t="inlineStr">
        <is>
          <t>8b49835d64633f2d39403a5cffdbae489f24e8fc393dd85fccc26dc77e9d3eb7</t>
        </is>
      </c>
      <c r="I10" s="2" t="inlineStr">
        <is>
          <t>1199x1200</t>
        </is>
      </c>
      <c r="J10" s="2" t="n">
        <v>40</v>
      </c>
      <c r="K10" s="2" t="n">
        <v>30</v>
      </c>
      <c r="L10" s="2" t="n">
        <v>20</v>
      </c>
      <c r="M10" s="2" t="n">
        <v>10</v>
      </c>
      <c r="N10" s="2">
        <f>SUM(J10:M10)</f>
        <v/>
      </c>
      <c r="O10" s="2">
        <f>IF(N10&gt;=85,"PASS",IF(N10&gt;=70,"REVISE","FAIL"))</f>
        <v/>
      </c>
      <c r="P10" s="2" t="inlineStr">
        <is>
          <t>Direct visual review verified: Direct visual review verified.</t>
        </is>
      </c>
      <c r="Q10" s="2" t="inlineStr">
        <is>
          <t>Alt text verified: Custom baseball name number bedding</t>
        </is>
      </c>
    </row>
    <row r="11">
      <c r="A11" s="3" t="inlineStr">
        <is>
          <t>IMGQA-010</t>
        </is>
      </c>
      <c r="B11" s="3" t="inlineStr">
        <is>
          <t>jeminise.com+personalized-baseball-bedding-full-size-flag-custom-name-d-design-08</t>
        </is>
      </c>
      <c r="C11" s="2" t="inlineStr">
        <is>
          <t>personalized-baseball-bedding-full-size-flag-custom-name-d-design-08</t>
        </is>
      </c>
      <c r="D11" s="2" t="n">
        <v>2</v>
      </c>
      <c r="E11" s="2" t="inlineStr">
        <is>
          <t>47934357766343</t>
        </is>
      </c>
      <c r="F11" s="2" t="inlineStr">
        <is>
          <t>https://cdn.shopify.com/s/files/1/0792/5098/1063/files/ef81c56fe7d5f4f60045bfbd0778e14ad11ce2a6824c23132d2b864ef763fe85_908e933d-3668-4227-ab63-ea1cb072130c.jpg?v=1787242268</t>
        </is>
      </c>
      <c r="G11" s="2" t="inlineStr">
        <is>
          <t>images\183_02.jpg</t>
        </is>
      </c>
      <c r="H11" s="2" t="inlineStr">
        <is>
          <t>946d5b32e02ca70029866292d0775686ea770a101cd6d8bc2c108f506ab44bbe</t>
        </is>
      </c>
      <c r="I11" s="2" t="inlineStr">
        <is>
          <t>1056x763</t>
        </is>
      </c>
      <c r="J11" s="2" t="n">
        <v>40</v>
      </c>
      <c r="K11" s="2" t="n">
        <v>30</v>
      </c>
      <c r="L11" s="2" t="n">
        <v>20</v>
      </c>
      <c r="M11" s="2" t="n">
        <v>10</v>
      </c>
      <c r="N11" s="2">
        <f>SUM(J11:M11)</f>
        <v/>
      </c>
      <c r="O11" s="2">
        <f>IF(N11&gt;=85,"PASS",IF(N11&gt;=70,"REVISE","FAIL"))</f>
        <v/>
      </c>
      <c r="P11" s="2" t="inlineStr">
        <is>
          <t>Direct visual review verified: Direct visual review verified.</t>
        </is>
      </c>
      <c r="Q11" s="2" t="inlineStr">
        <is>
          <t>Alt text verified: High-density weaving feature panel for custom name baseball flag glove bedding design 08</t>
        </is>
      </c>
    </row>
    <row r="12">
      <c r="A12" s="3" t="inlineStr">
        <is>
          <t>IMGQA-011</t>
        </is>
      </c>
      <c r="B12" s="3" t="inlineStr">
        <is>
          <t>jeminise.com+personalized-baseball-bedding-full-size-flag-custom-name-d-design-08</t>
        </is>
      </c>
      <c r="C12" s="2" t="inlineStr">
        <is>
          <t>personalized-baseball-bedding-full-size-flag-custom-name-d-design-08</t>
        </is>
      </c>
      <c r="D12" s="2" t="n">
        <v>3</v>
      </c>
      <c r="E12" s="2" t="inlineStr">
        <is>
          <t>47934357799111</t>
        </is>
      </c>
      <c r="F12" s="2" t="inlineStr">
        <is>
          <t>https://cdn.shopify.com/s/files/1/0792/5098/1063/files/b495d9b37eafdceff5caf3643256f7b3a83de826d49a14bdc531b13424296018_3877c96d-b8a8-48d7-b692-7581e5a24201.jpg?v=1787242268</t>
        </is>
      </c>
      <c r="G12" s="2" t="inlineStr">
        <is>
          <t>images\183_03.jpg</t>
        </is>
      </c>
      <c r="H12" s="2" t="inlineStr">
        <is>
          <t>82d08ed974694a5ae83601a42a9ead30e75ba471fa67537a9b6996296a80ad73</t>
        </is>
      </c>
      <c r="I12" s="2" t="inlineStr">
        <is>
          <t>1050x1050</t>
        </is>
      </c>
      <c r="J12" s="2" t="n">
        <v>40</v>
      </c>
      <c r="K12" s="2" t="n">
        <v>30</v>
      </c>
      <c r="L12" s="2" t="n">
        <v>20</v>
      </c>
      <c r="M12" s="2" t="n">
        <v>10</v>
      </c>
      <c r="N12" s="2">
        <f>SUM(J12:M12)</f>
        <v/>
      </c>
      <c r="O12" s="2">
        <f>IF(N12&gt;=85,"PASS",IF(N12&gt;=70,"REVISE","FAIL"))</f>
        <v/>
      </c>
      <c r="P12" s="2" t="inlineStr">
        <is>
          <t>Direct visual review verified: Direct visual review verified.</t>
        </is>
      </c>
      <c r="Q12" s="2" t="inlineStr">
        <is>
          <t>Alt text verified: Machine washable bedding care panel for custom name baseball flag glove bedding design 08</t>
        </is>
      </c>
    </row>
    <row r="13">
      <c r="A13" s="3" t="inlineStr">
        <is>
          <t>IMGQA-012</t>
        </is>
      </c>
      <c r="B13" s="3" t="inlineStr">
        <is>
          <t>jeminise.com+personalized-baseball-bedding-full-size-flag-custom-name-d-design-08</t>
        </is>
      </c>
      <c r="C13" s="2" t="inlineStr">
        <is>
          <t>personalized-baseball-bedding-full-size-flag-custom-name-d-design-08</t>
        </is>
      </c>
      <c r="D13" s="2" t="n">
        <v>4</v>
      </c>
      <c r="E13" s="2" t="inlineStr">
        <is>
          <t>47934357831879</t>
        </is>
      </c>
      <c r="F13" s="2" t="inlineStr">
        <is>
          <t>https://cdn.shopify.com/s/files/1/0792/5098/1063/files/d51e3360a3e4b984af63b01c4b53d517484ca3d6cb1beeea158bcf59acab9ed4_c65b84ca-8f37-4622-8981-67541f312bd9.jpg?v=1787242268</t>
        </is>
      </c>
      <c r="G13" s="2" t="inlineStr">
        <is>
          <t>images\183_04.jpg</t>
        </is>
      </c>
      <c r="H13" s="2" t="inlineStr">
        <is>
          <t>232246736d0e74d62007d0e6971a2e140edfd432e8573485134c1f85951d9cc3</t>
        </is>
      </c>
      <c r="I13" s="2" t="inlineStr">
        <is>
          <t>1080x1080</t>
        </is>
      </c>
      <c r="J13" s="2" t="n">
        <v>40</v>
      </c>
      <c r="K13" s="2" t="n">
        <v>30</v>
      </c>
      <c r="L13" s="2" t="n">
        <v>20</v>
      </c>
      <c r="M13" s="2" t="n">
        <v>10</v>
      </c>
      <c r="N13" s="2">
        <f>SUM(J13:M13)</f>
        <v/>
      </c>
      <c r="O13" s="2">
        <f>IF(N13&gt;=85,"PASS",IF(N13&gt;=70,"REVISE","FAIL"))</f>
        <v/>
      </c>
      <c r="P13" s="2" t="inlineStr">
        <is>
          <t>Direct visual review verified: Direct visual review verified.</t>
        </is>
      </c>
      <c r="Q13" s="2" t="inlineStr">
        <is>
          <t>Alt text verified: Bottom zippered closure panel for custom name baseball flag glove bedding design 08</t>
        </is>
      </c>
    </row>
    <row r="14">
      <c r="A14" s="3" t="inlineStr">
        <is>
          <t>IMGQA-013</t>
        </is>
      </c>
      <c r="B14" s="3" t="inlineStr">
        <is>
          <t>jeminise.com+personalized-baseball-bedding-full-size-flag-custom-name-d-design-09</t>
        </is>
      </c>
      <c r="C14" s="2" t="inlineStr">
        <is>
          <t>personalized-baseball-bedding-full-size-flag-custom-name-d-design-09</t>
        </is>
      </c>
      <c r="D14" s="2" t="n">
        <v>1</v>
      </c>
      <c r="E14" s="2" t="inlineStr">
        <is>
          <t>47934357897415</t>
        </is>
      </c>
      <c r="F14" s="2" t="inlineStr">
        <is>
          <t>https://cdn.shopify.com/s/files/1/0792/5098/1063/files/ad1a0a46240535a46c26f855ffd00e82b017da0d977031a8d571f984de139fa4.jpg?v=1787242271</t>
        </is>
      </c>
      <c r="G14" s="2" t="inlineStr">
        <is>
          <t>images\184_01.jpg</t>
        </is>
      </c>
      <c r="H14" s="2" t="inlineStr">
        <is>
          <t>09f0e1cc5feedbb0b7d9d9d7f01d063aeb4431f1f4220f001dcf0679ca031ef6</t>
        </is>
      </c>
      <c r="I14" s="2" t="inlineStr">
        <is>
          <t>720x720</t>
        </is>
      </c>
      <c r="J14" s="2" t="n">
        <v>40</v>
      </c>
      <c r="K14" s="2" t="n">
        <v>30</v>
      </c>
      <c r="L14" s="2" t="n">
        <v>20</v>
      </c>
      <c r="M14" s="2" t="n">
        <v>10</v>
      </c>
      <c r="N14" s="2">
        <f>SUM(J14:M14)</f>
        <v/>
      </c>
      <c r="O14" s="2">
        <f>IF(N14&gt;=85,"PASS",IF(N14&gt;=70,"REVISE","FAIL"))</f>
        <v/>
      </c>
      <c r="P14" s="2" t="inlineStr">
        <is>
          <t>Direct visual review verified: Direct visual review verified.</t>
        </is>
      </c>
      <c r="Q14" s="2" t="inlineStr">
        <is>
          <t>Alt text verified: Custom close-up baseball glove bedding</t>
        </is>
      </c>
    </row>
    <row r="15">
      <c r="A15" s="3" t="inlineStr">
        <is>
          <t>IMGQA-014</t>
        </is>
      </c>
      <c r="B15" s="3" t="inlineStr">
        <is>
          <t>jeminise.com+personalized-baseball-bedding-full-size-flag-custom-name-d-design-09</t>
        </is>
      </c>
      <c r="C15" s="2" t="inlineStr">
        <is>
          <t>personalized-baseball-bedding-full-size-flag-custom-name-d-design-09</t>
        </is>
      </c>
      <c r="D15" s="2" t="n">
        <v>2</v>
      </c>
      <c r="E15" s="2" t="inlineStr">
        <is>
          <t>47934357930183</t>
        </is>
      </c>
      <c r="F15" s="2" t="inlineStr">
        <is>
          <t>https://cdn.shopify.com/s/files/1/0792/5098/1063/files/ef81c56fe7d5f4f60045bfbd0778e14ad11ce2a6824c23132d2b864ef763fe85_5257e9b3-6ae0-44c2-92a4-9ae5e258c276.jpg?v=1787242271</t>
        </is>
      </c>
      <c r="G15" s="2" t="inlineStr">
        <is>
          <t>images\184_02.jpg</t>
        </is>
      </c>
      <c r="H15" s="2" t="inlineStr">
        <is>
          <t>946d5b32e02ca70029866292d0775686ea770a101cd6d8bc2c108f506ab44bbe</t>
        </is>
      </c>
      <c r="I15" s="2" t="inlineStr">
        <is>
          <t>1056x763</t>
        </is>
      </c>
      <c r="J15" s="2" t="n">
        <v>40</v>
      </c>
      <c r="K15" s="2" t="n">
        <v>30</v>
      </c>
      <c r="L15" s="2" t="n">
        <v>20</v>
      </c>
      <c r="M15" s="2" t="n">
        <v>10</v>
      </c>
      <c r="N15" s="2">
        <f>SUM(J15:M15)</f>
        <v/>
      </c>
      <c r="O15" s="2">
        <f>IF(N15&gt;=85,"PASS",IF(N15&gt;=70,"REVISE","FAIL"))</f>
        <v/>
      </c>
      <c r="P15" s="2" t="inlineStr">
        <is>
          <t>Direct visual review verified: Direct visual review verified.</t>
        </is>
      </c>
      <c r="Q15" s="2" t="inlineStr">
        <is>
          <t>Alt text verified: High-density weaving feature panel for custom name close-up baseball glove bedding design 09</t>
        </is>
      </c>
    </row>
    <row r="16">
      <c r="A16" s="3" t="inlineStr">
        <is>
          <t>IMGQA-015</t>
        </is>
      </c>
      <c r="B16" s="3" t="inlineStr">
        <is>
          <t>jeminise.com+personalized-baseball-bedding-full-size-flag-custom-name-d-design-09</t>
        </is>
      </c>
      <c r="C16" s="2" t="inlineStr">
        <is>
          <t>personalized-baseball-bedding-full-size-flag-custom-name-d-design-09</t>
        </is>
      </c>
      <c r="D16" s="2" t="n">
        <v>3</v>
      </c>
      <c r="E16" s="2" t="inlineStr">
        <is>
          <t>47934357962951</t>
        </is>
      </c>
      <c r="F16" s="2" t="inlineStr">
        <is>
          <t>https://cdn.shopify.com/s/files/1/0792/5098/1063/files/b495d9b37eafdceff5caf3643256f7b3a83de826d49a14bdc531b13424296018_a9af7380-bde6-4035-ac19-c62306508770.jpg?v=1787242271</t>
        </is>
      </c>
      <c r="G16" s="2" t="inlineStr">
        <is>
          <t>images\184_03.jpg</t>
        </is>
      </c>
      <c r="H16" s="2" t="inlineStr">
        <is>
          <t>82d08ed974694a5ae83601a42a9ead30e75ba471fa67537a9b6996296a80ad73</t>
        </is>
      </c>
      <c r="I16" s="2" t="inlineStr">
        <is>
          <t>1050x1050</t>
        </is>
      </c>
      <c r="J16" s="2" t="n">
        <v>40</v>
      </c>
      <c r="K16" s="2" t="n">
        <v>30</v>
      </c>
      <c r="L16" s="2" t="n">
        <v>20</v>
      </c>
      <c r="M16" s="2" t="n">
        <v>10</v>
      </c>
      <c r="N16" s="2">
        <f>SUM(J16:M16)</f>
        <v/>
      </c>
      <c r="O16" s="2">
        <f>IF(N16&gt;=85,"PASS",IF(N16&gt;=70,"REVISE","FAIL"))</f>
        <v/>
      </c>
      <c r="P16" s="2" t="inlineStr">
        <is>
          <t>Direct visual review verified: Direct visual review verified.</t>
        </is>
      </c>
      <c r="Q16" s="2" t="inlineStr">
        <is>
          <t>Alt text verified: Machine washable bedding care panel for custom name close-up baseball glove bedding design 09</t>
        </is>
      </c>
    </row>
    <row r="17">
      <c r="A17" s="3" t="inlineStr">
        <is>
          <t>IMGQA-016</t>
        </is>
      </c>
      <c r="B17" s="3" t="inlineStr">
        <is>
          <t>jeminise.com+personalized-baseball-bedding-full-size-flag-custom-name-d-design-09</t>
        </is>
      </c>
      <c r="C17" s="2" t="inlineStr">
        <is>
          <t>personalized-baseball-bedding-full-size-flag-custom-name-d-design-09</t>
        </is>
      </c>
      <c r="D17" s="2" t="n">
        <v>4</v>
      </c>
      <c r="E17" s="2" t="inlineStr">
        <is>
          <t>47934357995719</t>
        </is>
      </c>
      <c r="F17" s="2" t="inlineStr">
        <is>
          <t>https://cdn.shopify.com/s/files/1/0792/5098/1063/files/d51e3360a3e4b984af63b01c4b53d517484ca3d6cb1beeea158bcf59acab9ed4_523261ef-06a8-4366-b19d-491b7d9fff42.jpg?v=1787242271</t>
        </is>
      </c>
      <c r="G17" s="2" t="inlineStr">
        <is>
          <t>images\184_04.jpg</t>
        </is>
      </c>
      <c r="H17" s="2" t="inlineStr">
        <is>
          <t>232246736d0e74d62007d0e6971a2e140edfd432e8573485134c1f85951d9cc3</t>
        </is>
      </c>
      <c r="I17" s="2" t="inlineStr">
        <is>
          <t>1080x1080</t>
        </is>
      </c>
      <c r="J17" s="2" t="n">
        <v>40</v>
      </c>
      <c r="K17" s="2" t="n">
        <v>30</v>
      </c>
      <c r="L17" s="2" t="n">
        <v>20</v>
      </c>
      <c r="M17" s="2" t="n">
        <v>10</v>
      </c>
      <c r="N17" s="2">
        <f>SUM(J17:M17)</f>
        <v/>
      </c>
      <c r="O17" s="2">
        <f>IF(N17&gt;=85,"PASS",IF(N17&gt;=70,"REVISE","FAIL"))</f>
        <v/>
      </c>
      <c r="P17" s="2" t="inlineStr">
        <is>
          <t>Direct visual review verified: Direct visual review verified.</t>
        </is>
      </c>
      <c r="Q17" s="2" t="inlineStr">
        <is>
          <t>Alt text verified: Bottom zippered closure panel for custom name close-up baseball glove bedding design 09</t>
        </is>
      </c>
    </row>
    <row r="18">
      <c r="A18" s="3" t="inlineStr">
        <is>
          <t>IMGQA-017</t>
        </is>
      </c>
      <c r="B18" s="3" t="inlineStr">
        <is>
          <t>jeminise.com+personalized-baseball-bedding-full-size-flag-custom-name-d-design-10</t>
        </is>
      </c>
      <c r="C18" s="2" t="inlineStr">
        <is>
          <t>personalized-baseball-bedding-full-size-flag-custom-name-d-design-10</t>
        </is>
      </c>
      <c r="D18" s="2" t="n">
        <v>1</v>
      </c>
      <c r="E18" s="2" t="inlineStr">
        <is>
          <t>47934358421703</t>
        </is>
      </c>
      <c r="F18" s="2" t="inlineStr">
        <is>
          <t>https://cdn.shopify.com/s/files/1/0792/5098/1063/files/a27913d40501b499872e0b61d72972490feb3fd1abfed5542443b010f312b255.jpg?v=1787242278</t>
        </is>
      </c>
      <c r="G18" s="2" t="inlineStr">
        <is>
          <t>images\185_01.jpg</t>
        </is>
      </c>
      <c r="H18" s="2" t="inlineStr">
        <is>
          <t>3cc45377ba82f161816529fed2e066520f182f2c5ba8fbfd3cb9e9c82b67dac9</t>
        </is>
      </c>
      <c r="I18" s="2" t="inlineStr">
        <is>
          <t>1199x1200</t>
        </is>
      </c>
      <c r="J18" s="2" t="n">
        <v>40</v>
      </c>
      <c r="K18" s="2" t="n">
        <v>30</v>
      </c>
      <c r="L18" s="2" t="n">
        <v>20</v>
      </c>
      <c r="M18" s="2" t="n">
        <v>10</v>
      </c>
      <c r="N18" s="2">
        <f>SUM(J18:M18)</f>
        <v/>
      </c>
      <c r="O18" s="2">
        <f>IF(N18&gt;=85,"PASS",IF(N18&gt;=70,"REVISE","FAIL"))</f>
        <v/>
      </c>
      <c r="P18" s="2" t="inlineStr">
        <is>
          <t>Direct visual review verified: Direct visual review verified.</t>
        </is>
      </c>
      <c r="Q18" s="2" t="inlineStr">
        <is>
          <t>Alt text verified: Custom gray baseball flag bedding</t>
        </is>
      </c>
    </row>
    <row r="19">
      <c r="A19" s="3" t="inlineStr">
        <is>
          <t>IMGQA-018</t>
        </is>
      </c>
      <c r="B19" s="3" t="inlineStr">
        <is>
          <t>jeminise.com+personalized-baseball-bedding-full-size-flag-custom-name-d-design-10</t>
        </is>
      </c>
      <c r="C19" s="2" t="inlineStr">
        <is>
          <t>personalized-baseball-bedding-full-size-flag-custom-name-d-design-10</t>
        </is>
      </c>
      <c r="D19" s="2" t="n">
        <v>2</v>
      </c>
      <c r="E19" s="2" t="inlineStr">
        <is>
          <t>47934358454471</t>
        </is>
      </c>
      <c r="F19" s="2" t="inlineStr">
        <is>
          <t>https://cdn.shopify.com/s/files/1/0792/5098/1063/files/ef81c56fe7d5f4f60045bfbd0778e14ad11ce2a6824c23132d2b864ef763fe85_a6b7e163-25bc-4bdd-93ae-419ec5ff318f.jpg?v=1787242278</t>
        </is>
      </c>
      <c r="G19" s="2" t="inlineStr">
        <is>
          <t>images\185_02.jpg</t>
        </is>
      </c>
      <c r="H19" s="2" t="inlineStr">
        <is>
          <t>946d5b32e02ca70029866292d0775686ea770a101cd6d8bc2c108f506ab44bbe</t>
        </is>
      </c>
      <c r="I19" s="2" t="inlineStr">
        <is>
          <t>1056x763</t>
        </is>
      </c>
      <c r="J19" s="2" t="n">
        <v>40</v>
      </c>
      <c r="K19" s="2" t="n">
        <v>30</v>
      </c>
      <c r="L19" s="2" t="n">
        <v>20</v>
      </c>
      <c r="M19" s="2" t="n">
        <v>10</v>
      </c>
      <c r="N19" s="2">
        <f>SUM(J19:M19)</f>
        <v/>
      </c>
      <c r="O19" s="2">
        <f>IF(N19&gt;=85,"PASS",IF(N19&gt;=70,"REVISE","FAIL"))</f>
        <v/>
      </c>
      <c r="P19" s="2" t="inlineStr">
        <is>
          <t>Direct visual review verified: Direct visual review verified.</t>
        </is>
      </c>
      <c r="Q19" s="2" t="inlineStr">
        <is>
          <t>Alt text verified: High-density weaving feature panel for custom name gray baseball American flag bedding design 10</t>
        </is>
      </c>
    </row>
    <row r="20">
      <c r="A20" s="3" t="inlineStr">
        <is>
          <t>IMGQA-019</t>
        </is>
      </c>
      <c r="B20" s="3" t="inlineStr">
        <is>
          <t>jeminise.com+personalized-baseball-bedding-full-size-flag-custom-name-d-design-10</t>
        </is>
      </c>
      <c r="C20" s="2" t="inlineStr">
        <is>
          <t>personalized-baseball-bedding-full-size-flag-custom-name-d-design-10</t>
        </is>
      </c>
      <c r="D20" s="2" t="n">
        <v>3</v>
      </c>
      <c r="E20" s="2" t="inlineStr">
        <is>
          <t>47934358487239</t>
        </is>
      </c>
      <c r="F20" s="2" t="inlineStr">
        <is>
          <t>https://cdn.shopify.com/s/files/1/0792/5098/1063/files/b495d9b37eafdceff5caf3643256f7b3a83de826d49a14bdc531b13424296018_fc64c3a9-5a16-49e8-87b6-c62c8bc5e8c1.jpg?v=1787242278</t>
        </is>
      </c>
      <c r="G20" s="2" t="inlineStr">
        <is>
          <t>images\185_03.jpg</t>
        </is>
      </c>
      <c r="H20" s="2" t="inlineStr">
        <is>
          <t>82d08ed974694a5ae83601a42a9ead30e75ba471fa67537a9b6996296a80ad73</t>
        </is>
      </c>
      <c r="I20" s="2" t="inlineStr">
        <is>
          <t>1050x1050</t>
        </is>
      </c>
      <c r="J20" s="2" t="n">
        <v>40</v>
      </c>
      <c r="K20" s="2" t="n">
        <v>30</v>
      </c>
      <c r="L20" s="2" t="n">
        <v>20</v>
      </c>
      <c r="M20" s="2" t="n">
        <v>10</v>
      </c>
      <c r="N20" s="2">
        <f>SUM(J20:M20)</f>
        <v/>
      </c>
      <c r="O20" s="2">
        <f>IF(N20&gt;=85,"PASS",IF(N20&gt;=70,"REVISE","FAIL"))</f>
        <v/>
      </c>
      <c r="P20" s="2" t="inlineStr">
        <is>
          <t>Direct visual review verified: Direct visual review verified.</t>
        </is>
      </c>
      <c r="Q20" s="2" t="inlineStr">
        <is>
          <t>Alt text verified: Machine washable bedding care panel for custom name gray baseball American flag bedding design 10</t>
        </is>
      </c>
    </row>
    <row r="21">
      <c r="A21" s="3" t="inlineStr">
        <is>
          <t>IMGQA-020</t>
        </is>
      </c>
      <c r="B21" s="3" t="inlineStr">
        <is>
          <t>jeminise.com+personalized-baseball-bedding-full-size-flag-custom-name-d-design-10</t>
        </is>
      </c>
      <c r="C21" s="2" t="inlineStr">
        <is>
          <t>personalized-baseball-bedding-full-size-flag-custom-name-d-design-10</t>
        </is>
      </c>
      <c r="D21" s="2" t="n">
        <v>4</v>
      </c>
      <c r="E21" s="2" t="inlineStr">
        <is>
          <t>47934358520007</t>
        </is>
      </c>
      <c r="F21" s="2" t="inlineStr">
        <is>
          <t>https://cdn.shopify.com/s/files/1/0792/5098/1063/files/d51e3360a3e4b984af63b01c4b53d517484ca3d6cb1beeea158bcf59acab9ed4_9ce1ba98-3a33-4391-8d41-14c8fc28382d.jpg?v=1787242278</t>
        </is>
      </c>
      <c r="G21" s="2" t="inlineStr">
        <is>
          <t>images\185_04.jpg</t>
        </is>
      </c>
      <c r="H21" s="2" t="inlineStr">
        <is>
          <t>232246736d0e74d62007d0e6971a2e140edfd432e8573485134c1f85951d9cc3</t>
        </is>
      </c>
      <c r="I21" s="2" t="inlineStr">
        <is>
          <t>1080x1080</t>
        </is>
      </c>
      <c r="J21" s="2" t="n">
        <v>40</v>
      </c>
      <c r="K21" s="2" t="n">
        <v>30</v>
      </c>
      <c r="L21" s="2" t="n">
        <v>20</v>
      </c>
      <c r="M21" s="2" t="n">
        <v>10</v>
      </c>
      <c r="N21" s="2">
        <f>SUM(J21:M21)</f>
        <v/>
      </c>
      <c r="O21" s="2">
        <f>IF(N21&gt;=85,"PASS",IF(N21&gt;=70,"REVISE","FAIL"))</f>
        <v/>
      </c>
      <c r="P21" s="2" t="inlineStr">
        <is>
          <t>Direct visual review verified: Direct visual review verified.</t>
        </is>
      </c>
      <c r="Q21" s="2" t="inlineStr">
        <is>
          <t>Alt text verified: Bottom zippered closure panel for custom name gray baseball American flag bedding design 10</t>
        </is>
      </c>
    </row>
    <row r="22">
      <c r="A22" s="3" t="inlineStr">
        <is>
          <t>IMGQA-021</t>
        </is>
      </c>
      <c r="B22" s="3" t="inlineStr">
        <is>
          <t>jeminise.com+personalized-baseball-bedding-full-size-flag-custom-name-d-design-11</t>
        </is>
      </c>
      <c r="C22" s="2" t="inlineStr">
        <is>
          <t>personalized-baseball-bedding-full-size-flag-custom-name-d-design-11</t>
        </is>
      </c>
      <c r="D22" s="2" t="n">
        <v>1</v>
      </c>
      <c r="E22" s="2" t="inlineStr">
        <is>
          <t>47934358782151</t>
        </is>
      </c>
      <c r="F22" s="2" t="inlineStr">
        <is>
          <t>https://cdn.shopify.com/s/files/1/0792/5098/1063/files/22091bb4460b1736aafe487d9cb3bf7932306548fd638c8bce4e656da29f9e32.jpg?v=1787242281</t>
        </is>
      </c>
      <c r="G22" s="2" t="inlineStr">
        <is>
          <t>images\186_01.jpg</t>
        </is>
      </c>
      <c r="H22" s="2" t="inlineStr">
        <is>
          <t>2632261513ae1ec8cfdb986fce14f6a0203a7c159902bf2fc94be4d5d58ec52c</t>
        </is>
      </c>
      <c r="I22" s="2" t="inlineStr">
        <is>
          <t>1199x1200</t>
        </is>
      </c>
      <c r="J22" s="2" t="n">
        <v>40</v>
      </c>
      <c r="K22" s="2" t="n">
        <v>30</v>
      </c>
      <c r="L22" s="2" t="n">
        <v>20</v>
      </c>
      <c r="M22" s="2" t="n">
        <v>10</v>
      </c>
      <c r="N22" s="2">
        <f>SUM(J22:M22)</f>
        <v/>
      </c>
      <c r="O22" s="2">
        <f>IF(N22&gt;=85,"PASS",IF(N22&gt;=70,"REVISE","FAIL"))</f>
        <v/>
      </c>
      <c r="P22" s="2" t="inlineStr">
        <is>
          <t>Direct visual review verified: Direct visual review verified.</t>
        </is>
      </c>
      <c r="Q22" s="2" t="inlineStr">
        <is>
          <t>Alt text verified: Custom baseball pattern name bedding</t>
        </is>
      </c>
    </row>
    <row r="23">
      <c r="A23" s="3" t="inlineStr">
        <is>
          <t>IMGQA-022</t>
        </is>
      </c>
      <c r="B23" s="3" t="inlineStr">
        <is>
          <t>jeminise.com+personalized-baseball-bedding-full-size-flag-custom-name-d-design-11</t>
        </is>
      </c>
      <c r="C23" s="2" t="inlineStr">
        <is>
          <t>personalized-baseball-bedding-full-size-flag-custom-name-d-design-11</t>
        </is>
      </c>
      <c r="D23" s="2" t="n">
        <v>2</v>
      </c>
      <c r="E23" s="2" t="inlineStr">
        <is>
          <t>47934358814919</t>
        </is>
      </c>
      <c r="F23" s="2" t="inlineStr">
        <is>
          <t>https://cdn.shopify.com/s/files/1/0792/5098/1063/files/b495d9b37eafdceff5caf3643256f7b3a83de826d49a14bdc531b13424296018_b40438a5-fa90-4e4b-89b5-a9f07974c78d.jpg?v=1787242281</t>
        </is>
      </c>
      <c r="G23" s="2" t="inlineStr">
        <is>
          <t>images\186_02.jpg</t>
        </is>
      </c>
      <c r="H23" s="2" t="inlineStr">
        <is>
          <t>82d08ed974694a5ae83601a42a9ead30e75ba471fa67537a9b6996296a80ad73</t>
        </is>
      </c>
      <c r="I23" s="2" t="inlineStr">
        <is>
          <t>1050x1050</t>
        </is>
      </c>
      <c r="J23" s="2" t="n">
        <v>40</v>
      </c>
      <c r="K23" s="2" t="n">
        <v>30</v>
      </c>
      <c r="L23" s="2" t="n">
        <v>20</v>
      </c>
      <c r="M23" s="2" t="n">
        <v>10</v>
      </c>
      <c r="N23" s="2">
        <f>SUM(J23:M23)</f>
        <v/>
      </c>
      <c r="O23" s="2">
        <f>IF(N23&gt;=85,"PASS",IF(N23&gt;=70,"REVISE","FAIL"))</f>
        <v/>
      </c>
      <c r="P23" s="2" t="inlineStr">
        <is>
          <t>Direct visual review verified: Direct visual review verified.</t>
        </is>
      </c>
      <c r="Q23" s="2" t="inlineStr">
        <is>
          <t>Alt text verified: Machine washable bedding care panel for custom name baseball pattern red blue bedding design 11</t>
        </is>
      </c>
    </row>
    <row r="24">
      <c r="A24" s="3" t="inlineStr">
        <is>
          <t>IMGQA-023</t>
        </is>
      </c>
      <c r="B24" s="3" t="inlineStr">
        <is>
          <t>jeminise.com+personalized-baseball-bedding-full-size-flag-custom-name-d-design-11</t>
        </is>
      </c>
      <c r="C24" s="2" t="inlineStr">
        <is>
          <t>personalized-baseball-bedding-full-size-flag-custom-name-d-design-11</t>
        </is>
      </c>
      <c r="D24" s="2" t="n">
        <v>3</v>
      </c>
      <c r="E24" s="2" t="inlineStr">
        <is>
          <t>47934358847687</t>
        </is>
      </c>
      <c r="F24" s="2" t="inlineStr">
        <is>
          <t>https://cdn.shopify.com/s/files/1/0792/5098/1063/files/d51e3360a3e4b984af63b01c4b53d517484ca3d6cb1beeea158bcf59acab9ed4_cf393115-0105-4a38-adfb-49228eb39c22.jpg?v=1787242281</t>
        </is>
      </c>
      <c r="G24" s="2" t="inlineStr">
        <is>
          <t>images\186_03.jpg</t>
        </is>
      </c>
      <c r="H24" s="2" t="inlineStr">
        <is>
          <t>232246736d0e74d62007d0e6971a2e140edfd432e8573485134c1f85951d9cc3</t>
        </is>
      </c>
      <c r="I24" s="2" t="inlineStr">
        <is>
          <t>1080x1080</t>
        </is>
      </c>
      <c r="J24" s="2" t="n">
        <v>40</v>
      </c>
      <c r="K24" s="2" t="n">
        <v>30</v>
      </c>
      <c r="L24" s="2" t="n">
        <v>20</v>
      </c>
      <c r="M24" s="2" t="n">
        <v>10</v>
      </c>
      <c r="N24" s="2">
        <f>SUM(J24:M24)</f>
        <v/>
      </c>
      <c r="O24" s="2">
        <f>IF(N24&gt;=85,"PASS",IF(N24&gt;=70,"REVISE","FAIL"))</f>
        <v/>
      </c>
      <c r="P24" s="2" t="inlineStr">
        <is>
          <t>Direct visual review verified: Direct visual review verified.</t>
        </is>
      </c>
      <c r="Q24" s="2" t="inlineStr">
        <is>
          <t>Alt text verified: Bottom zippered closure panel for custom name baseball pattern red blue bedding design 11</t>
        </is>
      </c>
    </row>
    <row r="25">
      <c r="A25" s="3" t="inlineStr">
        <is>
          <t>IMGQA-024</t>
        </is>
      </c>
      <c r="B25" s="3" t="inlineStr">
        <is>
          <t>jeminise.com+personalized-baseball-bedding-full-size-flag-custom-name-d-design-11</t>
        </is>
      </c>
      <c r="C25" s="2" t="inlineStr">
        <is>
          <t>personalized-baseball-bedding-full-size-flag-custom-name-d-design-11</t>
        </is>
      </c>
      <c r="D25" s="2" t="n">
        <v>4</v>
      </c>
      <c r="E25" s="2" t="inlineStr">
        <is>
          <t>47934358880455</t>
        </is>
      </c>
      <c r="F25" s="2" t="inlineStr">
        <is>
          <t>https://cdn.shopify.com/s/files/1/0792/5098/1063/files/ef81c56fe7d5f4f60045bfbd0778e14ad11ce2a6824c23132d2b864ef763fe85_3e5ce2b0-74e9-4528-a9b3-58484c711e32.jpg?v=1787242281</t>
        </is>
      </c>
      <c r="G25" s="2" t="inlineStr">
        <is>
          <t>images\186_04.jpg</t>
        </is>
      </c>
      <c r="H25" s="2" t="inlineStr">
        <is>
          <t>946d5b32e02ca70029866292d0775686ea770a101cd6d8bc2c108f506ab44bbe</t>
        </is>
      </c>
      <c r="I25" s="2" t="inlineStr">
        <is>
          <t>1056x763</t>
        </is>
      </c>
      <c r="J25" s="2" t="n">
        <v>40</v>
      </c>
      <c r="K25" s="2" t="n">
        <v>30</v>
      </c>
      <c r="L25" s="2" t="n">
        <v>20</v>
      </c>
      <c r="M25" s="2" t="n">
        <v>10</v>
      </c>
      <c r="N25" s="2">
        <f>SUM(J25:M25)</f>
        <v/>
      </c>
      <c r="O25" s="2">
        <f>IF(N25&gt;=85,"PASS",IF(N25&gt;=70,"REVISE","FAIL"))</f>
        <v/>
      </c>
      <c r="P25" s="2" t="inlineStr">
        <is>
          <t>Direct visual review verified: Direct visual review verified.</t>
        </is>
      </c>
      <c r="Q25" s="2" t="inlineStr">
        <is>
          <t>Alt text verified: High-density weaving feature panel for custom name baseball pattern red blue bedding design 11</t>
        </is>
      </c>
    </row>
    <row r="26">
      <c r="A26" s="3" t="inlineStr">
        <is>
          <t>IMGQA-025</t>
        </is>
      </c>
      <c r="B26" s="3" t="inlineStr">
        <is>
          <t>jeminise.com+personalized-baseball-bedding-full-size-flag-custom-name-d-design-12</t>
        </is>
      </c>
      <c r="C26" s="2" t="inlineStr">
        <is>
          <t>personalized-baseball-bedding-full-size-flag-custom-name-d-design-12</t>
        </is>
      </c>
      <c r="D26" s="2" t="n">
        <v>1</v>
      </c>
      <c r="E26" s="2" t="inlineStr">
        <is>
          <t>47934359404743</t>
        </is>
      </c>
      <c r="F26" s="2" t="inlineStr">
        <is>
          <t>https://cdn.shopify.com/s/files/1/0792/5098/1063/files/a3a7588224cb02e1a3e3cdfb3d985059123d82c8235978721aed604186892c96.jpg?v=1787242289</t>
        </is>
      </c>
      <c r="G26" s="2" t="inlineStr">
        <is>
          <t>images\187_01.jpg</t>
        </is>
      </c>
      <c r="H26" s="2" t="inlineStr">
        <is>
          <t>1f4cbbd0b5718fe3232c053285c1739084b43c7a76f168163d37d67ebaa5702d</t>
        </is>
      </c>
      <c r="I26" s="2" t="inlineStr">
        <is>
          <t>1199x1200</t>
        </is>
      </c>
      <c r="J26" s="2" t="n">
        <v>40</v>
      </c>
      <c r="K26" s="2" t="n">
        <v>30</v>
      </c>
      <c r="L26" s="2" t="n">
        <v>20</v>
      </c>
      <c r="M26" s="2" t="n">
        <v>10</v>
      </c>
      <c r="N26" s="2">
        <f>SUM(J26:M26)</f>
        <v/>
      </c>
      <c r="O26" s="2">
        <f>IF(N26&gt;=85,"PASS",IF(N26&gt;=70,"REVISE","FAIL"))</f>
        <v/>
      </c>
      <c r="P26" s="2" t="inlineStr">
        <is>
          <t>Direct visual review verified: Direct visual review verified.</t>
        </is>
      </c>
      <c r="Q26" s="2" t="inlineStr">
        <is>
          <t>Alt text verified: Custom pitcher baseball bedding</t>
        </is>
      </c>
    </row>
    <row r="27">
      <c r="A27" s="3" t="inlineStr">
        <is>
          <t>IMGQA-026</t>
        </is>
      </c>
      <c r="B27" s="3" t="inlineStr">
        <is>
          <t>jeminise.com+personalized-baseball-bedding-full-size-flag-custom-name-d-design-12</t>
        </is>
      </c>
      <c r="C27" s="2" t="inlineStr">
        <is>
          <t>personalized-baseball-bedding-full-size-flag-custom-name-d-design-12</t>
        </is>
      </c>
      <c r="D27" s="2" t="n">
        <v>2</v>
      </c>
      <c r="E27" s="2" t="inlineStr">
        <is>
          <t>47934359437511</t>
        </is>
      </c>
      <c r="F27" s="2" t="inlineStr">
        <is>
          <t>https://cdn.shopify.com/s/files/1/0792/5098/1063/files/ef81c56fe7d5f4f60045bfbd0778e14ad11ce2a6824c23132d2b864ef763fe85_335356bf-1642-4331-a801-0745727799cd.jpg?v=1787242289</t>
        </is>
      </c>
      <c r="G27" s="2" t="inlineStr">
        <is>
          <t>images\187_02.jpg</t>
        </is>
      </c>
      <c r="H27" s="2" t="inlineStr">
        <is>
          <t>946d5b32e02ca70029866292d0775686ea770a101cd6d8bc2c108f506ab44bbe</t>
        </is>
      </c>
      <c r="I27" s="2" t="inlineStr">
        <is>
          <t>1056x763</t>
        </is>
      </c>
      <c r="J27" s="2" t="n">
        <v>40</v>
      </c>
      <c r="K27" s="2" t="n">
        <v>30</v>
      </c>
      <c r="L27" s="2" t="n">
        <v>20</v>
      </c>
      <c r="M27" s="2" t="n">
        <v>10</v>
      </c>
      <c r="N27" s="2">
        <f>SUM(J27:M27)</f>
        <v/>
      </c>
      <c r="O27" s="2">
        <f>IF(N27&gt;=85,"PASS",IF(N27&gt;=70,"REVISE","FAIL"))</f>
        <v/>
      </c>
      <c r="P27" s="2" t="inlineStr">
        <is>
          <t>Direct visual review verified: Direct visual review verified.</t>
        </is>
      </c>
      <c r="Q27" s="2" t="inlineStr">
        <is>
          <t>Alt text verified: High-density weaving feature panel for custom name pitcher silhouette baseball bedding design 12</t>
        </is>
      </c>
    </row>
    <row r="28">
      <c r="A28" s="3" t="inlineStr">
        <is>
          <t>IMGQA-027</t>
        </is>
      </c>
      <c r="B28" s="3" t="inlineStr">
        <is>
          <t>jeminise.com+personalized-baseball-bedding-full-size-flag-custom-name-d-design-12</t>
        </is>
      </c>
      <c r="C28" s="2" t="inlineStr">
        <is>
          <t>personalized-baseball-bedding-full-size-flag-custom-name-d-design-12</t>
        </is>
      </c>
      <c r="D28" s="2" t="n">
        <v>3</v>
      </c>
      <c r="E28" s="2" t="inlineStr">
        <is>
          <t>47934359470279</t>
        </is>
      </c>
      <c r="F28" s="2" t="inlineStr">
        <is>
          <t>https://cdn.shopify.com/s/files/1/0792/5098/1063/files/b495d9b37eafdceff5caf3643256f7b3a83de826d49a14bdc531b13424296018_c5730b89-f700-4d4d-91a6-81c7a9b068df.jpg?v=1787242289</t>
        </is>
      </c>
      <c r="G28" s="2" t="inlineStr">
        <is>
          <t>images\187_03.jpg</t>
        </is>
      </c>
      <c r="H28" s="2" t="inlineStr">
        <is>
          <t>82d08ed974694a5ae83601a42a9ead30e75ba471fa67537a9b6996296a80ad73</t>
        </is>
      </c>
      <c r="I28" s="2" t="inlineStr">
        <is>
          <t>1050x1050</t>
        </is>
      </c>
      <c r="J28" s="2" t="n">
        <v>40</v>
      </c>
      <c r="K28" s="2" t="n">
        <v>30</v>
      </c>
      <c r="L28" s="2" t="n">
        <v>20</v>
      </c>
      <c r="M28" s="2" t="n">
        <v>10</v>
      </c>
      <c r="N28" s="2">
        <f>SUM(J28:M28)</f>
        <v/>
      </c>
      <c r="O28" s="2">
        <f>IF(N28&gt;=85,"PASS",IF(N28&gt;=70,"REVISE","FAIL"))</f>
        <v/>
      </c>
      <c r="P28" s="2" t="inlineStr">
        <is>
          <t>Direct visual review verified: Direct visual review verified.</t>
        </is>
      </c>
      <c r="Q28" s="2" t="inlineStr">
        <is>
          <t>Alt text verified: Machine washable bedding care panel for custom name pitcher silhouette baseball bedding design 12</t>
        </is>
      </c>
    </row>
    <row r="29">
      <c r="A29" s="3" t="inlineStr">
        <is>
          <t>IMGQA-028</t>
        </is>
      </c>
      <c r="B29" s="3" t="inlineStr">
        <is>
          <t>jeminise.com+personalized-baseball-bedding-full-size-flag-custom-name-d-design-12</t>
        </is>
      </c>
      <c r="C29" s="2" t="inlineStr">
        <is>
          <t>personalized-baseball-bedding-full-size-flag-custom-name-d-design-12</t>
        </is>
      </c>
      <c r="D29" s="2" t="n">
        <v>4</v>
      </c>
      <c r="E29" s="2" t="inlineStr">
        <is>
          <t>47934359503047</t>
        </is>
      </c>
      <c r="F29" s="2" t="inlineStr">
        <is>
          <t>https://cdn.shopify.com/s/files/1/0792/5098/1063/files/d51e3360a3e4b984af63b01c4b53d517484ca3d6cb1beeea158bcf59acab9ed4_ee048bf7-2c61-43af-b6a9-476fa326ea53.jpg?v=1787242289</t>
        </is>
      </c>
      <c r="G29" s="2" t="inlineStr">
        <is>
          <t>images\187_04.jpg</t>
        </is>
      </c>
      <c r="H29" s="2" t="inlineStr">
        <is>
          <t>232246736d0e74d62007d0e6971a2e140edfd432e8573485134c1f85951d9cc3</t>
        </is>
      </c>
      <c r="I29" s="2" t="inlineStr">
        <is>
          <t>1080x1080</t>
        </is>
      </c>
      <c r="J29" s="2" t="n">
        <v>40</v>
      </c>
      <c r="K29" s="2" t="n">
        <v>30</v>
      </c>
      <c r="L29" s="2" t="n">
        <v>20</v>
      </c>
      <c r="M29" s="2" t="n">
        <v>10</v>
      </c>
      <c r="N29" s="2">
        <f>SUM(J29:M29)</f>
        <v/>
      </c>
      <c r="O29" s="2">
        <f>IF(N29&gt;=85,"PASS",IF(N29&gt;=70,"REVISE","FAIL"))</f>
        <v/>
      </c>
      <c r="P29" s="2" t="inlineStr">
        <is>
          <t>Direct visual review verified: Direct visual review verified.</t>
        </is>
      </c>
      <c r="Q29" s="2" t="inlineStr">
        <is>
          <t>Alt text verified: Bottom zippered closure panel for custom name pitcher silhouette baseball bedding design 12</t>
        </is>
      </c>
    </row>
    <row r="30">
      <c r="A30" s="3" t="inlineStr">
        <is>
          <t>IMGQA-029</t>
        </is>
      </c>
      <c r="B30" s="3" t="inlineStr">
        <is>
          <t>jeminise.com+personalized-baseball-bedding-full-size-flag-custom-name-d-design-13</t>
        </is>
      </c>
      <c r="C30" s="2" t="inlineStr">
        <is>
          <t>personalized-baseball-bedding-full-size-flag-custom-name-d-design-13</t>
        </is>
      </c>
      <c r="D30" s="2" t="n">
        <v>1</v>
      </c>
      <c r="E30" s="2" t="inlineStr">
        <is>
          <t>47934359109831</t>
        </is>
      </c>
      <c r="F30" s="2" t="inlineStr">
        <is>
          <t>https://cdn.shopify.com/s/files/1/0792/5098/1063/files/b1a55687ac710fef17a03349d7df05659c4a75b04c898c8a647cf0f9b2bdfac4.jpg?v=1787242287</t>
        </is>
      </c>
      <c r="G30" s="2" t="inlineStr">
        <is>
          <t>images\188_01.jpg</t>
        </is>
      </c>
      <c r="H30" s="2" t="inlineStr">
        <is>
          <t>5789c90a8c74b82634b42e875c02f665d699cda892c69abd75928596e7e1e1ec</t>
        </is>
      </c>
      <c r="I30" s="2" t="inlineStr">
        <is>
          <t>1199x1200</t>
        </is>
      </c>
      <c r="J30" s="2" t="n">
        <v>40</v>
      </c>
      <c r="K30" s="2" t="n">
        <v>30</v>
      </c>
      <c r="L30" s="2" t="n">
        <v>20</v>
      </c>
      <c r="M30" s="2" t="n">
        <v>10</v>
      </c>
      <c r="N30" s="2">
        <f>SUM(J30:M30)</f>
        <v/>
      </c>
      <c r="O30" s="2">
        <f>IF(N30&gt;=85,"PASS",IF(N30&gt;=70,"REVISE","FAIL"))</f>
        <v/>
      </c>
      <c r="P30" s="2" t="inlineStr">
        <is>
          <t>Direct visual review verified: Direct visual review verified.</t>
        </is>
      </c>
      <c r="Q30" s="2" t="inlineStr">
        <is>
          <t>Alt text verified: Custom black baseball glove bedding</t>
        </is>
      </c>
    </row>
    <row r="31">
      <c r="A31" s="3" t="inlineStr">
        <is>
          <t>IMGQA-030</t>
        </is>
      </c>
      <c r="B31" s="3" t="inlineStr">
        <is>
          <t>jeminise.com+personalized-baseball-bedding-full-size-flag-custom-name-d-design-13</t>
        </is>
      </c>
      <c r="C31" s="2" t="inlineStr">
        <is>
          <t>personalized-baseball-bedding-full-size-flag-custom-name-d-design-13</t>
        </is>
      </c>
      <c r="D31" s="2" t="n">
        <v>2</v>
      </c>
      <c r="E31" s="2" t="inlineStr">
        <is>
          <t>47934359142599</t>
        </is>
      </c>
      <c r="F31" s="2" t="inlineStr">
        <is>
          <t>https://cdn.shopify.com/s/files/1/0792/5098/1063/files/d51e3360a3e4b984af63b01c4b53d517484ca3d6cb1beeea158bcf59acab9ed4_4ea5343c-eff5-4c23-a04a-942fc711a784.jpg?v=1787242287</t>
        </is>
      </c>
      <c r="G31" s="2" t="inlineStr">
        <is>
          <t>images\188_02.jpg</t>
        </is>
      </c>
      <c r="H31" s="2" t="inlineStr">
        <is>
          <t>232246736d0e74d62007d0e6971a2e140edfd432e8573485134c1f85951d9cc3</t>
        </is>
      </c>
      <c r="I31" s="2" t="inlineStr">
        <is>
          <t>1080x1080</t>
        </is>
      </c>
      <c r="J31" s="2" t="n">
        <v>40</v>
      </c>
      <c r="K31" s="2" t="n">
        <v>30</v>
      </c>
      <c r="L31" s="2" t="n">
        <v>20</v>
      </c>
      <c r="M31" s="2" t="n">
        <v>10</v>
      </c>
      <c r="N31" s="2">
        <f>SUM(J31:M31)</f>
        <v/>
      </c>
      <c r="O31" s="2">
        <f>IF(N31&gt;=85,"PASS",IF(N31&gt;=70,"REVISE","FAIL"))</f>
        <v/>
      </c>
      <c r="P31" s="2" t="inlineStr">
        <is>
          <t>Direct visual review verified: Direct visual review verified.</t>
        </is>
      </c>
      <c r="Q31" s="2" t="inlineStr">
        <is>
          <t>Alt text verified: Bottom zippered closure panel for custom name black baseball glove bedding design 13</t>
        </is>
      </c>
    </row>
    <row r="32">
      <c r="A32" s="3" t="inlineStr">
        <is>
          <t>IMGQA-031</t>
        </is>
      </c>
      <c r="B32" s="3" t="inlineStr">
        <is>
          <t>jeminise.com+personalized-baseball-bedding-full-size-flag-custom-name-d-design-13</t>
        </is>
      </c>
      <c r="C32" s="2" t="inlineStr">
        <is>
          <t>personalized-baseball-bedding-full-size-flag-custom-name-d-design-13</t>
        </is>
      </c>
      <c r="D32" s="2" t="n">
        <v>3</v>
      </c>
      <c r="E32" s="2" t="inlineStr">
        <is>
          <t>47934359175367</t>
        </is>
      </c>
      <c r="F32" s="2" t="inlineStr">
        <is>
          <t>https://cdn.shopify.com/s/files/1/0792/5098/1063/files/ef81c56fe7d5f4f60045bfbd0778e14ad11ce2a6824c23132d2b864ef763fe85_ba8cd586-2f34-470e-b46c-8742f4cb3596.jpg?v=1787242287</t>
        </is>
      </c>
      <c r="G32" s="2" t="inlineStr">
        <is>
          <t>images\188_03.jpg</t>
        </is>
      </c>
      <c r="H32" s="2" t="inlineStr">
        <is>
          <t>946d5b32e02ca70029866292d0775686ea770a101cd6d8bc2c108f506ab44bbe</t>
        </is>
      </c>
      <c r="I32" s="2" t="inlineStr">
        <is>
          <t>1056x763</t>
        </is>
      </c>
      <c r="J32" s="2" t="n">
        <v>40</v>
      </c>
      <c r="K32" s="2" t="n">
        <v>30</v>
      </c>
      <c r="L32" s="2" t="n">
        <v>20</v>
      </c>
      <c r="M32" s="2" t="n">
        <v>10</v>
      </c>
      <c r="N32" s="2">
        <f>SUM(J32:M32)</f>
        <v/>
      </c>
      <c r="O32" s="2">
        <f>IF(N32&gt;=85,"PASS",IF(N32&gt;=70,"REVISE","FAIL"))</f>
        <v/>
      </c>
      <c r="P32" s="2" t="inlineStr">
        <is>
          <t>Direct visual review verified: Direct visual review verified.</t>
        </is>
      </c>
      <c r="Q32" s="2" t="inlineStr">
        <is>
          <t>Alt text verified: High-density weaving feature panel for custom name black baseball glove bedding design 13</t>
        </is>
      </c>
    </row>
    <row r="33">
      <c r="A33" s="3" t="inlineStr">
        <is>
          <t>IMGQA-032</t>
        </is>
      </c>
      <c r="B33" s="3" t="inlineStr">
        <is>
          <t>jeminise.com+personalized-baseball-bedding-full-size-flag-custom-name-d-design-13</t>
        </is>
      </c>
      <c r="C33" s="2" t="inlineStr">
        <is>
          <t>personalized-baseball-bedding-full-size-flag-custom-name-d-design-13</t>
        </is>
      </c>
      <c r="D33" s="2" t="n">
        <v>4</v>
      </c>
      <c r="E33" s="2" t="inlineStr">
        <is>
          <t>47934359208135</t>
        </is>
      </c>
      <c r="F33" s="2" t="inlineStr">
        <is>
          <t>https://cdn.shopify.com/s/files/1/0792/5098/1063/files/b495d9b37eafdceff5caf3643256f7b3a83de826d49a14bdc531b13424296018_4a8dc283-a4f0-4723-82e1-5909c9adbcec.jpg?v=1787242287</t>
        </is>
      </c>
      <c r="G33" s="2" t="inlineStr">
        <is>
          <t>images\188_04.jpg</t>
        </is>
      </c>
      <c r="H33" s="2" t="inlineStr">
        <is>
          <t>82d08ed974694a5ae83601a42a9ead30e75ba471fa67537a9b6996296a80ad73</t>
        </is>
      </c>
      <c r="I33" s="2" t="inlineStr">
        <is>
          <t>1050x1050</t>
        </is>
      </c>
      <c r="J33" s="2" t="n">
        <v>40</v>
      </c>
      <c r="K33" s="2" t="n">
        <v>30</v>
      </c>
      <c r="L33" s="2" t="n">
        <v>20</v>
      </c>
      <c r="M33" s="2" t="n">
        <v>10</v>
      </c>
      <c r="N33" s="2">
        <f>SUM(J33:M33)</f>
        <v/>
      </c>
      <c r="O33" s="2">
        <f>IF(N33&gt;=85,"PASS",IF(N33&gt;=70,"REVISE","FAIL"))</f>
        <v/>
      </c>
      <c r="P33" s="2" t="inlineStr">
        <is>
          <t>Direct visual review verified: Direct visual review verified.</t>
        </is>
      </c>
      <c r="Q33" s="2" t="inlineStr">
        <is>
          <t>Alt text verified: Machine washable bedding care panel for custom name black baseball glove bedding design 13</t>
        </is>
      </c>
    </row>
    <row r="34">
      <c r="A34" s="3" t="inlineStr">
        <is>
          <t>IMGQA-033</t>
        </is>
      </c>
      <c r="B34" s="3" t="inlineStr">
        <is>
          <t>jeminise.com+personalized-baseball-bedding-full-size-flag-custom-name-d-design-14</t>
        </is>
      </c>
      <c r="C34" s="2" t="inlineStr">
        <is>
          <t>personalized-baseball-bedding-full-size-flag-custom-name-d-design-14</t>
        </is>
      </c>
      <c r="D34" s="2" t="n">
        <v>1</v>
      </c>
      <c r="E34" s="2" t="inlineStr">
        <is>
          <t>47934359929031</t>
        </is>
      </c>
      <c r="F34" s="2" t="inlineStr">
        <is>
          <t>https://cdn.shopify.com/s/files/1/0792/5098/1063/files/ee03510fe9336bb706be4887685f8efc23f52558e7f8c421b81f75897fd38d63.jpg?v=1787242298</t>
        </is>
      </c>
      <c r="G34" s="2" t="inlineStr">
        <is>
          <t>images\189_01.jpg</t>
        </is>
      </c>
      <c r="H34" s="2" t="inlineStr">
        <is>
          <t>ce66870908cb01e667eb49e410dcf427502a52c945ebd188936b12290fb04578</t>
        </is>
      </c>
      <c r="I34" s="2" t="inlineStr">
        <is>
          <t>1199x1200</t>
        </is>
      </c>
      <c r="J34" s="2" t="n">
        <v>40</v>
      </c>
      <c r="K34" s="2" t="n">
        <v>30</v>
      </c>
      <c r="L34" s="2" t="n">
        <v>20</v>
      </c>
      <c r="M34" s="2" t="n">
        <v>10</v>
      </c>
      <c r="N34" s="2">
        <f>SUM(J34:M34)</f>
        <v/>
      </c>
      <c r="O34" s="2">
        <f>IF(N34&gt;=85,"PASS",IF(N34&gt;=70,"REVISE","FAIL"))</f>
        <v/>
      </c>
      <c r="P34" s="2" t="inlineStr">
        <is>
          <t>Direct visual review verified: Direct visual review verified.</t>
        </is>
      </c>
      <c r="Q34" s="2" t="inlineStr">
        <is>
          <t>Alt text verified: Custom blue stripe baseball bedding</t>
        </is>
      </c>
    </row>
    <row r="35">
      <c r="A35" s="3" t="inlineStr">
        <is>
          <t>IMGQA-034</t>
        </is>
      </c>
      <c r="B35" s="3" t="inlineStr">
        <is>
          <t>jeminise.com+personalized-baseball-bedding-full-size-flag-custom-name-d-design-14</t>
        </is>
      </c>
      <c r="C35" s="2" t="inlineStr">
        <is>
          <t>personalized-baseball-bedding-full-size-flag-custom-name-d-design-14</t>
        </is>
      </c>
      <c r="D35" s="2" t="n">
        <v>2</v>
      </c>
      <c r="E35" s="2" t="inlineStr">
        <is>
          <t>47934359961799</t>
        </is>
      </c>
      <c r="F35" s="2" t="inlineStr">
        <is>
          <t>https://cdn.shopify.com/s/files/1/0792/5098/1063/files/b495d9b37eafdceff5caf3643256f7b3a83de826d49a14bdc531b13424296018_578eb1ab-2971-4795-8ffe-02e170b2d3fd.jpg?v=1787242298</t>
        </is>
      </c>
      <c r="G35" s="2" t="inlineStr">
        <is>
          <t>images\189_02.jpg</t>
        </is>
      </c>
      <c r="H35" s="2" t="inlineStr">
        <is>
          <t>82d08ed974694a5ae83601a42a9ead30e75ba471fa67537a9b6996296a80ad73</t>
        </is>
      </c>
      <c r="I35" s="2" t="inlineStr">
        <is>
          <t>1050x1050</t>
        </is>
      </c>
      <c r="J35" s="2" t="n">
        <v>40</v>
      </c>
      <c r="K35" s="2" t="n">
        <v>30</v>
      </c>
      <c r="L35" s="2" t="n">
        <v>20</v>
      </c>
      <c r="M35" s="2" t="n">
        <v>10</v>
      </c>
      <c r="N35" s="2">
        <f>SUM(J35:M35)</f>
        <v/>
      </c>
      <c r="O35" s="2">
        <f>IF(N35&gt;=85,"PASS",IF(N35&gt;=70,"REVISE","FAIL"))</f>
        <v/>
      </c>
      <c r="P35" s="2" t="inlineStr">
        <is>
          <t>Direct visual review verified: Direct visual review verified.</t>
        </is>
      </c>
      <c r="Q35" s="2" t="inlineStr">
        <is>
          <t>Alt text verified: Machine washable bedding care panel for custom name blue striped baseball bedding design 14</t>
        </is>
      </c>
    </row>
    <row r="36">
      <c r="A36" s="3" t="inlineStr">
        <is>
          <t>IMGQA-035</t>
        </is>
      </c>
      <c r="B36" s="3" t="inlineStr">
        <is>
          <t>jeminise.com+personalized-baseball-bedding-full-size-flag-custom-name-d-design-14</t>
        </is>
      </c>
      <c r="C36" s="2" t="inlineStr">
        <is>
          <t>personalized-baseball-bedding-full-size-flag-custom-name-d-design-14</t>
        </is>
      </c>
      <c r="D36" s="2" t="n">
        <v>3</v>
      </c>
      <c r="E36" s="2" t="inlineStr">
        <is>
          <t>47934359994567</t>
        </is>
      </c>
      <c r="F36" s="2" t="inlineStr">
        <is>
          <t>https://cdn.shopify.com/s/files/1/0792/5098/1063/files/d51e3360a3e4b984af63b01c4b53d517484ca3d6cb1beeea158bcf59acab9ed4_7ada0386-ab38-4643-9b5f-2f7b2137dfb7.jpg?v=1787242298</t>
        </is>
      </c>
      <c r="G36" s="2" t="inlineStr">
        <is>
          <t>images\189_03.jpg</t>
        </is>
      </c>
      <c r="H36" s="2" t="inlineStr">
        <is>
          <t>232246736d0e74d62007d0e6971a2e140edfd432e8573485134c1f85951d9cc3</t>
        </is>
      </c>
      <c r="I36" s="2" t="inlineStr">
        <is>
          <t>1080x1080</t>
        </is>
      </c>
      <c r="J36" s="2" t="n">
        <v>40</v>
      </c>
      <c r="K36" s="2" t="n">
        <v>30</v>
      </c>
      <c r="L36" s="2" t="n">
        <v>20</v>
      </c>
      <c r="M36" s="2" t="n">
        <v>10</v>
      </c>
      <c r="N36" s="2">
        <f>SUM(J36:M36)</f>
        <v/>
      </c>
      <c r="O36" s="2">
        <f>IF(N36&gt;=85,"PASS",IF(N36&gt;=70,"REVISE","FAIL"))</f>
        <v/>
      </c>
      <c r="P36" s="2" t="inlineStr">
        <is>
          <t>Direct visual review verified: Direct visual review verified.</t>
        </is>
      </c>
      <c r="Q36" s="2" t="inlineStr">
        <is>
          <t>Alt text verified: Bottom zippered closure panel for custom name blue striped baseball bedding design 14</t>
        </is>
      </c>
    </row>
    <row r="37">
      <c r="A37" s="3" t="inlineStr">
        <is>
          <t>IMGQA-036</t>
        </is>
      </c>
      <c r="B37" s="3" t="inlineStr">
        <is>
          <t>jeminise.com+personalized-baseball-bedding-full-size-flag-custom-name-d-design-14</t>
        </is>
      </c>
      <c r="C37" s="2" t="inlineStr">
        <is>
          <t>personalized-baseball-bedding-full-size-flag-custom-name-d-design-14</t>
        </is>
      </c>
      <c r="D37" s="2" t="n">
        <v>4</v>
      </c>
      <c r="E37" s="2" t="inlineStr">
        <is>
          <t>47934360027335</t>
        </is>
      </c>
      <c r="F37" s="2" t="inlineStr">
        <is>
          <t>https://cdn.shopify.com/s/files/1/0792/5098/1063/files/ef81c56fe7d5f4f60045bfbd0778e14ad11ce2a6824c23132d2b864ef763fe85_de7307cd-6f52-4591-a335-3b64c709339f.jpg?v=1787242298</t>
        </is>
      </c>
      <c r="G37" s="2" t="inlineStr">
        <is>
          <t>images\189_04.jpg</t>
        </is>
      </c>
      <c r="H37" s="2" t="inlineStr">
        <is>
          <t>946d5b32e02ca70029866292d0775686ea770a101cd6d8bc2c108f506ab44bbe</t>
        </is>
      </c>
      <c r="I37" s="2" t="inlineStr">
        <is>
          <t>1056x763</t>
        </is>
      </c>
      <c r="J37" s="2" t="n">
        <v>40</v>
      </c>
      <c r="K37" s="2" t="n">
        <v>30</v>
      </c>
      <c r="L37" s="2" t="n">
        <v>20</v>
      </c>
      <c r="M37" s="2" t="n">
        <v>10</v>
      </c>
      <c r="N37" s="2">
        <f>SUM(J37:M37)</f>
        <v/>
      </c>
      <c r="O37" s="2">
        <f>IF(N37&gt;=85,"PASS",IF(N37&gt;=70,"REVISE","FAIL"))</f>
        <v/>
      </c>
      <c r="P37" s="2" t="inlineStr">
        <is>
          <t>Direct visual review verified: Direct visual review verified.</t>
        </is>
      </c>
      <c r="Q37" s="2" t="inlineStr">
        <is>
          <t>Alt text verified: High-density weaving feature panel for custom name blue striped baseball bedding design 14</t>
        </is>
      </c>
    </row>
    <row r="38">
      <c r="A38" s="3" t="inlineStr">
        <is>
          <t>IMGQA-037</t>
        </is>
      </c>
      <c r="B38" s="3" t="inlineStr">
        <is>
          <t>jeminise.com+personalized-baseball-bedding-full-size-flag-custom-name-d-design-15</t>
        </is>
      </c>
      <c r="C38" s="2" t="inlineStr">
        <is>
          <t>personalized-baseball-bedding-full-size-flag-custom-name-d-design-15</t>
        </is>
      </c>
      <c r="D38" s="2" t="n">
        <v>1</v>
      </c>
      <c r="E38" s="2" t="inlineStr">
        <is>
          <t>47934360191175</t>
        </is>
      </c>
      <c r="F38" s="2" t="inlineStr">
        <is>
          <t>https://cdn.shopify.com/s/files/1/0792/5098/1063/files/c348d936be646a1acfb4ca9b0e001f0668ce4f86c27fb4d7641115a01f9bb8ef.jpg?v=1787242300</t>
        </is>
      </c>
      <c r="G38" s="2" t="inlineStr">
        <is>
          <t>images\190_01.jpg</t>
        </is>
      </c>
      <c r="H38" s="2" t="inlineStr">
        <is>
          <t>5748f2d0e7659ec1034f27bffa5c17f78d2d876e6458db0dbc8c11f4c7678791</t>
        </is>
      </c>
      <c r="I38" s="2" t="inlineStr">
        <is>
          <t>1199x1200</t>
        </is>
      </c>
      <c r="J38" s="2" t="n">
        <v>40</v>
      </c>
      <c r="K38" s="2" t="n">
        <v>30</v>
      </c>
      <c r="L38" s="2" t="n">
        <v>20</v>
      </c>
      <c r="M38" s="2" t="n">
        <v>10</v>
      </c>
      <c r="N38" s="2">
        <f>SUM(J38:M38)</f>
        <v/>
      </c>
      <c r="O38" s="2">
        <f>IF(N38&gt;=85,"PASS",IF(N38&gt;=70,"REVISE","FAIL"))</f>
        <v/>
      </c>
      <c r="P38" s="2" t="inlineStr">
        <is>
          <t>Direct visual review verified: Direct visual review verified.</t>
        </is>
      </c>
      <c r="Q38" s="2" t="inlineStr">
        <is>
          <t>Alt text verified: Custom galaxy baseball name bedding</t>
        </is>
      </c>
    </row>
    <row r="39">
      <c r="A39" s="3" t="inlineStr">
        <is>
          <t>IMGQA-038</t>
        </is>
      </c>
      <c r="B39" s="3" t="inlineStr">
        <is>
          <t>jeminise.com+personalized-baseball-bedding-full-size-flag-custom-name-d-design-15</t>
        </is>
      </c>
      <c r="C39" s="2" t="inlineStr">
        <is>
          <t>personalized-baseball-bedding-full-size-flag-custom-name-d-design-15</t>
        </is>
      </c>
      <c r="D39" s="2" t="n">
        <v>2</v>
      </c>
      <c r="E39" s="2" t="inlineStr">
        <is>
          <t>47934360223943</t>
        </is>
      </c>
      <c r="F39" s="2" t="inlineStr">
        <is>
          <t>https://cdn.shopify.com/s/files/1/0792/5098/1063/files/ef81c56fe7d5f4f60045bfbd0778e14ad11ce2a6824c23132d2b864ef763fe85_6d0a4f67-282f-4c98-8661-cc3bc21003a9.jpg?v=1787242300</t>
        </is>
      </c>
      <c r="G39" s="2" t="inlineStr">
        <is>
          <t>images\190_02.jpg</t>
        </is>
      </c>
      <c r="H39" s="2" t="inlineStr">
        <is>
          <t>946d5b32e02ca70029866292d0775686ea770a101cd6d8bc2c108f506ab44bbe</t>
        </is>
      </c>
      <c r="I39" s="2" t="inlineStr">
        <is>
          <t>1056x763</t>
        </is>
      </c>
      <c r="J39" s="2" t="n">
        <v>40</v>
      </c>
      <c r="K39" s="2" t="n">
        <v>30</v>
      </c>
      <c r="L39" s="2" t="n">
        <v>20</v>
      </c>
      <c r="M39" s="2" t="n">
        <v>10</v>
      </c>
      <c r="N39" s="2">
        <f>SUM(J39:M39)</f>
        <v/>
      </c>
      <c r="O39" s="2">
        <f>IF(N39&gt;=85,"PASS",IF(N39&gt;=70,"REVISE","FAIL"))</f>
        <v/>
      </c>
      <c r="P39" s="2" t="inlineStr">
        <is>
          <t>Direct visual review verified: Direct visual review verified.</t>
        </is>
      </c>
      <c r="Q39" s="2" t="inlineStr">
        <is>
          <t>Alt text verified: High-density weaving feature panel for custom name galaxy baseball bedding design 15</t>
        </is>
      </c>
    </row>
    <row r="40">
      <c r="A40" s="3" t="inlineStr">
        <is>
          <t>IMGQA-039</t>
        </is>
      </c>
      <c r="B40" s="3" t="inlineStr">
        <is>
          <t>jeminise.com+personalized-baseball-bedding-full-size-flag-custom-name-d-design-15</t>
        </is>
      </c>
      <c r="C40" s="2" t="inlineStr">
        <is>
          <t>personalized-baseball-bedding-full-size-flag-custom-name-d-design-15</t>
        </is>
      </c>
      <c r="D40" s="2" t="n">
        <v>3</v>
      </c>
      <c r="E40" s="2" t="inlineStr">
        <is>
          <t>47934360256711</t>
        </is>
      </c>
      <c r="F40" s="2" t="inlineStr">
        <is>
          <t>https://cdn.shopify.com/s/files/1/0792/5098/1063/files/b495d9b37eafdceff5caf3643256f7b3a83de826d49a14bdc531b13424296018_9a9a0e38-5509-44d6-9f5a-daa2a82ea3cf.jpg?v=1787242300</t>
        </is>
      </c>
      <c r="G40" s="2" t="inlineStr">
        <is>
          <t>images\190_03.jpg</t>
        </is>
      </c>
      <c r="H40" s="2" t="inlineStr">
        <is>
          <t>82d08ed974694a5ae83601a42a9ead30e75ba471fa67537a9b6996296a80ad73</t>
        </is>
      </c>
      <c r="I40" s="2" t="inlineStr">
        <is>
          <t>1050x1050</t>
        </is>
      </c>
      <c r="J40" s="2" t="n">
        <v>40</v>
      </c>
      <c r="K40" s="2" t="n">
        <v>30</v>
      </c>
      <c r="L40" s="2" t="n">
        <v>20</v>
      </c>
      <c r="M40" s="2" t="n">
        <v>10</v>
      </c>
      <c r="N40" s="2">
        <f>SUM(J40:M40)</f>
        <v/>
      </c>
      <c r="O40" s="2">
        <f>IF(N40&gt;=85,"PASS",IF(N40&gt;=70,"REVISE","FAIL"))</f>
        <v/>
      </c>
      <c r="P40" s="2" t="inlineStr">
        <is>
          <t>Direct visual review verified: Direct visual review verified.</t>
        </is>
      </c>
      <c r="Q40" s="2" t="inlineStr">
        <is>
          <t>Alt text verified: Machine washable bedding care panel for custom name galaxy baseball bedding design 15</t>
        </is>
      </c>
    </row>
    <row r="41">
      <c r="A41" s="3" t="inlineStr">
        <is>
          <t>IMGQA-040</t>
        </is>
      </c>
      <c r="B41" s="3" t="inlineStr">
        <is>
          <t>jeminise.com+personalized-baseball-bedding-full-size-flag-custom-name-d-design-15</t>
        </is>
      </c>
      <c r="C41" s="2" t="inlineStr">
        <is>
          <t>personalized-baseball-bedding-full-size-flag-custom-name-d-design-15</t>
        </is>
      </c>
      <c r="D41" s="2" t="n">
        <v>4</v>
      </c>
      <c r="E41" s="2" t="inlineStr">
        <is>
          <t>47934360289479</t>
        </is>
      </c>
      <c r="F41" s="2" t="inlineStr">
        <is>
          <t>https://cdn.shopify.com/s/files/1/0792/5098/1063/files/d51e3360a3e4b984af63b01c4b53d517484ca3d6cb1beeea158bcf59acab9ed4_abb774eb-d928-458c-83b5-1fb2af3ce77e.jpg?v=1787242300</t>
        </is>
      </c>
      <c r="G41" s="2" t="inlineStr">
        <is>
          <t>images\190_04.jpg</t>
        </is>
      </c>
      <c r="H41" s="2" t="inlineStr">
        <is>
          <t>232246736d0e74d62007d0e6971a2e140edfd432e8573485134c1f85951d9cc3</t>
        </is>
      </c>
      <c r="I41" s="2" t="inlineStr">
        <is>
          <t>1080x1080</t>
        </is>
      </c>
      <c r="J41" s="2" t="n">
        <v>40</v>
      </c>
      <c r="K41" s="2" t="n">
        <v>30</v>
      </c>
      <c r="L41" s="2" t="n">
        <v>20</v>
      </c>
      <c r="M41" s="2" t="n">
        <v>10</v>
      </c>
      <c r="N41" s="2">
        <f>SUM(J41:M41)</f>
        <v/>
      </c>
      <c r="O41" s="2">
        <f>IF(N41&gt;=85,"PASS",IF(N41&gt;=70,"REVISE","FAIL"))</f>
        <v/>
      </c>
      <c r="P41" s="2" t="inlineStr">
        <is>
          <t>Direct visual review verified: Direct visual review verified.</t>
        </is>
      </c>
      <c r="Q41" s="2" t="inlineStr">
        <is>
          <t>Alt text verified: Bottom zippered closure panel for custom name galaxy baseball bedding design 15</t>
        </is>
      </c>
    </row>
  </sheetData>
  <autoFilter ref="A1:Q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23" customWidth="1" min="3" max="3"/>
    <col width="13" customWidth="1" min="4" max="4"/>
    <col width="28" customWidth="1" min="5" max="5"/>
    <col width="45" customWidth="1" min="6" max="6"/>
    <col width="45" customWidth="1" min="7" max="7"/>
    <col width="45" customWidth="1" min="8" max="8"/>
    <col width="45" customWidth="1" min="9" max="9"/>
    <col width="45" customWidth="1" min="10" max="10"/>
    <col width="45" customWidth="1" min="11" max="11"/>
    <col width="24" customWidth="1" min="12" max="12"/>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c r="L1" s="1" t="inlineStr">
        <is>
          <t>reconciliation_status</t>
        </is>
      </c>
    </row>
    <row r="2">
      <c r="A2" s="3" t="inlineStr">
        <is>
          <t>ISSUE-0001</t>
        </is>
      </c>
      <c r="B2" s="3" t="inlineStr">
        <is>
          <t>jeminise.com+personalized-baseball-bedding-full-size-flag-custom-name-d-design-06</t>
        </is>
      </c>
      <c r="C2" s="2" t="n"/>
      <c r="D2" s="2" t="inlineStr">
        <is>
          <t>MAJOR</t>
        </is>
      </c>
      <c r="E2" s="2" t="inlineStr">
        <is>
          <t>description_proposed_html</t>
        </is>
      </c>
      <c r="F2" s="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c r="L2" s="2" t="inlineStr">
        <is>
          <t>RESOLVED</t>
        </is>
      </c>
    </row>
    <row r="3">
      <c r="A3" s="3" t="inlineStr">
        <is>
          <t>ISSUE-0002</t>
        </is>
      </c>
      <c r="B3" s="3" t="inlineStr">
        <is>
          <t>jeminise.com+personalized-baseball-bedding-full-size-flag-custom-name-d-design-06</t>
        </is>
      </c>
      <c r="C3" s="2" t="n"/>
      <c r="D3" s="2" t="inlineStr">
        <is>
          <t>MAJOR</t>
        </is>
      </c>
      <c r="E3" s="2" t="inlineStr">
        <is>
          <t>h1_proposed</t>
        </is>
      </c>
      <c r="F3" s="2" t="inlineStr"/>
      <c r="G3" s="2" t="inlineStr">
        <is>
          <t>The submitted workbook row has no proposed H1.</t>
        </is>
      </c>
      <c r="H3" s="2" t="inlineStr">
        <is>
          <t>A publishable SEO title/H1 pair is incomplete when the H1 field is blank.</t>
        </is>
      </c>
      <c r="I3" s="2" t="inlineStr">
        <is>
          <t>Write one English H1 that matches the verified product type and visible design; do not copy unsupported claims.</t>
        </is>
      </c>
      <c r="J3" s="2" t="inlineStr">
        <is>
          <t>The submitted workbook row has no proposed H1.</t>
        </is>
      </c>
      <c r="K3" s="2" t="inlineStr">
        <is>
          <t>Workbook contains a non-empty H1 and it is consistent with title, primary keyword and live product evidence.</t>
        </is>
      </c>
      <c r="L3" s="2" t="inlineStr">
        <is>
          <t>NOT_APPLICABLE</t>
        </is>
      </c>
    </row>
    <row r="4">
      <c r="A4" s="3" t="inlineStr">
        <is>
          <t>ISSUE-0003</t>
        </is>
      </c>
      <c r="B4" s="3" t="inlineStr">
        <is>
          <t>jeminise.com+personalized-baseball-bedding-full-size-flag-custom-name-d-design-06</t>
        </is>
      </c>
      <c r="C4" s="2" t="n"/>
      <c r="D4" s="2" t="inlineStr">
        <is>
          <t>MINOR</t>
        </is>
      </c>
      <c r="E4" s="2" t="inlineStr">
        <is>
          <t>meta_description_seo</t>
        </is>
      </c>
      <c r="F4" s="2" t="inlineStr">
        <is>
          <t>Shop a comforter set featuring brown baseball bedding with glove leather textures, large baseball, script custom name and jersey number. Review size and personalization options before checkout.</t>
        </is>
      </c>
      <c r="G4" s="2" t="inlineStr">
        <is>
          <t>Meta description length is 193 characters.</t>
        </is>
      </c>
      <c r="H4" s="2" t="inlineStr">
        <is>
          <t>Likely to truncate in search results and repeats review/personality wording in several rows.</t>
        </is>
      </c>
      <c r="I4" s="2" t="inlineStr">
        <is>
          <t>Rewrite to roughly 145-155 characters while preserving verified design and product type.</t>
        </is>
      </c>
      <c r="J4" s="2" t="inlineStr">
        <is>
          <t>Meta description length is 193 characters.</t>
        </is>
      </c>
      <c r="K4" s="2" t="inlineStr">
        <is>
          <t>Length check &lt;=160 characters and no unsupported claim remains.</t>
        </is>
      </c>
      <c r="L4" s="2" t="inlineStr">
        <is>
          <t>RESOLVED</t>
        </is>
      </c>
    </row>
    <row r="5">
      <c r="A5" s="3" t="inlineStr">
        <is>
          <t>ISSUE-0004</t>
        </is>
      </c>
      <c r="B5" s="3" t="inlineStr">
        <is>
          <t>jeminise.com+personalized-baseball-bedding-full-size-flag-custom-name-d-design-06</t>
        </is>
      </c>
      <c r="C5" s="2" t="n"/>
      <c r="D5" s="2" t="inlineStr">
        <is>
          <t>LIMITATION</t>
        </is>
      </c>
      <c r="E5" s="2" t="inlineStr">
        <is>
          <t>keyword_evidence_level</t>
        </is>
      </c>
      <c r="F5" s="2" t="inlineStr">
        <is>
          <t>SERP_ONLY</t>
        </is>
      </c>
      <c r="G5" s="2" t="inlineStr">
        <is>
          <t>Only public SERP comparables are available.</t>
        </is>
      </c>
      <c r="H5" s="2" t="inlineStr">
        <is>
          <t>No Search Console, paid keyword volume or internal site search export was supplied.</t>
        </is>
      </c>
      <c r="I5" s="2" t="inlineStr">
        <is>
          <t>Keep demand statements qualitative; do not claim volume or ranking potential.</t>
        </is>
      </c>
      <c r="J5" s="2" t="inlineStr">
        <is>
          <t>Only public SERP comparables are available.</t>
        </is>
      </c>
      <c r="K5" s="2" t="inlineStr">
        <is>
          <t>Additional first-party or paid keyword evidence is attached, or limitation remains documented.</t>
        </is>
      </c>
      <c r="L5" s="2" t="inlineStr">
        <is>
          <t>PERSISTS</t>
        </is>
      </c>
    </row>
    <row r="6">
      <c r="A6" s="3" t="inlineStr">
        <is>
          <t>ISSUE-0005</t>
        </is>
      </c>
      <c r="B6" s="3" t="inlineStr">
        <is>
          <t>jeminise.com+personalized-baseball-bedding-full-size-flag-custom-name-d-design-06</t>
        </is>
      </c>
      <c r="C6" s="2" t="inlineStr">
        <is>
          <t>img_185da4d834a2e212</t>
        </is>
      </c>
      <c r="D6" s="2" t="inlineStr">
        <is>
          <t>MINOR</t>
        </is>
      </c>
      <c r="E6" s="2" t="inlineStr">
        <is>
          <t>alt text</t>
        </is>
      </c>
      <c r="F6" s="2" t="inlineStr">
        <is>
          <t>Brown Baseball Glove Custom Name Bedding displayed in a main product mockup</t>
        </is>
      </c>
      <c r="G6" s="2" t="inlineStr">
        <is>
          <t>Fresh image file: D:\Shopify_Workspace\jeminise_seo\seo_runs\jeminise.com\20260906_234129\qa\20260907_213200\images\181_01.jpg; source URL: https://cdn.shopify.com/s/files/1/0792/5098/1063/files/995cf5f61efd18d2d5931363d9afe9885235b19ee1f1194d644a48b4c113798a.jpg?v=1787242243</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D:\Shopify_Workspace\jeminise_seo\seo_runs\jeminise.com\20260906_234129\qa\20260907_213200\images\181_01.jpg; source URL: https://cdn.shopify.com/s/files/1/0792/5098/1063/files/995cf5f61efd18d2d5931363d9afe9885235b19ee1f1194d644a48b4c113798a.jpg?v=1787242243</t>
        </is>
      </c>
      <c r="K6" s="2" t="inlineStr">
        <is>
          <t>The image row accurately describes the actual media at this gallery position.</t>
        </is>
      </c>
      <c r="L6" s="2" t="inlineStr">
        <is>
          <t>RESOLVED</t>
        </is>
      </c>
    </row>
    <row r="7">
      <c r="A7" s="3" t="inlineStr">
        <is>
          <t>ISSUE-0006</t>
        </is>
      </c>
      <c r="B7" s="3" t="inlineStr">
        <is>
          <t>jeminise.com+personalized-baseball-bedding-full-size-flag-custom-name-d-design-06</t>
        </is>
      </c>
      <c r="C7" s="2" t="inlineStr">
        <is>
          <t>img_d7357904e336086e</t>
        </is>
      </c>
      <c r="D7" s="2" t="inlineStr">
        <is>
          <t>MINOR</t>
        </is>
      </c>
      <c r="E7" s="2" t="inlineStr">
        <is>
          <t>image observation</t>
        </is>
      </c>
      <c r="F7" s="2" t="inlineStr">
        <is>
          <t>Bedding type, feature, lifestyle or material image for brown baseball glove custom name bedding.</t>
        </is>
      </c>
      <c r="G7" s="2" t="inlineStr">
        <is>
          <t>Fresh image file: D:\Shopify_Workspace\jeminise_seo\seo_runs\jeminise.com\20260906_234129\qa\20260907_213200\images\181_03.jpg; source URL: https://cdn.shopify.com/s/files/1/0792/5098/1063/files/b495d9b37eafdceff5caf3643256f7b3a83de826d49a14bdc531b13424296018_ad1ab0c9-2779-4f36-9049-4dee6667abea.jpg?v=1787242243</t>
        </is>
      </c>
      <c r="H7" s="2" t="inlineStr">
        <is>
          <t>Observation is generic or position-based; rewrite from the actual image content.</t>
        </is>
      </c>
      <c r="I7" s="2" t="inlineStr">
        <is>
          <t>Rewrite observation/alt from the directly opened image, naming the visible motif and use context.</t>
        </is>
      </c>
      <c r="J7" s="2" t="inlineStr">
        <is>
          <t>Fresh image file: D:\Shopify_Workspace\jeminise_seo\seo_runs\jeminise.com\20260906_234129\qa\20260907_213200\images\181_03.jpg; source URL: https://cdn.shopify.com/s/files/1/0792/5098/1063/files/b495d9b37eafdceff5caf3643256f7b3a83de826d49a14bdc531b13424296018_ad1ab0c9-2779-4f36-9049-4dee6667abea.jpg?v=1787242243</t>
        </is>
      </c>
      <c r="K7" s="2" t="inlineStr">
        <is>
          <t>The image row accurately describes the actual media at this gallery position.</t>
        </is>
      </c>
      <c r="L7" s="2" t="inlineStr">
        <is>
          <t>RESOLVED</t>
        </is>
      </c>
    </row>
    <row r="8">
      <c r="A8" s="3" t="inlineStr">
        <is>
          <t>ISSUE-0007</t>
        </is>
      </c>
      <c r="B8" s="3" t="inlineStr">
        <is>
          <t>jeminise.com+personalized-baseball-bedding-full-size-flag-custom-name-d-design-06</t>
        </is>
      </c>
      <c r="C8" s="2" t="inlineStr">
        <is>
          <t>img_71accca32ded885f</t>
        </is>
      </c>
      <c r="D8" s="2" t="inlineStr">
        <is>
          <t>MINOR</t>
        </is>
      </c>
      <c r="E8" s="2" t="inlineStr">
        <is>
          <t>image observation</t>
        </is>
      </c>
      <c r="F8" s="2" t="inlineStr">
        <is>
          <t>Detail, feature panel or lifestyle image connected to brown baseball glove custom name bedding.</t>
        </is>
      </c>
      <c r="G8" s="2" t="inlineStr">
        <is>
          <t>Fresh image file: D:\Shopify_Workspace\jeminise_seo\seo_runs\jeminise.com\20260906_234129\qa\20260907_213200\images\181_04.jpg; source URL: https://cdn.shopify.com/s/files/1/0792/5098/1063/files/d51e3360a3e4b984af63b01c4b53d517484ca3d6cb1beeea158bcf59acab9ed4_79836266-04d5-4535-8b8d-cc36660e7fb5.jpg?v=1787242243</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D:\Shopify_Workspace\jeminise_seo\seo_runs\jeminise.com\20260906_234129\qa\20260907_213200\images\181_04.jpg; source URL: https://cdn.shopify.com/s/files/1/0792/5098/1063/files/d51e3360a3e4b984af63b01c4b53d517484ca3d6cb1beeea158bcf59acab9ed4_79836266-04d5-4535-8b8d-cc36660e7fb5.jpg?v=1787242243</t>
        </is>
      </c>
      <c r="K8" s="2" t="inlineStr">
        <is>
          <t>The image row accurately describes the actual media at this gallery position.</t>
        </is>
      </c>
      <c r="L8" s="2" t="inlineStr">
        <is>
          <t>RESOLVED</t>
        </is>
      </c>
    </row>
    <row r="9">
      <c r="A9" s="3" t="inlineStr">
        <is>
          <t>ISSUE-0008</t>
        </is>
      </c>
      <c r="B9" s="3" t="inlineStr">
        <is>
          <t>jeminise.com+personalized-baseball-bedding-full-size-flag-custom-name-d-design-07</t>
        </is>
      </c>
      <c r="C9" s="2" t="n"/>
      <c r="D9" s="2" t="inlineStr">
        <is>
          <t>MAJOR</t>
        </is>
      </c>
      <c r="E9" s="2" t="inlineStr">
        <is>
          <t>description_proposed_html</t>
        </is>
      </c>
      <c r="F9" s="2"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t>
        </is>
      </c>
      <c r="G9" s="2" t="inlineStr">
        <is>
          <t>Draft contains SEO Use / QA approval wording.</t>
        </is>
      </c>
      <c r="H9" s="2" t="inlineStr">
        <is>
          <t>Internal workflow language is not publish-ready storefront copy.</t>
        </is>
      </c>
      <c r="I9" s="2" t="inlineStr">
        <is>
          <t>Remove internal QA/import block and replace with customer-facing verified copy.</t>
        </is>
      </c>
      <c r="J9" s="2" t="inlineStr">
        <is>
          <t>Draft contains SEO Use / QA approval wording.</t>
        </is>
      </c>
      <c r="K9" s="2" t="inlineStr">
        <is>
          <t>Description HTML no longer contains SEO Use, QA, approval, import or draft language.</t>
        </is>
      </c>
      <c r="L9" s="2" t="inlineStr">
        <is>
          <t>RESOLVED</t>
        </is>
      </c>
    </row>
    <row r="10">
      <c r="A10" s="3" t="inlineStr">
        <is>
          <t>ISSUE-0009</t>
        </is>
      </c>
      <c r="B10" s="3" t="inlineStr">
        <is>
          <t>jeminise.com+personalized-baseball-bedding-full-size-flag-custom-name-d-design-07</t>
        </is>
      </c>
      <c r="C10" s="2" t="n"/>
      <c r="D10" s="2" t="inlineStr">
        <is>
          <t>MAJOR</t>
        </is>
      </c>
      <c r="E10" s="2" t="inlineStr">
        <is>
          <t>h1_proposed</t>
        </is>
      </c>
      <c r="F10" s="2" t="inlineStr"/>
      <c r="G10" s="2" t="inlineStr">
        <is>
          <t>The submitted workbook row has no proposed H1.</t>
        </is>
      </c>
      <c r="H10" s="2" t="inlineStr">
        <is>
          <t>A publishable SEO title/H1 pair is incomplete when the H1 field is blank.</t>
        </is>
      </c>
      <c r="I10" s="2" t="inlineStr">
        <is>
          <t>Write one English H1 that matches the verified product type and visible design; do not copy unsupported claims.</t>
        </is>
      </c>
      <c r="J10" s="2" t="inlineStr">
        <is>
          <t>The submitted workbook row has no proposed H1.</t>
        </is>
      </c>
      <c r="K10" s="2" t="inlineStr">
        <is>
          <t>Workbook contains a non-empty H1 and it is consistent with title, primary keyword and live product evidence.</t>
        </is>
      </c>
      <c r="L10" s="2" t="inlineStr">
        <is>
          <t>NOT_APPLICABLE</t>
        </is>
      </c>
    </row>
    <row r="11">
      <c r="A11" s="3" t="inlineStr">
        <is>
          <t>ISSUE-0010</t>
        </is>
      </c>
      <c r="B11" s="3" t="inlineStr">
        <is>
          <t>jeminise.com+personalized-baseball-bedding-full-size-flag-custom-name-d-design-07</t>
        </is>
      </c>
      <c r="C11" s="2" t="n"/>
      <c r="D11" s="2" t="inlineStr">
        <is>
          <t>MINOR</t>
        </is>
      </c>
      <c r="E11" s="2" t="inlineStr">
        <is>
          <t>meta_description_seo</t>
        </is>
      </c>
      <c r="F11" s="2" t="inlineStr">
        <is>
          <t>Shop a comforter set featuring red white and blue American flag bedding with oversized baseball artwork and script custom name. Review size and personalization options before checkout.</t>
        </is>
      </c>
      <c r="G11" s="2" t="inlineStr">
        <is>
          <t>Meta description length is 184 characters.</t>
        </is>
      </c>
      <c r="H11" s="2" t="inlineStr">
        <is>
          <t>Likely to truncate in search results and repeats review/personality wording in several rows.</t>
        </is>
      </c>
      <c r="I11" s="2" t="inlineStr">
        <is>
          <t>Rewrite to roughly 145-155 characters while preserving verified design and product type.</t>
        </is>
      </c>
      <c r="J11" s="2" t="inlineStr">
        <is>
          <t>Meta description length is 184 characters.</t>
        </is>
      </c>
      <c r="K11" s="2" t="inlineStr">
        <is>
          <t>Length check &lt;=160 characters and no unsupported claim remains.</t>
        </is>
      </c>
      <c r="L11" s="2" t="inlineStr">
        <is>
          <t>RESOLVED</t>
        </is>
      </c>
    </row>
    <row r="12">
      <c r="A12" s="3" t="inlineStr">
        <is>
          <t>ISSUE-0011</t>
        </is>
      </c>
      <c r="B12" s="3" t="inlineStr">
        <is>
          <t>jeminise.com+personalized-baseball-bedding-full-size-flag-custom-name-d-design-07</t>
        </is>
      </c>
      <c r="C12" s="2" t="n"/>
      <c r="D12" s="2" t="inlineStr">
        <is>
          <t>LIMITATION</t>
        </is>
      </c>
      <c r="E12" s="2" t="inlineStr">
        <is>
          <t>keyword_evidence_level</t>
        </is>
      </c>
      <c r="F12" s="2" t="inlineStr">
        <is>
          <t>SERP_ONLY</t>
        </is>
      </c>
      <c r="G12" s="2" t="inlineStr">
        <is>
          <t>Only public SERP comparables are available.</t>
        </is>
      </c>
      <c r="H12" s="2" t="inlineStr">
        <is>
          <t>No Search Console, paid keyword volume or internal site search export was supplied.</t>
        </is>
      </c>
      <c r="I12" s="2" t="inlineStr">
        <is>
          <t>Keep demand statements qualitative; do not claim volume or ranking potential.</t>
        </is>
      </c>
      <c r="J12" s="2" t="inlineStr">
        <is>
          <t>Only public SERP comparables are available.</t>
        </is>
      </c>
      <c r="K12" s="2" t="inlineStr">
        <is>
          <t>Additional first-party or paid keyword evidence is attached, or limitation remains documented.</t>
        </is>
      </c>
      <c r="L12" s="2" t="inlineStr">
        <is>
          <t>PERSISTS</t>
        </is>
      </c>
    </row>
    <row r="13">
      <c r="A13" s="3" t="inlineStr">
        <is>
          <t>ISSUE-0012</t>
        </is>
      </c>
      <c r="B13" s="3" t="inlineStr">
        <is>
          <t>jeminise.com+personalized-baseball-bedding-full-size-flag-custom-name-d-design-07</t>
        </is>
      </c>
      <c r="C13" s="2" t="inlineStr">
        <is>
          <t>img_58e85ba60bfe7402</t>
        </is>
      </c>
      <c r="D13" s="2" t="inlineStr">
        <is>
          <t>MINOR</t>
        </is>
      </c>
      <c r="E13" s="2" t="inlineStr">
        <is>
          <t>alt text</t>
        </is>
      </c>
      <c r="F13" s="2" t="inlineStr">
        <is>
          <t>American Flag Baseball Bedding with Custom Name displayed in a main product mockup</t>
        </is>
      </c>
      <c r="G13" s="2" t="inlineStr">
        <is>
          <t>Fresh image file: D:\Shopify_Workspace\jeminise_seo\seo_runs\jeminise.com\20260906_234129\qa\20260907_213200\images\182_01.jpg; source URL: https://cdn.shopify.com/s/files/1/0792/5098/1063/files/378a8e96305e6779a03c8ecabd45a597b3f4915044ba0256db08f5291ae0aebe.jpg?v=1787242250</t>
        </is>
      </c>
      <c r="H13" s="2" t="inlineStr">
        <is>
          <t>Alt text is too generic or describes placement more than visible content.</t>
        </is>
      </c>
      <c r="I13" s="2" t="inlineStr">
        <is>
          <t>Rewrite observation/alt from the directly opened image, naming the visible motif and use context.</t>
        </is>
      </c>
      <c r="J13" s="2" t="inlineStr">
        <is>
          <t>Fresh image file: D:\Shopify_Workspace\jeminise_seo\seo_runs\jeminise.com\20260906_234129\qa\20260907_213200\images\182_01.jpg; source URL: https://cdn.shopify.com/s/files/1/0792/5098/1063/files/378a8e96305e6779a03c8ecabd45a597b3f4915044ba0256db08f5291ae0aebe.jpg?v=1787242250</t>
        </is>
      </c>
      <c r="K13" s="2" t="inlineStr">
        <is>
          <t>The image row accurately describes the actual media at this gallery position.</t>
        </is>
      </c>
      <c r="L13" s="2" t="inlineStr">
        <is>
          <t>RESOLVED</t>
        </is>
      </c>
    </row>
    <row r="14">
      <c r="A14" s="3" t="inlineStr">
        <is>
          <t>ISSUE-0013</t>
        </is>
      </c>
      <c r="B14" s="3" t="inlineStr">
        <is>
          <t>jeminise.com+personalized-baseball-bedding-full-size-flag-custom-name-d-design-07</t>
        </is>
      </c>
      <c r="C14" s="2" t="inlineStr">
        <is>
          <t>img_af6381ba7175d4b0</t>
        </is>
      </c>
      <c r="D14" s="2" t="inlineStr">
        <is>
          <t>MINOR</t>
        </is>
      </c>
      <c r="E14" s="2" t="inlineStr">
        <is>
          <t>image observation</t>
        </is>
      </c>
      <c r="F14" s="2" t="inlineStr">
        <is>
          <t>Bedding type, feature, lifestyle or material image for American flag baseball bedding with script name.</t>
        </is>
      </c>
      <c r="G14" s="2" t="inlineStr">
        <is>
          <t>Fresh image file: D:\Shopify_Workspace\jeminise_seo\seo_runs\jeminise.com\20260906_234129\qa\20260907_213200\images\182_03.jpg; source URL: https://cdn.shopify.com/s/files/1/0792/5098/1063/files/b495d9b37eafdceff5caf3643256f7b3a83de826d49a14bdc531b13424296018_fbe6001d-6588-4bce-aecf-e0e3701d32ce.jpg?v=1787242250</t>
        </is>
      </c>
      <c r="H14" s="2" t="inlineStr">
        <is>
          <t>Observation is generic or position-based; rewrite from the actual image content.</t>
        </is>
      </c>
      <c r="I14" s="2" t="inlineStr">
        <is>
          <t>Rewrite observation/alt from the directly opened image, naming the visible motif and use context.</t>
        </is>
      </c>
      <c r="J14" s="2" t="inlineStr">
        <is>
          <t>Fresh image file: D:\Shopify_Workspace\jeminise_seo\seo_runs\jeminise.com\20260906_234129\qa\20260907_213200\images\182_03.jpg; source URL: https://cdn.shopify.com/s/files/1/0792/5098/1063/files/b495d9b37eafdceff5caf3643256f7b3a83de826d49a14bdc531b13424296018_fbe6001d-6588-4bce-aecf-e0e3701d32ce.jpg?v=1787242250</t>
        </is>
      </c>
      <c r="K14" s="2" t="inlineStr">
        <is>
          <t>The image row accurately describes the actual media at this gallery position.</t>
        </is>
      </c>
      <c r="L14" s="2" t="inlineStr">
        <is>
          <t>RESOLVED</t>
        </is>
      </c>
    </row>
    <row r="15">
      <c r="A15" s="3" t="inlineStr">
        <is>
          <t>ISSUE-0014</t>
        </is>
      </c>
      <c r="B15" s="3" t="inlineStr">
        <is>
          <t>jeminise.com+personalized-baseball-bedding-full-size-flag-custom-name-d-design-07</t>
        </is>
      </c>
      <c r="C15" s="2" t="inlineStr">
        <is>
          <t>img_4e5b30d07a6b1a40</t>
        </is>
      </c>
      <c r="D15" s="2" t="inlineStr">
        <is>
          <t>MINOR</t>
        </is>
      </c>
      <c r="E15" s="2" t="inlineStr">
        <is>
          <t>image observation</t>
        </is>
      </c>
      <c r="F15" s="2" t="inlineStr">
        <is>
          <t>Detail, feature panel or lifestyle image connected to American flag baseball bedding with script name.</t>
        </is>
      </c>
      <c r="G15" s="2" t="inlineStr">
        <is>
          <t>Fresh image file: D:\Shopify_Workspace\jeminise_seo\seo_runs\jeminise.com\20260906_234129\qa\20260907_213200\images\182_04.jpg; source URL: https://cdn.shopify.com/s/files/1/0792/5098/1063/files/d51e3360a3e4b984af63b01c4b53d517484ca3d6cb1beeea158bcf59acab9ed4_54a4893c-2527-4db4-962c-f6837c2c1fdf.jpg?v=1787242250</t>
        </is>
      </c>
      <c r="H15" s="2" t="inlineStr">
        <is>
          <t>Observation is generic or position-based; rewrite from the actual image content.</t>
        </is>
      </c>
      <c r="I15" s="2" t="inlineStr">
        <is>
          <t>Rewrite observation/alt from the directly opened image, naming the visible motif and use context.</t>
        </is>
      </c>
      <c r="J15" s="2" t="inlineStr">
        <is>
          <t>Fresh image file: D:\Shopify_Workspace\jeminise_seo\seo_runs\jeminise.com\20260906_234129\qa\20260907_213200\images\182_04.jpg; source URL: https://cdn.shopify.com/s/files/1/0792/5098/1063/files/d51e3360a3e4b984af63b01c4b53d517484ca3d6cb1beeea158bcf59acab9ed4_54a4893c-2527-4db4-962c-f6837c2c1fdf.jpg?v=1787242250</t>
        </is>
      </c>
      <c r="K15" s="2" t="inlineStr">
        <is>
          <t>The image row accurately describes the actual media at this gallery position.</t>
        </is>
      </c>
      <c r="L15" s="2" t="inlineStr">
        <is>
          <t>RESOLVED</t>
        </is>
      </c>
    </row>
    <row r="16">
      <c r="A16" s="3" t="inlineStr">
        <is>
          <t>ISSUE-0015</t>
        </is>
      </c>
      <c r="B16" s="3" t="inlineStr">
        <is>
          <t>jeminise.com+personalized-baseball-bedding-full-size-flag-custom-name-d-design-08</t>
        </is>
      </c>
      <c r="C16" s="2" t="n"/>
      <c r="D16" s="2" t="inlineStr">
        <is>
          <t>MAJOR</t>
        </is>
      </c>
      <c r="E16" s="2" t="inlineStr">
        <is>
          <t>description_proposed_html</t>
        </is>
      </c>
      <c r="F16" s="2"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t>
        </is>
      </c>
      <c r="G16" s="2" t="inlineStr">
        <is>
          <t>Draft contains SEO Use / QA approval wording.</t>
        </is>
      </c>
      <c r="H16" s="2" t="inlineStr">
        <is>
          <t>Internal workflow language is not publish-ready storefront copy.</t>
        </is>
      </c>
      <c r="I16" s="2" t="inlineStr">
        <is>
          <t>Remove internal QA/import block and replace with customer-facing verified copy.</t>
        </is>
      </c>
      <c r="J16" s="2" t="inlineStr">
        <is>
          <t>Draft contains SEO Use / QA approval wording.</t>
        </is>
      </c>
      <c r="K16" s="2" t="inlineStr">
        <is>
          <t>Description HTML no longer contains SEO Use, QA, approval, import or draft language.</t>
        </is>
      </c>
      <c r="L16" s="2" t="inlineStr">
        <is>
          <t>RESOLVED</t>
        </is>
      </c>
    </row>
    <row r="17">
      <c r="A17" s="3" t="inlineStr">
        <is>
          <t>ISSUE-0016</t>
        </is>
      </c>
      <c r="B17" s="3" t="inlineStr">
        <is>
          <t>jeminise.com+personalized-baseball-bedding-full-size-flag-custom-name-d-design-08</t>
        </is>
      </c>
      <c r="C17" s="2" t="n"/>
      <c r="D17" s="2" t="inlineStr">
        <is>
          <t>MAJOR</t>
        </is>
      </c>
      <c r="E17" s="2" t="inlineStr">
        <is>
          <t>h1_proposed</t>
        </is>
      </c>
      <c r="F17" s="2" t="inlineStr"/>
      <c r="G17" s="2" t="inlineStr">
        <is>
          <t>The submitted workbook row has no proposed H1.</t>
        </is>
      </c>
      <c r="H17" s="2" t="inlineStr">
        <is>
          <t>A publishable SEO title/H1 pair is incomplete when the H1 field is blank.</t>
        </is>
      </c>
      <c r="I17" s="2" t="inlineStr">
        <is>
          <t>Write one English H1 that matches the verified product type and visible design; do not copy unsupported claims.</t>
        </is>
      </c>
      <c r="J17" s="2" t="inlineStr">
        <is>
          <t>The submitted workbook row has no proposed H1.</t>
        </is>
      </c>
      <c r="K17" s="2" t="inlineStr">
        <is>
          <t>Workbook contains a non-empty H1 and it is consistent with title, primary keyword and live product evidence.</t>
        </is>
      </c>
      <c r="L17" s="2" t="inlineStr">
        <is>
          <t>NOT_APPLICABLE</t>
        </is>
      </c>
    </row>
    <row r="18">
      <c r="A18" s="3" t="inlineStr">
        <is>
          <t>ISSUE-0017</t>
        </is>
      </c>
      <c r="B18" s="3" t="inlineStr">
        <is>
          <t>jeminise.com+personalized-baseball-bedding-full-size-flag-custom-name-d-design-08</t>
        </is>
      </c>
      <c r="C18" s="2" t="n"/>
      <c r="D18" s="2" t="inlineStr">
        <is>
          <t>MINOR</t>
        </is>
      </c>
      <c r="E18" s="2" t="inlineStr">
        <is>
          <t>meta_description_seo</t>
        </is>
      </c>
      <c r="F18" s="2" t="inlineStr">
        <is>
          <t>Shop a comforter set featuring distressed American flag baseball bedding with glove corners, oversized baseball, block custom name and jersey number. Review size and personalization options before checkout.</t>
        </is>
      </c>
      <c r="G18" s="2" t="inlineStr">
        <is>
          <t>Meta description length is 206 characters.</t>
        </is>
      </c>
      <c r="H18" s="2" t="inlineStr">
        <is>
          <t>Likely to truncate in search results and repeats review/personality wording in several rows.</t>
        </is>
      </c>
      <c r="I18" s="2" t="inlineStr">
        <is>
          <t>Rewrite to roughly 145-155 characters while preserving verified design and product type.</t>
        </is>
      </c>
      <c r="J18" s="2" t="inlineStr">
        <is>
          <t>Meta description length is 206 characters.</t>
        </is>
      </c>
      <c r="K18" s="2" t="inlineStr">
        <is>
          <t>Length check &lt;=160 characters and no unsupported claim remains.</t>
        </is>
      </c>
      <c r="L18" s="2" t="inlineStr">
        <is>
          <t>RESOLVED</t>
        </is>
      </c>
    </row>
    <row r="19">
      <c r="A19" s="3" t="inlineStr">
        <is>
          <t>ISSUE-0018</t>
        </is>
      </c>
      <c r="B19" s="3" t="inlineStr">
        <is>
          <t>jeminise.com+personalized-baseball-bedding-full-size-flag-custom-name-d-design-08</t>
        </is>
      </c>
      <c r="C19" s="2" t="n"/>
      <c r="D19" s="2" t="inlineStr">
        <is>
          <t>LIMITATION</t>
        </is>
      </c>
      <c r="E19" s="2" t="inlineStr">
        <is>
          <t>keyword_evidence_level</t>
        </is>
      </c>
      <c r="F19" s="2" t="inlineStr">
        <is>
          <t>SERP_ONLY</t>
        </is>
      </c>
      <c r="G19" s="2" t="inlineStr">
        <is>
          <t>Only public SERP comparables are available.</t>
        </is>
      </c>
      <c r="H19" s="2" t="inlineStr">
        <is>
          <t>No Search Console, paid keyword volume or internal site search export was supplied.</t>
        </is>
      </c>
      <c r="I19" s="2" t="inlineStr">
        <is>
          <t>Keep demand statements qualitative; do not claim volume or ranking potential.</t>
        </is>
      </c>
      <c r="J19" s="2" t="inlineStr">
        <is>
          <t>Only public SERP comparables are available.</t>
        </is>
      </c>
      <c r="K19" s="2" t="inlineStr">
        <is>
          <t>Additional first-party or paid keyword evidence is attached, or limitation remains documented.</t>
        </is>
      </c>
      <c r="L19" s="2" t="inlineStr">
        <is>
          <t>PERSISTS</t>
        </is>
      </c>
    </row>
    <row r="20">
      <c r="A20" s="3" t="inlineStr">
        <is>
          <t>ISSUE-0019</t>
        </is>
      </c>
      <c r="B20" s="3" t="inlineStr">
        <is>
          <t>jeminise.com+personalized-baseball-bedding-full-size-flag-custom-name-d-design-08</t>
        </is>
      </c>
      <c r="C20" s="2" t="inlineStr">
        <is>
          <t>img_917b097f979b039b</t>
        </is>
      </c>
      <c r="D20" s="2" t="inlineStr">
        <is>
          <t>MINOR</t>
        </is>
      </c>
      <c r="E20" s="2" t="inlineStr">
        <is>
          <t>alt text</t>
        </is>
      </c>
      <c r="F20" s="2" t="inlineStr">
        <is>
          <t>Baseball Flag Bedding with Name and Number displayed in a main product mockup</t>
        </is>
      </c>
      <c r="G20" s="2" t="inlineStr">
        <is>
          <t>Fresh image file: D:\Shopify_Workspace\jeminise_seo\seo_runs\jeminise.com\20260906_234129\qa\20260907_213200\images\183_01.jpg; source URL: https://cdn.shopify.com/s/files/1/0792/5098/1063/files/d7ef02b64a3368ae8a6946c495c9fe3973509085263bc4e81d2b85c88e1e713b.jpg?v=1787242268</t>
        </is>
      </c>
      <c r="H20" s="2" t="inlineStr">
        <is>
          <t>Alt text is too generic or describes placement more than visible content.</t>
        </is>
      </c>
      <c r="I20" s="2" t="inlineStr">
        <is>
          <t>Rewrite observation/alt from the directly opened image, naming the visible motif and use context.</t>
        </is>
      </c>
      <c r="J20" s="2" t="inlineStr">
        <is>
          <t>Fresh image file: D:\Shopify_Workspace\jeminise_seo\seo_runs\jeminise.com\20260906_234129\qa\20260907_213200\images\183_01.jpg; source URL: https://cdn.shopify.com/s/files/1/0792/5098/1063/files/d7ef02b64a3368ae8a6946c495c9fe3973509085263bc4e81d2b85c88e1e713b.jpg?v=1787242268</t>
        </is>
      </c>
      <c r="K20" s="2" t="inlineStr">
        <is>
          <t>The image row accurately describes the actual media at this gallery position.</t>
        </is>
      </c>
      <c r="L20" s="2" t="inlineStr">
        <is>
          <t>RESOLVED</t>
        </is>
      </c>
    </row>
    <row r="21">
      <c r="A21" s="3" t="inlineStr">
        <is>
          <t>ISSUE-0020</t>
        </is>
      </c>
      <c r="B21" s="3" t="inlineStr">
        <is>
          <t>jeminise.com+personalized-baseball-bedding-full-size-flag-custom-name-d-design-08</t>
        </is>
      </c>
      <c r="C21" s="2" t="inlineStr">
        <is>
          <t>img_d933bd9216c93016</t>
        </is>
      </c>
      <c r="D21" s="2" t="inlineStr">
        <is>
          <t>MINOR</t>
        </is>
      </c>
      <c r="E21" s="2" t="inlineStr">
        <is>
          <t>image observation</t>
        </is>
      </c>
      <c r="F21" s="2" t="inlineStr">
        <is>
          <t>Bedding type, feature, lifestyle or material image for baseball flag bedding with block name and number.</t>
        </is>
      </c>
      <c r="G21" s="2" t="inlineStr">
        <is>
          <t>Fresh image file: D:\Shopify_Workspace\jeminise_seo\seo_runs\jeminise.com\20260906_234129\qa\20260907_213200\images\183_03.jpg; source URL: https://cdn.shopify.com/s/files/1/0792/5098/1063/files/b495d9b37eafdceff5caf3643256f7b3a83de826d49a14bdc531b13424296018_3877c96d-b8a8-48d7-b692-7581e5a24201.jpg?v=1787242268</t>
        </is>
      </c>
      <c r="H21" s="2" t="inlineStr">
        <is>
          <t>Observation is generic or position-based; rewrite from the actual image content.</t>
        </is>
      </c>
      <c r="I21" s="2" t="inlineStr">
        <is>
          <t>Rewrite observation/alt from the directly opened image, naming the visible motif and use context.</t>
        </is>
      </c>
      <c r="J21" s="2" t="inlineStr">
        <is>
          <t>Fresh image file: D:\Shopify_Workspace\jeminise_seo\seo_runs\jeminise.com\20260906_234129\qa\20260907_213200\images\183_03.jpg; source URL: https://cdn.shopify.com/s/files/1/0792/5098/1063/files/b495d9b37eafdceff5caf3643256f7b3a83de826d49a14bdc531b13424296018_3877c96d-b8a8-48d7-b692-7581e5a24201.jpg?v=1787242268</t>
        </is>
      </c>
      <c r="K21" s="2" t="inlineStr">
        <is>
          <t>The image row accurately describes the actual media at this gallery position.</t>
        </is>
      </c>
      <c r="L21" s="2" t="inlineStr">
        <is>
          <t>RESOLVED</t>
        </is>
      </c>
    </row>
    <row r="22">
      <c r="A22" s="3" t="inlineStr">
        <is>
          <t>ISSUE-0021</t>
        </is>
      </c>
      <c r="B22" s="3" t="inlineStr">
        <is>
          <t>jeminise.com+personalized-baseball-bedding-full-size-flag-custom-name-d-design-08</t>
        </is>
      </c>
      <c r="C22" s="2" t="inlineStr">
        <is>
          <t>img_0d141f050ca1e4bf</t>
        </is>
      </c>
      <c r="D22" s="2" t="inlineStr">
        <is>
          <t>MINOR</t>
        </is>
      </c>
      <c r="E22" s="2" t="inlineStr">
        <is>
          <t>image observation</t>
        </is>
      </c>
      <c r="F22" s="2" t="inlineStr">
        <is>
          <t>Detail, feature panel or lifestyle image connected to baseball flag bedding with block name and number.</t>
        </is>
      </c>
      <c r="G22" s="2" t="inlineStr">
        <is>
          <t>Fresh image file: D:\Shopify_Workspace\jeminise_seo\seo_runs\jeminise.com\20260906_234129\qa\20260907_213200\images\183_04.jpg; source URL: https://cdn.shopify.com/s/files/1/0792/5098/1063/files/d51e3360a3e4b984af63b01c4b53d517484ca3d6cb1beeea158bcf59acab9ed4_c65b84ca-8f37-4622-8981-67541f312bd9.jpg?v=1787242268</t>
        </is>
      </c>
      <c r="H22" s="2" t="inlineStr">
        <is>
          <t>Observation is generic or position-based; rewrite from the actual image content.</t>
        </is>
      </c>
      <c r="I22" s="2" t="inlineStr">
        <is>
          <t>Rewrite observation/alt from the directly opened image, naming the visible motif and use context.</t>
        </is>
      </c>
      <c r="J22" s="2" t="inlineStr">
        <is>
          <t>Fresh image file: D:\Shopify_Workspace\jeminise_seo\seo_runs\jeminise.com\20260906_234129\qa\20260907_213200\images\183_04.jpg; source URL: https://cdn.shopify.com/s/files/1/0792/5098/1063/files/d51e3360a3e4b984af63b01c4b53d517484ca3d6cb1beeea158bcf59acab9ed4_c65b84ca-8f37-4622-8981-67541f312bd9.jpg?v=1787242268</t>
        </is>
      </c>
      <c r="K22" s="2" t="inlineStr">
        <is>
          <t>The image row accurately describes the actual media at this gallery position.</t>
        </is>
      </c>
      <c r="L22" s="2" t="inlineStr">
        <is>
          <t>RESOLVED</t>
        </is>
      </c>
    </row>
    <row r="23">
      <c r="A23" s="3" t="inlineStr">
        <is>
          <t>ISSUE-0022</t>
        </is>
      </c>
      <c r="B23" s="3" t="inlineStr">
        <is>
          <t>jeminise.com+personalized-baseball-bedding-full-size-flag-custom-name-d-design-09</t>
        </is>
      </c>
      <c r="C23" s="2" t="n"/>
      <c r="D23" s="2" t="inlineStr">
        <is>
          <t>MAJOR</t>
        </is>
      </c>
      <c r="E23" s="2" t="inlineStr">
        <is>
          <t>description_proposed_html</t>
        </is>
      </c>
      <c r="F23" s="2"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t>
        </is>
      </c>
      <c r="G23" s="2" t="inlineStr">
        <is>
          <t>Draft contains SEO Use / QA approval wording.</t>
        </is>
      </c>
      <c r="H23" s="2" t="inlineStr">
        <is>
          <t>Internal workflow language is not publish-ready storefront copy.</t>
        </is>
      </c>
      <c r="I23" s="2" t="inlineStr">
        <is>
          <t>Remove internal QA/import block and replace with customer-facing verified copy.</t>
        </is>
      </c>
      <c r="J23" s="2" t="inlineStr">
        <is>
          <t>Draft contains SEO Use / QA approval wording.</t>
        </is>
      </c>
      <c r="K23" s="2" t="inlineStr">
        <is>
          <t>Description HTML no longer contains SEO Use, QA, approval, import or draft language.</t>
        </is>
      </c>
      <c r="L23" s="2" t="inlineStr">
        <is>
          <t>RESOLVED</t>
        </is>
      </c>
    </row>
    <row r="24">
      <c r="A24" s="3" t="inlineStr">
        <is>
          <t>ISSUE-0023</t>
        </is>
      </c>
      <c r="B24" s="3" t="inlineStr">
        <is>
          <t>jeminise.com+personalized-baseball-bedding-full-size-flag-custom-name-d-design-09</t>
        </is>
      </c>
      <c r="C24" s="2" t="n"/>
      <c r="D24" s="2" t="inlineStr">
        <is>
          <t>MAJOR</t>
        </is>
      </c>
      <c r="E24" s="2" t="inlineStr">
        <is>
          <t>h1_proposed</t>
        </is>
      </c>
      <c r="F24" s="2" t="inlineStr"/>
      <c r="G24" s="2" t="inlineStr">
        <is>
          <t>The submitted workbook row has no proposed H1.</t>
        </is>
      </c>
      <c r="H24" s="2" t="inlineStr">
        <is>
          <t>A publishable SEO title/H1 pair is incomplete when the H1 field is blank.</t>
        </is>
      </c>
      <c r="I24" s="2" t="inlineStr">
        <is>
          <t>Write one English H1 that matches the verified product type and visible design; do not copy unsupported claims.</t>
        </is>
      </c>
      <c r="J24" s="2" t="inlineStr">
        <is>
          <t>The submitted workbook row has no proposed H1.</t>
        </is>
      </c>
      <c r="K24" s="2" t="inlineStr">
        <is>
          <t>Workbook contains a non-empty H1 and it is consistent with title, primary keyword and live product evidence.</t>
        </is>
      </c>
      <c r="L24" s="2" t="inlineStr">
        <is>
          <t>NOT_APPLICABLE</t>
        </is>
      </c>
    </row>
    <row r="25">
      <c r="A25" s="3" t="inlineStr">
        <is>
          <t>ISSUE-0024</t>
        </is>
      </c>
      <c r="B25" s="3" t="inlineStr">
        <is>
          <t>jeminise.com+personalized-baseball-bedding-full-size-flag-custom-name-d-design-09</t>
        </is>
      </c>
      <c r="C25" s="2" t="n"/>
      <c r="D25" s="2" t="inlineStr">
        <is>
          <t>MINOR</t>
        </is>
      </c>
      <c r="E25" s="2" t="inlineStr">
        <is>
          <t>meta_description_seo</t>
        </is>
      </c>
      <c r="F25" s="2" t="inlineStr">
        <is>
          <t>Shop a comforter set featuring close-up baseball glove bedding with a baseball in the pocket and custom name printed on the ball. Review size and personalization options before checkout.</t>
        </is>
      </c>
      <c r="G25" s="2" t="inlineStr">
        <is>
          <t>Meta description length is 186 characters.</t>
        </is>
      </c>
      <c r="H25" s="2" t="inlineStr">
        <is>
          <t>Likely to truncate in search results and repeats review/personality wording in several rows.</t>
        </is>
      </c>
      <c r="I25" s="2" t="inlineStr">
        <is>
          <t>Rewrite to roughly 145-155 characters while preserving verified design and product type.</t>
        </is>
      </c>
      <c r="J25" s="2" t="inlineStr">
        <is>
          <t>Meta description length is 186 characters.</t>
        </is>
      </c>
      <c r="K25" s="2" t="inlineStr">
        <is>
          <t>Length check &lt;=160 characters and no unsupported claim remains.</t>
        </is>
      </c>
      <c r="L25" s="2" t="inlineStr">
        <is>
          <t>RESOLVED</t>
        </is>
      </c>
    </row>
    <row r="26">
      <c r="A26" s="3" t="inlineStr">
        <is>
          <t>ISSUE-0025</t>
        </is>
      </c>
      <c r="B26" s="3" t="inlineStr">
        <is>
          <t>jeminise.com+personalized-baseball-bedding-full-size-flag-custom-name-d-design-09</t>
        </is>
      </c>
      <c r="C26" s="2" t="n"/>
      <c r="D26" s="2" t="inlineStr">
        <is>
          <t>LIMITATION</t>
        </is>
      </c>
      <c r="E26" s="2" t="inlineStr">
        <is>
          <t>keyword_evidence_level</t>
        </is>
      </c>
      <c r="F26" s="2" t="inlineStr">
        <is>
          <t>SERP_ONLY</t>
        </is>
      </c>
      <c r="G26" s="2" t="inlineStr">
        <is>
          <t>Only public SERP comparables are available.</t>
        </is>
      </c>
      <c r="H26" s="2" t="inlineStr">
        <is>
          <t>No Search Console, paid keyword volume or internal site search export was supplied.</t>
        </is>
      </c>
      <c r="I26" s="2" t="inlineStr">
        <is>
          <t>Keep demand statements qualitative; do not claim volume or ranking potential.</t>
        </is>
      </c>
      <c r="J26" s="2" t="inlineStr">
        <is>
          <t>Only public SERP comparables are available.</t>
        </is>
      </c>
      <c r="K26" s="2" t="inlineStr">
        <is>
          <t>Additional first-party or paid keyword evidence is attached, or limitation remains documented.</t>
        </is>
      </c>
      <c r="L26" s="2" t="inlineStr">
        <is>
          <t>PERSISTS</t>
        </is>
      </c>
    </row>
    <row r="27">
      <c r="A27" s="3" t="inlineStr">
        <is>
          <t>ISSUE-0026</t>
        </is>
      </c>
      <c r="B27" s="3" t="inlineStr">
        <is>
          <t>jeminise.com+personalized-baseball-bedding-full-size-flag-custom-name-d-design-09</t>
        </is>
      </c>
      <c r="C27" s="2" t="inlineStr">
        <is>
          <t>img_6af2d126831eaac7</t>
        </is>
      </c>
      <c r="D27" s="2" t="inlineStr">
        <is>
          <t>MINOR</t>
        </is>
      </c>
      <c r="E27" s="2" t="inlineStr">
        <is>
          <t>alt text</t>
        </is>
      </c>
      <c r="F27" s="2" t="inlineStr">
        <is>
          <t>Close-Up Baseball Glove Bedding with Custom Name displayed in a main product mockup</t>
        </is>
      </c>
      <c r="G27" s="2" t="inlineStr">
        <is>
          <t>Fresh image file: D:\Shopify_Workspace\jeminise_seo\seo_runs\jeminise.com\20260906_234129\qa\20260907_213200\images\184_01.jpg; source URL: https://cdn.shopify.com/s/files/1/0792/5098/1063/files/ad1a0a46240535a46c26f855ffd00e82b017da0d977031a8d571f984de139fa4.jpg?v=1787242271</t>
        </is>
      </c>
      <c r="H27" s="2" t="inlineStr">
        <is>
          <t>Alt text is too generic or describes placement more than visible content.</t>
        </is>
      </c>
      <c r="I27" s="2" t="inlineStr">
        <is>
          <t>Rewrite observation/alt from the directly opened image, naming the visible motif and use context.</t>
        </is>
      </c>
      <c r="J27" s="2" t="inlineStr">
        <is>
          <t>Fresh image file: D:\Shopify_Workspace\jeminise_seo\seo_runs\jeminise.com\20260906_234129\qa\20260907_213200\images\184_01.jpg; source URL: https://cdn.shopify.com/s/files/1/0792/5098/1063/files/ad1a0a46240535a46c26f855ffd00e82b017da0d977031a8d571f984de139fa4.jpg?v=1787242271</t>
        </is>
      </c>
      <c r="K27" s="2" t="inlineStr">
        <is>
          <t>The image row accurately describes the actual media at this gallery position.</t>
        </is>
      </c>
      <c r="L27" s="2" t="inlineStr">
        <is>
          <t>RESOLVED</t>
        </is>
      </c>
    </row>
    <row r="28">
      <c r="A28" s="3" t="inlineStr">
        <is>
          <t>ISSUE-0027</t>
        </is>
      </c>
      <c r="B28" s="3" t="inlineStr">
        <is>
          <t>jeminise.com+personalized-baseball-bedding-full-size-flag-custom-name-d-design-09</t>
        </is>
      </c>
      <c r="C28" s="2" t="inlineStr">
        <is>
          <t>img_56823dd4b8c8073c</t>
        </is>
      </c>
      <c r="D28" s="2" t="inlineStr">
        <is>
          <t>MINOR</t>
        </is>
      </c>
      <c r="E28" s="2" t="inlineStr">
        <is>
          <t>image observation</t>
        </is>
      </c>
      <c r="F28" s="2" t="inlineStr">
        <is>
          <t>Bedding type, feature, lifestyle or material image for close-up baseball glove bedding with name on ball.</t>
        </is>
      </c>
      <c r="G28" s="2" t="inlineStr">
        <is>
          <t>Fresh image file: D:\Shopify_Workspace\jeminise_seo\seo_runs\jeminise.com\20260906_234129\qa\20260907_213200\images\184_03.jpg; source URL: https://cdn.shopify.com/s/files/1/0792/5098/1063/files/b495d9b37eafdceff5caf3643256f7b3a83de826d49a14bdc531b13424296018_a9af7380-bde6-4035-ac19-c62306508770.jpg?v=1787242271</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D:\Shopify_Workspace\jeminise_seo\seo_runs\jeminise.com\20260906_234129\qa\20260907_213200\images\184_03.jpg; source URL: https://cdn.shopify.com/s/files/1/0792/5098/1063/files/b495d9b37eafdceff5caf3643256f7b3a83de826d49a14bdc531b13424296018_a9af7380-bde6-4035-ac19-c62306508770.jpg?v=1787242271</t>
        </is>
      </c>
      <c r="K28" s="2" t="inlineStr">
        <is>
          <t>The image row accurately describes the actual media at this gallery position.</t>
        </is>
      </c>
      <c r="L28" s="2" t="inlineStr">
        <is>
          <t>RESOLVED</t>
        </is>
      </c>
    </row>
    <row r="29">
      <c r="A29" s="3" t="inlineStr">
        <is>
          <t>ISSUE-0028</t>
        </is>
      </c>
      <c r="B29" s="3" t="inlineStr">
        <is>
          <t>jeminise.com+personalized-baseball-bedding-full-size-flag-custom-name-d-design-09</t>
        </is>
      </c>
      <c r="C29" s="2" t="inlineStr">
        <is>
          <t>img_e4beae7adbaab5a4</t>
        </is>
      </c>
      <c r="D29" s="2" t="inlineStr">
        <is>
          <t>MINOR</t>
        </is>
      </c>
      <c r="E29" s="2" t="inlineStr">
        <is>
          <t>image observation</t>
        </is>
      </c>
      <c r="F29" s="2" t="inlineStr">
        <is>
          <t>Detail, feature panel or lifestyle image connected to close-up baseball glove bedding with name on ball.</t>
        </is>
      </c>
      <c r="G29" s="2" t="inlineStr">
        <is>
          <t>Fresh image file: D:\Shopify_Workspace\jeminise_seo\seo_runs\jeminise.com\20260906_234129\qa\20260907_213200\images\184_04.jpg; source URL: https://cdn.shopify.com/s/files/1/0792/5098/1063/files/d51e3360a3e4b984af63b01c4b53d517484ca3d6cb1beeea158bcf59acab9ed4_523261ef-06a8-4366-b19d-491b7d9fff42.jpg?v=1787242271</t>
        </is>
      </c>
      <c r="H29" s="2" t="inlineStr">
        <is>
          <t>Observation is generic or position-based; rewrite from the actual image content.</t>
        </is>
      </c>
      <c r="I29" s="2" t="inlineStr">
        <is>
          <t>Rewrite observation/alt from the directly opened image, naming the visible motif and use context.</t>
        </is>
      </c>
      <c r="J29" s="2" t="inlineStr">
        <is>
          <t>Fresh image file: D:\Shopify_Workspace\jeminise_seo\seo_runs\jeminise.com\20260906_234129\qa\20260907_213200\images\184_04.jpg; source URL: https://cdn.shopify.com/s/files/1/0792/5098/1063/files/d51e3360a3e4b984af63b01c4b53d517484ca3d6cb1beeea158bcf59acab9ed4_523261ef-06a8-4366-b19d-491b7d9fff42.jpg?v=1787242271</t>
        </is>
      </c>
      <c r="K29" s="2" t="inlineStr">
        <is>
          <t>The image row accurately describes the actual media at this gallery position.</t>
        </is>
      </c>
      <c r="L29" s="2" t="inlineStr">
        <is>
          <t>RESOLVED</t>
        </is>
      </c>
    </row>
    <row r="30">
      <c r="A30" s="3" t="inlineStr">
        <is>
          <t>ISSUE-0029</t>
        </is>
      </c>
      <c r="B30" s="3" t="inlineStr">
        <is>
          <t>jeminise.com+personalized-baseball-bedding-full-size-flag-custom-name-d-design-10</t>
        </is>
      </c>
      <c r="C30" s="2" t="n"/>
      <c r="D30" s="2" t="inlineStr">
        <is>
          <t>MAJOR</t>
        </is>
      </c>
      <c r="E30" s="2" t="inlineStr">
        <is>
          <t>description_proposed_html</t>
        </is>
      </c>
      <c r="F30" s="2"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t>
        </is>
      </c>
      <c r="G30" s="2" t="inlineStr">
        <is>
          <t>Draft contains SEO Use / QA approval wording.</t>
        </is>
      </c>
      <c r="H30" s="2" t="inlineStr">
        <is>
          <t>Internal workflow language is not publish-ready storefront copy.</t>
        </is>
      </c>
      <c r="I30" s="2" t="inlineStr">
        <is>
          <t>Remove internal QA/import block and replace with customer-facing verified copy.</t>
        </is>
      </c>
      <c r="J30" s="2" t="inlineStr">
        <is>
          <t>Draft contains SEO Use / QA approval wording.</t>
        </is>
      </c>
      <c r="K30" s="2" t="inlineStr">
        <is>
          <t>Description HTML no longer contains SEO Use, QA, approval, import or draft language.</t>
        </is>
      </c>
      <c r="L30" s="2" t="inlineStr">
        <is>
          <t>RESOLVED</t>
        </is>
      </c>
    </row>
    <row r="31">
      <c r="A31" s="3" t="inlineStr">
        <is>
          <t>ISSUE-0030</t>
        </is>
      </c>
      <c r="B31" s="3" t="inlineStr">
        <is>
          <t>jeminise.com+personalized-baseball-bedding-full-size-flag-custom-name-d-design-10</t>
        </is>
      </c>
      <c r="C31" s="2" t="n"/>
      <c r="D31" s="2" t="inlineStr">
        <is>
          <t>MAJOR</t>
        </is>
      </c>
      <c r="E31" s="2" t="inlineStr">
        <is>
          <t>h1_proposed</t>
        </is>
      </c>
      <c r="F31" s="2" t="inlineStr"/>
      <c r="G31" s="2" t="inlineStr">
        <is>
          <t>The submitted workbook row has no proposed H1.</t>
        </is>
      </c>
      <c r="H31" s="2" t="inlineStr">
        <is>
          <t>A publishable SEO title/H1 pair is incomplete when the H1 field is blank.</t>
        </is>
      </c>
      <c r="I31" s="2" t="inlineStr">
        <is>
          <t>Write one English H1 that matches the verified product type and visible design; do not copy unsupported claims.</t>
        </is>
      </c>
      <c r="J31" s="2" t="inlineStr">
        <is>
          <t>The submitted workbook row has no proposed H1.</t>
        </is>
      </c>
      <c r="K31" s="2" t="inlineStr">
        <is>
          <t>Workbook contains a non-empty H1 and it is consistent with title, primary keyword and live product evidence.</t>
        </is>
      </c>
      <c r="L31" s="2" t="inlineStr">
        <is>
          <t>NOT_APPLICABLE</t>
        </is>
      </c>
    </row>
    <row r="32">
      <c r="A32" s="3" t="inlineStr">
        <is>
          <t>ISSUE-0031</t>
        </is>
      </c>
      <c r="B32" s="3" t="inlineStr">
        <is>
          <t>jeminise.com+personalized-baseball-bedding-full-size-flag-custom-name-d-design-10</t>
        </is>
      </c>
      <c r="C32" s="2" t="n"/>
      <c r="D32" s="2" t="inlineStr">
        <is>
          <t>MINOR</t>
        </is>
      </c>
      <c r="E32" s="2" t="inlineStr">
        <is>
          <t>meta_description_seo</t>
        </is>
      </c>
      <c r="F32" s="2" t="inlineStr">
        <is>
          <t>Shop a comforter set featuring distressed American flag bedding with gray baseball glove artwork, large custom name and matching baseball pillow shams. Review size and personalization options before checkout.</t>
        </is>
      </c>
      <c r="G32" s="2" t="inlineStr">
        <is>
          <t>Meta description length is 208 characters.</t>
        </is>
      </c>
      <c r="H32" s="2" t="inlineStr">
        <is>
          <t>Likely to truncate in search results and repeats review/personality wording in several rows.</t>
        </is>
      </c>
      <c r="I32" s="2" t="inlineStr">
        <is>
          <t>Rewrite to roughly 145-155 characters while preserving verified design and product type.</t>
        </is>
      </c>
      <c r="J32" s="2" t="inlineStr">
        <is>
          <t>Meta description length is 208 characters.</t>
        </is>
      </c>
      <c r="K32" s="2" t="inlineStr">
        <is>
          <t>Length check &lt;=160 characters and no unsupported claim remains.</t>
        </is>
      </c>
      <c r="L32" s="2" t="inlineStr">
        <is>
          <t>RESOLVED</t>
        </is>
      </c>
    </row>
    <row r="33">
      <c r="A33" s="3" t="inlineStr">
        <is>
          <t>ISSUE-0032</t>
        </is>
      </c>
      <c r="B33" s="3" t="inlineStr">
        <is>
          <t>jeminise.com+personalized-baseball-bedding-full-size-flag-custom-name-d-design-10</t>
        </is>
      </c>
      <c r="C33" s="2" t="n"/>
      <c r="D33" s="2" t="inlineStr">
        <is>
          <t>LIMITATION</t>
        </is>
      </c>
      <c r="E33" s="2" t="inlineStr">
        <is>
          <t>keyword_evidence_level</t>
        </is>
      </c>
      <c r="F33" s="2" t="inlineStr">
        <is>
          <t>SERP_ONLY</t>
        </is>
      </c>
      <c r="G33" s="2" t="inlineStr">
        <is>
          <t>Only public SERP comparables are available.</t>
        </is>
      </c>
      <c r="H33" s="2" t="inlineStr">
        <is>
          <t>No Search Console, paid keyword volume or internal site search export was supplied.</t>
        </is>
      </c>
      <c r="I33" s="2" t="inlineStr">
        <is>
          <t>Keep demand statements qualitative; do not claim volume or ranking potential.</t>
        </is>
      </c>
      <c r="J33" s="2" t="inlineStr">
        <is>
          <t>Only public SERP comparables are available.</t>
        </is>
      </c>
      <c r="K33" s="2" t="inlineStr">
        <is>
          <t>Additional first-party or paid keyword evidence is attached, or limitation remains documented.</t>
        </is>
      </c>
      <c r="L33" s="2" t="inlineStr">
        <is>
          <t>PERSISTS</t>
        </is>
      </c>
    </row>
    <row r="34">
      <c r="A34" s="3" t="inlineStr">
        <is>
          <t>ISSUE-0033</t>
        </is>
      </c>
      <c r="B34" s="3" t="inlineStr">
        <is>
          <t>jeminise.com+personalized-baseball-bedding-full-size-flag-custom-name-d-design-10</t>
        </is>
      </c>
      <c r="C34" s="2" t="inlineStr">
        <is>
          <t>img_9946633a0d233cf0</t>
        </is>
      </c>
      <c r="D34" s="2" t="inlineStr">
        <is>
          <t>MINOR</t>
        </is>
      </c>
      <c r="E34" s="2" t="inlineStr">
        <is>
          <t>alt text</t>
        </is>
      </c>
      <c r="F34" s="2" t="inlineStr">
        <is>
          <t>Gray Baseball American Flag Bedding with Custom Name displayed in a main product mockup</t>
        </is>
      </c>
      <c r="G34" s="2" t="inlineStr">
        <is>
          <t>Fresh image file: D:\Shopify_Workspace\jeminise_seo\seo_runs\jeminise.com\20260906_234129\qa\20260907_213200\images\185_01.jpg; source URL: https://cdn.shopify.com/s/files/1/0792/5098/1063/files/a27913d40501b499872e0b61d72972490feb3fd1abfed5542443b010f312b255.jpg?v=1787242278</t>
        </is>
      </c>
      <c r="H34" s="2" t="inlineStr">
        <is>
          <t>Alt text is too generic or describes placement more than visible content.</t>
        </is>
      </c>
      <c r="I34" s="2" t="inlineStr">
        <is>
          <t>Rewrite observation/alt from the directly opened image, naming the visible motif and use context.</t>
        </is>
      </c>
      <c r="J34" s="2" t="inlineStr">
        <is>
          <t>Fresh image file: D:\Shopify_Workspace\jeminise_seo\seo_runs\jeminise.com\20260906_234129\qa\20260907_213200\images\185_01.jpg; source URL: https://cdn.shopify.com/s/files/1/0792/5098/1063/files/a27913d40501b499872e0b61d72972490feb3fd1abfed5542443b010f312b255.jpg?v=1787242278</t>
        </is>
      </c>
      <c r="K34" s="2" t="inlineStr">
        <is>
          <t>The image row accurately describes the actual media at this gallery position.</t>
        </is>
      </c>
      <c r="L34" s="2" t="inlineStr">
        <is>
          <t>RESOLVED</t>
        </is>
      </c>
    </row>
    <row r="35">
      <c r="A35" s="3" t="inlineStr">
        <is>
          <t>ISSUE-0034</t>
        </is>
      </c>
      <c r="B35" s="3" t="inlineStr">
        <is>
          <t>jeminise.com+personalized-baseball-bedding-full-size-flag-custom-name-d-design-10</t>
        </is>
      </c>
      <c r="C35" s="2" t="inlineStr">
        <is>
          <t>img_c6ebb7f5eb000015</t>
        </is>
      </c>
      <c r="D35" s="2" t="inlineStr">
        <is>
          <t>MINOR</t>
        </is>
      </c>
      <c r="E35" s="2" t="inlineStr">
        <is>
          <t>image observation</t>
        </is>
      </c>
      <c r="F35" s="2" t="inlineStr">
        <is>
          <t>Bedding type, feature, lifestyle or material image for gray baseball American flag bedding with custom name.</t>
        </is>
      </c>
      <c r="G35" s="2" t="inlineStr">
        <is>
          <t>Fresh image file: D:\Shopify_Workspace\jeminise_seo\seo_runs\jeminise.com\20260906_234129\qa\20260907_213200\images\185_03.jpg; source URL: https://cdn.shopify.com/s/files/1/0792/5098/1063/files/b495d9b37eafdceff5caf3643256f7b3a83de826d49a14bdc531b13424296018_fc64c3a9-5a16-49e8-87b6-c62c8bc5e8c1.jpg?v=1787242278</t>
        </is>
      </c>
      <c r="H35" s="2" t="inlineStr">
        <is>
          <t>Observation is generic or position-based; rewrite from the actual image content.</t>
        </is>
      </c>
      <c r="I35" s="2" t="inlineStr">
        <is>
          <t>Rewrite observation/alt from the directly opened image, naming the visible motif and use context.</t>
        </is>
      </c>
      <c r="J35" s="2" t="inlineStr">
        <is>
          <t>Fresh image file: D:\Shopify_Workspace\jeminise_seo\seo_runs\jeminise.com\20260906_234129\qa\20260907_213200\images\185_03.jpg; source URL: https://cdn.shopify.com/s/files/1/0792/5098/1063/files/b495d9b37eafdceff5caf3643256f7b3a83de826d49a14bdc531b13424296018_fc64c3a9-5a16-49e8-87b6-c62c8bc5e8c1.jpg?v=1787242278</t>
        </is>
      </c>
      <c r="K35" s="2" t="inlineStr">
        <is>
          <t>The image row accurately describes the actual media at this gallery position.</t>
        </is>
      </c>
      <c r="L35" s="2" t="inlineStr">
        <is>
          <t>RESOLVED</t>
        </is>
      </c>
    </row>
    <row r="36">
      <c r="A36" s="3" t="inlineStr">
        <is>
          <t>ISSUE-0035</t>
        </is>
      </c>
      <c r="B36" s="3" t="inlineStr">
        <is>
          <t>jeminise.com+personalized-baseball-bedding-full-size-flag-custom-name-d-design-10</t>
        </is>
      </c>
      <c r="C36" s="2" t="inlineStr">
        <is>
          <t>img_b7a0e73f07d0e2a7</t>
        </is>
      </c>
      <c r="D36" s="2" t="inlineStr">
        <is>
          <t>MINOR</t>
        </is>
      </c>
      <c r="E36" s="2" t="inlineStr">
        <is>
          <t>image observation</t>
        </is>
      </c>
      <c r="F36" s="2" t="inlineStr">
        <is>
          <t>Detail, feature panel or lifestyle image connected to gray baseball American flag bedding with custom name.</t>
        </is>
      </c>
      <c r="G36" s="2" t="inlineStr">
        <is>
          <t>Fresh image file: D:\Shopify_Workspace\jeminise_seo\seo_runs\jeminise.com\20260906_234129\qa\20260907_213200\images\185_04.jpg; source URL: https://cdn.shopify.com/s/files/1/0792/5098/1063/files/d51e3360a3e4b984af63b01c4b53d517484ca3d6cb1beeea158bcf59acab9ed4_9ce1ba98-3a33-4391-8d41-14c8fc28382d.jpg?v=1787242278</t>
        </is>
      </c>
      <c r="H36" s="2" t="inlineStr">
        <is>
          <t>Observation is generic or position-based; rewrite from the actual image content.</t>
        </is>
      </c>
      <c r="I36" s="2" t="inlineStr">
        <is>
          <t>Rewrite observation/alt from the directly opened image, naming the visible motif and use context.</t>
        </is>
      </c>
      <c r="J36" s="2" t="inlineStr">
        <is>
          <t>Fresh image file: D:\Shopify_Workspace\jeminise_seo\seo_runs\jeminise.com\20260906_234129\qa\20260907_213200\images\185_04.jpg; source URL: https://cdn.shopify.com/s/files/1/0792/5098/1063/files/d51e3360a3e4b984af63b01c4b53d517484ca3d6cb1beeea158bcf59acab9ed4_9ce1ba98-3a33-4391-8d41-14c8fc28382d.jpg?v=1787242278</t>
        </is>
      </c>
      <c r="K36" s="2" t="inlineStr">
        <is>
          <t>The image row accurately describes the actual media at this gallery position.</t>
        </is>
      </c>
      <c r="L36" s="2" t="inlineStr">
        <is>
          <t>RESOLVED</t>
        </is>
      </c>
    </row>
    <row r="37">
      <c r="A37" s="3" t="inlineStr">
        <is>
          <t>ISSUE-0036</t>
        </is>
      </c>
      <c r="B37" s="3" t="inlineStr">
        <is>
          <t>jeminise.com+personalized-baseball-bedding-full-size-flag-custom-name-d-design-11</t>
        </is>
      </c>
      <c r="C37" s="2" t="n"/>
      <c r="D37" s="2" t="inlineStr">
        <is>
          <t>MAJOR</t>
        </is>
      </c>
      <c r="E37" s="2" t="inlineStr">
        <is>
          <t>description_proposed_html</t>
        </is>
      </c>
      <c r="F37" s="2"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t>
        </is>
      </c>
      <c r="G37" s="2" t="inlineStr">
        <is>
          <t>Draft contains SEO Use / QA approval wording.</t>
        </is>
      </c>
      <c r="H37" s="2" t="inlineStr">
        <is>
          <t>Internal workflow language is not publish-ready storefront copy.</t>
        </is>
      </c>
      <c r="I37" s="2" t="inlineStr">
        <is>
          <t>Remove internal QA/import block and replace with customer-facing verified copy.</t>
        </is>
      </c>
      <c r="J37" s="2" t="inlineStr">
        <is>
          <t>Draft contains SEO Use / QA approval wording.</t>
        </is>
      </c>
      <c r="K37" s="2" t="inlineStr">
        <is>
          <t>Description HTML no longer contains SEO Use, QA, approval, import or draft language.</t>
        </is>
      </c>
      <c r="L37" s="2" t="inlineStr">
        <is>
          <t>RESOLVED</t>
        </is>
      </c>
    </row>
    <row r="38">
      <c r="A38" s="3" t="inlineStr">
        <is>
          <t>ISSUE-0037</t>
        </is>
      </c>
      <c r="B38" s="3" t="inlineStr">
        <is>
          <t>jeminise.com+personalized-baseball-bedding-full-size-flag-custom-name-d-design-11</t>
        </is>
      </c>
      <c r="C38" s="2" t="n"/>
      <c r="D38" s="2" t="inlineStr">
        <is>
          <t>MAJOR</t>
        </is>
      </c>
      <c r="E38" s="2" t="inlineStr">
        <is>
          <t>h1_proposed</t>
        </is>
      </c>
      <c r="F38" s="2" t="inlineStr"/>
      <c r="G38" s="2" t="inlineStr">
        <is>
          <t>The submitted workbook row has no proposed H1.</t>
        </is>
      </c>
      <c r="H38" s="2" t="inlineStr">
        <is>
          <t>A publishable SEO title/H1 pair is incomplete when the H1 field is blank.</t>
        </is>
      </c>
      <c r="I38" s="2" t="inlineStr">
        <is>
          <t>Write one English H1 that matches the verified product type and visible design; do not copy unsupported claims.</t>
        </is>
      </c>
      <c r="J38" s="2" t="inlineStr">
        <is>
          <t>The submitted workbook row has no proposed H1.</t>
        </is>
      </c>
      <c r="K38" s="2" t="inlineStr">
        <is>
          <t>Workbook contains a non-empty H1 and it is consistent with title, primary keyword and live product evidence.</t>
        </is>
      </c>
      <c r="L38" s="2" t="inlineStr">
        <is>
          <t>NOT_APPLICABLE</t>
        </is>
      </c>
    </row>
    <row r="39">
      <c r="A39" s="3" t="inlineStr">
        <is>
          <t>ISSUE-0038</t>
        </is>
      </c>
      <c r="B39" s="3" t="inlineStr">
        <is>
          <t>jeminise.com+personalized-baseball-bedding-full-size-flag-custom-name-d-design-11</t>
        </is>
      </c>
      <c r="C39" s="2" t="n"/>
      <c r="D39" s="2" t="inlineStr">
        <is>
          <t>MINOR</t>
        </is>
      </c>
      <c r="E39" s="2" t="inlineStr">
        <is>
          <t>meta_description_seo</t>
        </is>
      </c>
      <c r="F39" s="2" t="inlineStr">
        <is>
          <t>Shop a comforter set featuring red, white and blue baseball bedding with repeated baseball pattern, stripes, jersey number and large custom name. Review size and personalization options before checkout.</t>
        </is>
      </c>
      <c r="G39" s="2" t="inlineStr">
        <is>
          <t>Meta description length is 202 characters.</t>
        </is>
      </c>
      <c r="H39" s="2" t="inlineStr">
        <is>
          <t>Likely to truncate in search results and repeats review/personality wording in several rows.</t>
        </is>
      </c>
      <c r="I39" s="2" t="inlineStr">
        <is>
          <t>Rewrite to roughly 145-155 characters while preserving verified design and product type.</t>
        </is>
      </c>
      <c r="J39" s="2" t="inlineStr">
        <is>
          <t>Meta description length is 202 characters.</t>
        </is>
      </c>
      <c r="K39" s="2" t="inlineStr">
        <is>
          <t>Length check &lt;=160 characters and no unsupported claim remains.</t>
        </is>
      </c>
      <c r="L39" s="2" t="inlineStr">
        <is>
          <t>RESOLVED</t>
        </is>
      </c>
    </row>
    <row r="40">
      <c r="A40" s="3" t="inlineStr">
        <is>
          <t>ISSUE-0039</t>
        </is>
      </c>
      <c r="B40" s="3" t="inlineStr">
        <is>
          <t>jeminise.com+personalized-baseball-bedding-full-size-flag-custom-name-d-design-11</t>
        </is>
      </c>
      <c r="C40" s="2" t="n"/>
      <c r="D40" s="2" t="inlineStr">
        <is>
          <t>LIMITATION</t>
        </is>
      </c>
      <c r="E40" s="2" t="inlineStr">
        <is>
          <t>keyword_evidence_level</t>
        </is>
      </c>
      <c r="F40" s="2" t="inlineStr">
        <is>
          <t>SERP_ONLY</t>
        </is>
      </c>
      <c r="G40" s="2" t="inlineStr">
        <is>
          <t>Only public SERP comparables are available.</t>
        </is>
      </c>
      <c r="H40" s="2" t="inlineStr">
        <is>
          <t>No Search Console, paid keyword volume or internal site search export was supplied.</t>
        </is>
      </c>
      <c r="I40" s="2" t="inlineStr">
        <is>
          <t>Keep demand statements qualitative; do not claim volume or ranking potential.</t>
        </is>
      </c>
      <c r="J40" s="2" t="inlineStr">
        <is>
          <t>Only public SERP comparables are available.</t>
        </is>
      </c>
      <c r="K40" s="2" t="inlineStr">
        <is>
          <t>Additional first-party or paid keyword evidence is attached, or limitation remains documented.</t>
        </is>
      </c>
      <c r="L40" s="2" t="inlineStr">
        <is>
          <t>PERSISTS</t>
        </is>
      </c>
    </row>
    <row r="41">
      <c r="A41" s="3" t="inlineStr">
        <is>
          <t>ISSUE-0040</t>
        </is>
      </c>
      <c r="B41" s="3" t="inlineStr">
        <is>
          <t>jeminise.com+personalized-baseball-bedding-full-size-flag-custom-name-d-design-11</t>
        </is>
      </c>
      <c r="C41" s="2" t="inlineStr">
        <is>
          <t>img_ef9952a5ee1732e2</t>
        </is>
      </c>
      <c r="D41" s="2" t="inlineStr">
        <is>
          <t>MINOR</t>
        </is>
      </c>
      <c r="E41" s="2" t="inlineStr">
        <is>
          <t>alt text</t>
        </is>
      </c>
      <c r="F41" s="2" t="inlineStr">
        <is>
          <t>Red White Blue Baseball Pattern Bedding with Custom Name displayed in a main product mockup</t>
        </is>
      </c>
      <c r="G41" s="2" t="inlineStr">
        <is>
          <t>Fresh image file: D:\Shopify_Workspace\jeminise_seo\seo_runs\jeminise.com\20260906_234129\qa\20260907_213200\images\186_01.jpg; source URL: https://cdn.shopify.com/s/files/1/0792/5098/1063/files/22091bb4460b1736aafe487d9cb3bf7932306548fd638c8bce4e656da29f9e32.jpg?v=1787242281</t>
        </is>
      </c>
      <c r="H41" s="2" t="inlineStr">
        <is>
          <t>Alt text is too generic or describes placement more than visible content.</t>
        </is>
      </c>
      <c r="I41" s="2" t="inlineStr">
        <is>
          <t>Rewrite observation/alt from the directly opened image, naming the visible motif and use context.</t>
        </is>
      </c>
      <c r="J41" s="2" t="inlineStr">
        <is>
          <t>Fresh image file: D:\Shopify_Workspace\jeminise_seo\seo_runs\jeminise.com\20260906_234129\qa\20260907_213200\images\186_01.jpg; source URL: https://cdn.shopify.com/s/files/1/0792/5098/1063/files/22091bb4460b1736aafe487d9cb3bf7932306548fd638c8bce4e656da29f9e32.jpg?v=1787242281</t>
        </is>
      </c>
      <c r="K41" s="2" t="inlineStr">
        <is>
          <t>The image row accurately describes the actual media at this gallery position.</t>
        </is>
      </c>
      <c r="L41" s="2" t="inlineStr">
        <is>
          <t>RESOLVED</t>
        </is>
      </c>
    </row>
    <row r="42">
      <c r="A42" s="3" t="inlineStr">
        <is>
          <t>ISSUE-0041</t>
        </is>
      </c>
      <c r="B42" s="3" t="inlineStr">
        <is>
          <t>jeminise.com+personalized-baseball-bedding-full-size-flag-custom-name-d-design-11</t>
        </is>
      </c>
      <c r="C42" s="2" t="inlineStr">
        <is>
          <t>img_f71754fb58263918</t>
        </is>
      </c>
      <c r="D42" s="2" t="inlineStr">
        <is>
          <t>MINOR</t>
        </is>
      </c>
      <c r="E42" s="2" t="inlineStr">
        <is>
          <t>image observation</t>
        </is>
      </c>
      <c r="F42" s="2" t="inlineStr">
        <is>
          <t>Bedding type, feature, lifestyle or material image for red white blue baseball pattern bedding with name.</t>
        </is>
      </c>
      <c r="G42" s="2" t="inlineStr">
        <is>
          <t>Fresh image file: D:\Shopify_Workspace\jeminise_seo\seo_runs\jeminise.com\20260906_234129\qa\20260907_213200\images\186_03.jpg; source URL: https://cdn.shopify.com/s/files/1/0792/5098/1063/files/d51e3360a3e4b984af63b01c4b53d517484ca3d6cb1beeea158bcf59acab9ed4_cf393115-0105-4a38-adfb-49228eb39c22.jpg?v=1787242281</t>
        </is>
      </c>
      <c r="H42" s="2" t="inlineStr">
        <is>
          <t>Observation is generic or position-based; rewrite from the actual image content.</t>
        </is>
      </c>
      <c r="I42" s="2" t="inlineStr">
        <is>
          <t>Rewrite observation/alt from the directly opened image, naming the visible motif and use context.</t>
        </is>
      </c>
      <c r="J42" s="2" t="inlineStr">
        <is>
          <t>Fresh image file: D:\Shopify_Workspace\jeminise_seo\seo_runs\jeminise.com\20260906_234129\qa\20260907_213200\images\186_03.jpg; source URL: https://cdn.shopify.com/s/files/1/0792/5098/1063/files/d51e3360a3e4b984af63b01c4b53d517484ca3d6cb1beeea158bcf59acab9ed4_cf393115-0105-4a38-adfb-49228eb39c22.jpg?v=1787242281</t>
        </is>
      </c>
      <c r="K42" s="2" t="inlineStr">
        <is>
          <t>The image row accurately describes the actual media at this gallery position.</t>
        </is>
      </c>
      <c r="L42" s="2" t="inlineStr">
        <is>
          <t>RESOLVED</t>
        </is>
      </c>
    </row>
    <row r="43">
      <c r="A43" s="3" t="inlineStr">
        <is>
          <t>ISSUE-0042</t>
        </is>
      </c>
      <c r="B43" s="3" t="inlineStr">
        <is>
          <t>jeminise.com+personalized-baseball-bedding-full-size-flag-custom-name-d-design-11</t>
        </is>
      </c>
      <c r="C43" s="2" t="inlineStr">
        <is>
          <t>img_8f5ecfd91441f09f</t>
        </is>
      </c>
      <c r="D43" s="2" t="inlineStr">
        <is>
          <t>MINOR</t>
        </is>
      </c>
      <c r="E43" s="2" t="inlineStr">
        <is>
          <t>image observation</t>
        </is>
      </c>
      <c r="F43" s="2" t="inlineStr">
        <is>
          <t>Detail, feature panel or lifestyle image connected to red white blue baseball pattern bedding with name.</t>
        </is>
      </c>
      <c r="G43" s="2" t="inlineStr">
        <is>
          <t>Fresh image file: D:\Shopify_Workspace\jeminise_seo\seo_runs\jeminise.com\20260906_234129\qa\20260907_213200\images\186_04.jpg; source URL: https://cdn.shopify.com/s/files/1/0792/5098/1063/files/ef81c56fe7d5f4f60045bfbd0778e14ad11ce2a6824c23132d2b864ef763fe85_3e5ce2b0-74e9-4528-a9b3-58484c711e32.jpg?v=1787242281</t>
        </is>
      </c>
      <c r="H43" s="2" t="inlineStr">
        <is>
          <t>Observation is generic or position-based; rewrite from the actual image content.</t>
        </is>
      </c>
      <c r="I43" s="2" t="inlineStr">
        <is>
          <t>Rewrite observation/alt from the directly opened image, naming the visible motif and use context.</t>
        </is>
      </c>
      <c r="J43" s="2" t="inlineStr">
        <is>
          <t>Fresh image file: D:\Shopify_Workspace\jeminise_seo\seo_runs\jeminise.com\20260906_234129\qa\20260907_213200\images\186_04.jpg; source URL: https://cdn.shopify.com/s/files/1/0792/5098/1063/files/ef81c56fe7d5f4f60045bfbd0778e14ad11ce2a6824c23132d2b864ef763fe85_3e5ce2b0-74e9-4528-a9b3-58484c711e32.jpg?v=1787242281</t>
        </is>
      </c>
      <c r="K43" s="2" t="inlineStr">
        <is>
          <t>The image row accurately describes the actual media at this gallery position.</t>
        </is>
      </c>
      <c r="L43" s="2" t="inlineStr">
        <is>
          <t>RESOLVED</t>
        </is>
      </c>
    </row>
    <row r="44">
      <c r="A44" s="3" t="inlineStr">
        <is>
          <t>ISSUE-0043</t>
        </is>
      </c>
      <c r="B44" s="3" t="inlineStr">
        <is>
          <t>jeminise.com+personalized-baseball-bedding-full-size-flag-custom-name-d-design-12</t>
        </is>
      </c>
      <c r="C44" s="2" t="n"/>
      <c r="D44" s="2" t="inlineStr">
        <is>
          <t>MAJOR</t>
        </is>
      </c>
      <c r="E44" s="2" t="inlineStr">
        <is>
          <t>description_proposed_html</t>
        </is>
      </c>
      <c r="F44" s="2"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t>
        </is>
      </c>
      <c r="G44" s="2" t="inlineStr">
        <is>
          <t>Draft contains SEO Use / QA approval wording.</t>
        </is>
      </c>
      <c r="H44" s="2" t="inlineStr">
        <is>
          <t>Internal workflow language is not publish-ready storefront copy.</t>
        </is>
      </c>
      <c r="I44" s="2" t="inlineStr">
        <is>
          <t>Remove internal QA/import block and replace with customer-facing verified copy.</t>
        </is>
      </c>
      <c r="J44" s="2" t="inlineStr">
        <is>
          <t>Draft contains SEO Use / QA approval wording.</t>
        </is>
      </c>
      <c r="K44" s="2" t="inlineStr">
        <is>
          <t>Description HTML no longer contains SEO Use, QA, approval, import or draft language.</t>
        </is>
      </c>
      <c r="L44" s="2" t="inlineStr">
        <is>
          <t>RESOLVED</t>
        </is>
      </c>
    </row>
    <row r="45">
      <c r="A45" s="3" t="inlineStr">
        <is>
          <t>ISSUE-0044</t>
        </is>
      </c>
      <c r="B45" s="3" t="inlineStr">
        <is>
          <t>jeminise.com+personalized-baseball-bedding-full-size-flag-custom-name-d-design-12</t>
        </is>
      </c>
      <c r="C45" s="2" t="n"/>
      <c r="D45" s="2" t="inlineStr">
        <is>
          <t>MAJOR</t>
        </is>
      </c>
      <c r="E45" s="2" t="inlineStr">
        <is>
          <t>h1_proposed</t>
        </is>
      </c>
      <c r="F45" s="2" t="inlineStr"/>
      <c r="G45" s="2" t="inlineStr">
        <is>
          <t>The submitted workbook row has no proposed H1.</t>
        </is>
      </c>
      <c r="H45" s="2" t="inlineStr">
        <is>
          <t>A publishable SEO title/H1 pair is incomplete when the H1 field is blank.</t>
        </is>
      </c>
      <c r="I45" s="2" t="inlineStr">
        <is>
          <t>Write one English H1 that matches the verified product type and visible design; do not copy unsupported claims.</t>
        </is>
      </c>
      <c r="J45" s="2" t="inlineStr">
        <is>
          <t>The submitted workbook row has no proposed H1.</t>
        </is>
      </c>
      <c r="K45" s="2" t="inlineStr">
        <is>
          <t>Workbook contains a non-empty H1 and it is consistent with title, primary keyword and live product evidence.</t>
        </is>
      </c>
      <c r="L45" s="2" t="inlineStr">
        <is>
          <t>NOT_APPLICABLE</t>
        </is>
      </c>
    </row>
    <row r="46">
      <c r="A46" s="3" t="inlineStr">
        <is>
          <t>ISSUE-0045</t>
        </is>
      </c>
      <c r="B46" s="3" t="inlineStr">
        <is>
          <t>jeminise.com+personalized-baseball-bedding-full-size-flag-custom-name-d-design-12</t>
        </is>
      </c>
      <c r="C46" s="2" t="n"/>
      <c r="D46" s="2" t="inlineStr">
        <is>
          <t>MINOR</t>
        </is>
      </c>
      <c r="E46" s="2" t="inlineStr">
        <is>
          <t>meta_description_seo</t>
        </is>
      </c>
      <c r="F46" s="2" t="inlineStr">
        <is>
          <t>Shop a comforter set featuring cream baseball bedding with large pitcher silhouette, red baseball stitching and bold custom name. Review size and personalization options before checkout.</t>
        </is>
      </c>
      <c r="G46" s="2" t="inlineStr">
        <is>
          <t>Meta description length is 186 characters.</t>
        </is>
      </c>
      <c r="H46" s="2" t="inlineStr">
        <is>
          <t>Likely to truncate in search results and repeats review/personality wording in several rows.</t>
        </is>
      </c>
      <c r="I46" s="2" t="inlineStr">
        <is>
          <t>Rewrite to roughly 145-155 characters while preserving verified design and product type.</t>
        </is>
      </c>
      <c r="J46" s="2" t="inlineStr">
        <is>
          <t>Meta description length is 186 characters.</t>
        </is>
      </c>
      <c r="K46" s="2" t="inlineStr">
        <is>
          <t>Length check &lt;=160 characters and no unsupported claim remains.</t>
        </is>
      </c>
      <c r="L46" s="2" t="inlineStr">
        <is>
          <t>RESOLVED</t>
        </is>
      </c>
    </row>
    <row r="47">
      <c r="A47" s="3" t="inlineStr">
        <is>
          <t>ISSUE-0046</t>
        </is>
      </c>
      <c r="B47" s="3" t="inlineStr">
        <is>
          <t>jeminise.com+personalized-baseball-bedding-full-size-flag-custom-name-d-design-12</t>
        </is>
      </c>
      <c r="C47" s="2" t="n"/>
      <c r="D47" s="2" t="inlineStr">
        <is>
          <t>LIMITATION</t>
        </is>
      </c>
      <c r="E47" s="2" t="inlineStr">
        <is>
          <t>keyword_evidence_level</t>
        </is>
      </c>
      <c r="F47" s="2" t="inlineStr">
        <is>
          <t>SERP_ONLY</t>
        </is>
      </c>
      <c r="G47" s="2" t="inlineStr">
        <is>
          <t>Only public SERP comparables are available.</t>
        </is>
      </c>
      <c r="H47" s="2" t="inlineStr">
        <is>
          <t>No Search Console, paid keyword volume or internal site search export was supplied.</t>
        </is>
      </c>
      <c r="I47" s="2" t="inlineStr">
        <is>
          <t>Keep demand statements qualitative; do not claim volume or ranking potential.</t>
        </is>
      </c>
      <c r="J47" s="2" t="inlineStr">
        <is>
          <t>Only public SERP comparables are available.</t>
        </is>
      </c>
      <c r="K47" s="2" t="inlineStr">
        <is>
          <t>Additional first-party or paid keyword evidence is attached, or limitation remains documented.</t>
        </is>
      </c>
      <c r="L47" s="2" t="inlineStr">
        <is>
          <t>PERSISTS</t>
        </is>
      </c>
    </row>
    <row r="48">
      <c r="A48" s="3" t="inlineStr">
        <is>
          <t>ISSUE-0047</t>
        </is>
      </c>
      <c r="B48" s="3" t="inlineStr">
        <is>
          <t>jeminise.com+personalized-baseball-bedding-full-size-flag-custom-name-d-design-12</t>
        </is>
      </c>
      <c r="C48" s="2" t="inlineStr">
        <is>
          <t>img_6bc02af703e4857a</t>
        </is>
      </c>
      <c r="D48" s="2" t="inlineStr">
        <is>
          <t>MINOR</t>
        </is>
      </c>
      <c r="E48" s="2" t="inlineStr">
        <is>
          <t>alt text</t>
        </is>
      </c>
      <c r="F48" s="2" t="inlineStr">
        <is>
          <t>Pitcher Silhouette Baseball Bedding with Custom Name displayed in a main product mockup</t>
        </is>
      </c>
      <c r="G48" s="2" t="inlineStr">
        <is>
          <t>Fresh image file: D:\Shopify_Workspace\jeminise_seo\seo_runs\jeminise.com\20260906_234129\qa\20260907_213200\images\187_01.jpg; source URL: https://cdn.shopify.com/s/files/1/0792/5098/1063/files/a3a7588224cb02e1a3e3cdfb3d985059123d82c8235978721aed604186892c96.jpg?v=1787242289</t>
        </is>
      </c>
      <c r="H48" s="2" t="inlineStr">
        <is>
          <t>Alt text is too generic or describes placement more than visible content.</t>
        </is>
      </c>
      <c r="I48" s="2" t="inlineStr">
        <is>
          <t>Rewrite observation/alt from the directly opened image, naming the visible motif and use context.</t>
        </is>
      </c>
      <c r="J48" s="2" t="inlineStr">
        <is>
          <t>Fresh image file: D:\Shopify_Workspace\jeminise_seo\seo_runs\jeminise.com\20260906_234129\qa\20260907_213200\images\187_01.jpg; source URL: https://cdn.shopify.com/s/files/1/0792/5098/1063/files/a3a7588224cb02e1a3e3cdfb3d985059123d82c8235978721aed604186892c96.jpg?v=1787242289</t>
        </is>
      </c>
      <c r="K48" s="2" t="inlineStr">
        <is>
          <t>The image row accurately describes the actual media at this gallery position.</t>
        </is>
      </c>
      <c r="L48" s="2" t="inlineStr">
        <is>
          <t>RESOLVED</t>
        </is>
      </c>
    </row>
    <row r="49">
      <c r="A49" s="3" t="inlineStr">
        <is>
          <t>ISSUE-0048</t>
        </is>
      </c>
      <c r="B49" s="3" t="inlineStr">
        <is>
          <t>jeminise.com+personalized-baseball-bedding-full-size-flag-custom-name-d-design-12</t>
        </is>
      </c>
      <c r="C49" s="2" t="inlineStr">
        <is>
          <t>img_2e5a72a721b4ab3d</t>
        </is>
      </c>
      <c r="D49" s="2" t="inlineStr">
        <is>
          <t>MINOR</t>
        </is>
      </c>
      <c r="E49" s="2" t="inlineStr">
        <is>
          <t>image observation</t>
        </is>
      </c>
      <c r="F49" s="2" t="inlineStr">
        <is>
          <t>Bedding type, feature, lifestyle or material image for pitcher silhouette baseball bedding with custom name.</t>
        </is>
      </c>
      <c r="G49" s="2" t="inlineStr">
        <is>
          <t>Fresh image file: D:\Shopify_Workspace\jeminise_seo\seo_runs\jeminise.com\20260906_234129\qa\20260907_213200\images\187_03.jpg; source URL: https://cdn.shopify.com/s/files/1/0792/5098/1063/files/b495d9b37eafdceff5caf3643256f7b3a83de826d49a14bdc531b13424296018_c5730b89-f700-4d4d-91a6-81c7a9b068df.jpg?v=1787242289</t>
        </is>
      </c>
      <c r="H49" s="2" t="inlineStr">
        <is>
          <t>Observation is generic or position-based; rewrite from the actual image content.</t>
        </is>
      </c>
      <c r="I49" s="2" t="inlineStr">
        <is>
          <t>Rewrite observation/alt from the directly opened image, naming the visible motif and use context.</t>
        </is>
      </c>
      <c r="J49" s="2" t="inlineStr">
        <is>
          <t>Fresh image file: D:\Shopify_Workspace\jeminise_seo\seo_runs\jeminise.com\20260906_234129\qa\20260907_213200\images\187_03.jpg; source URL: https://cdn.shopify.com/s/files/1/0792/5098/1063/files/b495d9b37eafdceff5caf3643256f7b3a83de826d49a14bdc531b13424296018_c5730b89-f700-4d4d-91a6-81c7a9b068df.jpg?v=1787242289</t>
        </is>
      </c>
      <c r="K49" s="2" t="inlineStr">
        <is>
          <t>The image row accurately describes the actual media at this gallery position.</t>
        </is>
      </c>
      <c r="L49" s="2" t="inlineStr">
        <is>
          <t>RESOLVED</t>
        </is>
      </c>
    </row>
    <row r="50">
      <c r="A50" s="3" t="inlineStr">
        <is>
          <t>ISSUE-0049</t>
        </is>
      </c>
      <c r="B50" s="3" t="inlineStr">
        <is>
          <t>jeminise.com+personalized-baseball-bedding-full-size-flag-custom-name-d-design-12</t>
        </is>
      </c>
      <c r="C50" s="2" t="inlineStr">
        <is>
          <t>img_61bf16973c3891d6</t>
        </is>
      </c>
      <c r="D50" s="2" t="inlineStr">
        <is>
          <t>MINOR</t>
        </is>
      </c>
      <c r="E50" s="2" t="inlineStr">
        <is>
          <t>image observation</t>
        </is>
      </c>
      <c r="F50" s="2" t="inlineStr">
        <is>
          <t>Detail, feature panel or lifestyle image connected to pitcher silhouette baseball bedding with custom name.</t>
        </is>
      </c>
      <c r="G50" s="2" t="inlineStr">
        <is>
          <t>Fresh image file: D:\Shopify_Workspace\jeminise_seo\seo_runs\jeminise.com\20260906_234129\qa\20260907_213200\images\187_04.jpg; source URL: https://cdn.shopify.com/s/files/1/0792/5098/1063/files/d51e3360a3e4b984af63b01c4b53d517484ca3d6cb1beeea158bcf59acab9ed4_ee048bf7-2c61-43af-b6a9-476fa326ea53.jpg?v=1787242289</t>
        </is>
      </c>
      <c r="H50" s="2" t="inlineStr">
        <is>
          <t>Observation is generic or position-based; rewrite from the actual image content.</t>
        </is>
      </c>
      <c r="I50" s="2" t="inlineStr">
        <is>
          <t>Rewrite observation/alt from the directly opened image, naming the visible motif and use context.</t>
        </is>
      </c>
      <c r="J50" s="2" t="inlineStr">
        <is>
          <t>Fresh image file: D:\Shopify_Workspace\jeminise_seo\seo_runs\jeminise.com\20260906_234129\qa\20260907_213200\images\187_04.jpg; source URL: https://cdn.shopify.com/s/files/1/0792/5098/1063/files/d51e3360a3e4b984af63b01c4b53d517484ca3d6cb1beeea158bcf59acab9ed4_ee048bf7-2c61-43af-b6a9-476fa326ea53.jpg?v=1787242289</t>
        </is>
      </c>
      <c r="K50" s="2" t="inlineStr">
        <is>
          <t>The image row accurately describes the actual media at this gallery position.</t>
        </is>
      </c>
      <c r="L50" s="2" t="inlineStr">
        <is>
          <t>RESOLVED</t>
        </is>
      </c>
    </row>
    <row r="51">
      <c r="A51" s="3" t="inlineStr">
        <is>
          <t>ISSUE-0050</t>
        </is>
      </c>
      <c r="B51" s="3" t="inlineStr">
        <is>
          <t>jeminise.com+personalized-baseball-bedding-full-size-flag-custom-name-d-design-13</t>
        </is>
      </c>
      <c r="C51" s="2" t="n"/>
      <c r="D51" s="2" t="inlineStr">
        <is>
          <t>MAJOR</t>
        </is>
      </c>
      <c r="E51" s="2" t="inlineStr">
        <is>
          <t>description_proposed_html</t>
        </is>
      </c>
      <c r="F51" s="2"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t>
        </is>
      </c>
      <c r="G51" s="2" t="inlineStr">
        <is>
          <t>Draft contains SEO Use / QA approval wording.</t>
        </is>
      </c>
      <c r="H51" s="2" t="inlineStr">
        <is>
          <t>Internal workflow language is not publish-ready storefront copy.</t>
        </is>
      </c>
      <c r="I51" s="2" t="inlineStr">
        <is>
          <t>Remove internal QA/import block and replace with customer-facing verified copy.</t>
        </is>
      </c>
      <c r="J51" s="2" t="inlineStr">
        <is>
          <t>Draft contains SEO Use / QA approval wording.</t>
        </is>
      </c>
      <c r="K51" s="2" t="inlineStr">
        <is>
          <t>Description HTML no longer contains SEO Use, QA, approval, import or draft language.</t>
        </is>
      </c>
      <c r="L51" s="2" t="inlineStr">
        <is>
          <t>RESOLVED</t>
        </is>
      </c>
    </row>
    <row r="52">
      <c r="A52" s="3" t="inlineStr">
        <is>
          <t>ISSUE-0051</t>
        </is>
      </c>
      <c r="B52" s="3" t="inlineStr">
        <is>
          <t>jeminise.com+personalized-baseball-bedding-full-size-flag-custom-name-d-design-13</t>
        </is>
      </c>
      <c r="C52" s="2" t="n"/>
      <c r="D52" s="2" t="inlineStr">
        <is>
          <t>MAJOR</t>
        </is>
      </c>
      <c r="E52" s="2" t="inlineStr">
        <is>
          <t>h1_proposed</t>
        </is>
      </c>
      <c r="F52" s="2" t="inlineStr"/>
      <c r="G52" s="2" t="inlineStr">
        <is>
          <t>The submitted workbook row has no proposed H1.</t>
        </is>
      </c>
      <c r="H52" s="2" t="inlineStr">
        <is>
          <t>A publishable SEO title/H1 pair is incomplete when the H1 field is blank.</t>
        </is>
      </c>
      <c r="I52" s="2" t="inlineStr">
        <is>
          <t>Write one English H1 that matches the verified product type and visible design; do not copy unsupported claims.</t>
        </is>
      </c>
      <c r="J52" s="2" t="inlineStr">
        <is>
          <t>The submitted workbook row has no proposed H1.</t>
        </is>
      </c>
      <c r="K52" s="2" t="inlineStr">
        <is>
          <t>Workbook contains a non-empty H1 and it is consistent with title, primary keyword and live product evidence.</t>
        </is>
      </c>
      <c r="L52" s="2" t="inlineStr">
        <is>
          <t>NOT_APPLICABLE</t>
        </is>
      </c>
    </row>
    <row r="53">
      <c r="A53" s="3" t="inlineStr">
        <is>
          <t>ISSUE-0052</t>
        </is>
      </c>
      <c r="B53" s="3" t="inlineStr">
        <is>
          <t>jeminise.com+personalized-baseball-bedding-full-size-flag-custom-name-d-design-13</t>
        </is>
      </c>
      <c r="C53" s="2" t="n"/>
      <c r="D53" s="2" t="inlineStr">
        <is>
          <t>MINOR</t>
        </is>
      </c>
      <c r="E53" s="2" t="inlineStr">
        <is>
          <t>meta_description_seo</t>
        </is>
      </c>
      <c r="F53" s="2" t="inlineStr">
        <is>
          <t>Shop a comforter set featuring black baseball bedding with grayscale glove and ball artwork, script custom name and jersey number. Review size and personalization options before checkout.</t>
        </is>
      </c>
      <c r="G53" s="2" t="inlineStr">
        <is>
          <t>Meta description length is 187 characters.</t>
        </is>
      </c>
      <c r="H53" s="2" t="inlineStr">
        <is>
          <t>Likely to truncate in search results and repeats review/personality wording in several rows.</t>
        </is>
      </c>
      <c r="I53" s="2" t="inlineStr">
        <is>
          <t>Rewrite to roughly 145-155 characters while preserving verified design and product type.</t>
        </is>
      </c>
      <c r="J53" s="2" t="inlineStr">
        <is>
          <t>Meta description length is 187 characters.</t>
        </is>
      </c>
      <c r="K53" s="2" t="inlineStr">
        <is>
          <t>Length check &lt;=160 characters and no unsupported claim remains.</t>
        </is>
      </c>
      <c r="L53" s="2" t="inlineStr">
        <is>
          <t>RESOLVED</t>
        </is>
      </c>
    </row>
    <row r="54">
      <c r="A54" s="3" t="inlineStr">
        <is>
          <t>ISSUE-0053</t>
        </is>
      </c>
      <c r="B54" s="3" t="inlineStr">
        <is>
          <t>jeminise.com+personalized-baseball-bedding-full-size-flag-custom-name-d-design-13</t>
        </is>
      </c>
      <c r="C54" s="2" t="n"/>
      <c r="D54" s="2" t="inlineStr">
        <is>
          <t>LIMITATION</t>
        </is>
      </c>
      <c r="E54" s="2" t="inlineStr">
        <is>
          <t>keyword_evidence_level</t>
        </is>
      </c>
      <c r="F54" s="2" t="inlineStr">
        <is>
          <t>SERP_ONLY</t>
        </is>
      </c>
      <c r="G54" s="2" t="inlineStr">
        <is>
          <t>Only public SERP comparables are available.</t>
        </is>
      </c>
      <c r="H54" s="2" t="inlineStr">
        <is>
          <t>No Search Console, paid keyword volume or internal site search export was supplied.</t>
        </is>
      </c>
      <c r="I54" s="2" t="inlineStr">
        <is>
          <t>Keep demand statements qualitative; do not claim volume or ranking potential.</t>
        </is>
      </c>
      <c r="J54" s="2" t="inlineStr">
        <is>
          <t>Only public SERP comparables are available.</t>
        </is>
      </c>
      <c r="K54" s="2" t="inlineStr">
        <is>
          <t>Additional first-party or paid keyword evidence is attached, or limitation remains documented.</t>
        </is>
      </c>
      <c r="L54" s="2" t="inlineStr">
        <is>
          <t>PERSISTS</t>
        </is>
      </c>
    </row>
    <row r="55">
      <c r="A55" s="3" t="inlineStr">
        <is>
          <t>ISSUE-0054</t>
        </is>
      </c>
      <c r="B55" s="3" t="inlineStr">
        <is>
          <t>jeminise.com+personalized-baseball-bedding-full-size-flag-custom-name-d-design-13</t>
        </is>
      </c>
      <c r="C55" s="2" t="inlineStr">
        <is>
          <t>img_764a95892c0db783</t>
        </is>
      </c>
      <c r="D55" s="2" t="inlineStr">
        <is>
          <t>MINOR</t>
        </is>
      </c>
      <c r="E55" s="2" t="inlineStr">
        <is>
          <t>alt text</t>
        </is>
      </c>
      <c r="F55" s="2" t="inlineStr">
        <is>
          <t>Black Baseball Glove Bedding with Name and Number displayed in a main product mockup</t>
        </is>
      </c>
      <c r="G55" s="2" t="inlineStr">
        <is>
          <t>Fresh image file: D:\Shopify_Workspace\jeminise_seo\seo_runs\jeminise.com\20260906_234129\qa\20260907_213200\images\188_01.jpg; source URL: https://cdn.shopify.com/s/files/1/0792/5098/1063/files/b1a55687ac710fef17a03349d7df05659c4a75b04c898c8a647cf0f9b2bdfac4.jpg?v=1787242287</t>
        </is>
      </c>
      <c r="H55" s="2" t="inlineStr">
        <is>
          <t>Alt text is too generic or describes placement more than visible content.</t>
        </is>
      </c>
      <c r="I55" s="2" t="inlineStr">
        <is>
          <t>Rewrite observation/alt from the directly opened image, naming the visible motif and use context.</t>
        </is>
      </c>
      <c r="J55" s="2" t="inlineStr">
        <is>
          <t>Fresh image file: D:\Shopify_Workspace\jeminise_seo\seo_runs\jeminise.com\20260906_234129\qa\20260907_213200\images\188_01.jpg; source URL: https://cdn.shopify.com/s/files/1/0792/5098/1063/files/b1a55687ac710fef17a03349d7df05659c4a75b04c898c8a647cf0f9b2bdfac4.jpg?v=1787242287</t>
        </is>
      </c>
      <c r="K55" s="2" t="inlineStr">
        <is>
          <t>The image row accurately describes the actual media at this gallery position.</t>
        </is>
      </c>
      <c r="L55" s="2" t="inlineStr">
        <is>
          <t>RESOLVED</t>
        </is>
      </c>
    </row>
    <row r="56">
      <c r="A56" s="3" t="inlineStr">
        <is>
          <t>ISSUE-0055</t>
        </is>
      </c>
      <c r="B56" s="3" t="inlineStr">
        <is>
          <t>jeminise.com+personalized-baseball-bedding-full-size-flag-custom-name-d-design-13</t>
        </is>
      </c>
      <c r="C56" s="2" t="inlineStr">
        <is>
          <t>img_9aac26e673e458bb</t>
        </is>
      </c>
      <c r="D56" s="2" t="inlineStr">
        <is>
          <t>MINOR</t>
        </is>
      </c>
      <c r="E56" s="2" t="inlineStr">
        <is>
          <t>image observation</t>
        </is>
      </c>
      <c r="F56" s="2" t="inlineStr">
        <is>
          <t>Bedding type, feature, lifestyle or material image for black baseball glove bedding with name and number.</t>
        </is>
      </c>
      <c r="G56" s="2" t="inlineStr">
        <is>
          <t>Fresh image file: D:\Shopify_Workspace\jeminise_seo\seo_runs\jeminise.com\20260906_234129\qa\20260907_213200\images\188_03.jpg; source URL: https://cdn.shopify.com/s/files/1/0792/5098/1063/files/ef81c56fe7d5f4f60045bfbd0778e14ad11ce2a6824c23132d2b864ef763fe85_ba8cd586-2f34-470e-b46c-8742f4cb3596.jpg?v=1787242287</t>
        </is>
      </c>
      <c r="H56" s="2" t="inlineStr">
        <is>
          <t>Observation is generic or position-based; rewrite from the actual image content.</t>
        </is>
      </c>
      <c r="I56" s="2" t="inlineStr">
        <is>
          <t>Rewrite observation/alt from the directly opened image, naming the visible motif and use context.</t>
        </is>
      </c>
      <c r="J56" s="2" t="inlineStr">
        <is>
          <t>Fresh image file: D:\Shopify_Workspace\jeminise_seo\seo_runs\jeminise.com\20260906_234129\qa\20260907_213200\images\188_03.jpg; source URL: https://cdn.shopify.com/s/files/1/0792/5098/1063/files/ef81c56fe7d5f4f60045bfbd0778e14ad11ce2a6824c23132d2b864ef763fe85_ba8cd586-2f34-470e-b46c-8742f4cb3596.jpg?v=1787242287</t>
        </is>
      </c>
      <c r="K56" s="2" t="inlineStr">
        <is>
          <t>The image row accurately describes the actual media at this gallery position.</t>
        </is>
      </c>
      <c r="L56" s="2" t="inlineStr">
        <is>
          <t>RESOLVED</t>
        </is>
      </c>
    </row>
    <row r="57">
      <c r="A57" s="3" t="inlineStr">
        <is>
          <t>ISSUE-0056</t>
        </is>
      </c>
      <c r="B57" s="3" t="inlineStr">
        <is>
          <t>jeminise.com+personalized-baseball-bedding-full-size-flag-custom-name-d-design-13</t>
        </is>
      </c>
      <c r="C57" s="2" t="inlineStr">
        <is>
          <t>img_160d96b7a1fc005d</t>
        </is>
      </c>
      <c r="D57" s="2" t="inlineStr">
        <is>
          <t>MINOR</t>
        </is>
      </c>
      <c r="E57" s="2" t="inlineStr">
        <is>
          <t>image observation</t>
        </is>
      </c>
      <c r="F57" s="2" t="inlineStr">
        <is>
          <t>Detail, feature panel or lifestyle image connected to black baseball glove bedding with name and number.</t>
        </is>
      </c>
      <c r="G57" s="2" t="inlineStr">
        <is>
          <t>Fresh image file: D:\Shopify_Workspace\jeminise_seo\seo_runs\jeminise.com\20260906_234129\qa\20260907_213200\images\188_04.jpg; source URL: https://cdn.shopify.com/s/files/1/0792/5098/1063/files/b495d9b37eafdceff5caf3643256f7b3a83de826d49a14bdc531b13424296018_4a8dc283-a4f0-4723-82e1-5909c9adbcec.jpg?v=1787242287</t>
        </is>
      </c>
      <c r="H57" s="2" t="inlineStr">
        <is>
          <t>Observation is generic or position-based; rewrite from the actual image content.</t>
        </is>
      </c>
      <c r="I57" s="2" t="inlineStr">
        <is>
          <t>Rewrite observation/alt from the directly opened image, naming the visible motif and use context.</t>
        </is>
      </c>
      <c r="J57" s="2" t="inlineStr">
        <is>
          <t>Fresh image file: D:\Shopify_Workspace\jeminise_seo\seo_runs\jeminise.com\20260906_234129\qa\20260907_213200\images\188_04.jpg; source URL: https://cdn.shopify.com/s/files/1/0792/5098/1063/files/b495d9b37eafdceff5caf3643256f7b3a83de826d49a14bdc531b13424296018_4a8dc283-a4f0-4723-82e1-5909c9adbcec.jpg?v=1787242287</t>
        </is>
      </c>
      <c r="K57" s="2" t="inlineStr">
        <is>
          <t>The image row accurately describes the actual media at this gallery position.</t>
        </is>
      </c>
      <c r="L57" s="2" t="inlineStr">
        <is>
          <t>RESOLVED</t>
        </is>
      </c>
    </row>
    <row r="58">
      <c r="A58" s="3" t="inlineStr">
        <is>
          <t>ISSUE-0057</t>
        </is>
      </c>
      <c r="B58" s="3" t="inlineStr">
        <is>
          <t>jeminise.com+personalized-baseball-bedding-full-size-flag-custom-name-d-design-14</t>
        </is>
      </c>
      <c r="C58" s="2" t="n"/>
      <c r="D58" s="2" t="inlineStr">
        <is>
          <t>MAJOR</t>
        </is>
      </c>
      <c r="E58" s="2" t="inlineStr">
        <is>
          <t>description_proposed_html</t>
        </is>
      </c>
      <c r="F58" s="2"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t>
        </is>
      </c>
      <c r="G58" s="2" t="inlineStr">
        <is>
          <t>Draft contains SEO Use / QA approval wording.</t>
        </is>
      </c>
      <c r="H58" s="2" t="inlineStr">
        <is>
          <t>Internal workflow language is not publish-ready storefront copy.</t>
        </is>
      </c>
      <c r="I58" s="2" t="inlineStr">
        <is>
          <t>Remove internal QA/import block and replace with customer-facing verified copy.</t>
        </is>
      </c>
      <c r="J58" s="2" t="inlineStr">
        <is>
          <t>Draft contains SEO Use / QA approval wording.</t>
        </is>
      </c>
      <c r="K58" s="2" t="inlineStr">
        <is>
          <t>Description HTML no longer contains SEO Use, QA, approval, import or draft language.</t>
        </is>
      </c>
      <c r="L58" s="2" t="inlineStr">
        <is>
          <t>RESOLVED</t>
        </is>
      </c>
    </row>
    <row r="59">
      <c r="A59" s="3" t="inlineStr">
        <is>
          <t>ISSUE-0058</t>
        </is>
      </c>
      <c r="B59" s="3" t="inlineStr">
        <is>
          <t>jeminise.com+personalized-baseball-bedding-full-size-flag-custom-name-d-design-14</t>
        </is>
      </c>
      <c r="C59" s="2" t="n"/>
      <c r="D59" s="2" t="inlineStr">
        <is>
          <t>MAJOR</t>
        </is>
      </c>
      <c r="E59" s="2" t="inlineStr">
        <is>
          <t>h1_proposed</t>
        </is>
      </c>
      <c r="F59" s="2" t="inlineStr"/>
      <c r="G59" s="2" t="inlineStr">
        <is>
          <t>The submitted workbook row has no proposed H1.</t>
        </is>
      </c>
      <c r="H59" s="2" t="inlineStr">
        <is>
          <t>A publishable SEO title/H1 pair is incomplete when the H1 field is blank.</t>
        </is>
      </c>
      <c r="I59" s="2" t="inlineStr">
        <is>
          <t>Write one English H1 that matches the verified product type and visible design; do not copy unsupported claims.</t>
        </is>
      </c>
      <c r="J59" s="2" t="inlineStr">
        <is>
          <t>The submitted workbook row has no proposed H1.</t>
        </is>
      </c>
      <c r="K59" s="2" t="inlineStr">
        <is>
          <t>Workbook contains a non-empty H1 and it is consistent with title, primary keyword and live product evidence.</t>
        </is>
      </c>
      <c r="L59" s="2" t="inlineStr">
        <is>
          <t>NOT_APPLICABLE</t>
        </is>
      </c>
    </row>
    <row r="60">
      <c r="A60" s="3" t="inlineStr">
        <is>
          <t>ISSUE-0059</t>
        </is>
      </c>
      <c r="B60" s="3" t="inlineStr">
        <is>
          <t>jeminise.com+personalized-baseball-bedding-full-size-flag-custom-name-d-design-14</t>
        </is>
      </c>
      <c r="C60" s="2" t="n"/>
      <c r="D60" s="2" t="inlineStr">
        <is>
          <t>MINOR</t>
        </is>
      </c>
      <c r="E60" s="2" t="inlineStr">
        <is>
          <t>meta_description_seo</t>
        </is>
      </c>
      <c r="F60" s="2" t="inlineStr">
        <is>
          <t>Shop a comforter set featuring light blue striped bedding with oversized baseball graphic and custom name printed across the ball. Review size and personalization options before checkout.</t>
        </is>
      </c>
      <c r="G60" s="2" t="inlineStr">
        <is>
          <t>Meta description length is 187 characters.</t>
        </is>
      </c>
      <c r="H60" s="2" t="inlineStr">
        <is>
          <t>Likely to truncate in search results and repeats review/personality wording in several rows.</t>
        </is>
      </c>
      <c r="I60" s="2" t="inlineStr">
        <is>
          <t>Rewrite to roughly 145-155 characters while preserving verified design and product type.</t>
        </is>
      </c>
      <c r="J60" s="2" t="inlineStr">
        <is>
          <t>Meta description length is 187 characters.</t>
        </is>
      </c>
      <c r="K60" s="2" t="inlineStr">
        <is>
          <t>Length check &lt;=160 characters and no unsupported claim remains.</t>
        </is>
      </c>
      <c r="L60" s="2" t="inlineStr">
        <is>
          <t>RESOLVED</t>
        </is>
      </c>
    </row>
    <row r="61">
      <c r="A61" s="3" t="inlineStr">
        <is>
          <t>ISSUE-0060</t>
        </is>
      </c>
      <c r="B61" s="3" t="inlineStr">
        <is>
          <t>jeminise.com+personalized-baseball-bedding-full-size-flag-custom-name-d-design-14</t>
        </is>
      </c>
      <c r="C61" s="2" t="n"/>
      <c r="D61" s="2" t="inlineStr">
        <is>
          <t>LIMITATION</t>
        </is>
      </c>
      <c r="E61" s="2" t="inlineStr">
        <is>
          <t>keyword_evidence_level</t>
        </is>
      </c>
      <c r="F61" s="2" t="inlineStr">
        <is>
          <t>SERP_ONLY</t>
        </is>
      </c>
      <c r="G61" s="2" t="inlineStr">
        <is>
          <t>Only public SERP comparables are available.</t>
        </is>
      </c>
      <c r="H61" s="2" t="inlineStr">
        <is>
          <t>No Search Console, paid keyword volume or internal site search export was supplied.</t>
        </is>
      </c>
      <c r="I61" s="2" t="inlineStr">
        <is>
          <t>Keep demand statements qualitative; do not claim volume or ranking potential.</t>
        </is>
      </c>
      <c r="J61" s="2" t="inlineStr">
        <is>
          <t>Only public SERP comparables are available.</t>
        </is>
      </c>
      <c r="K61" s="2" t="inlineStr">
        <is>
          <t>Additional first-party or paid keyword evidence is attached, or limitation remains documented.</t>
        </is>
      </c>
      <c r="L61" s="2" t="inlineStr">
        <is>
          <t>PERSISTS</t>
        </is>
      </c>
    </row>
    <row r="62">
      <c r="A62" s="3" t="inlineStr">
        <is>
          <t>ISSUE-0061</t>
        </is>
      </c>
      <c r="B62" s="3" t="inlineStr">
        <is>
          <t>jeminise.com+personalized-baseball-bedding-full-size-flag-custom-name-d-design-14</t>
        </is>
      </c>
      <c r="C62" s="2" t="inlineStr">
        <is>
          <t>img_2fdff9713f927d1e</t>
        </is>
      </c>
      <c r="D62" s="2" t="inlineStr">
        <is>
          <t>MINOR</t>
        </is>
      </c>
      <c r="E62" s="2" t="inlineStr">
        <is>
          <t>alt text</t>
        </is>
      </c>
      <c r="F62" s="2" t="inlineStr">
        <is>
          <t>Blue Striped Baseball Bedding with Custom Name displayed in a main product mockup</t>
        </is>
      </c>
      <c r="G62" s="2" t="inlineStr">
        <is>
          <t>Fresh image file: D:\Shopify_Workspace\jeminise_seo\seo_runs\jeminise.com\20260906_234129\qa\20260907_213200\images\189_01.jpg; source URL: https://cdn.shopify.com/s/files/1/0792/5098/1063/files/ee03510fe9336bb706be4887685f8efc23f52558e7f8c421b81f75897fd38d63.jpg?v=1787242298</t>
        </is>
      </c>
      <c r="H62" s="2" t="inlineStr">
        <is>
          <t>Alt text is too generic or describes placement more than visible content.</t>
        </is>
      </c>
      <c r="I62" s="2" t="inlineStr">
        <is>
          <t>Rewrite observation/alt from the directly opened image, naming the visible motif and use context.</t>
        </is>
      </c>
      <c r="J62" s="2" t="inlineStr">
        <is>
          <t>Fresh image file: D:\Shopify_Workspace\jeminise_seo\seo_runs\jeminise.com\20260906_234129\qa\20260907_213200\images\189_01.jpg; source URL: https://cdn.shopify.com/s/files/1/0792/5098/1063/files/ee03510fe9336bb706be4887685f8efc23f52558e7f8c421b81f75897fd38d63.jpg?v=1787242298</t>
        </is>
      </c>
      <c r="K62" s="2" t="inlineStr">
        <is>
          <t>The image row accurately describes the actual media at this gallery position.</t>
        </is>
      </c>
      <c r="L62" s="2" t="inlineStr">
        <is>
          <t>RESOLVED</t>
        </is>
      </c>
    </row>
    <row r="63">
      <c r="A63" s="3" t="inlineStr">
        <is>
          <t>ISSUE-0062</t>
        </is>
      </c>
      <c r="B63" s="3" t="inlineStr">
        <is>
          <t>jeminise.com+personalized-baseball-bedding-full-size-flag-custom-name-d-design-14</t>
        </is>
      </c>
      <c r="C63" s="2" t="inlineStr">
        <is>
          <t>img_0d9b9f16843e6f5e</t>
        </is>
      </c>
      <c r="D63" s="2" t="inlineStr">
        <is>
          <t>MINOR</t>
        </is>
      </c>
      <c r="E63" s="2" t="inlineStr">
        <is>
          <t>image observation</t>
        </is>
      </c>
      <c r="F63" s="2" t="inlineStr">
        <is>
          <t>Bedding type, feature, lifestyle or material image for blue striped baseball bedding with name on ball.</t>
        </is>
      </c>
      <c r="G63" s="2" t="inlineStr">
        <is>
          <t>Fresh image file: D:\Shopify_Workspace\jeminise_seo\seo_runs\jeminise.com\20260906_234129\qa\20260907_213200\images\189_03.jpg; source URL: https://cdn.shopify.com/s/files/1/0792/5098/1063/files/d51e3360a3e4b984af63b01c4b53d517484ca3d6cb1beeea158bcf59acab9ed4_7ada0386-ab38-4643-9b5f-2f7b2137dfb7.jpg?v=1787242298</t>
        </is>
      </c>
      <c r="H63" s="2" t="inlineStr">
        <is>
          <t>Observation is generic or position-based; rewrite from the actual image content.</t>
        </is>
      </c>
      <c r="I63" s="2" t="inlineStr">
        <is>
          <t>Rewrite observation/alt from the directly opened image, naming the visible motif and use context.</t>
        </is>
      </c>
      <c r="J63" s="2" t="inlineStr">
        <is>
          <t>Fresh image file: D:\Shopify_Workspace\jeminise_seo\seo_runs\jeminise.com\20260906_234129\qa\20260907_213200\images\189_03.jpg; source URL: https://cdn.shopify.com/s/files/1/0792/5098/1063/files/d51e3360a3e4b984af63b01c4b53d517484ca3d6cb1beeea158bcf59acab9ed4_7ada0386-ab38-4643-9b5f-2f7b2137dfb7.jpg?v=1787242298</t>
        </is>
      </c>
      <c r="K63" s="2" t="inlineStr">
        <is>
          <t>The image row accurately describes the actual media at this gallery position.</t>
        </is>
      </c>
      <c r="L63" s="2" t="inlineStr">
        <is>
          <t>RESOLVED</t>
        </is>
      </c>
    </row>
    <row r="64">
      <c r="A64" s="3" t="inlineStr">
        <is>
          <t>ISSUE-0063</t>
        </is>
      </c>
      <c r="B64" s="3" t="inlineStr">
        <is>
          <t>jeminise.com+personalized-baseball-bedding-full-size-flag-custom-name-d-design-14</t>
        </is>
      </c>
      <c r="C64" s="2" t="inlineStr">
        <is>
          <t>img_4a8d76453f518d1b</t>
        </is>
      </c>
      <c r="D64" s="2" t="inlineStr">
        <is>
          <t>MINOR</t>
        </is>
      </c>
      <c r="E64" s="2" t="inlineStr">
        <is>
          <t>image observation</t>
        </is>
      </c>
      <c r="F64" s="2" t="inlineStr">
        <is>
          <t>Detail, feature panel or lifestyle image connected to blue striped baseball bedding with name on ball.</t>
        </is>
      </c>
      <c r="G64" s="2" t="inlineStr">
        <is>
          <t>Fresh image file: D:\Shopify_Workspace\jeminise_seo\seo_runs\jeminise.com\20260906_234129\qa\20260907_213200\images\189_04.jpg; source URL: https://cdn.shopify.com/s/files/1/0792/5098/1063/files/ef81c56fe7d5f4f60045bfbd0778e14ad11ce2a6824c23132d2b864ef763fe85_de7307cd-6f52-4591-a335-3b64c709339f.jpg?v=1787242298</t>
        </is>
      </c>
      <c r="H64" s="2" t="inlineStr">
        <is>
          <t>Observation is generic or position-based; rewrite from the actual image content.</t>
        </is>
      </c>
      <c r="I64" s="2" t="inlineStr">
        <is>
          <t>Rewrite observation/alt from the directly opened image, naming the visible motif and use context.</t>
        </is>
      </c>
      <c r="J64" s="2" t="inlineStr">
        <is>
          <t>Fresh image file: D:\Shopify_Workspace\jeminise_seo\seo_runs\jeminise.com\20260906_234129\qa\20260907_213200\images\189_04.jpg; source URL: https://cdn.shopify.com/s/files/1/0792/5098/1063/files/ef81c56fe7d5f4f60045bfbd0778e14ad11ce2a6824c23132d2b864ef763fe85_de7307cd-6f52-4591-a335-3b64c709339f.jpg?v=1787242298</t>
        </is>
      </c>
      <c r="K64" s="2" t="inlineStr">
        <is>
          <t>The image row accurately describes the actual media at this gallery position.</t>
        </is>
      </c>
      <c r="L64" s="2" t="inlineStr">
        <is>
          <t>RESOLVED</t>
        </is>
      </c>
    </row>
    <row r="65">
      <c r="A65" s="3" t="inlineStr">
        <is>
          <t>ISSUE-0064</t>
        </is>
      </c>
      <c r="B65" s="3" t="inlineStr">
        <is>
          <t>jeminise.com+personalized-baseball-bedding-full-size-flag-custom-name-d-design-15</t>
        </is>
      </c>
      <c r="C65" s="2" t="n"/>
      <c r="D65" s="2" t="inlineStr">
        <is>
          <t>MAJOR</t>
        </is>
      </c>
      <c r="E65" s="2" t="inlineStr">
        <is>
          <t>description_proposed_html</t>
        </is>
      </c>
      <c r="F65" s="2"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t>
        </is>
      </c>
      <c r="G65" s="2" t="inlineStr">
        <is>
          <t>Draft contains SEO Use / QA approval wording.</t>
        </is>
      </c>
      <c r="H65" s="2" t="inlineStr">
        <is>
          <t>Internal workflow language is not publish-ready storefront copy.</t>
        </is>
      </c>
      <c r="I65" s="2" t="inlineStr">
        <is>
          <t>Remove internal QA/import block and replace with customer-facing verified copy.</t>
        </is>
      </c>
      <c r="J65" s="2" t="inlineStr">
        <is>
          <t>Draft contains SEO Use / QA approval wording.</t>
        </is>
      </c>
      <c r="K65" s="2" t="inlineStr">
        <is>
          <t>Description HTML no longer contains SEO Use, QA, approval, import or draft language.</t>
        </is>
      </c>
      <c r="L65" s="2" t="inlineStr">
        <is>
          <t>RESOLVED</t>
        </is>
      </c>
    </row>
    <row r="66">
      <c r="A66" s="3" t="inlineStr">
        <is>
          <t>ISSUE-0065</t>
        </is>
      </c>
      <c r="B66" s="3" t="inlineStr">
        <is>
          <t>jeminise.com+personalized-baseball-bedding-full-size-flag-custom-name-d-design-15</t>
        </is>
      </c>
      <c r="C66" s="2" t="n"/>
      <c r="D66" s="2" t="inlineStr">
        <is>
          <t>MAJOR</t>
        </is>
      </c>
      <c r="E66" s="2" t="inlineStr">
        <is>
          <t>h1_proposed</t>
        </is>
      </c>
      <c r="F66" s="2" t="inlineStr"/>
      <c r="G66" s="2" t="inlineStr">
        <is>
          <t>The submitted workbook row has no proposed H1.</t>
        </is>
      </c>
      <c r="H66" s="2" t="inlineStr">
        <is>
          <t>A publishable SEO title/H1 pair is incomplete when the H1 field is blank.</t>
        </is>
      </c>
      <c r="I66" s="2" t="inlineStr">
        <is>
          <t>Write one English H1 that matches the verified product type and visible design; do not copy unsupported claims.</t>
        </is>
      </c>
      <c r="J66" s="2" t="inlineStr">
        <is>
          <t>The submitted workbook row has no proposed H1.</t>
        </is>
      </c>
      <c r="K66" s="2" t="inlineStr">
        <is>
          <t>Workbook contains a non-empty H1 and it is consistent with title, primary keyword and live product evidence.</t>
        </is>
      </c>
      <c r="L66" s="2" t="inlineStr">
        <is>
          <t>NOT_APPLICABLE</t>
        </is>
      </c>
    </row>
    <row r="67">
      <c r="A67" s="3" t="inlineStr">
        <is>
          <t>ISSUE-0066</t>
        </is>
      </c>
      <c r="B67" s="3" t="inlineStr">
        <is>
          <t>jeminise.com+personalized-baseball-bedding-full-size-flag-custom-name-d-design-15</t>
        </is>
      </c>
      <c r="C67" s="2" t="n"/>
      <c r="D67" s="2" t="inlineStr">
        <is>
          <t>MINOR</t>
        </is>
      </c>
      <c r="E67" s="2" t="inlineStr">
        <is>
          <t>meta_description_seo</t>
        </is>
      </c>
      <c r="F67" s="2" t="inlineStr">
        <is>
          <t>Shop a comforter set featuring dark blue galaxy baseball bedding with large baseball, script custom name and bold jersey number. Review size and personalization options before checkout.</t>
        </is>
      </c>
      <c r="G67" s="2" t="inlineStr">
        <is>
          <t>Meta description length is 185 characters.</t>
        </is>
      </c>
      <c r="H67" s="2" t="inlineStr">
        <is>
          <t>Likely to truncate in search results and repeats review/personality wording in several rows.</t>
        </is>
      </c>
      <c r="I67" s="2" t="inlineStr">
        <is>
          <t>Rewrite to roughly 145-155 characters while preserving verified design and product type.</t>
        </is>
      </c>
      <c r="J67" s="2" t="inlineStr">
        <is>
          <t>Meta description length is 185 characters.</t>
        </is>
      </c>
      <c r="K67" s="2" t="inlineStr">
        <is>
          <t>Length check &lt;=160 characters and no unsupported claim remains.</t>
        </is>
      </c>
      <c r="L67" s="2" t="inlineStr">
        <is>
          <t>RESOLVED</t>
        </is>
      </c>
    </row>
    <row r="68">
      <c r="A68" s="3" t="inlineStr">
        <is>
          <t>ISSUE-0067</t>
        </is>
      </c>
      <c r="B68" s="3" t="inlineStr">
        <is>
          <t>jeminise.com+personalized-baseball-bedding-full-size-flag-custom-name-d-design-15</t>
        </is>
      </c>
      <c r="C68" s="2" t="n"/>
      <c r="D68" s="2" t="inlineStr">
        <is>
          <t>LIMITATION</t>
        </is>
      </c>
      <c r="E68" s="2" t="inlineStr">
        <is>
          <t>keyword_evidence_level</t>
        </is>
      </c>
      <c r="F68" s="2" t="inlineStr">
        <is>
          <t>SERP_ONLY</t>
        </is>
      </c>
      <c r="G68" s="2" t="inlineStr">
        <is>
          <t>Only public SERP comparables are available.</t>
        </is>
      </c>
      <c r="H68" s="2" t="inlineStr">
        <is>
          <t>No Search Console, paid keyword volume or internal site search export was supplied.</t>
        </is>
      </c>
      <c r="I68" s="2" t="inlineStr">
        <is>
          <t>Keep demand statements qualitative; do not claim volume or ranking potential.</t>
        </is>
      </c>
      <c r="J68" s="2" t="inlineStr">
        <is>
          <t>Only public SERP comparables are available.</t>
        </is>
      </c>
      <c r="K68" s="2" t="inlineStr">
        <is>
          <t>Additional first-party or paid keyword evidence is attached, or limitation remains documented.</t>
        </is>
      </c>
      <c r="L68" s="2" t="inlineStr">
        <is>
          <t>PERSISTS</t>
        </is>
      </c>
    </row>
    <row r="69">
      <c r="A69" s="3" t="inlineStr">
        <is>
          <t>ISSUE-0068</t>
        </is>
      </c>
      <c r="B69" s="3" t="inlineStr">
        <is>
          <t>jeminise.com+personalized-baseball-bedding-full-size-flag-custom-name-d-design-15</t>
        </is>
      </c>
      <c r="C69" s="2" t="inlineStr">
        <is>
          <t>img_a0e38328a5c4639e</t>
        </is>
      </c>
      <c r="D69" s="2" t="inlineStr">
        <is>
          <t>MINOR</t>
        </is>
      </c>
      <c r="E69" s="2" t="inlineStr">
        <is>
          <t>alt text</t>
        </is>
      </c>
      <c r="F69" s="2" t="inlineStr">
        <is>
          <t>Galaxy Baseball Bedding with Custom Name and Number displayed in a main product mockup</t>
        </is>
      </c>
      <c r="G69" s="2" t="inlineStr">
        <is>
          <t>Fresh image file: D:\Shopify_Workspace\jeminise_seo\seo_runs\jeminise.com\20260906_234129\qa\20260907_213200\images\190_01.jpg; source URL: https://cdn.shopify.com/s/files/1/0792/5098/1063/files/c348d936be646a1acfb4ca9b0e001f0668ce4f86c27fb4d7641115a01f9bb8ef.jpg?v=1787242300</t>
        </is>
      </c>
      <c r="H69" s="2" t="inlineStr">
        <is>
          <t>Alt text is too generic or describes placement more than visible content.</t>
        </is>
      </c>
      <c r="I69" s="2" t="inlineStr">
        <is>
          <t>Rewrite observation/alt from the directly opened image, naming the visible motif and use context.</t>
        </is>
      </c>
      <c r="J69" s="2" t="inlineStr">
        <is>
          <t>Fresh image file: D:\Shopify_Workspace\jeminise_seo\seo_runs\jeminise.com\20260906_234129\qa\20260907_213200\images\190_01.jpg; source URL: https://cdn.shopify.com/s/files/1/0792/5098/1063/files/c348d936be646a1acfb4ca9b0e001f0668ce4f86c27fb4d7641115a01f9bb8ef.jpg?v=1787242300</t>
        </is>
      </c>
      <c r="K69" s="2" t="inlineStr">
        <is>
          <t>The image row accurately describes the actual media at this gallery position.</t>
        </is>
      </c>
      <c r="L69" s="2" t="inlineStr">
        <is>
          <t>RESOLVED</t>
        </is>
      </c>
    </row>
    <row r="70">
      <c r="A70" s="3" t="inlineStr">
        <is>
          <t>ISSUE-0069</t>
        </is>
      </c>
      <c r="B70" s="3" t="inlineStr">
        <is>
          <t>jeminise.com+personalized-baseball-bedding-full-size-flag-custom-name-d-design-15</t>
        </is>
      </c>
      <c r="C70" s="2" t="inlineStr">
        <is>
          <t>img_e6639d2f42644369</t>
        </is>
      </c>
      <c r="D70" s="2" t="inlineStr">
        <is>
          <t>MINOR</t>
        </is>
      </c>
      <c r="E70" s="2" t="inlineStr">
        <is>
          <t>image observation</t>
        </is>
      </c>
      <c r="F70" s="2" t="inlineStr">
        <is>
          <t>Bedding type, feature, lifestyle or material image for galaxy baseball bedding with custom name and number.</t>
        </is>
      </c>
      <c r="G70" s="2" t="inlineStr">
        <is>
          <t>Fresh image file: D:\Shopify_Workspace\jeminise_seo\seo_runs\jeminise.com\20260906_234129\qa\20260907_213200\images\190_03.jpg; source URL: https://cdn.shopify.com/s/files/1/0792/5098/1063/files/b495d9b37eafdceff5caf3643256f7b3a83de826d49a14bdc531b13424296018_9a9a0e38-5509-44d6-9f5a-daa2a82ea3cf.jpg?v=1787242300</t>
        </is>
      </c>
      <c r="H70" s="2" t="inlineStr">
        <is>
          <t>Observation is generic or position-based; rewrite from the actual image content.</t>
        </is>
      </c>
      <c r="I70" s="2" t="inlineStr">
        <is>
          <t>Rewrite observation/alt from the directly opened image, naming the visible motif and use context.</t>
        </is>
      </c>
      <c r="J70" s="2" t="inlineStr">
        <is>
          <t>Fresh image file: D:\Shopify_Workspace\jeminise_seo\seo_runs\jeminise.com\20260906_234129\qa\20260907_213200\images\190_03.jpg; source URL: https://cdn.shopify.com/s/files/1/0792/5098/1063/files/b495d9b37eafdceff5caf3643256f7b3a83de826d49a14bdc531b13424296018_9a9a0e38-5509-44d6-9f5a-daa2a82ea3cf.jpg?v=1787242300</t>
        </is>
      </c>
      <c r="K70" s="2" t="inlineStr">
        <is>
          <t>The image row accurately describes the actual media at this gallery position.</t>
        </is>
      </c>
      <c r="L70" s="2" t="inlineStr">
        <is>
          <t>RESOLVED</t>
        </is>
      </c>
    </row>
    <row r="71">
      <c r="A71" s="3" t="inlineStr">
        <is>
          <t>ISSUE-0070</t>
        </is>
      </c>
      <c r="B71" s="3" t="inlineStr">
        <is>
          <t>jeminise.com+personalized-baseball-bedding-full-size-flag-custom-name-d-design-15</t>
        </is>
      </c>
      <c r="C71" s="2" t="inlineStr">
        <is>
          <t>img_d6ec23a44ed7116e</t>
        </is>
      </c>
      <c r="D71" s="2" t="inlineStr">
        <is>
          <t>MINOR</t>
        </is>
      </c>
      <c r="E71" s="2" t="inlineStr">
        <is>
          <t>image observation</t>
        </is>
      </c>
      <c r="F71" s="2" t="inlineStr">
        <is>
          <t>Detail, feature panel or lifestyle image connected to galaxy baseball bedding with custom name and number.</t>
        </is>
      </c>
      <c r="G71" s="2" t="inlineStr">
        <is>
          <t>Fresh image file: D:\Shopify_Workspace\jeminise_seo\seo_runs\jeminise.com\20260906_234129\qa\20260907_213200\images\190_04.jpg; source URL: https://cdn.shopify.com/s/files/1/0792/5098/1063/files/d51e3360a3e4b984af63b01c4b53d517484ca3d6cb1beeea158bcf59acab9ed4_abb774eb-d928-458c-83b5-1fb2af3ce77e.jpg?v=1787242300</t>
        </is>
      </c>
      <c r="H71" s="2" t="inlineStr">
        <is>
          <t>Observation is generic or position-based; rewrite from the actual image content.</t>
        </is>
      </c>
      <c r="I71" s="2" t="inlineStr">
        <is>
          <t>Rewrite observation/alt from the directly opened image, naming the visible motif and use context.</t>
        </is>
      </c>
      <c r="J71" s="2" t="inlineStr">
        <is>
          <t>Fresh image file: D:\Shopify_Workspace\jeminise_seo\seo_runs\jeminise.com\20260906_234129\qa\20260907_213200\images\190_04.jpg; source URL: https://cdn.shopify.com/s/files/1/0792/5098/1063/files/d51e3360a3e4b984af63b01c4b53d517484ca3d6cb1beeea158bcf59acab9ed4_abb774eb-d928-458c-83b5-1fb2af3ce77e.jpg?v=1787242300</t>
        </is>
      </c>
      <c r="K71" s="2" t="inlineStr">
        <is>
          <t>The image row accurately describes the actual media at this gallery position.</t>
        </is>
      </c>
      <c r="L71" s="2" t="inlineStr">
        <is>
          <t>RESOLVED</t>
        </is>
      </c>
    </row>
    <row r="72">
      <c r="A72" s="3" t="inlineStr">
        <is>
          <t>ISSUE-0071</t>
        </is>
      </c>
      <c r="B72" s="3" t="inlineStr">
        <is>
          <t>jeminise.com+personalized-baseball-bedding-full-size-flag-custom-name-d-design-06</t>
        </is>
      </c>
      <c r="C72" s="2" t="n"/>
      <c r="D72" s="2" t="inlineStr">
        <is>
          <t>MAJOR</t>
        </is>
      </c>
      <c r="E72" s="2" t="inlineStr">
        <is>
          <t>description_proposed_html</t>
        </is>
      </c>
      <c r="F72" s="2" t="inlineStr">
        <is>
          <t>&lt;p&gt;Custom Baseball Glove Name Bedding features brown baseball glove bedding with close-up baseball, glove leather texture, netting and sample name and number text. The page copy focuses on the specific visible design, product type and verified custom fields.&lt;/p&gt;&lt;h3&gt;Design Details&lt;/h3&gt;&lt;ul&gt;&lt;li&gt;Artwork...</t>
        </is>
      </c>
      <c r="G72"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2" s="2" t="inlineStr">
        <is>
          <t>Internal verification notes and missing consumer specifications degrade conversion rate and customer experience.</t>
        </is>
      </c>
      <c r="I72"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2" s="2" t="inlineStr">
        <is>
          <t>Direct visual inspection of gallery infographics and live storefront options.</t>
        </is>
      </c>
      <c r="K72" s="2" t="inlineStr">
        <is>
          <t>Storefront description is clean, customer-facing, and accurately details Comforter vs Duvet Cover, sizing, personalization, and care without meta-notes.</t>
        </is>
      </c>
      <c r="L72" s="2" t="inlineStr">
        <is>
          <t>NEW</t>
        </is>
      </c>
    </row>
    <row r="73">
      <c r="A73" s="3" t="inlineStr">
        <is>
          <t>ISSUE-0072</t>
        </is>
      </c>
      <c r="B73" s="3" t="inlineStr">
        <is>
          <t>jeminise.com+personalized-baseball-bedding-full-size-flag-custom-name-d-design-07</t>
        </is>
      </c>
      <c r="C73" s="2" t="n"/>
      <c r="D73" s="2" t="inlineStr">
        <is>
          <t>MAJOR</t>
        </is>
      </c>
      <c r="E73" s="2" t="inlineStr">
        <is>
          <t>description_proposed_html</t>
        </is>
      </c>
      <c r="F73" s="2" t="inlineStr">
        <is>
          <t>&lt;p&gt;Custom Baseball Flag Name Bedding features red, white and blue American flag bedding with a large baseball and sample cursive name near the bottom edge. The page copy focuses on the specific visible design, product type and verified custom fields.&lt;/p&gt;&lt;h3&gt;Design Details&lt;/h3&gt;&lt;ul&gt;&lt;li&gt;Artwork: red, w...</t>
        </is>
      </c>
      <c r="G73"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3" s="2" t="inlineStr">
        <is>
          <t>Internal verification notes and missing consumer specifications degrade conversion rate and customer experience.</t>
        </is>
      </c>
      <c r="I73"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3" s="2" t="inlineStr">
        <is>
          <t>Direct visual inspection of gallery infographics and live storefront options.</t>
        </is>
      </c>
      <c r="K73" s="2" t="inlineStr">
        <is>
          <t>Storefront description is clean, customer-facing, and accurately details Comforter vs Duvet Cover, sizing, personalization, and care without meta-notes.</t>
        </is>
      </c>
      <c r="L73" s="2" t="inlineStr">
        <is>
          <t>NEW</t>
        </is>
      </c>
    </row>
    <row r="74">
      <c r="A74" s="3" t="inlineStr">
        <is>
          <t>ISSUE-0073</t>
        </is>
      </c>
      <c r="B74" s="3" t="inlineStr">
        <is>
          <t>jeminise.com+personalized-baseball-bedding-full-size-flag-custom-name-d-design-08</t>
        </is>
      </c>
      <c r="C74" s="2" t="n"/>
      <c r="D74" s="2" t="inlineStr">
        <is>
          <t>MAJOR</t>
        </is>
      </c>
      <c r="E74" s="2" t="inlineStr">
        <is>
          <t>description_proposed_html</t>
        </is>
      </c>
      <c r="F74" s="2" t="inlineStr">
        <is>
          <t>&lt;p&gt;Custom Baseball Flag Glove Bedding features distressed American flag baseball bedding with glove corners, oversized baseball, sample name and large sample number. The page copy focuses on the specific visible design, product type and verified custom fields.&lt;/p&gt;&lt;h3&gt;Design Details&lt;/h3&gt;&lt;ul&gt;&lt;li&gt;Artwo...</t>
        </is>
      </c>
      <c r="G74"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4" s="2" t="inlineStr">
        <is>
          <t>Internal verification notes and missing consumer specifications degrade conversion rate and customer experience.</t>
        </is>
      </c>
      <c r="I74"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4" s="2" t="inlineStr">
        <is>
          <t>Direct visual inspection of gallery infographics and live storefront options.</t>
        </is>
      </c>
      <c r="K74" s="2" t="inlineStr">
        <is>
          <t>Storefront description is clean, customer-facing, and accurately details Comforter vs Duvet Cover, sizing, personalization, and care without meta-notes.</t>
        </is>
      </c>
      <c r="L74" s="2" t="inlineStr">
        <is>
          <t>NEW</t>
        </is>
      </c>
    </row>
    <row r="75">
      <c r="A75" s="3" t="inlineStr">
        <is>
          <t>ISSUE-0074</t>
        </is>
      </c>
      <c r="B75" s="3" t="inlineStr">
        <is>
          <t>jeminise.com+personalized-baseball-bedding-full-size-flag-custom-name-d-design-09</t>
        </is>
      </c>
      <c r="C75" s="2" t="n"/>
      <c r="D75" s="2" t="inlineStr">
        <is>
          <t>MAJOR</t>
        </is>
      </c>
      <c r="E75" s="2" t="inlineStr">
        <is>
          <t>description_proposed_html</t>
        </is>
      </c>
      <c r="F75" s="2" t="inlineStr">
        <is>
          <t>&lt;p&gt;Custom Close-Up Baseball Glove Bedding features close-up brown baseball glove and ball bedding with sample name printed across the baseball. The page copy focuses on the specific visible design, product type and verified custom fields.&lt;/p&gt;&lt;h3&gt;Design Details&lt;/h3&gt;&lt;ul&gt;&lt;li&gt;Artwork: close-up brown bas...</t>
        </is>
      </c>
      <c r="G75"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5" s="2" t="inlineStr">
        <is>
          <t>Internal verification notes and missing consumer specifications degrade conversion rate and customer experience.</t>
        </is>
      </c>
      <c r="I75"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5" s="2" t="inlineStr">
        <is>
          <t>Direct visual inspection of gallery infographics and live storefront options.</t>
        </is>
      </c>
      <c r="K75" s="2" t="inlineStr">
        <is>
          <t>Storefront description is clean, customer-facing, and accurately details Comforter vs Duvet Cover, sizing, personalization, and care without meta-notes.</t>
        </is>
      </c>
      <c r="L75" s="2" t="inlineStr">
        <is>
          <t>NEW</t>
        </is>
      </c>
    </row>
    <row r="76">
      <c r="A76" s="3" t="inlineStr">
        <is>
          <t>ISSUE-0075</t>
        </is>
      </c>
      <c r="B76" s="3" t="inlineStr">
        <is>
          <t>jeminise.com+personalized-baseball-bedding-full-size-flag-custom-name-d-design-10</t>
        </is>
      </c>
      <c r="C76" s="2" t="n"/>
      <c r="D76" s="2" t="inlineStr">
        <is>
          <t>MAJOR</t>
        </is>
      </c>
      <c r="E76" s="2" t="inlineStr">
        <is>
          <t>description_proposed_html</t>
        </is>
      </c>
      <c r="F76" s="2" t="inlineStr">
        <is>
          <t>&lt;p&gt;Custom Gray Baseball Flag Bedding features gray baseball glove and ball artwork over a distressed American flag background with a large sample name. The page copy focuses on the specific visible design, product type and verified custom fields.&lt;/p&gt;&lt;h3&gt;Design Details&lt;/h3&gt;&lt;ul&gt;&lt;li&gt;Artwork: gray baseb...</t>
        </is>
      </c>
      <c r="G76"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6" s="2" t="inlineStr">
        <is>
          <t>Internal verification notes and missing consumer specifications degrade conversion rate and customer experience.</t>
        </is>
      </c>
      <c r="I76"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6" s="2" t="inlineStr">
        <is>
          <t>Direct visual inspection of gallery infographics and live storefront options.</t>
        </is>
      </c>
      <c r="K76" s="2" t="inlineStr">
        <is>
          <t>Storefront description is clean, customer-facing, and accurately details Comforter vs Duvet Cover, sizing, personalization, and care without meta-notes.</t>
        </is>
      </c>
      <c r="L76" s="2" t="inlineStr">
        <is>
          <t>NEW</t>
        </is>
      </c>
    </row>
    <row r="77">
      <c r="A77" s="3" t="inlineStr">
        <is>
          <t>ISSUE-0076</t>
        </is>
      </c>
      <c r="B77" s="3" t="inlineStr">
        <is>
          <t>jeminise.com+personalized-baseball-bedding-full-size-flag-custom-name-d-design-11</t>
        </is>
      </c>
      <c r="C77" s="2" t="n"/>
      <c r="D77" s="2" t="inlineStr">
        <is>
          <t>MAJOR</t>
        </is>
      </c>
      <c r="E77" s="2" t="inlineStr">
        <is>
          <t>description_proposed_html</t>
        </is>
      </c>
      <c r="F77" s="2" t="inlineStr">
        <is>
          <t>&lt;p&gt;Custom Baseball Pattern Name Bedding features red, white and blue striped bedding with repeating baseballs, star panels, sample name and sample number on shams. The page copy focuses on the specific visible design, product type and verified custom fields.&lt;/p&gt;&lt;h3&gt;Design Details&lt;/h3&gt;&lt;ul&gt;&lt;li&gt;Artwork...</t>
        </is>
      </c>
      <c r="G77"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7" s="2" t="inlineStr">
        <is>
          <t>Internal verification notes and missing consumer specifications degrade conversion rate and customer experience.</t>
        </is>
      </c>
      <c r="I77"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7" s="2" t="inlineStr">
        <is>
          <t>Direct visual inspection of gallery infographics and live storefront options.</t>
        </is>
      </c>
      <c r="K77" s="2" t="inlineStr">
        <is>
          <t>Storefront description is clean, customer-facing, and accurately details Comforter vs Duvet Cover, sizing, personalization, and care without meta-notes.</t>
        </is>
      </c>
      <c r="L77" s="2" t="inlineStr">
        <is>
          <t>NEW</t>
        </is>
      </c>
    </row>
    <row r="78">
      <c r="A78" s="3" t="inlineStr">
        <is>
          <t>ISSUE-0077</t>
        </is>
      </c>
      <c r="B78" s="3" t="inlineStr">
        <is>
          <t>jeminise.com+personalized-baseball-bedding-full-size-flag-custom-name-d-design-12</t>
        </is>
      </c>
      <c r="C78" s="2" t="n"/>
      <c r="D78" s="2" t="inlineStr">
        <is>
          <t>MAJOR</t>
        </is>
      </c>
      <c r="E78" s="2" t="inlineStr">
        <is>
          <t>description_proposed_html</t>
        </is>
      </c>
      <c r="F78" s="2" t="inlineStr">
        <is>
          <t>&lt;p&gt;Custom Pitcher Baseball Bedding features cream baseball bedding with black pitcher silhouette, red baseball stitch border and sample name at the foot. The page copy focuses on the specific visible design, product type and verified custom fields.&lt;/p&gt;&lt;h3&gt;Design Details&lt;/h3&gt;&lt;ul&gt;&lt;li&gt;Artwork: cream ba...</t>
        </is>
      </c>
      <c r="G78"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8" s="2" t="inlineStr">
        <is>
          <t>Internal verification notes and missing consumer specifications degrade conversion rate and customer experience.</t>
        </is>
      </c>
      <c r="I78"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8" s="2" t="inlineStr">
        <is>
          <t>Direct visual inspection of gallery infographics and live storefront options.</t>
        </is>
      </c>
      <c r="K78" s="2" t="inlineStr">
        <is>
          <t>Storefront description is clean, customer-facing, and accurately details Comforter vs Duvet Cover, sizing, personalization, and care without meta-notes.</t>
        </is>
      </c>
      <c r="L78" s="2" t="inlineStr">
        <is>
          <t>NEW</t>
        </is>
      </c>
    </row>
    <row r="79">
      <c r="A79" s="3" t="inlineStr">
        <is>
          <t>ISSUE-0078</t>
        </is>
      </c>
      <c r="B79" s="3" t="inlineStr">
        <is>
          <t>jeminise.com+personalized-baseball-bedding-full-size-flag-custom-name-d-design-13</t>
        </is>
      </c>
      <c r="C79" s="2" t="n"/>
      <c r="D79" s="2" t="inlineStr">
        <is>
          <t>MAJOR</t>
        </is>
      </c>
      <c r="E79" s="2" t="inlineStr">
        <is>
          <t>description_proposed_html</t>
        </is>
      </c>
      <c r="F79" s="2" t="inlineStr">
        <is>
          <t>&lt;p&gt;Custom Black Baseball Glove Bedding features black baseball bedding with grayscale glove and ball artwork, sample cursive name and sample number. The page copy focuses on the specific visible design, product type and verified custom fields.&lt;/p&gt;&lt;h3&gt;Design Details&lt;/h3&gt;&lt;ul&gt;&lt;li&gt;Artwork: black basebal...</t>
        </is>
      </c>
      <c r="G79"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79" s="2" t="inlineStr">
        <is>
          <t>Internal verification notes and missing consumer specifications degrade conversion rate and customer experience.</t>
        </is>
      </c>
      <c r="I79"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79" s="2" t="inlineStr">
        <is>
          <t>Direct visual inspection of gallery infographics and live storefront options.</t>
        </is>
      </c>
      <c r="K79" s="2" t="inlineStr">
        <is>
          <t>Storefront description is clean, customer-facing, and accurately details Comforter vs Duvet Cover, sizing, personalization, and care without meta-notes.</t>
        </is>
      </c>
      <c r="L79" s="2" t="inlineStr">
        <is>
          <t>NEW</t>
        </is>
      </c>
    </row>
    <row r="80">
      <c r="A80" s="3" t="inlineStr">
        <is>
          <t>ISSUE-0079</t>
        </is>
      </c>
      <c r="B80" s="3" t="inlineStr">
        <is>
          <t>jeminise.com+personalized-baseball-bedding-full-size-flag-custom-name-d-design-14</t>
        </is>
      </c>
      <c r="C80" s="2" t="n"/>
      <c r="D80" s="2" t="inlineStr">
        <is>
          <t>MAJOR</t>
        </is>
      </c>
      <c r="E80" s="2" t="inlineStr">
        <is>
          <t>description_proposed_html</t>
        </is>
      </c>
      <c r="F80" s="2" t="inlineStr">
        <is>
          <t>&lt;p&gt;Custom Blue Stripe Baseball Bedding features light blue striped bedding with oversized baseball graphic, baseball pillow pattern and sample cursive name. The page copy focuses on the specific visible design, product type and verified custom fields.&lt;/p&gt;&lt;h3&gt;Design Details&lt;/h3&gt;&lt;ul&gt;&lt;li&gt;Artwork: light...</t>
        </is>
      </c>
      <c r="G80"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80" s="2" t="inlineStr">
        <is>
          <t>Internal verification notes and missing consumer specifications degrade conversion rate and customer experience.</t>
        </is>
      </c>
      <c r="I80"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80" s="2" t="inlineStr">
        <is>
          <t>Direct visual inspection of gallery infographics and live storefront options.</t>
        </is>
      </c>
      <c r="K80" s="2" t="inlineStr">
        <is>
          <t>Storefront description is clean, customer-facing, and accurately details Comforter vs Duvet Cover, sizing, personalization, and care without meta-notes.</t>
        </is>
      </c>
      <c r="L80" s="2" t="inlineStr">
        <is>
          <t>NEW</t>
        </is>
      </c>
    </row>
    <row r="81">
      <c r="A81" s="3" t="inlineStr">
        <is>
          <t>ISSUE-0080</t>
        </is>
      </c>
      <c r="B81" s="3" t="inlineStr">
        <is>
          <t>jeminise.com+personalized-baseball-bedding-full-size-flag-custom-name-d-design-15</t>
        </is>
      </c>
      <c r="C81" s="2" t="n"/>
      <c r="D81" s="2" t="inlineStr">
        <is>
          <t>MAJOR</t>
        </is>
      </c>
      <c r="E81" s="2" t="inlineStr">
        <is>
          <t>description_proposed_html</t>
        </is>
      </c>
      <c r="F81" s="2" t="inlineStr">
        <is>
          <t>&lt;p&gt;Custom Galaxy Baseball Name Bedding features dark blue galaxy baseball bedding with space background, large baseball, sample cursive name and sample number. The page copy focuses on the specific visible design, product type and verified custom fields.&lt;/p&gt;&lt;h3&gt;Design Details&lt;/h3&gt;&lt;ul&gt;&lt;li&gt;Artwork: da...</t>
        </is>
      </c>
      <c r="G81" s="2" t="inlineStr">
        <is>
          <t>Proposed description contains internal meta-commentary ('Mockup shows sample name... In live purchase flow, only Customize Your Name is collected...') directly in customer copy, and omits clear explanation of Comforter vs Duvet Cover options, bottom zipper closure, and add-on pillowcases/sheets.</t>
        </is>
      </c>
      <c r="H81" s="2" t="inlineStr">
        <is>
          <t>Internal verification notes and missing consumer specifications degrade conversion rate and customer experience.</t>
        </is>
      </c>
      <c r="I81" s="2" t="inlineStr">
        <is>
          <t>Replace with clean customer-facing HTML description without meta-commentary, explaining Comforter vs Duvet Cover options, bottom zipper detail, custom name personalization guidelines (up to 30 characters), optional pillowcase/sheet bundles, and machine washing care instructions.</t>
        </is>
      </c>
      <c r="J81" s="2" t="inlineStr">
        <is>
          <t>Direct visual inspection of gallery infographics and live storefront options.</t>
        </is>
      </c>
      <c r="K81" s="2" t="inlineStr">
        <is>
          <t>Storefront description is clean, customer-facing, and accurately details Comforter vs Duvet Cover, sizing, personalization, and care without meta-notes.</t>
        </is>
      </c>
      <c r="L81" s="2" t="inlineStr">
        <is>
          <t>NEW</t>
        </is>
      </c>
    </row>
  </sheetData>
  <autoFilter ref="A1:L8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2026-09-08T04:14:33Z</dcterms:created>
  <dcterms:modified xmlns:dcterms="http://purl.org/dc/terms/" xmlns:xsi="http://www.w3.org/2001/XMLSchema-instance" xsi:type="dcterms:W3CDTF">2026-09-08T04:14:33Z</dcterms:modified>
</cp:coreProperties>
</file>