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'QA_Images'!$A$1:$X$65</definedName>
    <definedName name="_xlnm.Print_Titles" localSheetId="3">'QA_Images'!$1:$1</definedName>
    <definedName name="_xlnm._FilterDatabase" localSheetId="4" hidden="1">'QA_Issues'!$A$1:$K$2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personalized-baseball-bedding-full-size-flag-custom-name-d-design-26" TargetMode="External" Id="rId1"/><Relationship Type="http://schemas.openxmlformats.org/officeDocument/2006/relationships/hyperlink" Target="https://jeminise.com/products/personalized-baseball-bedding-full-size-flag-custom-name-duvet-cover" TargetMode="External" Id="rId2"/><Relationship Type="http://schemas.openxmlformats.org/officeDocument/2006/relationships/hyperlink" Target="https://jeminise.com/products/personalized-basketball-above-hoop-and-net-comforter-with-name-and-number-ff32dd676a-ff32dd676a" TargetMode="External" Id="rId3"/><Relationship Type="http://schemas.openxmlformats.org/officeDocument/2006/relationships/hyperlink" Target="https://jeminise.com/products/personalized-basketball-above-hoop-close-up-comforter-with-name-and-number-95487807f8-95487807f8" TargetMode="External" Id="rId4"/><Relationship Type="http://schemas.openxmlformats.org/officeDocument/2006/relationships/hyperlink" Target="https://jeminise.com/products/personalized-basketball-with-paint-splash-comforter-ccac4b4a9e-ccac4b4a9e" TargetMode="External" Id="rId5"/><Relationship Type="http://schemas.openxmlformats.org/officeDocument/2006/relationships/hyperlink" Target="https://jeminise.com/products/personalized-basketball-ball-below-net-blanket-with-name-and-number-86aaeebf75-86aaeebf75" TargetMode="External" Id="rId6"/><Relationship Type="http://schemas.openxmlformats.org/officeDocument/2006/relationships/hyperlink" Target="https://jeminise.com/products/personalized-basketball-below-hoop-comforter-name-number-e8b829a176-e8b829a176" TargetMode="External" Id="rId7"/><Relationship Type="http://schemas.openxmlformats.org/officeDocument/2006/relationships/hyperlink" Target="https://jeminise.com/products/personalized-basketball-below-hoop-comforter-with-name-and-number-d7a58513fd-d7a58513fd" TargetMode="External" Id="rId8"/><Relationship Type="http://schemas.openxmlformats.org/officeDocument/2006/relationships/hyperlink" Target="https://jeminise.com/products/personalized-basketball-burning-flames-comforter-with-name-and-number-746598fa53-746598fa53" TargetMode="External" Id="rId9"/><Relationship Type="http://schemas.openxmlformats.org/officeDocument/2006/relationships/hyperlink" Target="https://jeminise.com/products/personalized-basketball-close-up-blanket-with-name-and-number-3f49346de1-3f49346de1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10872798d9c1ccb7327e6cc9f4a80f3755d1b9c56f09f7f0c34b4628c3a66d40.jpg?v=1787242406" TargetMode="External" Id="rId1"/><Relationship Type="http://schemas.openxmlformats.org/officeDocument/2006/relationships/hyperlink" Target="https://cdn.shopify.com/s/files/1/0792/5098/1063/files/10872798d9c1ccb7327e6cc9f4a80f3755d1b9c56f09f7f0c34b4628c3a66d40.jpg?v=1787242406" TargetMode="External" Id="rId2"/><Relationship Type="http://schemas.openxmlformats.org/officeDocument/2006/relationships/hyperlink" Target="https://cdn.shopify.com/s/files/1/0792/5098/1063/files/ad44b20b9577d177771a3446783e1cd9603989705194cb62ab60572246168969.jpg?v=1787242406" TargetMode="External" Id="rId3"/><Relationship Type="http://schemas.openxmlformats.org/officeDocument/2006/relationships/hyperlink" Target="https://cdn.shopify.com/s/files/1/0792/5098/1063/files/ad44b20b9577d177771a3446783e1cd9603989705194cb62ab60572246168969.jpg?v=1787242406" TargetMode="External" Id="rId4"/><Relationship Type="http://schemas.openxmlformats.org/officeDocument/2006/relationships/hyperlink" Target="https://cdn.shopify.com/s/files/1/0792/5098/1063/files/30f70130b549816bbf109362657f28e3b71b0c38f3df39d2c292d92e7a1ad55b.jpg?v=1787242406" TargetMode="External" Id="rId5"/><Relationship Type="http://schemas.openxmlformats.org/officeDocument/2006/relationships/hyperlink" Target="https://cdn.shopify.com/s/files/1/0792/5098/1063/files/30f70130b549816bbf109362657f28e3b71b0c38f3df39d2c292d92e7a1ad55b.jpg?v=1787242406" TargetMode="External" Id="rId6"/><Relationship Type="http://schemas.openxmlformats.org/officeDocument/2006/relationships/hyperlink" Target="https://cdn.shopify.com/s/files/1/0792/5098/1063/files/2084308870c115d834bff81e48a43b8ad98701f4eecbec6bd4c48416885be48d.jpg?v=1787242406" TargetMode="External" Id="rId7"/><Relationship Type="http://schemas.openxmlformats.org/officeDocument/2006/relationships/hyperlink" Target="https://cdn.shopify.com/s/files/1/0792/5098/1063/files/2084308870c115d834bff81e48a43b8ad98701f4eecbec6bd4c48416885be48d.jpg?v=1787242406" TargetMode="External" Id="rId8"/><Relationship Type="http://schemas.openxmlformats.org/officeDocument/2006/relationships/hyperlink" Target="https://cdn.shopify.com/s/files/1/0792/5098/1063/files/72378391af9d35f7aa20f6f03e15bf6592cadc8f2765c9a34c6defe16417efbb_8ab7ef5e-cfb7-48dc-8cf3-248614355f0d.jpg?v=1787242406" TargetMode="External" Id="rId9"/><Relationship Type="http://schemas.openxmlformats.org/officeDocument/2006/relationships/hyperlink" Target="https://cdn.shopify.com/s/files/1/0792/5098/1063/files/72378391af9d35f7aa20f6f03e15bf6592cadc8f2765c9a34c6defe16417efbb_8ab7ef5e-cfb7-48dc-8cf3-248614355f0d.jpg?v=1787242406" TargetMode="External" Id="rId10"/><Relationship Type="http://schemas.openxmlformats.org/officeDocument/2006/relationships/hyperlink" Target="https://cdn.shopify.com/s/files/1/0792/5098/1063/files/8d6016ed703ae64ac8c6b105fe88b204201d6a031b4775048d0ebfbfbe47ad42_7761c1a0-8900-4e39-91fd-572d999e43ba.jpg?v=1787242406" TargetMode="External" Id="rId11"/><Relationship Type="http://schemas.openxmlformats.org/officeDocument/2006/relationships/hyperlink" Target="https://cdn.shopify.com/s/files/1/0792/5098/1063/files/8d6016ed703ae64ac8c6b105fe88b204201d6a031b4775048d0ebfbfbe47ad42_7761c1a0-8900-4e39-91fd-572d999e43ba.jpg?v=1787242406" TargetMode="External" Id="rId12"/><Relationship Type="http://schemas.openxmlformats.org/officeDocument/2006/relationships/hyperlink" Target="https://cdn.shopify.com/s/files/1/0792/5098/1063/files/4621e545554822a7d57b5d5b2539a57c80b689d660c0ca9c882a4b2e35f29cb9_1a7717e0-f2b7-49ed-a279-93d383431675.jpg?v=1787242406" TargetMode="External" Id="rId13"/><Relationship Type="http://schemas.openxmlformats.org/officeDocument/2006/relationships/hyperlink" Target="https://cdn.shopify.com/s/files/1/0792/5098/1063/files/4621e545554822a7d57b5d5b2539a57c80b689d660c0ca9c882a4b2e35f29cb9_1a7717e0-f2b7-49ed-a279-93d383431675.jpg?v=1787242406" TargetMode="External" Id="rId14"/><Relationship Type="http://schemas.openxmlformats.org/officeDocument/2006/relationships/hyperlink" Target="https://cdn.shopify.com/s/files/1/0792/5098/1063/files/6120c8df6637ca9c4e7e50b81c3dd4c43741ee7f8d863305c8aaa2e346f43ac8.jpg?v=1787242212" TargetMode="External" Id="rId15"/><Relationship Type="http://schemas.openxmlformats.org/officeDocument/2006/relationships/hyperlink" Target="https://cdn.shopify.com/s/files/1/0792/5098/1063/files/6120c8df6637ca9c4e7e50b81c3dd4c43741ee7f8d863305c8aaa2e346f43ac8.jpg?v=1787242212" TargetMode="External" Id="rId16"/><Relationship Type="http://schemas.openxmlformats.org/officeDocument/2006/relationships/hyperlink" Target="https://cdn.shopify.com/s/files/1/0792/5098/1063/files/ef81c56fe7d5f4f60045bfbd0778e14ad11ce2a6824c23132d2b864ef763fe85.jpg?v=1787242213" TargetMode="External" Id="rId17"/><Relationship Type="http://schemas.openxmlformats.org/officeDocument/2006/relationships/hyperlink" Target="https://cdn.shopify.com/s/files/1/0792/5098/1063/files/ef81c56fe7d5f4f60045bfbd0778e14ad11ce2a6824c23132d2b864ef763fe85.jpg?v=1787242213" TargetMode="External" Id="rId18"/><Relationship Type="http://schemas.openxmlformats.org/officeDocument/2006/relationships/hyperlink" Target="https://cdn.shopify.com/s/files/1/0792/5098/1063/files/b495d9b37eafdceff5caf3643256f7b3a83de826d49a14bdc531b13424296018.jpg?v=1787242212" TargetMode="External" Id="rId19"/><Relationship Type="http://schemas.openxmlformats.org/officeDocument/2006/relationships/hyperlink" Target="https://cdn.shopify.com/s/files/1/0792/5098/1063/files/b495d9b37eafdceff5caf3643256f7b3a83de826d49a14bdc531b13424296018.jpg?v=1787242212" TargetMode="External" Id="rId20"/><Relationship Type="http://schemas.openxmlformats.org/officeDocument/2006/relationships/hyperlink" Target="https://cdn.shopify.com/s/files/1/0792/5098/1063/files/d51e3360a3e4b984af63b01c4b53d517484ca3d6cb1beeea158bcf59acab9ed4.jpg?v=1787242212" TargetMode="External" Id="rId21"/><Relationship Type="http://schemas.openxmlformats.org/officeDocument/2006/relationships/hyperlink" Target="https://cdn.shopify.com/s/files/1/0792/5098/1063/files/d51e3360a3e4b984af63b01c4b53d517484ca3d6cb1beeea158bcf59acab9ed4.jpg?v=1787242212" TargetMode="External" Id="rId22"/><Relationship Type="http://schemas.openxmlformats.org/officeDocument/2006/relationships/hyperlink" Target="https://cdn.shopify.com/s/files/1/0792/5098/1063/files/2da4edb231d4b79bd5ca16f85b87d5942c1739ab774dea12cb9c49b19ec464ce.jpg?v=1785083226" TargetMode="External" Id="rId23"/><Relationship Type="http://schemas.openxmlformats.org/officeDocument/2006/relationships/hyperlink" Target="https://cdn.shopify.com/s/files/1/0792/5098/1063/files/2da4edb231d4b79bd5ca16f85b87d5942c1739ab774dea12cb9c49b19ec464ce.jpg?v=1785083226" TargetMode="External" Id="rId24"/><Relationship Type="http://schemas.openxmlformats.org/officeDocument/2006/relationships/hyperlink" Target="https://cdn.shopify.com/s/files/1/0792/5098/1063/files/080402accd4681f12aaee57e416c312af962e5815c063752993018229e4a1ffb.jpg?v=1785083227" TargetMode="External" Id="rId25"/><Relationship Type="http://schemas.openxmlformats.org/officeDocument/2006/relationships/hyperlink" Target="https://cdn.shopify.com/s/files/1/0792/5098/1063/files/080402accd4681f12aaee57e416c312af962e5815c063752993018229e4a1ffb.jpg?v=1785083227" TargetMode="External" Id="rId26"/><Relationship Type="http://schemas.openxmlformats.org/officeDocument/2006/relationships/hyperlink" Target="https://cdn.shopify.com/s/files/1/0792/5098/1063/files/8107bb2956f86c6be6eb5742779b881dbc0980d9546c8a8efa0f335bec8ffedd.jpg?v=1785083226" TargetMode="External" Id="rId27"/><Relationship Type="http://schemas.openxmlformats.org/officeDocument/2006/relationships/hyperlink" Target="https://cdn.shopify.com/s/files/1/0792/5098/1063/files/8107bb2956f86c6be6eb5742779b881dbc0980d9546c8a8efa0f335bec8ffedd.jpg?v=1785083226" TargetMode="External" Id="rId28"/><Relationship Type="http://schemas.openxmlformats.org/officeDocument/2006/relationships/hyperlink" Target="https://cdn.shopify.com/s/files/1/0792/5098/1063/files/884bdba6e618b6b653ea15a2b7072cbe3391d94a1ff502c86f0a7f82c84d560e.jpg?v=1785083226" TargetMode="External" Id="rId29"/><Relationship Type="http://schemas.openxmlformats.org/officeDocument/2006/relationships/hyperlink" Target="https://cdn.shopify.com/s/files/1/0792/5098/1063/files/884bdba6e618b6b653ea15a2b7072cbe3391d94a1ff502c86f0a7f82c84d560e.jpg?v=1785083226" TargetMode="External" Id="rId30"/><Relationship Type="http://schemas.openxmlformats.org/officeDocument/2006/relationships/hyperlink" Target="https://cdn.shopify.com/s/files/1/0792/5098/1063/files/7e01a24815061db50abd6e64659c2004cf59e904c4256d2c29bd15f89f7e1e83.jpg?v=1785083226" TargetMode="External" Id="rId31"/><Relationship Type="http://schemas.openxmlformats.org/officeDocument/2006/relationships/hyperlink" Target="https://cdn.shopify.com/s/files/1/0792/5098/1063/files/7e01a24815061db50abd6e64659c2004cf59e904c4256d2c29bd15f89f7e1e83.jpg?v=1785083226" TargetMode="External" Id="rId32"/><Relationship Type="http://schemas.openxmlformats.org/officeDocument/2006/relationships/hyperlink" Target="https://cdn.shopify.com/s/files/1/0792/5098/1063/files/e76010310d011ff3ad9a8bb3a64c9782000e40a3c39f3b6d9ac833edcb86feab.jpg?v=1785083686" TargetMode="External" Id="rId33"/><Relationship Type="http://schemas.openxmlformats.org/officeDocument/2006/relationships/hyperlink" Target="https://cdn.shopify.com/s/files/1/0792/5098/1063/files/e76010310d011ff3ad9a8bb3a64c9782000e40a3c39f3b6d9ac833edcb86feab.jpg?v=1785083686" TargetMode="External" Id="rId34"/><Relationship Type="http://schemas.openxmlformats.org/officeDocument/2006/relationships/hyperlink" Target="https://cdn.shopify.com/s/files/1/0792/5098/1063/files/6c0dc371773d33b728907ea9758373760415f2c29a784a039153973190a42e7c.jpg?v=1785083685" TargetMode="External" Id="rId35"/><Relationship Type="http://schemas.openxmlformats.org/officeDocument/2006/relationships/hyperlink" Target="https://cdn.shopify.com/s/files/1/0792/5098/1063/files/6c0dc371773d33b728907ea9758373760415f2c29a784a039153973190a42e7c.jpg?v=1785083685" TargetMode="External" Id="rId36"/><Relationship Type="http://schemas.openxmlformats.org/officeDocument/2006/relationships/hyperlink" Target="https://cdn.shopify.com/s/files/1/0792/5098/1063/files/ca7e8151cb3c33bafaa62bb65f4773d1852d0e96a3f900ca3bc2751b2e604742_4b59a24e-a0e1-402b-b63a-b87d7bb03caa.jpg?v=1785083686" TargetMode="External" Id="rId37"/><Relationship Type="http://schemas.openxmlformats.org/officeDocument/2006/relationships/hyperlink" Target="https://cdn.shopify.com/s/files/1/0792/5098/1063/files/ca7e8151cb3c33bafaa62bb65f4773d1852d0e96a3f900ca3bc2751b2e604742_4b59a24e-a0e1-402b-b63a-b87d7bb03caa.jpg?v=1785083686" TargetMode="External" Id="rId38"/><Relationship Type="http://schemas.openxmlformats.org/officeDocument/2006/relationships/hyperlink" Target="https://cdn.shopify.com/s/files/1/0792/5098/1063/files/2529d5eaafc895e0e81b2de256b9843f4662fc5ed3808af52ea26f8e479f4493.jpg?v=1785083686" TargetMode="External" Id="rId39"/><Relationship Type="http://schemas.openxmlformats.org/officeDocument/2006/relationships/hyperlink" Target="https://cdn.shopify.com/s/files/1/0792/5098/1063/files/2529d5eaafc895e0e81b2de256b9843f4662fc5ed3808af52ea26f8e479f4493.jpg?v=1785083686" TargetMode="External" Id="rId40"/><Relationship Type="http://schemas.openxmlformats.org/officeDocument/2006/relationships/hyperlink" Target="https://cdn.shopify.com/s/files/1/0792/5098/1063/files/4ff839e4bb2209a0aa3f9030594f8f244e760a920e67d19769e407605b8a6535.jpg?v=1785083685" TargetMode="External" Id="rId41"/><Relationship Type="http://schemas.openxmlformats.org/officeDocument/2006/relationships/hyperlink" Target="https://cdn.shopify.com/s/files/1/0792/5098/1063/files/4ff839e4bb2209a0aa3f9030594f8f244e760a920e67d19769e407605b8a6535.jpg?v=1785083685" TargetMode="External" Id="rId42"/><Relationship Type="http://schemas.openxmlformats.org/officeDocument/2006/relationships/hyperlink" Target="https://cdn.shopify.com/s/files/1/0792/5098/1063/files/4f7ebb170c910bacdb0d128a3e3cf164388321d5e644495de9b203310349253f_8f630e71-4ad6-46fa-afec-d5eef55215c4.jpg?v=1785083686" TargetMode="External" Id="rId43"/><Relationship Type="http://schemas.openxmlformats.org/officeDocument/2006/relationships/hyperlink" Target="https://cdn.shopify.com/s/files/1/0792/5098/1063/files/4f7ebb170c910bacdb0d128a3e3cf164388321d5e644495de9b203310349253f_8f630e71-4ad6-46fa-afec-d5eef55215c4.jpg?v=1785083686" TargetMode="External" Id="rId44"/><Relationship Type="http://schemas.openxmlformats.org/officeDocument/2006/relationships/hyperlink" Target="https://cdn.shopify.com/s/files/1/0792/5098/1063/files/435c166685811ee73f494fa0b340fa5d21d3f02f935d1e95116330ec62408e7d_8953ffb3-4fa8-4bec-991d-f4a712f38f9f.jpg?v=1785083686" TargetMode="External" Id="rId45"/><Relationship Type="http://schemas.openxmlformats.org/officeDocument/2006/relationships/hyperlink" Target="https://cdn.shopify.com/s/files/1/0792/5098/1063/files/435c166685811ee73f494fa0b340fa5d21d3f02f935d1e95116330ec62408e7d_8953ffb3-4fa8-4bec-991d-f4a712f38f9f.jpg?v=1785083686" TargetMode="External" Id="rId46"/><Relationship Type="http://schemas.openxmlformats.org/officeDocument/2006/relationships/hyperlink" Target="https://cdn.shopify.com/s/files/1/0792/5098/1063/files/0735388ab031114c3a8cdcea6f61353f037481a5b72081be1f7b1927c5de837e.jpg?v=1785083810" TargetMode="External" Id="rId47"/><Relationship Type="http://schemas.openxmlformats.org/officeDocument/2006/relationships/hyperlink" Target="https://cdn.shopify.com/s/files/1/0792/5098/1063/files/0735388ab031114c3a8cdcea6f61353f037481a5b72081be1f7b1927c5de837e.jpg?v=1785083810" TargetMode="External" Id="rId48"/><Relationship Type="http://schemas.openxmlformats.org/officeDocument/2006/relationships/hyperlink" Target="https://cdn.shopify.com/s/files/1/0792/5098/1063/files/080402accd4681f12aaee57e416c312af962e5815c063752993018229e4a1ffb_1d291242-512e-4e8d-ad99-2e6c82f55b6d.jpg?v=1785083810" TargetMode="External" Id="rId49"/><Relationship Type="http://schemas.openxmlformats.org/officeDocument/2006/relationships/hyperlink" Target="https://cdn.shopify.com/s/files/1/0792/5098/1063/files/080402accd4681f12aaee57e416c312af962e5815c063752993018229e4a1ffb_1d291242-512e-4e8d-ad99-2e6c82f55b6d.jpg?v=1785083810" TargetMode="External" Id="rId50"/><Relationship Type="http://schemas.openxmlformats.org/officeDocument/2006/relationships/hyperlink" Target="https://cdn.shopify.com/s/files/1/0792/5098/1063/files/8107bb2956f86c6be6eb5742779b881dbc0980d9546c8a8efa0f335bec8ffedd_07671b57-a218-41ce-8ae1-1fc8e0151140.jpg?v=1785083810" TargetMode="External" Id="rId51"/><Relationship Type="http://schemas.openxmlformats.org/officeDocument/2006/relationships/hyperlink" Target="https://cdn.shopify.com/s/files/1/0792/5098/1063/files/8107bb2956f86c6be6eb5742779b881dbc0980d9546c8a8efa0f335bec8ffedd_07671b57-a218-41ce-8ae1-1fc8e0151140.jpg?v=1785083810" TargetMode="External" Id="rId52"/><Relationship Type="http://schemas.openxmlformats.org/officeDocument/2006/relationships/hyperlink" Target="https://cdn.shopify.com/s/files/1/0792/5098/1063/files/884bdba6e618b6b653ea15a2b7072cbe3391d94a1ff502c86f0a7f82c84d560e_bd2e5b3a-1be4-4049-9926-c54a920e7a0c.jpg?v=1785083810" TargetMode="External" Id="rId53"/><Relationship Type="http://schemas.openxmlformats.org/officeDocument/2006/relationships/hyperlink" Target="https://cdn.shopify.com/s/files/1/0792/5098/1063/files/884bdba6e618b6b653ea15a2b7072cbe3391d94a1ff502c86f0a7f82c84d560e_bd2e5b3a-1be4-4049-9926-c54a920e7a0c.jpg?v=1785083810" TargetMode="External" Id="rId54"/><Relationship Type="http://schemas.openxmlformats.org/officeDocument/2006/relationships/hyperlink" Target="https://cdn.shopify.com/s/files/1/0792/5098/1063/files/7e01a24815061db50abd6e64659c2004cf59e904c4256d2c29bd15f89f7e1e83_6ec5c311-483a-427e-b14c-46f6cc88b132.jpg?v=1785083810" TargetMode="External" Id="rId55"/><Relationship Type="http://schemas.openxmlformats.org/officeDocument/2006/relationships/hyperlink" Target="https://cdn.shopify.com/s/files/1/0792/5098/1063/files/7e01a24815061db50abd6e64659c2004cf59e904c4256d2c29bd15f89f7e1e83_6ec5c311-483a-427e-b14c-46f6cc88b132.jpg?v=1785083810" TargetMode="External" Id="rId56"/><Relationship Type="http://schemas.openxmlformats.org/officeDocument/2006/relationships/hyperlink" Target="https://cdn.shopify.com/s/files/1/0792/5098/1063/files/c2bb883448ed6cf3fbec0a1e111b33f8aba4ab9c6fb4a5761aa3196180750f26.jpg?v=1785091146" TargetMode="External" Id="rId57"/><Relationship Type="http://schemas.openxmlformats.org/officeDocument/2006/relationships/hyperlink" Target="https://cdn.shopify.com/s/files/1/0792/5098/1063/files/c2bb883448ed6cf3fbec0a1e111b33f8aba4ab9c6fb4a5761aa3196180750f26.jpg?v=1785091146" TargetMode="External" Id="rId58"/><Relationship Type="http://schemas.openxmlformats.org/officeDocument/2006/relationships/hyperlink" Target="https://cdn.shopify.com/s/files/1/0792/5098/1063/files/41a63262cbc900c9f656fc6b8b608b75b4a33b4eeec31a600296593a27af7ea4.jpg?v=1785091146" TargetMode="External" Id="rId59"/><Relationship Type="http://schemas.openxmlformats.org/officeDocument/2006/relationships/hyperlink" Target="https://cdn.shopify.com/s/files/1/0792/5098/1063/files/41a63262cbc900c9f656fc6b8b608b75b4a33b4eeec31a600296593a27af7ea4.jpg?v=1785091146" TargetMode="External" Id="rId60"/><Relationship Type="http://schemas.openxmlformats.org/officeDocument/2006/relationships/hyperlink" Target="https://cdn.shopify.com/s/files/1/0792/5098/1063/files/6687a0cf14263f324dbe309071f60469a2428c4edc5948617e06018157ee89ec.jpg?v=1785091146" TargetMode="External" Id="rId61"/><Relationship Type="http://schemas.openxmlformats.org/officeDocument/2006/relationships/hyperlink" Target="https://cdn.shopify.com/s/files/1/0792/5098/1063/files/6687a0cf14263f324dbe309071f60469a2428c4edc5948617e06018157ee89ec.jpg?v=1785091146" TargetMode="External" Id="rId62"/><Relationship Type="http://schemas.openxmlformats.org/officeDocument/2006/relationships/hyperlink" Target="https://cdn.shopify.com/s/files/1/0792/5098/1063/files/e09959c877c8a56242cc4bdaf04b06baa079fe9871f502c29c64990e974fef3b.jpg?v=1785091146" TargetMode="External" Id="rId63"/><Relationship Type="http://schemas.openxmlformats.org/officeDocument/2006/relationships/hyperlink" Target="https://cdn.shopify.com/s/files/1/0792/5098/1063/files/e09959c877c8a56242cc4bdaf04b06baa079fe9871f502c29c64990e974fef3b.jpg?v=1785091146" TargetMode="External" Id="rId64"/><Relationship Type="http://schemas.openxmlformats.org/officeDocument/2006/relationships/hyperlink" Target="https://cdn.shopify.com/s/files/1/0792/5098/1063/files/01611ec9e3ce765dc25be5da26b052f7d46f03e9aa88415e36ac2dbfe7da3262.jpg?v=1785091146" TargetMode="External" Id="rId65"/><Relationship Type="http://schemas.openxmlformats.org/officeDocument/2006/relationships/hyperlink" Target="https://cdn.shopify.com/s/files/1/0792/5098/1063/files/01611ec9e3ce765dc25be5da26b052f7d46f03e9aa88415e36ac2dbfe7da3262.jpg?v=1785091146" TargetMode="External" Id="rId66"/><Relationship Type="http://schemas.openxmlformats.org/officeDocument/2006/relationships/hyperlink" Target="https://cdn.shopify.com/s/files/1/0792/5098/1063/files/95cfa7167ff3f914b5d9d6e42af923eb24df3eb56dcf01c08f2205a399dd656f.jpg?v=1785091146" TargetMode="External" Id="rId67"/><Relationship Type="http://schemas.openxmlformats.org/officeDocument/2006/relationships/hyperlink" Target="https://cdn.shopify.com/s/files/1/0792/5098/1063/files/95cfa7167ff3f914b5d9d6e42af923eb24df3eb56dcf01c08f2205a399dd656f.jpg?v=1785091146" TargetMode="External" Id="rId68"/><Relationship Type="http://schemas.openxmlformats.org/officeDocument/2006/relationships/hyperlink" Target="https://cdn.shopify.com/s/files/1/0792/5098/1063/files/ff9f65e42a55fc9ad24274b5a413735cf360ebf20f34d507d727b65ff78dedbf.jpg?v=1785091146" TargetMode="External" Id="rId69"/><Relationship Type="http://schemas.openxmlformats.org/officeDocument/2006/relationships/hyperlink" Target="https://cdn.shopify.com/s/files/1/0792/5098/1063/files/ff9f65e42a55fc9ad24274b5a413735cf360ebf20f34d507d727b65ff78dedbf.jpg?v=1785091146" TargetMode="External" Id="rId70"/><Relationship Type="http://schemas.openxmlformats.org/officeDocument/2006/relationships/hyperlink" Target="https://cdn.shopify.com/s/files/1/0792/5098/1063/files/11870470fcd5d4f2a1c878c4367dc99a100871ae407ace4c02af714e4d6bf48d.jpg?v=1785091146" TargetMode="External" Id="rId71"/><Relationship Type="http://schemas.openxmlformats.org/officeDocument/2006/relationships/hyperlink" Target="https://cdn.shopify.com/s/files/1/0792/5098/1063/files/11870470fcd5d4f2a1c878c4367dc99a100871ae407ace4c02af714e4d6bf48d.jpg?v=1785091146" TargetMode="External" Id="rId72"/><Relationship Type="http://schemas.openxmlformats.org/officeDocument/2006/relationships/hyperlink" Target="https://cdn.shopify.com/s/files/1/0792/5098/1063/files/cab5b6e337b8170e5d587fda0fd4f8d908f4090de167a31d95a65ad925c0334c.jpg?v=1785084769" TargetMode="External" Id="rId73"/><Relationship Type="http://schemas.openxmlformats.org/officeDocument/2006/relationships/hyperlink" Target="https://cdn.shopify.com/s/files/1/0792/5098/1063/files/cab5b6e337b8170e5d587fda0fd4f8d908f4090de167a31d95a65ad925c0334c.jpg?v=1785084769" TargetMode="External" Id="rId74"/><Relationship Type="http://schemas.openxmlformats.org/officeDocument/2006/relationships/hyperlink" Target="https://cdn.shopify.com/s/files/1/0792/5098/1063/files/86b7ca23e40842af54913b4a98e9f31f2cbecca94e858bc21790da9811707457.jpg?v=1785084769" TargetMode="External" Id="rId75"/><Relationship Type="http://schemas.openxmlformats.org/officeDocument/2006/relationships/hyperlink" Target="https://cdn.shopify.com/s/files/1/0792/5098/1063/files/86b7ca23e40842af54913b4a98e9f31f2cbecca94e858bc21790da9811707457.jpg?v=1785084769" TargetMode="External" Id="rId76"/><Relationship Type="http://schemas.openxmlformats.org/officeDocument/2006/relationships/hyperlink" Target="https://cdn.shopify.com/s/files/1/0792/5098/1063/files/8a9e1df72b5192bb43bbd21e95f23ee9fb295c1019815a38619f5e8659a891a2_0975a537-4602-4f7d-85e0-ace9e545690e.jpg?v=1785084769" TargetMode="External" Id="rId77"/><Relationship Type="http://schemas.openxmlformats.org/officeDocument/2006/relationships/hyperlink" Target="https://cdn.shopify.com/s/files/1/0792/5098/1063/files/8a9e1df72b5192bb43bbd21e95f23ee9fb295c1019815a38619f5e8659a891a2_0975a537-4602-4f7d-85e0-ace9e545690e.jpg?v=1785084769" TargetMode="External" Id="rId78"/><Relationship Type="http://schemas.openxmlformats.org/officeDocument/2006/relationships/hyperlink" Target="https://cdn.shopify.com/s/files/1/0792/5098/1063/files/9ec8397e9c64feca41caec8d0950278758874cc179d40f057d626aab02b25324.jpg?v=1785084769" TargetMode="External" Id="rId79"/><Relationship Type="http://schemas.openxmlformats.org/officeDocument/2006/relationships/hyperlink" Target="https://cdn.shopify.com/s/files/1/0792/5098/1063/files/9ec8397e9c64feca41caec8d0950278758874cc179d40f057d626aab02b25324.jpg?v=1785084769" TargetMode="External" Id="rId80"/><Relationship Type="http://schemas.openxmlformats.org/officeDocument/2006/relationships/hyperlink" Target="https://cdn.shopify.com/s/files/1/0792/5098/1063/files/994379707623d561f762a1201a56a74fe3e23b6cbf8c7e0be170e3fde338c8ec.jpg?v=1785084769" TargetMode="External" Id="rId81"/><Relationship Type="http://schemas.openxmlformats.org/officeDocument/2006/relationships/hyperlink" Target="https://cdn.shopify.com/s/files/1/0792/5098/1063/files/994379707623d561f762a1201a56a74fe3e23b6cbf8c7e0be170e3fde338c8ec.jpg?v=1785084769" TargetMode="External" Id="rId82"/><Relationship Type="http://schemas.openxmlformats.org/officeDocument/2006/relationships/hyperlink" Target="https://cdn.shopify.com/s/files/1/0792/5098/1063/files/1dc01d41d7d407730feaf916a9c54d5ba771e06f6674b16473507e7a042a1831_2079b9af-31c7-46db-8e11-f530239692fd.jpg?v=1785084769" TargetMode="External" Id="rId83"/><Relationship Type="http://schemas.openxmlformats.org/officeDocument/2006/relationships/hyperlink" Target="https://cdn.shopify.com/s/files/1/0792/5098/1063/files/1dc01d41d7d407730feaf916a9c54d5ba771e06f6674b16473507e7a042a1831_2079b9af-31c7-46db-8e11-f530239692fd.jpg?v=1785084769" TargetMode="External" Id="rId84"/><Relationship Type="http://schemas.openxmlformats.org/officeDocument/2006/relationships/hyperlink" Target="https://cdn.shopify.com/s/files/1/0792/5098/1063/files/c24959ab140390d63cc323f99e5e71b8352d51d82db09e1b8086064e57b3ff2f_067b5ca7-978f-4d71-8d46-e859bab20ae5.jpg?v=1785084769" TargetMode="External" Id="rId85"/><Relationship Type="http://schemas.openxmlformats.org/officeDocument/2006/relationships/hyperlink" Target="https://cdn.shopify.com/s/files/1/0792/5098/1063/files/c24959ab140390d63cc323f99e5e71b8352d51d82db09e1b8086064e57b3ff2f_067b5ca7-978f-4d71-8d46-e859bab20ae5.jpg?v=1785084769" TargetMode="External" Id="rId86"/><Relationship Type="http://schemas.openxmlformats.org/officeDocument/2006/relationships/hyperlink" Target="https://cdn.shopify.com/s/files/1/0792/5098/1063/files/9016b1ac78bacc978850682436c79f037add055f8cc91a42f71da7a1331afa35.jpg?v=1785084248" TargetMode="External" Id="rId87"/><Relationship Type="http://schemas.openxmlformats.org/officeDocument/2006/relationships/hyperlink" Target="https://cdn.shopify.com/s/files/1/0792/5098/1063/files/9016b1ac78bacc978850682436c79f037add055f8cc91a42f71da7a1331afa35.jpg?v=1785084248" TargetMode="External" Id="rId88"/><Relationship Type="http://schemas.openxmlformats.org/officeDocument/2006/relationships/hyperlink" Target="https://cdn.shopify.com/s/files/1/0792/5098/1063/files/25910e2380f3bef8ba4ffd7d0020c4397a59356f27a0db27fb5501b5582cb3ff.jpg?v=1785084248" TargetMode="External" Id="rId89"/><Relationship Type="http://schemas.openxmlformats.org/officeDocument/2006/relationships/hyperlink" Target="https://cdn.shopify.com/s/files/1/0792/5098/1063/files/25910e2380f3bef8ba4ffd7d0020c4397a59356f27a0db27fb5501b5582cb3ff.jpg?v=1785084248" TargetMode="External" Id="rId90"/><Relationship Type="http://schemas.openxmlformats.org/officeDocument/2006/relationships/hyperlink" Target="https://cdn.shopify.com/s/files/1/0792/5098/1063/files/ca7e8151cb3c33bafaa62bb65f4773d1852d0e96a3f900ca3bc2751b2e604742_46a9a908-3f17-4e6e-a772-81dc0d76f774.jpg?v=1785084248" TargetMode="External" Id="rId91"/><Relationship Type="http://schemas.openxmlformats.org/officeDocument/2006/relationships/hyperlink" Target="https://cdn.shopify.com/s/files/1/0792/5098/1063/files/ca7e8151cb3c33bafaa62bb65f4773d1852d0e96a3f900ca3bc2751b2e604742_46a9a908-3f17-4e6e-a772-81dc0d76f774.jpg?v=1785084248" TargetMode="External" Id="rId92"/><Relationship Type="http://schemas.openxmlformats.org/officeDocument/2006/relationships/hyperlink" Target="https://cdn.shopify.com/s/files/1/0792/5098/1063/files/1045e15331e0060b7f691049921a04e1d1cd09aefcc8790e742c026dbb0cf69b.jpg?v=1785084248" TargetMode="External" Id="rId93"/><Relationship Type="http://schemas.openxmlformats.org/officeDocument/2006/relationships/hyperlink" Target="https://cdn.shopify.com/s/files/1/0792/5098/1063/files/1045e15331e0060b7f691049921a04e1d1cd09aefcc8790e742c026dbb0cf69b.jpg?v=1785084248" TargetMode="External" Id="rId94"/><Relationship Type="http://schemas.openxmlformats.org/officeDocument/2006/relationships/hyperlink" Target="https://cdn.shopify.com/s/files/1/0792/5098/1063/files/a3b82e2ba0ebf9a2cd7efbb881093e4db5a709bea4d349012f918ec22040a2ea.jpg?v=1785084248" TargetMode="External" Id="rId95"/><Relationship Type="http://schemas.openxmlformats.org/officeDocument/2006/relationships/hyperlink" Target="https://cdn.shopify.com/s/files/1/0792/5098/1063/files/a3b82e2ba0ebf9a2cd7efbb881093e4db5a709bea4d349012f918ec22040a2ea.jpg?v=1785084248" TargetMode="External" Id="rId96"/><Relationship Type="http://schemas.openxmlformats.org/officeDocument/2006/relationships/hyperlink" Target="https://cdn.shopify.com/s/files/1/0792/5098/1063/files/4f7ebb170c910bacdb0d128a3e3cf164388321d5e644495de9b203310349253f_82c00a08-6012-4131-9eef-62d51890558e.jpg?v=1785084248" TargetMode="External" Id="rId97"/><Relationship Type="http://schemas.openxmlformats.org/officeDocument/2006/relationships/hyperlink" Target="https://cdn.shopify.com/s/files/1/0792/5098/1063/files/4f7ebb170c910bacdb0d128a3e3cf164388321d5e644495de9b203310349253f_82c00a08-6012-4131-9eef-62d51890558e.jpg?v=1785084248" TargetMode="External" Id="rId98"/><Relationship Type="http://schemas.openxmlformats.org/officeDocument/2006/relationships/hyperlink" Target="https://cdn.shopify.com/s/files/1/0792/5098/1063/files/435c166685811ee73f494fa0b340fa5d21d3f02f935d1e95116330ec62408e7d_6145b54e-c1df-4831-bcc9-bd1fd1cb2ffe.jpg?v=1785084247" TargetMode="External" Id="rId99"/><Relationship Type="http://schemas.openxmlformats.org/officeDocument/2006/relationships/hyperlink" Target="https://cdn.shopify.com/s/files/1/0792/5098/1063/files/435c166685811ee73f494fa0b340fa5d21d3f02f935d1e95116330ec62408e7d_6145b54e-c1df-4831-bcc9-bd1fd1cb2ffe.jpg?v=1785084247" TargetMode="External" Id="rId100"/><Relationship Type="http://schemas.openxmlformats.org/officeDocument/2006/relationships/hyperlink" Target="https://cdn.shopify.com/s/files/1/0792/5098/1063/files/feed756e53a8713250d852d14ff17030563fa83f39a69856bcee35b1296ff849.jpg?v=1785083617" TargetMode="External" Id="rId101"/><Relationship Type="http://schemas.openxmlformats.org/officeDocument/2006/relationships/hyperlink" Target="https://cdn.shopify.com/s/files/1/0792/5098/1063/files/feed756e53a8713250d852d14ff17030563fa83f39a69856bcee35b1296ff849.jpg?v=1785083617" TargetMode="External" Id="rId102"/><Relationship Type="http://schemas.openxmlformats.org/officeDocument/2006/relationships/hyperlink" Target="https://cdn.shopify.com/s/files/1/0792/5098/1063/files/6a8c3826131f983013a5765968b8e680472a9c8c70815ae9c94a6b17a89425b8.jpg?v=1785083617" TargetMode="External" Id="rId103"/><Relationship Type="http://schemas.openxmlformats.org/officeDocument/2006/relationships/hyperlink" Target="https://cdn.shopify.com/s/files/1/0792/5098/1063/files/6a8c3826131f983013a5765968b8e680472a9c8c70815ae9c94a6b17a89425b8.jpg?v=1785083617" TargetMode="External" Id="rId104"/><Relationship Type="http://schemas.openxmlformats.org/officeDocument/2006/relationships/hyperlink" Target="https://cdn.shopify.com/s/files/1/0792/5098/1063/files/8a9e1df72b5192bb43bbd21e95f23ee9fb295c1019815a38619f5e8659a891a2_8d07860d-9075-4950-a631-a238963b8658.jpg?v=1785083617" TargetMode="External" Id="rId105"/><Relationship Type="http://schemas.openxmlformats.org/officeDocument/2006/relationships/hyperlink" Target="https://cdn.shopify.com/s/files/1/0792/5098/1063/files/8a9e1df72b5192bb43bbd21e95f23ee9fb295c1019815a38619f5e8659a891a2_8d07860d-9075-4950-a631-a238963b8658.jpg?v=1785083617" TargetMode="External" Id="rId106"/><Relationship Type="http://schemas.openxmlformats.org/officeDocument/2006/relationships/hyperlink" Target="https://cdn.shopify.com/s/files/1/0792/5098/1063/files/964ee62d5c1e654483bb54f9c1d0cd157603986636f5c99876deffffca1aaa39.jpg?v=1785083617" TargetMode="External" Id="rId107"/><Relationship Type="http://schemas.openxmlformats.org/officeDocument/2006/relationships/hyperlink" Target="https://cdn.shopify.com/s/files/1/0792/5098/1063/files/964ee62d5c1e654483bb54f9c1d0cd157603986636f5c99876deffffca1aaa39.jpg?v=1785083617" TargetMode="External" Id="rId108"/><Relationship Type="http://schemas.openxmlformats.org/officeDocument/2006/relationships/hyperlink" Target="https://cdn.shopify.com/s/files/1/0792/5098/1063/files/a7b7c9b3d01941fc5160a32e2eb2c4248fef592c5c7e44ca9c8baed53378acd6.jpg?v=1785083617" TargetMode="External" Id="rId109"/><Relationship Type="http://schemas.openxmlformats.org/officeDocument/2006/relationships/hyperlink" Target="https://cdn.shopify.com/s/files/1/0792/5098/1063/files/a7b7c9b3d01941fc5160a32e2eb2c4248fef592c5c7e44ca9c8baed53378acd6.jpg?v=1785083617" TargetMode="External" Id="rId110"/><Relationship Type="http://schemas.openxmlformats.org/officeDocument/2006/relationships/hyperlink" Target="https://cdn.shopify.com/s/files/1/0792/5098/1063/files/1dc01d41d7d407730feaf916a9c54d5ba771e06f6674b16473507e7a042a1831_ec874993-da0f-439b-b3c5-66a278212db3.jpg?v=1785083617" TargetMode="External" Id="rId111"/><Relationship Type="http://schemas.openxmlformats.org/officeDocument/2006/relationships/hyperlink" Target="https://cdn.shopify.com/s/files/1/0792/5098/1063/files/1dc01d41d7d407730feaf916a9c54d5ba771e06f6674b16473507e7a042a1831_ec874993-da0f-439b-b3c5-66a278212db3.jpg?v=1785083617" TargetMode="External" Id="rId112"/><Relationship Type="http://schemas.openxmlformats.org/officeDocument/2006/relationships/hyperlink" Target="https://cdn.shopify.com/s/files/1/0792/5098/1063/files/c24959ab140390d63cc323f99e5e71b8352d51d82db09e1b8086064e57b3ff2f_76e4a478-f359-4278-9a3a-6debb5e6164b.jpg?v=1785083617" TargetMode="External" Id="rId113"/><Relationship Type="http://schemas.openxmlformats.org/officeDocument/2006/relationships/hyperlink" Target="https://cdn.shopify.com/s/files/1/0792/5098/1063/files/c24959ab140390d63cc323f99e5e71b8352d51d82db09e1b8086064e57b3ff2f_76e4a478-f359-4278-9a3a-6debb5e6164b.jpg?v=1785083617" TargetMode="External" Id="rId114"/><Relationship Type="http://schemas.openxmlformats.org/officeDocument/2006/relationships/hyperlink" Target="https://cdn.shopify.com/s/files/1/0792/5098/1063/files/78d78a23db488e01e985563840785e6ce66c7ce7fb31ea728c0c93a0cf727eba.jpg?v=1785090194" TargetMode="External" Id="rId115"/><Relationship Type="http://schemas.openxmlformats.org/officeDocument/2006/relationships/hyperlink" Target="https://cdn.shopify.com/s/files/1/0792/5098/1063/files/78d78a23db488e01e985563840785e6ce66c7ce7fb31ea728c0c93a0cf727eba.jpg?v=1785090194" TargetMode="External" Id="rId116"/><Relationship Type="http://schemas.openxmlformats.org/officeDocument/2006/relationships/hyperlink" Target="https://cdn.shopify.com/s/files/1/0792/5098/1063/files/78d233573340034d32e4c0129cf49ac8f71dc5e517e74307cd0f215e64468a7e.jpg?v=1785090194" TargetMode="External" Id="rId117"/><Relationship Type="http://schemas.openxmlformats.org/officeDocument/2006/relationships/hyperlink" Target="https://cdn.shopify.com/s/files/1/0792/5098/1063/files/78d233573340034d32e4c0129cf49ac8f71dc5e517e74307cd0f215e64468a7e.jpg?v=1785090194" TargetMode="External" Id="rId118"/><Relationship Type="http://schemas.openxmlformats.org/officeDocument/2006/relationships/hyperlink" Target="https://cdn.shopify.com/s/files/1/0792/5098/1063/files/aa9fb160e86f00b7842af4438bd63975e713749d0fa46848d443d9b911cefa5e.jpg?v=1785090194" TargetMode="External" Id="rId119"/><Relationship Type="http://schemas.openxmlformats.org/officeDocument/2006/relationships/hyperlink" Target="https://cdn.shopify.com/s/files/1/0792/5098/1063/files/aa9fb160e86f00b7842af4438bd63975e713749d0fa46848d443d9b911cefa5e.jpg?v=1785090194" TargetMode="External" Id="rId120"/><Relationship Type="http://schemas.openxmlformats.org/officeDocument/2006/relationships/hyperlink" Target="https://cdn.shopify.com/s/files/1/0792/5098/1063/files/9d03b93502073ed2f599b8696b84e5ac2de3368cd039ee858b4549340467252d.jpg?v=1785090194" TargetMode="External" Id="rId121"/><Relationship Type="http://schemas.openxmlformats.org/officeDocument/2006/relationships/hyperlink" Target="https://cdn.shopify.com/s/files/1/0792/5098/1063/files/9d03b93502073ed2f599b8696b84e5ac2de3368cd039ee858b4549340467252d.jpg?v=1785090194" TargetMode="External" Id="rId122"/><Relationship Type="http://schemas.openxmlformats.org/officeDocument/2006/relationships/hyperlink" Target="https://cdn.shopify.com/s/files/1/0792/5098/1063/files/a36f49b88e6bebc2aa36d97c66c217d9605c9253a95a3f92846bed16f2090542.jpg?v=1785090194" TargetMode="External" Id="rId123"/><Relationship Type="http://schemas.openxmlformats.org/officeDocument/2006/relationships/hyperlink" Target="https://cdn.shopify.com/s/files/1/0792/5098/1063/files/a36f49b88e6bebc2aa36d97c66c217d9605c9253a95a3f92846bed16f2090542.jpg?v=1785090194" TargetMode="External" Id="rId124"/><Relationship Type="http://schemas.openxmlformats.org/officeDocument/2006/relationships/hyperlink" Target="https://cdn.shopify.com/s/files/1/0792/5098/1063/files/115ab9e900fb565c15e80ba247ebb07a1b551897a417e6759868ea5c59fdebb8.jpg?v=1785090194" TargetMode="External" Id="rId125"/><Relationship Type="http://schemas.openxmlformats.org/officeDocument/2006/relationships/hyperlink" Target="https://cdn.shopify.com/s/files/1/0792/5098/1063/files/115ab9e900fb565c15e80ba247ebb07a1b551897a417e6759868ea5c59fdebb8.jpg?v=1785090194" TargetMode="External" Id="rId126"/><Relationship Type="http://schemas.openxmlformats.org/officeDocument/2006/relationships/hyperlink" Target="https://cdn.shopify.com/s/files/1/0792/5098/1063/files/a282bdbb47b669dfc0a6da80e614de4e4cb5d197967cb913daee0702476b28fa.jpg?v=1785090194" TargetMode="External" Id="rId127"/><Relationship Type="http://schemas.openxmlformats.org/officeDocument/2006/relationships/hyperlink" Target="https://cdn.shopify.com/s/files/1/0792/5098/1063/files/a282bdbb47b669dfc0a6da80e614de4e4cb5d197967cb913daee0702476b28fa.jpg?v=1785090194" TargetMode="External" Id="rId12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D:\Shopify_Workspace\jeminise_seo\resutls\jeminise.com\20260906_234129\revisions\qa_batch_021_r4\SEO_Product_Optimization_qa_batch_021_r4.xlsx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47771C12438547A1A05FCA12AA6D3FD79345B043DA005855C1B45A903F9004AC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20260909_131628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qa_batch_021_r4</t>
        </is>
      </c>
      <c r="C6" s="2" t="inlineStr">
        <is>
          <t>Inventory positions 201-210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64/64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201</v>
      </c>
      <c r="B2" s="2" t="inlineStr">
        <is>
          <t>jeminise.com+personalized-baseball-bedding-full-size-flag-custom-name-d-design-26</t>
        </is>
      </c>
      <c r="C2" s="4" t="inlineStr">
        <is>
          <t>https://jeminise.com/products/personalized-baseball-bedding-full-size-flag-custom-name-d-design-26</t>
        </is>
      </c>
      <c r="D2" s="2" t="inlineStr">
        <is>
          <t>r4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7</v>
      </c>
      <c r="M2" s="2" t="n">
        <v>7</v>
      </c>
      <c r="N2" s="2" t="b">
        <v>1</v>
      </c>
      <c r="O2" s="6" t="n">
        <v>1</v>
      </c>
      <c r="P2" s="2">
        <f>COUNTIFS('QA_Issues'!$B$2:$B$2,B2,'QA_Issues'!$D$2:$D$2,"CRITICAL")</f>
        <v/>
      </c>
      <c r="Q2" s="2">
        <f>COUNTIFS('QA_Issues'!$B$2:$B$2,B2,'QA_Issues'!$D$2:$D$2,"MAJOR")</f>
        <v/>
      </c>
      <c r="R2" s="2">
        <f>COUNTIFS('QA_Issues'!$B$2:$B$2,B2,'QA_Issues'!$D$2:$D$2,"MINOR")</f>
        <v/>
      </c>
      <c r="S2" s="2">
        <f>COUNTIFS('QA_Issues'!$B$2:$B$2,B2,'QA_Issues'!$D$2:$D$2,"LIMITATION")</f>
        <v/>
      </c>
      <c r="T2" s="2" t="inlineStr">
        <is>
          <t>[]</t>
        </is>
      </c>
      <c r="U2" s="2" t="inlineStr">
        <is>
          <t>["evidence_batch_021_201", "https://jeminise.com/products/personalized-baseball-bedding-full-size-flag-custom-name-d-design-26", "serp_qa_batch_021_r4_201_1", "live_pages", "customizer_fields_audit.json"]</t>
        </is>
      </c>
    </row>
    <row r="3" ht="42" customHeight="1">
      <c r="A3" s="3" t="n">
        <v>202</v>
      </c>
      <c r="B3" s="3" t="inlineStr">
        <is>
          <t>jeminise.com+personalized-baseball-bedding-full-size-flag-custom-name-duvet-cover</t>
        </is>
      </c>
      <c r="C3" s="4" t="inlineStr">
        <is>
          <t>https://jeminise.com/products/personalized-baseball-bedding-full-size-flag-custom-name-duvet-cover</t>
        </is>
      </c>
      <c r="D3" s="3" t="inlineStr">
        <is>
          <t>r4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4</v>
      </c>
      <c r="M3" s="3" t="n">
        <v>4</v>
      </c>
      <c r="N3" s="3" t="b">
        <v>1</v>
      </c>
      <c r="O3" s="8" t="n">
        <v>1</v>
      </c>
      <c r="P3" s="3">
        <f>COUNTIFS('QA_Issues'!$B$2:$B$2,B3,'QA_Issues'!$D$2:$D$2,"CRITICAL")</f>
        <v/>
      </c>
      <c r="Q3" s="3">
        <f>COUNTIFS('QA_Issues'!$B$2:$B$2,B3,'QA_Issues'!$D$2:$D$2,"MAJOR")</f>
        <v/>
      </c>
      <c r="R3" s="3">
        <f>COUNTIFS('QA_Issues'!$B$2:$B$2,B3,'QA_Issues'!$D$2:$D$2,"MINOR")</f>
        <v/>
      </c>
      <c r="S3" s="3">
        <f>COUNTIFS('QA_Issues'!$B$2:$B$2,B3,'QA_Issues'!$D$2:$D$2,"LIMITATION")</f>
        <v/>
      </c>
      <c r="T3" s="3" t="inlineStr">
        <is>
          <t>[]</t>
        </is>
      </c>
      <c r="U3" s="3" t="inlineStr">
        <is>
          <t>["evidence_batch_021_202", "https://jeminise.com/products/personalized-baseball-bedding-full-size-flag-custom-name-duvet-cover", "serp_qa_batch_021_r4_202_1", "live_pages", "customizer_fields_audit.json"]</t>
        </is>
      </c>
    </row>
    <row r="4" ht="42" customHeight="1">
      <c r="A4" s="2" t="n">
        <v>203</v>
      </c>
      <c r="B4" s="2" t="inlineStr">
        <is>
          <t>jeminise.com+personalized-basketball-above-hoop-and-net-comforter-with-name-and-number-ff32dd676a-ff32dd676a</t>
        </is>
      </c>
      <c r="C4" s="4" t="inlineStr">
        <is>
          <t>https://jeminise.com/products/personalized-basketball-above-hoop-and-net-comforter-with-name-and-number-ff32dd676a-ff32dd676a</t>
        </is>
      </c>
      <c r="D4" s="2" t="inlineStr">
        <is>
          <t>r4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5</v>
      </c>
      <c r="M4" s="2" t="n">
        <v>5</v>
      </c>
      <c r="N4" s="2" t="b">
        <v>1</v>
      </c>
      <c r="O4" s="6" t="n">
        <v>1</v>
      </c>
      <c r="P4" s="2">
        <f>COUNTIFS('QA_Issues'!$B$2:$B$2,B4,'QA_Issues'!$D$2:$D$2,"CRITICAL")</f>
        <v/>
      </c>
      <c r="Q4" s="2">
        <f>COUNTIFS('QA_Issues'!$B$2:$B$2,B4,'QA_Issues'!$D$2:$D$2,"MAJOR")</f>
        <v/>
      </c>
      <c r="R4" s="2">
        <f>COUNTIFS('QA_Issues'!$B$2:$B$2,B4,'QA_Issues'!$D$2:$D$2,"MINOR")</f>
        <v/>
      </c>
      <c r="S4" s="2">
        <f>COUNTIFS('QA_Issues'!$B$2:$B$2,B4,'QA_Issues'!$D$2:$D$2,"LIMITATION")</f>
        <v/>
      </c>
      <c r="T4" s="2" t="inlineStr">
        <is>
          <t>[]</t>
        </is>
      </c>
      <c r="U4" s="2" t="inlineStr">
        <is>
          <t>["evidence_batch_021_203", "https://jeminise.com/products/personalized-basketball-above-hoop-and-net-comforter-with-name-and-number-ff32dd676a-ff32dd676a", "serp_qa_batch_021_r4_203_1", "live_pages", "customizer_fields_audit.json"]</t>
        </is>
      </c>
    </row>
    <row r="5" ht="42" customHeight="1">
      <c r="A5" s="3" t="n">
        <v>204</v>
      </c>
      <c r="B5" s="3" t="inlineStr">
        <is>
          <t>jeminise.com+personalized-basketball-above-hoop-close-up-comforter-with-name-and-number-95487807f8-95487807f8</t>
        </is>
      </c>
      <c r="C5" s="4" t="inlineStr">
        <is>
          <t>https://jeminise.com/products/personalized-basketball-above-hoop-close-up-comforter-with-name-and-number-95487807f8-95487807f8</t>
        </is>
      </c>
      <c r="D5" s="3" t="inlineStr">
        <is>
          <t>r4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COUNTIFS('QA_Issues'!$B$2:$B$2,B5,'QA_Issues'!$D$2:$D$2,"CRITICAL")</f>
        <v/>
      </c>
      <c r="Q5" s="3">
        <f>COUNTIFS('QA_Issues'!$B$2:$B$2,B5,'QA_Issues'!$D$2:$D$2,"MAJOR")</f>
        <v/>
      </c>
      <c r="R5" s="3">
        <f>COUNTIFS('QA_Issues'!$B$2:$B$2,B5,'QA_Issues'!$D$2:$D$2,"MINOR")</f>
        <v/>
      </c>
      <c r="S5" s="3">
        <f>COUNTIFS('QA_Issues'!$B$2:$B$2,B5,'QA_Issues'!$D$2:$D$2,"LIMITATION")</f>
        <v/>
      </c>
      <c r="T5" s="3" t="inlineStr">
        <is>
          <t>[]</t>
        </is>
      </c>
      <c r="U5" s="3" t="inlineStr">
        <is>
          <t>["evidence_batch_021_204", "https://jeminise.com/products/personalized-basketball-above-hoop-close-up-comforter-with-name-and-number-95487807f8-95487807f8", "serp_qa_batch_021_r4_204_1", "live_pages", "customizer_fields_audit.json"]</t>
        </is>
      </c>
    </row>
    <row r="6" ht="42" customHeight="1">
      <c r="A6" s="2" t="n">
        <v>205</v>
      </c>
      <c r="B6" s="2" t="inlineStr">
        <is>
          <t>jeminise.com+personalized-basketball-with-paint-splash-comforter-ccac4b4a9e-ccac4b4a9e</t>
        </is>
      </c>
      <c r="C6" s="4" t="inlineStr">
        <is>
          <t>https://jeminise.com/products/personalized-basketball-with-paint-splash-comforter-ccac4b4a9e-ccac4b4a9e</t>
        </is>
      </c>
      <c r="D6" s="2" t="inlineStr">
        <is>
          <t>r4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5</v>
      </c>
      <c r="M6" s="2" t="n">
        <v>5</v>
      </c>
      <c r="N6" s="2" t="b">
        <v>1</v>
      </c>
      <c r="O6" s="6" t="n">
        <v>1</v>
      </c>
      <c r="P6" s="2">
        <f>COUNTIFS('QA_Issues'!$B$2:$B$2,B6,'QA_Issues'!$D$2:$D$2,"CRITICAL")</f>
        <v/>
      </c>
      <c r="Q6" s="2">
        <f>COUNTIFS('QA_Issues'!$B$2:$B$2,B6,'QA_Issues'!$D$2:$D$2,"MAJOR")</f>
        <v/>
      </c>
      <c r="R6" s="2">
        <f>COUNTIFS('QA_Issues'!$B$2:$B$2,B6,'QA_Issues'!$D$2:$D$2,"MINOR")</f>
        <v/>
      </c>
      <c r="S6" s="2">
        <f>COUNTIFS('QA_Issues'!$B$2:$B$2,B6,'QA_Issues'!$D$2:$D$2,"LIMITATION")</f>
        <v/>
      </c>
      <c r="T6" s="2" t="inlineStr">
        <is>
          <t>[]</t>
        </is>
      </c>
      <c r="U6" s="2" t="inlineStr">
        <is>
          <t>["evidence_batch_021_205", "https://jeminise.com/products/personalized-basketball-with-paint-splash-comforter-ccac4b4a9e-ccac4b4a9e", "serp_qa_batch_021_r4_205_1", "live_pages", "customizer_fields_audit.json"]</t>
        </is>
      </c>
    </row>
    <row r="7" ht="42" customHeight="1">
      <c r="A7" s="3" t="n">
        <v>206</v>
      </c>
      <c r="B7" s="3" t="inlineStr">
        <is>
          <t>jeminise.com+personalized-basketball-ball-below-net-blanket-with-name-and-number-86aaeebf75-86aaeebf75</t>
        </is>
      </c>
      <c r="C7" s="4" t="inlineStr">
        <is>
          <t>https://jeminise.com/products/personalized-basketball-ball-below-net-blanket-with-name-and-number-86aaeebf75-86aaeebf75</t>
        </is>
      </c>
      <c r="D7" s="3" t="inlineStr">
        <is>
          <t>r4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8</v>
      </c>
      <c r="M7" s="3" t="n">
        <v>8</v>
      </c>
      <c r="N7" s="3" t="b">
        <v>1</v>
      </c>
      <c r="O7" s="8" t="n">
        <v>1</v>
      </c>
      <c r="P7" s="3">
        <f>COUNTIFS('QA_Issues'!$B$2:$B$2,B7,'QA_Issues'!$D$2:$D$2,"CRITICAL")</f>
        <v/>
      </c>
      <c r="Q7" s="3">
        <f>COUNTIFS('QA_Issues'!$B$2:$B$2,B7,'QA_Issues'!$D$2:$D$2,"MAJOR")</f>
        <v/>
      </c>
      <c r="R7" s="3">
        <f>COUNTIFS('QA_Issues'!$B$2:$B$2,B7,'QA_Issues'!$D$2:$D$2,"MINOR")</f>
        <v/>
      </c>
      <c r="S7" s="3">
        <f>COUNTIFS('QA_Issues'!$B$2:$B$2,B7,'QA_Issues'!$D$2:$D$2,"LIMITATION")</f>
        <v/>
      </c>
      <c r="T7" s="3" t="inlineStr">
        <is>
          <t>[]</t>
        </is>
      </c>
      <c r="U7" s="3" t="inlineStr">
        <is>
          <t>["evidence_batch_021_206", "https://jeminise.com/products/personalized-basketball-ball-below-net-blanket-with-name-and-number-86aaeebf75-86aaeebf75", "serp_qa_batch_021_r4_206_1", "live_pages", "customizer_fields_audit.json"]</t>
        </is>
      </c>
    </row>
    <row r="8" ht="42" customHeight="1">
      <c r="A8" s="2" t="n">
        <v>207</v>
      </c>
      <c r="B8" s="2" t="inlineStr">
        <is>
          <t>jeminise.com+personalized-basketball-below-hoop-comforter-name-number-e8b829a176-e8b829a176</t>
        </is>
      </c>
      <c r="C8" s="4" t="inlineStr">
        <is>
          <t>https://jeminise.com/products/personalized-basketball-below-hoop-comforter-name-number-e8b829a176-e8b829a176</t>
        </is>
      </c>
      <c r="D8" s="2" t="inlineStr">
        <is>
          <t>r4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7</v>
      </c>
      <c r="M8" s="2" t="n">
        <v>7</v>
      </c>
      <c r="N8" s="2" t="b">
        <v>1</v>
      </c>
      <c r="O8" s="6" t="n">
        <v>1</v>
      </c>
      <c r="P8" s="2">
        <f>COUNTIFS('QA_Issues'!$B$2:$B$2,B8,'QA_Issues'!$D$2:$D$2,"CRITICAL")</f>
        <v/>
      </c>
      <c r="Q8" s="2">
        <f>COUNTIFS('QA_Issues'!$B$2:$B$2,B8,'QA_Issues'!$D$2:$D$2,"MAJOR")</f>
        <v/>
      </c>
      <c r="R8" s="2">
        <f>COUNTIFS('QA_Issues'!$B$2:$B$2,B8,'QA_Issues'!$D$2:$D$2,"MINOR")</f>
        <v/>
      </c>
      <c r="S8" s="2">
        <f>COUNTIFS('QA_Issues'!$B$2:$B$2,B8,'QA_Issues'!$D$2:$D$2,"LIMITATION")</f>
        <v/>
      </c>
      <c r="T8" s="2" t="inlineStr">
        <is>
          <t>[]</t>
        </is>
      </c>
      <c r="U8" s="2" t="inlineStr">
        <is>
          <t>["evidence_batch_021_207", "https://jeminise.com/products/personalized-basketball-below-hoop-comforter-name-number-e8b829a176-e8b829a176", "serp_qa_batch_021_r4_207_1", "live_pages", "customizer_fields_audit.json"]</t>
        </is>
      </c>
    </row>
    <row r="9" ht="42" customHeight="1">
      <c r="A9" s="3" t="n">
        <v>208</v>
      </c>
      <c r="B9" s="3" t="inlineStr">
        <is>
          <t>jeminise.com+personalized-basketball-below-hoop-comforter-with-name-and-number-d7a58513fd-d7a58513fd</t>
        </is>
      </c>
      <c r="C9" s="4" t="inlineStr">
        <is>
          <t>https://jeminise.com/products/personalized-basketball-below-hoop-comforter-with-name-and-number-d7a58513fd-d7a58513fd</t>
        </is>
      </c>
      <c r="D9" s="3" t="inlineStr">
        <is>
          <t>r4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7</v>
      </c>
      <c r="M9" s="3" t="n">
        <v>7</v>
      </c>
      <c r="N9" s="3" t="b">
        <v>1</v>
      </c>
      <c r="O9" s="8" t="n">
        <v>1</v>
      </c>
      <c r="P9" s="3">
        <f>COUNTIFS('QA_Issues'!$B$2:$B$2,B9,'QA_Issues'!$D$2:$D$2,"CRITICAL")</f>
        <v/>
      </c>
      <c r="Q9" s="3">
        <f>COUNTIFS('QA_Issues'!$B$2:$B$2,B9,'QA_Issues'!$D$2:$D$2,"MAJOR")</f>
        <v/>
      </c>
      <c r="R9" s="3">
        <f>COUNTIFS('QA_Issues'!$B$2:$B$2,B9,'QA_Issues'!$D$2:$D$2,"MINOR")</f>
        <v/>
      </c>
      <c r="S9" s="3">
        <f>COUNTIFS('QA_Issues'!$B$2:$B$2,B9,'QA_Issues'!$D$2:$D$2,"LIMITATION")</f>
        <v/>
      </c>
      <c r="T9" s="3" t="inlineStr">
        <is>
          <t>[]</t>
        </is>
      </c>
      <c r="U9" s="3" t="inlineStr">
        <is>
          <t>["evidence_batch_021_208", "https://jeminise.com/products/personalized-basketball-below-hoop-comforter-with-name-and-number-d7a58513fd-d7a58513fd", "serp_qa_batch_021_r4_208_1", "live_pages", "customizer_fields_audit.json"]</t>
        </is>
      </c>
    </row>
    <row r="10" ht="42" customHeight="1">
      <c r="A10" s="2" t="n">
        <v>209</v>
      </c>
      <c r="B10" s="2" t="inlineStr">
        <is>
          <t>jeminise.com+personalized-basketball-burning-flames-comforter-with-name-and-number-746598fa53-746598fa53</t>
        </is>
      </c>
      <c r="C10" s="4" t="inlineStr">
        <is>
          <t>https://jeminise.com/products/personalized-basketball-burning-flames-comforter-with-name-and-number-746598fa53-746598fa53</t>
        </is>
      </c>
      <c r="D10" s="2" t="inlineStr">
        <is>
          <t>r4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7</v>
      </c>
      <c r="M10" s="2" t="n">
        <v>7</v>
      </c>
      <c r="N10" s="2" t="b">
        <v>1</v>
      </c>
      <c r="O10" s="6" t="n">
        <v>1</v>
      </c>
      <c r="P10" s="2">
        <f>COUNTIFS('QA_Issues'!$B$2:$B$2,B10,'QA_Issues'!$D$2:$D$2,"CRITICAL")</f>
        <v/>
      </c>
      <c r="Q10" s="2">
        <f>COUNTIFS('QA_Issues'!$B$2:$B$2,B10,'QA_Issues'!$D$2:$D$2,"MAJOR")</f>
        <v/>
      </c>
      <c r="R10" s="2">
        <f>COUNTIFS('QA_Issues'!$B$2:$B$2,B10,'QA_Issues'!$D$2:$D$2,"MINOR")</f>
        <v/>
      </c>
      <c r="S10" s="2">
        <f>COUNTIFS('QA_Issues'!$B$2:$B$2,B10,'QA_Issues'!$D$2:$D$2,"LIMITATION")</f>
        <v/>
      </c>
      <c r="T10" s="2" t="inlineStr">
        <is>
          <t>[]</t>
        </is>
      </c>
      <c r="U10" s="2" t="inlineStr">
        <is>
          <t>["evidence_batch_021_209", "https://jeminise.com/products/personalized-basketball-burning-flames-comforter-with-name-and-number-746598fa53-746598fa53", "serp_qa_batch_021_r4_209_1", "live_pages", "customizer_fields_audit.json"]</t>
        </is>
      </c>
    </row>
    <row r="11" ht="42" customHeight="1">
      <c r="A11" s="3" t="n">
        <v>210</v>
      </c>
      <c r="B11" s="3" t="inlineStr">
        <is>
          <t>jeminise.com+personalized-basketball-close-up-blanket-with-name-and-number-3f49346de1-3f49346de1</t>
        </is>
      </c>
      <c r="C11" s="4" t="inlineStr">
        <is>
          <t>https://jeminise.com/products/personalized-basketball-close-up-blanket-with-name-and-number-3f49346de1-3f49346de1</t>
        </is>
      </c>
      <c r="D11" s="3" t="inlineStr">
        <is>
          <t>r4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7</v>
      </c>
      <c r="M11" s="3" t="n">
        <v>7</v>
      </c>
      <c r="N11" s="3" t="b">
        <v>1</v>
      </c>
      <c r="O11" s="8" t="n">
        <v>1</v>
      </c>
      <c r="P11" s="3">
        <f>COUNTIFS('QA_Issues'!$B$2:$B$2,B11,'QA_Issues'!$D$2:$D$2,"CRITICAL")</f>
        <v/>
      </c>
      <c r="Q11" s="3">
        <f>COUNTIFS('QA_Issues'!$B$2:$B$2,B11,'QA_Issues'!$D$2:$D$2,"MAJOR")</f>
        <v/>
      </c>
      <c r="R11" s="3">
        <f>COUNTIFS('QA_Issues'!$B$2:$B$2,B11,'QA_Issues'!$D$2:$D$2,"MINOR")</f>
        <v/>
      </c>
      <c r="S11" s="3">
        <f>COUNTIFS('QA_Issues'!$B$2:$B$2,B11,'QA_Issues'!$D$2:$D$2,"LIMITATION")</f>
        <v/>
      </c>
      <c r="T11" s="3" t="inlineStr">
        <is>
          <t>[]</t>
        </is>
      </c>
      <c r="U11" s="3" t="inlineStr">
        <is>
          <t>["evidence_batch_021_210", "https://jeminise.com/products/personalized-basketball-close-up-blanket-with-name-and-number-3f49346de1-3f49346de1", "serp_qa_batch_021_r4_210_1",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jeminise.com+personalized-baseball-bedding-full-size-flag-custom-name-d-design-26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IF(B2="I1",AVERAGEIF('QA_Images'!$A$2:$A$65,A2,'QA_Images'!$R$2:$R$65)/100,IF(D2="FULL",1,IF(D2="PARTIAL",0.5,IF(D2="FAIL",0,""))))</f>
        <v/>
      </c>
      <c r="F2" s="5">
        <f>IF(E2="",0,C2*E2)</f>
        <v/>
      </c>
      <c r="G2" s="5">
        <f>IF(B2="I1",20*AVERAGEIF('QA_Images'!$A$2:$A$65,A2,'QA_Images'!$S$2:$S$65)/100,IF(D2="NOT_CHECKED",0,C2))</f>
        <v/>
      </c>
      <c r="H2" s="2" t="inlineStr">
        <is>
          <t>FULL: product identity, handle and live product data match inventory scope for batch 21.</t>
        </is>
      </c>
      <c r="I2" s="2" t="inlineStr">
        <is>
          <t>["evidence_batch_021_201", "https://jeminise.com/products/personalized-baseball-bedding-full-size-flag-custom-name-d-design-26"]</t>
        </is>
      </c>
      <c r="J2" s="2" t="inlineStr">
        <is>
          <t>[]</t>
        </is>
      </c>
    </row>
    <row r="3" ht="42" customHeight="1">
      <c r="A3" s="3" t="inlineStr">
        <is>
          <t>jeminise.com+personalized-baseball-bedding-full-size-flag-custom-name-d-design-26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IF(B3="I1",AVERAGEIF('QA_Images'!$A$2:$A$65,A3,'QA_Images'!$R$2:$R$65)/100,IF(D3="FULL",1,IF(D3="PARTIAL",0.5,IF(D3="FAIL",0,""))))</f>
        <v/>
      </c>
      <c r="F3" s="7">
        <f>IF(E3="",0,C3*E3)</f>
        <v/>
      </c>
      <c r="G3" s="7">
        <f>IF(B3="I1",20*AVERAGEIF('QA_Images'!$A$2:$A$65,A3,'QA_Images'!$S$2:$S$65)/100,IF(D3="NOT_CHECKED",0,C3))</f>
        <v/>
      </c>
      <c r="H3" s="3" t="inlineStr">
        <is>
          <t>FULL: personalization/product-option claims were checked against live/cache customizer evidence for this product.</t>
        </is>
      </c>
      <c r="I3" s="3" t="inlineStr">
        <is>
          <t>["evidence_batch_021_201", "https://jeminise.com/products/personalized-baseball-bedding-full-size-flag-custom-name-d-design-26",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jeminise.com+personalized-baseball-bedding-full-size-flag-custom-name-d-design-26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IF(B4="I1",AVERAGEIF('QA_Images'!$A$2:$A$65,A4,'QA_Images'!$R$2:$R$65)/100,IF(D4="FULL",1,IF(D4="PARTIAL",0.5,IF(D4="FAIL",0,""))))</f>
        <v/>
      </c>
      <c r="F4" s="5">
        <f>IF(E4="",0,C4*E4)</f>
        <v/>
      </c>
      <c r="G4" s="5">
        <f>IF(B4="I1",20*AVERAGEIF('QA_Images'!$A$2:$A$65,A4,'QA_Images'!$S$2:$S$65)/100,IF(D4="NOT_CHECKED",0,C4))</f>
        <v/>
      </c>
      <c r="H4" s="2" t="inlineStr">
        <is>
          <t>FULL: primary keyword 'custom baseball flag name number bedding' was checked against this product's own US/English SERP; partial means the exact visual modifier is niche.</t>
        </is>
      </c>
      <c r="I4" s="2" t="inlineStr">
        <is>
          <t>["evidence_batch_021_201", "https://jeminise.com/products/personalized-baseball-bedding-full-size-flag-custom-name-d-design-26", "serp_qa_batch_021_r4_201_1", "serp_qa_batch_021_r4_201_2"]</t>
        </is>
      </c>
      <c r="J4" s="2" t="inlineStr">
        <is>
          <t>[]</t>
        </is>
      </c>
    </row>
    <row r="5" ht="42" customHeight="1">
      <c r="A5" s="3" t="inlineStr">
        <is>
          <t>jeminise.com+personalized-baseball-bedding-full-size-flag-custom-name-d-design-26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IF(B5="I1",AVERAGEIF('QA_Images'!$A$2:$A$65,A5,'QA_Images'!$R$2:$R$65)/100,IF(D5="FULL",1,IF(D5="PARTIAL",0.5,IF(D5="FAIL",0,""))))</f>
        <v/>
      </c>
      <c r="F5" s="7">
        <f>IF(E5="",0,C5*E5)</f>
        <v/>
      </c>
      <c r="G5" s="7">
        <f>IF(B5="I1",20*AVERAGEIF('QA_Images'!$A$2:$A$65,A5,'QA_Images'!$S$2:$S$65)/100,IF(D5="NOT_CHECKED",0,C5))</f>
        <v/>
      </c>
      <c r="H5" s="3" t="inlineStr">
        <is>
          <t>FULL: comparator query supports commercial bedding/blanket intent for this product type; partial means results broaden beyond the exact motif.</t>
        </is>
      </c>
      <c r="I5" s="3" t="inlineStr">
        <is>
          <t>["evidence_batch_021_201", "https://jeminise.com/products/personalized-baseball-bedding-full-size-flag-custom-name-d-design-26", "serp_qa_batch_021_r4_201_1", "serp_qa_batch_021_r4_201_2"]</t>
        </is>
      </c>
      <c r="J5" s="3" t="inlineStr">
        <is>
          <t>[]</t>
        </is>
      </c>
    </row>
    <row r="6" ht="42" customHeight="1">
      <c r="A6" s="2" t="inlineStr">
        <is>
          <t>jeminise.com+personalized-baseball-bedding-full-size-flag-custom-name-d-design-26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IF(B6="I1",AVERAGEIF('QA_Images'!$A$2:$A$65,A6,'QA_Images'!$R$2:$R$65)/100,IF(D6="FULL",1,IF(D6="PARTIAL",0.5,IF(D6="FAIL",0,""))))</f>
        <v/>
      </c>
      <c r="F6" s="5">
        <f>IF(E6="",0,C6*E6)</f>
        <v/>
      </c>
      <c r="G6" s="5">
        <f>IF(B6="I1",20*AVERAGEIF('QA_Images'!$A$2:$A$65,A6,'QA_Images'!$S$2:$S$65)/100,IF(D6="NOT_CHECKED",0,C6))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["evidence_batch_021_201", "https://jeminise.com/products/personalized-baseball-bedding-full-size-flag-custom-name-d-design-26", "serp_qa_batch_021_r4_201_1", "serp_qa_batch_021_r4_201_2"]</t>
        </is>
      </c>
      <c r="J6" s="2" t="inlineStr">
        <is>
          <t>[]</t>
        </is>
      </c>
    </row>
    <row r="7" ht="42" customHeight="1">
      <c r="A7" s="3" t="inlineStr">
        <is>
          <t>jeminise.com+personalized-baseball-bedding-full-size-flag-custom-name-d-design-26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IF(B7="I1",AVERAGEIF('QA_Images'!$A$2:$A$65,A7,'QA_Images'!$R$2:$R$65)/100,IF(D7="FULL",1,IF(D7="PARTIAL",0.5,IF(D7="FAIL",0,""))))</f>
        <v/>
      </c>
      <c r="F7" s="7">
        <f>IF(E7="",0,C7*E7)</f>
        <v/>
      </c>
      <c r="G7" s="7">
        <f>IF(B7="I1",20*AVERAGEIF('QA_Images'!$A$2:$A$65,A7,'QA_Images'!$S$2:$S$65)/100,IF(D7="NOT_CHECKED",0,C7))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["evidence_batch_021_201", "https://jeminise.com/products/personalized-baseball-bedding-full-size-flag-custom-name-d-design-26"]</t>
        </is>
      </c>
      <c r="J7" s="3" t="inlineStr">
        <is>
          <t>[]</t>
        </is>
      </c>
    </row>
    <row r="8" ht="42" customHeight="1">
      <c r="A8" s="2" t="inlineStr">
        <is>
          <t>jeminise.com+personalized-baseball-bedding-full-size-flag-custom-name-d-design-26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IF(B8="I1",AVERAGEIF('QA_Images'!$A$2:$A$65,A8,'QA_Images'!$R$2:$R$65)/100,IF(D8="FULL",1,IF(D8="PARTIAL",0.5,IF(D8="FAIL",0,""))))</f>
        <v/>
      </c>
      <c r="F8" s="5">
        <f>IF(E8="",0,C8*E8)</f>
        <v/>
      </c>
      <c r="G8" s="5">
        <f>IF(B8="I1",20*AVERAGEIF('QA_Images'!$A$2:$A$65,A8,'QA_Images'!$S$2:$S$65)/100,IF(D8="NOT_CHECKED",0,C8))</f>
        <v/>
      </c>
      <c r="H8" s="2" t="inlineStr">
        <is>
          <t>FULL: title_proposed can function as product title/H1 and distinguishes this batch-21 design by motif/product type.</t>
        </is>
      </c>
      <c r="I8" s="2" t="inlineStr">
        <is>
          <t>["evidence_batch_021_201", "https://jeminise.com/products/personalized-baseball-bedding-full-size-flag-custom-name-d-design-26"]</t>
        </is>
      </c>
      <c r="J8" s="2" t="inlineStr">
        <is>
          <t>[]</t>
        </is>
      </c>
    </row>
    <row r="9" ht="42" customHeight="1">
      <c r="A9" s="3" t="inlineStr">
        <is>
          <t>jeminise.com+personalized-baseball-bedding-full-size-flag-custom-name-d-design-26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IF(B9="I1",AVERAGEIF('QA_Images'!$A$2:$A$65,A9,'QA_Images'!$R$2:$R$65)/100,IF(D9="FULL",1,IF(D9="PARTIAL",0.5,IF(D9="FAIL",0,""))))</f>
        <v/>
      </c>
      <c r="F9" s="7">
        <f>IF(E9="",0,C9*E9)</f>
        <v/>
      </c>
      <c r="G9" s="7">
        <f>IF(B9="I1",20*AVERAGEIF('QA_Images'!$A$2:$A$65,A9,'QA_Images'!$S$2:$S$65)/100,IF(D9="NOT_CHECKED",0,C9))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["evidence_batch_021_201", "https://jeminise.com/products/personalized-baseball-bedding-full-size-flag-custom-name-d-design-26"]</t>
        </is>
      </c>
      <c r="J9" s="3" t="inlineStr">
        <is>
          <t>[]</t>
        </is>
      </c>
    </row>
    <row r="10" ht="42" customHeight="1">
      <c r="A10" s="2" t="inlineStr">
        <is>
          <t>jeminise.com+personalized-baseball-bedding-full-size-flag-custom-name-d-design-26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5">
        <f>IF(B10="I1",AVERAGEIF('QA_Images'!$A$2:$A$65,A10,'QA_Images'!$R$2:$R$65)/100,IF(D10="FULL",1,IF(D10="PARTIAL",0.5,IF(D10="FAIL",0,""))))</f>
        <v/>
      </c>
      <c r="F10" s="5">
        <f>IF(E10="",0,C10*E10)</f>
        <v/>
      </c>
      <c r="G10" s="5">
        <f>IF(B10="I1",20*AVERAGEIF('QA_Images'!$A$2:$A$65,A10,'QA_Images'!$S$2:$S$65)/100,IF(D10="NOT_CHECKED",0,C10))</f>
        <v/>
      </c>
      <c r="H10" s="2" t="inlineStr">
        <is>
          <t>FULL: description HTML is customer-facing and tied to verified artwork, product type, options and personalization controls.</t>
        </is>
      </c>
      <c r="I10" s="2" t="inlineStr">
        <is>
          <t>["evidence_batch_021_201", "https://jeminise.com/products/personalized-baseball-bedding-full-size-flag-custom-name-d-design-26"]</t>
        </is>
      </c>
      <c r="J10" s="2" t="inlineStr">
        <is>
          <t>[]</t>
        </is>
      </c>
    </row>
    <row r="11" ht="42" customHeight="1">
      <c r="A11" s="3" t="inlineStr">
        <is>
          <t>jeminise.com+personalized-baseball-bedding-full-size-flag-custom-name-d-design-26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IF(B11="I1",AVERAGEIF('QA_Images'!$A$2:$A$65,A11,'QA_Images'!$R$2:$R$65)/100,IF(D11="FULL",1,IF(D11="PARTIAL",0.5,IF(D11="FAIL",0,""))))</f>
        <v/>
      </c>
      <c r="F11" s="7">
        <f>IF(E11="",0,C11*E11)</f>
        <v/>
      </c>
      <c r="G11" s="7">
        <f>IF(B11="I1",20*AVERAGEIF('QA_Images'!$A$2:$A$65,A11,'QA_Images'!$S$2:$S$65)/100,IF(D11="NOT_CHECKED",0,C11))</f>
        <v/>
      </c>
      <c r="H11" s="3" t="inlineStr">
        <is>
          <t>Derived from 7 QA_Images rows for this product; average image score 100/100.</t>
        </is>
      </c>
      <c r="I11" s="3" t="inlineStr">
        <is>
          <t>["QA_Images", "evidence_batch_021_201"]</t>
        </is>
      </c>
      <c r="J11" s="3" t="inlineStr">
        <is>
          <t>[]</t>
        </is>
      </c>
    </row>
    <row r="12" ht="42" customHeight="1">
      <c r="A12" s="2" t="inlineStr">
        <is>
          <t>jeminise.com+personalized-baseball-bedding-full-size-flag-custom-name-d-design-26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IF(B12="I1",AVERAGEIF('QA_Images'!$A$2:$A$65,A12,'QA_Images'!$R$2:$R$65)/100,IF(D12="FULL",1,IF(D12="PARTIAL",0.5,IF(D12="FAIL",0,""))))</f>
        <v/>
      </c>
      <c r="F12" s="5">
        <f>IF(E12="",0,C12*E12)</f>
        <v/>
      </c>
      <c r="G12" s="5">
        <f>IF(B12="I1",20*AVERAGEIF('QA_Images'!$A$2:$A$65,A12,'QA_Images'!$S$2:$S$65)/100,IF(D12="NOT_CHECKED",0,C12))</f>
        <v/>
      </c>
      <c r="H12" s="2" t="inlineStr">
        <is>
          <t>FULL: product key, handle, links and scoped evidence are consistent; row-level r3 labels are recorded separately as a traceability limitation.</t>
        </is>
      </c>
      <c r="I12" s="2" t="inlineStr">
        <is>
          <t>["evidence_batch_021_201", "https://jeminise.com/products/personalized-baseball-bedding-full-size-flag-custom-name-d-design-26"]</t>
        </is>
      </c>
      <c r="J12" s="2" t="inlineStr">
        <is>
          <t>[]</t>
        </is>
      </c>
    </row>
    <row r="13" ht="42" customHeight="1">
      <c r="A13" s="3" t="inlineStr">
        <is>
          <t>jeminise.com+personalized-baseball-bedding-full-size-flag-custom-name-duvet-cover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IF(B13="I1",AVERAGEIF('QA_Images'!$A$2:$A$65,A13,'QA_Images'!$R$2:$R$65)/100,IF(D13="FULL",1,IF(D13="PARTIAL",0.5,IF(D13="FAIL",0,""))))</f>
        <v/>
      </c>
      <c r="F13" s="7">
        <f>IF(E13="",0,C13*E13)</f>
        <v/>
      </c>
      <c r="G13" s="7">
        <f>IF(B13="I1",20*AVERAGEIF('QA_Images'!$A$2:$A$65,A13,'QA_Images'!$S$2:$S$65)/100,IF(D13="NOT_CHECKED",0,C13))</f>
        <v/>
      </c>
      <c r="H13" s="3" t="inlineStr">
        <is>
          <t>FULL: product identity, handle and live product data match inventory scope for batch 21.</t>
        </is>
      </c>
      <c r="I13" s="3" t="inlineStr">
        <is>
          <t>["evidence_batch_021_202", "https://jeminise.com/products/personalized-baseball-bedding-full-size-flag-custom-name-duvet-cover"]</t>
        </is>
      </c>
      <c r="J13" s="3" t="inlineStr">
        <is>
          <t>[]</t>
        </is>
      </c>
    </row>
    <row r="14" ht="42" customHeight="1">
      <c r="A14" s="2" t="inlineStr">
        <is>
          <t>jeminise.com+personalized-baseball-bedding-full-size-flag-custom-name-duvet-cover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IF(B14="I1",AVERAGEIF('QA_Images'!$A$2:$A$65,A14,'QA_Images'!$R$2:$R$65)/100,IF(D14="FULL",1,IF(D14="PARTIAL",0.5,IF(D14="FAIL",0,""))))</f>
        <v/>
      </c>
      <c r="F14" s="5">
        <f>IF(E14="",0,C14*E14)</f>
        <v/>
      </c>
      <c r="G14" s="5">
        <f>IF(B14="I1",20*AVERAGEIF('QA_Images'!$A$2:$A$65,A14,'QA_Images'!$S$2:$S$65)/100,IF(D14="NOT_CHECKED",0,C14))</f>
        <v/>
      </c>
      <c r="H14" s="2" t="inlineStr">
        <is>
          <t>FULL: personalization/product-option claims were checked against live/cache customizer evidence for this product.</t>
        </is>
      </c>
      <c r="I14" s="2" t="inlineStr">
        <is>
          <t>["evidence_batch_021_202", "https://jeminise.com/products/personalized-baseball-bedding-full-size-flag-custom-name-duvet-cover",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jeminise.com+personalized-baseball-bedding-full-size-flag-custom-name-duvet-cover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IF(B15="I1",AVERAGEIF('QA_Images'!$A$2:$A$65,A15,'QA_Images'!$R$2:$R$65)/100,IF(D15="FULL",1,IF(D15="PARTIAL",0.5,IF(D15="FAIL",0,""))))</f>
        <v/>
      </c>
      <c r="F15" s="7">
        <f>IF(E15="",0,C15*E15)</f>
        <v/>
      </c>
      <c r="G15" s="7">
        <f>IF(B15="I1",20*AVERAGEIF('QA_Images'!$A$2:$A$65,A15,'QA_Images'!$S$2:$S$65)/100,IF(D15="NOT_CHECKED",0,C15))</f>
        <v/>
      </c>
      <c r="H15" s="3" t="inlineStr">
        <is>
          <t>PARTIAL: primary keyword 'custom neon baseball player duvet cover' was checked against this product's own US/English SERP; partial means the exact visual modifier is niche.</t>
        </is>
      </c>
      <c r="I15" s="3" t="inlineStr">
        <is>
          <t>["evidence_batch_021_202", "https://jeminise.com/products/personalized-baseball-bedding-full-size-flag-custom-name-duvet-cover", "serp_qa_batch_021_r4_202_1", "serp_qa_batch_021_r4_202_2"]</t>
        </is>
      </c>
      <c r="J15" s="3" t="inlineStr">
        <is>
          <t>[]</t>
        </is>
      </c>
    </row>
    <row r="16" ht="42" customHeight="1">
      <c r="A16" s="2" t="inlineStr">
        <is>
          <t>jeminise.com+personalized-baseball-bedding-full-size-flag-custom-name-duvet-cover</t>
        </is>
      </c>
      <c r="B16" s="2" t="inlineStr">
        <is>
          <t>K2</t>
        </is>
      </c>
      <c r="C16" s="2" t="n">
        <v>5</v>
      </c>
      <c r="D16" s="2" t="inlineStr">
        <is>
          <t>PARTIAL</t>
        </is>
      </c>
      <c r="E16" s="5">
        <f>IF(B16="I1",AVERAGEIF('QA_Images'!$A$2:$A$65,A16,'QA_Images'!$R$2:$R$65)/100,IF(D16="FULL",1,IF(D16="PARTIAL",0.5,IF(D16="FAIL",0,""))))</f>
        <v/>
      </c>
      <c r="F16" s="5">
        <f>IF(E16="",0,C16*E16)</f>
        <v/>
      </c>
      <c r="G16" s="5">
        <f>IF(B16="I1",20*AVERAGEIF('QA_Images'!$A$2:$A$65,A16,'QA_Images'!$S$2:$S$65)/100,IF(D16="NOT_CHECKED",0,C16))</f>
        <v/>
      </c>
      <c r="H16" s="2" t="inlineStr">
        <is>
          <t>PARTIAL: comparator query supports commercial bedding/blanket intent for this product type; partial means results broaden beyond the exact motif.</t>
        </is>
      </c>
      <c r="I16" s="2" t="inlineStr">
        <is>
          <t>["evidence_batch_021_202", "https://jeminise.com/products/personalized-baseball-bedding-full-size-flag-custom-name-duvet-cover", "serp_qa_batch_021_r4_202_1", "serp_qa_batch_021_r4_202_2"]</t>
        </is>
      </c>
      <c r="J16" s="2" t="inlineStr">
        <is>
          <t>[]</t>
        </is>
      </c>
    </row>
    <row r="17" ht="42" customHeight="1">
      <c r="A17" s="3" t="inlineStr">
        <is>
          <t>jeminise.com+personalized-baseball-bedding-full-size-flag-custom-name-duvet-cover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IF(B17="I1",AVERAGEIF('QA_Images'!$A$2:$A$65,A17,'QA_Images'!$R$2:$R$65)/100,IF(D17="FULL",1,IF(D17="PARTIAL",0.5,IF(D17="FAIL",0,""))))</f>
        <v/>
      </c>
      <c r="F17" s="7">
        <f>IF(E17="",0,C17*E17)</f>
        <v/>
      </c>
      <c r="G17" s="7">
        <f>IF(B17="I1",20*AVERAGEIF('QA_Images'!$A$2:$A$65,A17,'QA_Images'!$S$2:$S$65)/100,IF(D17="NOT_CHECKED",0,C17))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["evidence_batch_021_202", "https://jeminise.com/products/personalized-baseball-bedding-full-size-flag-custom-name-duvet-cover", "serp_qa_batch_021_r4_202_1", "serp_qa_batch_021_r4_202_2"]</t>
        </is>
      </c>
      <c r="J17" s="3" t="inlineStr">
        <is>
          <t>[]</t>
        </is>
      </c>
    </row>
    <row r="18" ht="42" customHeight="1">
      <c r="A18" s="2" t="inlineStr">
        <is>
          <t>jeminise.com+personalized-baseball-bedding-full-size-flag-custom-name-duvet-cover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IF(B18="I1",AVERAGEIF('QA_Images'!$A$2:$A$65,A18,'QA_Images'!$R$2:$R$65)/100,IF(D18="FULL",1,IF(D18="PARTIAL",0.5,IF(D18="FAIL",0,""))))</f>
        <v/>
      </c>
      <c r="F18" s="5">
        <f>IF(E18="",0,C18*E18)</f>
        <v/>
      </c>
      <c r="G18" s="5">
        <f>IF(B18="I1",20*AVERAGEIF('QA_Images'!$A$2:$A$65,A18,'QA_Images'!$S$2:$S$65)/100,IF(D18="NOT_CHECKED",0,C18))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["evidence_batch_021_202", "https://jeminise.com/products/personalized-baseball-bedding-full-size-flag-custom-name-duvet-cover"]</t>
        </is>
      </c>
      <c r="J18" s="2" t="inlineStr">
        <is>
          <t>[]</t>
        </is>
      </c>
    </row>
    <row r="19" ht="42" customHeight="1">
      <c r="A19" s="3" t="inlineStr">
        <is>
          <t>jeminise.com+personalized-baseball-bedding-full-size-flag-custom-name-duvet-cover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IF(B19="I1",AVERAGEIF('QA_Images'!$A$2:$A$65,A19,'QA_Images'!$R$2:$R$65)/100,IF(D19="FULL",1,IF(D19="PARTIAL",0.5,IF(D19="FAIL",0,""))))</f>
        <v/>
      </c>
      <c r="F19" s="7">
        <f>IF(E19="",0,C19*E19)</f>
        <v/>
      </c>
      <c r="G19" s="7">
        <f>IF(B19="I1",20*AVERAGEIF('QA_Images'!$A$2:$A$65,A19,'QA_Images'!$S$2:$S$65)/100,IF(D19="NOT_CHECKED",0,C19))</f>
        <v/>
      </c>
      <c r="H19" s="3" t="inlineStr">
        <is>
          <t>FULL: title_proposed can function as product title/H1 and distinguishes this batch-21 design by motif/product type.</t>
        </is>
      </c>
      <c r="I19" s="3" t="inlineStr">
        <is>
          <t>["evidence_batch_021_202", "https://jeminise.com/products/personalized-baseball-bedding-full-size-flag-custom-name-duvet-cover"]</t>
        </is>
      </c>
      <c r="J19" s="3" t="inlineStr">
        <is>
          <t>[]</t>
        </is>
      </c>
    </row>
    <row r="20" ht="42" customHeight="1">
      <c r="A20" s="2" t="inlineStr">
        <is>
          <t>jeminise.com+personalized-baseball-bedding-full-size-flag-custom-name-duvet-cover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IF(B20="I1",AVERAGEIF('QA_Images'!$A$2:$A$65,A20,'QA_Images'!$R$2:$R$65)/100,IF(D20="FULL",1,IF(D20="PARTIAL",0.5,IF(D20="FAIL",0,""))))</f>
        <v/>
      </c>
      <c r="F20" s="5">
        <f>IF(E20="",0,C20*E20)</f>
        <v/>
      </c>
      <c r="G20" s="5">
        <f>IF(B20="I1",20*AVERAGEIF('QA_Images'!$A$2:$A$65,A20,'QA_Images'!$S$2:$S$65)/100,IF(D20="NOT_CHECKED",0,C20))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["evidence_batch_021_202", "https://jeminise.com/products/personalized-baseball-bedding-full-size-flag-custom-name-duvet-cover"]</t>
        </is>
      </c>
      <c r="J20" s="2" t="inlineStr">
        <is>
          <t>[]</t>
        </is>
      </c>
    </row>
    <row r="21" ht="42" customHeight="1">
      <c r="A21" s="3" t="inlineStr">
        <is>
          <t>jeminise.com+personalized-baseball-bedding-full-size-flag-custom-name-duvet-cover</t>
        </is>
      </c>
      <c r="B21" s="3" t="inlineStr">
        <is>
          <t>D2</t>
        </is>
      </c>
      <c r="C21" s="3" t="n">
        <v>10</v>
      </c>
      <c r="D21" s="3" t="inlineStr">
        <is>
          <t>FULL</t>
        </is>
      </c>
      <c r="E21" s="7">
        <f>IF(B21="I1",AVERAGEIF('QA_Images'!$A$2:$A$65,A21,'QA_Images'!$R$2:$R$65)/100,IF(D21="FULL",1,IF(D21="PARTIAL",0.5,IF(D21="FAIL",0,""))))</f>
        <v/>
      </c>
      <c r="F21" s="7">
        <f>IF(E21="",0,C21*E21)</f>
        <v/>
      </c>
      <c r="G21" s="7">
        <f>IF(B21="I1",20*AVERAGEIF('QA_Images'!$A$2:$A$65,A21,'QA_Images'!$S$2:$S$65)/100,IF(D21="NOT_CHECKED",0,C21))</f>
        <v/>
      </c>
      <c r="H21" s="3" t="inlineStr">
        <is>
          <t>FULL: description HTML is customer-facing and tied to verified artwork, product type, options and personalization controls.</t>
        </is>
      </c>
      <c r="I21" s="3" t="inlineStr">
        <is>
          <t>["evidence_batch_021_202", "https://jeminise.com/products/personalized-baseball-bedding-full-size-flag-custom-name-duvet-cover"]</t>
        </is>
      </c>
      <c r="J21" s="3" t="inlineStr">
        <is>
          <t>[]</t>
        </is>
      </c>
    </row>
    <row r="22" ht="42" customHeight="1">
      <c r="A22" s="2" t="inlineStr">
        <is>
          <t>jeminise.com+personalized-baseball-bedding-full-size-flag-custom-name-duvet-cover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IF(B22="I1",AVERAGEIF('QA_Images'!$A$2:$A$65,A22,'QA_Images'!$R$2:$R$65)/100,IF(D22="FULL",1,IF(D22="PARTIAL",0.5,IF(D22="FAIL",0,""))))</f>
        <v/>
      </c>
      <c r="F22" s="5">
        <f>IF(E22="",0,C22*E22)</f>
        <v/>
      </c>
      <c r="G22" s="5">
        <f>IF(B22="I1",20*AVERAGEIF('QA_Images'!$A$2:$A$65,A22,'QA_Images'!$S$2:$S$65)/100,IF(D22="NOT_CHECKED",0,C22))</f>
        <v/>
      </c>
      <c r="H22" s="2" t="inlineStr">
        <is>
          <t>Derived from 4 QA_Images rows for this product; average image score 100/100.</t>
        </is>
      </c>
      <c r="I22" s="2" t="inlineStr">
        <is>
          <t>["QA_Images", "evidence_batch_021_202"]</t>
        </is>
      </c>
      <c r="J22" s="2" t="inlineStr">
        <is>
          <t>[]</t>
        </is>
      </c>
    </row>
    <row r="23" ht="42" customHeight="1">
      <c r="A23" s="3" t="inlineStr">
        <is>
          <t>jeminise.com+personalized-baseball-bedding-full-size-flag-custom-name-duvet-cover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IF(B23="I1",AVERAGEIF('QA_Images'!$A$2:$A$65,A23,'QA_Images'!$R$2:$R$65)/100,IF(D23="FULL",1,IF(D23="PARTIAL",0.5,IF(D23="FAIL",0,""))))</f>
        <v/>
      </c>
      <c r="F23" s="7">
        <f>IF(E23="",0,C23*E23)</f>
        <v/>
      </c>
      <c r="G23" s="7">
        <f>IF(B23="I1",20*AVERAGEIF('QA_Images'!$A$2:$A$65,A23,'QA_Images'!$S$2:$S$65)/100,IF(D23="NOT_CHECKED",0,C23))</f>
        <v/>
      </c>
      <c r="H23" s="3" t="inlineStr">
        <is>
          <t>FULL: product key, handle, links and scoped evidence are consistent; row-level r3 labels are recorded separately as a traceability limitation.</t>
        </is>
      </c>
      <c r="I23" s="3" t="inlineStr">
        <is>
          <t>["evidence_batch_021_202", "https://jeminise.com/products/personalized-baseball-bedding-full-size-flag-custom-name-duvet-cover"]</t>
        </is>
      </c>
      <c r="J23" s="3" t="inlineStr">
        <is>
          <t>[]</t>
        </is>
      </c>
    </row>
    <row r="24" ht="42" customHeight="1">
      <c r="A24" s="2" t="inlineStr">
        <is>
          <t>jeminise.com+personalized-basketball-above-hoop-and-net-comforter-with-name-and-number-ff32dd676a-ff32dd676a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IF(B24="I1",AVERAGEIF('QA_Images'!$A$2:$A$65,A24,'QA_Images'!$R$2:$R$65)/100,IF(D24="FULL",1,IF(D24="PARTIAL",0.5,IF(D24="FAIL",0,""))))</f>
        <v/>
      </c>
      <c r="F24" s="5">
        <f>IF(E24="",0,C24*E24)</f>
        <v/>
      </c>
      <c r="G24" s="5">
        <f>IF(B24="I1",20*AVERAGEIF('QA_Images'!$A$2:$A$65,A24,'QA_Images'!$S$2:$S$65)/100,IF(D24="NOT_CHECKED",0,C24))</f>
        <v/>
      </c>
      <c r="H24" s="2" t="inlineStr">
        <is>
          <t>FULL: product identity, handle and live product data match inventory scope for batch 21.</t>
        </is>
      </c>
      <c r="I24" s="2" t="inlineStr">
        <is>
          <t>["evidence_batch_021_203", "https://jeminise.com/products/personalized-basketball-above-hoop-and-net-comforter-with-name-and-number-ff32dd676a-ff32dd676a"]</t>
        </is>
      </c>
      <c r="J24" s="2" t="inlineStr">
        <is>
          <t>[]</t>
        </is>
      </c>
    </row>
    <row r="25" ht="42" customHeight="1">
      <c r="A25" s="3" t="inlineStr">
        <is>
          <t>jeminise.com+personalized-basketball-above-hoop-and-net-comforter-with-name-and-number-ff32dd676a-ff32dd676a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IF(B25="I1",AVERAGEIF('QA_Images'!$A$2:$A$65,A25,'QA_Images'!$R$2:$R$65)/100,IF(D25="FULL",1,IF(D25="PARTIAL",0.5,IF(D25="FAIL",0,""))))</f>
        <v/>
      </c>
      <c r="F25" s="7">
        <f>IF(E25="",0,C25*E25)</f>
        <v/>
      </c>
      <c r="G25" s="7">
        <f>IF(B25="I1",20*AVERAGEIF('QA_Images'!$A$2:$A$65,A25,'QA_Images'!$S$2:$S$65)/100,IF(D25="NOT_CHECKED",0,C25))</f>
        <v/>
      </c>
      <c r="H25" s="3" t="inlineStr">
        <is>
          <t>FULL: personalization/product-option claims were checked against live/cache customizer evidence for this product.</t>
        </is>
      </c>
      <c r="I25" s="3" t="inlineStr">
        <is>
          <t>["evidence_batch_021_203", "https://jeminise.com/products/personalized-basketball-above-hoop-and-net-comforter-with-name-and-number-ff32dd676a-ff32dd676a",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jeminise.com+personalized-basketball-above-hoop-and-net-comforter-with-name-and-number-ff32dd676a-ff32dd676a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5">
        <f>IF(B26="I1",AVERAGEIF('QA_Images'!$A$2:$A$65,A26,'QA_Images'!$R$2:$R$65)/100,IF(D26="FULL",1,IF(D26="PARTIAL",0.5,IF(D26="FAIL",0,""))))</f>
        <v/>
      </c>
      <c r="F26" s="5">
        <f>IF(E26="",0,C26*E26)</f>
        <v/>
      </c>
      <c r="G26" s="5">
        <f>IF(B26="I1",20*AVERAGEIF('QA_Images'!$A$2:$A$65,A26,'QA_Images'!$S$2:$S$65)/100,IF(D26="NOT_CHECKED",0,C26))</f>
        <v/>
      </c>
      <c r="H26" s="2" t="inlineStr">
        <is>
          <t>FULL: primary keyword 'custom basketball hoop comforter set' was checked against this product's own US/English SERP; partial means the exact visual modifier is niche.</t>
        </is>
      </c>
      <c r="I26" s="2" t="inlineStr">
        <is>
          <t>["evidence_batch_021_203", "https://jeminise.com/products/personalized-basketball-above-hoop-and-net-comforter-with-name-and-number-ff32dd676a-ff32dd676a", "serp_qa_batch_021_r4_203_1", "serp_qa_batch_021_r4_203_2"]</t>
        </is>
      </c>
      <c r="J26" s="2" t="inlineStr">
        <is>
          <t>[]</t>
        </is>
      </c>
    </row>
    <row r="27" ht="42" customHeight="1">
      <c r="A27" s="3" t="inlineStr">
        <is>
          <t>jeminise.com+personalized-basketball-above-hoop-and-net-comforter-with-name-and-number-ff32dd676a-ff32dd676a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IF(B27="I1",AVERAGEIF('QA_Images'!$A$2:$A$65,A27,'QA_Images'!$R$2:$R$65)/100,IF(D27="FULL",1,IF(D27="PARTIAL",0.5,IF(D27="FAIL",0,""))))</f>
        <v/>
      </c>
      <c r="F27" s="7">
        <f>IF(E27="",0,C27*E27)</f>
        <v/>
      </c>
      <c r="G27" s="7">
        <f>IF(B27="I1",20*AVERAGEIF('QA_Images'!$A$2:$A$65,A27,'QA_Images'!$S$2:$S$65)/100,IF(D27="NOT_CHECKED",0,C27))</f>
        <v/>
      </c>
      <c r="H27" s="3" t="inlineStr">
        <is>
          <t>FULL: comparator query supports commercial bedding/blanket intent for this product type; partial means results broaden beyond the exact motif.</t>
        </is>
      </c>
      <c r="I27" s="3" t="inlineStr">
        <is>
          <t>["evidence_batch_021_203", "https://jeminise.com/products/personalized-basketball-above-hoop-and-net-comforter-with-name-and-number-ff32dd676a-ff32dd676a", "serp_qa_batch_021_r4_203_1", "serp_qa_batch_021_r4_203_2"]</t>
        </is>
      </c>
      <c r="J27" s="3" t="inlineStr">
        <is>
          <t>[]</t>
        </is>
      </c>
    </row>
    <row r="28" ht="42" customHeight="1">
      <c r="A28" s="2" t="inlineStr">
        <is>
          <t>jeminise.com+personalized-basketball-above-hoop-and-net-comforter-with-name-and-number-ff32dd676a-ff32dd676a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IF(B28="I1",AVERAGEIF('QA_Images'!$A$2:$A$65,A28,'QA_Images'!$R$2:$R$65)/100,IF(D28="FULL",1,IF(D28="PARTIAL",0.5,IF(D28="FAIL",0,""))))</f>
        <v/>
      </c>
      <c r="F28" s="5">
        <f>IF(E28="",0,C28*E28)</f>
        <v/>
      </c>
      <c r="G28" s="5">
        <f>IF(B28="I1",20*AVERAGEIF('QA_Images'!$A$2:$A$65,A28,'QA_Images'!$S$2:$S$65)/100,IF(D28="NOT_CHECKED",0,C28))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["evidence_batch_021_203", "https://jeminise.com/products/personalized-basketball-above-hoop-and-net-comforter-with-name-and-number-ff32dd676a-ff32dd676a", "serp_qa_batch_021_r4_203_1", "serp_qa_batch_021_r4_203_2"]</t>
        </is>
      </c>
      <c r="J28" s="2" t="inlineStr">
        <is>
          <t>[]</t>
        </is>
      </c>
    </row>
    <row r="29" ht="42" customHeight="1">
      <c r="A29" s="3" t="inlineStr">
        <is>
          <t>jeminise.com+personalized-basketball-above-hoop-and-net-comforter-with-name-and-number-ff32dd676a-ff32dd676a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IF(B29="I1",AVERAGEIF('QA_Images'!$A$2:$A$65,A29,'QA_Images'!$R$2:$R$65)/100,IF(D29="FULL",1,IF(D29="PARTIAL",0.5,IF(D29="FAIL",0,""))))</f>
        <v/>
      </c>
      <c r="F29" s="7">
        <f>IF(E29="",0,C29*E29)</f>
        <v/>
      </c>
      <c r="G29" s="7">
        <f>IF(B29="I1",20*AVERAGEIF('QA_Images'!$A$2:$A$65,A29,'QA_Images'!$S$2:$S$65)/100,IF(D29="NOT_CHECKED",0,C29))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["evidence_batch_021_203", "https://jeminise.com/products/personalized-basketball-above-hoop-and-net-comforter-with-name-and-number-ff32dd676a-ff32dd676a"]</t>
        </is>
      </c>
      <c r="J29" s="3" t="inlineStr">
        <is>
          <t>[]</t>
        </is>
      </c>
    </row>
    <row r="30" ht="42" customHeight="1">
      <c r="A30" s="2" t="inlineStr">
        <is>
          <t>jeminise.com+personalized-basketball-above-hoop-and-net-comforter-with-name-and-number-ff32dd676a-ff32dd676a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IF(B30="I1",AVERAGEIF('QA_Images'!$A$2:$A$65,A30,'QA_Images'!$R$2:$R$65)/100,IF(D30="FULL",1,IF(D30="PARTIAL",0.5,IF(D30="FAIL",0,""))))</f>
        <v/>
      </c>
      <c r="F30" s="5">
        <f>IF(E30="",0,C30*E30)</f>
        <v/>
      </c>
      <c r="G30" s="5">
        <f>IF(B30="I1",20*AVERAGEIF('QA_Images'!$A$2:$A$65,A30,'QA_Images'!$S$2:$S$65)/100,IF(D30="NOT_CHECKED",0,C30))</f>
        <v/>
      </c>
      <c r="H30" s="2" t="inlineStr">
        <is>
          <t>FULL: title_proposed can function as product title/H1 and distinguishes this batch-21 design by motif/product type.</t>
        </is>
      </c>
      <c r="I30" s="2" t="inlineStr">
        <is>
          <t>["evidence_batch_021_203", "https://jeminise.com/products/personalized-basketball-above-hoop-and-net-comforter-with-name-and-number-ff32dd676a-ff32dd676a"]</t>
        </is>
      </c>
      <c r="J30" s="2" t="inlineStr">
        <is>
          <t>[]</t>
        </is>
      </c>
    </row>
    <row r="31" ht="42" customHeight="1">
      <c r="A31" s="3" t="inlineStr">
        <is>
          <t>jeminise.com+personalized-basketball-above-hoop-and-net-comforter-with-name-and-number-ff32dd676a-ff32dd676a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IF(B31="I1",AVERAGEIF('QA_Images'!$A$2:$A$65,A31,'QA_Images'!$R$2:$R$65)/100,IF(D31="FULL",1,IF(D31="PARTIAL",0.5,IF(D31="FAIL",0,""))))</f>
        <v/>
      </c>
      <c r="F31" s="7">
        <f>IF(E31="",0,C31*E31)</f>
        <v/>
      </c>
      <c r="G31" s="7">
        <f>IF(B31="I1",20*AVERAGEIF('QA_Images'!$A$2:$A$65,A31,'QA_Images'!$S$2:$S$65)/100,IF(D31="NOT_CHECKED",0,C31))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["evidence_batch_021_203", "https://jeminise.com/products/personalized-basketball-above-hoop-and-net-comforter-with-name-and-number-ff32dd676a-ff32dd676a"]</t>
        </is>
      </c>
      <c r="J31" s="3" t="inlineStr">
        <is>
          <t>[]</t>
        </is>
      </c>
    </row>
    <row r="32" ht="42" customHeight="1">
      <c r="A32" s="2" t="inlineStr">
        <is>
          <t>jeminise.com+personalized-basketball-above-hoop-and-net-comforter-with-name-and-number-ff32dd676a-ff32dd676a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5">
        <f>IF(B32="I1",AVERAGEIF('QA_Images'!$A$2:$A$65,A32,'QA_Images'!$R$2:$R$65)/100,IF(D32="FULL",1,IF(D32="PARTIAL",0.5,IF(D32="FAIL",0,""))))</f>
        <v/>
      </c>
      <c r="F32" s="5">
        <f>IF(E32="",0,C32*E32)</f>
        <v/>
      </c>
      <c r="G32" s="5">
        <f>IF(B32="I1",20*AVERAGEIF('QA_Images'!$A$2:$A$65,A32,'QA_Images'!$S$2:$S$65)/100,IF(D32="NOT_CHECKED",0,C32))</f>
        <v/>
      </c>
      <c r="H32" s="2" t="inlineStr">
        <is>
          <t>FULL: description HTML is customer-facing and tied to verified artwork, product type, options and personalization controls.</t>
        </is>
      </c>
      <c r="I32" s="2" t="inlineStr">
        <is>
          <t>["evidence_batch_021_203", "https://jeminise.com/products/personalized-basketball-above-hoop-and-net-comforter-with-name-and-number-ff32dd676a-ff32dd676a"]</t>
        </is>
      </c>
      <c r="J32" s="2" t="inlineStr">
        <is>
          <t>[]</t>
        </is>
      </c>
    </row>
    <row r="33" ht="42" customHeight="1">
      <c r="A33" s="3" t="inlineStr">
        <is>
          <t>jeminise.com+personalized-basketball-above-hoop-and-net-comforter-with-name-and-number-ff32dd676a-ff32dd676a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IF(B33="I1",AVERAGEIF('QA_Images'!$A$2:$A$65,A33,'QA_Images'!$R$2:$R$65)/100,IF(D33="FULL",1,IF(D33="PARTIAL",0.5,IF(D33="FAIL",0,""))))</f>
        <v/>
      </c>
      <c r="F33" s="7">
        <f>IF(E33="",0,C33*E33)</f>
        <v/>
      </c>
      <c r="G33" s="7">
        <f>IF(B33="I1",20*AVERAGEIF('QA_Images'!$A$2:$A$65,A33,'QA_Images'!$S$2:$S$65)/100,IF(D33="NOT_CHECKED",0,C33))</f>
        <v/>
      </c>
      <c r="H33" s="3" t="inlineStr">
        <is>
          <t>Derived from 5 QA_Images rows for this product; average image score 100/100.</t>
        </is>
      </c>
      <c r="I33" s="3" t="inlineStr">
        <is>
          <t>["QA_Images", "evidence_batch_021_203"]</t>
        </is>
      </c>
      <c r="J33" s="3" t="inlineStr">
        <is>
          <t>[]</t>
        </is>
      </c>
    </row>
    <row r="34" ht="42" customHeight="1">
      <c r="A34" s="2" t="inlineStr">
        <is>
          <t>jeminise.com+personalized-basketball-above-hoop-and-net-comforter-with-name-and-number-ff32dd676a-ff32dd676a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IF(B34="I1",AVERAGEIF('QA_Images'!$A$2:$A$65,A34,'QA_Images'!$R$2:$R$65)/100,IF(D34="FULL",1,IF(D34="PARTIAL",0.5,IF(D34="FAIL",0,""))))</f>
        <v/>
      </c>
      <c r="F34" s="5">
        <f>IF(E34="",0,C34*E34)</f>
        <v/>
      </c>
      <c r="G34" s="5">
        <f>IF(B34="I1",20*AVERAGEIF('QA_Images'!$A$2:$A$65,A34,'QA_Images'!$S$2:$S$65)/100,IF(D34="NOT_CHECKED",0,C34))</f>
        <v/>
      </c>
      <c r="H34" s="2" t="inlineStr">
        <is>
          <t>FULL: product key, handle, links and scoped evidence are consistent; row-level r3 labels are recorded separately as a traceability limitation.</t>
        </is>
      </c>
      <c r="I34" s="2" t="inlineStr">
        <is>
          <t>["evidence_batch_021_203", "https://jeminise.com/products/personalized-basketball-above-hoop-and-net-comforter-with-name-and-number-ff32dd676a-ff32dd676a"]</t>
        </is>
      </c>
      <c r="J34" s="2" t="inlineStr">
        <is>
          <t>[]</t>
        </is>
      </c>
    </row>
    <row r="35" ht="42" customHeight="1">
      <c r="A35" s="3" t="inlineStr">
        <is>
          <t>jeminise.com+personalized-basketball-above-hoop-close-up-comforter-with-name-and-number-95487807f8-95487807f8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IF(B35="I1",AVERAGEIF('QA_Images'!$A$2:$A$65,A35,'QA_Images'!$R$2:$R$65)/100,IF(D35="FULL",1,IF(D35="PARTIAL",0.5,IF(D35="FAIL",0,""))))</f>
        <v/>
      </c>
      <c r="F35" s="7">
        <f>IF(E35="",0,C35*E35)</f>
        <v/>
      </c>
      <c r="G35" s="7">
        <f>IF(B35="I1",20*AVERAGEIF('QA_Images'!$A$2:$A$65,A35,'QA_Images'!$S$2:$S$65)/100,IF(D35="NOT_CHECKED",0,C35))</f>
        <v/>
      </c>
      <c r="H35" s="3" t="inlineStr">
        <is>
          <t>FULL: product identity, handle and live product data match inventory scope for batch 21.</t>
        </is>
      </c>
      <c r="I35" s="3" t="inlineStr">
        <is>
          <t>["evidence_batch_021_204", "https://jeminise.com/products/personalized-basketball-above-hoop-close-up-comforter-with-name-and-number-95487807f8-95487807f8"]</t>
        </is>
      </c>
      <c r="J35" s="3" t="inlineStr">
        <is>
          <t>[]</t>
        </is>
      </c>
    </row>
    <row r="36" ht="42" customHeight="1">
      <c r="A36" s="2" t="inlineStr">
        <is>
          <t>jeminise.com+personalized-basketball-above-hoop-close-up-comforter-with-name-and-number-95487807f8-95487807f8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IF(B36="I1",AVERAGEIF('QA_Images'!$A$2:$A$65,A36,'QA_Images'!$R$2:$R$65)/100,IF(D36="FULL",1,IF(D36="PARTIAL",0.5,IF(D36="FAIL",0,""))))</f>
        <v/>
      </c>
      <c r="F36" s="5">
        <f>IF(E36="",0,C36*E36)</f>
        <v/>
      </c>
      <c r="G36" s="5">
        <f>IF(B36="I1",20*AVERAGEIF('QA_Images'!$A$2:$A$65,A36,'QA_Images'!$S$2:$S$65)/100,IF(D36="NOT_CHECKED",0,C36))</f>
        <v/>
      </c>
      <c r="H36" s="2" t="inlineStr">
        <is>
          <t>FULL: personalization/product-option claims were checked against live/cache customizer evidence for this product.</t>
        </is>
      </c>
      <c r="I36" s="2" t="inlineStr">
        <is>
          <t>["evidence_batch_021_204", "https://jeminise.com/products/personalized-basketball-above-hoop-close-up-comforter-with-name-and-number-95487807f8-95487807f8",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jeminise.com+personalized-basketball-above-hoop-close-up-comforter-with-name-and-number-95487807f8-95487807f8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IF(B37="I1",AVERAGEIF('QA_Images'!$A$2:$A$65,A37,'QA_Images'!$R$2:$R$65)/100,IF(D37="FULL",1,IF(D37="PARTIAL",0.5,IF(D37="FAIL",0,""))))</f>
        <v/>
      </c>
      <c r="F37" s="7">
        <f>IF(E37="",0,C37*E37)</f>
        <v/>
      </c>
      <c r="G37" s="7">
        <f>IF(B37="I1",20*AVERAGEIF('QA_Images'!$A$2:$A$65,A37,'QA_Images'!$S$2:$S$65)/100,IF(D37="NOT_CHECKED",0,C37))</f>
        <v/>
      </c>
      <c r="H37" s="3" t="inlineStr">
        <is>
          <t>PARTIAL: primary keyword 'custom blue red basketball hoop bedding' was checked against this product's own US/English SERP; partial means the exact visual modifier is niche.</t>
        </is>
      </c>
      <c r="I37" s="3" t="inlineStr">
        <is>
          <t>["evidence_batch_021_204", "https://jeminise.com/products/personalized-basketball-above-hoop-close-up-comforter-with-name-and-number-95487807f8-95487807f8", "serp_qa_batch_021_r4_204_1", "serp_qa_batch_021_r4_204_2"]</t>
        </is>
      </c>
      <c r="J37" s="3" t="inlineStr">
        <is>
          <t>[]</t>
        </is>
      </c>
    </row>
    <row r="38" ht="42" customHeight="1">
      <c r="A38" s="2" t="inlineStr">
        <is>
          <t>jeminise.com+personalized-basketball-above-hoop-close-up-comforter-with-name-and-number-95487807f8-95487807f8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IF(B38="I1",AVERAGEIF('QA_Images'!$A$2:$A$65,A38,'QA_Images'!$R$2:$R$65)/100,IF(D38="FULL",1,IF(D38="PARTIAL",0.5,IF(D38="FAIL",0,""))))</f>
        <v/>
      </c>
      <c r="F38" s="5">
        <f>IF(E38="",0,C38*E38)</f>
        <v/>
      </c>
      <c r="G38" s="5">
        <f>IF(B38="I1",20*AVERAGEIF('QA_Images'!$A$2:$A$65,A38,'QA_Images'!$S$2:$S$65)/100,IF(D38="NOT_CHECKED",0,C38))</f>
        <v/>
      </c>
      <c r="H38" s="2" t="inlineStr">
        <is>
          <t>FULL: comparator query supports commercial bedding/blanket intent for this product type; partial means results broaden beyond the exact motif.</t>
        </is>
      </c>
      <c r="I38" s="2" t="inlineStr">
        <is>
          <t>["evidence_batch_021_204", "https://jeminise.com/products/personalized-basketball-above-hoop-close-up-comforter-with-name-and-number-95487807f8-95487807f8", "serp_qa_batch_021_r4_204_1", "serp_qa_batch_021_r4_204_2"]</t>
        </is>
      </c>
      <c r="J38" s="2" t="inlineStr">
        <is>
          <t>[]</t>
        </is>
      </c>
    </row>
    <row r="39" ht="42" customHeight="1">
      <c r="A39" s="3" t="inlineStr">
        <is>
          <t>jeminise.com+personalized-basketball-above-hoop-close-up-comforter-with-name-and-number-95487807f8-95487807f8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IF(B39="I1",AVERAGEIF('QA_Images'!$A$2:$A$65,A39,'QA_Images'!$R$2:$R$65)/100,IF(D39="FULL",1,IF(D39="PARTIAL",0.5,IF(D39="FAIL",0,""))))</f>
        <v/>
      </c>
      <c r="F39" s="7">
        <f>IF(E39="",0,C39*E39)</f>
        <v/>
      </c>
      <c r="G39" s="7">
        <f>IF(B39="I1",20*AVERAGEIF('QA_Images'!$A$2:$A$65,A39,'QA_Images'!$S$2:$S$65)/100,IF(D39="NOT_CHECKED",0,C39))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["evidence_batch_021_204", "https://jeminise.com/products/personalized-basketball-above-hoop-close-up-comforter-with-name-and-number-95487807f8-95487807f8", "serp_qa_batch_021_r4_204_1", "serp_qa_batch_021_r4_204_2"]</t>
        </is>
      </c>
      <c r="J39" s="3" t="inlineStr">
        <is>
          <t>[]</t>
        </is>
      </c>
    </row>
    <row r="40" ht="42" customHeight="1">
      <c r="A40" s="2" t="inlineStr">
        <is>
          <t>jeminise.com+personalized-basketball-above-hoop-close-up-comforter-with-name-and-number-95487807f8-95487807f8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IF(B40="I1",AVERAGEIF('QA_Images'!$A$2:$A$65,A40,'QA_Images'!$R$2:$R$65)/100,IF(D40="FULL",1,IF(D40="PARTIAL",0.5,IF(D40="FAIL",0,""))))</f>
        <v/>
      </c>
      <c r="F40" s="5">
        <f>IF(E40="",0,C40*E40)</f>
        <v/>
      </c>
      <c r="G40" s="5">
        <f>IF(B40="I1",20*AVERAGEIF('QA_Images'!$A$2:$A$65,A40,'QA_Images'!$S$2:$S$65)/100,IF(D40="NOT_CHECKED",0,C40))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["evidence_batch_021_204", "https://jeminise.com/products/personalized-basketball-above-hoop-close-up-comforter-with-name-and-number-95487807f8-95487807f8"]</t>
        </is>
      </c>
      <c r="J40" s="2" t="inlineStr">
        <is>
          <t>[]</t>
        </is>
      </c>
    </row>
    <row r="41" ht="42" customHeight="1">
      <c r="A41" s="3" t="inlineStr">
        <is>
          <t>jeminise.com+personalized-basketball-above-hoop-close-up-comforter-with-name-and-number-95487807f8-95487807f8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IF(B41="I1",AVERAGEIF('QA_Images'!$A$2:$A$65,A41,'QA_Images'!$R$2:$R$65)/100,IF(D41="FULL",1,IF(D41="PARTIAL",0.5,IF(D41="FAIL",0,""))))</f>
        <v/>
      </c>
      <c r="F41" s="7">
        <f>IF(E41="",0,C41*E41)</f>
        <v/>
      </c>
      <c r="G41" s="7">
        <f>IF(B41="I1",20*AVERAGEIF('QA_Images'!$A$2:$A$65,A41,'QA_Images'!$S$2:$S$65)/100,IF(D41="NOT_CHECKED",0,C41))</f>
        <v/>
      </c>
      <c r="H41" s="3" t="inlineStr">
        <is>
          <t>FULL: title_proposed can function as product title/H1 and distinguishes this batch-21 design by motif/product type.</t>
        </is>
      </c>
      <c r="I41" s="3" t="inlineStr">
        <is>
          <t>["evidence_batch_021_204", "https://jeminise.com/products/personalized-basketball-above-hoop-close-up-comforter-with-name-and-number-95487807f8-95487807f8"]</t>
        </is>
      </c>
      <c r="J41" s="3" t="inlineStr">
        <is>
          <t>[]</t>
        </is>
      </c>
    </row>
    <row r="42" ht="42" customHeight="1">
      <c r="A42" s="2" t="inlineStr">
        <is>
          <t>jeminise.com+personalized-basketball-above-hoop-close-up-comforter-with-name-and-number-95487807f8-95487807f8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IF(B42="I1",AVERAGEIF('QA_Images'!$A$2:$A$65,A42,'QA_Images'!$R$2:$R$65)/100,IF(D42="FULL",1,IF(D42="PARTIAL",0.5,IF(D42="FAIL",0,""))))</f>
        <v/>
      </c>
      <c r="F42" s="5">
        <f>IF(E42="",0,C42*E42)</f>
        <v/>
      </c>
      <c r="G42" s="5">
        <f>IF(B42="I1",20*AVERAGEIF('QA_Images'!$A$2:$A$65,A42,'QA_Images'!$S$2:$S$65)/100,IF(D42="NOT_CHECKED",0,C42))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["evidence_batch_021_204", "https://jeminise.com/products/personalized-basketball-above-hoop-close-up-comforter-with-name-and-number-95487807f8-95487807f8"]</t>
        </is>
      </c>
      <c r="J42" s="2" t="inlineStr">
        <is>
          <t>[]</t>
        </is>
      </c>
    </row>
    <row r="43" ht="42" customHeight="1">
      <c r="A43" s="3" t="inlineStr">
        <is>
          <t>jeminise.com+personalized-basketball-above-hoop-close-up-comforter-with-name-and-number-95487807f8-95487807f8</t>
        </is>
      </c>
      <c r="B43" s="3" t="inlineStr">
        <is>
          <t>D2</t>
        </is>
      </c>
      <c r="C43" s="3" t="n">
        <v>10</v>
      </c>
      <c r="D43" s="3" t="inlineStr">
        <is>
          <t>FULL</t>
        </is>
      </c>
      <c r="E43" s="7">
        <f>IF(B43="I1",AVERAGEIF('QA_Images'!$A$2:$A$65,A43,'QA_Images'!$R$2:$R$65)/100,IF(D43="FULL",1,IF(D43="PARTIAL",0.5,IF(D43="FAIL",0,""))))</f>
        <v/>
      </c>
      <c r="F43" s="7">
        <f>IF(E43="",0,C43*E43)</f>
        <v/>
      </c>
      <c r="G43" s="7">
        <f>IF(B43="I1",20*AVERAGEIF('QA_Images'!$A$2:$A$65,A43,'QA_Images'!$S$2:$S$65)/100,IF(D43="NOT_CHECKED",0,C43))</f>
        <v/>
      </c>
      <c r="H43" s="3" t="inlineStr">
        <is>
          <t>FULL: description HTML is customer-facing and tied to verified artwork, product type, options and personalization controls.</t>
        </is>
      </c>
      <c r="I43" s="3" t="inlineStr">
        <is>
          <t>["evidence_batch_021_204", "https://jeminise.com/products/personalized-basketball-above-hoop-close-up-comforter-with-name-and-number-95487807f8-95487807f8"]</t>
        </is>
      </c>
      <c r="J43" s="3" t="inlineStr">
        <is>
          <t>[]</t>
        </is>
      </c>
    </row>
    <row r="44" ht="42" customHeight="1">
      <c r="A44" s="2" t="inlineStr">
        <is>
          <t>jeminise.com+personalized-basketball-above-hoop-close-up-comforter-with-name-and-number-95487807f8-95487807f8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IF(B44="I1",AVERAGEIF('QA_Images'!$A$2:$A$65,A44,'QA_Images'!$R$2:$R$65)/100,IF(D44="FULL",1,IF(D44="PARTIAL",0.5,IF(D44="FAIL",0,""))))</f>
        <v/>
      </c>
      <c r="F44" s="5">
        <f>IF(E44="",0,C44*E44)</f>
        <v/>
      </c>
      <c r="G44" s="5">
        <f>IF(B44="I1",20*AVERAGEIF('QA_Images'!$A$2:$A$65,A44,'QA_Images'!$S$2:$S$65)/100,IF(D44="NOT_CHECKED",0,C44))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"evidence_batch_021_204"]</t>
        </is>
      </c>
      <c r="J44" s="2" t="inlineStr">
        <is>
          <t>[]</t>
        </is>
      </c>
    </row>
    <row r="45" ht="42" customHeight="1">
      <c r="A45" s="3" t="inlineStr">
        <is>
          <t>jeminise.com+personalized-basketball-above-hoop-close-up-comforter-with-name-and-number-95487807f8-95487807f8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IF(B45="I1",AVERAGEIF('QA_Images'!$A$2:$A$65,A45,'QA_Images'!$R$2:$R$65)/100,IF(D45="FULL",1,IF(D45="PARTIAL",0.5,IF(D45="FAIL",0,""))))</f>
        <v/>
      </c>
      <c r="F45" s="7">
        <f>IF(E45="",0,C45*E45)</f>
        <v/>
      </c>
      <c r="G45" s="7">
        <f>IF(B45="I1",20*AVERAGEIF('QA_Images'!$A$2:$A$65,A45,'QA_Images'!$S$2:$S$65)/100,IF(D45="NOT_CHECKED",0,C45))</f>
        <v/>
      </c>
      <c r="H45" s="3" t="inlineStr">
        <is>
          <t>FULL: product key, handle, links and scoped evidence are consistent; row-level r3 labels are recorded separately as a traceability limitation.</t>
        </is>
      </c>
      <c r="I45" s="3" t="inlineStr">
        <is>
          <t>["evidence_batch_021_204", "https://jeminise.com/products/personalized-basketball-above-hoop-close-up-comforter-with-name-and-number-95487807f8-95487807f8"]</t>
        </is>
      </c>
      <c r="J45" s="3" t="inlineStr">
        <is>
          <t>[]</t>
        </is>
      </c>
    </row>
    <row r="46" ht="42" customHeight="1">
      <c r="A46" s="2" t="inlineStr">
        <is>
          <t>jeminise.com+personalized-basketball-with-paint-splash-comforter-ccac4b4a9e-ccac4b4a9e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IF(B46="I1",AVERAGEIF('QA_Images'!$A$2:$A$65,A46,'QA_Images'!$R$2:$R$65)/100,IF(D46="FULL",1,IF(D46="PARTIAL",0.5,IF(D46="FAIL",0,""))))</f>
        <v/>
      </c>
      <c r="F46" s="5">
        <f>IF(E46="",0,C46*E46)</f>
        <v/>
      </c>
      <c r="G46" s="5">
        <f>IF(B46="I1",20*AVERAGEIF('QA_Images'!$A$2:$A$65,A46,'QA_Images'!$S$2:$S$65)/100,IF(D46="NOT_CHECKED",0,C46))</f>
        <v/>
      </c>
      <c r="H46" s="2" t="inlineStr">
        <is>
          <t>FULL: product identity, handle and live product data match inventory scope for batch 21.</t>
        </is>
      </c>
      <c r="I46" s="2" t="inlineStr">
        <is>
          <t>["evidence_batch_021_205", "https://jeminise.com/products/personalized-basketball-with-paint-splash-comforter-ccac4b4a9e-ccac4b4a9e"]</t>
        </is>
      </c>
      <c r="J46" s="2" t="inlineStr">
        <is>
          <t>[]</t>
        </is>
      </c>
    </row>
    <row r="47" ht="42" customHeight="1">
      <c r="A47" s="3" t="inlineStr">
        <is>
          <t>jeminise.com+personalized-basketball-with-paint-splash-comforter-ccac4b4a9e-ccac4b4a9e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IF(B47="I1",AVERAGEIF('QA_Images'!$A$2:$A$65,A47,'QA_Images'!$R$2:$R$65)/100,IF(D47="FULL",1,IF(D47="PARTIAL",0.5,IF(D47="FAIL",0,""))))</f>
        <v/>
      </c>
      <c r="F47" s="7">
        <f>IF(E47="",0,C47*E47)</f>
        <v/>
      </c>
      <c r="G47" s="7">
        <f>IF(B47="I1",20*AVERAGEIF('QA_Images'!$A$2:$A$65,A47,'QA_Images'!$S$2:$S$65)/100,IF(D47="NOT_CHECKED",0,C47))</f>
        <v/>
      </c>
      <c r="H47" s="3" t="inlineStr">
        <is>
          <t>FULL: personalization/product-option claims were checked against live/cache customizer evidence for this product.</t>
        </is>
      </c>
      <c r="I47" s="3" t="inlineStr">
        <is>
          <t>["evidence_batch_021_205", "https://jeminise.com/products/personalized-basketball-with-paint-splash-comforter-ccac4b4a9e-ccac4b4a9e",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jeminise.com+personalized-basketball-with-paint-splash-comforter-ccac4b4a9e-ccac4b4a9e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IF(B48="I1",AVERAGEIF('QA_Images'!$A$2:$A$65,A48,'QA_Images'!$R$2:$R$65)/100,IF(D48="FULL",1,IF(D48="PARTIAL",0.5,IF(D48="FAIL",0,""))))</f>
        <v/>
      </c>
      <c r="F48" s="5">
        <f>IF(E48="",0,C48*E48)</f>
        <v/>
      </c>
      <c r="G48" s="5">
        <f>IF(B48="I1",20*AVERAGEIF('QA_Images'!$A$2:$A$65,A48,'QA_Images'!$S$2:$S$65)/100,IF(D48="NOT_CHECKED",0,C48))</f>
        <v/>
      </c>
      <c r="H48" s="2" t="inlineStr">
        <is>
          <t>FULL: primary keyword 'custom basketball paint splash comforter' was checked against this product's own US/English SERP; partial means the exact visual modifier is niche.</t>
        </is>
      </c>
      <c r="I48" s="2" t="inlineStr">
        <is>
          <t>["evidence_batch_021_205", "https://jeminise.com/products/personalized-basketball-with-paint-splash-comforter-ccac4b4a9e-ccac4b4a9e", "serp_qa_batch_021_r4_205_1", "serp_qa_batch_021_r4_205_2"]</t>
        </is>
      </c>
      <c r="J48" s="2" t="inlineStr">
        <is>
          <t>[]</t>
        </is>
      </c>
    </row>
    <row r="49" ht="42" customHeight="1">
      <c r="A49" s="3" t="inlineStr">
        <is>
          <t>jeminise.com+personalized-basketball-with-paint-splash-comforter-ccac4b4a9e-ccac4b4a9e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IF(B49="I1",AVERAGEIF('QA_Images'!$A$2:$A$65,A49,'QA_Images'!$R$2:$R$65)/100,IF(D49="FULL",1,IF(D49="PARTIAL",0.5,IF(D49="FAIL",0,""))))</f>
        <v/>
      </c>
      <c r="F49" s="7">
        <f>IF(E49="",0,C49*E49)</f>
        <v/>
      </c>
      <c r="G49" s="7">
        <f>IF(B49="I1",20*AVERAGEIF('QA_Images'!$A$2:$A$65,A49,'QA_Images'!$S$2:$S$65)/100,IF(D49="NOT_CHECKED",0,C49))</f>
        <v/>
      </c>
      <c r="H49" s="3" t="inlineStr">
        <is>
          <t>FULL: comparator query supports commercial bedding/blanket intent for this product type; partial means results broaden beyond the exact motif.</t>
        </is>
      </c>
      <c r="I49" s="3" t="inlineStr">
        <is>
          <t>["evidence_batch_021_205", "https://jeminise.com/products/personalized-basketball-with-paint-splash-comforter-ccac4b4a9e-ccac4b4a9e", "serp_qa_batch_021_r4_205_1", "serp_qa_batch_021_r4_205_2"]</t>
        </is>
      </c>
      <c r="J49" s="3" t="inlineStr">
        <is>
          <t>[]</t>
        </is>
      </c>
    </row>
    <row r="50" ht="42" customHeight="1">
      <c r="A50" s="2" t="inlineStr">
        <is>
          <t>jeminise.com+personalized-basketball-with-paint-splash-comforter-ccac4b4a9e-ccac4b4a9e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IF(B50="I1",AVERAGEIF('QA_Images'!$A$2:$A$65,A50,'QA_Images'!$R$2:$R$65)/100,IF(D50="FULL",1,IF(D50="PARTIAL",0.5,IF(D50="FAIL",0,""))))</f>
        <v/>
      </c>
      <c r="F50" s="5">
        <f>IF(E50="",0,C50*E50)</f>
        <v/>
      </c>
      <c r="G50" s="5">
        <f>IF(B50="I1",20*AVERAGEIF('QA_Images'!$A$2:$A$65,A50,'QA_Images'!$S$2:$S$65)/100,IF(D50="NOT_CHECKED",0,C50))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["evidence_batch_021_205", "https://jeminise.com/products/personalized-basketball-with-paint-splash-comforter-ccac4b4a9e-ccac4b4a9e", "serp_qa_batch_021_r4_205_1", "serp_qa_batch_021_r4_205_2"]</t>
        </is>
      </c>
      <c r="J50" s="2" t="inlineStr">
        <is>
          <t>[]</t>
        </is>
      </c>
    </row>
    <row r="51" ht="42" customHeight="1">
      <c r="A51" s="3" t="inlineStr">
        <is>
          <t>jeminise.com+personalized-basketball-with-paint-splash-comforter-ccac4b4a9e-ccac4b4a9e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IF(B51="I1",AVERAGEIF('QA_Images'!$A$2:$A$65,A51,'QA_Images'!$R$2:$R$65)/100,IF(D51="FULL",1,IF(D51="PARTIAL",0.5,IF(D51="FAIL",0,""))))</f>
        <v/>
      </c>
      <c r="F51" s="7">
        <f>IF(E51="",0,C51*E51)</f>
        <v/>
      </c>
      <c r="G51" s="7">
        <f>IF(B51="I1",20*AVERAGEIF('QA_Images'!$A$2:$A$65,A51,'QA_Images'!$S$2:$S$65)/100,IF(D51="NOT_CHECKED",0,C51))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["evidence_batch_021_205", "https://jeminise.com/products/personalized-basketball-with-paint-splash-comforter-ccac4b4a9e-ccac4b4a9e"]</t>
        </is>
      </c>
      <c r="J51" s="3" t="inlineStr">
        <is>
          <t>[]</t>
        </is>
      </c>
    </row>
    <row r="52" ht="42" customHeight="1">
      <c r="A52" s="2" t="inlineStr">
        <is>
          <t>jeminise.com+personalized-basketball-with-paint-splash-comforter-ccac4b4a9e-ccac4b4a9e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IF(B52="I1",AVERAGEIF('QA_Images'!$A$2:$A$65,A52,'QA_Images'!$R$2:$R$65)/100,IF(D52="FULL",1,IF(D52="PARTIAL",0.5,IF(D52="FAIL",0,""))))</f>
        <v/>
      </c>
      <c r="F52" s="5">
        <f>IF(E52="",0,C52*E52)</f>
        <v/>
      </c>
      <c r="G52" s="5">
        <f>IF(B52="I1",20*AVERAGEIF('QA_Images'!$A$2:$A$65,A52,'QA_Images'!$S$2:$S$65)/100,IF(D52="NOT_CHECKED",0,C52))</f>
        <v/>
      </c>
      <c r="H52" s="2" t="inlineStr">
        <is>
          <t>FULL: title_proposed can function as product title/H1 and distinguishes this batch-21 design by motif/product type.</t>
        </is>
      </c>
      <c r="I52" s="2" t="inlineStr">
        <is>
          <t>["evidence_batch_021_205", "https://jeminise.com/products/personalized-basketball-with-paint-splash-comforter-ccac4b4a9e-ccac4b4a9e"]</t>
        </is>
      </c>
      <c r="J52" s="2" t="inlineStr">
        <is>
          <t>[]</t>
        </is>
      </c>
    </row>
    <row r="53" ht="42" customHeight="1">
      <c r="A53" s="3" t="inlineStr">
        <is>
          <t>jeminise.com+personalized-basketball-with-paint-splash-comforter-ccac4b4a9e-ccac4b4a9e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IF(B53="I1",AVERAGEIF('QA_Images'!$A$2:$A$65,A53,'QA_Images'!$R$2:$R$65)/100,IF(D53="FULL",1,IF(D53="PARTIAL",0.5,IF(D53="FAIL",0,""))))</f>
        <v/>
      </c>
      <c r="F53" s="7">
        <f>IF(E53="",0,C53*E53)</f>
        <v/>
      </c>
      <c r="G53" s="7">
        <f>IF(B53="I1",20*AVERAGEIF('QA_Images'!$A$2:$A$65,A53,'QA_Images'!$S$2:$S$65)/100,IF(D53="NOT_CHECKED",0,C53))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["evidence_batch_021_205", "https://jeminise.com/products/personalized-basketball-with-paint-splash-comforter-ccac4b4a9e-ccac4b4a9e"]</t>
        </is>
      </c>
      <c r="J53" s="3" t="inlineStr">
        <is>
          <t>[]</t>
        </is>
      </c>
    </row>
    <row r="54" ht="42" customHeight="1">
      <c r="A54" s="2" t="inlineStr">
        <is>
          <t>jeminise.com+personalized-basketball-with-paint-splash-comforter-ccac4b4a9e-ccac4b4a9e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5">
        <f>IF(B54="I1",AVERAGEIF('QA_Images'!$A$2:$A$65,A54,'QA_Images'!$R$2:$R$65)/100,IF(D54="FULL",1,IF(D54="PARTIAL",0.5,IF(D54="FAIL",0,""))))</f>
        <v/>
      </c>
      <c r="F54" s="5">
        <f>IF(E54="",0,C54*E54)</f>
        <v/>
      </c>
      <c r="G54" s="5">
        <f>IF(B54="I1",20*AVERAGEIF('QA_Images'!$A$2:$A$65,A54,'QA_Images'!$S$2:$S$65)/100,IF(D54="NOT_CHECKED",0,C54))</f>
        <v/>
      </c>
      <c r="H54" s="2" t="inlineStr">
        <is>
          <t>FULL: description HTML is customer-facing and tied to verified artwork, product type, options and personalization controls.</t>
        </is>
      </c>
      <c r="I54" s="2" t="inlineStr">
        <is>
          <t>["evidence_batch_021_205", "https://jeminise.com/products/personalized-basketball-with-paint-splash-comforter-ccac4b4a9e-ccac4b4a9e"]</t>
        </is>
      </c>
      <c r="J54" s="2" t="inlineStr">
        <is>
          <t>[]</t>
        </is>
      </c>
    </row>
    <row r="55" ht="42" customHeight="1">
      <c r="A55" s="3" t="inlineStr">
        <is>
          <t>jeminise.com+personalized-basketball-with-paint-splash-comforter-ccac4b4a9e-ccac4b4a9e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IF(B55="I1",AVERAGEIF('QA_Images'!$A$2:$A$65,A55,'QA_Images'!$R$2:$R$65)/100,IF(D55="FULL",1,IF(D55="PARTIAL",0.5,IF(D55="FAIL",0,""))))</f>
        <v/>
      </c>
      <c r="F55" s="7">
        <f>IF(E55="",0,C55*E55)</f>
        <v/>
      </c>
      <c r="G55" s="7">
        <f>IF(B55="I1",20*AVERAGEIF('QA_Images'!$A$2:$A$65,A55,'QA_Images'!$S$2:$S$65)/100,IF(D55="NOT_CHECKED",0,C55))</f>
        <v/>
      </c>
      <c r="H55" s="3" t="inlineStr">
        <is>
          <t>Derived from 5 QA_Images rows for this product; average image score 100/100.</t>
        </is>
      </c>
      <c r="I55" s="3" t="inlineStr">
        <is>
          <t>["QA_Images", "evidence_batch_021_205"]</t>
        </is>
      </c>
      <c r="J55" s="3" t="inlineStr">
        <is>
          <t>[]</t>
        </is>
      </c>
    </row>
    <row r="56" ht="42" customHeight="1">
      <c r="A56" s="2" t="inlineStr">
        <is>
          <t>jeminise.com+personalized-basketball-with-paint-splash-comforter-ccac4b4a9e-ccac4b4a9e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IF(B56="I1",AVERAGEIF('QA_Images'!$A$2:$A$65,A56,'QA_Images'!$R$2:$R$65)/100,IF(D56="FULL",1,IF(D56="PARTIAL",0.5,IF(D56="FAIL",0,""))))</f>
        <v/>
      </c>
      <c r="F56" s="5">
        <f>IF(E56="",0,C56*E56)</f>
        <v/>
      </c>
      <c r="G56" s="5">
        <f>IF(B56="I1",20*AVERAGEIF('QA_Images'!$A$2:$A$65,A56,'QA_Images'!$S$2:$S$65)/100,IF(D56="NOT_CHECKED",0,C56))</f>
        <v/>
      </c>
      <c r="H56" s="2" t="inlineStr">
        <is>
          <t>FULL: product key, handle, links and scoped evidence are consistent; row-level r3 labels are recorded separately as a traceability limitation.</t>
        </is>
      </c>
      <c r="I56" s="2" t="inlineStr">
        <is>
          <t>["evidence_batch_021_205", "https://jeminise.com/products/personalized-basketball-with-paint-splash-comforter-ccac4b4a9e-ccac4b4a9e"]</t>
        </is>
      </c>
      <c r="J56" s="2" t="inlineStr">
        <is>
          <t>[]</t>
        </is>
      </c>
    </row>
    <row r="57" ht="42" customHeight="1">
      <c r="A57" s="3" t="inlineStr">
        <is>
          <t>jeminise.com+personalized-basketball-ball-below-net-blanket-with-name-and-number-86aaeebf75-86aaeebf75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IF(B57="I1",AVERAGEIF('QA_Images'!$A$2:$A$65,A57,'QA_Images'!$R$2:$R$65)/100,IF(D57="FULL",1,IF(D57="PARTIAL",0.5,IF(D57="FAIL",0,""))))</f>
        <v/>
      </c>
      <c r="F57" s="7">
        <f>IF(E57="",0,C57*E57)</f>
        <v/>
      </c>
      <c r="G57" s="7">
        <f>IF(B57="I1",20*AVERAGEIF('QA_Images'!$A$2:$A$65,A57,'QA_Images'!$S$2:$S$65)/100,IF(D57="NOT_CHECKED",0,C57))</f>
        <v/>
      </c>
      <c r="H57" s="3" t="inlineStr">
        <is>
          <t>FULL: product identity, handle and live product data match inventory scope for batch 21.</t>
        </is>
      </c>
      <c r="I57" s="3" t="inlineStr">
        <is>
          <t>["evidence_batch_021_206", "https://jeminise.com/products/personalized-basketball-ball-below-net-blanket-with-name-and-number-86aaeebf75-86aaeebf75"]</t>
        </is>
      </c>
      <c r="J57" s="3" t="inlineStr">
        <is>
          <t>[]</t>
        </is>
      </c>
    </row>
    <row r="58" ht="42" customHeight="1">
      <c r="A58" s="2" t="inlineStr">
        <is>
          <t>jeminise.com+personalized-basketball-ball-below-net-blanket-with-name-and-number-86aaeebf75-86aaeebf75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IF(B58="I1",AVERAGEIF('QA_Images'!$A$2:$A$65,A58,'QA_Images'!$R$2:$R$65)/100,IF(D58="FULL",1,IF(D58="PARTIAL",0.5,IF(D58="FAIL",0,""))))</f>
        <v/>
      </c>
      <c r="F58" s="5">
        <f>IF(E58="",0,C58*E58)</f>
        <v/>
      </c>
      <c r="G58" s="5">
        <f>IF(B58="I1",20*AVERAGEIF('QA_Images'!$A$2:$A$65,A58,'QA_Images'!$S$2:$S$65)/100,IF(D58="NOT_CHECKED",0,C58))</f>
        <v/>
      </c>
      <c r="H58" s="2" t="inlineStr">
        <is>
          <t>FULL: personalization/product-option claims were checked against live/cache customizer evidence for this product.</t>
        </is>
      </c>
      <c r="I58" s="2" t="inlineStr">
        <is>
          <t>["evidence_batch_021_206", "https://jeminise.com/products/personalized-basketball-ball-below-net-blanket-with-name-and-number-86aaeebf75-86aaeebf75",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jeminise.com+personalized-basketball-ball-below-net-blanket-with-name-and-number-86aaeebf75-86aaeebf75</t>
        </is>
      </c>
      <c r="B59" s="3" t="inlineStr">
        <is>
          <t>K1</t>
        </is>
      </c>
      <c r="C59" s="3" t="n">
        <v>10</v>
      </c>
      <c r="D59" s="3" t="inlineStr">
        <is>
          <t>FULL</t>
        </is>
      </c>
      <c r="E59" s="7">
        <f>IF(B59="I1",AVERAGEIF('QA_Images'!$A$2:$A$65,A59,'QA_Images'!$R$2:$R$65)/100,IF(D59="FULL",1,IF(D59="PARTIAL",0.5,IF(D59="FAIL",0,""))))</f>
        <v/>
      </c>
      <c r="F59" s="7">
        <f>IF(E59="",0,C59*E59)</f>
        <v/>
      </c>
      <c r="G59" s="7">
        <f>IF(B59="I1",20*AVERAGEIF('QA_Images'!$A$2:$A$65,A59,'QA_Images'!$S$2:$S$65)/100,IF(D59="NOT_CHECKED",0,C59))</f>
        <v/>
      </c>
      <c r="H59" s="3" t="inlineStr">
        <is>
          <t>FULL: primary keyword 'custom basketball net blanket' was checked against this product's own US/English SERP; partial means the exact visual modifier is niche.</t>
        </is>
      </c>
      <c r="I59" s="3" t="inlineStr">
        <is>
          <t>["evidence_batch_021_206", "https://jeminise.com/products/personalized-basketball-ball-below-net-blanket-with-name-and-number-86aaeebf75-86aaeebf75", "serp_qa_batch_021_r4_206_1", "serp_qa_batch_021_r4_206_2"]</t>
        </is>
      </c>
      <c r="J59" s="3" t="inlineStr">
        <is>
          <t>[]</t>
        </is>
      </c>
    </row>
    <row r="60" ht="42" customHeight="1">
      <c r="A60" s="2" t="inlineStr">
        <is>
          <t>jeminise.com+personalized-basketball-ball-below-net-blanket-with-name-and-number-86aaeebf75-86aaeebf75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IF(B60="I1",AVERAGEIF('QA_Images'!$A$2:$A$65,A60,'QA_Images'!$R$2:$R$65)/100,IF(D60="FULL",1,IF(D60="PARTIAL",0.5,IF(D60="FAIL",0,""))))</f>
        <v/>
      </c>
      <c r="F60" s="5">
        <f>IF(E60="",0,C60*E60)</f>
        <v/>
      </c>
      <c r="G60" s="5">
        <f>IF(B60="I1",20*AVERAGEIF('QA_Images'!$A$2:$A$65,A60,'QA_Images'!$S$2:$S$65)/100,IF(D60="NOT_CHECKED",0,C60))</f>
        <v/>
      </c>
      <c r="H60" s="2" t="inlineStr">
        <is>
          <t>FULL: comparator query supports commercial bedding/blanket intent for this product type; partial means results broaden beyond the exact motif.</t>
        </is>
      </c>
      <c r="I60" s="2" t="inlineStr">
        <is>
          <t>["evidence_batch_021_206", "https://jeminise.com/products/personalized-basketball-ball-below-net-blanket-with-name-and-number-86aaeebf75-86aaeebf75", "serp_qa_batch_021_r4_206_1", "serp_qa_batch_021_r4_206_2"]</t>
        </is>
      </c>
      <c r="J60" s="2" t="inlineStr">
        <is>
          <t>[]</t>
        </is>
      </c>
    </row>
    <row r="61" ht="42" customHeight="1">
      <c r="A61" s="3" t="inlineStr">
        <is>
          <t>jeminise.com+personalized-basketball-ball-below-net-blanket-with-name-and-number-86aaeebf75-86aaeebf75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IF(B61="I1",AVERAGEIF('QA_Images'!$A$2:$A$65,A61,'QA_Images'!$R$2:$R$65)/100,IF(D61="FULL",1,IF(D61="PARTIAL",0.5,IF(D61="FAIL",0,""))))</f>
        <v/>
      </c>
      <c r="F61" s="7">
        <f>IF(E61="",0,C61*E61)</f>
        <v/>
      </c>
      <c r="G61" s="7">
        <f>IF(B61="I1",20*AVERAGEIF('QA_Images'!$A$2:$A$65,A61,'QA_Images'!$S$2:$S$65)/100,IF(D61="NOT_CHECKED",0,C61))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["evidence_batch_021_206", "https://jeminise.com/products/personalized-basketball-ball-below-net-blanket-with-name-and-number-86aaeebf75-86aaeebf75", "serp_qa_batch_021_r4_206_1", "serp_qa_batch_021_r4_206_2"]</t>
        </is>
      </c>
      <c r="J61" s="3" t="inlineStr">
        <is>
          <t>[]</t>
        </is>
      </c>
    </row>
    <row r="62" ht="42" customHeight="1">
      <c r="A62" s="2" t="inlineStr">
        <is>
          <t>jeminise.com+personalized-basketball-ball-below-net-blanket-with-name-and-number-86aaeebf75-86aaeebf75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IF(B62="I1",AVERAGEIF('QA_Images'!$A$2:$A$65,A62,'QA_Images'!$R$2:$R$65)/100,IF(D62="FULL",1,IF(D62="PARTIAL",0.5,IF(D62="FAIL",0,""))))</f>
        <v/>
      </c>
      <c r="F62" s="5">
        <f>IF(E62="",0,C62*E62)</f>
        <v/>
      </c>
      <c r="G62" s="5">
        <f>IF(B62="I1",20*AVERAGEIF('QA_Images'!$A$2:$A$65,A62,'QA_Images'!$S$2:$S$65)/100,IF(D62="NOT_CHECKED",0,C62))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["evidence_batch_021_206", "https://jeminise.com/products/personalized-basketball-ball-below-net-blanket-with-name-and-number-86aaeebf75-86aaeebf75"]</t>
        </is>
      </c>
      <c r="J62" s="2" t="inlineStr">
        <is>
          <t>[]</t>
        </is>
      </c>
    </row>
    <row r="63" ht="42" customHeight="1">
      <c r="A63" s="3" t="inlineStr">
        <is>
          <t>jeminise.com+personalized-basketball-ball-below-net-blanket-with-name-and-number-86aaeebf75-86aaeebf75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IF(B63="I1",AVERAGEIF('QA_Images'!$A$2:$A$65,A63,'QA_Images'!$R$2:$R$65)/100,IF(D63="FULL",1,IF(D63="PARTIAL",0.5,IF(D63="FAIL",0,""))))</f>
        <v/>
      </c>
      <c r="F63" s="7">
        <f>IF(E63="",0,C63*E63)</f>
        <v/>
      </c>
      <c r="G63" s="7">
        <f>IF(B63="I1",20*AVERAGEIF('QA_Images'!$A$2:$A$65,A63,'QA_Images'!$S$2:$S$65)/100,IF(D63="NOT_CHECKED",0,C63))</f>
        <v/>
      </c>
      <c r="H63" s="3" t="inlineStr">
        <is>
          <t>FULL: title_proposed can function as product title/H1 and distinguishes this batch-21 design by motif/product type.</t>
        </is>
      </c>
      <c r="I63" s="3" t="inlineStr">
        <is>
          <t>["evidence_batch_021_206", "https://jeminise.com/products/personalized-basketball-ball-below-net-blanket-with-name-and-number-86aaeebf75-86aaeebf75"]</t>
        </is>
      </c>
      <c r="J63" s="3" t="inlineStr">
        <is>
          <t>[]</t>
        </is>
      </c>
    </row>
    <row r="64" ht="42" customHeight="1">
      <c r="A64" s="2" t="inlineStr">
        <is>
          <t>jeminise.com+personalized-basketball-ball-below-net-blanket-with-name-and-number-86aaeebf75-86aaeebf75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IF(B64="I1",AVERAGEIF('QA_Images'!$A$2:$A$65,A64,'QA_Images'!$R$2:$R$65)/100,IF(D64="FULL",1,IF(D64="PARTIAL",0.5,IF(D64="FAIL",0,""))))</f>
        <v/>
      </c>
      <c r="F64" s="5">
        <f>IF(E64="",0,C64*E64)</f>
        <v/>
      </c>
      <c r="G64" s="5">
        <f>IF(B64="I1",20*AVERAGEIF('QA_Images'!$A$2:$A$65,A64,'QA_Images'!$S$2:$S$65)/100,IF(D64="NOT_CHECKED",0,C64))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["evidence_batch_021_206", "https://jeminise.com/products/personalized-basketball-ball-below-net-blanket-with-name-and-number-86aaeebf75-86aaeebf75"]</t>
        </is>
      </c>
      <c r="J64" s="2" t="inlineStr">
        <is>
          <t>[]</t>
        </is>
      </c>
    </row>
    <row r="65" ht="42" customHeight="1">
      <c r="A65" s="3" t="inlineStr">
        <is>
          <t>jeminise.com+personalized-basketball-ball-below-net-blanket-with-name-and-number-86aaeebf75-86aaeebf75</t>
        </is>
      </c>
      <c r="B65" s="3" t="inlineStr">
        <is>
          <t>D2</t>
        </is>
      </c>
      <c r="C65" s="3" t="n">
        <v>10</v>
      </c>
      <c r="D65" s="3" t="inlineStr">
        <is>
          <t>FULL</t>
        </is>
      </c>
      <c r="E65" s="7">
        <f>IF(B65="I1",AVERAGEIF('QA_Images'!$A$2:$A$65,A65,'QA_Images'!$R$2:$R$65)/100,IF(D65="FULL",1,IF(D65="PARTIAL",0.5,IF(D65="FAIL",0,""))))</f>
        <v/>
      </c>
      <c r="F65" s="7">
        <f>IF(E65="",0,C65*E65)</f>
        <v/>
      </c>
      <c r="G65" s="7">
        <f>IF(B65="I1",20*AVERAGEIF('QA_Images'!$A$2:$A$65,A65,'QA_Images'!$S$2:$S$65)/100,IF(D65="NOT_CHECKED",0,C65))</f>
        <v/>
      </c>
      <c r="H65" s="3" t="inlineStr">
        <is>
          <t>FULL: description HTML is customer-facing and tied to verified artwork, product type, options and personalization controls.</t>
        </is>
      </c>
      <c r="I65" s="3" t="inlineStr">
        <is>
          <t>["evidence_batch_021_206", "https://jeminise.com/products/personalized-basketball-ball-below-net-blanket-with-name-and-number-86aaeebf75-86aaeebf75"]</t>
        </is>
      </c>
      <c r="J65" s="3" t="inlineStr">
        <is>
          <t>[]</t>
        </is>
      </c>
    </row>
    <row r="66" ht="42" customHeight="1">
      <c r="A66" s="2" t="inlineStr">
        <is>
          <t>jeminise.com+personalized-basketball-ball-below-net-blanket-with-name-and-number-86aaeebf75-86aaeebf75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IF(B66="I1",AVERAGEIF('QA_Images'!$A$2:$A$65,A66,'QA_Images'!$R$2:$R$65)/100,IF(D66="FULL",1,IF(D66="PARTIAL",0.5,IF(D66="FAIL",0,""))))</f>
        <v/>
      </c>
      <c r="F66" s="5">
        <f>IF(E66="",0,C66*E66)</f>
        <v/>
      </c>
      <c r="G66" s="5">
        <f>IF(B66="I1",20*AVERAGEIF('QA_Images'!$A$2:$A$65,A66,'QA_Images'!$S$2:$S$65)/100,IF(D66="NOT_CHECKED",0,C66))</f>
        <v/>
      </c>
      <c r="H66" s="2" t="inlineStr">
        <is>
          <t>Derived from 8 QA_Images rows for this product; average image score 100/100.</t>
        </is>
      </c>
      <c r="I66" s="2" t="inlineStr">
        <is>
          <t>["QA_Images", "evidence_batch_021_206"]</t>
        </is>
      </c>
      <c r="J66" s="2" t="inlineStr">
        <is>
          <t>[]</t>
        </is>
      </c>
    </row>
    <row r="67" ht="42" customHeight="1">
      <c r="A67" s="3" t="inlineStr">
        <is>
          <t>jeminise.com+personalized-basketball-ball-below-net-blanket-with-name-and-number-86aaeebf75-86aaeebf75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IF(B67="I1",AVERAGEIF('QA_Images'!$A$2:$A$65,A67,'QA_Images'!$R$2:$R$65)/100,IF(D67="FULL",1,IF(D67="PARTIAL",0.5,IF(D67="FAIL",0,""))))</f>
        <v/>
      </c>
      <c r="F67" s="7">
        <f>IF(E67="",0,C67*E67)</f>
        <v/>
      </c>
      <c r="G67" s="7">
        <f>IF(B67="I1",20*AVERAGEIF('QA_Images'!$A$2:$A$65,A67,'QA_Images'!$S$2:$S$65)/100,IF(D67="NOT_CHECKED",0,C67))</f>
        <v/>
      </c>
      <c r="H67" s="3" t="inlineStr">
        <is>
          <t>FULL: product key, handle, links and scoped evidence are consistent; row-level r3 labels are recorded separately as a traceability limitation.</t>
        </is>
      </c>
      <c r="I67" s="3" t="inlineStr">
        <is>
          <t>["evidence_batch_021_206", "https://jeminise.com/products/personalized-basketball-ball-below-net-blanket-with-name-and-number-86aaeebf75-86aaeebf75"]</t>
        </is>
      </c>
      <c r="J67" s="3" t="inlineStr">
        <is>
          <t>[]</t>
        </is>
      </c>
    </row>
    <row r="68" ht="42" customHeight="1">
      <c r="A68" s="2" t="inlineStr">
        <is>
          <t>jeminise.com+personalized-basketball-below-hoop-comforter-name-number-e8b829a176-e8b829a176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IF(B68="I1",AVERAGEIF('QA_Images'!$A$2:$A$65,A68,'QA_Images'!$R$2:$R$65)/100,IF(D68="FULL",1,IF(D68="PARTIAL",0.5,IF(D68="FAIL",0,""))))</f>
        <v/>
      </c>
      <c r="F68" s="5">
        <f>IF(E68="",0,C68*E68)</f>
        <v/>
      </c>
      <c r="G68" s="5">
        <f>IF(B68="I1",20*AVERAGEIF('QA_Images'!$A$2:$A$65,A68,'QA_Images'!$S$2:$S$65)/100,IF(D68="NOT_CHECKED",0,C68))</f>
        <v/>
      </c>
      <c r="H68" s="2" t="inlineStr">
        <is>
          <t>FULL: product identity, handle and live product data match inventory scope for batch 21.</t>
        </is>
      </c>
      <c r="I68" s="2" t="inlineStr">
        <is>
          <t>["evidence_batch_021_207", "https://jeminise.com/products/personalized-basketball-below-hoop-comforter-name-number-e8b829a176-e8b829a176"]</t>
        </is>
      </c>
      <c r="J68" s="2" t="inlineStr">
        <is>
          <t>[]</t>
        </is>
      </c>
    </row>
    <row r="69" ht="42" customHeight="1">
      <c r="A69" s="3" t="inlineStr">
        <is>
          <t>jeminise.com+personalized-basketball-below-hoop-comforter-name-number-e8b829a176-e8b829a176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IF(B69="I1",AVERAGEIF('QA_Images'!$A$2:$A$65,A69,'QA_Images'!$R$2:$R$65)/100,IF(D69="FULL",1,IF(D69="PARTIAL",0.5,IF(D69="FAIL",0,""))))</f>
        <v/>
      </c>
      <c r="F69" s="7">
        <f>IF(E69="",0,C69*E69)</f>
        <v/>
      </c>
      <c r="G69" s="7">
        <f>IF(B69="I1",20*AVERAGEIF('QA_Images'!$A$2:$A$65,A69,'QA_Images'!$S$2:$S$65)/100,IF(D69="NOT_CHECKED",0,C69))</f>
        <v/>
      </c>
      <c r="H69" s="3" t="inlineStr">
        <is>
          <t>FULL: personalization/product-option claims were checked against live/cache customizer evidence for this product.</t>
        </is>
      </c>
      <c r="I69" s="3" t="inlineStr">
        <is>
          <t>["evidence_batch_021_207", "https://jeminise.com/products/personalized-basketball-below-hoop-comforter-name-number-e8b829a176-e8b829a176",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jeminise.com+personalized-basketball-below-hoop-comforter-name-number-e8b829a176-e8b829a176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IF(B70="I1",AVERAGEIF('QA_Images'!$A$2:$A$65,A70,'QA_Images'!$R$2:$R$65)/100,IF(D70="FULL",1,IF(D70="PARTIAL",0.5,IF(D70="FAIL",0,""))))</f>
        <v/>
      </c>
      <c r="F70" s="5">
        <f>IF(E70="",0,C70*E70)</f>
        <v/>
      </c>
      <c r="G70" s="5">
        <f>IF(B70="I1",20*AVERAGEIF('QA_Images'!$A$2:$A$65,A70,'QA_Images'!$S$2:$S$65)/100,IF(D70="NOT_CHECKED",0,C70))</f>
        <v/>
      </c>
      <c r="H70" s="2" t="inlineStr">
        <is>
          <t>FULL: primary keyword 'custom basketball court hoop comforter' was checked against this product's own US/English SERP; partial means the exact visual modifier is niche.</t>
        </is>
      </c>
      <c r="I70" s="2" t="inlineStr">
        <is>
          <t>["evidence_batch_021_207", "https://jeminise.com/products/personalized-basketball-below-hoop-comforter-name-number-e8b829a176-e8b829a176", "serp_qa_batch_021_r4_207_1", "serp_qa_batch_021_r4_207_2"]</t>
        </is>
      </c>
      <c r="J70" s="2" t="inlineStr">
        <is>
          <t>[]</t>
        </is>
      </c>
    </row>
    <row r="71" ht="42" customHeight="1">
      <c r="A71" s="3" t="inlineStr">
        <is>
          <t>jeminise.com+personalized-basketball-below-hoop-comforter-name-number-e8b829a176-e8b829a176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IF(B71="I1",AVERAGEIF('QA_Images'!$A$2:$A$65,A71,'QA_Images'!$R$2:$R$65)/100,IF(D71="FULL",1,IF(D71="PARTIAL",0.5,IF(D71="FAIL",0,""))))</f>
        <v/>
      </c>
      <c r="F71" s="7">
        <f>IF(E71="",0,C71*E71)</f>
        <v/>
      </c>
      <c r="G71" s="7">
        <f>IF(B71="I1",20*AVERAGEIF('QA_Images'!$A$2:$A$65,A71,'QA_Images'!$S$2:$S$65)/100,IF(D71="NOT_CHECKED",0,C71))</f>
        <v/>
      </c>
      <c r="H71" s="3" t="inlineStr">
        <is>
          <t>FULL: comparator query supports commercial bedding/blanket intent for this product type; partial means results broaden beyond the exact motif.</t>
        </is>
      </c>
      <c r="I71" s="3" t="inlineStr">
        <is>
          <t>["evidence_batch_021_207", "https://jeminise.com/products/personalized-basketball-below-hoop-comforter-name-number-e8b829a176-e8b829a176", "serp_qa_batch_021_r4_207_1", "serp_qa_batch_021_r4_207_2"]</t>
        </is>
      </c>
      <c r="J71" s="3" t="inlineStr">
        <is>
          <t>[]</t>
        </is>
      </c>
    </row>
    <row r="72" ht="42" customHeight="1">
      <c r="A72" s="2" t="inlineStr">
        <is>
          <t>jeminise.com+personalized-basketball-below-hoop-comforter-name-number-e8b829a176-e8b829a176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IF(B72="I1",AVERAGEIF('QA_Images'!$A$2:$A$65,A72,'QA_Images'!$R$2:$R$65)/100,IF(D72="FULL",1,IF(D72="PARTIAL",0.5,IF(D72="FAIL",0,""))))</f>
        <v/>
      </c>
      <c r="F72" s="5">
        <f>IF(E72="",0,C72*E72)</f>
        <v/>
      </c>
      <c r="G72" s="5">
        <f>IF(B72="I1",20*AVERAGEIF('QA_Images'!$A$2:$A$65,A72,'QA_Images'!$S$2:$S$65)/100,IF(D72="NOT_CHECKED",0,C72))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["evidence_batch_021_207", "https://jeminise.com/products/personalized-basketball-below-hoop-comforter-name-number-e8b829a176-e8b829a176", "serp_qa_batch_021_r4_207_1", "serp_qa_batch_021_r4_207_2"]</t>
        </is>
      </c>
      <c r="J72" s="2" t="inlineStr">
        <is>
          <t>[]</t>
        </is>
      </c>
    </row>
    <row r="73" ht="42" customHeight="1">
      <c r="A73" s="3" t="inlineStr">
        <is>
          <t>jeminise.com+personalized-basketball-below-hoop-comforter-name-number-e8b829a176-e8b829a176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IF(B73="I1",AVERAGEIF('QA_Images'!$A$2:$A$65,A73,'QA_Images'!$R$2:$R$65)/100,IF(D73="FULL",1,IF(D73="PARTIAL",0.5,IF(D73="FAIL",0,""))))</f>
        <v/>
      </c>
      <c r="F73" s="7">
        <f>IF(E73="",0,C73*E73)</f>
        <v/>
      </c>
      <c r="G73" s="7">
        <f>IF(B73="I1",20*AVERAGEIF('QA_Images'!$A$2:$A$65,A73,'QA_Images'!$S$2:$S$65)/100,IF(D73="NOT_CHECKED",0,C73))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["evidence_batch_021_207", "https://jeminise.com/products/personalized-basketball-below-hoop-comforter-name-number-e8b829a176-e8b829a176"]</t>
        </is>
      </c>
      <c r="J73" s="3" t="inlineStr">
        <is>
          <t>[]</t>
        </is>
      </c>
    </row>
    <row r="74" ht="42" customHeight="1">
      <c r="A74" s="2" t="inlineStr">
        <is>
          <t>jeminise.com+personalized-basketball-below-hoop-comforter-name-number-e8b829a176-e8b829a176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IF(B74="I1",AVERAGEIF('QA_Images'!$A$2:$A$65,A74,'QA_Images'!$R$2:$R$65)/100,IF(D74="FULL",1,IF(D74="PARTIAL",0.5,IF(D74="FAIL",0,""))))</f>
        <v/>
      </c>
      <c r="F74" s="5">
        <f>IF(E74="",0,C74*E74)</f>
        <v/>
      </c>
      <c r="G74" s="5">
        <f>IF(B74="I1",20*AVERAGEIF('QA_Images'!$A$2:$A$65,A74,'QA_Images'!$S$2:$S$65)/100,IF(D74="NOT_CHECKED",0,C74))</f>
        <v/>
      </c>
      <c r="H74" s="2" t="inlineStr">
        <is>
          <t>FULL: title_proposed can function as product title/H1 and distinguishes this batch-21 design by motif/product type.</t>
        </is>
      </c>
      <c r="I74" s="2" t="inlineStr">
        <is>
          <t>["evidence_batch_021_207", "https://jeminise.com/products/personalized-basketball-below-hoop-comforter-name-number-e8b829a176-e8b829a176"]</t>
        </is>
      </c>
      <c r="J74" s="2" t="inlineStr">
        <is>
          <t>[]</t>
        </is>
      </c>
    </row>
    <row r="75" ht="42" customHeight="1">
      <c r="A75" s="3" t="inlineStr">
        <is>
          <t>jeminise.com+personalized-basketball-below-hoop-comforter-name-number-e8b829a176-e8b829a176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IF(B75="I1",AVERAGEIF('QA_Images'!$A$2:$A$65,A75,'QA_Images'!$R$2:$R$65)/100,IF(D75="FULL",1,IF(D75="PARTIAL",0.5,IF(D75="FAIL",0,""))))</f>
        <v/>
      </c>
      <c r="F75" s="7">
        <f>IF(E75="",0,C75*E75)</f>
        <v/>
      </c>
      <c r="G75" s="7">
        <f>IF(B75="I1",20*AVERAGEIF('QA_Images'!$A$2:$A$65,A75,'QA_Images'!$S$2:$S$65)/100,IF(D75="NOT_CHECKED",0,C75))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["evidence_batch_021_207", "https://jeminise.com/products/personalized-basketball-below-hoop-comforter-name-number-e8b829a176-e8b829a176"]</t>
        </is>
      </c>
      <c r="J75" s="3" t="inlineStr">
        <is>
          <t>[]</t>
        </is>
      </c>
    </row>
    <row r="76" ht="42" customHeight="1">
      <c r="A76" s="2" t="inlineStr">
        <is>
          <t>jeminise.com+personalized-basketball-below-hoop-comforter-name-number-e8b829a176-e8b829a176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5">
        <f>IF(B76="I1",AVERAGEIF('QA_Images'!$A$2:$A$65,A76,'QA_Images'!$R$2:$R$65)/100,IF(D76="FULL",1,IF(D76="PARTIAL",0.5,IF(D76="FAIL",0,""))))</f>
        <v/>
      </c>
      <c r="F76" s="5">
        <f>IF(E76="",0,C76*E76)</f>
        <v/>
      </c>
      <c r="G76" s="5">
        <f>IF(B76="I1",20*AVERAGEIF('QA_Images'!$A$2:$A$65,A76,'QA_Images'!$S$2:$S$65)/100,IF(D76="NOT_CHECKED",0,C76))</f>
        <v/>
      </c>
      <c r="H76" s="2" t="inlineStr">
        <is>
          <t>FULL: description HTML is customer-facing and tied to verified artwork, product type, options and personalization controls.</t>
        </is>
      </c>
      <c r="I76" s="2" t="inlineStr">
        <is>
          <t>["evidence_batch_021_207", "https://jeminise.com/products/personalized-basketball-below-hoop-comforter-name-number-e8b829a176-e8b829a176"]</t>
        </is>
      </c>
      <c r="J76" s="2" t="inlineStr">
        <is>
          <t>[]</t>
        </is>
      </c>
    </row>
    <row r="77" ht="42" customHeight="1">
      <c r="A77" s="3" t="inlineStr">
        <is>
          <t>jeminise.com+personalized-basketball-below-hoop-comforter-name-number-e8b829a176-e8b829a176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IF(B77="I1",AVERAGEIF('QA_Images'!$A$2:$A$65,A77,'QA_Images'!$R$2:$R$65)/100,IF(D77="FULL",1,IF(D77="PARTIAL",0.5,IF(D77="FAIL",0,""))))</f>
        <v/>
      </c>
      <c r="F77" s="7">
        <f>IF(E77="",0,C77*E77)</f>
        <v/>
      </c>
      <c r="G77" s="7">
        <f>IF(B77="I1",20*AVERAGEIF('QA_Images'!$A$2:$A$65,A77,'QA_Images'!$S$2:$S$65)/100,IF(D77="NOT_CHECKED",0,C77))</f>
        <v/>
      </c>
      <c r="H77" s="3" t="inlineStr">
        <is>
          <t>Derived from 7 QA_Images rows for this product; average image score 100/100.</t>
        </is>
      </c>
      <c r="I77" s="3" t="inlineStr">
        <is>
          <t>["QA_Images", "evidence_batch_021_207"]</t>
        </is>
      </c>
      <c r="J77" s="3" t="inlineStr">
        <is>
          <t>[]</t>
        </is>
      </c>
    </row>
    <row r="78" ht="42" customHeight="1">
      <c r="A78" s="2" t="inlineStr">
        <is>
          <t>jeminise.com+personalized-basketball-below-hoop-comforter-name-number-e8b829a176-e8b829a176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IF(B78="I1",AVERAGEIF('QA_Images'!$A$2:$A$65,A78,'QA_Images'!$R$2:$R$65)/100,IF(D78="FULL",1,IF(D78="PARTIAL",0.5,IF(D78="FAIL",0,""))))</f>
        <v/>
      </c>
      <c r="F78" s="5">
        <f>IF(E78="",0,C78*E78)</f>
        <v/>
      </c>
      <c r="G78" s="5">
        <f>IF(B78="I1",20*AVERAGEIF('QA_Images'!$A$2:$A$65,A78,'QA_Images'!$S$2:$S$65)/100,IF(D78="NOT_CHECKED",0,C78))</f>
        <v/>
      </c>
      <c r="H78" s="2" t="inlineStr">
        <is>
          <t>FULL: product key, handle, links and scoped evidence are consistent; row-level r3 labels are recorded separately as a traceability limitation.</t>
        </is>
      </c>
      <c r="I78" s="2" t="inlineStr">
        <is>
          <t>["evidence_batch_021_207", "https://jeminise.com/products/personalized-basketball-below-hoop-comforter-name-number-e8b829a176-e8b829a176"]</t>
        </is>
      </c>
      <c r="J78" s="2" t="inlineStr">
        <is>
          <t>[]</t>
        </is>
      </c>
    </row>
    <row r="79" ht="42" customHeight="1">
      <c r="A79" s="3" t="inlineStr">
        <is>
          <t>jeminise.com+personalized-basketball-below-hoop-comforter-with-name-and-number-d7a58513fd-d7a58513fd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IF(B79="I1",AVERAGEIF('QA_Images'!$A$2:$A$65,A79,'QA_Images'!$R$2:$R$65)/100,IF(D79="FULL",1,IF(D79="PARTIAL",0.5,IF(D79="FAIL",0,""))))</f>
        <v/>
      </c>
      <c r="F79" s="7">
        <f>IF(E79="",0,C79*E79)</f>
        <v/>
      </c>
      <c r="G79" s="7">
        <f>IF(B79="I1",20*AVERAGEIF('QA_Images'!$A$2:$A$65,A79,'QA_Images'!$S$2:$S$65)/100,IF(D79="NOT_CHECKED",0,C79))</f>
        <v/>
      </c>
      <c r="H79" s="3" t="inlineStr">
        <is>
          <t>FULL: product identity, handle and live product data match inventory scope for batch 21.</t>
        </is>
      </c>
      <c r="I79" s="3" t="inlineStr">
        <is>
          <t>["evidence_batch_021_208", "https://jeminise.com/products/personalized-basketball-below-hoop-comforter-with-name-and-number-d7a58513fd-d7a58513fd"]</t>
        </is>
      </c>
      <c r="J79" s="3" t="inlineStr">
        <is>
          <t>[]</t>
        </is>
      </c>
    </row>
    <row r="80" ht="42" customHeight="1">
      <c r="A80" s="2" t="inlineStr">
        <is>
          <t>jeminise.com+personalized-basketball-below-hoop-comforter-with-name-and-number-d7a58513fd-d7a58513fd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IF(B80="I1",AVERAGEIF('QA_Images'!$A$2:$A$65,A80,'QA_Images'!$R$2:$R$65)/100,IF(D80="FULL",1,IF(D80="PARTIAL",0.5,IF(D80="FAIL",0,""))))</f>
        <v/>
      </c>
      <c r="F80" s="5">
        <f>IF(E80="",0,C80*E80)</f>
        <v/>
      </c>
      <c r="G80" s="5">
        <f>IF(B80="I1",20*AVERAGEIF('QA_Images'!$A$2:$A$65,A80,'QA_Images'!$S$2:$S$65)/100,IF(D80="NOT_CHECKED",0,C80))</f>
        <v/>
      </c>
      <c r="H80" s="2" t="inlineStr">
        <is>
          <t>FULL: personalization/product-option claims were checked against live/cache customizer evidence for this product.</t>
        </is>
      </c>
      <c r="I80" s="2" t="inlineStr">
        <is>
          <t>["evidence_batch_021_208", "https://jeminise.com/products/personalized-basketball-below-hoop-comforter-with-name-and-number-d7a58513fd-d7a58513fd",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jeminise.com+personalized-basketball-below-hoop-comforter-with-name-and-number-d7a58513fd-d7a58513fd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IF(B81="I1",AVERAGEIF('QA_Images'!$A$2:$A$65,A81,'QA_Images'!$R$2:$R$65)/100,IF(D81="FULL",1,IF(D81="PARTIAL",0.5,IF(D81="FAIL",0,""))))</f>
        <v/>
      </c>
      <c r="F81" s="7">
        <f>IF(E81="",0,C81*E81)</f>
        <v/>
      </c>
      <c r="G81" s="7">
        <f>IF(B81="I1",20*AVERAGEIF('QA_Images'!$A$2:$A$65,A81,'QA_Images'!$S$2:$S$65)/100,IF(D81="NOT_CHECKED",0,C81))</f>
        <v/>
      </c>
      <c r="H81" s="3" t="inlineStr">
        <is>
          <t>PARTIAL: primary keyword 'custom black basketball hoop comforter' was checked against this product's own US/English SERP; partial means the exact visual modifier is niche.</t>
        </is>
      </c>
      <c r="I81" s="3" t="inlineStr">
        <is>
          <t>["evidence_batch_021_208", "https://jeminise.com/products/personalized-basketball-below-hoop-comforter-with-name-and-number-d7a58513fd-d7a58513fd", "serp_qa_batch_021_r4_208_1", "serp_qa_batch_021_r4_208_2"]</t>
        </is>
      </c>
      <c r="J81" s="3" t="inlineStr">
        <is>
          <t>[]</t>
        </is>
      </c>
    </row>
    <row r="82" ht="42" customHeight="1">
      <c r="A82" s="2" t="inlineStr">
        <is>
          <t>jeminise.com+personalized-basketball-below-hoop-comforter-with-name-and-number-d7a58513fd-d7a58513fd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IF(B82="I1",AVERAGEIF('QA_Images'!$A$2:$A$65,A82,'QA_Images'!$R$2:$R$65)/100,IF(D82="FULL",1,IF(D82="PARTIAL",0.5,IF(D82="FAIL",0,""))))</f>
        <v/>
      </c>
      <c r="F82" s="5">
        <f>IF(E82="",0,C82*E82)</f>
        <v/>
      </c>
      <c r="G82" s="5">
        <f>IF(B82="I1",20*AVERAGEIF('QA_Images'!$A$2:$A$65,A82,'QA_Images'!$S$2:$S$65)/100,IF(D82="NOT_CHECKED",0,C82))</f>
        <v/>
      </c>
      <c r="H82" s="2" t="inlineStr">
        <is>
          <t>FULL: comparator query supports commercial bedding/blanket intent for this product type; partial means results broaden beyond the exact motif.</t>
        </is>
      </c>
      <c r="I82" s="2" t="inlineStr">
        <is>
          <t>["evidence_batch_021_208", "https://jeminise.com/products/personalized-basketball-below-hoop-comforter-with-name-and-number-d7a58513fd-d7a58513fd", "serp_qa_batch_021_r4_208_1", "serp_qa_batch_021_r4_208_2"]</t>
        </is>
      </c>
      <c r="J82" s="2" t="inlineStr">
        <is>
          <t>[]</t>
        </is>
      </c>
    </row>
    <row r="83" ht="42" customHeight="1">
      <c r="A83" s="3" t="inlineStr">
        <is>
          <t>jeminise.com+personalized-basketball-below-hoop-comforter-with-name-and-number-d7a58513fd-d7a58513fd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IF(B83="I1",AVERAGEIF('QA_Images'!$A$2:$A$65,A83,'QA_Images'!$R$2:$R$65)/100,IF(D83="FULL",1,IF(D83="PARTIAL",0.5,IF(D83="FAIL",0,""))))</f>
        <v/>
      </c>
      <c r="F83" s="7">
        <f>IF(E83="",0,C83*E83)</f>
        <v/>
      </c>
      <c r="G83" s="7">
        <f>IF(B83="I1",20*AVERAGEIF('QA_Images'!$A$2:$A$65,A83,'QA_Images'!$S$2:$S$65)/100,IF(D83="NOT_CHECKED",0,C83))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["evidence_batch_021_208", "https://jeminise.com/products/personalized-basketball-below-hoop-comforter-with-name-and-number-d7a58513fd-d7a58513fd", "serp_qa_batch_021_r4_208_1", "serp_qa_batch_021_r4_208_2"]</t>
        </is>
      </c>
      <c r="J83" s="3" t="inlineStr">
        <is>
          <t>[]</t>
        </is>
      </c>
    </row>
    <row r="84" ht="42" customHeight="1">
      <c r="A84" s="2" t="inlineStr">
        <is>
          <t>jeminise.com+personalized-basketball-below-hoop-comforter-with-name-and-number-d7a58513fd-d7a58513fd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IF(B84="I1",AVERAGEIF('QA_Images'!$A$2:$A$65,A84,'QA_Images'!$R$2:$R$65)/100,IF(D84="FULL",1,IF(D84="PARTIAL",0.5,IF(D84="FAIL",0,""))))</f>
        <v/>
      </c>
      <c r="F84" s="5">
        <f>IF(E84="",0,C84*E84)</f>
        <v/>
      </c>
      <c r="G84" s="5">
        <f>IF(B84="I1",20*AVERAGEIF('QA_Images'!$A$2:$A$65,A84,'QA_Images'!$S$2:$S$65)/100,IF(D84="NOT_CHECKED",0,C84))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["evidence_batch_021_208", "https://jeminise.com/products/personalized-basketball-below-hoop-comforter-with-name-and-number-d7a58513fd-d7a58513fd"]</t>
        </is>
      </c>
      <c r="J84" s="2" t="inlineStr">
        <is>
          <t>[]</t>
        </is>
      </c>
    </row>
    <row r="85" ht="42" customHeight="1">
      <c r="A85" s="3" t="inlineStr">
        <is>
          <t>jeminise.com+personalized-basketball-below-hoop-comforter-with-name-and-number-d7a58513fd-d7a58513fd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IF(B85="I1",AVERAGEIF('QA_Images'!$A$2:$A$65,A85,'QA_Images'!$R$2:$R$65)/100,IF(D85="FULL",1,IF(D85="PARTIAL",0.5,IF(D85="FAIL",0,""))))</f>
        <v/>
      </c>
      <c r="F85" s="7">
        <f>IF(E85="",0,C85*E85)</f>
        <v/>
      </c>
      <c r="G85" s="7">
        <f>IF(B85="I1",20*AVERAGEIF('QA_Images'!$A$2:$A$65,A85,'QA_Images'!$S$2:$S$65)/100,IF(D85="NOT_CHECKED",0,C85))</f>
        <v/>
      </c>
      <c r="H85" s="3" t="inlineStr">
        <is>
          <t>FULL: title_proposed can function as product title/H1 and distinguishes this batch-21 design by motif/product type.</t>
        </is>
      </c>
      <c r="I85" s="3" t="inlineStr">
        <is>
          <t>["evidence_batch_021_208", "https://jeminise.com/products/personalized-basketball-below-hoop-comforter-with-name-and-number-d7a58513fd-d7a58513fd"]</t>
        </is>
      </c>
      <c r="J85" s="3" t="inlineStr">
        <is>
          <t>[]</t>
        </is>
      </c>
    </row>
    <row r="86" ht="42" customHeight="1">
      <c r="A86" s="2" t="inlineStr">
        <is>
          <t>jeminise.com+personalized-basketball-below-hoop-comforter-with-name-and-number-d7a58513fd-d7a58513fd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IF(B86="I1",AVERAGEIF('QA_Images'!$A$2:$A$65,A86,'QA_Images'!$R$2:$R$65)/100,IF(D86="FULL",1,IF(D86="PARTIAL",0.5,IF(D86="FAIL",0,""))))</f>
        <v/>
      </c>
      <c r="F86" s="5">
        <f>IF(E86="",0,C86*E86)</f>
        <v/>
      </c>
      <c r="G86" s="5">
        <f>IF(B86="I1",20*AVERAGEIF('QA_Images'!$A$2:$A$65,A86,'QA_Images'!$S$2:$S$65)/100,IF(D86="NOT_CHECKED",0,C86))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["evidence_batch_021_208", "https://jeminise.com/products/personalized-basketball-below-hoop-comforter-with-name-and-number-d7a58513fd-d7a58513fd"]</t>
        </is>
      </c>
      <c r="J86" s="2" t="inlineStr">
        <is>
          <t>[]</t>
        </is>
      </c>
    </row>
    <row r="87" ht="42" customHeight="1">
      <c r="A87" s="3" t="inlineStr">
        <is>
          <t>jeminise.com+personalized-basketball-below-hoop-comforter-with-name-and-number-d7a58513fd-d7a58513fd</t>
        </is>
      </c>
      <c r="B87" s="3" t="inlineStr">
        <is>
          <t>D2</t>
        </is>
      </c>
      <c r="C87" s="3" t="n">
        <v>10</v>
      </c>
      <c r="D87" s="3" t="inlineStr">
        <is>
          <t>FULL</t>
        </is>
      </c>
      <c r="E87" s="7">
        <f>IF(B87="I1",AVERAGEIF('QA_Images'!$A$2:$A$65,A87,'QA_Images'!$R$2:$R$65)/100,IF(D87="FULL",1,IF(D87="PARTIAL",0.5,IF(D87="FAIL",0,""))))</f>
        <v/>
      </c>
      <c r="F87" s="7">
        <f>IF(E87="",0,C87*E87)</f>
        <v/>
      </c>
      <c r="G87" s="7">
        <f>IF(B87="I1",20*AVERAGEIF('QA_Images'!$A$2:$A$65,A87,'QA_Images'!$S$2:$S$65)/100,IF(D87="NOT_CHECKED",0,C87))</f>
        <v/>
      </c>
      <c r="H87" s="3" t="inlineStr">
        <is>
          <t>FULL: description HTML is customer-facing and tied to verified artwork, product type, options and personalization controls.</t>
        </is>
      </c>
      <c r="I87" s="3" t="inlineStr">
        <is>
          <t>["evidence_batch_021_208", "https://jeminise.com/products/personalized-basketball-below-hoop-comforter-with-name-and-number-d7a58513fd-d7a58513fd"]</t>
        </is>
      </c>
      <c r="J87" s="3" t="inlineStr">
        <is>
          <t>[]</t>
        </is>
      </c>
    </row>
    <row r="88" ht="42" customHeight="1">
      <c r="A88" s="2" t="inlineStr">
        <is>
          <t>jeminise.com+personalized-basketball-below-hoop-comforter-with-name-and-number-d7a58513fd-d7a58513fd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IF(B88="I1",AVERAGEIF('QA_Images'!$A$2:$A$65,A88,'QA_Images'!$R$2:$R$65)/100,IF(D88="FULL",1,IF(D88="PARTIAL",0.5,IF(D88="FAIL",0,""))))</f>
        <v/>
      </c>
      <c r="F88" s="5">
        <f>IF(E88="",0,C88*E88)</f>
        <v/>
      </c>
      <c r="G88" s="5">
        <f>IF(B88="I1",20*AVERAGEIF('QA_Images'!$A$2:$A$65,A88,'QA_Images'!$S$2:$S$65)/100,IF(D88="NOT_CHECKED",0,C88))</f>
        <v/>
      </c>
      <c r="H88" s="2" t="inlineStr">
        <is>
          <t>Derived from 7 QA_Images rows for this product; average image score 100/100.</t>
        </is>
      </c>
      <c r="I88" s="2" t="inlineStr">
        <is>
          <t>["QA_Images", "evidence_batch_021_208"]</t>
        </is>
      </c>
      <c r="J88" s="2" t="inlineStr">
        <is>
          <t>[]</t>
        </is>
      </c>
    </row>
    <row r="89" ht="42" customHeight="1">
      <c r="A89" s="3" t="inlineStr">
        <is>
          <t>jeminise.com+personalized-basketball-below-hoop-comforter-with-name-and-number-d7a58513fd-d7a58513fd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IF(B89="I1",AVERAGEIF('QA_Images'!$A$2:$A$65,A89,'QA_Images'!$R$2:$R$65)/100,IF(D89="FULL",1,IF(D89="PARTIAL",0.5,IF(D89="FAIL",0,""))))</f>
        <v/>
      </c>
      <c r="F89" s="7">
        <f>IF(E89="",0,C89*E89)</f>
        <v/>
      </c>
      <c r="G89" s="7">
        <f>IF(B89="I1",20*AVERAGEIF('QA_Images'!$A$2:$A$65,A89,'QA_Images'!$S$2:$S$65)/100,IF(D89="NOT_CHECKED",0,C89))</f>
        <v/>
      </c>
      <c r="H89" s="3" t="inlineStr">
        <is>
          <t>FULL: product key, handle, links and scoped evidence are consistent; row-level r3 labels are recorded separately as a traceability limitation.</t>
        </is>
      </c>
      <c r="I89" s="3" t="inlineStr">
        <is>
          <t>["evidence_batch_021_208", "https://jeminise.com/products/personalized-basketball-below-hoop-comforter-with-name-and-number-d7a58513fd-d7a58513fd"]</t>
        </is>
      </c>
      <c r="J89" s="3" t="inlineStr">
        <is>
          <t>[]</t>
        </is>
      </c>
    </row>
    <row r="90" ht="42" customHeight="1">
      <c r="A90" s="2" t="inlineStr">
        <is>
          <t>jeminise.com+personalized-basketball-burning-flames-comforter-with-name-and-number-746598fa53-746598fa53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IF(B90="I1",AVERAGEIF('QA_Images'!$A$2:$A$65,A90,'QA_Images'!$R$2:$R$65)/100,IF(D90="FULL",1,IF(D90="PARTIAL",0.5,IF(D90="FAIL",0,""))))</f>
        <v/>
      </c>
      <c r="F90" s="5">
        <f>IF(E90="",0,C90*E90)</f>
        <v/>
      </c>
      <c r="G90" s="5">
        <f>IF(B90="I1",20*AVERAGEIF('QA_Images'!$A$2:$A$65,A90,'QA_Images'!$S$2:$S$65)/100,IF(D90="NOT_CHECKED",0,C90))</f>
        <v/>
      </c>
      <c r="H90" s="2" t="inlineStr">
        <is>
          <t>FULL: product identity, handle and live product data match inventory scope for batch 21.</t>
        </is>
      </c>
      <c r="I90" s="2" t="inlineStr">
        <is>
          <t>["evidence_batch_021_209", "https://jeminise.com/products/personalized-basketball-burning-flames-comforter-with-name-and-number-746598fa53-746598fa53"]</t>
        </is>
      </c>
      <c r="J90" s="2" t="inlineStr">
        <is>
          <t>[]</t>
        </is>
      </c>
    </row>
    <row r="91" ht="42" customHeight="1">
      <c r="A91" s="3" t="inlineStr">
        <is>
          <t>jeminise.com+personalized-basketball-burning-flames-comforter-with-name-and-number-746598fa53-746598fa53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IF(B91="I1",AVERAGEIF('QA_Images'!$A$2:$A$65,A91,'QA_Images'!$R$2:$R$65)/100,IF(D91="FULL",1,IF(D91="PARTIAL",0.5,IF(D91="FAIL",0,""))))</f>
        <v/>
      </c>
      <c r="F91" s="7">
        <f>IF(E91="",0,C91*E91)</f>
        <v/>
      </c>
      <c r="G91" s="7">
        <f>IF(B91="I1",20*AVERAGEIF('QA_Images'!$A$2:$A$65,A91,'QA_Images'!$S$2:$S$65)/100,IF(D91="NOT_CHECKED",0,C91))</f>
        <v/>
      </c>
      <c r="H91" s="3" t="inlineStr">
        <is>
          <t>FULL: personalization/product-option claims were checked against live/cache customizer evidence for this product.</t>
        </is>
      </c>
      <c r="I91" s="3" t="inlineStr">
        <is>
          <t>["evidence_batch_021_209", "https://jeminise.com/products/personalized-basketball-burning-flames-comforter-with-name-and-number-746598fa53-746598fa53",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jeminise.com+personalized-basketball-burning-flames-comforter-with-name-and-number-746598fa53-746598fa53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IF(B92="I1",AVERAGEIF('QA_Images'!$A$2:$A$65,A92,'QA_Images'!$R$2:$R$65)/100,IF(D92="FULL",1,IF(D92="PARTIAL",0.5,IF(D92="FAIL",0,""))))</f>
        <v/>
      </c>
      <c r="F92" s="5">
        <f>IF(E92="",0,C92*E92)</f>
        <v/>
      </c>
      <c r="G92" s="5">
        <f>IF(B92="I1",20*AVERAGEIF('QA_Images'!$A$2:$A$65,A92,'QA_Images'!$S$2:$S$65)/100,IF(D92="NOT_CHECKED",0,C92))</f>
        <v/>
      </c>
      <c r="H92" s="2" t="inlineStr">
        <is>
          <t>PARTIAL: primary keyword 'custom flame basketball comforter set' was checked against this product's own US/English SERP; partial means the exact visual modifier is niche.</t>
        </is>
      </c>
      <c r="I92" s="2" t="inlineStr">
        <is>
          <t>["evidence_batch_021_209", "https://jeminise.com/products/personalized-basketball-burning-flames-comforter-with-name-and-number-746598fa53-746598fa53", "serp_qa_batch_021_r4_209_1", "serp_qa_batch_021_r4_209_2"]</t>
        </is>
      </c>
      <c r="J92" s="2" t="inlineStr">
        <is>
          <t>[]</t>
        </is>
      </c>
    </row>
    <row r="93" ht="42" customHeight="1">
      <c r="A93" s="3" t="inlineStr">
        <is>
          <t>jeminise.com+personalized-basketball-burning-flames-comforter-with-name-and-number-746598fa53-746598fa53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IF(B93="I1",AVERAGEIF('QA_Images'!$A$2:$A$65,A93,'QA_Images'!$R$2:$R$65)/100,IF(D93="FULL",1,IF(D93="PARTIAL",0.5,IF(D93="FAIL",0,""))))</f>
        <v/>
      </c>
      <c r="F93" s="7">
        <f>IF(E93="",0,C93*E93)</f>
        <v/>
      </c>
      <c r="G93" s="7">
        <f>IF(B93="I1",20*AVERAGEIF('QA_Images'!$A$2:$A$65,A93,'QA_Images'!$S$2:$S$65)/100,IF(D93="NOT_CHECKED",0,C93))</f>
        <v/>
      </c>
      <c r="H93" s="3" t="inlineStr">
        <is>
          <t>FULL: comparator query supports commercial bedding/blanket intent for this product type; partial means results broaden beyond the exact motif.</t>
        </is>
      </c>
      <c r="I93" s="3" t="inlineStr">
        <is>
          <t>["evidence_batch_021_209", "https://jeminise.com/products/personalized-basketball-burning-flames-comforter-with-name-and-number-746598fa53-746598fa53", "serp_qa_batch_021_r4_209_1", "serp_qa_batch_021_r4_209_2"]</t>
        </is>
      </c>
      <c r="J93" s="3" t="inlineStr">
        <is>
          <t>[]</t>
        </is>
      </c>
    </row>
    <row r="94" ht="42" customHeight="1">
      <c r="A94" s="2" t="inlineStr">
        <is>
          <t>jeminise.com+personalized-basketball-burning-flames-comforter-with-name-and-number-746598fa53-746598fa53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IF(B94="I1",AVERAGEIF('QA_Images'!$A$2:$A$65,A94,'QA_Images'!$R$2:$R$65)/100,IF(D94="FULL",1,IF(D94="PARTIAL",0.5,IF(D94="FAIL",0,""))))</f>
        <v/>
      </c>
      <c r="F94" s="5">
        <f>IF(E94="",0,C94*E94)</f>
        <v/>
      </c>
      <c r="G94" s="5">
        <f>IF(B94="I1",20*AVERAGEIF('QA_Images'!$A$2:$A$65,A94,'QA_Images'!$S$2:$S$65)/100,IF(D94="NOT_CHECKED",0,C94))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["evidence_batch_021_209", "https://jeminise.com/products/personalized-basketball-burning-flames-comforter-with-name-and-number-746598fa53-746598fa53", "serp_qa_batch_021_r4_209_1", "serp_qa_batch_021_r4_209_2"]</t>
        </is>
      </c>
      <c r="J94" s="2" t="inlineStr">
        <is>
          <t>[]</t>
        </is>
      </c>
    </row>
    <row r="95" ht="42" customHeight="1">
      <c r="A95" s="3" t="inlineStr">
        <is>
          <t>jeminise.com+personalized-basketball-burning-flames-comforter-with-name-and-number-746598fa53-746598fa53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IF(B95="I1",AVERAGEIF('QA_Images'!$A$2:$A$65,A95,'QA_Images'!$R$2:$R$65)/100,IF(D95="FULL",1,IF(D95="PARTIAL",0.5,IF(D95="FAIL",0,""))))</f>
        <v/>
      </c>
      <c r="F95" s="7">
        <f>IF(E95="",0,C95*E95)</f>
        <v/>
      </c>
      <c r="G95" s="7">
        <f>IF(B95="I1",20*AVERAGEIF('QA_Images'!$A$2:$A$65,A95,'QA_Images'!$S$2:$S$65)/100,IF(D95="NOT_CHECKED",0,C95))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["evidence_batch_021_209", "https://jeminise.com/products/personalized-basketball-burning-flames-comforter-with-name-and-number-746598fa53-746598fa53"]</t>
        </is>
      </c>
      <c r="J95" s="3" t="inlineStr">
        <is>
          <t>[]</t>
        </is>
      </c>
    </row>
    <row r="96" ht="42" customHeight="1">
      <c r="A96" s="2" t="inlineStr">
        <is>
          <t>jeminise.com+personalized-basketball-burning-flames-comforter-with-name-and-number-746598fa53-746598fa53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IF(B96="I1",AVERAGEIF('QA_Images'!$A$2:$A$65,A96,'QA_Images'!$R$2:$R$65)/100,IF(D96="FULL",1,IF(D96="PARTIAL",0.5,IF(D96="FAIL",0,""))))</f>
        <v/>
      </c>
      <c r="F96" s="5">
        <f>IF(E96="",0,C96*E96)</f>
        <v/>
      </c>
      <c r="G96" s="5">
        <f>IF(B96="I1",20*AVERAGEIF('QA_Images'!$A$2:$A$65,A96,'QA_Images'!$S$2:$S$65)/100,IF(D96="NOT_CHECKED",0,C96))</f>
        <v/>
      </c>
      <c r="H96" s="2" t="inlineStr">
        <is>
          <t>FULL: title_proposed can function as product title/H1 and distinguishes this batch-21 design by motif/product type.</t>
        </is>
      </c>
      <c r="I96" s="2" t="inlineStr">
        <is>
          <t>["evidence_batch_021_209", "https://jeminise.com/products/personalized-basketball-burning-flames-comforter-with-name-and-number-746598fa53-746598fa53"]</t>
        </is>
      </c>
      <c r="J96" s="2" t="inlineStr">
        <is>
          <t>[]</t>
        </is>
      </c>
    </row>
    <row r="97" ht="42" customHeight="1">
      <c r="A97" s="3" t="inlineStr">
        <is>
          <t>jeminise.com+personalized-basketball-burning-flames-comforter-with-name-and-number-746598fa53-746598fa53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IF(B97="I1",AVERAGEIF('QA_Images'!$A$2:$A$65,A97,'QA_Images'!$R$2:$R$65)/100,IF(D97="FULL",1,IF(D97="PARTIAL",0.5,IF(D97="FAIL",0,""))))</f>
        <v/>
      </c>
      <c r="F97" s="7">
        <f>IF(E97="",0,C97*E97)</f>
        <v/>
      </c>
      <c r="G97" s="7">
        <f>IF(B97="I1",20*AVERAGEIF('QA_Images'!$A$2:$A$65,A97,'QA_Images'!$S$2:$S$65)/100,IF(D97="NOT_CHECKED",0,C97))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["evidence_batch_021_209", "https://jeminise.com/products/personalized-basketball-burning-flames-comforter-with-name-and-number-746598fa53-746598fa53"]</t>
        </is>
      </c>
      <c r="J97" s="3" t="inlineStr">
        <is>
          <t>[]</t>
        </is>
      </c>
    </row>
    <row r="98" ht="42" customHeight="1">
      <c r="A98" s="2" t="inlineStr">
        <is>
          <t>jeminise.com+personalized-basketball-burning-flames-comforter-with-name-and-number-746598fa53-746598fa53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5">
        <f>IF(B98="I1",AVERAGEIF('QA_Images'!$A$2:$A$65,A98,'QA_Images'!$R$2:$R$65)/100,IF(D98="FULL",1,IF(D98="PARTIAL",0.5,IF(D98="FAIL",0,""))))</f>
        <v/>
      </c>
      <c r="F98" s="5">
        <f>IF(E98="",0,C98*E98)</f>
        <v/>
      </c>
      <c r="G98" s="5">
        <f>IF(B98="I1",20*AVERAGEIF('QA_Images'!$A$2:$A$65,A98,'QA_Images'!$S$2:$S$65)/100,IF(D98="NOT_CHECKED",0,C98))</f>
        <v/>
      </c>
      <c r="H98" s="2" t="inlineStr">
        <is>
          <t>FULL: description HTML is customer-facing and tied to verified artwork, product type, options and personalization controls.</t>
        </is>
      </c>
      <c r="I98" s="2" t="inlineStr">
        <is>
          <t>["evidence_batch_021_209", "https://jeminise.com/products/personalized-basketball-burning-flames-comforter-with-name-and-number-746598fa53-746598fa53"]</t>
        </is>
      </c>
      <c r="J98" s="2" t="inlineStr">
        <is>
          <t>[]</t>
        </is>
      </c>
    </row>
    <row r="99" ht="42" customHeight="1">
      <c r="A99" s="3" t="inlineStr">
        <is>
          <t>jeminise.com+personalized-basketball-burning-flames-comforter-with-name-and-number-746598fa53-746598fa53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IF(B99="I1",AVERAGEIF('QA_Images'!$A$2:$A$65,A99,'QA_Images'!$R$2:$R$65)/100,IF(D99="FULL",1,IF(D99="PARTIAL",0.5,IF(D99="FAIL",0,""))))</f>
        <v/>
      </c>
      <c r="F99" s="7">
        <f>IF(E99="",0,C99*E99)</f>
        <v/>
      </c>
      <c r="G99" s="7">
        <f>IF(B99="I1",20*AVERAGEIF('QA_Images'!$A$2:$A$65,A99,'QA_Images'!$S$2:$S$65)/100,IF(D99="NOT_CHECKED",0,C99))</f>
        <v/>
      </c>
      <c r="H99" s="3" t="inlineStr">
        <is>
          <t>Derived from 7 QA_Images rows for this product; average image score 100/100.</t>
        </is>
      </c>
      <c r="I99" s="3" t="inlineStr">
        <is>
          <t>["QA_Images", "evidence_batch_021_209"]</t>
        </is>
      </c>
      <c r="J99" s="3" t="inlineStr">
        <is>
          <t>[]</t>
        </is>
      </c>
    </row>
    <row r="100" ht="42" customHeight="1">
      <c r="A100" s="2" t="inlineStr">
        <is>
          <t>jeminise.com+personalized-basketball-burning-flames-comforter-with-name-and-number-746598fa53-746598fa53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IF(B100="I1",AVERAGEIF('QA_Images'!$A$2:$A$65,A100,'QA_Images'!$R$2:$R$65)/100,IF(D100="FULL",1,IF(D100="PARTIAL",0.5,IF(D100="FAIL",0,""))))</f>
        <v/>
      </c>
      <c r="F100" s="5">
        <f>IF(E100="",0,C100*E100)</f>
        <v/>
      </c>
      <c r="G100" s="5">
        <f>IF(B100="I1",20*AVERAGEIF('QA_Images'!$A$2:$A$65,A100,'QA_Images'!$S$2:$S$65)/100,IF(D100="NOT_CHECKED",0,C100))</f>
        <v/>
      </c>
      <c r="H100" s="2" t="inlineStr">
        <is>
          <t>FULL: product key, handle, links and scoped evidence are consistent; row-level r3 labels are recorded separately as a traceability limitation.</t>
        </is>
      </c>
      <c r="I100" s="2" t="inlineStr">
        <is>
          <t>["evidence_batch_021_209", "https://jeminise.com/products/personalized-basketball-burning-flames-comforter-with-name-and-number-746598fa53-746598fa53"]</t>
        </is>
      </c>
      <c r="J100" s="2" t="inlineStr">
        <is>
          <t>[]</t>
        </is>
      </c>
    </row>
    <row r="101" ht="42" customHeight="1">
      <c r="A101" s="3" t="inlineStr">
        <is>
          <t>jeminise.com+personalized-basketball-close-up-blanket-with-name-and-number-3f49346de1-3f49346de1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IF(B101="I1",AVERAGEIF('QA_Images'!$A$2:$A$65,A101,'QA_Images'!$R$2:$R$65)/100,IF(D101="FULL",1,IF(D101="PARTIAL",0.5,IF(D101="FAIL",0,""))))</f>
        <v/>
      </c>
      <c r="F101" s="7">
        <f>IF(E101="",0,C101*E101)</f>
        <v/>
      </c>
      <c r="G101" s="7">
        <f>IF(B101="I1",20*AVERAGEIF('QA_Images'!$A$2:$A$65,A101,'QA_Images'!$S$2:$S$65)/100,IF(D101="NOT_CHECKED",0,C101))</f>
        <v/>
      </c>
      <c r="H101" s="3" t="inlineStr">
        <is>
          <t>FULL: product identity, handle and live product data match inventory scope for batch 21.</t>
        </is>
      </c>
      <c r="I101" s="3" t="inlineStr">
        <is>
          <t>["evidence_batch_021_210", "https://jeminise.com/products/personalized-basketball-close-up-blanket-with-name-and-number-3f49346de1-3f49346de1"]</t>
        </is>
      </c>
      <c r="J101" s="3" t="inlineStr">
        <is>
          <t>[]</t>
        </is>
      </c>
    </row>
    <row r="102" ht="42" customHeight="1">
      <c r="A102" s="2" t="inlineStr">
        <is>
          <t>jeminise.com+personalized-basketball-close-up-blanket-with-name-and-number-3f49346de1-3f49346de1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IF(B102="I1",AVERAGEIF('QA_Images'!$A$2:$A$65,A102,'QA_Images'!$R$2:$R$65)/100,IF(D102="FULL",1,IF(D102="PARTIAL",0.5,IF(D102="FAIL",0,""))))</f>
        <v/>
      </c>
      <c r="F102" s="5">
        <f>IF(E102="",0,C102*E102)</f>
        <v/>
      </c>
      <c r="G102" s="5">
        <f>IF(B102="I1",20*AVERAGEIF('QA_Images'!$A$2:$A$65,A102,'QA_Images'!$S$2:$S$65)/100,IF(D102="NOT_CHECKED",0,C102))</f>
        <v/>
      </c>
      <c r="H102" s="2" t="inlineStr">
        <is>
          <t>FULL: personalization/product-option claims were checked against live/cache customizer evidence for this product.</t>
        </is>
      </c>
      <c r="I102" s="2" t="inlineStr">
        <is>
          <t>["evidence_batch_021_210", "https://jeminise.com/products/personalized-basketball-close-up-blanket-with-name-and-number-3f49346de1-3f49346de1",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jeminise.com+personalized-basketball-close-up-blanket-with-name-and-number-3f49346de1-3f49346de1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IF(B103="I1",AVERAGEIF('QA_Images'!$A$2:$A$65,A103,'QA_Images'!$R$2:$R$65)/100,IF(D103="FULL",1,IF(D103="PARTIAL",0.5,IF(D103="FAIL",0,""))))</f>
        <v/>
      </c>
      <c r="F103" s="7">
        <f>IF(E103="",0,C103*E103)</f>
        <v/>
      </c>
      <c r="G103" s="7">
        <f>IF(B103="I1",20*AVERAGEIF('QA_Images'!$A$2:$A$65,A103,'QA_Images'!$S$2:$S$65)/100,IF(D103="NOT_CHECKED",0,C103))</f>
        <v/>
      </c>
      <c r="H103" s="3" t="inlineStr">
        <is>
          <t>PARTIAL: primary keyword 'custom basketball close-up blanket' was checked against this product's own US/English SERP; partial means the exact visual modifier is niche.</t>
        </is>
      </c>
      <c r="I103" s="3" t="inlineStr">
        <is>
          <t>["evidence_batch_021_210", "https://jeminise.com/products/personalized-basketball-close-up-blanket-with-name-and-number-3f49346de1-3f49346de1", "serp_qa_batch_021_r4_210_1", "serp_qa_batch_021_r4_210_2"]</t>
        </is>
      </c>
      <c r="J103" s="3" t="inlineStr">
        <is>
          <t>[]</t>
        </is>
      </c>
    </row>
    <row r="104" ht="42" customHeight="1">
      <c r="A104" s="2" t="inlineStr">
        <is>
          <t>jeminise.com+personalized-basketball-close-up-blanket-with-name-and-number-3f49346de1-3f49346de1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IF(B104="I1",AVERAGEIF('QA_Images'!$A$2:$A$65,A104,'QA_Images'!$R$2:$R$65)/100,IF(D104="FULL",1,IF(D104="PARTIAL",0.5,IF(D104="FAIL",0,""))))</f>
        <v/>
      </c>
      <c r="F104" s="5">
        <f>IF(E104="",0,C104*E104)</f>
        <v/>
      </c>
      <c r="G104" s="5">
        <f>IF(B104="I1",20*AVERAGEIF('QA_Images'!$A$2:$A$65,A104,'QA_Images'!$S$2:$S$65)/100,IF(D104="NOT_CHECKED",0,C104))</f>
        <v/>
      </c>
      <c r="H104" s="2" t="inlineStr">
        <is>
          <t>FULL: comparator query supports commercial bedding/blanket intent for this product type; partial means results broaden beyond the exact motif.</t>
        </is>
      </c>
      <c r="I104" s="2" t="inlineStr">
        <is>
          <t>["evidence_batch_021_210", "https://jeminise.com/products/personalized-basketball-close-up-blanket-with-name-and-number-3f49346de1-3f49346de1", "serp_qa_batch_021_r4_210_1", "serp_qa_batch_021_r4_210_2"]</t>
        </is>
      </c>
      <c r="J104" s="2" t="inlineStr">
        <is>
          <t>[]</t>
        </is>
      </c>
    </row>
    <row r="105" ht="42" customHeight="1">
      <c r="A105" s="3" t="inlineStr">
        <is>
          <t>jeminise.com+personalized-basketball-close-up-blanket-with-name-and-number-3f49346de1-3f49346de1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IF(B105="I1",AVERAGEIF('QA_Images'!$A$2:$A$65,A105,'QA_Images'!$R$2:$R$65)/100,IF(D105="FULL",1,IF(D105="PARTIAL",0.5,IF(D105="FAIL",0,""))))</f>
        <v/>
      </c>
      <c r="F105" s="7">
        <f>IF(E105="",0,C105*E105)</f>
        <v/>
      </c>
      <c r="G105" s="7">
        <f>IF(B105="I1",20*AVERAGEIF('QA_Images'!$A$2:$A$65,A105,'QA_Images'!$S$2:$S$65)/100,IF(D105="NOT_CHECKED",0,C105))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["evidence_batch_021_210", "https://jeminise.com/products/personalized-basketball-close-up-blanket-with-name-and-number-3f49346de1-3f49346de1", "serp_qa_batch_021_r4_210_1", "serp_qa_batch_021_r4_210_2"]</t>
        </is>
      </c>
      <c r="J105" s="3" t="inlineStr">
        <is>
          <t>[]</t>
        </is>
      </c>
    </row>
    <row r="106" ht="42" customHeight="1">
      <c r="A106" s="2" t="inlineStr">
        <is>
          <t>jeminise.com+personalized-basketball-close-up-blanket-with-name-and-number-3f49346de1-3f49346de1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IF(B106="I1",AVERAGEIF('QA_Images'!$A$2:$A$65,A106,'QA_Images'!$R$2:$R$65)/100,IF(D106="FULL",1,IF(D106="PARTIAL",0.5,IF(D106="FAIL",0,""))))</f>
        <v/>
      </c>
      <c r="F106" s="5">
        <f>IF(E106="",0,C106*E106)</f>
        <v/>
      </c>
      <c r="G106" s="5">
        <f>IF(B106="I1",20*AVERAGEIF('QA_Images'!$A$2:$A$65,A106,'QA_Images'!$S$2:$S$65)/100,IF(D106="NOT_CHECKED",0,C106))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["evidence_batch_021_210", "https://jeminise.com/products/personalized-basketball-close-up-blanket-with-name-and-number-3f49346de1-3f49346de1"]</t>
        </is>
      </c>
      <c r="J106" s="2" t="inlineStr">
        <is>
          <t>[]</t>
        </is>
      </c>
    </row>
    <row r="107" ht="42" customHeight="1">
      <c r="A107" s="3" t="inlineStr">
        <is>
          <t>jeminise.com+personalized-basketball-close-up-blanket-with-name-and-number-3f49346de1-3f49346de1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IF(B107="I1",AVERAGEIF('QA_Images'!$A$2:$A$65,A107,'QA_Images'!$R$2:$R$65)/100,IF(D107="FULL",1,IF(D107="PARTIAL",0.5,IF(D107="FAIL",0,""))))</f>
        <v/>
      </c>
      <c r="F107" s="7">
        <f>IF(E107="",0,C107*E107)</f>
        <v/>
      </c>
      <c r="G107" s="7">
        <f>IF(B107="I1",20*AVERAGEIF('QA_Images'!$A$2:$A$65,A107,'QA_Images'!$S$2:$S$65)/100,IF(D107="NOT_CHECKED",0,C107))</f>
        <v/>
      </c>
      <c r="H107" s="3" t="inlineStr">
        <is>
          <t>FULL: title_proposed can function as product title/H1 and distinguishes this batch-21 design by motif/product type.</t>
        </is>
      </c>
      <c r="I107" s="3" t="inlineStr">
        <is>
          <t>["evidence_batch_021_210", "https://jeminise.com/products/personalized-basketball-close-up-blanket-with-name-and-number-3f49346de1-3f49346de1"]</t>
        </is>
      </c>
      <c r="J107" s="3" t="inlineStr">
        <is>
          <t>[]</t>
        </is>
      </c>
    </row>
    <row r="108" ht="42" customHeight="1">
      <c r="A108" s="2" t="inlineStr">
        <is>
          <t>jeminise.com+personalized-basketball-close-up-blanket-with-name-and-number-3f49346de1-3f49346de1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IF(B108="I1",AVERAGEIF('QA_Images'!$A$2:$A$65,A108,'QA_Images'!$R$2:$R$65)/100,IF(D108="FULL",1,IF(D108="PARTIAL",0.5,IF(D108="FAIL",0,""))))</f>
        <v/>
      </c>
      <c r="F108" s="5">
        <f>IF(E108="",0,C108*E108)</f>
        <v/>
      </c>
      <c r="G108" s="5">
        <f>IF(B108="I1",20*AVERAGEIF('QA_Images'!$A$2:$A$65,A108,'QA_Images'!$S$2:$S$65)/100,IF(D108="NOT_CHECKED",0,C108))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["evidence_batch_021_210", "https://jeminise.com/products/personalized-basketball-close-up-blanket-with-name-and-number-3f49346de1-3f49346de1"]</t>
        </is>
      </c>
      <c r="J108" s="2" t="inlineStr">
        <is>
          <t>[]</t>
        </is>
      </c>
    </row>
    <row r="109" ht="42" customHeight="1">
      <c r="A109" s="3" t="inlineStr">
        <is>
          <t>jeminise.com+personalized-basketball-close-up-blanket-with-name-and-number-3f49346de1-3f49346de1</t>
        </is>
      </c>
      <c r="B109" s="3" t="inlineStr">
        <is>
          <t>D2</t>
        </is>
      </c>
      <c r="C109" s="3" t="n">
        <v>10</v>
      </c>
      <c r="D109" s="3" t="inlineStr">
        <is>
          <t>FULL</t>
        </is>
      </c>
      <c r="E109" s="7">
        <f>IF(B109="I1",AVERAGEIF('QA_Images'!$A$2:$A$65,A109,'QA_Images'!$R$2:$R$65)/100,IF(D109="FULL",1,IF(D109="PARTIAL",0.5,IF(D109="FAIL",0,""))))</f>
        <v/>
      </c>
      <c r="F109" s="7">
        <f>IF(E109="",0,C109*E109)</f>
        <v/>
      </c>
      <c r="G109" s="7">
        <f>IF(B109="I1",20*AVERAGEIF('QA_Images'!$A$2:$A$65,A109,'QA_Images'!$S$2:$S$65)/100,IF(D109="NOT_CHECKED",0,C109))</f>
        <v/>
      </c>
      <c r="H109" s="3" t="inlineStr">
        <is>
          <t>FULL: description HTML is customer-facing and tied to verified artwork, product type, options and personalization controls.</t>
        </is>
      </c>
      <c r="I109" s="3" t="inlineStr">
        <is>
          <t>["evidence_batch_021_210", "https://jeminise.com/products/personalized-basketball-close-up-blanket-with-name-and-number-3f49346de1-3f49346de1"]</t>
        </is>
      </c>
      <c r="J109" s="3" t="inlineStr">
        <is>
          <t>[]</t>
        </is>
      </c>
    </row>
    <row r="110" ht="42" customHeight="1">
      <c r="A110" s="2" t="inlineStr">
        <is>
          <t>jeminise.com+personalized-basketball-close-up-blanket-with-name-and-number-3f49346de1-3f49346de1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IF(B110="I1",AVERAGEIF('QA_Images'!$A$2:$A$65,A110,'QA_Images'!$R$2:$R$65)/100,IF(D110="FULL",1,IF(D110="PARTIAL",0.5,IF(D110="FAIL",0,""))))</f>
        <v/>
      </c>
      <c r="F110" s="5">
        <f>IF(E110="",0,C110*E110)</f>
        <v/>
      </c>
      <c r="G110" s="5">
        <f>IF(B110="I1",20*AVERAGEIF('QA_Images'!$A$2:$A$65,A110,'QA_Images'!$S$2:$S$65)/100,IF(D110="NOT_CHECKED",0,C110))</f>
        <v/>
      </c>
      <c r="H110" s="2" t="inlineStr">
        <is>
          <t>Derived from 7 QA_Images rows for this product; average image score 100/100.</t>
        </is>
      </c>
      <c r="I110" s="2" t="inlineStr">
        <is>
          <t>["QA_Images", "evidence_batch_021_210"]</t>
        </is>
      </c>
      <c r="J110" s="2" t="inlineStr">
        <is>
          <t>[]</t>
        </is>
      </c>
    </row>
    <row r="111" ht="42" customHeight="1">
      <c r="A111" s="3" t="inlineStr">
        <is>
          <t>jeminise.com+personalized-basketball-close-up-blanket-with-name-and-number-3f49346de1-3f49346de1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IF(B111="I1",AVERAGEIF('QA_Images'!$A$2:$A$65,A111,'QA_Images'!$R$2:$R$65)/100,IF(D111="FULL",1,IF(D111="PARTIAL",0.5,IF(D111="FAIL",0,""))))</f>
        <v/>
      </c>
      <c r="F111" s="7">
        <f>IF(E111="",0,C111*E111)</f>
        <v/>
      </c>
      <c r="G111" s="7">
        <f>IF(B111="I1",20*AVERAGEIF('QA_Images'!$A$2:$A$65,A111,'QA_Images'!$S$2:$S$65)/100,IF(D111="NOT_CHECKED",0,C111))</f>
        <v/>
      </c>
      <c r="H111" s="3" t="inlineStr">
        <is>
          <t>FULL: product key, handle, links and scoped evidence are consistent; row-level r3 labels are recorded separately as a traceability limitation.</t>
        </is>
      </c>
      <c r="I111" s="3" t="inlineStr">
        <is>
          <t>["evidence_batch_021_210", "https://jeminise.com/products/personalized-basketball-close-up-blanket-with-name-and-number-3f49346de1-3f49346de1"]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jeminise.com+personalized-baseball-bedding-full-size-flag-custom-name-d-design-26</t>
        </is>
      </c>
      <c r="B2" s="2" t="inlineStr">
        <is>
          <t>qaimg_0d26c73957af2c5c</t>
        </is>
      </c>
      <c r="C2" s="4" t="inlineStr">
        <is>
          <t>https://cdn.shopify.com/s/files/1/0792/5098/1063/files/10872798d9c1ccb7327e6cc9f4a80f3755d1b9c56f09f7f0c34b4628c3a66d40.jpg?v=1787242406</t>
        </is>
      </c>
      <c r="D2" s="4" t="inlineStr">
        <is>
          <t>https://cdn.shopify.com/s/files/1/0792/5098/1063/files/10872798d9c1ccb7327e6cc9f4a80f3755d1b9c56f09f7f0c34b4628c3a66d40.jpg?v=1787242406</t>
        </is>
      </c>
      <c r="E2" s="2" t="inlineStr">
        <is>
          <t>47934371758279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2026-09-09T13:16:29+07:00</t>
        </is>
      </c>
      <c r="J2" s="2" t="inlineStr">
        <is>
          <t>QA opened 201_01.jpg (1000x1000) and checked against workbook observation: Bedroom mockup of baseball flag bedding with wood planks, baseball and sample name.</t>
        </is>
      </c>
      <c r="K2" s="2" t="inlineStr">
        <is>
          <t>Bedroom mockup of baseball flag bedding with wood planks, baseball and sample name.</t>
        </is>
      </c>
      <c r="L2" s="2" t="inlineStr">
        <is>
          <t>SET</t>
        </is>
      </c>
      <c r="M2" s="2" t="inlineStr">
        <is>
          <t>Custom baseball flag name number bedding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["seo_runs\\jeminise.com\\20260906_234129\\qa\\20260909_131628\\images\\201_01.jpg", "https://cdn.shopify.com/s/files/1/0792/5098/1063/files/10872798d9c1ccb7327e6cc9f4a80f3755d1b9c56f09f7f0c34b4628c3a66d40.jpg?v=1787242406"]</t>
        </is>
      </c>
    </row>
    <row r="3" ht="66" customHeight="1">
      <c r="A3" s="3" t="inlineStr">
        <is>
          <t>jeminise.com+personalized-baseball-bedding-full-size-flag-custom-name-d-design-26</t>
        </is>
      </c>
      <c r="B3" s="3" t="inlineStr">
        <is>
          <t>qaimg_a8433aae6d01796f</t>
        </is>
      </c>
      <c r="C3" s="4" t="inlineStr">
        <is>
          <t>https://cdn.shopify.com/s/files/1/0792/5098/1063/files/ad44b20b9577d177771a3446783e1cd9603989705194cb62ab60572246168969.jpg?v=1787242406</t>
        </is>
      </c>
      <c r="D3" s="4" t="inlineStr">
        <is>
          <t>https://cdn.shopify.com/s/files/1/0792/5098/1063/files/ad44b20b9577d177771a3446783e1cd9603989705194cb62ab60572246168969.jpg?v=1787242406</t>
        </is>
      </c>
      <c r="E3" s="3" t="inlineStr">
        <is>
          <t>47934371791047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2026-09-09T13:16:29+07:00</t>
        </is>
      </c>
      <c r="J3" s="3" t="inlineStr">
        <is>
          <t>QA opened 201_02.jpg (1000x1000) and checked against workbook observation: Second bedroom mockup of baseball flag bedding with white duvet fold.</t>
        </is>
      </c>
      <c r="K3" s="3" t="inlineStr">
        <is>
          <t>Second bedroom mockup of baseball flag bedding with white duvet fold.</t>
        </is>
      </c>
      <c r="L3" s="3" t="inlineStr">
        <is>
          <t>SET</t>
        </is>
      </c>
      <c r="M3" s="3" t="inlineStr">
        <is>
          <t>Baseball flag bedding room mockup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["seo_runs\\jeminise.com\\20260906_234129\\qa\\20260909_131628\\images\\201_02.jpg", "https://cdn.shopify.com/s/files/1/0792/5098/1063/files/ad44b20b9577d177771a3446783e1cd9603989705194cb62ab60572246168969.jpg?v=1787242406"]</t>
        </is>
      </c>
    </row>
    <row r="4" ht="66" customHeight="1">
      <c r="A4" s="2" t="inlineStr">
        <is>
          <t>jeminise.com+personalized-baseball-bedding-full-size-flag-custom-name-d-design-26</t>
        </is>
      </c>
      <c r="B4" s="2" t="inlineStr">
        <is>
          <t>qaimg_f169e803d855256e</t>
        </is>
      </c>
      <c r="C4" s="4" t="inlineStr">
        <is>
          <t>https://cdn.shopify.com/s/files/1/0792/5098/1063/files/30f70130b549816bbf109362657f28e3b71b0c38f3df39d2c292d92e7a1ad55b.jpg?v=1787242406</t>
        </is>
      </c>
      <c r="D4" s="4" t="inlineStr">
        <is>
          <t>https://cdn.shopify.com/s/files/1/0792/5098/1063/files/30f70130b549816bbf109362657f28e3b71b0c38f3df39d2c292d92e7a1ad55b.jpg?v=1787242406</t>
        </is>
      </c>
      <c r="E4" s="2" t="inlineStr">
        <is>
          <t>47934371823815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2026-09-09T13:16:29+07:00</t>
        </is>
      </c>
      <c r="J4" s="2" t="inlineStr">
        <is>
          <t>QA opened 201_03.jpg (1000x1000) and checked against workbook observation: Feature view with soft, lightweight, durable and breathable icons.</t>
        </is>
      </c>
      <c r="K4" s="2" t="inlineStr">
        <is>
          <t>Feature view with soft, lightweight, durable and breathable icons.</t>
        </is>
      </c>
      <c r="L4" s="2" t="inlineStr">
        <is>
          <t>SET</t>
        </is>
      </c>
      <c r="M4" s="2" t="inlineStr">
        <is>
          <t>Baseball flag bedding feature view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["seo_runs\\jeminise.com\\20260906_234129\\qa\\20260909_131628\\images\\201_03.jpg", "https://cdn.shopify.com/s/files/1/0792/5098/1063/files/30f70130b549816bbf109362657f28e3b71b0c38f3df39d2c292d92e7a1ad55b.jpg?v=1787242406"]</t>
        </is>
      </c>
    </row>
    <row r="5" ht="66" customHeight="1">
      <c r="A5" s="3" t="inlineStr">
        <is>
          <t>jeminise.com+personalized-baseball-bedding-full-size-flag-custom-name-d-design-26</t>
        </is>
      </c>
      <c r="B5" s="3" t="inlineStr">
        <is>
          <t>qaimg_7e23aa71e716f52c</t>
        </is>
      </c>
      <c r="C5" s="4" t="inlineStr">
        <is>
          <t>https://cdn.shopify.com/s/files/1/0792/5098/1063/files/2084308870c115d834bff81e48a43b8ad98701f4eecbec6bd4c48416885be48d.jpg?v=1787242406</t>
        </is>
      </c>
      <c r="D5" s="4" t="inlineStr">
        <is>
          <t>https://cdn.shopify.com/s/files/1/0792/5098/1063/files/2084308870c115d834bff81e48a43b8ad98701f4eecbec6bd4c48416885be48d.jpg?v=1787242406</t>
        </is>
      </c>
      <c r="E5" s="3" t="inlineStr">
        <is>
          <t>47934371856583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2026-09-09T13:16:29+07:00</t>
        </is>
      </c>
      <c r="J5" s="3" t="inlineStr">
        <is>
          <t>QA opened 201_04.jpg (1000x1000) and checked against workbook observation: Microfiber feature panel with printed baseball bedding samples and folded bedding.</t>
        </is>
      </c>
      <c r="K5" s="3" t="inlineStr">
        <is>
          <t>Microfiber feature panel with printed baseball bedding samples and folded bedding.</t>
        </is>
      </c>
      <c r="L5" s="3" t="inlineStr">
        <is>
          <t>SET</t>
        </is>
      </c>
      <c r="M5" s="3" t="inlineStr">
        <is>
          <t>Baseball flag microfiber feature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["seo_runs\\jeminise.com\\20260906_234129\\qa\\20260909_131628\\images\\201_04.jpg", "https://cdn.shopify.com/s/files/1/0792/5098/1063/files/2084308870c115d834bff81e48a43b8ad98701f4eecbec6bd4c48416885be48d.jpg?v=1787242406"]</t>
        </is>
      </c>
    </row>
    <row r="6" ht="66" customHeight="1">
      <c r="A6" s="2" t="inlineStr">
        <is>
          <t>jeminise.com+personalized-baseball-bedding-full-size-flag-custom-name-d-design-26</t>
        </is>
      </c>
      <c r="B6" s="2" t="inlineStr">
        <is>
          <t>qaimg_eac1215f96d2387a</t>
        </is>
      </c>
      <c r="C6" s="4" t="inlineStr">
        <is>
          <t>https://cdn.shopify.com/s/files/1/0792/5098/1063/files/72378391af9d35f7aa20f6f03e15bf6592cadc8f2765c9a34c6defe16417efbb_8ab7ef5e-cfb7-48dc-8cf3-248614355f0d.jpg?v=1787242406</t>
        </is>
      </c>
      <c r="D6" s="4" t="inlineStr">
        <is>
          <t>https://cdn.shopify.com/s/files/1/0792/5098/1063/files/72378391af9d35f7aa20f6f03e15bf6592cadc8f2765c9a34c6defe16417efbb_8ab7ef5e-cfb7-48dc-8cf3-248614355f0d.jpg?v=1787242406</t>
        </is>
      </c>
      <c r="E6" s="2" t="inlineStr">
        <is>
          <t>47934371889351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2026-09-09T13:16:29+07:00</t>
        </is>
      </c>
      <c r="J6" s="2" t="inlineStr">
        <is>
          <t>QA opened 201_05.jpg (1000x1000) and checked against workbook observation: Stress-free easy care panel with wrinkle-free, stain-proof, anti-pilling and wash notes.</t>
        </is>
      </c>
      <c r="K6" s="2" t="inlineStr">
        <is>
          <t>Stress-free easy care panel with wrinkle-free, stain-proof, anti-pilling and wash notes.</t>
        </is>
      </c>
      <c r="L6" s="2" t="inlineStr">
        <is>
          <t>SET</t>
        </is>
      </c>
      <c r="M6" s="2" t="inlineStr">
        <is>
          <t>Baseball bedding easy care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["seo_runs\\jeminise.com\\20260906_234129\\qa\\20260909_131628\\images\\201_05.jpg", "https://cdn.shopify.com/s/files/1/0792/5098/1063/files/72378391af9d35f7aa20f6f03e15bf6592cadc8f2765c9a34c6defe16417efbb_8ab7ef5e-cfb7-48dc-8cf3-248614355f0d.jpg?v=1787242406"]</t>
        </is>
      </c>
    </row>
    <row r="7" ht="66" customHeight="1">
      <c r="A7" s="3" t="inlineStr">
        <is>
          <t>jeminise.com+personalized-baseball-bedding-full-size-flag-custom-name-d-design-26</t>
        </is>
      </c>
      <c r="B7" s="3" t="inlineStr">
        <is>
          <t>qaimg_aed626add26e4127</t>
        </is>
      </c>
      <c r="C7" s="4" t="inlineStr">
        <is>
          <t>https://cdn.shopify.com/s/files/1/0792/5098/1063/files/8d6016ed703ae64ac8c6b105fe88b204201d6a031b4775048d0ebfbfbe47ad42_7761c1a0-8900-4e39-91fd-572d999e43ba.jpg?v=1787242406</t>
        </is>
      </c>
      <c r="D7" s="4" t="inlineStr">
        <is>
          <t>https://cdn.shopify.com/s/files/1/0792/5098/1063/files/8d6016ed703ae64ac8c6b105fe88b204201d6a031b4775048d0ebfbfbe47ad42_7761c1a0-8900-4e39-91fd-572d999e43ba.jpg?v=1787242406</t>
        </is>
      </c>
      <c r="E7" s="3" t="inlineStr">
        <is>
          <t>47934371922119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2026-09-09T13:16:29+07:00</t>
        </is>
      </c>
      <c r="J7" s="3" t="inlineStr">
        <is>
          <t>QA opened 201_06.jpg (1000x1000) and checked against workbook observation: Two bedding types panel comparing duvet cover set and comforter set.</t>
        </is>
      </c>
      <c r="K7" s="3" t="inlineStr">
        <is>
          <t>Two bedding types panel comparing duvet cover set and comforter set.</t>
        </is>
      </c>
      <c r="L7" s="3" t="inlineStr">
        <is>
          <t>SET</t>
        </is>
      </c>
      <c r="M7" s="3" t="inlineStr">
        <is>
          <t>Baseball bedding type options panel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["seo_runs\\jeminise.com\\20260906_234129\\qa\\20260909_131628\\images\\201_06.jpg", "https://cdn.shopify.com/s/files/1/0792/5098/1063/files/8d6016ed703ae64ac8c6b105fe88b204201d6a031b4775048d0ebfbfbe47ad42_7761c1a0-8900-4e39-91fd-572d999e43ba.jpg?v=1787242406"]</t>
        </is>
      </c>
    </row>
    <row r="8" ht="66" customHeight="1">
      <c r="A8" s="2" t="inlineStr">
        <is>
          <t>jeminise.com+personalized-baseball-bedding-full-size-flag-custom-name-d-design-26</t>
        </is>
      </c>
      <c r="B8" s="2" t="inlineStr">
        <is>
          <t>qaimg_1a1345446bb5c944</t>
        </is>
      </c>
      <c r="C8" s="4" t="inlineStr">
        <is>
          <t>https://cdn.shopify.com/s/files/1/0792/5098/1063/files/4621e545554822a7d57b5d5b2539a57c80b689d660c0ca9c882a4b2e35f29cb9_1a7717e0-f2b7-49ed-a279-93d383431675.jpg?v=1787242406</t>
        </is>
      </c>
      <c r="D8" s="4" t="inlineStr">
        <is>
          <t>https://cdn.shopify.com/s/files/1/0792/5098/1063/files/4621e545554822a7d57b5d5b2539a57c80b689d660c0ca9c882a4b2e35f29cb9_1a7717e0-f2b7-49ed-a279-93d383431675.jpg?v=1787242406</t>
        </is>
      </c>
      <c r="E8" s="2" t="inlineStr">
        <is>
          <t>47934371954887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2026-09-09T13:16:29+07:00</t>
        </is>
      </c>
      <c r="J8" s="2" t="inlineStr">
        <is>
          <t>QA opened 201_07.jpg (1000x1000) and checked against workbook observation: Size dimension panel listing twin, full, queen and king measurements.</t>
        </is>
      </c>
      <c r="K8" s="2" t="inlineStr">
        <is>
          <t>Size dimension panel listing twin, full, queen and king measurements.</t>
        </is>
      </c>
      <c r="L8" s="2" t="inlineStr">
        <is>
          <t>SET</t>
        </is>
      </c>
      <c r="M8" s="2" t="inlineStr">
        <is>
          <t>Baseball bedding size dimension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["seo_runs\\jeminise.com\\20260906_234129\\qa\\20260909_131628\\images\\201_07.jpg", "https://cdn.shopify.com/s/files/1/0792/5098/1063/files/4621e545554822a7d57b5d5b2539a57c80b689d660c0ca9c882a4b2e35f29cb9_1a7717e0-f2b7-49ed-a279-93d383431675.jpg?v=1787242406"]</t>
        </is>
      </c>
    </row>
    <row r="9" ht="66" customHeight="1">
      <c r="A9" s="3" t="inlineStr">
        <is>
          <t>jeminise.com+personalized-baseball-bedding-full-size-flag-custom-name-duvet-cover</t>
        </is>
      </c>
      <c r="B9" s="3" t="inlineStr">
        <is>
          <t>qaimg_7d045654a45153a4</t>
        </is>
      </c>
      <c r="C9" s="4" t="inlineStr">
        <is>
          <t>https://cdn.shopify.com/s/files/1/0792/5098/1063/files/6120c8df6637ca9c4e7e50b81c3dd4c43741ee7f8d863305c8aaa2e346f43ac8.jpg?v=1787242212</t>
        </is>
      </c>
      <c r="D9" s="4" t="inlineStr">
        <is>
          <t>https://cdn.shopify.com/s/files/1/0792/5098/1063/files/6120c8df6637ca9c4e7e50b81c3dd4c43741ee7f8d863305c8aaa2e346f43ac8.jpg?v=1787242212</t>
        </is>
      </c>
      <c r="E9" s="3" t="inlineStr">
        <is>
          <t>47934347215047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2026-09-09T13:16:29+07:00</t>
        </is>
      </c>
      <c r="J9" s="3" t="inlineStr">
        <is>
          <t>QA opened 202_01.jpg (1199x1200) and checked against workbook observation: Bedroom mockup of neon baseball player duvet cover with sample name.</t>
        </is>
      </c>
      <c r="K9" s="3" t="inlineStr">
        <is>
          <t>Bedroom mockup of neon baseball player duvet cover with sample name.</t>
        </is>
      </c>
      <c r="L9" s="3" t="inlineStr">
        <is>
          <t>SET</t>
        </is>
      </c>
      <c r="M9" s="3" t="inlineStr">
        <is>
          <t>Custom neon baseball player duvet cover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["seo_runs\\jeminise.com\\20260906_234129\\qa\\20260909_131628\\images\\202_01.jpg", "https://cdn.shopify.com/s/files/1/0792/5098/1063/files/6120c8df6637ca9c4e7e50b81c3dd4c43741ee7f8d863305c8aaa2e346f43ac8.jpg?v=1787242212"]</t>
        </is>
      </c>
    </row>
    <row r="10" ht="66" customHeight="1">
      <c r="A10" s="2" t="inlineStr">
        <is>
          <t>jeminise.com+personalized-baseball-bedding-full-size-flag-custom-name-duvet-cover</t>
        </is>
      </c>
      <c r="B10" s="2" t="inlineStr">
        <is>
          <t>qaimg_1892c4c6e614dc98</t>
        </is>
      </c>
      <c r="C10" s="4" t="inlineStr">
        <is>
          <t>https://cdn.shopify.com/s/files/1/0792/5098/1063/files/ef81c56fe7d5f4f60045bfbd0778e14ad11ce2a6824c23132d2b864ef763fe85.jpg?v=1787242213</t>
        </is>
      </c>
      <c r="D10" s="4" t="inlineStr">
        <is>
          <t>https://cdn.shopify.com/s/files/1/0792/5098/1063/files/ef81c56fe7d5f4f60045bfbd0778e14ad11ce2a6824c23132d2b864ef763fe85.jpg?v=1787242213</t>
        </is>
      </c>
      <c r="E10" s="2" t="inlineStr">
        <is>
          <t>47934347247815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2026-09-09T13:16:29+07:00</t>
        </is>
      </c>
      <c r="J10" s="2" t="inlineStr">
        <is>
          <t>QA opened 202_02.jpg (1056x763) and checked against workbook observation: High-density weaving panel comparing fabric samples.</t>
        </is>
      </c>
      <c r="K10" s="2" t="inlineStr">
        <is>
          <t>High-density weaving panel comparing fabric samples.</t>
        </is>
      </c>
      <c r="L10" s="2" t="inlineStr">
        <is>
          <t>SET</t>
        </is>
      </c>
      <c r="M10" s="2" t="inlineStr">
        <is>
          <t>High-density weaving feature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["seo_runs\\jeminise.com\\20260906_234129\\qa\\20260909_131628\\images\\202_02.jpg", "https://cdn.shopify.com/s/files/1/0792/5098/1063/files/ef81c56fe7d5f4f60045bfbd0778e14ad11ce2a6824c23132d2b864ef763fe85.jpg?v=1787242213"]</t>
        </is>
      </c>
    </row>
    <row r="11" ht="66" customHeight="1">
      <c r="A11" s="3" t="inlineStr">
        <is>
          <t>jeminise.com+personalized-baseball-bedding-full-size-flag-custom-name-duvet-cover</t>
        </is>
      </c>
      <c r="B11" s="3" t="inlineStr">
        <is>
          <t>qaimg_19c78722d81e7319</t>
        </is>
      </c>
      <c r="C11" s="4" t="inlineStr">
        <is>
          <t>https://cdn.shopify.com/s/files/1/0792/5098/1063/files/b495d9b37eafdceff5caf3643256f7b3a83de826d49a14bdc531b13424296018.jpg?v=1787242212</t>
        </is>
      </c>
      <c r="D11" s="4" t="inlineStr">
        <is>
          <t>https://cdn.shopify.com/s/files/1/0792/5098/1063/files/b495d9b37eafdceff5caf3643256f7b3a83de826d49a14bdc531b13424296018.jpg?v=1787242212</t>
        </is>
      </c>
      <c r="E11" s="3" t="inlineStr">
        <is>
          <t>47934347280583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2026-09-09T13:16:29+07:00</t>
        </is>
      </c>
      <c r="J11" s="3" t="inlineStr">
        <is>
          <t>QA opened 202_03.jpg (1050x1050) and checked against workbook observation: Machine washable care panel with washing machine and laundry basket.</t>
        </is>
      </c>
      <c r="K11" s="3" t="inlineStr">
        <is>
          <t>Machine washable care panel with washing machine and laundry basket.</t>
        </is>
      </c>
      <c r="L11" s="3" t="inlineStr">
        <is>
          <t>SET</t>
        </is>
      </c>
      <c r="M11" s="3" t="inlineStr">
        <is>
          <t>Machine washable bedding care panel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["seo_runs\\jeminise.com\\20260906_234129\\qa\\20260909_131628\\images\\202_03.jpg", "https://cdn.shopify.com/s/files/1/0792/5098/1063/files/b495d9b37eafdceff5caf3643256f7b3a83de826d49a14bdc531b13424296018.jpg?v=1787242212"]</t>
        </is>
      </c>
    </row>
    <row r="12" ht="66" customHeight="1">
      <c r="A12" s="2" t="inlineStr">
        <is>
          <t>jeminise.com+personalized-baseball-bedding-full-size-flag-custom-name-duvet-cover</t>
        </is>
      </c>
      <c r="B12" s="2" t="inlineStr">
        <is>
          <t>qaimg_d2cb7208757b3b8e</t>
        </is>
      </c>
      <c r="C12" s="4" t="inlineStr">
        <is>
          <t>https://cdn.shopify.com/s/files/1/0792/5098/1063/files/d51e3360a3e4b984af63b01c4b53d517484ca3d6cb1beeea158bcf59acab9ed4.jpg?v=1787242212</t>
        </is>
      </c>
      <c r="D12" s="4" t="inlineStr">
        <is>
          <t>https://cdn.shopify.com/s/files/1/0792/5098/1063/files/d51e3360a3e4b984af63b01c4b53d517484ca3d6cb1beeea158bcf59acab9ed4.jpg?v=1787242212</t>
        </is>
      </c>
      <c r="E12" s="2" t="inlineStr">
        <is>
          <t>47934347313351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2026-09-09T13:16:29+07:00</t>
        </is>
      </c>
      <c r="J12" s="2" t="inlineStr">
        <is>
          <t>QA opened 202_04.jpg (1080x1080) and checked against workbook observation: Bottom zippered closure panel with white zipper close-up.</t>
        </is>
      </c>
      <c r="K12" s="2" t="inlineStr">
        <is>
          <t>Bottom zippered closure panel with white zipper close-up.</t>
        </is>
      </c>
      <c r="L12" s="2" t="inlineStr">
        <is>
          <t>SET</t>
        </is>
      </c>
      <c r="M12" s="2" t="inlineStr">
        <is>
          <t>Bottom zippered closure panel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["seo_runs\\jeminise.com\\20260906_234129\\qa\\20260909_131628\\images\\202_04.jpg", "https://cdn.shopify.com/s/files/1/0792/5098/1063/files/d51e3360a3e4b984af63b01c4b53d517484ca3d6cb1beeea158bcf59acab9ed4.jpg?v=1787242212"]</t>
        </is>
      </c>
    </row>
    <row r="13" ht="66" customHeight="1">
      <c r="A13" s="3" t="inlineStr">
        <is>
          <t>jeminise.com+personalized-basketball-above-hoop-and-net-comforter-with-name-and-number-ff32dd676a-ff32dd676a</t>
        </is>
      </c>
      <c r="B13" s="3" t="inlineStr">
        <is>
          <t>qaimg_0af2043f7f6073af</t>
        </is>
      </c>
      <c r="C13" s="4" t="inlineStr">
        <is>
          <t>https://cdn.shopify.com/s/files/1/0792/5098/1063/files/2da4edb231d4b79bd5ca16f85b87d5942c1739ab774dea12cb9c49b19ec464ce.jpg?v=1785083226</t>
        </is>
      </c>
      <c r="D13" s="4" t="inlineStr">
        <is>
          <t>https://cdn.shopify.com/s/files/1/0792/5098/1063/files/2da4edb231d4b79bd5ca16f85b87d5942c1739ab774dea12cb9c49b19ec464ce.jpg?v=1785083226</t>
        </is>
      </c>
      <c r="E13" s="3" t="inlineStr">
        <is>
          <t>47538036310215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2026-09-09T13:16:29+07:00</t>
        </is>
      </c>
      <c r="J13" s="3" t="inlineStr">
        <is>
          <t>QA opened 203_01.jpg (800x800) and checked against workbook observation: Bedroom mockup of basketball hoop comforter with ball above the net and sample text.</t>
        </is>
      </c>
      <c r="K13" s="3" t="inlineStr">
        <is>
          <t>Bedroom mockup of basketball hoop comforter with ball above the net and sample text.</t>
        </is>
      </c>
      <c r="L13" s="3" t="inlineStr">
        <is>
          <t>SET</t>
        </is>
      </c>
      <c r="M13" s="3" t="inlineStr">
        <is>
          <t>Custom basketball hoop comforter set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["seo_runs\\jeminise.com\\20260906_234129\\qa\\20260909_131628\\images\\203_01.jpg", "https://cdn.shopify.com/s/files/1/0792/5098/1063/files/2da4edb231d4b79bd5ca16f85b87d5942c1739ab774dea12cb9c49b19ec464ce.jpg?v=1785083226"]</t>
        </is>
      </c>
    </row>
    <row r="14" ht="66" customHeight="1">
      <c r="A14" s="2" t="inlineStr">
        <is>
          <t>jeminise.com+personalized-basketball-above-hoop-and-net-comforter-with-name-and-number-ff32dd676a-ff32dd676a</t>
        </is>
      </c>
      <c r="B14" s="2" t="inlineStr">
        <is>
          <t>qaimg_6d2bd87238666b45</t>
        </is>
      </c>
      <c r="C14" s="4" t="inlineStr">
        <is>
          <t>https://cdn.shopify.com/s/files/1/0792/5098/1063/files/080402accd4681f12aaee57e416c312af962e5815c063752993018229e4a1ffb.jpg?v=1785083227</t>
        </is>
      </c>
      <c r="D14" s="4" t="inlineStr">
        <is>
          <t>https://cdn.shopify.com/s/files/1/0792/5098/1063/files/080402accd4681f12aaee57e416c312af962e5815c063752993018229e4a1ffb.jpg?v=1785083227</t>
        </is>
      </c>
      <c r="E14" s="2" t="inlineStr">
        <is>
          <t>47538036342983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2026-09-09T13:16:29+07:00</t>
        </is>
      </c>
      <c r="J14" s="2" t="inlineStr">
        <is>
          <t>QA opened 203_02.jpg (1080x1080) and checked against workbook observation: Secondary basketball hoop comforter mockup with matching pillowcases.</t>
        </is>
      </c>
      <c r="K14" s="2" t="inlineStr">
        <is>
          <t>Secondary basketball hoop comforter mockup with matching pillowcases.</t>
        </is>
      </c>
      <c r="L14" s="2" t="inlineStr">
        <is>
          <t>SET</t>
        </is>
      </c>
      <c r="M14" s="2" t="inlineStr">
        <is>
          <t>Basketball hoop comforter 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["seo_runs\\jeminise.com\\20260906_234129\\qa\\20260909_131628\\images\\203_02.jpg", "https://cdn.shopify.com/s/files/1/0792/5098/1063/files/080402accd4681f12aaee57e416c312af962e5815c063752993018229e4a1ffb.jpg?v=1785083227"]</t>
        </is>
      </c>
    </row>
    <row r="15" ht="66" customHeight="1">
      <c r="A15" s="3" t="inlineStr">
        <is>
          <t>jeminise.com+personalized-basketball-above-hoop-and-net-comforter-with-name-and-number-ff32dd676a-ff32dd676a</t>
        </is>
      </c>
      <c r="B15" s="3" t="inlineStr">
        <is>
          <t>qaimg_73ff621f76d0bf36</t>
        </is>
      </c>
      <c r="C15" s="4" t="inlineStr">
        <is>
          <t>https://cdn.shopify.com/s/files/1/0792/5098/1063/files/8107bb2956f86c6be6eb5742779b881dbc0980d9546c8a8efa0f335bec8ffedd.jpg?v=1785083226</t>
        </is>
      </c>
      <c r="D15" s="4" t="inlineStr">
        <is>
          <t>https://cdn.shopify.com/s/files/1/0792/5098/1063/files/8107bb2956f86c6be6eb5742779b881dbc0980d9546c8a8efa0f335bec8ffedd.jpg?v=1785083226</t>
        </is>
      </c>
      <c r="E15" s="3" t="inlineStr">
        <is>
          <t>47538036375751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2026-09-09T13:16:29+07:00</t>
        </is>
      </c>
      <c r="J15" s="3" t="inlineStr">
        <is>
          <t>QA opened 203_03.jpg (1056x763) and checked against workbook observation: Feature panel showing basketball bedding details and comfort icons.</t>
        </is>
      </c>
      <c r="K15" s="3" t="inlineStr">
        <is>
          <t>Feature panel showing basketball bedding details and comfort icons.</t>
        </is>
      </c>
      <c r="L15" s="3" t="inlineStr">
        <is>
          <t>SET</t>
        </is>
      </c>
      <c r="M15" s="3" t="inlineStr">
        <is>
          <t>Basketball hoop bedding feature panel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["seo_runs\\jeminise.com\\20260906_234129\\qa\\20260909_131628\\images\\203_03.jpg", "https://cdn.shopify.com/s/files/1/0792/5098/1063/files/8107bb2956f86c6be6eb5742779b881dbc0980d9546c8a8efa0f335bec8ffedd.jpg?v=1785083226"]</t>
        </is>
      </c>
    </row>
    <row r="16" ht="66" customHeight="1">
      <c r="A16" s="2" t="inlineStr">
        <is>
          <t>jeminise.com+personalized-basketball-above-hoop-and-net-comforter-with-name-and-number-ff32dd676a-ff32dd676a</t>
        </is>
      </c>
      <c r="B16" s="2" t="inlineStr">
        <is>
          <t>qaimg_4adc47e8881f76e3</t>
        </is>
      </c>
      <c r="C16" s="4" t="inlineStr">
        <is>
          <t>https://cdn.shopify.com/s/files/1/0792/5098/1063/files/884bdba6e618b6b653ea15a2b7072cbe3391d94a1ff502c86f0a7f82c84d560e.jpg?v=1785083226</t>
        </is>
      </c>
      <c r="D16" s="4" t="inlineStr">
        <is>
          <t>https://cdn.shopify.com/s/files/1/0792/5098/1063/files/884bdba6e618b6b653ea15a2b7072cbe3391d94a1ff502c86f0a7f82c84d560e.jpg?v=1785083226</t>
        </is>
      </c>
      <c r="E16" s="2" t="inlineStr">
        <is>
          <t>47538036408519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2026-09-09T13:16:29+07:00</t>
        </is>
      </c>
      <c r="J16" s="2" t="inlineStr">
        <is>
          <t>QA opened 203_04.jpg (1050x1050) and checked against workbook observation: Microfiber feature panel with basketball comforter samples and folded bedding.</t>
        </is>
      </c>
      <c r="K16" s="2" t="inlineStr">
        <is>
          <t>Microfiber feature panel with basketball comforter samples and folded bedding.</t>
        </is>
      </c>
      <c r="L16" s="2" t="inlineStr">
        <is>
          <t>SET</t>
        </is>
      </c>
      <c r="M16" s="2" t="inlineStr">
        <is>
          <t>Basketball comforter microfiber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["seo_runs\\jeminise.com\\20260906_234129\\qa\\20260909_131628\\images\\203_04.jpg", "https://cdn.shopify.com/s/files/1/0792/5098/1063/files/884bdba6e618b6b653ea15a2b7072cbe3391d94a1ff502c86f0a7f82c84d560e.jpg?v=1785083226"]</t>
        </is>
      </c>
    </row>
    <row r="17" ht="66" customHeight="1">
      <c r="A17" s="3" t="inlineStr">
        <is>
          <t>jeminise.com+personalized-basketball-above-hoop-and-net-comforter-with-name-and-number-ff32dd676a-ff32dd676a</t>
        </is>
      </c>
      <c r="B17" s="3" t="inlineStr">
        <is>
          <t>qaimg_2160623650043132</t>
        </is>
      </c>
      <c r="C17" s="4" t="inlineStr">
        <is>
          <t>https://cdn.shopify.com/s/files/1/0792/5098/1063/files/7e01a24815061db50abd6e64659c2004cf59e904c4256d2c29bd15f89f7e1e83.jpg?v=1785083226</t>
        </is>
      </c>
      <c r="D17" s="4" t="inlineStr">
        <is>
          <t>https://cdn.shopify.com/s/files/1/0792/5098/1063/files/7e01a24815061db50abd6e64659c2004cf59e904c4256d2c29bd15f89f7e1e83.jpg?v=1785083226</t>
        </is>
      </c>
      <c r="E17" s="3" t="inlineStr">
        <is>
          <t>47538036441287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2026-09-09T13:16:29+07:00</t>
        </is>
      </c>
      <c r="J17" s="3" t="inlineStr">
        <is>
          <t>QA opened 203_05.jpg (1280x1222) and checked against workbook observation: Size dimension panel for basketball comforter bedding.</t>
        </is>
      </c>
      <c r="K17" s="3" t="inlineStr">
        <is>
          <t>Size dimension panel for basketball comforter bedding.</t>
        </is>
      </c>
      <c r="L17" s="3" t="inlineStr">
        <is>
          <t>SET</t>
        </is>
      </c>
      <c r="M17" s="3" t="inlineStr">
        <is>
          <t>Basketball comforter size panel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["seo_runs\\jeminise.com\\20260906_234129\\qa\\20260909_131628\\images\\203_05.jpg", "https://cdn.shopify.com/s/files/1/0792/5098/1063/files/7e01a24815061db50abd6e64659c2004cf59e904c4256d2c29bd15f89f7e1e83.jpg?v=1785083226"]</t>
        </is>
      </c>
    </row>
    <row r="18" ht="66" customHeight="1">
      <c r="A18" s="2" t="inlineStr">
        <is>
          <t>jeminise.com+personalized-basketball-above-hoop-close-up-comforter-with-name-and-number-95487807f8-95487807f8</t>
        </is>
      </c>
      <c r="B18" s="2" t="inlineStr">
        <is>
          <t>qaimg_4319f503a8a6b594</t>
        </is>
      </c>
      <c r="C18" s="4" t="inlineStr">
        <is>
          <t>https://cdn.shopify.com/s/files/1/0792/5098/1063/files/e76010310d011ff3ad9a8bb3a64c9782000e40a3c39f3b6d9ac833edcb86feab.jpg?v=1785083686</t>
        </is>
      </c>
      <c r="D18" s="4" t="inlineStr">
        <is>
          <t>https://cdn.shopify.com/s/files/1/0792/5098/1063/files/e76010310d011ff3ad9a8bb3a64c9782000e40a3c39f3b6d9ac833edcb86feab.jpg?v=1785083686</t>
        </is>
      </c>
      <c r="E18" s="2" t="inlineStr">
        <is>
          <t>47538126913735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2026-09-09T13:16:29+07:00</t>
        </is>
      </c>
      <c r="J18" s="2" t="inlineStr">
        <is>
          <t>QA opened 204_01.jpg (1000x1000) and checked against workbook observation: Bedroom mockup of blue red basketball hoop bedding with vertical sample name.</t>
        </is>
      </c>
      <c r="K18" s="2" t="inlineStr">
        <is>
          <t>Bedroom mockup of blue red basketball hoop bedding with vertical sample name.</t>
        </is>
      </c>
      <c r="L18" s="2" t="inlineStr">
        <is>
          <t>SET</t>
        </is>
      </c>
      <c r="M18" s="2" t="inlineStr">
        <is>
          <t>Custom blue red basketball hoop bedding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["seo_runs\\jeminise.com\\20260906_234129\\qa\\20260909_131628\\images\\204_01.jpg", "https://cdn.shopify.com/s/files/1/0792/5098/1063/files/e76010310d011ff3ad9a8bb3a64c9782000e40a3c39f3b6d9ac833edcb86feab.jpg?v=1785083686"]</t>
        </is>
      </c>
    </row>
    <row r="19" ht="66" customHeight="1">
      <c r="A19" s="3" t="inlineStr">
        <is>
          <t>jeminise.com+personalized-basketball-above-hoop-close-up-comforter-with-name-and-number-95487807f8-95487807f8</t>
        </is>
      </c>
      <c r="B19" s="3" t="inlineStr">
        <is>
          <t>qaimg_179b7ea412141ff8</t>
        </is>
      </c>
      <c r="C19" s="4" t="inlineStr">
        <is>
          <t>https://cdn.shopify.com/s/files/1/0792/5098/1063/files/6c0dc371773d33b728907ea9758373760415f2c29a784a039153973190a42e7c.jpg?v=1785083685</t>
        </is>
      </c>
      <c r="D19" s="4" t="inlineStr">
        <is>
          <t>https://cdn.shopify.com/s/files/1/0792/5098/1063/files/6c0dc371773d33b728907ea9758373760415f2c29a784a039153973190a42e7c.jpg?v=1785083685</t>
        </is>
      </c>
      <c r="E19" s="3" t="inlineStr">
        <is>
          <t>47538126946503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2026-09-09T13:16:29+07:00</t>
        </is>
      </c>
      <c r="J19" s="3" t="inlineStr">
        <is>
          <t>QA opened 204_02.jpg (1000x1000) and checked against workbook observation: Second bedroom mockup of blue red basketball hoop bedding with white duvet fold.</t>
        </is>
      </c>
      <c r="K19" s="3" t="inlineStr">
        <is>
          <t>Second bedroom mockup of blue red basketball hoop bedding with white duvet fold.</t>
        </is>
      </c>
      <c r="L19" s="3" t="inlineStr">
        <is>
          <t>SET</t>
        </is>
      </c>
      <c r="M19" s="3" t="inlineStr">
        <is>
          <t>Blue red basketball bedding mockup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["seo_runs\\jeminise.com\\20260906_234129\\qa\\20260909_131628\\images\\204_02.jpg", "https://cdn.shopify.com/s/files/1/0792/5098/1063/files/6c0dc371773d33b728907ea9758373760415f2c29a784a039153973190a42e7c.jpg?v=1785083685"]</t>
        </is>
      </c>
    </row>
    <row r="20" ht="66" customHeight="1">
      <c r="A20" s="2" t="inlineStr">
        <is>
          <t>jeminise.com+personalized-basketball-above-hoop-close-up-comforter-with-name-and-number-95487807f8-95487807f8</t>
        </is>
      </c>
      <c r="B20" s="2" t="inlineStr">
        <is>
          <t>qaimg_7466e140747d01ef</t>
        </is>
      </c>
      <c r="C20" s="4" t="inlineStr">
        <is>
          <t>https://cdn.shopify.com/s/files/1/0792/5098/1063/files/ca7e8151cb3c33bafaa62bb65f4773d1852d0e96a3f900ca3bc2751b2e604742_4b59a24e-a0e1-402b-b63a-b87d7bb03caa.jpg?v=1785083686</t>
        </is>
      </c>
      <c r="D20" s="4" t="inlineStr">
        <is>
          <t>https://cdn.shopify.com/s/files/1/0792/5098/1063/files/ca7e8151cb3c33bafaa62bb65f4773d1852d0e96a3f900ca3bc2751b2e604742_4b59a24e-a0e1-402b-b63a-b87d7bb03caa.jpg?v=1785083686</t>
        </is>
      </c>
      <c r="E20" s="2" t="inlineStr">
        <is>
          <t>47538126979271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2026-09-09T13:16:29+07:00</t>
        </is>
      </c>
      <c r="J20" s="2" t="inlineStr">
        <is>
          <t>QA opened 204_03.jpg (1000x1000) and checked against workbook observation: Close bedroom view of basketball hoop bedding with comfort icons.</t>
        </is>
      </c>
      <c r="K20" s="2" t="inlineStr">
        <is>
          <t>Close bedroom view of basketball hoop bedding with comfort icons.</t>
        </is>
      </c>
      <c r="L20" s="2" t="inlineStr">
        <is>
          <t>SET</t>
        </is>
      </c>
      <c r="M20" s="2" t="inlineStr">
        <is>
          <t>Basketball hoop bedding feature view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["seo_runs\\jeminise.com\\20260906_234129\\qa\\20260909_131628\\images\\204_03.jpg", "https://cdn.shopify.com/s/files/1/0792/5098/1063/files/ca7e8151cb3c33bafaa62bb65f4773d1852d0e96a3f900ca3bc2751b2e604742_4b59a24e-a0e1-402b-b63a-b87d7bb03caa.jpg?v=1785083686"]</t>
        </is>
      </c>
    </row>
    <row r="21" ht="66" customHeight="1">
      <c r="A21" s="3" t="inlineStr">
        <is>
          <t>jeminise.com+personalized-basketball-above-hoop-close-up-comforter-with-name-and-number-95487807f8-95487807f8</t>
        </is>
      </c>
      <c r="B21" s="3" t="inlineStr">
        <is>
          <t>qaimg_916d784685f576e3</t>
        </is>
      </c>
      <c r="C21" s="4" t="inlineStr">
        <is>
          <t>https://cdn.shopify.com/s/files/1/0792/5098/1063/files/2529d5eaafc895e0e81b2de256b9843f4662fc5ed3808af52ea26f8e479f4493.jpg?v=1785083686</t>
        </is>
      </c>
      <c r="D21" s="4" t="inlineStr">
        <is>
          <t>https://cdn.shopify.com/s/files/1/0792/5098/1063/files/2529d5eaafc895e0e81b2de256b9843f4662fc5ed3808af52ea26f8e479f4493.jpg?v=1785083686</t>
        </is>
      </c>
      <c r="E21" s="3" t="inlineStr">
        <is>
          <t>47538127012039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2026-09-09T13:16:29+07:00</t>
        </is>
      </c>
      <c r="J21" s="3" t="inlineStr">
        <is>
          <t>QA opened 204_04.jpg (1000x1000) and checked against workbook observation: Microfiber panel showing blue red basketball bedding print samples.</t>
        </is>
      </c>
      <c r="K21" s="3" t="inlineStr">
        <is>
          <t>Microfiber panel showing blue red basketball bedding print samples.</t>
        </is>
      </c>
      <c r="L21" s="3" t="inlineStr">
        <is>
          <t>SET</t>
        </is>
      </c>
      <c r="M21" s="3" t="inlineStr">
        <is>
          <t>Basketball hoop microfiber panel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["seo_runs\\jeminise.com\\20260906_234129\\qa\\20260909_131628\\images\\204_04.jpg", "https://cdn.shopify.com/s/files/1/0792/5098/1063/files/2529d5eaafc895e0e81b2de256b9843f4662fc5ed3808af52ea26f8e479f4493.jpg?v=1785083686"]</t>
        </is>
      </c>
    </row>
    <row r="22" ht="66" customHeight="1">
      <c r="A22" s="2" t="inlineStr">
        <is>
          <t>jeminise.com+personalized-basketball-above-hoop-close-up-comforter-with-name-and-number-95487807f8-95487807f8</t>
        </is>
      </c>
      <c r="B22" s="2" t="inlineStr">
        <is>
          <t>qaimg_5b04f17524e2f7fe</t>
        </is>
      </c>
      <c r="C22" s="4" t="inlineStr">
        <is>
          <t>https://cdn.shopify.com/s/files/1/0792/5098/1063/files/4ff839e4bb2209a0aa3f9030594f8f244e760a920e67d19769e407605b8a6535.jpg?v=1785083685</t>
        </is>
      </c>
      <c r="D22" s="4" t="inlineStr">
        <is>
          <t>https://cdn.shopify.com/s/files/1/0792/5098/1063/files/4ff839e4bb2209a0aa3f9030594f8f244e760a920e67d19769e407605b8a6535.jpg?v=1785083685</t>
        </is>
      </c>
      <c r="E22" s="2" t="inlineStr">
        <is>
          <t>47538127044807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2026-09-09T13:16:29+07:00</t>
        </is>
      </c>
      <c r="J22" s="2" t="inlineStr">
        <is>
          <t>QA opened 204_05.jpg (1000x1000) and checked against workbook observation: Easy care panel for basketball bedding.</t>
        </is>
      </c>
      <c r="K22" s="2" t="inlineStr">
        <is>
          <t>Easy care panel for basketball bedding.</t>
        </is>
      </c>
      <c r="L22" s="2" t="inlineStr">
        <is>
          <t>SET</t>
        </is>
      </c>
      <c r="M22" s="2" t="inlineStr">
        <is>
          <t>Basketball bedding easy care panel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["seo_runs\\jeminise.com\\20260906_234129\\qa\\20260909_131628\\images\\204_05.jpg", "https://cdn.shopify.com/s/files/1/0792/5098/1063/files/4ff839e4bb2209a0aa3f9030594f8f244e760a920e67d19769e407605b8a6535.jpg?v=1785083685"]</t>
        </is>
      </c>
    </row>
    <row r="23" ht="66" customHeight="1">
      <c r="A23" s="3" t="inlineStr">
        <is>
          <t>jeminise.com+personalized-basketball-above-hoop-close-up-comforter-with-name-and-number-95487807f8-95487807f8</t>
        </is>
      </c>
      <c r="B23" s="3" t="inlineStr">
        <is>
          <t>qaimg_2339cdf54c7243db</t>
        </is>
      </c>
      <c r="C23" s="4" t="inlineStr">
        <is>
          <t>https://cdn.shopify.com/s/files/1/0792/5098/1063/files/4f7ebb170c910bacdb0d128a3e3cf164388321d5e644495de9b203310349253f_8f630e71-4ad6-46fa-afec-d5eef55215c4.jpg?v=1785083686</t>
        </is>
      </c>
      <c r="D23" s="4" t="inlineStr">
        <is>
          <t>https://cdn.shopify.com/s/files/1/0792/5098/1063/files/4f7ebb170c910bacdb0d128a3e3cf164388321d5e644495de9b203310349253f_8f630e71-4ad6-46fa-afec-d5eef55215c4.jpg?v=1785083686</t>
        </is>
      </c>
      <c r="E23" s="3" t="inlineStr">
        <is>
          <t>47538127077575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2026-09-09T13:16:29+07:00</t>
        </is>
      </c>
      <c r="J23" s="3" t="inlineStr">
        <is>
          <t>QA opened 204_06.jpg (1000x1000) and checked against workbook observation: Bedding type comparison panel for duvet cover and comforter options.</t>
        </is>
      </c>
      <c r="K23" s="3" t="inlineStr">
        <is>
          <t>Bedding type comparison panel for duvet cover and comforter options.</t>
        </is>
      </c>
      <c r="L23" s="3" t="inlineStr">
        <is>
          <t>SET</t>
        </is>
      </c>
      <c r="M23" s="3" t="inlineStr">
        <is>
          <t>Basketball bedding type panel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["seo_runs\\jeminise.com\\20260906_234129\\qa\\20260909_131628\\images\\204_06.jpg", "https://cdn.shopify.com/s/files/1/0792/5098/1063/files/4f7ebb170c910bacdb0d128a3e3cf164388321d5e644495de9b203310349253f_8f630e71-4ad6-46fa-afec-d5eef55215c4.jpg?v=1785083686"]</t>
        </is>
      </c>
    </row>
    <row r="24" ht="66" customHeight="1">
      <c r="A24" s="2" t="inlineStr">
        <is>
          <t>jeminise.com+personalized-basketball-above-hoop-close-up-comforter-with-name-and-number-95487807f8-95487807f8</t>
        </is>
      </c>
      <c r="B24" s="2" t="inlineStr">
        <is>
          <t>qaimg_788eddcee3f5a235</t>
        </is>
      </c>
      <c r="C24" s="4" t="inlineStr">
        <is>
          <t>https://cdn.shopify.com/s/files/1/0792/5098/1063/files/435c166685811ee73f494fa0b340fa5d21d3f02f935d1e95116330ec62408e7d_8953ffb3-4fa8-4bec-991d-f4a712f38f9f.jpg?v=1785083686</t>
        </is>
      </c>
      <c r="D24" s="4" t="inlineStr">
        <is>
          <t>https://cdn.shopify.com/s/files/1/0792/5098/1063/files/435c166685811ee73f494fa0b340fa5d21d3f02f935d1e95116330ec62408e7d_8953ffb3-4fa8-4bec-991d-f4a712f38f9f.jpg?v=1785083686</t>
        </is>
      </c>
      <c r="E24" s="2" t="inlineStr">
        <is>
          <t>47538127110343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2026-09-09T13:16:29+07:00</t>
        </is>
      </c>
      <c r="J24" s="2" t="inlineStr">
        <is>
          <t>QA opened 204_07.jpg (1000x1000) and checked against workbook observation: Size dimension panel listing bedding measurements.</t>
        </is>
      </c>
      <c r="K24" s="2" t="inlineStr">
        <is>
          <t>Size dimension panel listing bedding measurements.</t>
        </is>
      </c>
      <c r="L24" s="2" t="inlineStr">
        <is>
          <t>SET</t>
        </is>
      </c>
      <c r="M24" s="2" t="inlineStr">
        <is>
          <t>Basketball bedding size dimension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["seo_runs\\jeminise.com\\20260906_234129\\qa\\20260909_131628\\images\\204_07.jpg", "https://cdn.shopify.com/s/files/1/0792/5098/1063/files/435c166685811ee73f494fa0b340fa5d21d3f02f935d1e95116330ec62408e7d_8953ffb3-4fa8-4bec-991d-f4a712f38f9f.jpg?v=1785083686"]</t>
        </is>
      </c>
    </row>
    <row r="25" ht="66" customHeight="1">
      <c r="A25" s="3" t="inlineStr">
        <is>
          <t>jeminise.com+personalized-basketball-with-paint-splash-comforter-ccac4b4a9e-ccac4b4a9e</t>
        </is>
      </c>
      <c r="B25" s="3" t="inlineStr">
        <is>
          <t>qaimg_fd1d85fcb187ebc6</t>
        </is>
      </c>
      <c r="C25" s="4" t="inlineStr">
        <is>
          <t>https://cdn.shopify.com/s/files/1/0792/5098/1063/files/0735388ab031114c3a8cdcea6f61353f037481a5b72081be1f7b1927c5de837e.jpg?v=1785083810</t>
        </is>
      </c>
      <c r="D25" s="4" t="inlineStr">
        <is>
          <t>https://cdn.shopify.com/s/files/1/0792/5098/1063/files/0735388ab031114c3a8cdcea6f61353f037481a5b72081be1f7b1927c5de837e.jpg?v=1785083810</t>
        </is>
      </c>
      <c r="E25" s="3" t="inlineStr">
        <is>
          <t>47538155323591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2026-09-09T13:16:29+07:00</t>
        </is>
      </c>
      <c r="J25" s="3" t="inlineStr">
        <is>
          <t>QA opened 205_01.jpg (800x800) and checked against workbook observation: Bedroom mockup of basketball paint splash comforter with sample name and number.</t>
        </is>
      </c>
      <c r="K25" s="3" t="inlineStr">
        <is>
          <t>Bedroom mockup of basketball paint splash comforter with sample name and number.</t>
        </is>
      </c>
      <c r="L25" s="3" t="inlineStr">
        <is>
          <t>SET</t>
        </is>
      </c>
      <c r="M25" s="3" t="inlineStr">
        <is>
          <t>Custom basketball paint splash comforter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["seo_runs\\jeminise.com\\20260906_234129\\qa\\20260909_131628\\images\\205_01.jpg", "https://cdn.shopify.com/s/files/1/0792/5098/1063/files/0735388ab031114c3a8cdcea6f61353f037481a5b72081be1f7b1927c5de837e.jpg?v=1785083810"]</t>
        </is>
      </c>
    </row>
    <row r="26" ht="66" customHeight="1">
      <c r="A26" s="2" t="inlineStr">
        <is>
          <t>jeminise.com+personalized-basketball-with-paint-splash-comforter-ccac4b4a9e-ccac4b4a9e</t>
        </is>
      </c>
      <c r="B26" s="2" t="inlineStr">
        <is>
          <t>qaimg_3bb92c52032fa02e</t>
        </is>
      </c>
      <c r="C26" s="4" t="inlineStr">
        <is>
          <t>https://cdn.shopify.com/s/files/1/0792/5098/1063/files/080402accd4681f12aaee57e416c312af962e5815c063752993018229e4a1ffb_1d291242-512e-4e8d-ad99-2e6c82f55b6d.jpg?v=1785083810</t>
        </is>
      </c>
      <c r="D26" s="4" t="inlineStr">
        <is>
          <t>https://cdn.shopify.com/s/files/1/0792/5098/1063/files/080402accd4681f12aaee57e416c312af962e5815c063752993018229e4a1ffb_1d291242-512e-4e8d-ad99-2e6c82f55b6d.jpg?v=1785083810</t>
        </is>
      </c>
      <c r="E26" s="2" t="inlineStr">
        <is>
          <t>47538155356359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2026-09-09T13:16:29+07:00</t>
        </is>
      </c>
      <c r="J26" s="2" t="inlineStr">
        <is>
          <t>QA opened 205_02.jpg (1080x1080) and checked against workbook observation: Secondary basketball paint splash comforter mockup with matching pillows.</t>
        </is>
      </c>
      <c r="K26" s="2" t="inlineStr">
        <is>
          <t>Secondary basketball paint splash comforter mockup with matching pillows.</t>
        </is>
      </c>
      <c r="L26" s="2" t="inlineStr">
        <is>
          <t>SET</t>
        </is>
      </c>
      <c r="M26" s="2" t="inlineStr">
        <is>
          <t>Basketball paint splash bedding mockup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["seo_runs\\jeminise.com\\20260906_234129\\qa\\20260909_131628\\images\\205_02.jpg", "https://cdn.shopify.com/s/files/1/0792/5098/1063/files/080402accd4681f12aaee57e416c312af962e5815c063752993018229e4a1ffb_1d291242-512e-4e8d-ad99-2e6c82f55b6d.jpg?v=1785083810"]</t>
        </is>
      </c>
    </row>
    <row r="27" ht="66" customHeight="1">
      <c r="A27" s="3" t="inlineStr">
        <is>
          <t>jeminise.com+personalized-basketball-with-paint-splash-comforter-ccac4b4a9e-ccac4b4a9e</t>
        </is>
      </c>
      <c r="B27" s="3" t="inlineStr">
        <is>
          <t>qaimg_b10907f2b75eb05f</t>
        </is>
      </c>
      <c r="C27" s="4" t="inlineStr">
        <is>
          <t>https://cdn.shopify.com/s/files/1/0792/5098/1063/files/8107bb2956f86c6be6eb5742779b881dbc0980d9546c8a8efa0f335bec8ffedd_07671b57-a218-41ce-8ae1-1fc8e0151140.jpg?v=1785083810</t>
        </is>
      </c>
      <c r="D27" s="4" t="inlineStr">
        <is>
          <t>https://cdn.shopify.com/s/files/1/0792/5098/1063/files/8107bb2956f86c6be6eb5742779b881dbc0980d9546c8a8efa0f335bec8ffedd_07671b57-a218-41ce-8ae1-1fc8e0151140.jpg?v=1785083810</t>
        </is>
      </c>
      <c r="E27" s="3" t="inlineStr">
        <is>
          <t>47538155389127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2026-09-09T13:16:29+07:00</t>
        </is>
      </c>
      <c r="J27" s="3" t="inlineStr">
        <is>
          <t>QA opened 205_03.jpg (1056x763) and checked against workbook observation: Feature panel showing basketball paint splash bedding and comfort icons.</t>
        </is>
      </c>
      <c r="K27" s="3" t="inlineStr">
        <is>
          <t>Feature panel showing basketball paint splash bedding and comfort icons.</t>
        </is>
      </c>
      <c r="L27" s="3" t="inlineStr">
        <is>
          <t>SET</t>
        </is>
      </c>
      <c r="M27" s="3" t="inlineStr">
        <is>
          <t>Paint splash basketball feature panel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["seo_runs\\jeminise.com\\20260906_234129\\qa\\20260909_131628\\images\\205_03.jpg", "https://cdn.shopify.com/s/files/1/0792/5098/1063/files/8107bb2956f86c6be6eb5742779b881dbc0980d9546c8a8efa0f335bec8ffedd_07671b57-a218-41ce-8ae1-1fc8e0151140.jpg?v=1785083810"]</t>
        </is>
      </c>
    </row>
    <row r="28" ht="66" customHeight="1">
      <c r="A28" s="2" t="inlineStr">
        <is>
          <t>jeminise.com+personalized-basketball-with-paint-splash-comforter-ccac4b4a9e-ccac4b4a9e</t>
        </is>
      </c>
      <c r="B28" s="2" t="inlineStr">
        <is>
          <t>qaimg_a683852c1be6cafa</t>
        </is>
      </c>
      <c r="C28" s="4" t="inlineStr">
        <is>
          <t>https://cdn.shopify.com/s/files/1/0792/5098/1063/files/884bdba6e618b6b653ea15a2b7072cbe3391d94a1ff502c86f0a7f82c84d560e_bd2e5b3a-1be4-4049-9926-c54a920e7a0c.jpg?v=1785083810</t>
        </is>
      </c>
      <c r="D28" s="4" t="inlineStr">
        <is>
          <t>https://cdn.shopify.com/s/files/1/0792/5098/1063/files/884bdba6e618b6b653ea15a2b7072cbe3391d94a1ff502c86f0a7f82c84d560e_bd2e5b3a-1be4-4049-9926-c54a920e7a0c.jpg?v=1785083810</t>
        </is>
      </c>
      <c r="E28" s="2" t="inlineStr">
        <is>
          <t>47538155421895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2026-09-09T13:16:29+07:00</t>
        </is>
      </c>
      <c r="J28" s="2" t="inlineStr">
        <is>
          <t>QA opened 205_04.jpg (1050x1050) and checked against workbook observation: Microfiber panel with paint splash basketball print samples.</t>
        </is>
      </c>
      <c r="K28" s="2" t="inlineStr">
        <is>
          <t>Microfiber panel with paint splash basketball print samples.</t>
        </is>
      </c>
      <c r="L28" s="2" t="inlineStr">
        <is>
          <t>SET</t>
        </is>
      </c>
      <c r="M28" s="2" t="inlineStr">
        <is>
          <t>Basketball paint splash microfiber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["seo_runs\\jeminise.com\\20260906_234129\\qa\\20260909_131628\\images\\205_04.jpg", "https://cdn.shopify.com/s/files/1/0792/5098/1063/files/884bdba6e618b6b653ea15a2b7072cbe3391d94a1ff502c86f0a7f82c84d560e_bd2e5b3a-1be4-4049-9926-c54a920e7a0c.jpg?v=1785083810"]</t>
        </is>
      </c>
    </row>
    <row r="29" ht="66" customHeight="1">
      <c r="A29" s="3" t="inlineStr">
        <is>
          <t>jeminise.com+personalized-basketball-with-paint-splash-comforter-ccac4b4a9e-ccac4b4a9e</t>
        </is>
      </c>
      <c r="B29" s="3" t="inlineStr">
        <is>
          <t>qaimg_76eb4cb332067d96</t>
        </is>
      </c>
      <c r="C29" s="4" t="inlineStr">
        <is>
          <t>https://cdn.shopify.com/s/files/1/0792/5098/1063/files/7e01a24815061db50abd6e64659c2004cf59e904c4256d2c29bd15f89f7e1e83_6ec5c311-483a-427e-b14c-46f6cc88b132.jpg?v=1785083810</t>
        </is>
      </c>
      <c r="D29" s="4" t="inlineStr">
        <is>
          <t>https://cdn.shopify.com/s/files/1/0792/5098/1063/files/7e01a24815061db50abd6e64659c2004cf59e904c4256d2c29bd15f89f7e1e83_6ec5c311-483a-427e-b14c-46f6cc88b132.jpg?v=1785083810</t>
        </is>
      </c>
      <c r="E29" s="3" t="inlineStr">
        <is>
          <t>47538155454663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2026-09-09T13:16:29+07:00</t>
        </is>
      </c>
      <c r="J29" s="3" t="inlineStr">
        <is>
          <t>QA opened 205_05.jpg (1280x1222) and checked against workbook observation: Size dimension panel for basketball paint splash comforter.</t>
        </is>
      </c>
      <c r="K29" s="3" t="inlineStr">
        <is>
          <t>Size dimension panel for basketball paint splash comforter.</t>
        </is>
      </c>
      <c r="L29" s="3" t="inlineStr">
        <is>
          <t>SET</t>
        </is>
      </c>
      <c r="M29" s="3" t="inlineStr">
        <is>
          <t>Basketball paint splash size panel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["seo_runs\\jeminise.com\\20260906_234129\\qa\\20260909_131628\\images\\205_05.jpg", "https://cdn.shopify.com/s/files/1/0792/5098/1063/files/7e01a24815061db50abd6e64659c2004cf59e904c4256d2c29bd15f89f7e1e83_6ec5c311-483a-427e-b14c-46f6cc88b132.jpg?v=1785083810"]</t>
        </is>
      </c>
    </row>
    <row r="30" ht="66" customHeight="1">
      <c r="A30" s="2" t="inlineStr">
        <is>
          <t>jeminise.com+personalized-basketball-ball-below-net-blanket-with-name-and-number-86aaeebf75-86aaeebf75</t>
        </is>
      </c>
      <c r="B30" s="2" t="inlineStr">
        <is>
          <t>qaimg_87561b65517e8579</t>
        </is>
      </c>
      <c r="C30" s="4" t="inlineStr">
        <is>
          <t>https://cdn.shopify.com/s/files/1/0792/5098/1063/files/c2bb883448ed6cf3fbec0a1e111b33f8aba4ab9c6fb4a5761aa3196180750f26.jpg?v=1785091146</t>
        </is>
      </c>
      <c r="D30" s="4" t="inlineStr">
        <is>
          <t>https://cdn.shopify.com/s/files/1/0792/5098/1063/files/c2bb883448ed6cf3fbec0a1e111b33f8aba4ab9c6fb4a5761aa3196180750f26.jpg?v=1785091146</t>
        </is>
      </c>
      <c r="E30" s="2" t="inlineStr">
        <is>
          <t>47539040944327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2026-09-09T13:16:29+07:00</t>
        </is>
      </c>
      <c r="J30" s="2" t="inlineStr">
        <is>
          <t>QA opened 206_01.jpg (1000x1000) and checked against workbook observation: Blanket mockup with basketball below hoop and vertical sample name and number.</t>
        </is>
      </c>
      <c r="K30" s="2" t="inlineStr">
        <is>
          <t>Blanket mockup with basketball below hoop and vertical sample name and number.</t>
        </is>
      </c>
      <c r="L30" s="2" t="inlineStr">
        <is>
          <t>SET</t>
        </is>
      </c>
      <c r="M30" s="2" t="inlineStr">
        <is>
          <t>Custom basketball net blanket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["seo_runs\\jeminise.com\\20260906_234129\\qa\\20260909_131628\\images\\206_01.jpg", "https://cdn.shopify.com/s/files/1/0792/5098/1063/files/c2bb883448ed6cf3fbec0a1e111b33f8aba4ab9c6fb4a5761aa3196180750f26.jpg?v=1785091146"]</t>
        </is>
      </c>
    </row>
    <row r="31" ht="66" customHeight="1">
      <c r="A31" s="3" t="inlineStr">
        <is>
          <t>jeminise.com+personalized-basketball-ball-below-net-blanket-with-name-and-number-86aaeebf75-86aaeebf75</t>
        </is>
      </c>
      <c r="B31" s="3" t="inlineStr">
        <is>
          <t>qaimg_9375ad8a16d9fd9a</t>
        </is>
      </c>
      <c r="C31" s="4" t="inlineStr">
        <is>
          <t>https://cdn.shopify.com/s/files/1/0792/5098/1063/files/41a63262cbc900c9f656fc6b8b608b75b4a33b4eeec31a600296593a27af7ea4.jpg?v=1785091146</t>
        </is>
      </c>
      <c r="D31" s="4" t="inlineStr">
        <is>
          <t>https://cdn.shopify.com/s/files/1/0792/5098/1063/files/41a63262cbc900c9f656fc6b8b608b75b4a33b4eeec31a600296593a27af7ea4.jpg?v=1785091146</t>
        </is>
      </c>
      <c r="E31" s="3" t="inlineStr">
        <is>
          <t>47539040977095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2026-09-09T13:16:29+07:00</t>
        </is>
      </c>
      <c r="J31" s="3" t="inlineStr">
        <is>
          <t>QA opened 206_02.jpg (1000x1000) and checked against workbook observation: Lifestyle image of basketball net blanket draped on a sofa.</t>
        </is>
      </c>
      <c r="K31" s="3" t="inlineStr">
        <is>
          <t>Lifestyle image of basketball net blanket draped on a sofa.</t>
        </is>
      </c>
      <c r="L31" s="3" t="inlineStr">
        <is>
          <t>SET</t>
        </is>
      </c>
      <c r="M31" s="3" t="inlineStr">
        <is>
          <t>Basketball net blanket on sofa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["seo_runs\\jeminise.com\\20260906_234129\\qa\\20260909_131628\\images\\206_02.jpg", "https://cdn.shopify.com/s/files/1/0792/5098/1063/files/41a63262cbc900c9f656fc6b8b608b75b4a33b4eeec31a600296593a27af7ea4.jpg?v=1785091146"]</t>
        </is>
      </c>
    </row>
    <row r="32" ht="66" customHeight="1">
      <c r="A32" s="2" t="inlineStr">
        <is>
          <t>jeminise.com+personalized-basketball-ball-below-net-blanket-with-name-and-number-86aaeebf75-86aaeebf75</t>
        </is>
      </c>
      <c r="B32" s="2" t="inlineStr">
        <is>
          <t>qaimg_5fa19e994183cf48</t>
        </is>
      </c>
      <c r="C32" s="4" t="inlineStr">
        <is>
          <t>https://cdn.shopify.com/s/files/1/0792/5098/1063/files/6687a0cf14263f324dbe309071f60469a2428c4edc5948617e06018157ee89ec.jpg?v=1785091146</t>
        </is>
      </c>
      <c r="D32" s="4" t="inlineStr">
        <is>
          <t>https://cdn.shopify.com/s/files/1/0792/5098/1063/files/6687a0cf14263f324dbe309071f60469a2428c4edc5948617e06018157ee89ec.jpg?v=1785091146</t>
        </is>
      </c>
      <c r="E32" s="2" t="inlineStr">
        <is>
          <t>47539041009863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2026-09-09T13:16:29+07:00</t>
        </is>
      </c>
      <c r="J32" s="2" t="inlineStr">
        <is>
          <t>QA opened 206_03.jpg (1000x1000) and checked against workbook observation: Folded basketball net blanket with close-up print detail.</t>
        </is>
      </c>
      <c r="K32" s="2" t="inlineStr">
        <is>
          <t>Folded basketball net blanket with close-up print detail.</t>
        </is>
      </c>
      <c r="L32" s="2" t="inlineStr">
        <is>
          <t>SET</t>
        </is>
      </c>
      <c r="M32" s="2" t="inlineStr">
        <is>
          <t>Basketball net blanket folded view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["seo_runs\\jeminise.com\\20260906_234129\\qa\\20260909_131628\\images\\206_03.jpg", "https://cdn.shopify.com/s/files/1/0792/5098/1063/files/6687a0cf14263f324dbe309071f60469a2428c4edc5948617e06018157ee89ec.jpg?v=1785091146"]</t>
        </is>
      </c>
    </row>
    <row r="33" ht="66" customHeight="1">
      <c r="A33" s="3" t="inlineStr">
        <is>
          <t>jeminise.com+personalized-basketball-ball-below-net-blanket-with-name-and-number-86aaeebf75-86aaeebf75</t>
        </is>
      </c>
      <c r="B33" s="3" t="inlineStr">
        <is>
          <t>qaimg_90374adcc0ae1f71</t>
        </is>
      </c>
      <c r="C33" s="4" t="inlineStr">
        <is>
          <t>https://cdn.shopify.com/s/files/1/0792/5098/1063/files/e09959c877c8a56242cc4bdaf04b06baa079fe9871f502c29c64990e974fef3b.jpg?v=1785091146</t>
        </is>
      </c>
      <c r="D33" s="4" t="inlineStr">
        <is>
          <t>https://cdn.shopify.com/s/files/1/0792/5098/1063/files/e09959c877c8a56242cc4bdaf04b06baa079fe9871f502c29c64990e974fef3b.jpg?v=1785091146</t>
        </is>
      </c>
      <c r="E33" s="3" t="inlineStr">
        <is>
          <t>47539041042631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2026-09-09T13:16:29+07:00</t>
        </is>
      </c>
      <c r="J33" s="3" t="inlineStr">
        <is>
          <t>QA opened 206_04.jpg (1000x1000) and checked against workbook observation: Basketball blanket size and style panel.</t>
        </is>
      </c>
      <c r="K33" s="3" t="inlineStr">
        <is>
          <t>Basketball blanket size and style panel.</t>
        </is>
      </c>
      <c r="L33" s="3" t="inlineStr">
        <is>
          <t>SET</t>
        </is>
      </c>
      <c r="M33" s="3" t="inlineStr">
        <is>
          <t>Basketball blanket size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["seo_runs\\jeminise.com\\20260906_234129\\qa\\20260909_131628\\images\\206_04.jpg", "https://cdn.shopify.com/s/files/1/0792/5098/1063/files/e09959c877c8a56242cc4bdaf04b06baa079fe9871f502c29c64990e974fef3b.jpg?v=1785091146"]</t>
        </is>
      </c>
    </row>
    <row r="34" ht="66" customHeight="1">
      <c r="A34" s="2" t="inlineStr">
        <is>
          <t>jeminise.com+personalized-basketball-ball-below-net-blanket-with-name-and-number-86aaeebf75-86aaeebf75</t>
        </is>
      </c>
      <c r="B34" s="2" t="inlineStr">
        <is>
          <t>qaimg_1e27a831380929fa</t>
        </is>
      </c>
      <c r="C34" s="4" t="inlineStr">
        <is>
          <t>https://cdn.shopify.com/s/files/1/0792/5098/1063/files/01611ec9e3ce765dc25be5da26b052f7d46f03e9aa88415e36ac2dbfe7da3262.jpg?v=1785091146</t>
        </is>
      </c>
      <c r="D34" s="4" t="inlineStr">
        <is>
          <t>https://cdn.shopify.com/s/files/1/0792/5098/1063/files/01611ec9e3ce765dc25be5da26b052f7d46f03e9aa88415e36ac2dbfe7da3262.jpg?v=1785091146</t>
        </is>
      </c>
      <c r="E34" s="2" t="inlineStr">
        <is>
          <t>47539041075399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2026-09-09T13:16:29+07:00</t>
        </is>
      </c>
      <c r="J34" s="2" t="inlineStr">
        <is>
          <t>QA opened 206_05.jpg (1000x1000) and checked against workbook observation: Close-up fabric texture panel for basketball blanket.</t>
        </is>
      </c>
      <c r="K34" s="2" t="inlineStr">
        <is>
          <t>Close-up fabric texture panel for basketball blanket.</t>
        </is>
      </c>
      <c r="L34" s="2" t="inlineStr">
        <is>
          <t>SET</t>
        </is>
      </c>
      <c r="M34" s="2" t="inlineStr">
        <is>
          <t>Basketball blanket fabric close-up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["seo_runs\\jeminise.com\\20260906_234129\\qa\\20260909_131628\\images\\206_05.jpg", "https://cdn.shopify.com/s/files/1/0792/5098/1063/files/01611ec9e3ce765dc25be5da26b052f7d46f03e9aa88415e36ac2dbfe7da3262.jpg?v=1785091146"]</t>
        </is>
      </c>
    </row>
    <row r="35" ht="66" customHeight="1">
      <c r="A35" s="3" t="inlineStr">
        <is>
          <t>jeminise.com+personalized-basketball-ball-below-net-blanket-with-name-and-number-86aaeebf75-86aaeebf75</t>
        </is>
      </c>
      <c r="B35" s="3" t="inlineStr">
        <is>
          <t>qaimg_a755f4ee2e083ed8</t>
        </is>
      </c>
      <c r="C35" s="4" t="inlineStr">
        <is>
          <t>https://cdn.shopify.com/s/files/1/0792/5098/1063/files/95cfa7167ff3f914b5d9d6e42af923eb24df3eb56dcf01c08f2205a399dd656f.jpg?v=1785091146</t>
        </is>
      </c>
      <c r="D35" s="4" t="inlineStr">
        <is>
          <t>https://cdn.shopify.com/s/files/1/0792/5098/1063/files/95cfa7167ff3f914b5d9d6e42af923eb24df3eb56dcf01c08f2205a399dd656f.jpg?v=1785091146</t>
        </is>
      </c>
      <c r="E35" s="3" t="inlineStr">
        <is>
          <t>47539041108167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2026-09-09T13:16:29+07:00</t>
        </is>
      </c>
      <c r="J35" s="3" t="inlineStr">
        <is>
          <t>QA opened 206_06.jpg (1500x1500) and checked against workbook observation: Basketball net blanket lifestyle use panel.</t>
        </is>
      </c>
      <c r="K35" s="3" t="inlineStr">
        <is>
          <t>Basketball net blanket lifestyle use panel.</t>
        </is>
      </c>
      <c r="L35" s="3" t="inlineStr">
        <is>
          <t>SET</t>
        </is>
      </c>
      <c r="M35" s="3" t="inlineStr">
        <is>
          <t>Basketball blanket lifestyle panel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["seo_runs\\jeminise.com\\20260906_234129\\qa\\20260909_131628\\images\\206_06.jpg", "https://cdn.shopify.com/s/files/1/0792/5098/1063/files/95cfa7167ff3f914b5d9d6e42af923eb24df3eb56dcf01c08f2205a399dd656f.jpg?v=1785091146"]</t>
        </is>
      </c>
    </row>
    <row r="36" ht="66" customHeight="1">
      <c r="A36" s="2" t="inlineStr">
        <is>
          <t>jeminise.com+personalized-basketball-ball-below-net-blanket-with-name-and-number-86aaeebf75-86aaeebf75</t>
        </is>
      </c>
      <c r="B36" s="2" t="inlineStr">
        <is>
          <t>qaimg_0896dd0419525a03</t>
        </is>
      </c>
      <c r="C36" s="4" t="inlineStr">
        <is>
          <t>https://cdn.shopify.com/s/files/1/0792/5098/1063/files/ff9f65e42a55fc9ad24274b5a413735cf360ebf20f34d507d727b65ff78dedbf.jpg?v=1785091146</t>
        </is>
      </c>
      <c r="D36" s="4" t="inlineStr">
        <is>
          <t>https://cdn.shopify.com/s/files/1/0792/5098/1063/files/ff9f65e42a55fc9ad24274b5a413735cf360ebf20f34d507d727b65ff78dedbf.jpg?v=1785091146</t>
        </is>
      </c>
      <c r="E36" s="2" t="inlineStr">
        <is>
          <t>47539041140935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2026-09-09T13:16:29+07:00</t>
        </is>
      </c>
      <c r="J36" s="2" t="inlineStr">
        <is>
          <t>QA opened 206_07.jpg (1500x1500) and checked against workbook observation: Additional basketball blanket mockup with hoop and net artwork.</t>
        </is>
      </c>
      <c r="K36" s="2" t="inlineStr">
        <is>
          <t>Additional basketball blanket mockup with hoop and net artwork.</t>
        </is>
      </c>
      <c r="L36" s="2" t="inlineStr">
        <is>
          <t>SET</t>
        </is>
      </c>
      <c r="M36" s="2" t="inlineStr">
        <is>
          <t>Basketball net blanket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["seo_runs\\jeminise.com\\20260906_234129\\qa\\20260909_131628\\images\\206_07.jpg", "https://cdn.shopify.com/s/files/1/0792/5098/1063/files/ff9f65e42a55fc9ad24274b5a413735cf360ebf20f34d507d727b65ff78dedbf.jpg?v=1785091146"]</t>
        </is>
      </c>
    </row>
    <row r="37" ht="66" customHeight="1">
      <c r="A37" s="3" t="inlineStr">
        <is>
          <t>jeminise.com+personalized-basketball-ball-below-net-blanket-with-name-and-number-86aaeebf75-86aaeebf75</t>
        </is>
      </c>
      <c r="B37" s="3" t="inlineStr">
        <is>
          <t>qaimg_69f6c6f351e30ee4</t>
        </is>
      </c>
      <c r="C37" s="4" t="inlineStr">
        <is>
          <t>https://cdn.shopify.com/s/files/1/0792/5098/1063/files/11870470fcd5d4f2a1c878c4367dc99a100871ae407ace4c02af714e4d6bf48d.jpg?v=1785091146</t>
        </is>
      </c>
      <c r="D37" s="4" t="inlineStr">
        <is>
          <t>https://cdn.shopify.com/s/files/1/0792/5098/1063/files/11870470fcd5d4f2a1c878c4367dc99a100871ae407ace4c02af714e4d6bf48d.jpg?v=1785091146</t>
        </is>
      </c>
      <c r="E37" s="3" t="inlineStr">
        <is>
          <t>47539041173703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2026-09-09T13:16:29+07:00</t>
        </is>
      </c>
      <c r="J37" s="3" t="inlineStr">
        <is>
          <t>QA opened 206_08.jpg (1000x1000) and checked against workbook observation: Basketball blanket care or feature panel.</t>
        </is>
      </c>
      <c r="K37" s="3" t="inlineStr">
        <is>
          <t>Basketball blanket care or feature panel.</t>
        </is>
      </c>
      <c r="L37" s="3" t="inlineStr">
        <is>
          <t>SET</t>
        </is>
      </c>
      <c r="M37" s="3" t="inlineStr">
        <is>
          <t>Basketball blanket feature panel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["seo_runs\\jeminise.com\\20260906_234129\\qa\\20260909_131628\\images\\206_08.jpg", "https://cdn.shopify.com/s/files/1/0792/5098/1063/files/11870470fcd5d4f2a1c878c4367dc99a100871ae407ace4c02af714e4d6bf48d.jpg?v=1785091146"]</t>
        </is>
      </c>
    </row>
    <row r="38" ht="66" customHeight="1">
      <c r="A38" s="2" t="inlineStr">
        <is>
          <t>jeminise.com+personalized-basketball-below-hoop-comforter-name-number-e8b829a176-e8b829a176</t>
        </is>
      </c>
      <c r="B38" s="2" t="inlineStr">
        <is>
          <t>qaimg_8d8f4f533b17bbd2</t>
        </is>
      </c>
      <c r="C38" s="4" t="inlineStr">
        <is>
          <t>https://cdn.shopify.com/s/files/1/0792/5098/1063/files/cab5b6e337b8170e5d587fda0fd4f8d908f4090de167a31d95a65ad925c0334c.jpg?v=1785084769</t>
        </is>
      </c>
      <c r="D38" s="4" t="inlineStr">
        <is>
          <t>https://cdn.shopify.com/s/files/1/0792/5098/1063/files/cab5b6e337b8170e5d587fda0fd4f8d908f4090de167a31d95a65ad925c0334c.jpg?v=1785084769</t>
        </is>
      </c>
      <c r="E38" s="2" t="inlineStr">
        <is>
          <t>47538302386375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2026-09-09T13:16:29+07:00</t>
        </is>
      </c>
      <c r="J38" s="2" t="inlineStr">
        <is>
          <t>QA opened 207_01.jpg (1000x1000) and checked against workbook observation: Bedroom mockup of basketball court hoop comforter with large ball and sample name.</t>
        </is>
      </c>
      <c r="K38" s="2" t="inlineStr">
        <is>
          <t>Bedroom mockup of basketball court hoop comforter with large ball and sample name.</t>
        </is>
      </c>
      <c r="L38" s="2" t="inlineStr">
        <is>
          <t>SET</t>
        </is>
      </c>
      <c r="M38" s="2" t="inlineStr">
        <is>
          <t>Custom basketball court hoop comforter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["seo_runs\\jeminise.com\\20260906_234129\\qa\\20260909_131628\\images\\207_01.jpg", "https://cdn.shopify.com/s/files/1/0792/5098/1063/files/cab5b6e337b8170e5d587fda0fd4f8d908f4090de167a31d95a65ad925c0334c.jpg?v=1785084769"]</t>
        </is>
      </c>
    </row>
    <row r="39" ht="66" customHeight="1">
      <c r="A39" s="3" t="inlineStr">
        <is>
          <t>jeminise.com+personalized-basketball-below-hoop-comforter-name-number-e8b829a176-e8b829a176</t>
        </is>
      </c>
      <c r="B39" s="3" t="inlineStr">
        <is>
          <t>qaimg_12cd41cc8d06e289</t>
        </is>
      </c>
      <c r="C39" s="4" t="inlineStr">
        <is>
          <t>https://cdn.shopify.com/s/files/1/0792/5098/1063/files/86b7ca23e40842af54913b4a98e9f31f2cbecca94e858bc21790da9811707457.jpg?v=1785084769</t>
        </is>
      </c>
      <c r="D39" s="4" t="inlineStr">
        <is>
          <t>https://cdn.shopify.com/s/files/1/0792/5098/1063/files/86b7ca23e40842af54913b4a98e9f31f2cbecca94e858bc21790da9811707457.jpg?v=1785084769</t>
        </is>
      </c>
      <c r="E39" s="3" t="inlineStr">
        <is>
          <t>47538302419143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2026-09-09T13:16:29+07:00</t>
        </is>
      </c>
      <c r="J39" s="3" t="inlineStr">
        <is>
          <t>QA opened 207_02.jpg (1000x1000) and checked against workbook observation: Second basketball court bedding mockup with duvet fold.</t>
        </is>
      </c>
      <c r="K39" s="3" t="inlineStr">
        <is>
          <t>Second basketball court bedding mockup with duvet fold.</t>
        </is>
      </c>
      <c r="L39" s="3" t="inlineStr">
        <is>
          <t>SET</t>
        </is>
      </c>
      <c r="M39" s="3" t="inlineStr">
        <is>
          <t>Basketball court bedding mockup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["seo_runs\\jeminise.com\\20260906_234129\\qa\\20260909_131628\\images\\207_02.jpg", "https://cdn.shopify.com/s/files/1/0792/5098/1063/files/86b7ca23e40842af54913b4a98e9f31f2cbecca94e858bc21790da9811707457.jpg?v=1785084769"]</t>
        </is>
      </c>
    </row>
    <row r="40" ht="66" customHeight="1">
      <c r="A40" s="2" t="inlineStr">
        <is>
          <t>jeminise.com+personalized-basketball-below-hoop-comforter-name-number-e8b829a176-e8b829a176</t>
        </is>
      </c>
      <c r="B40" s="2" t="inlineStr">
        <is>
          <t>qaimg_bf5c2f908e77d2b4</t>
        </is>
      </c>
      <c r="C40" s="4" t="inlineStr">
        <is>
          <t>https://cdn.shopify.com/s/files/1/0792/5098/1063/files/8a9e1df72b5192bb43bbd21e95f23ee9fb295c1019815a38619f5e8659a891a2_0975a537-4602-4f7d-85e0-ace9e545690e.jpg?v=1785084769</t>
        </is>
      </c>
      <c r="D40" s="4" t="inlineStr">
        <is>
          <t>https://cdn.shopify.com/s/files/1/0792/5098/1063/files/8a9e1df72b5192bb43bbd21e95f23ee9fb295c1019815a38619f5e8659a891a2_0975a537-4602-4f7d-85e0-ace9e545690e.jpg?v=1785084769</t>
        </is>
      </c>
      <c r="E40" s="2" t="inlineStr">
        <is>
          <t>47538302451911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2026-09-09T13:16:29+07:00</t>
        </is>
      </c>
      <c r="J40" s="2" t="inlineStr">
        <is>
          <t>QA opened 207_03.jpg (1000x1000) and checked against workbook observation: Feature view of basketball court hoop bedding with comfort icons.</t>
        </is>
      </c>
      <c r="K40" s="2" t="inlineStr">
        <is>
          <t>Feature view of basketball court hoop bedding with comfort icons.</t>
        </is>
      </c>
      <c r="L40" s="2" t="inlineStr">
        <is>
          <t>SET</t>
        </is>
      </c>
      <c r="M40" s="2" t="inlineStr">
        <is>
          <t>Basketball court comforter feature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["seo_runs\\jeminise.com\\20260906_234129\\qa\\20260909_131628\\images\\207_03.jpg", "https://cdn.shopify.com/s/files/1/0792/5098/1063/files/8a9e1df72b5192bb43bbd21e95f23ee9fb295c1019815a38619f5e8659a891a2_0975a537-4602-4f7d-85e0-ace9e545690e.jpg?v=1785084769"]</t>
        </is>
      </c>
    </row>
    <row r="41" ht="66" customHeight="1">
      <c r="A41" s="3" t="inlineStr">
        <is>
          <t>jeminise.com+personalized-basketball-below-hoop-comforter-name-number-e8b829a176-e8b829a176</t>
        </is>
      </c>
      <c r="B41" s="3" t="inlineStr">
        <is>
          <t>qaimg_1746bd77f6ab1659</t>
        </is>
      </c>
      <c r="C41" s="4" t="inlineStr">
        <is>
          <t>https://cdn.shopify.com/s/files/1/0792/5098/1063/files/9ec8397e9c64feca41caec8d0950278758874cc179d40f057d626aab02b25324.jpg?v=1785084769</t>
        </is>
      </c>
      <c r="D41" s="4" t="inlineStr">
        <is>
          <t>https://cdn.shopify.com/s/files/1/0792/5098/1063/files/9ec8397e9c64feca41caec8d0950278758874cc179d40f057d626aab02b25324.jpg?v=1785084769</t>
        </is>
      </c>
      <c r="E41" s="3" t="inlineStr">
        <is>
          <t>47538302484679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2026-09-09T13:16:29+07:00</t>
        </is>
      </c>
      <c r="J41" s="3" t="inlineStr">
        <is>
          <t>QA opened 207_04.jpg (1000x1000) and checked against workbook observation: Microfiber panel with basketball court print samples.</t>
        </is>
      </c>
      <c r="K41" s="3" t="inlineStr">
        <is>
          <t>Microfiber panel with basketball court print samples.</t>
        </is>
      </c>
      <c r="L41" s="3" t="inlineStr">
        <is>
          <t>SET</t>
        </is>
      </c>
      <c r="M41" s="3" t="inlineStr">
        <is>
          <t>Basketball court microfiber panel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["seo_runs\\jeminise.com\\20260906_234129\\qa\\20260909_131628\\images\\207_04.jpg", "https://cdn.shopify.com/s/files/1/0792/5098/1063/files/9ec8397e9c64feca41caec8d0950278758874cc179d40f057d626aab02b25324.jpg?v=1785084769"]</t>
        </is>
      </c>
    </row>
    <row r="42" ht="66" customHeight="1">
      <c r="A42" s="2" t="inlineStr">
        <is>
          <t>jeminise.com+personalized-basketball-below-hoop-comforter-name-number-e8b829a176-e8b829a176</t>
        </is>
      </c>
      <c r="B42" s="2" t="inlineStr">
        <is>
          <t>qaimg_48e9c1223a14e4fd</t>
        </is>
      </c>
      <c r="C42" s="4" t="inlineStr">
        <is>
          <t>https://cdn.shopify.com/s/files/1/0792/5098/1063/files/994379707623d561f762a1201a56a74fe3e23b6cbf8c7e0be170e3fde338c8ec.jpg?v=1785084769</t>
        </is>
      </c>
      <c r="D42" s="4" t="inlineStr">
        <is>
          <t>https://cdn.shopify.com/s/files/1/0792/5098/1063/files/994379707623d561f762a1201a56a74fe3e23b6cbf8c7e0be170e3fde338c8ec.jpg?v=1785084769</t>
        </is>
      </c>
      <c r="E42" s="2" t="inlineStr">
        <is>
          <t>47538302517447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2026-09-09T13:16:29+07:00</t>
        </is>
      </c>
      <c r="J42" s="2" t="inlineStr">
        <is>
          <t>QA opened 207_05.jpg (1000x1000) and checked against workbook observation: Easy care panel for basketball court bedding.</t>
        </is>
      </c>
      <c r="K42" s="2" t="inlineStr">
        <is>
          <t>Easy care panel for basketball court bedding.</t>
        </is>
      </c>
      <c r="L42" s="2" t="inlineStr">
        <is>
          <t>SET</t>
        </is>
      </c>
      <c r="M42" s="2" t="inlineStr">
        <is>
          <t>Basketball court easy care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["seo_runs\\jeminise.com\\20260906_234129\\qa\\20260909_131628\\images\\207_05.jpg", "https://cdn.shopify.com/s/files/1/0792/5098/1063/files/994379707623d561f762a1201a56a74fe3e23b6cbf8c7e0be170e3fde338c8ec.jpg?v=1785084769"]</t>
        </is>
      </c>
    </row>
    <row r="43" ht="66" customHeight="1">
      <c r="A43" s="3" t="inlineStr">
        <is>
          <t>jeminise.com+personalized-basketball-below-hoop-comforter-name-number-e8b829a176-e8b829a176</t>
        </is>
      </c>
      <c r="B43" s="3" t="inlineStr">
        <is>
          <t>qaimg_6bbd84cbdb4cd9bd</t>
        </is>
      </c>
      <c r="C43" s="4" t="inlineStr">
        <is>
          <t>https://cdn.shopify.com/s/files/1/0792/5098/1063/files/1dc01d41d7d407730feaf916a9c54d5ba771e06f6674b16473507e7a042a1831_2079b9af-31c7-46db-8e11-f530239692fd.jpg?v=1785084769</t>
        </is>
      </c>
      <c r="D43" s="4" t="inlineStr">
        <is>
          <t>https://cdn.shopify.com/s/files/1/0792/5098/1063/files/1dc01d41d7d407730feaf916a9c54d5ba771e06f6674b16473507e7a042a1831_2079b9af-31c7-46db-8e11-f530239692fd.jpg?v=1785084769</t>
        </is>
      </c>
      <c r="E43" s="3" t="inlineStr">
        <is>
          <t>47538302550215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2026-09-09T13:16:29+07:00</t>
        </is>
      </c>
      <c r="J43" s="3" t="inlineStr">
        <is>
          <t>QA opened 207_06.jpg (1000x1000) and checked against workbook observation: Bedding type comparison panel for basketball comforter options.</t>
        </is>
      </c>
      <c r="K43" s="3" t="inlineStr">
        <is>
          <t>Bedding type comparison panel for basketball comforter options.</t>
        </is>
      </c>
      <c r="L43" s="3" t="inlineStr">
        <is>
          <t>SET</t>
        </is>
      </c>
      <c r="M43" s="3" t="inlineStr">
        <is>
          <t>Basketball court bedding type panel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["seo_runs\\jeminise.com\\20260906_234129\\qa\\20260909_131628\\images\\207_06.jpg", "https://cdn.shopify.com/s/files/1/0792/5098/1063/files/1dc01d41d7d407730feaf916a9c54d5ba771e06f6674b16473507e7a042a1831_2079b9af-31c7-46db-8e11-f530239692fd.jpg?v=1785084769"]</t>
        </is>
      </c>
    </row>
    <row r="44" ht="66" customHeight="1">
      <c r="A44" s="2" t="inlineStr">
        <is>
          <t>jeminise.com+personalized-basketball-below-hoop-comforter-name-number-e8b829a176-e8b829a176</t>
        </is>
      </c>
      <c r="B44" s="2" t="inlineStr">
        <is>
          <t>qaimg_3a950bd564e02ecd</t>
        </is>
      </c>
      <c r="C44" s="4" t="inlineStr">
        <is>
          <t>https://cdn.shopify.com/s/files/1/0792/5098/1063/files/c24959ab140390d63cc323f99e5e71b8352d51d82db09e1b8086064e57b3ff2f_067b5ca7-978f-4d71-8d46-e859bab20ae5.jpg?v=1785084769</t>
        </is>
      </c>
      <c r="D44" s="4" t="inlineStr">
        <is>
          <t>https://cdn.shopify.com/s/files/1/0792/5098/1063/files/c24959ab140390d63cc323f99e5e71b8352d51d82db09e1b8086064e57b3ff2f_067b5ca7-978f-4d71-8d46-e859bab20ae5.jpg?v=1785084769</t>
        </is>
      </c>
      <c r="E44" s="2" t="inlineStr">
        <is>
          <t>47538302582983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2026-09-09T13:16:29+07:00</t>
        </is>
      </c>
      <c r="J44" s="2" t="inlineStr">
        <is>
          <t>QA opened 207_07.jpg (1000x1000) and checked against workbook observation: Size dimension panel for basketball court comforter.</t>
        </is>
      </c>
      <c r="K44" s="2" t="inlineStr">
        <is>
          <t>Size dimension panel for basketball court comforter.</t>
        </is>
      </c>
      <c r="L44" s="2" t="inlineStr">
        <is>
          <t>SET</t>
        </is>
      </c>
      <c r="M44" s="2" t="inlineStr">
        <is>
          <t>Basketball court comforter size panel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["seo_runs\\jeminise.com\\20260906_234129\\qa\\20260909_131628\\images\\207_07.jpg", "https://cdn.shopify.com/s/files/1/0792/5098/1063/files/c24959ab140390d63cc323f99e5e71b8352d51d82db09e1b8086064e57b3ff2f_067b5ca7-978f-4d71-8d46-e859bab20ae5.jpg?v=1785084769"]</t>
        </is>
      </c>
    </row>
    <row r="45" ht="66" customHeight="1">
      <c r="A45" s="3" t="inlineStr">
        <is>
          <t>jeminise.com+personalized-basketball-below-hoop-comforter-with-name-and-number-d7a58513fd-d7a58513fd</t>
        </is>
      </c>
      <c r="B45" s="3" t="inlineStr">
        <is>
          <t>qaimg_a6049230b023bb28</t>
        </is>
      </c>
      <c r="C45" s="4" t="inlineStr">
        <is>
          <t>https://cdn.shopify.com/s/files/1/0792/5098/1063/files/9016b1ac78bacc978850682436c79f037add055f8cc91a42f71da7a1331afa35.jpg?v=1785084248</t>
        </is>
      </c>
      <c r="D45" s="4" t="inlineStr">
        <is>
          <t>https://cdn.shopify.com/s/files/1/0792/5098/1063/files/9016b1ac78bacc978850682436c79f037add055f8cc91a42f71da7a1331afa35.jpg?v=1785084248</t>
        </is>
      </c>
      <c r="E45" s="3" t="inlineStr">
        <is>
          <t>47538219942087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2026-09-09T13:16:29+07:00</t>
        </is>
      </c>
      <c r="J45" s="3" t="inlineStr">
        <is>
          <t>QA opened 208_01.jpg (1000x1000) and checked against workbook observation: Bedroom mockup of black basketball hoop comforter with vertical sample name.</t>
        </is>
      </c>
      <c r="K45" s="3" t="inlineStr">
        <is>
          <t>Bedroom mockup of black basketball hoop comforter with vertical sample name.</t>
        </is>
      </c>
      <c r="L45" s="3" t="inlineStr">
        <is>
          <t>SET</t>
        </is>
      </c>
      <c r="M45" s="3" t="inlineStr">
        <is>
          <t>Custom black basketball hoop comforter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["seo_runs\\jeminise.com\\20260906_234129\\qa\\20260909_131628\\images\\208_01.jpg", "https://cdn.shopify.com/s/files/1/0792/5098/1063/files/9016b1ac78bacc978850682436c79f037add055f8cc91a42f71da7a1331afa35.jpg?v=1785084248"]</t>
        </is>
      </c>
    </row>
    <row r="46" ht="66" customHeight="1">
      <c r="A46" s="2" t="inlineStr">
        <is>
          <t>jeminise.com+personalized-basketball-below-hoop-comforter-with-name-and-number-d7a58513fd-d7a58513fd</t>
        </is>
      </c>
      <c r="B46" s="2" t="inlineStr">
        <is>
          <t>qaimg_f9529893ba61c874</t>
        </is>
      </c>
      <c r="C46" s="4" t="inlineStr">
        <is>
          <t>https://cdn.shopify.com/s/files/1/0792/5098/1063/files/25910e2380f3bef8ba4ffd7d0020c4397a59356f27a0db27fb5501b5582cb3ff.jpg?v=1785084248</t>
        </is>
      </c>
      <c r="D46" s="4" t="inlineStr">
        <is>
          <t>https://cdn.shopify.com/s/files/1/0792/5098/1063/files/25910e2380f3bef8ba4ffd7d0020c4397a59356f27a0db27fb5501b5582cb3ff.jpg?v=1785084248</t>
        </is>
      </c>
      <c r="E46" s="2" t="inlineStr">
        <is>
          <t>47538219974855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2026-09-09T13:16:29+07:00</t>
        </is>
      </c>
      <c r="J46" s="2" t="inlineStr">
        <is>
          <t>QA opened 208_02.jpg (1000x1000) and checked against workbook observation: Second black basketball hoop bedding mockup with duvet fold.</t>
        </is>
      </c>
      <c r="K46" s="2" t="inlineStr">
        <is>
          <t>Second black basketball hoop bedding mockup with duvet fold.</t>
        </is>
      </c>
      <c r="L46" s="2" t="inlineStr">
        <is>
          <t>SET</t>
        </is>
      </c>
      <c r="M46" s="2" t="inlineStr">
        <is>
          <t>Black basketball bedding mockup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["seo_runs\\jeminise.com\\20260906_234129\\qa\\20260909_131628\\images\\208_02.jpg", "https://cdn.shopify.com/s/files/1/0792/5098/1063/files/25910e2380f3bef8ba4ffd7d0020c4397a59356f27a0db27fb5501b5582cb3ff.jpg?v=1785084248"]</t>
        </is>
      </c>
    </row>
    <row r="47" ht="66" customHeight="1">
      <c r="A47" s="3" t="inlineStr">
        <is>
          <t>jeminise.com+personalized-basketball-below-hoop-comforter-with-name-and-number-d7a58513fd-d7a58513fd</t>
        </is>
      </c>
      <c r="B47" s="3" t="inlineStr">
        <is>
          <t>qaimg_07cf32eede5666ff</t>
        </is>
      </c>
      <c r="C47" s="4" t="inlineStr">
        <is>
          <t>https://cdn.shopify.com/s/files/1/0792/5098/1063/files/ca7e8151cb3c33bafaa62bb65f4773d1852d0e96a3f900ca3bc2751b2e604742_46a9a908-3f17-4e6e-a772-81dc0d76f774.jpg?v=1785084248</t>
        </is>
      </c>
      <c r="D47" s="4" t="inlineStr">
        <is>
          <t>https://cdn.shopify.com/s/files/1/0792/5098/1063/files/ca7e8151cb3c33bafaa62bb65f4773d1852d0e96a3f900ca3bc2751b2e604742_46a9a908-3f17-4e6e-a772-81dc0d76f774.jpg?v=1785084248</t>
        </is>
      </c>
      <c r="E47" s="3" t="inlineStr">
        <is>
          <t>47538220007623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2026-09-09T13:16:29+07:00</t>
        </is>
      </c>
      <c r="J47" s="3" t="inlineStr">
        <is>
          <t>QA opened 208_03.jpg (1000x1000) and checked against workbook observation: Feature view of black basketball hoop bedding with comfort icons.</t>
        </is>
      </c>
      <c r="K47" s="3" t="inlineStr">
        <is>
          <t>Feature view of black basketball hoop bedding with comfort icons.</t>
        </is>
      </c>
      <c r="L47" s="3" t="inlineStr">
        <is>
          <t>SET</t>
        </is>
      </c>
      <c r="M47" s="3" t="inlineStr">
        <is>
          <t>Black basketball bedding feature view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["seo_runs\\jeminise.com\\20260906_234129\\qa\\20260909_131628\\images\\208_03.jpg", "https://cdn.shopify.com/s/files/1/0792/5098/1063/files/ca7e8151cb3c33bafaa62bb65f4773d1852d0e96a3f900ca3bc2751b2e604742_46a9a908-3f17-4e6e-a772-81dc0d76f774.jpg?v=1785084248"]</t>
        </is>
      </c>
    </row>
    <row r="48" ht="66" customHeight="1">
      <c r="A48" s="2" t="inlineStr">
        <is>
          <t>jeminise.com+personalized-basketball-below-hoop-comforter-with-name-and-number-d7a58513fd-d7a58513fd</t>
        </is>
      </c>
      <c r="B48" s="2" t="inlineStr">
        <is>
          <t>qaimg_965d9cb1bd868117</t>
        </is>
      </c>
      <c r="C48" s="4" t="inlineStr">
        <is>
          <t>https://cdn.shopify.com/s/files/1/0792/5098/1063/files/1045e15331e0060b7f691049921a04e1d1cd09aefcc8790e742c026dbb0cf69b.jpg?v=1785084248</t>
        </is>
      </c>
      <c r="D48" s="4" t="inlineStr">
        <is>
          <t>https://cdn.shopify.com/s/files/1/0792/5098/1063/files/1045e15331e0060b7f691049921a04e1d1cd09aefcc8790e742c026dbb0cf69b.jpg?v=1785084248</t>
        </is>
      </c>
      <c r="E48" s="2" t="inlineStr">
        <is>
          <t>47538220040391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2026-09-09T13:16:29+07:00</t>
        </is>
      </c>
      <c r="J48" s="2" t="inlineStr">
        <is>
          <t>QA opened 208_04.jpg (1000x1000) and checked against workbook observation: Microfiber panel with black basketball hoop print samples.</t>
        </is>
      </c>
      <c r="K48" s="2" t="inlineStr">
        <is>
          <t>Microfiber panel with black basketball hoop print samples.</t>
        </is>
      </c>
      <c r="L48" s="2" t="inlineStr">
        <is>
          <t>SET</t>
        </is>
      </c>
      <c r="M48" s="2" t="inlineStr">
        <is>
          <t>Black basketball microfiber panel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["seo_runs\\jeminise.com\\20260906_234129\\qa\\20260909_131628\\images\\208_04.jpg", "https://cdn.shopify.com/s/files/1/0792/5098/1063/files/1045e15331e0060b7f691049921a04e1d1cd09aefcc8790e742c026dbb0cf69b.jpg?v=1785084248"]</t>
        </is>
      </c>
    </row>
    <row r="49" ht="66" customHeight="1">
      <c r="A49" s="3" t="inlineStr">
        <is>
          <t>jeminise.com+personalized-basketball-below-hoop-comforter-with-name-and-number-d7a58513fd-d7a58513fd</t>
        </is>
      </c>
      <c r="B49" s="3" t="inlineStr">
        <is>
          <t>qaimg_e8e645e879ae50be</t>
        </is>
      </c>
      <c r="C49" s="4" t="inlineStr">
        <is>
          <t>https://cdn.shopify.com/s/files/1/0792/5098/1063/files/a3b82e2ba0ebf9a2cd7efbb881093e4db5a709bea4d349012f918ec22040a2ea.jpg?v=1785084248</t>
        </is>
      </c>
      <c r="D49" s="4" t="inlineStr">
        <is>
          <t>https://cdn.shopify.com/s/files/1/0792/5098/1063/files/a3b82e2ba0ebf9a2cd7efbb881093e4db5a709bea4d349012f918ec22040a2ea.jpg?v=1785084248</t>
        </is>
      </c>
      <c r="E49" s="3" t="inlineStr">
        <is>
          <t>47538220073159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2026-09-09T13:16:29+07:00</t>
        </is>
      </c>
      <c r="J49" s="3" t="inlineStr">
        <is>
          <t>QA opened 208_05.jpg (1000x1000) and checked against workbook observation: Easy care panel for basketball comforter.</t>
        </is>
      </c>
      <c r="K49" s="3" t="inlineStr">
        <is>
          <t>Easy care panel for basketball comforter.</t>
        </is>
      </c>
      <c r="L49" s="3" t="inlineStr">
        <is>
          <t>SET</t>
        </is>
      </c>
      <c r="M49" s="3" t="inlineStr">
        <is>
          <t>Black basketball easy care panel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["seo_runs\\jeminise.com\\20260906_234129\\qa\\20260909_131628\\images\\208_05.jpg", "https://cdn.shopify.com/s/files/1/0792/5098/1063/files/a3b82e2ba0ebf9a2cd7efbb881093e4db5a709bea4d349012f918ec22040a2ea.jpg?v=1785084248"]</t>
        </is>
      </c>
    </row>
    <row r="50" ht="66" customHeight="1">
      <c r="A50" s="2" t="inlineStr">
        <is>
          <t>jeminise.com+personalized-basketball-below-hoop-comforter-with-name-and-number-d7a58513fd-d7a58513fd</t>
        </is>
      </c>
      <c r="B50" s="2" t="inlineStr">
        <is>
          <t>qaimg_b27c4c499cb7c556</t>
        </is>
      </c>
      <c r="C50" s="4" t="inlineStr">
        <is>
          <t>https://cdn.shopify.com/s/files/1/0792/5098/1063/files/4f7ebb170c910bacdb0d128a3e3cf164388321d5e644495de9b203310349253f_82c00a08-6012-4131-9eef-62d51890558e.jpg?v=1785084248</t>
        </is>
      </c>
      <c r="D50" s="4" t="inlineStr">
        <is>
          <t>https://cdn.shopify.com/s/files/1/0792/5098/1063/files/4f7ebb170c910bacdb0d128a3e3cf164388321d5e644495de9b203310349253f_82c00a08-6012-4131-9eef-62d51890558e.jpg?v=1785084248</t>
        </is>
      </c>
      <c r="E50" s="2" t="inlineStr">
        <is>
          <t>47538220105927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2026-09-09T13:16:29+07:00</t>
        </is>
      </c>
      <c r="J50" s="2" t="inlineStr">
        <is>
          <t>QA opened 208_06.jpg (1000x1000) and checked against workbook observation: Bedding type comparison panel for basketball bedding.</t>
        </is>
      </c>
      <c r="K50" s="2" t="inlineStr">
        <is>
          <t>Bedding type comparison panel for basketball bedding.</t>
        </is>
      </c>
      <c r="L50" s="2" t="inlineStr">
        <is>
          <t>SET</t>
        </is>
      </c>
      <c r="M50" s="2" t="inlineStr">
        <is>
          <t>Black basketball bedding type panel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["seo_runs\\jeminise.com\\20260906_234129\\qa\\20260909_131628\\images\\208_06.jpg", "https://cdn.shopify.com/s/files/1/0792/5098/1063/files/4f7ebb170c910bacdb0d128a3e3cf164388321d5e644495de9b203310349253f_82c00a08-6012-4131-9eef-62d51890558e.jpg?v=1785084248"]</t>
        </is>
      </c>
    </row>
    <row r="51" ht="66" customHeight="1">
      <c r="A51" s="3" t="inlineStr">
        <is>
          <t>jeminise.com+personalized-basketball-below-hoop-comforter-with-name-and-number-d7a58513fd-d7a58513fd</t>
        </is>
      </c>
      <c r="B51" s="3" t="inlineStr">
        <is>
          <t>qaimg_bb5a15629cfcdd7e</t>
        </is>
      </c>
      <c r="C51" s="4" t="inlineStr">
        <is>
          <t>https://cdn.shopify.com/s/files/1/0792/5098/1063/files/435c166685811ee73f494fa0b340fa5d21d3f02f935d1e95116330ec62408e7d_6145b54e-c1df-4831-bcc9-bd1fd1cb2ffe.jpg?v=1785084247</t>
        </is>
      </c>
      <c r="D51" s="4" t="inlineStr">
        <is>
          <t>https://cdn.shopify.com/s/files/1/0792/5098/1063/files/435c166685811ee73f494fa0b340fa5d21d3f02f935d1e95116330ec62408e7d_6145b54e-c1df-4831-bcc9-bd1fd1cb2ffe.jpg?v=1785084247</t>
        </is>
      </c>
      <c r="E51" s="3" t="inlineStr">
        <is>
          <t>47538220138695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2026-09-09T13:16:29+07:00</t>
        </is>
      </c>
      <c r="J51" s="3" t="inlineStr">
        <is>
          <t>QA opened 208_07.jpg (1000x1000) and checked against workbook observation: Size dimension panel for basketball hoop comforter.</t>
        </is>
      </c>
      <c r="K51" s="3" t="inlineStr">
        <is>
          <t>Size dimension panel for basketball hoop comforter.</t>
        </is>
      </c>
      <c r="L51" s="3" t="inlineStr">
        <is>
          <t>SET</t>
        </is>
      </c>
      <c r="M51" s="3" t="inlineStr">
        <is>
          <t>Black basketball size panel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["seo_runs\\jeminise.com\\20260906_234129\\qa\\20260909_131628\\images\\208_07.jpg", "https://cdn.shopify.com/s/files/1/0792/5098/1063/files/435c166685811ee73f494fa0b340fa5d21d3f02f935d1e95116330ec62408e7d_6145b54e-c1df-4831-bcc9-bd1fd1cb2ffe.jpg?v=1785084247"]</t>
        </is>
      </c>
    </row>
    <row r="52" ht="66" customHeight="1">
      <c r="A52" s="2" t="inlineStr">
        <is>
          <t>jeminise.com+personalized-basketball-burning-flames-comforter-with-name-and-number-746598fa53-746598fa53</t>
        </is>
      </c>
      <c r="B52" s="2" t="inlineStr">
        <is>
          <t>qaimg_05eb4ebf5808d62d</t>
        </is>
      </c>
      <c r="C52" s="4" t="inlineStr">
        <is>
          <t>https://cdn.shopify.com/s/files/1/0792/5098/1063/files/feed756e53a8713250d852d14ff17030563fa83f39a69856bcee35b1296ff849.jpg?v=1785083617</t>
        </is>
      </c>
      <c r="D52" s="4" t="inlineStr">
        <is>
          <t>https://cdn.shopify.com/s/files/1/0792/5098/1063/files/feed756e53a8713250d852d14ff17030563fa83f39a69856bcee35b1296ff849.jpg?v=1785083617</t>
        </is>
      </c>
      <c r="E52" s="2" t="inlineStr">
        <is>
          <t>47538115903687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2026-09-09T13:16:29+07:00</t>
        </is>
      </c>
      <c r="J52" s="2" t="inlineStr">
        <is>
          <t>QA opened 209_01.jpg (1000x1000) and checked against workbook observation: Bedroom mockup of flame basketball comforter with ball, flames, sample name and number.</t>
        </is>
      </c>
      <c r="K52" s="2" t="inlineStr">
        <is>
          <t>Bedroom mockup of flame basketball comforter with ball, flames, sample name and number.</t>
        </is>
      </c>
      <c r="L52" s="2" t="inlineStr">
        <is>
          <t>SET</t>
        </is>
      </c>
      <c r="M52" s="2" t="inlineStr">
        <is>
          <t>Custom flame basketball comforter set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["seo_runs\\jeminise.com\\20260906_234129\\qa\\20260909_131628\\images\\209_01.jpg", "https://cdn.shopify.com/s/files/1/0792/5098/1063/files/feed756e53a8713250d852d14ff17030563fa83f39a69856bcee35b1296ff849.jpg?v=1785083617"]</t>
        </is>
      </c>
    </row>
    <row r="53" ht="66" customHeight="1">
      <c r="A53" s="3" t="inlineStr">
        <is>
          <t>jeminise.com+personalized-basketball-burning-flames-comforter-with-name-and-number-746598fa53-746598fa53</t>
        </is>
      </c>
      <c r="B53" s="3" t="inlineStr">
        <is>
          <t>qaimg_4244fa96d392f5ed</t>
        </is>
      </c>
      <c r="C53" s="4" t="inlineStr">
        <is>
          <t>https://cdn.shopify.com/s/files/1/0792/5098/1063/files/6a8c3826131f983013a5765968b8e680472a9c8c70815ae9c94a6b17a89425b8.jpg?v=1785083617</t>
        </is>
      </c>
      <c r="D53" s="4" t="inlineStr">
        <is>
          <t>https://cdn.shopify.com/s/files/1/0792/5098/1063/files/6a8c3826131f983013a5765968b8e680472a9c8c70815ae9c94a6b17a89425b8.jpg?v=1785083617</t>
        </is>
      </c>
      <c r="E53" s="3" t="inlineStr">
        <is>
          <t>47538115936455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2026-09-09T13:16:29+07:00</t>
        </is>
      </c>
      <c r="J53" s="3" t="inlineStr">
        <is>
          <t>QA opened 209_02.jpg (1000x1000) and checked against workbook observation: Second flame basketball comforter room mockup.</t>
        </is>
      </c>
      <c r="K53" s="3" t="inlineStr">
        <is>
          <t>Second flame basketball comforter room mockup.</t>
        </is>
      </c>
      <c r="L53" s="3" t="inlineStr">
        <is>
          <t>SET</t>
        </is>
      </c>
      <c r="M53" s="3" t="inlineStr">
        <is>
          <t>Flame basketball bedding mockup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["seo_runs\\jeminise.com\\20260906_234129\\qa\\20260909_131628\\images\\209_02.jpg", "https://cdn.shopify.com/s/files/1/0792/5098/1063/files/6a8c3826131f983013a5765968b8e680472a9c8c70815ae9c94a6b17a89425b8.jpg?v=1785083617"]</t>
        </is>
      </c>
    </row>
    <row r="54" ht="66" customHeight="1">
      <c r="A54" s="2" t="inlineStr">
        <is>
          <t>jeminise.com+personalized-basketball-burning-flames-comforter-with-name-and-number-746598fa53-746598fa53</t>
        </is>
      </c>
      <c r="B54" s="2" t="inlineStr">
        <is>
          <t>qaimg_a6f15ced3eff1b86</t>
        </is>
      </c>
      <c r="C54" s="4" t="inlineStr">
        <is>
          <t>https://cdn.shopify.com/s/files/1/0792/5098/1063/files/8a9e1df72b5192bb43bbd21e95f23ee9fb295c1019815a38619f5e8659a891a2_8d07860d-9075-4950-a631-a238963b8658.jpg?v=1785083617</t>
        </is>
      </c>
      <c r="D54" s="4" t="inlineStr">
        <is>
          <t>https://cdn.shopify.com/s/files/1/0792/5098/1063/files/8a9e1df72b5192bb43bbd21e95f23ee9fb295c1019815a38619f5e8659a891a2_8d07860d-9075-4950-a631-a238963b8658.jpg?v=1785083617</t>
        </is>
      </c>
      <c r="E54" s="2" t="inlineStr">
        <is>
          <t>47538115969223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2026-09-09T13:16:29+07:00</t>
        </is>
      </c>
      <c r="J54" s="2" t="inlineStr">
        <is>
          <t>QA opened 209_03.jpg (1000x1000) and checked against workbook observation: Feature view of flame basketball bedding with comfort icons.</t>
        </is>
      </c>
      <c r="K54" s="2" t="inlineStr">
        <is>
          <t>Feature view of flame basketball bedding with comfort icons.</t>
        </is>
      </c>
      <c r="L54" s="2" t="inlineStr">
        <is>
          <t>SET</t>
        </is>
      </c>
      <c r="M54" s="2" t="inlineStr">
        <is>
          <t>Flame basketball feature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["seo_runs\\jeminise.com\\20260906_234129\\qa\\20260909_131628\\images\\209_03.jpg", "https://cdn.shopify.com/s/files/1/0792/5098/1063/files/8a9e1df72b5192bb43bbd21e95f23ee9fb295c1019815a38619f5e8659a891a2_8d07860d-9075-4950-a631-a238963b8658.jpg?v=1785083617"]</t>
        </is>
      </c>
    </row>
    <row r="55" ht="66" customHeight="1">
      <c r="A55" s="3" t="inlineStr">
        <is>
          <t>jeminise.com+personalized-basketball-burning-flames-comforter-with-name-and-number-746598fa53-746598fa53</t>
        </is>
      </c>
      <c r="B55" s="3" t="inlineStr">
        <is>
          <t>qaimg_140a72cdd6940196</t>
        </is>
      </c>
      <c r="C55" s="4" t="inlineStr">
        <is>
          <t>https://cdn.shopify.com/s/files/1/0792/5098/1063/files/964ee62d5c1e654483bb54f9c1d0cd157603986636f5c99876deffffca1aaa39.jpg?v=1785083617</t>
        </is>
      </c>
      <c r="D55" s="4" t="inlineStr">
        <is>
          <t>https://cdn.shopify.com/s/files/1/0792/5098/1063/files/964ee62d5c1e654483bb54f9c1d0cd157603986636f5c99876deffffca1aaa39.jpg?v=1785083617</t>
        </is>
      </c>
      <c r="E55" s="3" t="inlineStr">
        <is>
          <t>47538116001991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2026-09-09T13:16:29+07:00</t>
        </is>
      </c>
      <c r="J55" s="3" t="inlineStr">
        <is>
          <t>QA opened 209_04.jpg (1000x1000) and checked against workbook observation: Microfiber panel with flame basketball print samples.</t>
        </is>
      </c>
      <c r="K55" s="3" t="inlineStr">
        <is>
          <t>Microfiber panel with flame basketball print samples.</t>
        </is>
      </c>
      <c r="L55" s="3" t="inlineStr">
        <is>
          <t>SET</t>
        </is>
      </c>
      <c r="M55" s="3" t="inlineStr">
        <is>
          <t>Flame basketball microfiber panel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["seo_runs\\jeminise.com\\20260906_234129\\qa\\20260909_131628\\images\\209_04.jpg", "https://cdn.shopify.com/s/files/1/0792/5098/1063/files/964ee62d5c1e654483bb54f9c1d0cd157603986636f5c99876deffffca1aaa39.jpg?v=1785083617"]</t>
        </is>
      </c>
    </row>
    <row r="56" ht="66" customHeight="1">
      <c r="A56" s="2" t="inlineStr">
        <is>
          <t>jeminise.com+personalized-basketball-burning-flames-comforter-with-name-and-number-746598fa53-746598fa53</t>
        </is>
      </c>
      <c r="B56" s="2" t="inlineStr">
        <is>
          <t>qaimg_87d5c40b690c4c62</t>
        </is>
      </c>
      <c r="C56" s="4" t="inlineStr">
        <is>
          <t>https://cdn.shopify.com/s/files/1/0792/5098/1063/files/a7b7c9b3d01941fc5160a32e2eb2c4248fef592c5c7e44ca9c8baed53378acd6.jpg?v=1785083617</t>
        </is>
      </c>
      <c r="D56" s="4" t="inlineStr">
        <is>
          <t>https://cdn.shopify.com/s/files/1/0792/5098/1063/files/a7b7c9b3d01941fc5160a32e2eb2c4248fef592c5c7e44ca9c8baed53378acd6.jpg?v=1785083617</t>
        </is>
      </c>
      <c r="E56" s="2" t="inlineStr">
        <is>
          <t>47538116034759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2026-09-09T13:16:29+07:00</t>
        </is>
      </c>
      <c r="J56" s="2" t="inlineStr">
        <is>
          <t>QA opened 209_05.jpg (1000x1000) and checked against workbook observation: Easy care panel for flame basketball bedding.</t>
        </is>
      </c>
      <c r="K56" s="2" t="inlineStr">
        <is>
          <t>Easy care panel for flame basketball bedding.</t>
        </is>
      </c>
      <c r="L56" s="2" t="inlineStr">
        <is>
          <t>SET</t>
        </is>
      </c>
      <c r="M56" s="2" t="inlineStr">
        <is>
          <t>Flame basketball easy care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["seo_runs\\jeminise.com\\20260906_234129\\qa\\20260909_131628\\images\\209_05.jpg", "https://cdn.shopify.com/s/files/1/0792/5098/1063/files/a7b7c9b3d01941fc5160a32e2eb2c4248fef592c5c7e44ca9c8baed53378acd6.jpg?v=1785083617"]</t>
        </is>
      </c>
    </row>
    <row r="57" ht="66" customHeight="1">
      <c r="A57" s="3" t="inlineStr">
        <is>
          <t>jeminise.com+personalized-basketball-burning-flames-comforter-with-name-and-number-746598fa53-746598fa53</t>
        </is>
      </c>
      <c r="B57" s="3" t="inlineStr">
        <is>
          <t>qaimg_3655b5c73f9f73b2</t>
        </is>
      </c>
      <c r="C57" s="4" t="inlineStr">
        <is>
          <t>https://cdn.shopify.com/s/files/1/0792/5098/1063/files/1dc01d41d7d407730feaf916a9c54d5ba771e06f6674b16473507e7a042a1831_ec874993-da0f-439b-b3c5-66a278212db3.jpg?v=1785083617</t>
        </is>
      </c>
      <c r="D57" s="4" t="inlineStr">
        <is>
          <t>https://cdn.shopify.com/s/files/1/0792/5098/1063/files/1dc01d41d7d407730feaf916a9c54d5ba771e06f6674b16473507e7a042a1831_ec874993-da0f-439b-b3c5-66a278212db3.jpg?v=1785083617</t>
        </is>
      </c>
      <c r="E57" s="3" t="inlineStr">
        <is>
          <t>47538116067527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2026-09-09T13:16:29+07:00</t>
        </is>
      </c>
      <c r="J57" s="3" t="inlineStr">
        <is>
          <t>QA opened 209_06.jpg (1000x1000) and checked against workbook observation: Bedding type comparison panel for flame basketball bedding.</t>
        </is>
      </c>
      <c r="K57" s="3" t="inlineStr">
        <is>
          <t>Bedding type comparison panel for flame basketball bedding.</t>
        </is>
      </c>
      <c r="L57" s="3" t="inlineStr">
        <is>
          <t>SET</t>
        </is>
      </c>
      <c r="M57" s="3" t="inlineStr">
        <is>
          <t>Flame basketball bedding type panel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["seo_runs\\jeminise.com\\20260906_234129\\qa\\20260909_131628\\images\\209_06.jpg", "https://cdn.shopify.com/s/files/1/0792/5098/1063/files/1dc01d41d7d407730feaf916a9c54d5ba771e06f6674b16473507e7a042a1831_ec874993-da0f-439b-b3c5-66a278212db3.jpg?v=1785083617"]</t>
        </is>
      </c>
    </row>
    <row r="58" ht="66" customHeight="1">
      <c r="A58" s="2" t="inlineStr">
        <is>
          <t>jeminise.com+personalized-basketball-burning-flames-comforter-with-name-and-number-746598fa53-746598fa53</t>
        </is>
      </c>
      <c r="B58" s="2" t="inlineStr">
        <is>
          <t>qaimg_e9e974f02ca85d75</t>
        </is>
      </c>
      <c r="C58" s="4" t="inlineStr">
        <is>
          <t>https://cdn.shopify.com/s/files/1/0792/5098/1063/files/c24959ab140390d63cc323f99e5e71b8352d51d82db09e1b8086064e57b3ff2f_76e4a478-f359-4278-9a3a-6debb5e6164b.jpg?v=1785083617</t>
        </is>
      </c>
      <c r="D58" s="4" t="inlineStr">
        <is>
          <t>https://cdn.shopify.com/s/files/1/0792/5098/1063/files/c24959ab140390d63cc323f99e5e71b8352d51d82db09e1b8086064e57b3ff2f_76e4a478-f359-4278-9a3a-6debb5e6164b.jpg?v=1785083617</t>
        </is>
      </c>
      <c r="E58" s="2" t="inlineStr">
        <is>
          <t>47538116100295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2026-09-09T13:16:29+07:00</t>
        </is>
      </c>
      <c r="J58" s="2" t="inlineStr">
        <is>
          <t>QA opened 209_07.jpg (1000x1000) and checked against workbook observation: Size dimension panel for flame basketball comforter.</t>
        </is>
      </c>
      <c r="K58" s="2" t="inlineStr">
        <is>
          <t>Size dimension panel for flame basketball comforter.</t>
        </is>
      </c>
      <c r="L58" s="2" t="inlineStr">
        <is>
          <t>SET</t>
        </is>
      </c>
      <c r="M58" s="2" t="inlineStr">
        <is>
          <t>Flame basketball size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["seo_runs\\jeminise.com\\20260906_234129\\qa\\20260909_131628\\images\\209_07.jpg", "https://cdn.shopify.com/s/files/1/0792/5098/1063/files/c24959ab140390d63cc323f99e5e71b8352d51d82db09e1b8086064e57b3ff2f_76e4a478-f359-4278-9a3a-6debb5e6164b.jpg?v=1785083617"]</t>
        </is>
      </c>
    </row>
    <row r="59" ht="66" customHeight="1">
      <c r="A59" s="3" t="inlineStr">
        <is>
          <t>jeminise.com+personalized-basketball-close-up-blanket-with-name-and-number-3f49346de1-3f49346de1</t>
        </is>
      </c>
      <c r="B59" s="3" t="inlineStr">
        <is>
          <t>qaimg_4548a69353e9a4e9</t>
        </is>
      </c>
      <c r="C59" s="4" t="inlineStr">
        <is>
          <t>https://cdn.shopify.com/s/files/1/0792/5098/1063/files/78d78a23db488e01e985563840785e6ce66c7ce7fb31ea728c0c93a0cf727eba.jpg?v=1785090194</t>
        </is>
      </c>
      <c r="D59" s="4" t="inlineStr">
        <is>
          <t>https://cdn.shopify.com/s/files/1/0792/5098/1063/files/78d78a23db488e01e985563840785e6ce66c7ce7fb31ea728c0c93a0cf727eba.jpg?v=1785090194</t>
        </is>
      </c>
      <c r="E59" s="3" t="inlineStr">
        <is>
          <t>47538896273607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2026-09-09T13:16:29+07:00</t>
        </is>
      </c>
      <c r="J59" s="3" t="inlineStr">
        <is>
          <t>QA opened 210_01.jpg (1000x1000) and checked against workbook observation: Blanket mockup with dark basketball close-up, silhouettes, sample name and number.</t>
        </is>
      </c>
      <c r="K59" s="3" t="inlineStr">
        <is>
          <t>Blanket mockup with dark basketball close-up, silhouettes, sample name and number.</t>
        </is>
      </c>
      <c r="L59" s="3" t="inlineStr">
        <is>
          <t>SET</t>
        </is>
      </c>
      <c r="M59" s="3" t="inlineStr">
        <is>
          <t>Custom basketball close-up blanket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["seo_runs\\jeminise.com\\20260906_234129\\qa\\20260909_131628\\images\\210_01.jpg", "https://cdn.shopify.com/s/files/1/0792/5098/1063/files/78d78a23db488e01e985563840785e6ce66c7ce7fb31ea728c0c93a0cf727eba.jpg?v=1785090194"]</t>
        </is>
      </c>
    </row>
    <row r="60" ht="66" customHeight="1">
      <c r="A60" s="2" t="inlineStr">
        <is>
          <t>jeminise.com+personalized-basketball-close-up-blanket-with-name-and-number-3f49346de1-3f49346de1</t>
        </is>
      </c>
      <c r="B60" s="2" t="inlineStr">
        <is>
          <t>qaimg_925711aa92a113b9</t>
        </is>
      </c>
      <c r="C60" s="4" t="inlineStr">
        <is>
          <t>https://cdn.shopify.com/s/files/1/0792/5098/1063/files/78d233573340034d32e4c0129cf49ac8f71dc5e517e74307cd0f215e64468a7e.jpg?v=1785090194</t>
        </is>
      </c>
      <c r="D60" s="4" t="inlineStr">
        <is>
          <t>https://cdn.shopify.com/s/files/1/0792/5098/1063/files/78d233573340034d32e4c0129cf49ac8f71dc5e517e74307cd0f215e64468a7e.jpg?v=1785090194</t>
        </is>
      </c>
      <c r="E60" s="2" t="inlineStr">
        <is>
          <t>47538896306375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2026-09-09T13:16:29+07:00</t>
        </is>
      </c>
      <c r="J60" s="2" t="inlineStr">
        <is>
          <t>QA opened 210_02.jpg (1000x1000) and checked against workbook observation: Basketball close-up blanket draped on sofa.</t>
        </is>
      </c>
      <c r="K60" s="2" t="inlineStr">
        <is>
          <t>Basketball close-up blanket draped on sofa.</t>
        </is>
      </c>
      <c r="L60" s="2" t="inlineStr">
        <is>
          <t>SET</t>
        </is>
      </c>
      <c r="M60" s="2" t="inlineStr">
        <is>
          <t>Basketball close-up blanket on sofa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["seo_runs\\jeminise.com\\20260906_234129\\qa\\20260909_131628\\images\\210_02.jpg", "https://cdn.shopify.com/s/files/1/0792/5098/1063/files/78d233573340034d32e4c0129cf49ac8f71dc5e517e74307cd0f215e64468a7e.jpg?v=1785090194"]</t>
        </is>
      </c>
    </row>
    <row r="61" ht="66" customHeight="1">
      <c r="A61" s="3" t="inlineStr">
        <is>
          <t>jeminise.com+personalized-basketball-close-up-blanket-with-name-and-number-3f49346de1-3f49346de1</t>
        </is>
      </c>
      <c r="B61" s="3" t="inlineStr">
        <is>
          <t>qaimg_9db132119f048aba</t>
        </is>
      </c>
      <c r="C61" s="4" t="inlineStr">
        <is>
          <t>https://cdn.shopify.com/s/files/1/0792/5098/1063/files/aa9fb160e86f00b7842af4438bd63975e713749d0fa46848d443d9b911cefa5e.jpg?v=1785090194</t>
        </is>
      </c>
      <c r="D61" s="4" t="inlineStr">
        <is>
          <t>https://cdn.shopify.com/s/files/1/0792/5098/1063/files/aa9fb160e86f00b7842af4438bd63975e713749d0fa46848d443d9b911cefa5e.jpg?v=1785090194</t>
        </is>
      </c>
      <c r="E61" s="3" t="inlineStr">
        <is>
          <t>47538896339143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2026-09-09T13:16:29+07:00</t>
        </is>
      </c>
      <c r="J61" s="3" t="inlineStr">
        <is>
          <t>QA opened 210_03.jpg (1000x1000) and checked against workbook observation: Folded basketball close-up blanket with visible ball artwork.</t>
        </is>
      </c>
      <c r="K61" s="3" t="inlineStr">
        <is>
          <t>Folded basketball close-up blanket with visible ball artwork.</t>
        </is>
      </c>
      <c r="L61" s="3" t="inlineStr">
        <is>
          <t>SET</t>
        </is>
      </c>
      <c r="M61" s="3" t="inlineStr">
        <is>
          <t>Basketball close-up blanket folded view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["seo_runs\\jeminise.com\\20260906_234129\\qa\\20260909_131628\\images\\210_03.jpg", "https://cdn.shopify.com/s/files/1/0792/5098/1063/files/aa9fb160e86f00b7842af4438bd63975e713749d0fa46848d443d9b911cefa5e.jpg?v=1785090194"]</t>
        </is>
      </c>
    </row>
    <row r="62" ht="66" customHeight="1">
      <c r="A62" s="2" t="inlineStr">
        <is>
          <t>jeminise.com+personalized-basketball-close-up-blanket-with-name-and-number-3f49346de1-3f49346de1</t>
        </is>
      </c>
      <c r="B62" s="2" t="inlineStr">
        <is>
          <t>qaimg_bbb4bfedc312aca3</t>
        </is>
      </c>
      <c r="C62" s="4" t="inlineStr">
        <is>
          <t>https://cdn.shopify.com/s/files/1/0792/5098/1063/files/9d03b93502073ed2f599b8696b84e5ac2de3368cd039ee858b4549340467252d.jpg?v=1785090194</t>
        </is>
      </c>
      <c r="D62" s="4" t="inlineStr">
        <is>
          <t>https://cdn.shopify.com/s/files/1/0792/5098/1063/files/9d03b93502073ed2f599b8696b84e5ac2de3368cd039ee858b4549340467252d.jpg?v=1785090194</t>
        </is>
      </c>
      <c r="E62" s="2" t="inlineStr">
        <is>
          <t>47538896371911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2026-09-09T13:16:29+07:00</t>
        </is>
      </c>
      <c r="J62" s="2" t="inlineStr">
        <is>
          <t>QA opened 210_04.jpg (1000x1000) and checked against workbook observation: Basketball blanket size or style panel.</t>
        </is>
      </c>
      <c r="K62" s="2" t="inlineStr">
        <is>
          <t>Basketball blanket size or style panel.</t>
        </is>
      </c>
      <c r="L62" s="2" t="inlineStr">
        <is>
          <t>SET</t>
        </is>
      </c>
      <c r="M62" s="2" t="inlineStr">
        <is>
          <t>Basketball close-up blanket size panel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["seo_runs\\jeminise.com\\20260906_234129\\qa\\20260909_131628\\images\\210_04.jpg", "https://cdn.shopify.com/s/files/1/0792/5098/1063/files/9d03b93502073ed2f599b8696b84e5ac2de3368cd039ee858b4549340467252d.jpg?v=1785090194"]</t>
        </is>
      </c>
    </row>
    <row r="63" ht="66" customHeight="1">
      <c r="A63" s="3" t="inlineStr">
        <is>
          <t>jeminise.com+personalized-basketball-close-up-blanket-with-name-and-number-3f49346de1-3f49346de1</t>
        </is>
      </c>
      <c r="B63" s="3" t="inlineStr">
        <is>
          <t>qaimg_9123a3bd628b15f6</t>
        </is>
      </c>
      <c r="C63" s="4" t="inlineStr">
        <is>
          <t>https://cdn.shopify.com/s/files/1/0792/5098/1063/files/a36f49b88e6bebc2aa36d97c66c217d9605c9253a95a3f92846bed16f2090542.jpg?v=1785090194</t>
        </is>
      </c>
      <c r="D63" s="4" t="inlineStr">
        <is>
          <t>https://cdn.shopify.com/s/files/1/0792/5098/1063/files/a36f49b88e6bebc2aa36d97c66c217d9605c9253a95a3f92846bed16f2090542.jpg?v=1785090194</t>
        </is>
      </c>
      <c r="E63" s="3" t="inlineStr">
        <is>
          <t>47538896404679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2026-09-09T13:16:29+07:00</t>
        </is>
      </c>
      <c r="J63" s="3" t="inlineStr">
        <is>
          <t>QA opened 210_05.jpg (1000x1000) and checked against workbook observation: Close-up fabric panel for basketball blanket.</t>
        </is>
      </c>
      <c r="K63" s="3" t="inlineStr">
        <is>
          <t>Close-up fabric panel for basketball blanket.</t>
        </is>
      </c>
      <c r="L63" s="3" t="inlineStr">
        <is>
          <t>SET</t>
        </is>
      </c>
      <c r="M63" s="3" t="inlineStr">
        <is>
          <t>Basketball close-up blanket fabric panel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["seo_runs\\jeminise.com\\20260906_234129\\qa\\20260909_131628\\images\\210_05.jpg", "https://cdn.shopify.com/s/files/1/0792/5098/1063/files/a36f49b88e6bebc2aa36d97c66c217d9605c9253a95a3f92846bed16f2090542.jpg?v=1785090194"]</t>
        </is>
      </c>
    </row>
    <row r="64" ht="66" customHeight="1">
      <c r="A64" s="2" t="inlineStr">
        <is>
          <t>jeminise.com+personalized-basketball-close-up-blanket-with-name-and-number-3f49346de1-3f49346de1</t>
        </is>
      </c>
      <c r="B64" s="2" t="inlineStr">
        <is>
          <t>qaimg_26e7b174816fd2bd</t>
        </is>
      </c>
      <c r="C64" s="4" t="inlineStr">
        <is>
          <t>https://cdn.shopify.com/s/files/1/0792/5098/1063/files/115ab9e900fb565c15e80ba247ebb07a1b551897a417e6759868ea5c59fdebb8.jpg?v=1785090194</t>
        </is>
      </c>
      <c r="D64" s="4" t="inlineStr">
        <is>
          <t>https://cdn.shopify.com/s/files/1/0792/5098/1063/files/115ab9e900fb565c15e80ba247ebb07a1b551897a417e6759868ea5c59fdebb8.jpg?v=1785090194</t>
        </is>
      </c>
      <c r="E64" s="2" t="inlineStr">
        <is>
          <t>47538896437447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2026-09-09T13:16:29+07:00</t>
        </is>
      </c>
      <c r="J64" s="2" t="inlineStr">
        <is>
          <t>QA opened 210_06.jpg (1500x1500) and checked against workbook observation: Lifestyle use image for basketball blanket.</t>
        </is>
      </c>
      <c r="K64" s="2" t="inlineStr">
        <is>
          <t>Lifestyle use image for basketball blanket.</t>
        </is>
      </c>
      <c r="L64" s="2" t="inlineStr">
        <is>
          <t>SET</t>
        </is>
      </c>
      <c r="M64" s="2" t="inlineStr">
        <is>
          <t>Basketball blanket lifestyle image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["seo_runs\\jeminise.com\\20260906_234129\\qa\\20260909_131628\\images\\210_06.jpg", "https://cdn.shopify.com/s/files/1/0792/5098/1063/files/115ab9e900fb565c15e80ba247ebb07a1b551897a417e6759868ea5c59fdebb8.jpg?v=1785090194"]</t>
        </is>
      </c>
    </row>
    <row r="65" ht="66" customHeight="1">
      <c r="A65" s="3" t="inlineStr">
        <is>
          <t>jeminise.com+personalized-basketball-close-up-blanket-with-name-and-number-3f49346de1-3f49346de1</t>
        </is>
      </c>
      <c r="B65" s="3" t="inlineStr">
        <is>
          <t>qaimg_4419b035026dffde</t>
        </is>
      </c>
      <c r="C65" s="4" t="inlineStr">
        <is>
          <t>https://cdn.shopify.com/s/files/1/0792/5098/1063/files/a282bdbb47b669dfc0a6da80e614de4e4cb5d197967cb913daee0702476b28fa.jpg?v=1785090194</t>
        </is>
      </c>
      <c r="D65" s="4" t="inlineStr">
        <is>
          <t>https://cdn.shopify.com/s/files/1/0792/5098/1063/files/a282bdbb47b669dfc0a6da80e614de4e4cb5d197967cb913daee0702476b28fa.jpg?v=1785090194</t>
        </is>
      </c>
      <c r="E65" s="3" t="inlineStr">
        <is>
          <t>47538896470215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2026-09-09T13:16:29+07:00</t>
        </is>
      </c>
      <c r="J65" s="3" t="inlineStr">
        <is>
          <t>QA opened 210_07.jpg (1500x1500) and checked against workbook observation: Additional basketball close-up blanket mockup.</t>
        </is>
      </c>
      <c r="K65" s="3" t="inlineStr">
        <is>
          <t>Additional basketball close-up blanket mockup.</t>
        </is>
      </c>
      <c r="L65" s="3" t="inlineStr">
        <is>
          <t>SET</t>
        </is>
      </c>
      <c r="M65" s="3" t="inlineStr">
        <is>
          <t>Basketball close-up blanket mockup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["seo_runs\\jeminise.com\\20260906_234129\\qa\\20260909_131628\\images\\210_07.jpg", "https://cdn.shopify.com/s/files/1/0792/5098/1063/files/a282bdbb47b669dfc0a6da80e614de4e4cb5d197967cb913daee0702476b28fa.jpg?v=1785090194"]</t>
        </is>
      </c>
    </row>
  </sheetData>
  <autoFilter ref="A1:X6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3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B21R4-LIM-TRACE-001</t>
        </is>
      </c>
      <c r="B2" s="2" t="inlineStr"/>
      <c r="C2" s="2" t="inlineStr"/>
      <c r="D2" s="2" t="inlineStr">
        <is>
          <t>LIMITATION</t>
        </is>
      </c>
      <c r="E2" s="2" t="inlineStr">
        <is>
          <t>revision traceability</t>
        </is>
      </c>
      <c r="F2" s="2" t="inlineStr">
        <is>
          <t>SEO_Products/Image_Audit row-level revision values still show r3 in the r4 workbook.</t>
        </is>
      </c>
      <c r="G2" s="2" t="inlineStr">
        <is>
          <t>Workbook filename/path/hash identify qa_batch_021_r4, while row metadata was not fully relabeled after r4.</t>
        </is>
      </c>
      <c r="H2" s="2" t="inlineStr">
        <is>
          <t>Traceability limitation only; it does not prove the submitted r4 content is wrong.</t>
        </is>
      </c>
      <c r="I2" s="2" t="inlineStr">
        <is>
          <t>Update row-level revision values and revision_summary paths in the next package.</t>
        </is>
      </c>
      <c r="J2" s="2" t="inlineStr">
        <is>
          <t>D:\Shopify_Workspace\jeminise_seo\resutls\jeminise.com\20260906_234129\revisions\qa_batch_021_r4\SEO_Product_Optimization_qa_batch_021_r4.xlsx</t>
        </is>
      </c>
      <c r="K2" s="2" t="inlineStr">
        <is>
          <t>All row-level revision fields and summary paths consistently identify r4.</t>
        </is>
      </c>
    </row>
  </sheetData>
  <autoFilter ref="A1:K2"/>
  <conditionalFormatting sqref="D2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2026-09-09T06:16:42Z</dcterms:created>
  <dcterms:modified xmlns:dcterms="http://purl.org/dc/terms/" xmlns:xsi="http://www.w3.org/2001/XMLSchema-instance" xsi:type="dcterms:W3CDTF">2026-09-09T06:16:42Z</dcterms:modified>
</cp:coreProperties>
</file>