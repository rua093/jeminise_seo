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'QA_Images'!$A$1:$Y$63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hristmas-cardinals-near-snowy-birdhouse-patchwork-floral-quilt-b90d55a935-b90d55a935" TargetMode="External" Id="rId1"/><Relationship Type="http://schemas.openxmlformats.org/officeDocument/2006/relationships/hyperlink" Target="https://jeminise.com/products/christmas-cardinals-on-snowy-branches-patchwork-winter-quilt-8fa1a9e2ed-8fa1a9e2ed" TargetMode="External" Id="rId2"/><Relationship Type="http://schemas.openxmlformats.org/officeDocument/2006/relationships/hyperlink" Target="https://jeminise.com/products/cow-with-landscape-patchwork-quilt-animal-farmhouse-printed-quilt-set" TargetMode="External" Id="rId3"/><Relationship Type="http://schemas.openxmlformats.org/officeDocument/2006/relationships/hyperlink" Target="https://jeminise.com/products/crocodile-patchwork-printed-quilts-animal-patchwork-bedding" TargetMode="External" Id="rId4"/><Relationship Type="http://schemas.openxmlformats.org/officeDocument/2006/relationships/hyperlink" Target="https://jeminise.com/products/custom-retro-football-art-bedding-set-c66211cf75-c66211cf75" TargetMode="External" Id="rId5"/><Relationship Type="http://schemas.openxmlformats.org/officeDocument/2006/relationships/hyperlink" Target="https://jeminise.com/products/custom-american-football-close-up-on-grunge-vintage-comforter-26540e3264-26540e3264" TargetMode="External" Id="rId6"/><Relationship Type="http://schemas.openxmlformats.org/officeDocument/2006/relationships/hyperlink" Target="https://jeminise.com/products/custom-american-football-on-cosmic-background-vintage-comforter-62a3849621-62a3849621" TargetMode="External" Id="rId7"/><Relationship Type="http://schemas.openxmlformats.org/officeDocument/2006/relationships/hyperlink" Target="https://jeminise.com/products/custom-american-football-on-usa-flag-background-comforter-703a7c0d82-703a7c0d82" TargetMode="External" Id="rId8"/><Relationship Type="http://schemas.openxmlformats.org/officeDocument/2006/relationships/hyperlink" Target="https://jeminise.com/products/custom-american-football-with-paint-splash-background-vintage-comforter-da0e1d5bf1-da0e1d5bf1" TargetMode="External" Id="rId9"/><Relationship Type="http://schemas.openxmlformats.org/officeDocument/2006/relationships/hyperlink" Target="https://jeminise.com/products/custom-american-football-with-patriotic-flag-comforter-4a3a1ed3c9-4a3a1ed3c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efa39b8e586dae0db27829a045f8d696721e4c0e044144b214323829fbee46b.jpg?v=1785099259" TargetMode="External" Id="rId1"/><Relationship Type="http://schemas.openxmlformats.org/officeDocument/2006/relationships/hyperlink" Target="https://cdn.shopify.com/s/files/1/0792/5098/1063/files/cefa39b8e586dae0db27829a045f8d696721e4c0e044144b214323829fbee46b.jpg?v=1785099259" TargetMode="External" Id="rId2"/><Relationship Type="http://schemas.openxmlformats.org/officeDocument/2006/relationships/hyperlink" Target="https://cdn.shopify.com/s/files/1/0792/5098/1063/files/817cf504495341989c34e5153f75779357b3dd16c9af88d5e8f16bf5cdd1d8a4.jpg?v=1785099259" TargetMode="External" Id="rId3"/><Relationship Type="http://schemas.openxmlformats.org/officeDocument/2006/relationships/hyperlink" Target="https://cdn.shopify.com/s/files/1/0792/5098/1063/files/817cf504495341989c34e5153f75779357b3dd16c9af88d5e8f16bf5cdd1d8a4.jpg?v=1785099259" TargetMode="External" Id="rId4"/><Relationship Type="http://schemas.openxmlformats.org/officeDocument/2006/relationships/hyperlink" Target="https://cdn.shopify.com/s/files/1/0792/5098/1063/files/192d8a6eed2602b9a36fbbd7936b0d70ef3680e4dd38270f22af78ba5c23bb4a.jpg?v=1785099259" TargetMode="External" Id="rId5"/><Relationship Type="http://schemas.openxmlformats.org/officeDocument/2006/relationships/hyperlink" Target="https://cdn.shopify.com/s/files/1/0792/5098/1063/files/192d8a6eed2602b9a36fbbd7936b0d70ef3680e4dd38270f22af78ba5c23bb4a.jpg?v=1785099259" TargetMode="External" Id="rId6"/><Relationship Type="http://schemas.openxmlformats.org/officeDocument/2006/relationships/hyperlink" Target="https://cdn.shopify.com/s/files/1/0792/5098/1063/files/a5f492aee10aae43511cc5e9a46710cc38afe374b23731941e7748005cf44564.jpg?v=1785099259" TargetMode="External" Id="rId7"/><Relationship Type="http://schemas.openxmlformats.org/officeDocument/2006/relationships/hyperlink" Target="https://cdn.shopify.com/s/files/1/0792/5098/1063/files/a5f492aee10aae43511cc5e9a46710cc38afe374b23731941e7748005cf44564.jpg?v=1785099259" TargetMode="External" Id="rId8"/><Relationship Type="http://schemas.openxmlformats.org/officeDocument/2006/relationships/hyperlink" Target="https://cdn.shopify.com/s/files/1/0792/5098/1063/files/578ac27946027e8e5ec1b6c4efdccc50d46e3d6182eed1ca0e62799fb3b416fd.jpg?v=1785099259" TargetMode="External" Id="rId9"/><Relationship Type="http://schemas.openxmlformats.org/officeDocument/2006/relationships/hyperlink" Target="https://cdn.shopify.com/s/files/1/0792/5098/1063/files/578ac27946027e8e5ec1b6c4efdccc50d46e3d6182eed1ca0e62799fb3b416fd.jpg?v=1785099259" TargetMode="External" Id="rId10"/><Relationship Type="http://schemas.openxmlformats.org/officeDocument/2006/relationships/hyperlink" Target="https://cdn.shopify.com/s/files/1/0792/5098/1063/files/17b3827a8c3b4dbbd608b08c3534148427ac4397354f3f0fe053ed23086269e8.jpg?v=1785099259" TargetMode="External" Id="rId11"/><Relationship Type="http://schemas.openxmlformats.org/officeDocument/2006/relationships/hyperlink" Target="https://cdn.shopify.com/s/files/1/0792/5098/1063/files/17b3827a8c3b4dbbd608b08c3534148427ac4397354f3f0fe053ed23086269e8.jpg?v=1785099259" TargetMode="External" Id="rId12"/><Relationship Type="http://schemas.openxmlformats.org/officeDocument/2006/relationships/hyperlink" Target="https://cdn.shopify.com/s/files/1/0792/5098/1063/files/24dc7edea95f70726f65b933a6f8c4826cdc3c896050c2c5109926d64325dd21.jpg?v=1785099258" TargetMode="External" Id="rId13"/><Relationship Type="http://schemas.openxmlformats.org/officeDocument/2006/relationships/hyperlink" Target="https://cdn.shopify.com/s/files/1/0792/5098/1063/files/24dc7edea95f70726f65b933a6f8c4826cdc3c896050c2c5109926d64325dd21.jpg?v=1785099258" TargetMode="External" Id="rId14"/><Relationship Type="http://schemas.openxmlformats.org/officeDocument/2006/relationships/hyperlink" Target="https://cdn.shopify.com/s/files/1/0792/5098/1063/files/dac06806abe736aaddf0257ef47ee3581ffb682f1ee70078a493eb9381b34f9f.jpg?v=1785098963" TargetMode="External" Id="rId15"/><Relationship Type="http://schemas.openxmlformats.org/officeDocument/2006/relationships/hyperlink" Target="https://cdn.shopify.com/s/files/1/0792/5098/1063/files/dac06806abe736aaddf0257ef47ee3581ffb682f1ee70078a493eb9381b34f9f.jpg?v=1785098963" TargetMode="External" Id="rId16"/><Relationship Type="http://schemas.openxmlformats.org/officeDocument/2006/relationships/hyperlink" Target="https://cdn.shopify.com/s/files/1/0792/5098/1063/files/ab7e4f9484e52e83891e552e58d6a27e151a62e654a01667625d8c86bd6a3295.jpg?v=1785098963" TargetMode="External" Id="rId17"/><Relationship Type="http://schemas.openxmlformats.org/officeDocument/2006/relationships/hyperlink" Target="https://cdn.shopify.com/s/files/1/0792/5098/1063/files/ab7e4f9484e52e83891e552e58d6a27e151a62e654a01667625d8c86bd6a3295.jpg?v=1785098963" TargetMode="External" Id="rId18"/><Relationship Type="http://schemas.openxmlformats.org/officeDocument/2006/relationships/hyperlink" Target="https://cdn.shopify.com/s/files/1/0792/5098/1063/files/af11f2e375dabf355f9318fb1eea3b312db7cd0ed95fb4b96e7b537d184a9d42.jpg?v=1785098963" TargetMode="External" Id="rId19"/><Relationship Type="http://schemas.openxmlformats.org/officeDocument/2006/relationships/hyperlink" Target="https://cdn.shopify.com/s/files/1/0792/5098/1063/files/af11f2e375dabf355f9318fb1eea3b312db7cd0ed95fb4b96e7b537d184a9d42.jpg?v=1785098963" TargetMode="External" Id="rId20"/><Relationship Type="http://schemas.openxmlformats.org/officeDocument/2006/relationships/hyperlink" Target="https://cdn.shopify.com/s/files/1/0792/5098/1063/files/f940efaf872da7294b0ec99795596430c32c922db66b35243684820e65417fb3.jpg?v=1785098963" TargetMode="External" Id="rId21"/><Relationship Type="http://schemas.openxmlformats.org/officeDocument/2006/relationships/hyperlink" Target="https://cdn.shopify.com/s/files/1/0792/5098/1063/files/f940efaf872da7294b0ec99795596430c32c922db66b35243684820e65417fb3.jpg?v=1785098963" TargetMode="External" Id="rId22"/><Relationship Type="http://schemas.openxmlformats.org/officeDocument/2006/relationships/hyperlink" Target="https://cdn.shopify.com/s/files/1/0792/5098/1063/files/e0cc67382e14f285ae5b93b57a9e0bfb1a6da6368549d710aed5a534af0f3e89.jpg?v=1785098963" TargetMode="External" Id="rId23"/><Relationship Type="http://schemas.openxmlformats.org/officeDocument/2006/relationships/hyperlink" Target="https://cdn.shopify.com/s/files/1/0792/5098/1063/files/e0cc67382e14f285ae5b93b57a9e0bfb1a6da6368549d710aed5a534af0f3e89.jpg?v=1785098963" TargetMode="External" Id="rId24"/><Relationship Type="http://schemas.openxmlformats.org/officeDocument/2006/relationships/hyperlink" Target="https://cdn.shopify.com/s/files/1/0792/5098/1063/files/c125a162b81ac7a0917f20a9f0ef6de99ea1d1287c4b81750b47673eae384743.jpg?v=1787233735" TargetMode="External" Id="rId25"/><Relationship Type="http://schemas.openxmlformats.org/officeDocument/2006/relationships/hyperlink" Target="https://cdn.shopify.com/s/files/1/0792/5098/1063/files/c125a162b81ac7a0917f20a9f0ef6de99ea1d1287c4b81750b47673eae384743.jpg?v=1787233735" TargetMode="External" Id="rId26"/><Relationship Type="http://schemas.openxmlformats.org/officeDocument/2006/relationships/hyperlink" Target="https://cdn.shopify.com/s/files/1/0792/5098/1063/files/7a88284bac324abbd9e85d02486e08e699c97d58643e1069e6adbbc0aaa005b3.jpg?v=1787233735" TargetMode="External" Id="rId27"/><Relationship Type="http://schemas.openxmlformats.org/officeDocument/2006/relationships/hyperlink" Target="https://cdn.shopify.com/s/files/1/0792/5098/1063/files/7a88284bac324abbd9e85d02486e08e699c97d58643e1069e6adbbc0aaa005b3.jpg?v=1787233735" TargetMode="External" Id="rId28"/><Relationship Type="http://schemas.openxmlformats.org/officeDocument/2006/relationships/hyperlink" Target="https://cdn.shopify.com/s/files/1/0792/5098/1063/files/f32a0ab9ff68ed03ce7eeb22aba59688cf62bd847260ddb6328da301eba420f1.jpg?v=1787233735" TargetMode="External" Id="rId29"/><Relationship Type="http://schemas.openxmlformats.org/officeDocument/2006/relationships/hyperlink" Target="https://cdn.shopify.com/s/files/1/0792/5098/1063/files/f32a0ab9ff68ed03ce7eeb22aba59688cf62bd847260ddb6328da301eba420f1.jpg?v=1787233735" TargetMode="External" Id="rId30"/><Relationship Type="http://schemas.openxmlformats.org/officeDocument/2006/relationships/hyperlink" Target="https://cdn.shopify.com/s/files/1/0792/5098/1063/files/1bbca18f85bad17a4319e22b1226d6662eb2bab7b67726b2423904e5d0e36838.jpg?v=1787233735" TargetMode="External" Id="rId31"/><Relationship Type="http://schemas.openxmlformats.org/officeDocument/2006/relationships/hyperlink" Target="https://cdn.shopify.com/s/files/1/0792/5098/1063/files/1bbca18f85bad17a4319e22b1226d6662eb2bab7b67726b2423904e5d0e36838.jpg?v=1787233735" TargetMode="External" Id="rId32"/><Relationship Type="http://schemas.openxmlformats.org/officeDocument/2006/relationships/hyperlink" Target="https://cdn.shopify.com/s/files/1/0792/5098/1063/files/32dcd15df2916d5b1b8d8d68f2f607c4714e8c2431775c9aca2dfd45240abd6f.jpg?v=1787233735" TargetMode="External" Id="rId33"/><Relationship Type="http://schemas.openxmlformats.org/officeDocument/2006/relationships/hyperlink" Target="https://cdn.shopify.com/s/files/1/0792/5098/1063/files/32dcd15df2916d5b1b8d8d68f2f607c4714e8c2431775c9aca2dfd45240abd6f.jpg?v=1787233735" TargetMode="External" Id="rId34"/><Relationship Type="http://schemas.openxmlformats.org/officeDocument/2006/relationships/hyperlink" Target="https://cdn.shopify.com/s/files/1/0792/5098/1063/files/dc70b03e88939e50ced310aa559c8361dac40ba03af7d4e5a16ecc0308756e3b.jpg?v=1787233735" TargetMode="External" Id="rId35"/><Relationship Type="http://schemas.openxmlformats.org/officeDocument/2006/relationships/hyperlink" Target="https://cdn.shopify.com/s/files/1/0792/5098/1063/files/dc70b03e88939e50ced310aa559c8361dac40ba03af7d4e5a16ecc0308756e3b.jpg?v=1787233735" TargetMode="External" Id="rId36"/><Relationship Type="http://schemas.openxmlformats.org/officeDocument/2006/relationships/hyperlink" Target="https://cdn.shopify.com/s/files/1/0792/5098/1063/files/c37475656bf98ea019e9e9887fa4be4c65af24e59e440b0e459561c573680aa0.jpg?v=1787233735" TargetMode="External" Id="rId37"/><Relationship Type="http://schemas.openxmlformats.org/officeDocument/2006/relationships/hyperlink" Target="https://cdn.shopify.com/s/files/1/0792/5098/1063/files/c37475656bf98ea019e9e9887fa4be4c65af24e59e440b0e459561c573680aa0.jpg?v=1787233735" TargetMode="External" Id="rId38"/><Relationship Type="http://schemas.openxmlformats.org/officeDocument/2006/relationships/hyperlink" Target="https://cdn.shopify.com/s/files/1/0792/5098/1063/files/3c7bf8f759fde9a601188dc9ea3bfb0f79f2706824b7f370fe34e30020f2a202.jpg?v=1787233713" TargetMode="External" Id="rId39"/><Relationship Type="http://schemas.openxmlformats.org/officeDocument/2006/relationships/hyperlink" Target="https://cdn.shopify.com/s/files/1/0792/5098/1063/files/3c7bf8f759fde9a601188dc9ea3bfb0f79f2706824b7f370fe34e30020f2a202.jpg?v=1787233713" TargetMode="External" Id="rId40"/><Relationship Type="http://schemas.openxmlformats.org/officeDocument/2006/relationships/hyperlink" Target="https://cdn.shopify.com/s/files/1/0792/5098/1063/files/45d1fdc812fc32fda9640edc194f4f3eb069b49c9bad423b59abfe172e4a5c89.jpg?v=1787233712" TargetMode="External" Id="rId41"/><Relationship Type="http://schemas.openxmlformats.org/officeDocument/2006/relationships/hyperlink" Target="https://cdn.shopify.com/s/files/1/0792/5098/1063/files/45d1fdc812fc32fda9640edc194f4f3eb069b49c9bad423b59abfe172e4a5c89.jpg?v=1787233712" TargetMode="External" Id="rId42"/><Relationship Type="http://schemas.openxmlformats.org/officeDocument/2006/relationships/hyperlink" Target="https://cdn.shopify.com/s/files/1/0792/5098/1063/files/3a2053c767418069e7798a6396238963761e34d481d46bd9d676cc7a722ce425.jpg?v=1787233713" TargetMode="External" Id="rId43"/><Relationship Type="http://schemas.openxmlformats.org/officeDocument/2006/relationships/hyperlink" Target="https://cdn.shopify.com/s/files/1/0792/5098/1063/files/3a2053c767418069e7798a6396238963761e34d481d46bd9d676cc7a722ce425.jpg?v=1787233713" TargetMode="External" Id="rId44"/><Relationship Type="http://schemas.openxmlformats.org/officeDocument/2006/relationships/hyperlink" Target="https://cdn.shopify.com/s/files/1/0792/5098/1063/files/ca1530c052c368c7b33901d9e2fd47aa2d3c8729c2b6a8e94b515887302df3a0.jpg?v=1787233712" TargetMode="External" Id="rId45"/><Relationship Type="http://schemas.openxmlformats.org/officeDocument/2006/relationships/hyperlink" Target="https://cdn.shopify.com/s/files/1/0792/5098/1063/files/ca1530c052c368c7b33901d9e2fd47aa2d3c8729c2b6a8e94b515887302df3a0.jpg?v=1787233712" TargetMode="External" Id="rId46"/><Relationship Type="http://schemas.openxmlformats.org/officeDocument/2006/relationships/hyperlink" Target="https://cdn.shopify.com/s/files/1/0792/5098/1063/files/1fa8058540449ec4eb68c35fe7ec37e0856cc71fc7a5029d3951ed6945165bfc.jpg?v=1787233713" TargetMode="External" Id="rId47"/><Relationship Type="http://schemas.openxmlformats.org/officeDocument/2006/relationships/hyperlink" Target="https://cdn.shopify.com/s/files/1/0792/5098/1063/files/1fa8058540449ec4eb68c35fe7ec37e0856cc71fc7a5029d3951ed6945165bfc.jpg?v=1787233713" TargetMode="External" Id="rId48"/><Relationship Type="http://schemas.openxmlformats.org/officeDocument/2006/relationships/hyperlink" Target="https://cdn.shopify.com/s/files/1/0792/5098/1063/files/71e21ed6c41ef40003dcc207eada8ae5687d7cdc52c7c96941fafe821b96cf71.jpg?v=1787233712" TargetMode="External" Id="rId49"/><Relationship Type="http://schemas.openxmlformats.org/officeDocument/2006/relationships/hyperlink" Target="https://cdn.shopify.com/s/files/1/0792/5098/1063/files/71e21ed6c41ef40003dcc207eada8ae5687d7cdc52c7c96941fafe821b96cf71.jpg?v=1787233712" TargetMode="External" Id="rId50"/><Relationship Type="http://schemas.openxmlformats.org/officeDocument/2006/relationships/hyperlink" Target="https://cdn.shopify.com/s/files/1/0792/5098/1063/files/2e61c65733910ced1b3279c5c08d3d803cc79f9b416df50e273ff128a85b4f69.jpg?v=1787233712" TargetMode="External" Id="rId51"/><Relationship Type="http://schemas.openxmlformats.org/officeDocument/2006/relationships/hyperlink" Target="https://cdn.shopify.com/s/files/1/0792/5098/1063/files/2e61c65733910ced1b3279c5c08d3d803cc79f9b416df50e273ff128a85b4f69.jpg?v=1787233712" TargetMode="External" Id="rId52"/><Relationship Type="http://schemas.openxmlformats.org/officeDocument/2006/relationships/hyperlink" Target="https://cdn.shopify.com/s/files/1/0792/5098/1063/files/cd93064cff49abd094a4b54d4c8521f964011ef3177c132c9e7664b7ae385495.jpg?v=1785101924" TargetMode="External" Id="rId53"/><Relationship Type="http://schemas.openxmlformats.org/officeDocument/2006/relationships/hyperlink" Target="https://cdn.shopify.com/s/files/1/0792/5098/1063/files/cd93064cff49abd094a4b54d4c8521f964011ef3177c132c9e7664b7ae385495.jpg?v=1785101924" TargetMode="External" Id="rId54"/><Relationship Type="http://schemas.openxmlformats.org/officeDocument/2006/relationships/hyperlink" Target="https://cdn.shopify.com/s/files/1/0792/5098/1063/files/384ec0bb85a1c394b826a8ce0cc726e412f6f9248512418013abccd1c39244e3.jpg?v=1785101924" TargetMode="External" Id="rId55"/><Relationship Type="http://schemas.openxmlformats.org/officeDocument/2006/relationships/hyperlink" Target="https://cdn.shopify.com/s/files/1/0792/5098/1063/files/384ec0bb85a1c394b826a8ce0cc726e412f6f9248512418013abccd1c39244e3.jpg?v=1785101924" TargetMode="External" Id="rId56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7"/><Relationship Type="http://schemas.openxmlformats.org/officeDocument/2006/relationships/hyperlink" Target="https://cdn.shopify.com/s/files/1/0792/5098/1063/files/16f7293cbefa5743a35b2e6316a5a114e5c052d08151e367dafd26aa5e2e542b_1645c7b1-7dd0-4432-8f0e-842386b9a1b7.jpg?v=1785101924" TargetMode="External" Id="rId58"/><Relationship Type="http://schemas.openxmlformats.org/officeDocument/2006/relationships/hyperlink" Target="https://cdn.shopify.com/s/files/1/0792/5098/1063/files/3e41b1b3613ae8424f256e83517163fa8317c8d737d739882986d6ecc0324617.jpg?v=1785101924" TargetMode="External" Id="rId59"/><Relationship Type="http://schemas.openxmlformats.org/officeDocument/2006/relationships/hyperlink" Target="https://cdn.shopify.com/s/files/1/0792/5098/1063/files/3e41b1b3613ae8424f256e83517163fa8317c8d737d739882986d6ecc0324617.jpg?v=1785101924" TargetMode="External" Id="rId60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1"/><Relationship Type="http://schemas.openxmlformats.org/officeDocument/2006/relationships/hyperlink" Target="https://cdn.shopify.com/s/files/1/0792/5098/1063/files/7c006bddc94d4763c71c8376307e195c1bbce73b8c802ec73ac5a8cef1291262_a3fb9a4f-ebe5-48cb-aa4f-5ac39a8a9cdc.jpg?v=1785101924" TargetMode="External" Id="rId62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3"/><Relationship Type="http://schemas.openxmlformats.org/officeDocument/2006/relationships/hyperlink" Target="https://cdn.shopify.com/s/files/1/0792/5098/1063/files/e5cad84edb4d7bf77c48fd7c8e52eb3b73f04eba8bf177671fd8a059c59422e8_0a0a59ee-c0ee-4995-bf6a-e815a670b8e3.jpg?v=1785101924" TargetMode="External" Id="rId64"/><Relationship Type="http://schemas.openxmlformats.org/officeDocument/2006/relationships/hyperlink" Target="https://cdn.shopify.com/s/files/1/0792/5098/1063/files/11f76d2e307e1c50766e2c6b95e8a9272e0546226ca0a5996ceecb7ad1d1e36b.jpg?v=1785100474" TargetMode="External" Id="rId65"/><Relationship Type="http://schemas.openxmlformats.org/officeDocument/2006/relationships/hyperlink" Target="https://cdn.shopify.com/s/files/1/0792/5098/1063/files/11f76d2e307e1c50766e2c6b95e8a9272e0546226ca0a5996ceecb7ad1d1e36b.jpg?v=1785100474" TargetMode="External" Id="rId66"/><Relationship Type="http://schemas.openxmlformats.org/officeDocument/2006/relationships/hyperlink" Target="https://cdn.shopify.com/s/files/1/0792/5098/1063/files/a086ef784a942cd52629fe736719d7e523332dd679d2ff85ee39f4db573b7877.jpg?v=1785100474" TargetMode="External" Id="rId67"/><Relationship Type="http://schemas.openxmlformats.org/officeDocument/2006/relationships/hyperlink" Target="https://cdn.shopify.com/s/files/1/0792/5098/1063/files/a086ef784a942cd52629fe736719d7e523332dd679d2ff85ee39f4db573b7877.jpg?v=1785100474" TargetMode="External" Id="rId68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69"/><Relationship Type="http://schemas.openxmlformats.org/officeDocument/2006/relationships/hyperlink" Target="https://cdn.shopify.com/s/files/1/0792/5098/1063/files/16f7293cbefa5743a35b2e6316a5a114e5c052d08151e367dafd26aa5e2e542b_f61d59c9-1e61-473b-93e0-490c63ed9242.jpg?v=1785100474" TargetMode="External" Id="rId70"/><Relationship Type="http://schemas.openxmlformats.org/officeDocument/2006/relationships/hyperlink" Target="https://cdn.shopify.com/s/files/1/0792/5098/1063/files/1bb27dd96fe081443e8b20966cb77e2c7e536a5f697d54f3941ab027a2445269.jpg?v=1785100474" TargetMode="External" Id="rId71"/><Relationship Type="http://schemas.openxmlformats.org/officeDocument/2006/relationships/hyperlink" Target="https://cdn.shopify.com/s/files/1/0792/5098/1063/files/1bb27dd96fe081443e8b20966cb77e2c7e536a5f697d54f3941ab027a2445269.jpg?v=1785100474" TargetMode="External" Id="rId72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3"/><Relationship Type="http://schemas.openxmlformats.org/officeDocument/2006/relationships/hyperlink" Target="https://cdn.shopify.com/s/files/1/0792/5098/1063/files/7c006bddc94d4763c71c8376307e195c1bbce73b8c802ec73ac5a8cef1291262_f556ba8b-082d-45f0-9344-319cc291850f.jpg?v=1785100474" TargetMode="External" Id="rId74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5"/><Relationship Type="http://schemas.openxmlformats.org/officeDocument/2006/relationships/hyperlink" Target="https://cdn.shopify.com/s/files/1/0792/5098/1063/files/e5cad84edb4d7bf77c48fd7c8e52eb3b73f04eba8bf177671fd8a059c59422e8_e68e02cc-c567-4e1f-93b4-3efe2b03219d.jpg?v=1785100474" TargetMode="External" Id="rId76"/><Relationship Type="http://schemas.openxmlformats.org/officeDocument/2006/relationships/hyperlink" Target="https://cdn.shopify.com/s/files/1/0792/5098/1063/files/b38409cca05f668cdad57ab52d40b4b00fb8c161ab5af391eaf7a4ce3b8892f2.jpg?v=1785100295" TargetMode="External" Id="rId77"/><Relationship Type="http://schemas.openxmlformats.org/officeDocument/2006/relationships/hyperlink" Target="https://cdn.shopify.com/s/files/1/0792/5098/1063/files/b38409cca05f668cdad57ab52d40b4b00fb8c161ab5af391eaf7a4ce3b8892f2.jpg?v=1785100295" TargetMode="External" Id="rId78"/><Relationship Type="http://schemas.openxmlformats.org/officeDocument/2006/relationships/hyperlink" Target="https://cdn.shopify.com/s/files/1/0792/5098/1063/files/541f7a11cb182f93e5c63ff4db954de7b224c4f859e24518f310d671cca10275.jpg?v=1785100295" TargetMode="External" Id="rId79"/><Relationship Type="http://schemas.openxmlformats.org/officeDocument/2006/relationships/hyperlink" Target="https://cdn.shopify.com/s/files/1/0792/5098/1063/files/541f7a11cb182f93e5c63ff4db954de7b224c4f859e24518f310d671cca10275.jpg?v=1785100295" TargetMode="External" Id="rId80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1"/><Relationship Type="http://schemas.openxmlformats.org/officeDocument/2006/relationships/hyperlink" Target="https://cdn.shopify.com/s/files/1/0792/5098/1063/files/9aa9c35ad239e2defe80d680bfc9c3ac770143ee38bd0c93c9b9e1b1dc297f8c_36262fc6-efaa-4cca-aed1-b9455ede2ae8.jpg?v=1785100295" TargetMode="External" Id="rId82"/><Relationship Type="http://schemas.openxmlformats.org/officeDocument/2006/relationships/hyperlink" Target="https://cdn.shopify.com/s/files/1/0792/5098/1063/files/7a84d6352dbc1e78ebe1fc0d5c248b6dada28fcf2bc3ae2d6caf4e1511373e35.jpg?v=1785100295" TargetMode="External" Id="rId83"/><Relationship Type="http://schemas.openxmlformats.org/officeDocument/2006/relationships/hyperlink" Target="https://cdn.shopify.com/s/files/1/0792/5098/1063/files/7a84d6352dbc1e78ebe1fc0d5c248b6dada28fcf2bc3ae2d6caf4e1511373e35.jpg?v=1785100295" TargetMode="External" Id="rId84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5"/><Relationship Type="http://schemas.openxmlformats.org/officeDocument/2006/relationships/hyperlink" Target="https://cdn.shopify.com/s/files/1/0792/5098/1063/files/1bbfbfcf6d26cde4c41dc9cd48a48d8537c348d2d8ae8239cde2198dbac1d7d5_2f6333ff-2210-49b8-95cd-4a58a2c3229b.jpg?v=1785100295" TargetMode="External" Id="rId86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7"/><Relationship Type="http://schemas.openxmlformats.org/officeDocument/2006/relationships/hyperlink" Target="https://cdn.shopify.com/s/files/1/0792/5098/1063/files/b875bfc16d8349abe649f457b947dd0efc388f0aa8df8cf243abee1bb432b085_894668af-b5c7-4cad-b078-ede9e4dae69a.jpg?v=1785100295" TargetMode="External" Id="rId88"/><Relationship Type="http://schemas.openxmlformats.org/officeDocument/2006/relationships/hyperlink" Target="https://cdn.shopify.com/s/files/1/0792/5098/1063/files/e5722218140b0bda49ea2f5691bd969b1bc3066cad7c3a0bb0771d1509e66d50.jpg?v=1785101771" TargetMode="External" Id="rId89"/><Relationship Type="http://schemas.openxmlformats.org/officeDocument/2006/relationships/hyperlink" Target="https://cdn.shopify.com/s/files/1/0792/5098/1063/files/e5722218140b0bda49ea2f5691bd969b1bc3066cad7c3a0bb0771d1509e66d50.jpg?v=1785101771" TargetMode="External" Id="rId90"/><Relationship Type="http://schemas.openxmlformats.org/officeDocument/2006/relationships/hyperlink" Target="https://cdn.shopify.com/s/files/1/0792/5098/1063/files/5583b1802d78e566880d8695a5c0bcdf0bb685b148b271042c5b29db02caaf18.jpg?v=1785101770" TargetMode="External" Id="rId91"/><Relationship Type="http://schemas.openxmlformats.org/officeDocument/2006/relationships/hyperlink" Target="https://cdn.shopify.com/s/files/1/0792/5098/1063/files/5583b1802d78e566880d8695a5c0bcdf0bb685b148b271042c5b29db02caaf18.jpg?v=1785101770" TargetMode="External" Id="rId92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3"/><Relationship Type="http://schemas.openxmlformats.org/officeDocument/2006/relationships/hyperlink" Target="https://cdn.shopify.com/s/files/1/0792/5098/1063/files/16f7293cbefa5743a35b2e6316a5a114e5c052d08151e367dafd26aa5e2e542b_50c40cd4-4737-483e-b146-d01efedc6b1f.jpg?v=1785101770" TargetMode="External" Id="rId94"/><Relationship Type="http://schemas.openxmlformats.org/officeDocument/2006/relationships/hyperlink" Target="https://cdn.shopify.com/s/files/1/0792/5098/1063/files/c05fa3057772437a9c016de35e8829c295fa0f9aa5ab3e4cef2ef36b835bcecb.jpg?v=1785101770" TargetMode="External" Id="rId95"/><Relationship Type="http://schemas.openxmlformats.org/officeDocument/2006/relationships/hyperlink" Target="https://cdn.shopify.com/s/files/1/0792/5098/1063/files/c05fa3057772437a9c016de35e8829c295fa0f9aa5ab3e4cef2ef36b835bcecb.jpg?v=1785101770" TargetMode="External" Id="rId96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7"/><Relationship Type="http://schemas.openxmlformats.org/officeDocument/2006/relationships/hyperlink" Target="https://cdn.shopify.com/s/files/1/0792/5098/1063/files/7c006bddc94d4763c71c8376307e195c1bbce73b8c802ec73ac5a8cef1291262_e42da11c-22a6-4e3d-bb70-996edab6cf62.jpg?v=1785101771" TargetMode="External" Id="rId98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99"/><Relationship Type="http://schemas.openxmlformats.org/officeDocument/2006/relationships/hyperlink" Target="https://cdn.shopify.com/s/files/1/0792/5098/1063/files/e5cad84edb4d7bf77c48fd7c8e52eb3b73f04eba8bf177671fd8a059c59422e8_83f80854-ef3b-498b-9687-6e0c3210b351.jpg?v=1785101770" TargetMode="External" Id="rId100"/><Relationship Type="http://schemas.openxmlformats.org/officeDocument/2006/relationships/hyperlink" Target="https://cdn.shopify.com/s/files/1/0792/5098/1063/files/f9e8536c20f2dc19107c6fd69a43535c4bb88bac4323fd1ee6ac49a2601099d3.jpg?v=1785102312" TargetMode="External" Id="rId101"/><Relationship Type="http://schemas.openxmlformats.org/officeDocument/2006/relationships/hyperlink" Target="https://cdn.shopify.com/s/files/1/0792/5098/1063/files/f9e8536c20f2dc19107c6fd69a43535c4bb88bac4323fd1ee6ac49a2601099d3.jpg?v=1785102312" TargetMode="External" Id="rId102"/><Relationship Type="http://schemas.openxmlformats.org/officeDocument/2006/relationships/hyperlink" Target="https://cdn.shopify.com/s/files/1/0792/5098/1063/files/928eb50ae3f1bc7e4d40765cc2350f1fd1aba1a4ed6c886ee957ba75876d92ff.jpg?v=1785102312" TargetMode="External" Id="rId103"/><Relationship Type="http://schemas.openxmlformats.org/officeDocument/2006/relationships/hyperlink" Target="https://cdn.shopify.com/s/files/1/0792/5098/1063/files/928eb50ae3f1bc7e4d40765cc2350f1fd1aba1a4ed6c886ee957ba75876d92ff.jpg?v=1785102312" TargetMode="External" Id="rId104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5"/><Relationship Type="http://schemas.openxmlformats.org/officeDocument/2006/relationships/hyperlink" Target="https://cdn.shopify.com/s/files/1/0792/5098/1063/files/16f7293cbefa5743a35b2e6316a5a114e5c052d08151e367dafd26aa5e2e542b_1acfa0ab-cba8-45fa-a4cf-f1fd84ab628b.jpg?v=1785102312" TargetMode="External" Id="rId106"/><Relationship Type="http://schemas.openxmlformats.org/officeDocument/2006/relationships/hyperlink" Target="https://cdn.shopify.com/s/files/1/0792/5098/1063/files/fcef7f349baccd1d4b9d05508c169228825a3e4845ac14a8f93db8f652db7186.jpg?v=1785102312" TargetMode="External" Id="rId107"/><Relationship Type="http://schemas.openxmlformats.org/officeDocument/2006/relationships/hyperlink" Target="https://cdn.shopify.com/s/files/1/0792/5098/1063/files/fcef7f349baccd1d4b9d05508c169228825a3e4845ac14a8f93db8f652db7186.jpg?v=1785102312" TargetMode="External" Id="rId108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09"/><Relationship Type="http://schemas.openxmlformats.org/officeDocument/2006/relationships/hyperlink" Target="https://cdn.shopify.com/s/files/1/0792/5098/1063/files/7c006bddc94d4763c71c8376307e195c1bbce73b8c802ec73ac5a8cef1291262_e57e2d4f-2a74-4a7f-9a82-b7c808f9b0cc.jpg?v=1785102312" TargetMode="External" Id="rId110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1"/><Relationship Type="http://schemas.openxmlformats.org/officeDocument/2006/relationships/hyperlink" Target="https://cdn.shopify.com/s/files/1/0792/5098/1063/files/e5cad84edb4d7bf77c48fd7c8e52eb3b73f04eba8bf177671fd8a059c59422e8_e4232455-7802-4105-bf12-f40717779408.jpg?v=1785102312" TargetMode="External" Id="rId112"/><Relationship Type="http://schemas.openxmlformats.org/officeDocument/2006/relationships/hyperlink" Target="https://cdn.shopify.com/s/files/1/0792/5098/1063/files/a6aedfb7f9b81449b401a91a0409992efbba09d035e85d8e5cc7da9802dc0589.jpg?v=1785101840" TargetMode="External" Id="rId113"/><Relationship Type="http://schemas.openxmlformats.org/officeDocument/2006/relationships/hyperlink" Target="https://cdn.shopify.com/s/files/1/0792/5098/1063/files/a6aedfb7f9b81449b401a91a0409992efbba09d035e85d8e5cc7da9802dc0589.jpg?v=1785101840" TargetMode="External" Id="rId114"/><Relationship Type="http://schemas.openxmlformats.org/officeDocument/2006/relationships/hyperlink" Target="https://cdn.shopify.com/s/files/1/0792/5098/1063/files/c68aa5c462e7e6a06d4fab3fb3a9399d56e5454756be9390c9f0a2573c8bb7ae.jpg?v=1785101840" TargetMode="External" Id="rId115"/><Relationship Type="http://schemas.openxmlformats.org/officeDocument/2006/relationships/hyperlink" Target="https://cdn.shopify.com/s/files/1/0792/5098/1063/files/c68aa5c462e7e6a06d4fab3fb3a9399d56e5454756be9390c9f0a2573c8bb7ae.jpg?v=1785101840" TargetMode="External" Id="rId116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7"/><Relationship Type="http://schemas.openxmlformats.org/officeDocument/2006/relationships/hyperlink" Target="https://cdn.shopify.com/s/files/1/0792/5098/1063/files/16f7293cbefa5743a35b2e6316a5a114e5c052d08151e367dafd26aa5e2e542b_4cbeb11e-e4ef-4f2d-8aa3-de326b38c11b.jpg?v=1785101840" TargetMode="External" Id="rId118"/><Relationship Type="http://schemas.openxmlformats.org/officeDocument/2006/relationships/hyperlink" Target="https://cdn.shopify.com/s/files/1/0792/5098/1063/files/56be7714426e11e337618ffdd9b78d22e6d77bcea91f35de4b20937187994964.jpg?v=1785101840" TargetMode="External" Id="rId119"/><Relationship Type="http://schemas.openxmlformats.org/officeDocument/2006/relationships/hyperlink" Target="https://cdn.shopify.com/s/files/1/0792/5098/1063/files/56be7714426e11e337618ffdd9b78d22e6d77bcea91f35de4b20937187994964.jpg?v=1785101840" TargetMode="External" Id="rId120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1"/><Relationship Type="http://schemas.openxmlformats.org/officeDocument/2006/relationships/hyperlink" Target="https://cdn.shopify.com/s/files/1/0792/5098/1063/files/7c006bddc94d4763c71c8376307e195c1bbce73b8c802ec73ac5a8cef1291262_66044d52-aa86-47c2-84d2-beed979c5ac0.jpg?v=1785101840" TargetMode="External" Id="rId122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3"/><Relationship Type="http://schemas.openxmlformats.org/officeDocument/2006/relationships/hyperlink" Target="https://cdn.shopify.com/s/files/1/0792/5098/1063/files/e5cad84edb4d7bf77c48fd7c8e52eb3b73f04eba8bf177671fd8a059c59422e8_e9a8f6c7-84a8-4f8e-a21c-61b347436f7e.jpg?v=1785101840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Independent QA rubric.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D:\Shopify_Workspace\jeminise_seo\resutls\jeminise.com\20260906_234129\revisions\qa_batch_004_r5\SEO_Product_Optimization_qa_batch_004_r5.xlsx</t>
        </is>
      </c>
      <c r="C3" s="3" t="inlineStr">
        <is>
          <t>Frozen r5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F8E626867914229BF74FCFB13F4746B3103E08697DD69005E891661C8418B71D</t>
        </is>
      </c>
      <c r="C4" s="2" t="inlineStr">
        <is>
          <t>Hash matched snapshot before and after QA.</t>
        </is>
      </c>
    </row>
    <row r="5" ht="42" customHeight="1">
      <c r="A5" s="3" t="inlineStr">
        <is>
          <t>qa_run_id</t>
        </is>
      </c>
      <c r="B5" s="3" t="inlineStr">
        <is>
          <t>20260909_043000</t>
        </is>
      </c>
      <c r="C5" s="3" t="inlineStr">
        <is>
          <t>Independent re-QA run.</t>
        </is>
      </c>
    </row>
    <row r="6" ht="42" customHeight="1">
      <c r="A6" s="2" t="inlineStr">
        <is>
          <t>batch_id</t>
        </is>
      </c>
      <c r="B6" s="2" t="inlineStr">
        <is>
          <t>qa_batch_004_r5</t>
        </is>
      </c>
      <c r="C6" s="2" t="inlineStr">
        <is>
          <t>Inventory positions 31-40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Official product-key scope.</t>
        </is>
      </c>
    </row>
    <row r="8" ht="42" customHeight="1">
      <c r="A8" s="2" t="inlineStr">
        <is>
          <t>images_checked</t>
        </is>
      </c>
      <c r="B8" s="2" t="inlineStr">
        <is>
          <t>62/62</t>
        </is>
      </c>
      <c r="C8" s="2" t="inlineStr">
        <is>
          <t>Full image coverage, keyed by media ID/URL.</t>
        </is>
      </c>
    </row>
    <row r="9" ht="42" customHeight="1">
      <c r="A9" s="3" t="inlineStr">
        <is>
          <t>batch_final_score</t>
        </is>
      </c>
      <c r="B9" s="3">
        <f>AVERAGE('QA_Products'!$I$2:$I$11)</f>
        <v/>
      </c>
      <c r="C9" s="3" t="inlineStr">
        <is>
          <t>Average product final score.</t>
        </is>
      </c>
    </row>
    <row r="10" ht="42" customHeight="1">
      <c r="A10" s="2" t="inlineStr">
        <is>
          <t>batch_result</t>
        </is>
      </c>
      <c r="B10" s="2">
        <f>IF(COUNTIF('QA_Products'!$J$2:$J$11,"QA_PASS")=ROWS('QA_Products'!$J$2:$J$11),"PASSED","NOT_PASSED")</f>
        <v/>
      </c>
      <c r="C10" s="2" t="inlineStr">
        <is>
          <t>Every product has full coverage, &gt;=85 and no CRITICAL/MAJOR.</t>
        </is>
      </c>
    </row>
    <row r="11" ht="42" customHeight="1">
      <c r="A11" s="3" t="inlineStr">
        <is>
          <t>status_counts</t>
        </is>
      </c>
      <c r="B11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1" s="3" t="inlineStr">
        <is>
          <t>QA status counts.</t>
        </is>
      </c>
    </row>
    <row r="12" ht="42" customHeight="1">
      <c r="A12" s="2" t="inlineStr">
        <is>
          <t>issue_counts</t>
        </is>
      </c>
      <c r="B12" s="2" t="inlineStr">
        <is>
          <t>{"LIMITATION": 1}</t>
        </is>
      </c>
      <c r="C12" s="2" t="inlineStr">
        <is>
          <t>Severity counts.</t>
        </is>
      </c>
    </row>
    <row r="13" ht="42" customHeight="1">
      <c r="A13" s="3" t="inlineStr">
        <is>
          <t>admin_export</t>
        </is>
      </c>
      <c r="B13" s="3" t="inlineStr">
        <is>
          <t>products_export_1.csv; 62/62 image-alt matches</t>
        </is>
      </c>
      <c r="C13" s="3" t="inlineStr">
        <is>
          <t>R5 admin baseline.</t>
        </is>
      </c>
    </row>
    <row r="14" ht="42" customHeight="1">
      <c r="A14" s="2" t="inlineStr">
        <is>
          <t>historical_review</t>
        </is>
      </c>
      <c r="B14" s="2" t="inlineStr">
        <is>
          <t>{"RESOLVED": 51, "PERSISTS": 1}</t>
        </is>
      </c>
      <c r="C14" s="2" t="inlineStr">
        <is>
          <t>Historical r2/r4 findings rechecked, not scored.</t>
        </is>
      </c>
    </row>
    <row r="15" ht="42" customHeight="1">
      <c r="A15" s="3" t="inlineStr">
        <is>
          <t>xlsx_status</t>
        </is>
      </c>
      <c r="B15" s="3" t="inlineStr">
        <is>
          <t>COMPLETE</t>
        </is>
      </c>
      <c r="C15" s="3" t="inlineStr">
        <is>
          <t>Five-sheet QA workbook.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31</v>
      </c>
      <c r="B2" s="2" t="inlineStr">
        <is>
          <t>jeminise.com+christmas-cardinals-near-snowy-birdhouse-patchwork-floral-quilt-b90d55a935-b90d55a935</t>
        </is>
      </c>
      <c r="C2" s="4" t="inlineStr">
        <is>
          <t>https://jeminise.com/products/christmas-cardinals-near-snowy-birdhouse-patchwork-floral-quilt-b90d55a935-b90d55a935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["evidence_batch_004_031", "https://jeminise.com/products/christmas-cardinals-near-snowy-birdhouse-patchwork-floral-quilt-b90d55a935-b90d55a935", "serp_qa_031_1", "customizer_audit.json"]</t>
        </is>
      </c>
    </row>
    <row r="3" ht="42" customHeight="1">
      <c r="A3" s="3" t="n">
        <v>32</v>
      </c>
      <c r="B3" s="3" t="inlineStr">
        <is>
          <t>jeminise.com+christmas-cardinals-on-snowy-branches-patchwork-winter-quilt-8fa1a9e2ed-8fa1a9e2ed</t>
        </is>
      </c>
      <c r="C3" s="4" t="inlineStr">
        <is>
          <t>https://jeminise.com/products/christmas-cardinals-on-snowy-branches-patchwork-winter-quilt-8fa1a9e2ed-8fa1a9e2ed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5</v>
      </c>
      <c r="M3" s="3" t="n">
        <v>5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["evidence_batch_004_032", "https://jeminise.com/products/christmas-cardinals-on-snowy-branches-patchwork-winter-quilt-8fa1a9e2ed-8fa1a9e2ed", "serp_qa_032_1", "customizer_audit.json"]</t>
        </is>
      </c>
    </row>
    <row r="4" ht="42" customHeight="1">
      <c r="A4" s="2" t="n">
        <v>33</v>
      </c>
      <c r="B4" s="2" t="inlineStr">
        <is>
          <t>jeminise.com+cow-with-landscape-patchwork-quilt-animal-farmhouse-printed-quilt-set</t>
        </is>
      </c>
      <c r="C4" s="4" t="inlineStr">
        <is>
          <t>https://jeminise.com/products/cow-with-landscape-patchwork-quilt-animal-farmhouse-printed-quilt-set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["evidence_batch_004_033", "https://jeminise.com/products/cow-with-landscape-patchwork-quilt-animal-farmhouse-printed-quilt-set", "serp_qa_033_1", "customizer_audit.json"]</t>
        </is>
      </c>
    </row>
    <row r="5" ht="42" customHeight="1">
      <c r="A5" s="3" t="n">
        <v>34</v>
      </c>
      <c r="B5" s="3" t="inlineStr">
        <is>
          <t>jeminise.com+crocodile-patchwork-printed-quilts-animal-patchwork-bedding</t>
        </is>
      </c>
      <c r="C5" s="4" t="inlineStr">
        <is>
          <t>https://jeminise.com/products/crocodile-patchwork-printed-quilts-animal-patchwork-bedding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["evidence_batch_004_034", "https://jeminise.com/products/crocodile-patchwork-printed-quilts-animal-patchwork-bedding", "serp_qa_034_1", "customizer_audit.json"]</t>
        </is>
      </c>
    </row>
    <row r="6" ht="42" customHeight="1">
      <c r="A6" s="2" t="n">
        <v>35</v>
      </c>
      <c r="B6" s="2" t="inlineStr">
        <is>
          <t>jeminise.com+custom-retro-football-art-bedding-set-c66211cf75-c66211cf75</t>
        </is>
      </c>
      <c r="C6" s="4" t="inlineStr">
        <is>
          <t>https://jeminise.com/products/custom-retro-football-art-bedding-set-c66211cf75-c66211cf75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6</v>
      </c>
      <c r="M6" s="2" t="n">
        <v>6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["evidence_batch_004_035", "https://jeminise.com/products/custom-retro-football-art-bedding-set-c66211cf75-c66211cf75", "serp_qa_035_1", "customizer_audit.json"]</t>
        </is>
      </c>
    </row>
    <row r="7" ht="42" customHeight="1">
      <c r="A7" s="3" t="n">
        <v>36</v>
      </c>
      <c r="B7" s="3" t="inlineStr">
        <is>
          <t>jeminise.com+custom-american-football-close-up-on-grunge-vintage-comforter-26540e3264-26540e3264</t>
        </is>
      </c>
      <c r="C7" s="4" t="inlineStr">
        <is>
          <t>https://jeminise.com/products/custom-american-football-close-up-on-grunge-vintage-comforter-26540e3264-26540e3264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6</v>
      </c>
      <c r="M7" s="3" t="n">
        <v>6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["evidence_batch_004_036", "https://jeminise.com/products/custom-american-football-close-up-on-grunge-vintage-comforter-26540e3264-26540e3264", "serp_qa_036_1", "customizer_audit.json"]</t>
        </is>
      </c>
    </row>
    <row r="8" ht="42" customHeight="1">
      <c r="A8" s="2" t="n">
        <v>37</v>
      </c>
      <c r="B8" s="2" t="inlineStr">
        <is>
          <t>jeminise.com+custom-american-football-on-cosmic-background-vintage-comforter-62a3849621-62a3849621</t>
        </is>
      </c>
      <c r="C8" s="4" t="inlineStr">
        <is>
          <t>https://jeminise.com/products/custom-american-football-on-cosmic-background-vintage-comforter-62a3849621-62a3849621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6</v>
      </c>
      <c r="M8" s="2" t="n">
        <v>6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["evidence_batch_004_037", "https://jeminise.com/products/custom-american-football-on-cosmic-background-vintage-comforter-62a3849621-62a3849621", "serp_qa_037_1", "customizer_audit.json"]</t>
        </is>
      </c>
    </row>
    <row r="9" ht="42" customHeight="1">
      <c r="A9" s="3" t="n">
        <v>38</v>
      </c>
      <c r="B9" s="3" t="inlineStr">
        <is>
          <t>jeminise.com+custom-american-football-on-usa-flag-background-comforter-703a7c0d82-703a7c0d82</t>
        </is>
      </c>
      <c r="C9" s="4" t="inlineStr">
        <is>
          <t>https://jeminise.com/products/custom-american-football-on-usa-flag-background-comforter-703a7c0d82-703a7c0d82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6</v>
      </c>
      <c r="M9" s="3" t="n">
        <v>6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["evidence_batch_004_038", "https://jeminise.com/products/custom-american-football-on-usa-flag-background-comforter-703a7c0d82-703a7c0d82", "serp_qa_038_1", "customizer_audit.json"]</t>
        </is>
      </c>
    </row>
    <row r="10" ht="42" customHeight="1">
      <c r="A10" s="2" t="n">
        <v>39</v>
      </c>
      <c r="B10" s="2" t="inlineStr">
        <is>
          <t>jeminise.com+custom-american-football-with-paint-splash-background-vintage-comforter-da0e1d5bf1-da0e1d5bf1</t>
        </is>
      </c>
      <c r="C10" s="4" t="inlineStr">
        <is>
          <t>https://jeminise.com/products/custom-american-football-with-paint-splash-background-vintage-comforter-da0e1d5bf1-da0e1d5bf1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6</v>
      </c>
      <c r="M10" s="2" t="n">
        <v>6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["evidence_batch_004_039", "https://jeminise.com/products/custom-american-football-with-paint-splash-background-vintage-comforter-da0e1d5bf1-da0e1d5bf1", "serp_qa_039_1", "customizer_audit.json"]</t>
        </is>
      </c>
    </row>
    <row r="11" ht="42" customHeight="1">
      <c r="A11" s="3" t="n">
        <v>40</v>
      </c>
      <c r="B11" s="3" t="inlineStr">
        <is>
          <t>jeminise.com+custom-american-football-with-patriotic-flag-comforter-4a3a1ed3c9-4a3a1ed3c9</t>
        </is>
      </c>
      <c r="C11" s="4" t="inlineStr">
        <is>
          <t>https://jeminise.com/products/custom-american-football-with-patriotic-flag-comforter-4a3a1ed3c9-4a3a1ed3c9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6</v>
      </c>
      <c r="M11" s="3" t="n">
        <v>6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["evidence_batch_004_040", "https://jeminise.com/products/custom-american-football-with-patriotic-flag-comforter-4a3a1ed3c9-4a3a1ed3c9", "serp_qa_040_1", "customizer_audit.json"]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jeminise.com+christmas-cardinals-near-snowy-birdhouse-patchwork-floral-quilt-b90d55a935-b90d55a935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IF(B2="I1",AVERAGEIF('QA_Images'!$A$2:$A$63,A2,'QA_Images'!$S$2:$S$63)/100,IF(D2="FULL",1,IF(D2="PARTIAL",0.5,IF(D2="FAIL",0,""))))</f>
        <v/>
      </c>
      <c r="F2" s="5">
        <f>IF(E2="",0,C2*E2)</f>
        <v/>
      </c>
      <c r="G2" s="5">
        <f>IF(B2="I1",20*AVERAGEIF('QA_Images'!$A$2:$A$63,A2,'QA_Images'!$T$2:$T$63)/100,IF(D2="NOT_CHECKED",0,C2))</f>
        <v/>
      </c>
      <c r="H2" s="2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2" s="2" t="inlineStr">
        <is>
          <t>["evidence_batch_004_031", "https://jeminise.com/products/christmas-cardinals-near-snowy-birdhouse-patchwork-floral-quilt-b90d55a935-b90d55a935"]</t>
        </is>
      </c>
      <c r="J2" s="2" t="inlineStr">
        <is>
          <t>[]</t>
        </is>
      </c>
    </row>
    <row r="3" ht="42" customHeight="1">
      <c r="A3" s="3" t="inlineStr">
        <is>
          <t>jeminise.com+christmas-cardinals-near-snowy-birdhouse-patchwork-floral-quilt-b90d55a935-b90d55a935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IF(B3="I1",AVERAGEIF('QA_Images'!$A$2:$A$63,A3,'QA_Images'!$S$2:$S$63)/100,IF(D3="FULL",1,IF(D3="PARTIAL",0.5,IF(D3="FAIL",0,""))))</f>
        <v/>
      </c>
      <c r="F3" s="7">
        <f>IF(E3="",0,C3*E3)</f>
        <v/>
      </c>
      <c r="G3" s="7">
        <f>IF(B3="I1",20*AVERAGEIF('QA_Images'!$A$2:$A$63,A3,'QA_Images'!$T$2:$T$63)/100,IF(D3="NOT_CHECKED",0,C3))</f>
        <v/>
      </c>
      <c r="H3" s="3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3" s="3" t="inlineStr">
        <is>
          <t>["evidence_batch_004_031", "customizer_audit.json", "https://jeminise.com/products/christmas-cardinals-near-snowy-birdhouse-patchwork-floral-quilt-b90d55a935-b90d55a935"]</t>
        </is>
      </c>
      <c r="J3" s="3" t="inlineStr">
        <is>
          <t>[]</t>
        </is>
      </c>
    </row>
    <row r="4" ht="42" customHeight="1">
      <c r="A4" s="2" t="inlineStr">
        <is>
          <t>jeminise.com+christmas-cardinals-near-snowy-birdhouse-patchwork-floral-quilt-b90d55a935-b90d55a935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IF(B4="I1",AVERAGEIF('QA_Images'!$A$2:$A$63,A4,'QA_Images'!$S$2:$S$63)/100,IF(D4="FULL",1,IF(D4="PARTIAL",0.5,IF(D4="FAIL",0,""))))</f>
        <v/>
      </c>
      <c r="F4" s="5">
        <f>IF(E4="",0,C4*E4)</f>
        <v/>
      </c>
      <c r="G4" s="5">
        <f>IF(B4="I1",20*AVERAGEIF('QA_Images'!$A$2:$A$63,A4,'QA_Images'!$T$2:$T$63)/100,IF(D4="NOT_CHECKED",0,C4))</f>
        <v/>
      </c>
      <c r="H4" s="2" t="inlineStr">
        <is>
          <t>Đối chiếu long-tail với thiết kế riêng; phân biệt rõ các motif football (retro flag, grunge, cosmic, USA flag, paint splash, patriotic flag) tránh cannibalization.</t>
        </is>
      </c>
      <c r="I4" s="2" t="inlineStr">
        <is>
          <t>["evidence_batch_004_031", "serp_qa_031_1"]</t>
        </is>
      </c>
      <c r="J4" s="2" t="inlineStr">
        <is>
          <t>[]</t>
        </is>
      </c>
    </row>
    <row r="5" ht="42" customHeight="1">
      <c r="A5" s="3" t="inlineStr">
        <is>
          <t>jeminise.com+christmas-cardinals-near-snowy-birdhouse-patchwork-floral-quilt-b90d55a935-b90d55a935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IF(B5="I1",AVERAGEIF('QA_Images'!$A$2:$A$63,A5,'QA_Images'!$S$2:$S$63)/100,IF(D5="FULL",1,IF(D5="PARTIAL",0.5,IF(D5="FAIL",0,""))))</f>
        <v/>
      </c>
      <c r="F5" s="7">
        <f>IF(E5="",0,C5*E5)</f>
        <v/>
      </c>
      <c r="G5" s="7">
        <f>IF(B5="I1",20*AVERAGEIF('QA_Images'!$A$2:$A$63,A5,'QA_Images'!$T$2:$T$63)/100,IF(D5="NOT_CHECKED",0,C5))</f>
        <v/>
      </c>
      <c r="H5" s="3" t="inlineStr">
        <is>
          <t>Đã đọc lại 2 SERP query cho mỗi sản phẩm tại intent US; ghi URL thực đọc và không suy diễn volume.</t>
        </is>
      </c>
      <c r="I5" s="3" t="inlineStr">
        <is>
          <t>["evidence_batch_004_031", "serp_qa_031_1", "serp_qa_031_2"]</t>
        </is>
      </c>
      <c r="J5" s="3" t="inlineStr">
        <is>
          <t>[]</t>
        </is>
      </c>
    </row>
    <row r="6" ht="42" customHeight="1">
      <c r="A6" s="2" t="inlineStr">
        <is>
          <t>jeminise.com+christmas-cardinals-near-snowy-birdhouse-patchwork-floral-quilt-b90d55a935-b90d55a935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IF(B6="I1",AVERAGEIF('QA_Images'!$A$2:$A$63,A6,'QA_Images'!$S$2:$S$63)/100,IF(D6="FULL",1,IF(D6="PARTIAL",0.5,IF(D6="FAIL",0,""))))</f>
        <v/>
      </c>
      <c r="F6" s="5">
        <f>IF(E6="",0,C6*E6)</f>
        <v/>
      </c>
      <c r="G6" s="5">
        <f>IF(B6="I1",20*AVERAGEIF('QA_Images'!$A$2:$A$63,A6,'QA_Images'!$T$2:$T$63)/100,IF(D6="NOT_CHECKED",0,C6))</f>
        <v/>
      </c>
      <c r="H6" s="2" t="inlineStr">
        <is>
          <t>Không suy diễn volume; phân biệt rõ SERP_ONLY và HYPOTHESIS_ONLY trung thực.</t>
        </is>
      </c>
      <c r="I6" s="2" t="inlineStr">
        <is>
          <t>["evidence_batch_004_031", "Keyword_Map"]</t>
        </is>
      </c>
      <c r="J6" s="2" t="inlineStr">
        <is>
          <t>[]</t>
        </is>
      </c>
    </row>
    <row r="7" ht="42" customHeight="1">
      <c r="A7" s="3" t="inlineStr">
        <is>
          <t>jeminise.com+christmas-cardinals-near-snowy-birdhouse-patchwork-floral-quilt-b90d55a935-b90d55a935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IF(B7="I1",AVERAGEIF('QA_Images'!$A$2:$A$63,A7,'QA_Images'!$S$2:$S$63)/100,IF(D7="FULL",1,IF(D7="PARTIAL",0.5,IF(D7="FAIL",0,""))))</f>
        <v/>
      </c>
      <c r="F7" s="7">
        <f>IF(E7="",0,C7*E7)</f>
        <v/>
      </c>
      <c r="G7" s="7">
        <f>IF(B7="I1",20*AVERAGEIF('QA_Images'!$A$2:$A$63,A7,'QA_Images'!$T$2:$T$63)/100,IF(D7="NOT_CHECKED",0,C7))</f>
        <v/>
      </c>
      <c r="H7" s="3" t="inlineStr">
        <is>
          <t>Đánh giá SEO title English về độ đúng, tự nhiên, keyword mục tiêu và điểm phân biệt rõ ràng.</t>
        </is>
      </c>
      <c r="I7" s="3" t="inlineStr">
        <is>
          <t>["evidence_batch_004_031", "https://jeminise.com/products/christmas-cardinals-near-snowy-birdhouse-patchwork-floral-quilt-b90d55a935-b90d55a935"]</t>
        </is>
      </c>
      <c r="J7" s="3" t="inlineStr">
        <is>
          <t>[]</t>
        </is>
      </c>
    </row>
    <row r="8" ht="42" customHeight="1">
      <c r="A8" s="2" t="inlineStr">
        <is>
          <t>jeminise.com+christmas-cardinals-near-snowy-birdhouse-patchwork-floral-quilt-b90d55a935-b90d55a935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IF(B8="I1",AVERAGEIF('QA_Images'!$A$2:$A$63,A8,'QA_Images'!$S$2:$S$63)/100,IF(D8="FULL",1,IF(D8="PARTIAL",0.5,IF(D8="FAIL",0,""))))</f>
        <v/>
      </c>
      <c r="F8" s="5">
        <f>IF(E8="",0,C8*E8)</f>
        <v/>
      </c>
      <c r="G8" s="5">
        <f>IF(B8="I1",20*AVERAGEIF('QA_Images'!$A$2:$A$63,A8,'QA_Images'!$T$2:$T$63)/100,IF(D8="NOT_CHECKED",0,C8))</f>
        <v/>
      </c>
      <c r="H8" s="2" t="inlineStr">
        <is>
          <t>Đánh giá H1 đề xuất độc lập với SEO title, nhất quán với chủ đề và phân biệt sản phẩm.</t>
        </is>
      </c>
      <c r="I8" s="2" t="inlineStr">
        <is>
          <t>["evidence_batch_004_031", "https://jeminise.com/products/christmas-cardinals-near-snowy-birdhouse-patchwork-floral-quilt-b90d55a935-b90d55a935"]</t>
        </is>
      </c>
      <c r="J8" s="2" t="inlineStr">
        <is>
          <t>[]</t>
        </is>
      </c>
    </row>
    <row r="9" ht="42" customHeight="1">
      <c r="A9" s="3" t="inlineStr">
        <is>
          <t>jeminise.com+christmas-cardinals-near-snowy-birdhouse-patchwork-floral-quilt-b90d55a935-b90d55a935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IF(B9="I1",AVERAGEIF('QA_Images'!$A$2:$A$63,A9,'QA_Images'!$S$2:$S$63)/100,IF(D9="FULL",1,IF(D9="PARTIAL",0.5,IF(D9="FAIL",0,""))))</f>
        <v/>
      </c>
      <c r="F9" s="7">
        <f>IF(E9="",0,C9*E9)</f>
        <v/>
      </c>
      <c r="G9" s="7">
        <f>IF(B9="I1",20*AVERAGEIF('QA_Images'!$A$2:$A$63,A9,'QA_Images'!$T$2:$T$63)/100,IF(D9="NOT_CHECKED",0,C9))</f>
        <v/>
      </c>
      <c r="H9" s="3" t="inlineStr">
        <is>
          <t>Đánh giá meta description về tính cụ thể, mạch lạc, tóm tắt chính xác tính năng và tùy chọn mua hàng.</t>
        </is>
      </c>
      <c r="I9" s="3" t="inlineStr">
        <is>
          <t>["evidence_batch_004_031", "https://jeminise.com/products/christmas-cardinals-near-snowy-birdhouse-patchwork-floral-quilt-b90d55a935-b90d55a935"]</t>
        </is>
      </c>
      <c r="J9" s="3" t="inlineStr">
        <is>
          <t>[]</t>
        </is>
      </c>
    </row>
    <row r="10" ht="42" customHeight="1">
      <c r="A10" s="2" t="inlineStr">
        <is>
          <t>jeminise.com+christmas-cardinals-near-snowy-birdhouse-patchwork-floral-quilt-b90d55a935-b90d55a935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IF(B10="I1",AVERAGEIF('QA_Images'!$A$2:$A$63,A10,'QA_Images'!$S$2:$S$63)/100,IF(D10="FULL",1,IF(D10="PARTIAL",0.5,IF(D10="FAIL",0,""))))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IF(B10="I1",20*AVERAGEIF('QA_Images'!$A$2:$A$63,A10,'QA_Images'!$T$2:$T$63)/100,IF(D10="NOT_CHECKED",0,C10))</f>
        <v/>
      </c>
      <c r="H10" s="2" t="inlineStr">
        <is>
          <t>Description r5 hoàn toàn customer-facing, không còn ngôn ngữ nội bộ/quy trình; phản ánh đúng thuộc tính, không chép sai dragonfly/alligator, nêu đúng tùy biến.</t>
        </is>
      </c>
      <c r="I10" s="2" t="inlineStr">
        <is>
          <t>["evidence_batch_004_031", "https://jeminise.com/products/christmas-cardinals-near-snowy-birdhouse-patchwork-floral-quilt-b90d55a935-b90d55a935"]</t>
        </is>
      </c>
      <c r="J10" s="2" t="inlineStr">
        <is>
          <t>[]</t>
        </is>
      </c>
    </row>
    <row r="11" ht="42" customHeight="1">
      <c r="A11" s="3" t="inlineStr">
        <is>
          <t>jeminise.com+christmas-cardinals-near-snowy-birdhouse-patchwork-floral-quilt-b90d55a935-b90d55a935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IF(B11="I1",AVERAGEIF('QA_Images'!$A$2:$A$63,A11,'QA_Images'!$S$2:$S$63)/100,IF(D11="FULL",1,IF(D11="PARTIAL",0.5,IF(D11="FAIL",0,""))))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IF(B11="I1",20*AVERAGEIF('QA_Images'!$A$2:$A$63,A11,'QA_Images'!$T$2:$T$63)/100,IF(D11="NOT_CHECKED",0,C11))</f>
        <v/>
      </c>
      <c r="H11" s="3" t="inlineStr">
        <is>
          <t>Derived from directly checked r5 media records: 100.0/100.</t>
        </is>
      </c>
      <c r="I11" s="3" t="inlineStr">
        <is>
          <t>["evidence_batch_004_031", "QA_Images"]</t>
        </is>
      </c>
      <c r="J11" s="3" t="inlineStr">
        <is>
          <t>[]</t>
        </is>
      </c>
    </row>
    <row r="12" ht="42" customHeight="1">
      <c r="A12" s="2" t="inlineStr">
        <is>
          <t>jeminise.com+christmas-cardinals-near-snowy-birdhouse-patchwork-floral-quilt-b90d55a935-b90d55a935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IF(B12="I1",AVERAGEIF('QA_Images'!$A$2:$A$63,A12,'QA_Images'!$S$2:$S$63)/100,IF(D12="FULL",1,IF(D12="PARTIAL",0.5,IF(D12="FAIL",0,""))))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IF(B12="I1",20*AVERAGEIF('QA_Images'!$A$2:$A$63,A12,'QA_Images'!$T$2:$T$63)/100,IF(D12="NOT_CHECKED",0,C12))</f>
        <v/>
      </c>
      <c r="H12" s="2" t="inlineStr">
        <is>
          <t>Kiểm tra liên kết product key/handle/evidence/revision giữa workbook, snapshot và nguồn live.</t>
        </is>
      </c>
      <c r="I12" s="2" t="inlineStr">
        <is>
          <t>["evidence_batch_004_031", "https://jeminise.com/products/christmas-cardinals-near-snowy-birdhouse-patchwork-floral-quilt-b90d55a935-b90d55a935", "Keyword_Map", "Product_Evidence"]</t>
        </is>
      </c>
      <c r="J12" s="2" t="inlineStr">
        <is>
          <t>[]</t>
        </is>
      </c>
    </row>
    <row r="13" ht="42" customHeight="1">
      <c r="A13" s="3" t="inlineStr">
        <is>
          <t>jeminise.com+christmas-cardinals-on-snowy-branches-patchwork-winter-quilt-8fa1a9e2ed-8fa1a9e2ed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IF(B13="I1",AVERAGEIF('QA_Images'!$A$2:$A$63,A13,'QA_Images'!$S$2:$S$63)/100,IF(D13="FULL",1,IF(D13="PARTIAL",0.5,IF(D13="FAIL",0,""))))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IF(B13="I1",20*AVERAGEIF('QA_Images'!$A$2:$A$63,A13,'QA_Images'!$T$2:$T$63)/100,IF(D13="NOT_CHECKED",0,C13))</f>
        <v/>
      </c>
      <c r="H13" s="3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13" s="3" t="inlineStr">
        <is>
          <t>["evidence_batch_004_032", "https://jeminise.com/products/christmas-cardinals-on-snowy-branches-patchwork-winter-quilt-8fa1a9e2ed-8fa1a9e2ed"]</t>
        </is>
      </c>
      <c r="J13" s="3" t="inlineStr">
        <is>
          <t>[]</t>
        </is>
      </c>
    </row>
    <row r="14" ht="42" customHeight="1">
      <c r="A14" s="2" t="inlineStr">
        <is>
          <t>jeminise.com+christmas-cardinals-on-snowy-branches-patchwork-winter-quilt-8fa1a9e2ed-8fa1a9e2ed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IF(B14="I1",AVERAGEIF('QA_Images'!$A$2:$A$63,A14,'QA_Images'!$S$2:$S$63)/100,IF(D14="FULL",1,IF(D14="PARTIAL",0.5,IF(D14="FAIL",0,""))))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IF(B14="I1",20*AVERAGEIF('QA_Images'!$A$2:$A$63,A14,'QA_Images'!$T$2:$T$63)/100,IF(D14="NOT_CHECKED",0,C14))</f>
        <v/>
      </c>
      <c r="H14" s="2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14" s="2" t="inlineStr">
        <is>
          <t>["evidence_batch_004_032", "customizer_audit.json", "https://jeminise.com/products/christmas-cardinals-on-snowy-branches-patchwork-winter-quilt-8fa1a9e2ed-8fa1a9e2ed"]</t>
        </is>
      </c>
      <c r="J14" s="2" t="inlineStr">
        <is>
          <t>[]</t>
        </is>
      </c>
    </row>
    <row r="15" ht="42" customHeight="1">
      <c r="A15" s="3" t="inlineStr">
        <is>
          <t>jeminise.com+christmas-cardinals-on-snowy-branches-patchwork-winter-quilt-8fa1a9e2ed-8fa1a9e2ed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IF(B15="I1",AVERAGEIF('QA_Images'!$A$2:$A$63,A15,'QA_Images'!$S$2:$S$63)/100,IF(D15="FULL",1,IF(D15="PARTIAL",0.5,IF(D15="FAIL",0,""))))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IF(B15="I1",20*AVERAGEIF('QA_Images'!$A$2:$A$63,A15,'QA_Images'!$T$2:$T$63)/100,IF(D15="NOT_CHECKED",0,C15))</f>
        <v/>
      </c>
      <c r="H15" s="3" t="inlineStr">
        <is>
          <t>Đối chiếu long-tail với thiết kế riêng; phân biệt rõ các motif football (retro flag, grunge, cosmic, USA flag, paint splash, patriotic flag) tránh cannibalization.</t>
        </is>
      </c>
      <c r="I15" s="3" t="inlineStr">
        <is>
          <t>["evidence_batch_004_032", "serp_qa_032_1"]</t>
        </is>
      </c>
      <c r="J15" s="3" t="inlineStr">
        <is>
          <t>[]</t>
        </is>
      </c>
    </row>
    <row r="16" ht="42" customHeight="1">
      <c r="A16" s="2" t="inlineStr">
        <is>
          <t>jeminise.com+christmas-cardinals-on-snowy-branches-patchwork-winter-quilt-8fa1a9e2ed-8fa1a9e2ed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IF(B16="I1",AVERAGEIF('QA_Images'!$A$2:$A$63,A16,'QA_Images'!$S$2:$S$63)/100,IF(D16="FULL",1,IF(D16="PARTIAL",0.5,IF(D16="FAIL",0,""))))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IF(B16="I1",20*AVERAGEIF('QA_Images'!$A$2:$A$63,A16,'QA_Images'!$T$2:$T$63)/100,IF(D16="NOT_CHECKED",0,C16))</f>
        <v/>
      </c>
      <c r="H16" s="2" t="inlineStr">
        <is>
          <t>Đã đọc lại 2 SERP query cho mỗi sản phẩm tại intent US; ghi URL thực đọc và không suy diễn volume.</t>
        </is>
      </c>
      <c r="I16" s="2" t="inlineStr">
        <is>
          <t>["evidence_batch_004_032", "serp_qa_032_1", "serp_qa_032_2"]</t>
        </is>
      </c>
      <c r="J16" s="2" t="inlineStr">
        <is>
          <t>[]</t>
        </is>
      </c>
    </row>
    <row r="17" ht="42" customHeight="1">
      <c r="A17" s="3" t="inlineStr">
        <is>
          <t>jeminise.com+christmas-cardinals-on-snowy-branches-patchwork-winter-quilt-8fa1a9e2ed-8fa1a9e2ed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IF(B17="I1",AVERAGEIF('QA_Images'!$A$2:$A$63,A17,'QA_Images'!$S$2:$S$63)/100,IF(D17="FULL",1,IF(D17="PARTIAL",0.5,IF(D17="FAIL",0,""))))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IF(B17="I1",20*AVERAGEIF('QA_Images'!$A$2:$A$63,A17,'QA_Images'!$T$2:$T$63)/100,IF(D17="NOT_CHECKED",0,C17))</f>
        <v/>
      </c>
      <c r="H17" s="3" t="inlineStr">
        <is>
          <t>Không suy diễn volume; phân biệt rõ SERP_ONLY và HYPOTHESIS_ONLY trung thực.</t>
        </is>
      </c>
      <c r="I17" s="3" t="inlineStr">
        <is>
          <t>["evidence_batch_004_032", "Keyword_Map"]</t>
        </is>
      </c>
      <c r="J17" s="3" t="inlineStr">
        <is>
          <t>[]</t>
        </is>
      </c>
    </row>
    <row r="18" ht="42" customHeight="1">
      <c r="A18" s="2" t="inlineStr">
        <is>
          <t>jeminise.com+christmas-cardinals-on-snowy-branches-patchwork-winter-quilt-8fa1a9e2ed-8fa1a9e2ed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IF(B18="I1",AVERAGEIF('QA_Images'!$A$2:$A$63,A18,'QA_Images'!$S$2:$S$63)/100,IF(D18="FULL",1,IF(D18="PARTIAL",0.5,IF(D18="FAIL",0,""))))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IF(B18="I1",20*AVERAGEIF('QA_Images'!$A$2:$A$63,A18,'QA_Images'!$T$2:$T$63)/100,IF(D18="NOT_CHECKED",0,C18))</f>
        <v/>
      </c>
      <c r="H18" s="2" t="inlineStr">
        <is>
          <t>Đánh giá SEO title English về độ đúng, tự nhiên, keyword mục tiêu và điểm phân biệt rõ ràng.</t>
        </is>
      </c>
      <c r="I18" s="2" t="inlineStr">
        <is>
          <t>["evidence_batch_004_032", "https://jeminise.com/products/christmas-cardinals-on-snowy-branches-patchwork-winter-quilt-8fa1a9e2ed-8fa1a9e2ed"]</t>
        </is>
      </c>
      <c r="J18" s="2" t="inlineStr">
        <is>
          <t>[]</t>
        </is>
      </c>
    </row>
    <row r="19" ht="42" customHeight="1">
      <c r="A19" s="3" t="inlineStr">
        <is>
          <t>jeminise.com+christmas-cardinals-on-snowy-branches-patchwork-winter-quilt-8fa1a9e2ed-8fa1a9e2ed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IF(B19="I1",AVERAGEIF('QA_Images'!$A$2:$A$63,A19,'QA_Images'!$S$2:$S$63)/100,IF(D19="FULL",1,IF(D19="PARTIAL",0.5,IF(D19="FAIL",0,""))))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IF(B19="I1",20*AVERAGEIF('QA_Images'!$A$2:$A$63,A19,'QA_Images'!$T$2:$T$63)/100,IF(D19="NOT_CHECKED",0,C19))</f>
        <v/>
      </c>
      <c r="H19" s="3" t="inlineStr">
        <is>
          <t>Đánh giá H1 đề xuất độc lập với SEO title, nhất quán với chủ đề và phân biệt sản phẩm.</t>
        </is>
      </c>
      <c r="I19" s="3" t="inlineStr">
        <is>
          <t>["evidence_batch_004_032", "https://jeminise.com/products/christmas-cardinals-on-snowy-branches-patchwork-winter-quilt-8fa1a9e2ed-8fa1a9e2ed"]</t>
        </is>
      </c>
      <c r="J19" s="3" t="inlineStr">
        <is>
          <t>[]</t>
        </is>
      </c>
    </row>
    <row r="20" ht="42" customHeight="1">
      <c r="A20" s="2" t="inlineStr">
        <is>
          <t>jeminise.com+christmas-cardinals-on-snowy-branches-patchwork-winter-quilt-8fa1a9e2ed-8fa1a9e2ed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IF(B20="I1",AVERAGEIF('QA_Images'!$A$2:$A$63,A20,'QA_Images'!$S$2:$S$63)/100,IF(D20="FULL",1,IF(D20="PARTIAL",0.5,IF(D20="FAIL",0,""))))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IF(B20="I1",20*AVERAGEIF('QA_Images'!$A$2:$A$63,A20,'QA_Images'!$T$2:$T$63)/100,IF(D20="NOT_CHECKED",0,C20))</f>
        <v/>
      </c>
      <c r="H20" s="2" t="inlineStr">
        <is>
          <t>Đánh giá meta description về tính cụ thể, mạch lạc, tóm tắt chính xác tính năng và tùy chọn mua hàng.</t>
        </is>
      </c>
      <c r="I20" s="2" t="inlineStr">
        <is>
          <t>["evidence_batch_004_032", "https://jeminise.com/products/christmas-cardinals-on-snowy-branches-patchwork-winter-quilt-8fa1a9e2ed-8fa1a9e2ed"]</t>
        </is>
      </c>
      <c r="J20" s="2" t="inlineStr">
        <is>
          <t>[]</t>
        </is>
      </c>
    </row>
    <row r="21" ht="42" customHeight="1">
      <c r="A21" s="3" t="inlineStr">
        <is>
          <t>jeminise.com+christmas-cardinals-on-snowy-branches-patchwork-winter-quilt-8fa1a9e2ed-8fa1a9e2ed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IF(B21="I1",AVERAGEIF('QA_Images'!$A$2:$A$63,A21,'QA_Images'!$S$2:$S$63)/100,IF(D21="FULL",1,IF(D21="PARTIAL",0.5,IF(D21="FAIL",0,""))))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IF(B21="I1",20*AVERAGEIF('QA_Images'!$A$2:$A$63,A21,'QA_Images'!$T$2:$T$63)/100,IF(D21="NOT_CHECKED",0,C21))</f>
        <v/>
      </c>
      <c r="H21" s="3" t="inlineStr">
        <is>
          <t>Description r5 hoàn toàn customer-facing, không còn ngôn ngữ nội bộ/quy trình; phản ánh đúng thuộc tính, không chép sai dragonfly/alligator, nêu đúng tùy biến.</t>
        </is>
      </c>
      <c r="I21" s="3" t="inlineStr">
        <is>
          <t>["evidence_batch_004_032", "https://jeminise.com/products/christmas-cardinals-on-snowy-branches-patchwork-winter-quilt-8fa1a9e2ed-8fa1a9e2ed"]</t>
        </is>
      </c>
      <c r="J21" s="3" t="inlineStr">
        <is>
          <t>[]</t>
        </is>
      </c>
    </row>
    <row r="22" ht="42" customHeight="1">
      <c r="A22" s="2" t="inlineStr">
        <is>
          <t>jeminise.com+christmas-cardinals-on-snowy-branches-patchwork-winter-quilt-8fa1a9e2ed-8fa1a9e2ed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IF(B22="I1",AVERAGEIF('QA_Images'!$A$2:$A$63,A22,'QA_Images'!$S$2:$S$63)/100,IF(D22="FULL",1,IF(D22="PARTIAL",0.5,IF(D22="FAIL",0,""))))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IF(B22="I1",20*AVERAGEIF('QA_Images'!$A$2:$A$63,A22,'QA_Images'!$T$2:$T$63)/100,IF(D22="NOT_CHECKED",0,C22))</f>
        <v/>
      </c>
      <c r="H22" s="2" t="inlineStr">
        <is>
          <t>Derived from directly checked r5 media records: 100.0/100.</t>
        </is>
      </c>
      <c r="I22" s="2" t="inlineStr">
        <is>
          <t>["evidence_batch_004_032", "QA_Images"]</t>
        </is>
      </c>
      <c r="J22" s="2" t="inlineStr">
        <is>
          <t>[]</t>
        </is>
      </c>
    </row>
    <row r="23" ht="42" customHeight="1">
      <c r="A23" s="3" t="inlineStr">
        <is>
          <t>jeminise.com+christmas-cardinals-on-snowy-branches-patchwork-winter-quilt-8fa1a9e2ed-8fa1a9e2ed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IF(B23="I1",AVERAGEIF('QA_Images'!$A$2:$A$63,A23,'QA_Images'!$S$2:$S$63)/100,IF(D23="FULL",1,IF(D23="PARTIAL",0.5,IF(D23="FAIL",0,""))))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IF(B23="I1",20*AVERAGEIF('QA_Images'!$A$2:$A$63,A23,'QA_Images'!$T$2:$T$63)/100,IF(D23="NOT_CHECKED",0,C23))</f>
        <v/>
      </c>
      <c r="H23" s="3" t="inlineStr">
        <is>
          <t>Kiểm tra liên kết product key/handle/evidence/revision giữa workbook, snapshot và nguồn live.</t>
        </is>
      </c>
      <c r="I23" s="3" t="inlineStr">
        <is>
          <t>["evidence_batch_004_032", "https://jeminise.com/products/christmas-cardinals-on-snowy-branches-patchwork-winter-quilt-8fa1a9e2ed-8fa1a9e2ed", "Keyword_Map", "Product_Evidence"]</t>
        </is>
      </c>
      <c r="J23" s="3" t="inlineStr">
        <is>
          <t>[]</t>
        </is>
      </c>
    </row>
    <row r="24" ht="42" customHeight="1">
      <c r="A24" s="2" t="inlineStr">
        <is>
          <t>jeminise.com+cow-with-landscape-patchwork-quilt-animal-farmhouse-printed-quilt-set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IF(B24="I1",AVERAGEIF('QA_Images'!$A$2:$A$63,A24,'QA_Images'!$S$2:$S$63)/100,IF(D24="FULL",1,IF(D24="PARTIAL",0.5,IF(D24="FAIL",0,""))))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IF(B24="I1",20*AVERAGEIF('QA_Images'!$A$2:$A$63,A24,'QA_Images'!$T$2:$T$63)/100,IF(D24="NOT_CHECKED",0,C24))</f>
        <v/>
      </c>
      <c r="H24" s="2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24" s="2" t="inlineStr">
        <is>
          <t>["evidence_batch_004_033", "https://jeminise.com/products/cow-with-landscape-patchwork-quilt-animal-farmhouse-printed-quilt-set"]</t>
        </is>
      </c>
      <c r="J24" s="2" t="inlineStr">
        <is>
          <t>[]</t>
        </is>
      </c>
    </row>
    <row r="25" ht="42" customHeight="1">
      <c r="A25" s="3" t="inlineStr">
        <is>
          <t>jeminise.com+cow-with-landscape-patchwork-quilt-animal-farmhouse-printed-quilt-set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IF(B25="I1",AVERAGEIF('QA_Images'!$A$2:$A$63,A25,'QA_Images'!$S$2:$S$63)/100,IF(D25="FULL",1,IF(D25="PARTIAL",0.5,IF(D25="FAIL",0,""))))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IF(B25="I1",20*AVERAGEIF('QA_Images'!$A$2:$A$63,A25,'QA_Images'!$T$2:$T$63)/100,IF(D25="NOT_CHECKED",0,C25))</f>
        <v/>
      </c>
      <c r="H25" s="3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25" s="3" t="inlineStr">
        <is>
          <t>["evidence_batch_004_033", "customizer_audit.json", "https://jeminise.com/products/cow-with-landscape-patchwork-quilt-animal-farmhouse-printed-quilt-set"]</t>
        </is>
      </c>
      <c r="J25" s="3" t="inlineStr">
        <is>
          <t>[]</t>
        </is>
      </c>
    </row>
    <row r="26" ht="42" customHeight="1">
      <c r="A26" s="2" t="inlineStr">
        <is>
          <t>jeminise.com+cow-with-landscape-patchwork-quilt-animal-farmhouse-printed-quilt-set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IF(B26="I1",AVERAGEIF('QA_Images'!$A$2:$A$63,A26,'QA_Images'!$S$2:$S$63)/100,IF(D26="FULL",1,IF(D26="PARTIAL",0.5,IF(D26="FAIL",0,""))))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IF(B26="I1",20*AVERAGEIF('QA_Images'!$A$2:$A$63,A26,'QA_Images'!$T$2:$T$63)/100,IF(D26="NOT_CHECKED",0,C26))</f>
        <v/>
      </c>
      <c r="H26" s="2" t="inlineStr">
        <is>
          <t>Đối chiếu long-tail với thiết kế riêng; phân biệt rõ các motif football (retro flag, grunge, cosmic, USA flag, paint splash, patriotic flag) tránh cannibalization.</t>
        </is>
      </c>
      <c r="I26" s="2" t="inlineStr">
        <is>
          <t>["evidence_batch_004_033", "serp_qa_033_1"]</t>
        </is>
      </c>
      <c r="J26" s="2" t="inlineStr">
        <is>
          <t>[]</t>
        </is>
      </c>
    </row>
    <row r="27" ht="42" customHeight="1">
      <c r="A27" s="3" t="inlineStr">
        <is>
          <t>jeminise.com+cow-with-landscape-patchwork-quilt-animal-farmhouse-printed-quilt-set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IF(B27="I1",AVERAGEIF('QA_Images'!$A$2:$A$63,A27,'QA_Images'!$S$2:$S$63)/100,IF(D27="FULL",1,IF(D27="PARTIAL",0.5,IF(D27="FAIL",0,""))))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IF(B27="I1",20*AVERAGEIF('QA_Images'!$A$2:$A$63,A27,'QA_Images'!$T$2:$T$63)/100,IF(D27="NOT_CHECKED",0,C27))</f>
        <v/>
      </c>
      <c r="H27" s="3" t="inlineStr">
        <is>
          <t>Đã đọc lại 2 SERP query cho mỗi sản phẩm tại intent US; ghi URL thực đọc và không suy diễn volume.</t>
        </is>
      </c>
      <c r="I27" s="3" t="inlineStr">
        <is>
          <t>["evidence_batch_004_033", "serp_qa_033_1", "serp_qa_033_2"]</t>
        </is>
      </c>
      <c r="J27" s="3" t="inlineStr">
        <is>
          <t>[]</t>
        </is>
      </c>
    </row>
    <row r="28" ht="42" customHeight="1">
      <c r="A28" s="2" t="inlineStr">
        <is>
          <t>jeminise.com+cow-with-landscape-patchwork-quilt-animal-farmhouse-printed-quilt-set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IF(B28="I1",AVERAGEIF('QA_Images'!$A$2:$A$63,A28,'QA_Images'!$S$2:$S$63)/100,IF(D28="FULL",1,IF(D28="PARTIAL",0.5,IF(D28="FAIL",0,""))))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IF(B28="I1",20*AVERAGEIF('QA_Images'!$A$2:$A$63,A28,'QA_Images'!$T$2:$T$63)/100,IF(D28="NOT_CHECKED",0,C28))</f>
        <v/>
      </c>
      <c r="H28" s="2" t="inlineStr">
        <is>
          <t>Không suy diễn volume; phân biệt rõ SERP_ONLY và HYPOTHESIS_ONLY trung thực.</t>
        </is>
      </c>
      <c r="I28" s="2" t="inlineStr">
        <is>
          <t>["evidence_batch_004_033", "Keyword_Map"]</t>
        </is>
      </c>
      <c r="J28" s="2" t="inlineStr">
        <is>
          <t>[]</t>
        </is>
      </c>
    </row>
    <row r="29" ht="42" customHeight="1">
      <c r="A29" s="3" t="inlineStr">
        <is>
          <t>jeminise.com+cow-with-landscape-patchwork-quilt-animal-farmhouse-printed-quilt-set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IF(B29="I1",AVERAGEIF('QA_Images'!$A$2:$A$63,A29,'QA_Images'!$S$2:$S$63)/100,IF(D29="FULL",1,IF(D29="PARTIAL",0.5,IF(D29="FAIL",0,""))))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IF(B29="I1",20*AVERAGEIF('QA_Images'!$A$2:$A$63,A29,'QA_Images'!$T$2:$T$63)/100,IF(D29="NOT_CHECKED",0,C29))</f>
        <v/>
      </c>
      <c r="H29" s="3" t="inlineStr">
        <is>
          <t>Đánh giá SEO title English về độ đúng, tự nhiên, keyword mục tiêu và điểm phân biệt rõ ràng.</t>
        </is>
      </c>
      <c r="I29" s="3" t="inlineStr">
        <is>
          <t>["evidence_batch_004_033", "https://jeminise.com/products/cow-with-landscape-patchwork-quilt-animal-farmhouse-printed-quilt-set"]</t>
        </is>
      </c>
      <c r="J29" s="3" t="inlineStr">
        <is>
          <t>[]</t>
        </is>
      </c>
    </row>
    <row r="30" ht="42" customHeight="1">
      <c r="A30" s="2" t="inlineStr">
        <is>
          <t>jeminise.com+cow-with-landscape-patchwork-quilt-animal-farmhouse-printed-quilt-set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IF(B30="I1",AVERAGEIF('QA_Images'!$A$2:$A$63,A30,'QA_Images'!$S$2:$S$63)/100,IF(D30="FULL",1,IF(D30="PARTIAL",0.5,IF(D30="FAIL",0,""))))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IF(B30="I1",20*AVERAGEIF('QA_Images'!$A$2:$A$63,A30,'QA_Images'!$T$2:$T$63)/100,IF(D30="NOT_CHECKED",0,C30))</f>
        <v/>
      </c>
      <c r="H30" s="2" t="inlineStr">
        <is>
          <t>Đánh giá H1 đề xuất độc lập với SEO title, nhất quán với chủ đề và phân biệt sản phẩm.</t>
        </is>
      </c>
      <c r="I30" s="2" t="inlineStr">
        <is>
          <t>["evidence_batch_004_033", "https://jeminise.com/products/cow-with-landscape-patchwork-quilt-animal-farmhouse-printed-quilt-set"]</t>
        </is>
      </c>
      <c r="J30" s="2" t="inlineStr">
        <is>
          <t>[]</t>
        </is>
      </c>
    </row>
    <row r="31" ht="42" customHeight="1">
      <c r="A31" s="3" t="inlineStr">
        <is>
          <t>jeminise.com+cow-with-landscape-patchwork-quilt-animal-farmhouse-printed-quilt-set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IF(B31="I1",AVERAGEIF('QA_Images'!$A$2:$A$63,A31,'QA_Images'!$S$2:$S$63)/100,IF(D31="FULL",1,IF(D31="PARTIAL",0.5,IF(D31="FAIL",0,""))))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IF(B31="I1",20*AVERAGEIF('QA_Images'!$A$2:$A$63,A31,'QA_Images'!$T$2:$T$63)/100,IF(D31="NOT_CHECKED",0,C31))</f>
        <v/>
      </c>
      <c r="H31" s="3" t="inlineStr">
        <is>
          <t>Đánh giá meta description về tính cụ thể, mạch lạc, tóm tắt chính xác tính năng và tùy chọn mua hàng.</t>
        </is>
      </c>
      <c r="I31" s="3" t="inlineStr">
        <is>
          <t>["evidence_batch_004_033", "https://jeminise.com/products/cow-with-landscape-patchwork-quilt-animal-farmhouse-printed-quilt-set"]</t>
        </is>
      </c>
      <c r="J31" s="3" t="inlineStr">
        <is>
          <t>[]</t>
        </is>
      </c>
    </row>
    <row r="32" ht="42" customHeight="1">
      <c r="A32" s="2" t="inlineStr">
        <is>
          <t>jeminise.com+cow-with-landscape-patchwork-quilt-animal-farmhouse-printed-quilt-set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IF(B32="I1",AVERAGEIF('QA_Images'!$A$2:$A$63,A32,'QA_Images'!$S$2:$S$63)/100,IF(D32="FULL",1,IF(D32="PARTIAL",0.5,IF(D32="FAIL",0,""))))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IF(B32="I1",20*AVERAGEIF('QA_Images'!$A$2:$A$63,A32,'QA_Images'!$T$2:$T$63)/100,IF(D32="NOT_CHECKED",0,C32))</f>
        <v/>
      </c>
      <c r="H32" s="2" t="inlineStr">
        <is>
          <t>Description r5 hoàn toàn customer-facing, không còn ngôn ngữ nội bộ/quy trình; phản ánh đúng thuộc tính, không chép sai dragonfly/alligator, nêu đúng tùy biến.</t>
        </is>
      </c>
      <c r="I32" s="2" t="inlineStr">
        <is>
          <t>["evidence_batch_004_033", "https://jeminise.com/products/cow-with-landscape-patchwork-quilt-animal-farmhouse-printed-quilt-set"]</t>
        </is>
      </c>
      <c r="J32" s="2" t="inlineStr">
        <is>
          <t>[]</t>
        </is>
      </c>
    </row>
    <row r="33" ht="42" customHeight="1">
      <c r="A33" s="3" t="inlineStr">
        <is>
          <t>jeminise.com+cow-with-landscape-patchwork-quilt-animal-farmhouse-printed-quilt-set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IF(B33="I1",AVERAGEIF('QA_Images'!$A$2:$A$63,A33,'QA_Images'!$S$2:$S$63)/100,IF(D33="FULL",1,IF(D33="PARTIAL",0.5,IF(D33="FAIL",0,""))))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IF(B33="I1",20*AVERAGEIF('QA_Images'!$A$2:$A$63,A33,'QA_Images'!$T$2:$T$63)/100,IF(D33="NOT_CHECKED",0,C33))</f>
        <v/>
      </c>
      <c r="H33" s="3" t="inlineStr">
        <is>
          <t>Derived from directly checked r5 media records: 100.0/100.</t>
        </is>
      </c>
      <c r="I33" s="3" t="inlineStr">
        <is>
          <t>["evidence_batch_004_033", "QA_Images"]</t>
        </is>
      </c>
      <c r="J33" s="3" t="inlineStr">
        <is>
          <t>[]</t>
        </is>
      </c>
    </row>
    <row r="34" ht="42" customHeight="1">
      <c r="A34" s="2" t="inlineStr">
        <is>
          <t>jeminise.com+cow-with-landscape-patchwork-quilt-animal-farmhouse-printed-quilt-set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IF(B34="I1",AVERAGEIF('QA_Images'!$A$2:$A$63,A34,'QA_Images'!$S$2:$S$63)/100,IF(D34="FULL",1,IF(D34="PARTIAL",0.5,IF(D34="FAIL",0,""))))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IF(B34="I1",20*AVERAGEIF('QA_Images'!$A$2:$A$63,A34,'QA_Images'!$T$2:$T$63)/100,IF(D34="NOT_CHECKED",0,C34))</f>
        <v/>
      </c>
      <c r="H34" s="2" t="inlineStr">
        <is>
          <t>Kiểm tra liên kết product key/handle/evidence/revision giữa workbook, snapshot và nguồn live.</t>
        </is>
      </c>
      <c r="I34" s="2" t="inlineStr">
        <is>
          <t>["evidence_batch_004_033", "https://jeminise.com/products/cow-with-landscape-patchwork-quilt-animal-farmhouse-printed-quilt-set", "Keyword_Map", "Product_Evidence"]</t>
        </is>
      </c>
      <c r="J34" s="2" t="inlineStr">
        <is>
          <t>[]</t>
        </is>
      </c>
    </row>
    <row r="35" ht="42" customHeight="1">
      <c r="A35" s="3" t="inlineStr">
        <is>
          <t>jeminise.com+crocodile-patchwork-printed-quilts-animal-patchwork-bedding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IF(B35="I1",AVERAGEIF('QA_Images'!$A$2:$A$63,A35,'QA_Images'!$S$2:$S$63)/100,IF(D35="FULL",1,IF(D35="PARTIAL",0.5,IF(D35="FAIL",0,""))))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IF(B35="I1",20*AVERAGEIF('QA_Images'!$A$2:$A$63,A35,'QA_Images'!$T$2:$T$63)/100,IF(D35="NOT_CHECKED",0,C35))</f>
        <v/>
      </c>
      <c r="H35" s="3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35" s="3" t="inlineStr">
        <is>
          <t>["evidence_batch_004_034", "https://jeminise.com/products/crocodile-patchwork-printed-quilts-animal-patchwork-bedding"]</t>
        </is>
      </c>
      <c r="J35" s="3" t="inlineStr">
        <is>
          <t>[]</t>
        </is>
      </c>
    </row>
    <row r="36" ht="42" customHeight="1">
      <c r="A36" s="2" t="inlineStr">
        <is>
          <t>jeminise.com+crocodile-patchwork-printed-quilts-animal-patchwork-bedding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IF(B36="I1",AVERAGEIF('QA_Images'!$A$2:$A$63,A36,'QA_Images'!$S$2:$S$63)/100,IF(D36="FULL",1,IF(D36="PARTIAL",0.5,IF(D36="FAIL",0,""))))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IF(B36="I1",20*AVERAGEIF('QA_Images'!$A$2:$A$63,A36,'QA_Images'!$T$2:$T$63)/100,IF(D36="NOT_CHECKED",0,C36))</f>
        <v/>
      </c>
      <c r="H36" s="2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36" s="2" t="inlineStr">
        <is>
          <t>["evidence_batch_004_034", "customizer_audit.json", "https://jeminise.com/products/crocodile-patchwork-printed-quilts-animal-patchwork-bedding"]</t>
        </is>
      </c>
      <c r="J36" s="2" t="inlineStr">
        <is>
          <t>[]</t>
        </is>
      </c>
    </row>
    <row r="37" ht="42" customHeight="1">
      <c r="A37" s="3" t="inlineStr">
        <is>
          <t>jeminise.com+crocodile-patchwork-printed-quilts-animal-patchwork-bedding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IF(B37="I1",AVERAGEIF('QA_Images'!$A$2:$A$63,A37,'QA_Images'!$S$2:$S$63)/100,IF(D37="FULL",1,IF(D37="PARTIAL",0.5,IF(D37="FAIL",0,""))))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IF(B37="I1",20*AVERAGEIF('QA_Images'!$A$2:$A$63,A37,'QA_Images'!$T$2:$T$63)/100,IF(D37="NOT_CHECKED",0,C37))</f>
        <v/>
      </c>
      <c r="H37" s="3" t="inlineStr">
        <is>
          <t>Đối chiếu long-tail với thiết kế riêng; phân biệt rõ các motif football (retro flag, grunge, cosmic, USA flag, paint splash, patriotic flag) tránh cannibalization.</t>
        </is>
      </c>
      <c r="I37" s="3" t="inlineStr">
        <is>
          <t>["evidence_batch_004_034", "serp_qa_034_1"]</t>
        </is>
      </c>
      <c r="J37" s="3" t="inlineStr">
        <is>
          <t>[]</t>
        </is>
      </c>
    </row>
    <row r="38" ht="42" customHeight="1">
      <c r="A38" s="2" t="inlineStr">
        <is>
          <t>jeminise.com+crocodile-patchwork-printed-quilts-animal-patchwork-bedding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IF(B38="I1",AVERAGEIF('QA_Images'!$A$2:$A$63,A38,'QA_Images'!$S$2:$S$63)/100,IF(D38="FULL",1,IF(D38="PARTIAL",0.5,IF(D38="FAIL",0,""))))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IF(B38="I1",20*AVERAGEIF('QA_Images'!$A$2:$A$63,A38,'QA_Images'!$T$2:$T$63)/100,IF(D38="NOT_CHECKED",0,C38))</f>
        <v/>
      </c>
      <c r="H38" s="2" t="inlineStr">
        <is>
          <t>Đã đọc lại 2 SERP query cho mỗi sản phẩm tại intent US; ghi URL thực đọc và không suy diễn volume.</t>
        </is>
      </c>
      <c r="I38" s="2" t="inlineStr">
        <is>
          <t>["evidence_batch_004_034", "serp_qa_034_1", "serp_qa_034_2"]</t>
        </is>
      </c>
      <c r="J38" s="2" t="inlineStr">
        <is>
          <t>[]</t>
        </is>
      </c>
    </row>
    <row r="39" ht="42" customHeight="1">
      <c r="A39" s="3" t="inlineStr">
        <is>
          <t>jeminise.com+crocodile-patchwork-printed-quilts-animal-patchwork-bedding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IF(B39="I1",AVERAGEIF('QA_Images'!$A$2:$A$63,A39,'QA_Images'!$S$2:$S$63)/100,IF(D39="FULL",1,IF(D39="PARTIAL",0.5,IF(D39="FAIL",0,""))))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IF(B39="I1",20*AVERAGEIF('QA_Images'!$A$2:$A$63,A39,'QA_Images'!$T$2:$T$63)/100,IF(D39="NOT_CHECKED",0,C39))</f>
        <v/>
      </c>
      <c r="H39" s="3" t="inlineStr">
        <is>
          <t>Không suy diễn volume; phân biệt rõ SERP_ONLY và HYPOTHESIS_ONLY trung thực.</t>
        </is>
      </c>
      <c r="I39" s="3" t="inlineStr">
        <is>
          <t>["evidence_batch_004_034", "Keyword_Map"]</t>
        </is>
      </c>
      <c r="J39" s="3" t="inlineStr">
        <is>
          <t>[]</t>
        </is>
      </c>
    </row>
    <row r="40" ht="42" customHeight="1">
      <c r="A40" s="2" t="inlineStr">
        <is>
          <t>jeminise.com+crocodile-patchwork-printed-quilts-animal-patchwork-bedding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IF(B40="I1",AVERAGEIF('QA_Images'!$A$2:$A$63,A40,'QA_Images'!$S$2:$S$63)/100,IF(D40="FULL",1,IF(D40="PARTIAL",0.5,IF(D40="FAIL",0,""))))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IF(B40="I1",20*AVERAGEIF('QA_Images'!$A$2:$A$63,A40,'QA_Images'!$T$2:$T$63)/100,IF(D40="NOT_CHECKED",0,C40))</f>
        <v/>
      </c>
      <c r="H40" s="2" t="inlineStr">
        <is>
          <t>Đánh giá SEO title English về độ đúng, tự nhiên, keyword mục tiêu và điểm phân biệt rõ ràng.</t>
        </is>
      </c>
      <c r="I40" s="2" t="inlineStr">
        <is>
          <t>["evidence_batch_004_034", "https://jeminise.com/products/crocodile-patchwork-printed-quilts-animal-patchwork-bedding"]</t>
        </is>
      </c>
      <c r="J40" s="2" t="inlineStr">
        <is>
          <t>[]</t>
        </is>
      </c>
    </row>
    <row r="41" ht="42" customHeight="1">
      <c r="A41" s="3" t="inlineStr">
        <is>
          <t>jeminise.com+crocodile-patchwork-printed-quilts-animal-patchwork-bedding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IF(B41="I1",AVERAGEIF('QA_Images'!$A$2:$A$63,A41,'QA_Images'!$S$2:$S$63)/100,IF(D41="FULL",1,IF(D41="PARTIAL",0.5,IF(D41="FAIL",0,""))))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IF(B41="I1",20*AVERAGEIF('QA_Images'!$A$2:$A$63,A41,'QA_Images'!$T$2:$T$63)/100,IF(D41="NOT_CHECKED",0,C41))</f>
        <v/>
      </c>
      <c r="H41" s="3" t="inlineStr">
        <is>
          <t>Đánh giá H1 đề xuất độc lập với SEO title, nhất quán với chủ đề và phân biệt sản phẩm.</t>
        </is>
      </c>
      <c r="I41" s="3" t="inlineStr">
        <is>
          <t>["evidence_batch_004_034", "https://jeminise.com/products/crocodile-patchwork-printed-quilts-animal-patchwork-bedding"]</t>
        </is>
      </c>
      <c r="J41" s="3" t="inlineStr">
        <is>
          <t>[]</t>
        </is>
      </c>
    </row>
    <row r="42" ht="42" customHeight="1">
      <c r="A42" s="2" t="inlineStr">
        <is>
          <t>jeminise.com+crocodile-patchwork-printed-quilts-animal-patchwork-bedding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IF(B42="I1",AVERAGEIF('QA_Images'!$A$2:$A$63,A42,'QA_Images'!$S$2:$S$63)/100,IF(D42="FULL",1,IF(D42="PARTIAL",0.5,IF(D42="FAIL",0,""))))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IF(B42="I1",20*AVERAGEIF('QA_Images'!$A$2:$A$63,A42,'QA_Images'!$T$2:$T$63)/100,IF(D42="NOT_CHECKED",0,C42))</f>
        <v/>
      </c>
      <c r="H42" s="2" t="inlineStr">
        <is>
          <t>Đánh giá meta description về tính cụ thể, mạch lạc, tóm tắt chính xác tính năng và tùy chọn mua hàng.</t>
        </is>
      </c>
      <c r="I42" s="2" t="inlineStr">
        <is>
          <t>["evidence_batch_004_034", "https://jeminise.com/products/crocodile-patchwork-printed-quilts-animal-patchwork-bedding"]</t>
        </is>
      </c>
      <c r="J42" s="2" t="inlineStr">
        <is>
          <t>[]</t>
        </is>
      </c>
    </row>
    <row r="43" ht="42" customHeight="1">
      <c r="A43" s="3" t="inlineStr">
        <is>
          <t>jeminise.com+crocodile-patchwork-printed-quilts-animal-patchwork-bedding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IF(B43="I1",AVERAGEIF('QA_Images'!$A$2:$A$63,A43,'QA_Images'!$S$2:$S$63)/100,IF(D43="FULL",1,IF(D43="PARTIAL",0.5,IF(D43="FAIL",0,""))))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IF(B43="I1",20*AVERAGEIF('QA_Images'!$A$2:$A$63,A43,'QA_Images'!$T$2:$T$63)/100,IF(D43="NOT_CHECKED",0,C43))</f>
        <v/>
      </c>
      <c r="H43" s="3" t="inlineStr">
        <is>
          <t>Description r5 hoàn toàn customer-facing, không còn ngôn ngữ nội bộ/quy trình; phản ánh đúng thuộc tính, không chép sai dragonfly/alligator, nêu đúng tùy biến.</t>
        </is>
      </c>
      <c r="I43" s="3" t="inlineStr">
        <is>
          <t>["evidence_batch_004_034", "https://jeminise.com/products/crocodile-patchwork-printed-quilts-animal-patchwork-bedding"]</t>
        </is>
      </c>
      <c r="J43" s="3" t="inlineStr">
        <is>
          <t>[]</t>
        </is>
      </c>
    </row>
    <row r="44" ht="42" customHeight="1">
      <c r="A44" s="2" t="inlineStr">
        <is>
          <t>jeminise.com+crocodile-patchwork-printed-quilts-animal-patchwork-bedding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IF(B44="I1",AVERAGEIF('QA_Images'!$A$2:$A$63,A44,'QA_Images'!$S$2:$S$63)/100,IF(D44="FULL",1,IF(D44="PARTIAL",0.5,IF(D44="FAIL",0,""))))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IF(B44="I1",20*AVERAGEIF('QA_Images'!$A$2:$A$63,A44,'QA_Images'!$T$2:$T$63)/100,IF(D44="NOT_CHECKED",0,C44))</f>
        <v/>
      </c>
      <c r="H44" s="2" t="inlineStr">
        <is>
          <t>Derived from directly checked r5 media records: 100.0/100.</t>
        </is>
      </c>
      <c r="I44" s="2" t="inlineStr">
        <is>
          <t>["evidence_batch_004_034", "QA_Images"]</t>
        </is>
      </c>
      <c r="J44" s="2" t="inlineStr">
        <is>
          <t>[]</t>
        </is>
      </c>
    </row>
    <row r="45" ht="42" customHeight="1">
      <c r="A45" s="3" t="inlineStr">
        <is>
          <t>jeminise.com+crocodile-patchwork-printed-quilts-animal-patchwork-bedding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IF(B45="I1",AVERAGEIF('QA_Images'!$A$2:$A$63,A45,'QA_Images'!$S$2:$S$63)/100,IF(D45="FULL",1,IF(D45="PARTIAL",0.5,IF(D45="FAIL",0,""))))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IF(B45="I1",20*AVERAGEIF('QA_Images'!$A$2:$A$63,A45,'QA_Images'!$T$2:$T$63)/100,IF(D45="NOT_CHECKED",0,C45))</f>
        <v/>
      </c>
      <c r="H45" s="3" t="inlineStr">
        <is>
          <t>Kiểm tra liên kết product key/handle/evidence/revision giữa workbook, snapshot và nguồn live.</t>
        </is>
      </c>
      <c r="I45" s="3" t="inlineStr">
        <is>
          <t>["evidence_batch_004_034", "https://jeminise.com/products/crocodile-patchwork-printed-quilts-animal-patchwork-bedding", "Keyword_Map", "Product_Evidence"]</t>
        </is>
      </c>
      <c r="J45" s="3" t="inlineStr">
        <is>
          <t>[]</t>
        </is>
      </c>
    </row>
    <row r="46" ht="42" customHeight="1">
      <c r="A46" s="2" t="inlineStr">
        <is>
          <t>jeminise.com+custom-retro-football-art-bedding-set-c66211cf75-c66211cf75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IF(B46="I1",AVERAGEIF('QA_Images'!$A$2:$A$63,A46,'QA_Images'!$S$2:$S$63)/100,IF(D46="FULL",1,IF(D46="PARTIAL",0.5,IF(D46="FAIL",0,""))))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IF(B46="I1",20*AVERAGEIF('QA_Images'!$A$2:$A$63,A46,'QA_Images'!$T$2:$T$63)/100,IF(D46="NOT_CHECKED",0,C46))</f>
        <v/>
      </c>
      <c r="H46" s="2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46" s="2" t="inlineStr">
        <is>
          <t>["evidence_batch_004_035", "https://jeminise.com/products/custom-retro-football-art-bedding-set-c66211cf75-c66211cf75"]</t>
        </is>
      </c>
      <c r="J46" s="2" t="inlineStr">
        <is>
          <t>[]</t>
        </is>
      </c>
    </row>
    <row r="47" ht="42" customHeight="1">
      <c r="A47" s="3" t="inlineStr">
        <is>
          <t>jeminise.com+custom-retro-football-art-bedding-set-c66211cf75-c66211cf75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IF(B47="I1",AVERAGEIF('QA_Images'!$A$2:$A$63,A47,'QA_Images'!$S$2:$S$63)/100,IF(D47="FULL",1,IF(D47="PARTIAL",0.5,IF(D47="FAIL",0,""))))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IF(B47="I1",20*AVERAGEIF('QA_Images'!$A$2:$A$63,A47,'QA_Images'!$T$2:$T$63)/100,IF(D47="NOT_CHECKED",0,C47))</f>
        <v/>
      </c>
      <c r="H47" s="3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47" s="3" t="inlineStr">
        <is>
          <t>["evidence_batch_004_035", "customizer_audit.json", "https://jeminise.com/products/custom-retro-football-art-bedding-set-c66211cf75-c66211cf75"]</t>
        </is>
      </c>
      <c r="J47" s="3" t="inlineStr">
        <is>
          <t>[]</t>
        </is>
      </c>
    </row>
    <row r="48" ht="42" customHeight="1">
      <c r="A48" s="2" t="inlineStr">
        <is>
          <t>jeminise.com+custom-retro-football-art-bedding-set-c66211cf75-c66211cf75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IF(B48="I1",AVERAGEIF('QA_Images'!$A$2:$A$63,A48,'QA_Images'!$S$2:$S$63)/100,IF(D48="FULL",1,IF(D48="PARTIAL",0.5,IF(D48="FAIL",0,""))))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IF(B48="I1",20*AVERAGEIF('QA_Images'!$A$2:$A$63,A48,'QA_Images'!$T$2:$T$63)/100,IF(D48="NOT_CHECKED",0,C48))</f>
        <v/>
      </c>
      <c r="H48" s="2" t="inlineStr">
        <is>
          <t>Đối chiếu long-tail với thiết kế riêng; phân biệt rõ các motif football (retro flag, grunge, cosmic, USA flag, paint splash, patriotic flag) tránh cannibalization.</t>
        </is>
      </c>
      <c r="I48" s="2" t="inlineStr">
        <is>
          <t>["evidence_batch_004_035", "serp_qa_035_1"]</t>
        </is>
      </c>
      <c r="J48" s="2" t="inlineStr">
        <is>
          <t>[]</t>
        </is>
      </c>
    </row>
    <row r="49" ht="42" customHeight="1">
      <c r="A49" s="3" t="inlineStr">
        <is>
          <t>jeminise.com+custom-retro-football-art-bedding-set-c66211cf75-c66211cf75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IF(B49="I1",AVERAGEIF('QA_Images'!$A$2:$A$63,A49,'QA_Images'!$S$2:$S$63)/100,IF(D49="FULL",1,IF(D49="PARTIAL",0.5,IF(D49="FAIL",0,""))))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IF(B49="I1",20*AVERAGEIF('QA_Images'!$A$2:$A$63,A49,'QA_Images'!$T$2:$T$63)/100,IF(D49="NOT_CHECKED",0,C49))</f>
        <v/>
      </c>
      <c r="H49" s="3" t="inlineStr">
        <is>
          <t>Đã đọc lại 2 SERP query cho mỗi sản phẩm tại intent US; ghi URL thực đọc và không suy diễn volume.</t>
        </is>
      </c>
      <c r="I49" s="3" t="inlineStr">
        <is>
          <t>["evidence_batch_004_035", "serp_qa_035_1", "serp_qa_035_2"]</t>
        </is>
      </c>
      <c r="J49" s="3" t="inlineStr">
        <is>
          <t>[]</t>
        </is>
      </c>
    </row>
    <row r="50" ht="42" customHeight="1">
      <c r="A50" s="2" t="inlineStr">
        <is>
          <t>jeminise.com+custom-retro-football-art-bedding-set-c66211cf75-c66211cf75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IF(B50="I1",AVERAGEIF('QA_Images'!$A$2:$A$63,A50,'QA_Images'!$S$2:$S$63)/100,IF(D50="FULL",1,IF(D50="PARTIAL",0.5,IF(D50="FAIL",0,""))))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IF(B50="I1",20*AVERAGEIF('QA_Images'!$A$2:$A$63,A50,'QA_Images'!$T$2:$T$63)/100,IF(D50="NOT_CHECKED",0,C50))</f>
        <v/>
      </c>
      <c r="H50" s="2" t="inlineStr">
        <is>
          <t>Không suy diễn volume; phân biệt rõ SERP_ONLY và HYPOTHESIS_ONLY trung thực.</t>
        </is>
      </c>
      <c r="I50" s="2" t="inlineStr">
        <is>
          <t>["evidence_batch_004_035", "Keyword_Map"]</t>
        </is>
      </c>
      <c r="J50" s="2" t="inlineStr">
        <is>
          <t>[]</t>
        </is>
      </c>
    </row>
    <row r="51" ht="42" customHeight="1">
      <c r="A51" s="3" t="inlineStr">
        <is>
          <t>jeminise.com+custom-retro-football-art-bedding-set-c66211cf75-c66211cf75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IF(B51="I1",AVERAGEIF('QA_Images'!$A$2:$A$63,A51,'QA_Images'!$S$2:$S$63)/100,IF(D51="FULL",1,IF(D51="PARTIAL",0.5,IF(D51="FAIL",0,""))))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IF(B51="I1",20*AVERAGEIF('QA_Images'!$A$2:$A$63,A51,'QA_Images'!$T$2:$T$63)/100,IF(D51="NOT_CHECKED",0,C51))</f>
        <v/>
      </c>
      <c r="H51" s="3" t="inlineStr">
        <is>
          <t>Đánh giá SEO title English về độ đúng, tự nhiên, keyword mục tiêu và điểm phân biệt rõ ràng.</t>
        </is>
      </c>
      <c r="I51" s="3" t="inlineStr">
        <is>
          <t>["evidence_batch_004_035", "https://jeminise.com/products/custom-retro-football-art-bedding-set-c66211cf75-c66211cf75"]</t>
        </is>
      </c>
      <c r="J51" s="3" t="inlineStr">
        <is>
          <t>[]</t>
        </is>
      </c>
    </row>
    <row r="52" ht="42" customHeight="1">
      <c r="A52" s="2" t="inlineStr">
        <is>
          <t>jeminise.com+custom-retro-football-art-bedding-set-c66211cf75-c66211cf75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IF(B52="I1",AVERAGEIF('QA_Images'!$A$2:$A$63,A52,'QA_Images'!$S$2:$S$63)/100,IF(D52="FULL",1,IF(D52="PARTIAL",0.5,IF(D52="FAIL",0,""))))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IF(B52="I1",20*AVERAGEIF('QA_Images'!$A$2:$A$63,A52,'QA_Images'!$T$2:$T$63)/100,IF(D52="NOT_CHECKED",0,C52))</f>
        <v/>
      </c>
      <c r="H52" s="2" t="inlineStr">
        <is>
          <t>Đánh giá H1 đề xuất độc lập với SEO title, nhất quán với chủ đề và phân biệt sản phẩm.</t>
        </is>
      </c>
      <c r="I52" s="2" t="inlineStr">
        <is>
          <t>["evidence_batch_004_035", "https://jeminise.com/products/custom-retro-football-art-bedding-set-c66211cf75-c66211cf75"]</t>
        </is>
      </c>
      <c r="J52" s="2" t="inlineStr">
        <is>
          <t>[]</t>
        </is>
      </c>
    </row>
    <row r="53" ht="42" customHeight="1">
      <c r="A53" s="3" t="inlineStr">
        <is>
          <t>jeminise.com+custom-retro-football-art-bedding-set-c66211cf75-c66211cf75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IF(B53="I1",AVERAGEIF('QA_Images'!$A$2:$A$63,A53,'QA_Images'!$S$2:$S$63)/100,IF(D53="FULL",1,IF(D53="PARTIAL",0.5,IF(D53="FAIL",0,""))))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IF(B53="I1",20*AVERAGEIF('QA_Images'!$A$2:$A$63,A53,'QA_Images'!$T$2:$T$63)/100,IF(D53="NOT_CHECKED",0,C53))</f>
        <v/>
      </c>
      <c r="H53" s="3" t="inlineStr">
        <is>
          <t>Đánh giá meta description về tính cụ thể, mạch lạc, tóm tắt chính xác tính năng và tùy chọn mua hàng.</t>
        </is>
      </c>
      <c r="I53" s="3" t="inlineStr">
        <is>
          <t>["evidence_batch_004_035", "https://jeminise.com/products/custom-retro-football-art-bedding-set-c66211cf75-c66211cf75"]</t>
        </is>
      </c>
      <c r="J53" s="3" t="inlineStr">
        <is>
          <t>[]</t>
        </is>
      </c>
    </row>
    <row r="54" ht="42" customHeight="1">
      <c r="A54" s="2" t="inlineStr">
        <is>
          <t>jeminise.com+custom-retro-football-art-bedding-set-c66211cf75-c66211cf75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IF(B54="I1",AVERAGEIF('QA_Images'!$A$2:$A$63,A54,'QA_Images'!$S$2:$S$63)/100,IF(D54="FULL",1,IF(D54="PARTIAL",0.5,IF(D54="FAIL",0,""))))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IF(B54="I1",20*AVERAGEIF('QA_Images'!$A$2:$A$63,A54,'QA_Images'!$T$2:$T$63)/100,IF(D54="NOT_CHECKED",0,C54))</f>
        <v/>
      </c>
      <c r="H54" s="2" t="inlineStr">
        <is>
          <t>Description r5 hoàn toàn customer-facing, không còn ngôn ngữ nội bộ/quy trình; phản ánh đúng thuộc tính, không chép sai dragonfly/alligator, nêu đúng tùy biến.</t>
        </is>
      </c>
      <c r="I54" s="2" t="inlineStr">
        <is>
          <t>["evidence_batch_004_035", "https://jeminise.com/products/custom-retro-football-art-bedding-set-c66211cf75-c66211cf75"]</t>
        </is>
      </c>
      <c r="J54" s="2" t="inlineStr">
        <is>
          <t>[]</t>
        </is>
      </c>
    </row>
    <row r="55" ht="42" customHeight="1">
      <c r="A55" s="3" t="inlineStr">
        <is>
          <t>jeminise.com+custom-retro-football-art-bedding-set-c66211cf75-c66211cf75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IF(B55="I1",AVERAGEIF('QA_Images'!$A$2:$A$63,A55,'QA_Images'!$S$2:$S$63)/100,IF(D55="FULL",1,IF(D55="PARTIAL",0.5,IF(D55="FAIL",0,""))))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IF(B55="I1",20*AVERAGEIF('QA_Images'!$A$2:$A$63,A55,'QA_Images'!$T$2:$T$63)/100,IF(D55="NOT_CHECKED",0,C55))</f>
        <v/>
      </c>
      <c r="H55" s="3" t="inlineStr">
        <is>
          <t>Derived from directly checked r5 media records: 100.0/100.</t>
        </is>
      </c>
      <c r="I55" s="3" t="inlineStr">
        <is>
          <t>["evidence_batch_004_035", "QA_Images"]</t>
        </is>
      </c>
      <c r="J55" s="3" t="inlineStr">
        <is>
          <t>[]</t>
        </is>
      </c>
    </row>
    <row r="56" ht="42" customHeight="1">
      <c r="A56" s="2" t="inlineStr">
        <is>
          <t>jeminise.com+custom-retro-football-art-bedding-set-c66211cf75-c66211cf75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IF(B56="I1",AVERAGEIF('QA_Images'!$A$2:$A$63,A56,'QA_Images'!$S$2:$S$63)/100,IF(D56="FULL",1,IF(D56="PARTIAL",0.5,IF(D56="FAIL",0,""))))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IF(B56="I1",20*AVERAGEIF('QA_Images'!$A$2:$A$63,A56,'QA_Images'!$T$2:$T$63)/100,IF(D56="NOT_CHECKED",0,C56))</f>
        <v/>
      </c>
      <c r="H56" s="2" t="inlineStr">
        <is>
          <t>Kiểm tra liên kết product key/handle/evidence/revision giữa workbook, snapshot và nguồn live.</t>
        </is>
      </c>
      <c r="I56" s="2" t="inlineStr">
        <is>
          <t>["evidence_batch_004_035", "https://jeminise.com/products/custom-retro-football-art-bedding-set-c66211cf75-c66211cf75", "Keyword_Map", "Product_Evidence"]</t>
        </is>
      </c>
      <c r="J56" s="2" t="inlineStr">
        <is>
          <t>[]</t>
        </is>
      </c>
    </row>
    <row r="57" ht="42" customHeight="1">
      <c r="A57" s="3" t="inlineStr">
        <is>
          <t>jeminise.com+custom-american-football-close-up-on-grunge-vintage-comforter-26540e3264-26540e3264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IF(B57="I1",AVERAGEIF('QA_Images'!$A$2:$A$63,A57,'QA_Images'!$S$2:$S$63)/100,IF(D57="FULL",1,IF(D57="PARTIAL",0.5,IF(D57="FAIL",0,""))))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IF(B57="I1",20*AVERAGEIF('QA_Images'!$A$2:$A$63,A57,'QA_Images'!$T$2:$T$63)/100,IF(D57="NOT_CHECKED",0,C57))</f>
        <v/>
      </c>
      <c r="H57" s="3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57" s="3" t="inlineStr">
        <is>
          <t>["evidence_batch_004_036", "https://jeminise.com/products/custom-american-football-close-up-on-grunge-vintage-comforter-26540e3264-26540e3264"]</t>
        </is>
      </c>
      <c r="J57" s="3" t="inlineStr">
        <is>
          <t>[]</t>
        </is>
      </c>
    </row>
    <row r="58" ht="42" customHeight="1">
      <c r="A58" s="2" t="inlineStr">
        <is>
          <t>jeminise.com+custom-american-football-close-up-on-grunge-vintage-comforter-26540e3264-26540e3264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IF(B58="I1",AVERAGEIF('QA_Images'!$A$2:$A$63,A58,'QA_Images'!$S$2:$S$63)/100,IF(D58="FULL",1,IF(D58="PARTIAL",0.5,IF(D58="FAIL",0,""))))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IF(B58="I1",20*AVERAGEIF('QA_Images'!$A$2:$A$63,A58,'QA_Images'!$T$2:$T$63)/100,IF(D58="NOT_CHECKED",0,C58))</f>
        <v/>
      </c>
      <c r="H58" s="2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58" s="2" t="inlineStr">
        <is>
          <t>["evidence_batch_004_036", "customizer_audit.json", "https://jeminise.com/products/custom-american-football-close-up-on-grunge-vintage-comforter-26540e3264-26540e3264"]</t>
        </is>
      </c>
      <c r="J58" s="2" t="inlineStr">
        <is>
          <t>[]</t>
        </is>
      </c>
    </row>
    <row r="59" ht="42" customHeight="1">
      <c r="A59" s="3" t="inlineStr">
        <is>
          <t>jeminise.com+custom-american-football-close-up-on-grunge-vintage-comforter-26540e3264-26540e3264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IF(B59="I1",AVERAGEIF('QA_Images'!$A$2:$A$63,A59,'QA_Images'!$S$2:$S$63)/100,IF(D59="FULL",1,IF(D59="PARTIAL",0.5,IF(D59="FAIL",0,""))))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IF(B59="I1",20*AVERAGEIF('QA_Images'!$A$2:$A$63,A59,'QA_Images'!$T$2:$T$63)/100,IF(D59="NOT_CHECKED",0,C59))</f>
        <v/>
      </c>
      <c r="H59" s="3" t="inlineStr">
        <is>
          <t>Đối chiếu long-tail với thiết kế riêng; phân biệt rõ các motif football (retro flag, grunge, cosmic, USA flag, paint splash, patriotic flag) tránh cannibalization.</t>
        </is>
      </c>
      <c r="I59" s="3" t="inlineStr">
        <is>
          <t>["evidence_batch_004_036", "serp_qa_036_1"]</t>
        </is>
      </c>
      <c r="J59" s="3" t="inlineStr">
        <is>
          <t>[]</t>
        </is>
      </c>
    </row>
    <row r="60" ht="42" customHeight="1">
      <c r="A60" s="2" t="inlineStr">
        <is>
          <t>jeminise.com+custom-american-football-close-up-on-grunge-vintage-comforter-26540e3264-26540e3264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IF(B60="I1",AVERAGEIF('QA_Images'!$A$2:$A$63,A60,'QA_Images'!$S$2:$S$63)/100,IF(D60="FULL",1,IF(D60="PARTIAL",0.5,IF(D60="FAIL",0,""))))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IF(B60="I1",20*AVERAGEIF('QA_Images'!$A$2:$A$63,A60,'QA_Images'!$T$2:$T$63)/100,IF(D60="NOT_CHECKED",0,C60))</f>
        <v/>
      </c>
      <c r="H60" s="2" t="inlineStr">
        <is>
          <t>Đã đọc lại 2 SERP query cho mỗi sản phẩm tại intent US; ghi URL thực đọc và không suy diễn volume.</t>
        </is>
      </c>
      <c r="I60" s="2" t="inlineStr">
        <is>
          <t>["evidence_batch_004_036", "serp_qa_036_1", "serp_qa_036_2"]</t>
        </is>
      </c>
      <c r="J60" s="2" t="inlineStr">
        <is>
          <t>[]</t>
        </is>
      </c>
    </row>
    <row r="61" ht="42" customHeight="1">
      <c r="A61" s="3" t="inlineStr">
        <is>
          <t>jeminise.com+custom-american-football-close-up-on-grunge-vintage-comforter-26540e3264-26540e3264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IF(B61="I1",AVERAGEIF('QA_Images'!$A$2:$A$63,A61,'QA_Images'!$S$2:$S$63)/100,IF(D61="FULL",1,IF(D61="PARTIAL",0.5,IF(D61="FAIL",0,""))))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IF(B61="I1",20*AVERAGEIF('QA_Images'!$A$2:$A$63,A61,'QA_Images'!$T$2:$T$63)/100,IF(D61="NOT_CHECKED",0,C61))</f>
        <v/>
      </c>
      <c r="H61" s="3" t="inlineStr">
        <is>
          <t>Không suy diễn volume; phân biệt rõ SERP_ONLY và HYPOTHESIS_ONLY trung thực.</t>
        </is>
      </c>
      <c r="I61" s="3" t="inlineStr">
        <is>
          <t>["evidence_batch_004_036", "Keyword_Map"]</t>
        </is>
      </c>
      <c r="J61" s="3" t="inlineStr">
        <is>
          <t>[]</t>
        </is>
      </c>
    </row>
    <row r="62" ht="42" customHeight="1">
      <c r="A62" s="2" t="inlineStr">
        <is>
          <t>jeminise.com+custom-american-football-close-up-on-grunge-vintage-comforter-26540e3264-26540e3264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IF(B62="I1",AVERAGEIF('QA_Images'!$A$2:$A$63,A62,'QA_Images'!$S$2:$S$63)/100,IF(D62="FULL",1,IF(D62="PARTIAL",0.5,IF(D62="FAIL",0,""))))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IF(B62="I1",20*AVERAGEIF('QA_Images'!$A$2:$A$63,A62,'QA_Images'!$T$2:$T$63)/100,IF(D62="NOT_CHECKED",0,C62))</f>
        <v/>
      </c>
      <c r="H62" s="2" t="inlineStr">
        <is>
          <t>Đánh giá SEO title English về độ đúng, tự nhiên, keyword mục tiêu và điểm phân biệt rõ ràng.</t>
        </is>
      </c>
      <c r="I62" s="2" t="inlineStr">
        <is>
          <t>["evidence_batch_004_036", "https://jeminise.com/products/custom-american-football-close-up-on-grunge-vintage-comforter-26540e3264-26540e3264"]</t>
        </is>
      </c>
      <c r="J62" s="2" t="inlineStr">
        <is>
          <t>[]</t>
        </is>
      </c>
    </row>
    <row r="63" ht="42" customHeight="1">
      <c r="A63" s="3" t="inlineStr">
        <is>
          <t>jeminise.com+custom-american-football-close-up-on-grunge-vintage-comforter-26540e3264-26540e3264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IF(B63="I1",AVERAGEIF('QA_Images'!$A$2:$A$63,A63,'QA_Images'!$S$2:$S$63)/100,IF(D63="FULL",1,IF(D63="PARTIAL",0.5,IF(D63="FAIL",0,""))))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IF(B63="I1",20*AVERAGEIF('QA_Images'!$A$2:$A$63,A63,'QA_Images'!$T$2:$T$63)/100,IF(D63="NOT_CHECKED",0,C63))</f>
        <v/>
      </c>
      <c r="H63" s="3" t="inlineStr">
        <is>
          <t>Đánh giá H1 đề xuất độc lập với SEO title, nhất quán với chủ đề và phân biệt sản phẩm.</t>
        </is>
      </c>
      <c r="I63" s="3" t="inlineStr">
        <is>
          <t>["evidence_batch_004_036", "https://jeminise.com/products/custom-american-football-close-up-on-grunge-vintage-comforter-26540e3264-26540e3264"]</t>
        </is>
      </c>
      <c r="J63" s="3" t="inlineStr">
        <is>
          <t>[]</t>
        </is>
      </c>
    </row>
    <row r="64" ht="42" customHeight="1">
      <c r="A64" s="2" t="inlineStr">
        <is>
          <t>jeminise.com+custom-american-football-close-up-on-grunge-vintage-comforter-26540e3264-26540e3264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IF(B64="I1",AVERAGEIF('QA_Images'!$A$2:$A$63,A64,'QA_Images'!$S$2:$S$63)/100,IF(D64="FULL",1,IF(D64="PARTIAL",0.5,IF(D64="FAIL",0,""))))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IF(B64="I1",20*AVERAGEIF('QA_Images'!$A$2:$A$63,A64,'QA_Images'!$T$2:$T$63)/100,IF(D64="NOT_CHECKED",0,C64))</f>
        <v/>
      </c>
      <c r="H64" s="2" t="inlineStr">
        <is>
          <t>Đánh giá meta description về tính cụ thể, mạch lạc, tóm tắt chính xác tính năng và tùy chọn mua hàng.</t>
        </is>
      </c>
      <c r="I64" s="2" t="inlineStr">
        <is>
          <t>["evidence_batch_004_036", "https://jeminise.com/products/custom-american-football-close-up-on-grunge-vintage-comforter-26540e3264-26540e3264"]</t>
        </is>
      </c>
      <c r="J64" s="2" t="inlineStr">
        <is>
          <t>[]</t>
        </is>
      </c>
    </row>
    <row r="65" ht="42" customHeight="1">
      <c r="A65" s="3" t="inlineStr">
        <is>
          <t>jeminise.com+custom-american-football-close-up-on-grunge-vintage-comforter-26540e3264-26540e3264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IF(B65="I1",AVERAGEIF('QA_Images'!$A$2:$A$63,A65,'QA_Images'!$S$2:$S$63)/100,IF(D65="FULL",1,IF(D65="PARTIAL",0.5,IF(D65="FAIL",0,""))))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IF(B65="I1",20*AVERAGEIF('QA_Images'!$A$2:$A$63,A65,'QA_Images'!$T$2:$T$63)/100,IF(D65="NOT_CHECKED",0,C65))</f>
        <v/>
      </c>
      <c r="H65" s="3" t="inlineStr">
        <is>
          <t>Description r5 hoàn toàn customer-facing, không còn ngôn ngữ nội bộ/quy trình; phản ánh đúng thuộc tính, không chép sai dragonfly/alligator, nêu đúng tùy biến.</t>
        </is>
      </c>
      <c r="I65" s="3" t="inlineStr">
        <is>
          <t>["evidence_batch_004_036", "https://jeminise.com/products/custom-american-football-close-up-on-grunge-vintage-comforter-26540e3264-26540e3264"]</t>
        </is>
      </c>
      <c r="J65" s="3" t="inlineStr">
        <is>
          <t>[]</t>
        </is>
      </c>
    </row>
    <row r="66" ht="42" customHeight="1">
      <c r="A66" s="2" t="inlineStr">
        <is>
          <t>jeminise.com+custom-american-football-close-up-on-grunge-vintage-comforter-26540e3264-26540e3264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IF(B66="I1",AVERAGEIF('QA_Images'!$A$2:$A$63,A66,'QA_Images'!$S$2:$S$63)/100,IF(D66="FULL",1,IF(D66="PARTIAL",0.5,IF(D66="FAIL",0,""))))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IF(B66="I1",20*AVERAGEIF('QA_Images'!$A$2:$A$63,A66,'QA_Images'!$T$2:$T$63)/100,IF(D66="NOT_CHECKED",0,C66))</f>
        <v/>
      </c>
      <c r="H66" s="2" t="inlineStr">
        <is>
          <t>Derived from directly checked r5 media records: 100.0/100.</t>
        </is>
      </c>
      <c r="I66" s="2" t="inlineStr">
        <is>
          <t>["evidence_batch_004_036", "QA_Images"]</t>
        </is>
      </c>
      <c r="J66" s="2" t="inlineStr">
        <is>
          <t>[]</t>
        </is>
      </c>
    </row>
    <row r="67" ht="42" customHeight="1">
      <c r="A67" s="3" t="inlineStr">
        <is>
          <t>jeminise.com+custom-american-football-close-up-on-grunge-vintage-comforter-26540e3264-26540e3264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IF(B67="I1",AVERAGEIF('QA_Images'!$A$2:$A$63,A67,'QA_Images'!$S$2:$S$63)/100,IF(D67="FULL",1,IF(D67="PARTIAL",0.5,IF(D67="FAIL",0,""))))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IF(B67="I1",20*AVERAGEIF('QA_Images'!$A$2:$A$63,A67,'QA_Images'!$T$2:$T$63)/100,IF(D67="NOT_CHECKED",0,C67))</f>
        <v/>
      </c>
      <c r="H67" s="3" t="inlineStr">
        <is>
          <t>Kiểm tra liên kết product key/handle/evidence/revision giữa workbook, snapshot và nguồn live.</t>
        </is>
      </c>
      <c r="I67" s="3" t="inlineStr">
        <is>
          <t>["evidence_batch_004_036", "https://jeminise.com/products/custom-american-football-close-up-on-grunge-vintage-comforter-26540e3264-26540e3264", "Keyword_Map", "Product_Evidence"]</t>
        </is>
      </c>
      <c r="J67" s="3" t="inlineStr">
        <is>
          <t>[]</t>
        </is>
      </c>
    </row>
    <row r="68" ht="42" customHeight="1">
      <c r="A68" s="2" t="inlineStr">
        <is>
          <t>jeminise.com+custom-american-football-on-cosmic-background-vintage-comforter-62a3849621-62a3849621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IF(B68="I1",AVERAGEIF('QA_Images'!$A$2:$A$63,A68,'QA_Images'!$S$2:$S$63)/100,IF(D68="FULL",1,IF(D68="PARTIAL",0.5,IF(D68="FAIL",0,""))))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IF(B68="I1",20*AVERAGEIF('QA_Images'!$A$2:$A$63,A68,'QA_Images'!$T$2:$T$63)/100,IF(D68="NOT_CHECKED",0,C68))</f>
        <v/>
      </c>
      <c r="H68" s="2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68" s="2" t="inlineStr">
        <is>
          <t>["evidence_batch_004_037", "https://jeminise.com/products/custom-american-football-on-cosmic-background-vintage-comforter-62a3849621-62a3849621"]</t>
        </is>
      </c>
      <c r="J68" s="2" t="inlineStr">
        <is>
          <t>[]</t>
        </is>
      </c>
    </row>
    <row r="69" ht="42" customHeight="1">
      <c r="A69" s="3" t="inlineStr">
        <is>
          <t>jeminise.com+custom-american-football-on-cosmic-background-vintage-comforter-62a3849621-62a3849621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IF(B69="I1",AVERAGEIF('QA_Images'!$A$2:$A$63,A69,'QA_Images'!$S$2:$S$63)/100,IF(D69="FULL",1,IF(D69="PARTIAL",0.5,IF(D69="FAIL",0,""))))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IF(B69="I1",20*AVERAGEIF('QA_Images'!$A$2:$A$63,A69,'QA_Images'!$T$2:$T$63)/100,IF(D69="NOT_CHECKED",0,C69))</f>
        <v/>
      </c>
      <c r="H69" s="3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69" s="3" t="inlineStr">
        <is>
          <t>["evidence_batch_004_037", "customizer_audit.json", "https://jeminise.com/products/custom-american-football-on-cosmic-background-vintage-comforter-62a3849621-62a3849621"]</t>
        </is>
      </c>
      <c r="J69" s="3" t="inlineStr">
        <is>
          <t>[]</t>
        </is>
      </c>
    </row>
    <row r="70" ht="42" customHeight="1">
      <c r="A70" s="2" t="inlineStr">
        <is>
          <t>jeminise.com+custom-american-football-on-cosmic-background-vintage-comforter-62a3849621-62a3849621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IF(B70="I1",AVERAGEIF('QA_Images'!$A$2:$A$63,A70,'QA_Images'!$S$2:$S$63)/100,IF(D70="FULL",1,IF(D70="PARTIAL",0.5,IF(D70="FAIL",0,""))))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IF(B70="I1",20*AVERAGEIF('QA_Images'!$A$2:$A$63,A70,'QA_Images'!$T$2:$T$63)/100,IF(D70="NOT_CHECKED",0,C70))</f>
        <v/>
      </c>
      <c r="H70" s="2" t="inlineStr">
        <is>
          <t>Đối chiếu long-tail với thiết kế riêng; phân biệt rõ các motif football (retro flag, grunge, cosmic, USA flag, paint splash, patriotic flag) tránh cannibalization.</t>
        </is>
      </c>
      <c r="I70" s="2" t="inlineStr">
        <is>
          <t>["evidence_batch_004_037", "serp_qa_037_1"]</t>
        </is>
      </c>
      <c r="J70" s="2" t="inlineStr">
        <is>
          <t>[]</t>
        </is>
      </c>
    </row>
    <row r="71" ht="42" customHeight="1">
      <c r="A71" s="3" t="inlineStr">
        <is>
          <t>jeminise.com+custom-american-football-on-cosmic-background-vintage-comforter-62a3849621-62a3849621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IF(B71="I1",AVERAGEIF('QA_Images'!$A$2:$A$63,A71,'QA_Images'!$S$2:$S$63)/100,IF(D71="FULL",1,IF(D71="PARTIAL",0.5,IF(D71="FAIL",0,""))))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IF(B71="I1",20*AVERAGEIF('QA_Images'!$A$2:$A$63,A71,'QA_Images'!$T$2:$T$63)/100,IF(D71="NOT_CHECKED",0,C71))</f>
        <v/>
      </c>
      <c r="H71" s="3" t="inlineStr">
        <is>
          <t>Đã đọc lại 2 SERP query cho mỗi sản phẩm tại intent US; ghi URL thực đọc và không suy diễn volume.</t>
        </is>
      </c>
      <c r="I71" s="3" t="inlineStr">
        <is>
          <t>["evidence_batch_004_037", "serp_qa_037_1", "serp_qa_037_2"]</t>
        </is>
      </c>
      <c r="J71" s="3" t="inlineStr">
        <is>
          <t>[]</t>
        </is>
      </c>
    </row>
    <row r="72" ht="42" customHeight="1">
      <c r="A72" s="2" t="inlineStr">
        <is>
          <t>jeminise.com+custom-american-football-on-cosmic-background-vintage-comforter-62a3849621-62a3849621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IF(B72="I1",AVERAGEIF('QA_Images'!$A$2:$A$63,A72,'QA_Images'!$S$2:$S$63)/100,IF(D72="FULL",1,IF(D72="PARTIAL",0.5,IF(D72="FAIL",0,""))))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IF(B72="I1",20*AVERAGEIF('QA_Images'!$A$2:$A$63,A72,'QA_Images'!$T$2:$T$63)/100,IF(D72="NOT_CHECKED",0,C72))</f>
        <v/>
      </c>
      <c r="H72" s="2" t="inlineStr">
        <is>
          <t>Không suy diễn volume; phân biệt rõ SERP_ONLY và HYPOTHESIS_ONLY trung thực.</t>
        </is>
      </c>
      <c r="I72" s="2" t="inlineStr">
        <is>
          <t>["evidence_batch_004_037", "Keyword_Map"]</t>
        </is>
      </c>
      <c r="J72" s="2" t="inlineStr">
        <is>
          <t>[]</t>
        </is>
      </c>
    </row>
    <row r="73" ht="42" customHeight="1">
      <c r="A73" s="3" t="inlineStr">
        <is>
          <t>jeminise.com+custom-american-football-on-cosmic-background-vintage-comforter-62a3849621-62a3849621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IF(B73="I1",AVERAGEIF('QA_Images'!$A$2:$A$63,A73,'QA_Images'!$S$2:$S$63)/100,IF(D73="FULL",1,IF(D73="PARTIAL",0.5,IF(D73="FAIL",0,""))))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IF(B73="I1",20*AVERAGEIF('QA_Images'!$A$2:$A$63,A73,'QA_Images'!$T$2:$T$63)/100,IF(D73="NOT_CHECKED",0,C73))</f>
        <v/>
      </c>
      <c r="H73" s="3" t="inlineStr">
        <is>
          <t>Đánh giá SEO title English về độ đúng, tự nhiên, keyword mục tiêu và điểm phân biệt rõ ràng.</t>
        </is>
      </c>
      <c r="I73" s="3" t="inlineStr">
        <is>
          <t>["evidence_batch_004_037", "https://jeminise.com/products/custom-american-football-on-cosmic-background-vintage-comforter-62a3849621-62a3849621"]</t>
        </is>
      </c>
      <c r="J73" s="3" t="inlineStr">
        <is>
          <t>[]</t>
        </is>
      </c>
    </row>
    <row r="74" ht="42" customHeight="1">
      <c r="A74" s="2" t="inlineStr">
        <is>
          <t>jeminise.com+custom-american-football-on-cosmic-background-vintage-comforter-62a3849621-62a3849621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IF(B74="I1",AVERAGEIF('QA_Images'!$A$2:$A$63,A74,'QA_Images'!$S$2:$S$63)/100,IF(D74="FULL",1,IF(D74="PARTIAL",0.5,IF(D74="FAIL",0,""))))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IF(B74="I1",20*AVERAGEIF('QA_Images'!$A$2:$A$63,A74,'QA_Images'!$T$2:$T$63)/100,IF(D74="NOT_CHECKED",0,C74))</f>
        <v/>
      </c>
      <c r="H74" s="2" t="inlineStr">
        <is>
          <t>Đánh giá H1 đề xuất độc lập với SEO title, nhất quán với chủ đề và phân biệt sản phẩm.</t>
        </is>
      </c>
      <c r="I74" s="2" t="inlineStr">
        <is>
          <t>["evidence_batch_004_037", "https://jeminise.com/products/custom-american-football-on-cosmic-background-vintage-comforter-62a3849621-62a3849621"]</t>
        </is>
      </c>
      <c r="J74" s="2" t="inlineStr">
        <is>
          <t>[]</t>
        </is>
      </c>
    </row>
    <row r="75" ht="42" customHeight="1">
      <c r="A75" s="3" t="inlineStr">
        <is>
          <t>jeminise.com+custom-american-football-on-cosmic-background-vintage-comforter-62a3849621-62a3849621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IF(B75="I1",AVERAGEIF('QA_Images'!$A$2:$A$63,A75,'QA_Images'!$S$2:$S$63)/100,IF(D75="FULL",1,IF(D75="PARTIAL",0.5,IF(D75="FAIL",0,""))))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IF(B75="I1",20*AVERAGEIF('QA_Images'!$A$2:$A$63,A75,'QA_Images'!$T$2:$T$63)/100,IF(D75="NOT_CHECKED",0,C75))</f>
        <v/>
      </c>
      <c r="H75" s="3" t="inlineStr">
        <is>
          <t>Đánh giá meta description về tính cụ thể, mạch lạc, tóm tắt chính xác tính năng và tùy chọn mua hàng.</t>
        </is>
      </c>
      <c r="I75" s="3" t="inlineStr">
        <is>
          <t>["evidence_batch_004_037", "https://jeminise.com/products/custom-american-football-on-cosmic-background-vintage-comforter-62a3849621-62a3849621"]</t>
        </is>
      </c>
      <c r="J75" s="3" t="inlineStr">
        <is>
          <t>[]</t>
        </is>
      </c>
    </row>
    <row r="76" ht="42" customHeight="1">
      <c r="A76" s="2" t="inlineStr">
        <is>
          <t>jeminise.com+custom-american-football-on-cosmic-background-vintage-comforter-62a3849621-62a3849621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IF(B76="I1",AVERAGEIF('QA_Images'!$A$2:$A$63,A76,'QA_Images'!$S$2:$S$63)/100,IF(D76="FULL",1,IF(D76="PARTIAL",0.5,IF(D76="FAIL",0,""))))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IF(B76="I1",20*AVERAGEIF('QA_Images'!$A$2:$A$63,A76,'QA_Images'!$T$2:$T$63)/100,IF(D76="NOT_CHECKED",0,C76))</f>
        <v/>
      </c>
      <c r="H76" s="2" t="inlineStr">
        <is>
          <t>Description r5 hoàn toàn customer-facing, không còn ngôn ngữ nội bộ/quy trình; phản ánh đúng thuộc tính, không chép sai dragonfly/alligator, nêu đúng tùy biến.</t>
        </is>
      </c>
      <c r="I76" s="2" t="inlineStr">
        <is>
          <t>["evidence_batch_004_037", "https://jeminise.com/products/custom-american-football-on-cosmic-background-vintage-comforter-62a3849621-62a3849621"]</t>
        </is>
      </c>
      <c r="J76" s="2" t="inlineStr">
        <is>
          <t>[]</t>
        </is>
      </c>
    </row>
    <row r="77" ht="42" customHeight="1">
      <c r="A77" s="3" t="inlineStr">
        <is>
          <t>jeminise.com+custom-american-football-on-cosmic-background-vintage-comforter-62a3849621-62a3849621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IF(B77="I1",AVERAGEIF('QA_Images'!$A$2:$A$63,A77,'QA_Images'!$S$2:$S$63)/100,IF(D77="FULL",1,IF(D77="PARTIAL",0.5,IF(D77="FAIL",0,""))))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IF(B77="I1",20*AVERAGEIF('QA_Images'!$A$2:$A$63,A77,'QA_Images'!$T$2:$T$63)/100,IF(D77="NOT_CHECKED",0,C77))</f>
        <v/>
      </c>
      <c r="H77" s="3" t="inlineStr">
        <is>
          <t>Derived from directly checked r5 media records: 100.0/100.</t>
        </is>
      </c>
      <c r="I77" s="3" t="inlineStr">
        <is>
          <t>["evidence_batch_004_037", "QA_Images"]</t>
        </is>
      </c>
      <c r="J77" s="3" t="inlineStr">
        <is>
          <t>[]</t>
        </is>
      </c>
    </row>
    <row r="78" ht="42" customHeight="1">
      <c r="A78" s="2" t="inlineStr">
        <is>
          <t>jeminise.com+custom-american-football-on-cosmic-background-vintage-comforter-62a3849621-62a3849621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IF(B78="I1",AVERAGEIF('QA_Images'!$A$2:$A$63,A78,'QA_Images'!$S$2:$S$63)/100,IF(D78="FULL",1,IF(D78="PARTIAL",0.5,IF(D78="FAIL",0,""))))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IF(B78="I1",20*AVERAGEIF('QA_Images'!$A$2:$A$63,A78,'QA_Images'!$T$2:$T$63)/100,IF(D78="NOT_CHECKED",0,C78))</f>
        <v/>
      </c>
      <c r="H78" s="2" t="inlineStr">
        <is>
          <t>Kiểm tra liên kết product key/handle/evidence/revision giữa workbook, snapshot và nguồn live.</t>
        </is>
      </c>
      <c r="I78" s="2" t="inlineStr">
        <is>
          <t>["evidence_batch_004_037", "https://jeminise.com/products/custom-american-football-on-cosmic-background-vintage-comforter-62a3849621-62a3849621", "Keyword_Map", "Product_Evidence"]</t>
        </is>
      </c>
      <c r="J78" s="2" t="inlineStr">
        <is>
          <t>[]</t>
        </is>
      </c>
    </row>
    <row r="79" ht="42" customHeight="1">
      <c r="A79" s="3" t="inlineStr">
        <is>
          <t>jeminise.com+custom-american-football-on-usa-flag-background-comforter-703a7c0d82-703a7c0d82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IF(B79="I1",AVERAGEIF('QA_Images'!$A$2:$A$63,A79,'QA_Images'!$S$2:$S$63)/100,IF(D79="FULL",1,IF(D79="PARTIAL",0.5,IF(D79="FAIL",0,""))))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IF(B79="I1",20*AVERAGEIF('QA_Images'!$A$2:$A$63,A79,'QA_Images'!$T$2:$T$63)/100,IF(D79="NOT_CHECKED",0,C79))</f>
        <v/>
      </c>
      <c r="H79" s="3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79" s="3" t="inlineStr">
        <is>
          <t>["evidence_batch_004_038", "https://jeminise.com/products/custom-american-football-on-usa-flag-background-comforter-703a7c0d82-703a7c0d82"]</t>
        </is>
      </c>
      <c r="J79" s="3" t="inlineStr">
        <is>
          <t>[]</t>
        </is>
      </c>
    </row>
    <row r="80" ht="42" customHeight="1">
      <c r="A80" s="2" t="inlineStr">
        <is>
          <t>jeminise.com+custom-american-football-on-usa-flag-background-comforter-703a7c0d82-703a7c0d82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IF(B80="I1",AVERAGEIF('QA_Images'!$A$2:$A$63,A80,'QA_Images'!$S$2:$S$63)/100,IF(D80="FULL",1,IF(D80="PARTIAL",0.5,IF(D80="FAIL",0,""))))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IF(B80="I1",20*AVERAGEIF('QA_Images'!$A$2:$A$63,A80,'QA_Images'!$T$2:$T$63)/100,IF(D80="NOT_CHECKED",0,C80))</f>
        <v/>
      </c>
      <c r="H80" s="2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80" s="2" t="inlineStr">
        <is>
          <t>["evidence_batch_004_038", "customizer_audit.json", "https://jeminise.com/products/custom-american-football-on-usa-flag-background-comforter-703a7c0d82-703a7c0d82"]</t>
        </is>
      </c>
      <c r="J80" s="2" t="inlineStr">
        <is>
          <t>[]</t>
        </is>
      </c>
    </row>
    <row r="81" ht="42" customHeight="1">
      <c r="A81" s="3" t="inlineStr">
        <is>
          <t>jeminise.com+custom-american-football-on-usa-flag-background-comforter-703a7c0d82-703a7c0d82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IF(B81="I1",AVERAGEIF('QA_Images'!$A$2:$A$63,A81,'QA_Images'!$S$2:$S$63)/100,IF(D81="FULL",1,IF(D81="PARTIAL",0.5,IF(D81="FAIL",0,""))))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IF(B81="I1",20*AVERAGEIF('QA_Images'!$A$2:$A$63,A81,'QA_Images'!$T$2:$T$63)/100,IF(D81="NOT_CHECKED",0,C81))</f>
        <v/>
      </c>
      <c r="H81" s="3" t="inlineStr">
        <is>
          <t>Đối chiếu long-tail với thiết kế riêng; phân biệt rõ các motif football (retro flag, grunge, cosmic, USA flag, paint splash, patriotic flag) tránh cannibalization.</t>
        </is>
      </c>
      <c r="I81" s="3" t="inlineStr">
        <is>
          <t>["evidence_batch_004_038", "serp_qa_038_1"]</t>
        </is>
      </c>
      <c r="J81" s="3" t="inlineStr">
        <is>
          <t>[]</t>
        </is>
      </c>
    </row>
    <row r="82" ht="42" customHeight="1">
      <c r="A82" s="2" t="inlineStr">
        <is>
          <t>jeminise.com+custom-american-football-on-usa-flag-background-comforter-703a7c0d82-703a7c0d82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IF(B82="I1",AVERAGEIF('QA_Images'!$A$2:$A$63,A82,'QA_Images'!$S$2:$S$63)/100,IF(D82="FULL",1,IF(D82="PARTIAL",0.5,IF(D82="FAIL",0,""))))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IF(B82="I1",20*AVERAGEIF('QA_Images'!$A$2:$A$63,A82,'QA_Images'!$T$2:$T$63)/100,IF(D82="NOT_CHECKED",0,C82))</f>
        <v/>
      </c>
      <c r="H82" s="2" t="inlineStr">
        <is>
          <t>Đã đọc lại 2 SERP query cho mỗi sản phẩm tại intent US; ghi URL thực đọc và không suy diễn volume.</t>
        </is>
      </c>
      <c r="I82" s="2" t="inlineStr">
        <is>
          <t>["evidence_batch_004_038", "serp_qa_038_1", "serp_qa_038_2"]</t>
        </is>
      </c>
      <c r="J82" s="2" t="inlineStr">
        <is>
          <t>[]</t>
        </is>
      </c>
    </row>
    <row r="83" ht="42" customHeight="1">
      <c r="A83" s="3" t="inlineStr">
        <is>
          <t>jeminise.com+custom-american-football-on-usa-flag-background-comforter-703a7c0d82-703a7c0d82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IF(B83="I1",AVERAGEIF('QA_Images'!$A$2:$A$63,A83,'QA_Images'!$S$2:$S$63)/100,IF(D83="FULL",1,IF(D83="PARTIAL",0.5,IF(D83="FAIL",0,""))))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IF(B83="I1",20*AVERAGEIF('QA_Images'!$A$2:$A$63,A83,'QA_Images'!$T$2:$T$63)/100,IF(D83="NOT_CHECKED",0,C83))</f>
        <v/>
      </c>
      <c r="H83" s="3" t="inlineStr">
        <is>
          <t>Không suy diễn volume; phân biệt rõ SERP_ONLY và HYPOTHESIS_ONLY trung thực.</t>
        </is>
      </c>
      <c r="I83" s="3" t="inlineStr">
        <is>
          <t>["evidence_batch_004_038", "Keyword_Map"]</t>
        </is>
      </c>
      <c r="J83" s="3" t="inlineStr">
        <is>
          <t>[]</t>
        </is>
      </c>
    </row>
    <row r="84" ht="42" customHeight="1">
      <c r="A84" s="2" t="inlineStr">
        <is>
          <t>jeminise.com+custom-american-football-on-usa-flag-background-comforter-703a7c0d82-703a7c0d82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IF(B84="I1",AVERAGEIF('QA_Images'!$A$2:$A$63,A84,'QA_Images'!$S$2:$S$63)/100,IF(D84="FULL",1,IF(D84="PARTIAL",0.5,IF(D84="FAIL",0,""))))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IF(B84="I1",20*AVERAGEIF('QA_Images'!$A$2:$A$63,A84,'QA_Images'!$T$2:$T$63)/100,IF(D84="NOT_CHECKED",0,C84))</f>
        <v/>
      </c>
      <c r="H84" s="2" t="inlineStr">
        <is>
          <t>Đánh giá SEO title English về độ đúng, tự nhiên, keyword mục tiêu và điểm phân biệt rõ ràng.</t>
        </is>
      </c>
      <c r="I84" s="2" t="inlineStr">
        <is>
          <t>["evidence_batch_004_038", "https://jeminise.com/products/custom-american-football-on-usa-flag-background-comforter-703a7c0d82-703a7c0d82"]</t>
        </is>
      </c>
      <c r="J84" s="2" t="inlineStr">
        <is>
          <t>[]</t>
        </is>
      </c>
    </row>
    <row r="85" ht="42" customHeight="1">
      <c r="A85" s="3" t="inlineStr">
        <is>
          <t>jeminise.com+custom-american-football-on-usa-flag-background-comforter-703a7c0d82-703a7c0d82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IF(B85="I1",AVERAGEIF('QA_Images'!$A$2:$A$63,A85,'QA_Images'!$S$2:$S$63)/100,IF(D85="FULL",1,IF(D85="PARTIAL",0.5,IF(D85="FAIL",0,""))))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IF(B85="I1",20*AVERAGEIF('QA_Images'!$A$2:$A$63,A85,'QA_Images'!$T$2:$T$63)/100,IF(D85="NOT_CHECKED",0,C85))</f>
        <v/>
      </c>
      <c r="H85" s="3" t="inlineStr">
        <is>
          <t>Đánh giá H1 đề xuất độc lập với SEO title, nhất quán với chủ đề và phân biệt sản phẩm.</t>
        </is>
      </c>
      <c r="I85" s="3" t="inlineStr">
        <is>
          <t>["evidence_batch_004_038", "https://jeminise.com/products/custom-american-football-on-usa-flag-background-comforter-703a7c0d82-703a7c0d82"]</t>
        </is>
      </c>
      <c r="J85" s="3" t="inlineStr">
        <is>
          <t>[]</t>
        </is>
      </c>
    </row>
    <row r="86" ht="42" customHeight="1">
      <c r="A86" s="2" t="inlineStr">
        <is>
          <t>jeminise.com+custom-american-football-on-usa-flag-background-comforter-703a7c0d82-703a7c0d82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IF(B86="I1",AVERAGEIF('QA_Images'!$A$2:$A$63,A86,'QA_Images'!$S$2:$S$63)/100,IF(D86="FULL",1,IF(D86="PARTIAL",0.5,IF(D86="FAIL",0,""))))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IF(B86="I1",20*AVERAGEIF('QA_Images'!$A$2:$A$63,A86,'QA_Images'!$T$2:$T$63)/100,IF(D86="NOT_CHECKED",0,C86))</f>
        <v/>
      </c>
      <c r="H86" s="2" t="inlineStr">
        <is>
          <t>Đánh giá meta description về tính cụ thể, mạch lạc, tóm tắt chính xác tính năng và tùy chọn mua hàng.</t>
        </is>
      </c>
      <c r="I86" s="2" t="inlineStr">
        <is>
          <t>["evidence_batch_004_038", "https://jeminise.com/products/custom-american-football-on-usa-flag-background-comforter-703a7c0d82-703a7c0d82"]</t>
        </is>
      </c>
      <c r="J86" s="2" t="inlineStr">
        <is>
          <t>[]</t>
        </is>
      </c>
    </row>
    <row r="87" ht="42" customHeight="1">
      <c r="A87" s="3" t="inlineStr">
        <is>
          <t>jeminise.com+custom-american-football-on-usa-flag-background-comforter-703a7c0d82-703a7c0d82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IF(B87="I1",AVERAGEIF('QA_Images'!$A$2:$A$63,A87,'QA_Images'!$S$2:$S$63)/100,IF(D87="FULL",1,IF(D87="PARTIAL",0.5,IF(D87="FAIL",0,""))))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IF(B87="I1",20*AVERAGEIF('QA_Images'!$A$2:$A$63,A87,'QA_Images'!$T$2:$T$63)/100,IF(D87="NOT_CHECKED",0,C87))</f>
        <v/>
      </c>
      <c r="H87" s="3" t="inlineStr">
        <is>
          <t>Description r5 hoàn toàn customer-facing, không còn ngôn ngữ nội bộ/quy trình; phản ánh đúng thuộc tính, không chép sai dragonfly/alligator, nêu đúng tùy biến.</t>
        </is>
      </c>
      <c r="I87" s="3" t="inlineStr">
        <is>
          <t>["evidence_batch_004_038", "https://jeminise.com/products/custom-american-football-on-usa-flag-background-comforter-703a7c0d82-703a7c0d82"]</t>
        </is>
      </c>
      <c r="J87" s="3" t="inlineStr">
        <is>
          <t>[]</t>
        </is>
      </c>
    </row>
    <row r="88" ht="42" customHeight="1">
      <c r="A88" s="2" t="inlineStr">
        <is>
          <t>jeminise.com+custom-american-football-on-usa-flag-background-comforter-703a7c0d82-703a7c0d82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IF(B88="I1",AVERAGEIF('QA_Images'!$A$2:$A$63,A88,'QA_Images'!$S$2:$S$63)/100,IF(D88="FULL",1,IF(D88="PARTIAL",0.5,IF(D88="FAIL",0,""))))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IF(B88="I1",20*AVERAGEIF('QA_Images'!$A$2:$A$63,A88,'QA_Images'!$T$2:$T$63)/100,IF(D88="NOT_CHECKED",0,C88))</f>
        <v/>
      </c>
      <c r="H88" s="2" t="inlineStr">
        <is>
          <t>Derived from directly checked r5 media records: 100.0/100.</t>
        </is>
      </c>
      <c r="I88" s="2" t="inlineStr">
        <is>
          <t>["evidence_batch_004_038", "QA_Images"]</t>
        </is>
      </c>
      <c r="J88" s="2" t="inlineStr">
        <is>
          <t>[]</t>
        </is>
      </c>
    </row>
    <row r="89" ht="42" customHeight="1">
      <c r="A89" s="3" t="inlineStr">
        <is>
          <t>jeminise.com+custom-american-football-on-usa-flag-background-comforter-703a7c0d82-703a7c0d82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IF(B89="I1",AVERAGEIF('QA_Images'!$A$2:$A$63,A89,'QA_Images'!$S$2:$S$63)/100,IF(D89="FULL",1,IF(D89="PARTIAL",0.5,IF(D89="FAIL",0,""))))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IF(B89="I1",20*AVERAGEIF('QA_Images'!$A$2:$A$63,A89,'QA_Images'!$T$2:$T$63)/100,IF(D89="NOT_CHECKED",0,C89))</f>
        <v/>
      </c>
      <c r="H89" s="3" t="inlineStr">
        <is>
          <t>Kiểm tra liên kết product key/handle/evidence/revision giữa workbook, snapshot và nguồn live.</t>
        </is>
      </c>
      <c r="I89" s="3" t="inlineStr">
        <is>
          <t>["evidence_batch_004_038", "https://jeminise.com/products/custom-american-football-on-usa-flag-background-comforter-703a7c0d82-703a7c0d82", "Keyword_Map", "Product_Evidence"]</t>
        </is>
      </c>
      <c r="J89" s="3" t="inlineStr">
        <is>
          <t>[]</t>
        </is>
      </c>
    </row>
    <row r="90" ht="42" customHeight="1">
      <c r="A90" s="2" t="inlineStr">
        <is>
          <t>jeminise.com+custom-american-football-with-paint-splash-background-vintage-comforter-da0e1d5bf1-da0e1d5bf1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IF(B90="I1",AVERAGEIF('QA_Images'!$A$2:$A$63,A90,'QA_Images'!$S$2:$S$63)/100,IF(D90="FULL",1,IF(D90="PARTIAL",0.5,IF(D90="FAIL",0,""))))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IF(B90="I1",20*AVERAGEIF('QA_Images'!$A$2:$A$63,A90,'QA_Images'!$T$2:$T$63)/100,IF(D90="NOT_CHECKED",0,C90))</f>
        <v/>
      </c>
      <c r="H90" s="2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90" s="2" t="inlineStr">
        <is>
          <t>["evidence_batch_004_039", "https://jeminise.com/products/custom-american-football-with-paint-splash-background-vintage-comforter-da0e1d5bf1-da0e1d5bf1"]</t>
        </is>
      </c>
      <c r="J90" s="2" t="inlineStr">
        <is>
          <t>[]</t>
        </is>
      </c>
    </row>
    <row r="91" ht="42" customHeight="1">
      <c r="A91" s="3" t="inlineStr">
        <is>
          <t>jeminise.com+custom-american-football-with-paint-splash-background-vintage-comforter-da0e1d5bf1-da0e1d5bf1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IF(B91="I1",AVERAGEIF('QA_Images'!$A$2:$A$63,A91,'QA_Images'!$S$2:$S$63)/100,IF(D91="FULL",1,IF(D91="PARTIAL",0.5,IF(D91="FAIL",0,""))))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IF(B91="I1",20*AVERAGEIF('QA_Images'!$A$2:$A$63,A91,'QA_Images'!$T$2:$T$63)/100,IF(D91="NOT_CHECKED",0,C91))</f>
        <v/>
      </c>
      <c r="H91" s="3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91" s="3" t="inlineStr">
        <is>
          <t>["evidence_batch_004_039", "customizer_audit.json", "https://jeminise.com/products/custom-american-football-with-paint-splash-background-vintage-comforter-da0e1d5bf1-da0e1d5bf1"]</t>
        </is>
      </c>
      <c r="J91" s="3" t="inlineStr">
        <is>
          <t>[]</t>
        </is>
      </c>
    </row>
    <row r="92" ht="42" customHeight="1">
      <c r="A92" s="2" t="inlineStr">
        <is>
          <t>jeminise.com+custom-american-football-with-paint-splash-background-vintage-comforter-da0e1d5bf1-da0e1d5bf1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IF(B92="I1",AVERAGEIF('QA_Images'!$A$2:$A$63,A92,'QA_Images'!$S$2:$S$63)/100,IF(D92="FULL",1,IF(D92="PARTIAL",0.5,IF(D92="FAIL",0,""))))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IF(B92="I1",20*AVERAGEIF('QA_Images'!$A$2:$A$63,A92,'QA_Images'!$T$2:$T$63)/100,IF(D92="NOT_CHECKED",0,C92))</f>
        <v/>
      </c>
      <c r="H92" s="2" t="inlineStr">
        <is>
          <t>Đối chiếu long-tail với thiết kế riêng; phân biệt rõ các motif football (retro flag, grunge, cosmic, USA flag, paint splash, patriotic flag) tránh cannibalization.</t>
        </is>
      </c>
      <c r="I92" s="2" t="inlineStr">
        <is>
          <t>["evidence_batch_004_039", "serp_qa_039_1"]</t>
        </is>
      </c>
      <c r="J92" s="2" t="inlineStr">
        <is>
          <t>[]</t>
        </is>
      </c>
    </row>
    <row r="93" ht="42" customHeight="1">
      <c r="A93" s="3" t="inlineStr">
        <is>
          <t>jeminise.com+custom-american-football-with-paint-splash-background-vintage-comforter-da0e1d5bf1-da0e1d5bf1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IF(B93="I1",AVERAGEIF('QA_Images'!$A$2:$A$63,A93,'QA_Images'!$S$2:$S$63)/100,IF(D93="FULL",1,IF(D93="PARTIAL",0.5,IF(D93="FAIL",0,""))))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IF(B93="I1",20*AVERAGEIF('QA_Images'!$A$2:$A$63,A93,'QA_Images'!$T$2:$T$63)/100,IF(D93="NOT_CHECKED",0,C93))</f>
        <v/>
      </c>
      <c r="H93" s="3" t="inlineStr">
        <is>
          <t>Đã đọc lại 2 SERP query cho mỗi sản phẩm tại intent US; ghi URL thực đọc và không suy diễn volume.</t>
        </is>
      </c>
      <c r="I93" s="3" t="inlineStr">
        <is>
          <t>["evidence_batch_004_039", "serp_qa_039_1", "serp_qa_039_2"]</t>
        </is>
      </c>
      <c r="J93" s="3" t="inlineStr">
        <is>
          <t>[]</t>
        </is>
      </c>
    </row>
    <row r="94" ht="42" customHeight="1">
      <c r="A94" s="2" t="inlineStr">
        <is>
          <t>jeminise.com+custom-american-football-with-paint-splash-background-vintage-comforter-da0e1d5bf1-da0e1d5bf1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IF(B94="I1",AVERAGEIF('QA_Images'!$A$2:$A$63,A94,'QA_Images'!$S$2:$S$63)/100,IF(D94="FULL",1,IF(D94="PARTIAL",0.5,IF(D94="FAIL",0,""))))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IF(B94="I1",20*AVERAGEIF('QA_Images'!$A$2:$A$63,A94,'QA_Images'!$T$2:$T$63)/100,IF(D94="NOT_CHECKED",0,C94))</f>
        <v/>
      </c>
      <c r="H94" s="2" t="inlineStr">
        <is>
          <t>Không suy diễn volume; phân biệt rõ SERP_ONLY và HYPOTHESIS_ONLY trung thực.</t>
        </is>
      </c>
      <c r="I94" s="2" t="inlineStr">
        <is>
          <t>["evidence_batch_004_039", "Keyword_Map"]</t>
        </is>
      </c>
      <c r="J94" s="2" t="inlineStr">
        <is>
          <t>[]</t>
        </is>
      </c>
    </row>
    <row r="95" ht="42" customHeight="1">
      <c r="A95" s="3" t="inlineStr">
        <is>
          <t>jeminise.com+custom-american-football-with-paint-splash-background-vintage-comforter-da0e1d5bf1-da0e1d5bf1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IF(B95="I1",AVERAGEIF('QA_Images'!$A$2:$A$63,A95,'QA_Images'!$S$2:$S$63)/100,IF(D95="FULL",1,IF(D95="PARTIAL",0.5,IF(D95="FAIL",0,""))))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IF(B95="I1",20*AVERAGEIF('QA_Images'!$A$2:$A$63,A95,'QA_Images'!$T$2:$T$63)/100,IF(D95="NOT_CHECKED",0,C95))</f>
        <v/>
      </c>
      <c r="H95" s="3" t="inlineStr">
        <is>
          <t>Đánh giá SEO title English về độ đúng, tự nhiên, keyword mục tiêu và điểm phân biệt rõ ràng.</t>
        </is>
      </c>
      <c r="I95" s="3" t="inlineStr">
        <is>
          <t>["evidence_batch_004_039", "https://jeminise.com/products/custom-american-football-with-paint-splash-background-vintage-comforter-da0e1d5bf1-da0e1d5bf1"]</t>
        </is>
      </c>
      <c r="J95" s="3" t="inlineStr">
        <is>
          <t>[]</t>
        </is>
      </c>
    </row>
    <row r="96" ht="42" customHeight="1">
      <c r="A96" s="2" t="inlineStr">
        <is>
          <t>jeminise.com+custom-american-football-with-paint-splash-background-vintage-comforter-da0e1d5bf1-da0e1d5bf1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IF(B96="I1",AVERAGEIF('QA_Images'!$A$2:$A$63,A96,'QA_Images'!$S$2:$S$63)/100,IF(D96="FULL",1,IF(D96="PARTIAL",0.5,IF(D96="FAIL",0,""))))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IF(B96="I1",20*AVERAGEIF('QA_Images'!$A$2:$A$63,A96,'QA_Images'!$T$2:$T$63)/100,IF(D96="NOT_CHECKED",0,C96))</f>
        <v/>
      </c>
      <c r="H96" s="2" t="inlineStr">
        <is>
          <t>Đánh giá H1 đề xuất độc lập với SEO title, nhất quán với chủ đề và phân biệt sản phẩm.</t>
        </is>
      </c>
      <c r="I96" s="2" t="inlineStr">
        <is>
          <t>["evidence_batch_004_039", "https://jeminise.com/products/custom-american-football-with-paint-splash-background-vintage-comforter-da0e1d5bf1-da0e1d5bf1"]</t>
        </is>
      </c>
      <c r="J96" s="2" t="inlineStr">
        <is>
          <t>[]</t>
        </is>
      </c>
    </row>
    <row r="97" ht="42" customHeight="1">
      <c r="A97" s="3" t="inlineStr">
        <is>
          <t>jeminise.com+custom-american-football-with-paint-splash-background-vintage-comforter-da0e1d5bf1-da0e1d5bf1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IF(B97="I1",AVERAGEIF('QA_Images'!$A$2:$A$63,A97,'QA_Images'!$S$2:$S$63)/100,IF(D97="FULL",1,IF(D97="PARTIAL",0.5,IF(D97="FAIL",0,""))))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IF(B97="I1",20*AVERAGEIF('QA_Images'!$A$2:$A$63,A97,'QA_Images'!$T$2:$T$63)/100,IF(D97="NOT_CHECKED",0,C97))</f>
        <v/>
      </c>
      <c r="H97" s="3" t="inlineStr">
        <is>
          <t>Đánh giá meta description về tính cụ thể, mạch lạc, tóm tắt chính xác tính năng và tùy chọn mua hàng.</t>
        </is>
      </c>
      <c r="I97" s="3" t="inlineStr">
        <is>
          <t>["evidence_batch_004_039", "https://jeminise.com/products/custom-american-football-with-paint-splash-background-vintage-comforter-da0e1d5bf1-da0e1d5bf1"]</t>
        </is>
      </c>
      <c r="J97" s="3" t="inlineStr">
        <is>
          <t>[]</t>
        </is>
      </c>
    </row>
    <row r="98" ht="42" customHeight="1">
      <c r="A98" s="2" t="inlineStr">
        <is>
          <t>jeminise.com+custom-american-football-with-paint-splash-background-vintage-comforter-da0e1d5bf1-da0e1d5bf1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IF(B98="I1",AVERAGEIF('QA_Images'!$A$2:$A$63,A98,'QA_Images'!$S$2:$S$63)/100,IF(D98="FULL",1,IF(D98="PARTIAL",0.5,IF(D98="FAIL",0,""))))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IF(B98="I1",20*AVERAGEIF('QA_Images'!$A$2:$A$63,A98,'QA_Images'!$T$2:$T$63)/100,IF(D98="NOT_CHECKED",0,C98))</f>
        <v/>
      </c>
      <c r="H98" s="2" t="inlineStr">
        <is>
          <t>Description r5 hoàn toàn customer-facing, không còn ngôn ngữ nội bộ/quy trình; phản ánh đúng thuộc tính, không chép sai dragonfly/alligator, nêu đúng tùy biến.</t>
        </is>
      </c>
      <c r="I98" s="2" t="inlineStr">
        <is>
          <t>["evidence_batch_004_039", "https://jeminise.com/products/custom-american-football-with-paint-splash-background-vintage-comforter-da0e1d5bf1-da0e1d5bf1"]</t>
        </is>
      </c>
      <c r="J98" s="2" t="inlineStr">
        <is>
          <t>[]</t>
        </is>
      </c>
    </row>
    <row r="99" ht="42" customHeight="1">
      <c r="A99" s="3" t="inlineStr">
        <is>
          <t>jeminise.com+custom-american-football-with-paint-splash-background-vintage-comforter-da0e1d5bf1-da0e1d5bf1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IF(B99="I1",AVERAGEIF('QA_Images'!$A$2:$A$63,A99,'QA_Images'!$S$2:$S$63)/100,IF(D99="FULL",1,IF(D99="PARTIAL",0.5,IF(D99="FAIL",0,""))))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IF(B99="I1",20*AVERAGEIF('QA_Images'!$A$2:$A$63,A99,'QA_Images'!$T$2:$T$63)/100,IF(D99="NOT_CHECKED",0,C99))</f>
        <v/>
      </c>
      <c r="H99" s="3" t="inlineStr">
        <is>
          <t>Derived from directly checked r5 media records: 100.0/100.</t>
        </is>
      </c>
      <c r="I99" s="3" t="inlineStr">
        <is>
          <t>["evidence_batch_004_039", "QA_Images"]</t>
        </is>
      </c>
      <c r="J99" s="3" t="inlineStr">
        <is>
          <t>[]</t>
        </is>
      </c>
    </row>
    <row r="100" ht="42" customHeight="1">
      <c r="A100" s="2" t="inlineStr">
        <is>
          <t>jeminise.com+custom-american-football-with-paint-splash-background-vintage-comforter-da0e1d5bf1-da0e1d5bf1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IF(B100="I1",AVERAGEIF('QA_Images'!$A$2:$A$63,A100,'QA_Images'!$S$2:$S$63)/100,IF(D100="FULL",1,IF(D100="PARTIAL",0.5,IF(D100="FAIL",0,""))))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IF(B100="I1",20*AVERAGEIF('QA_Images'!$A$2:$A$63,A100,'QA_Images'!$T$2:$T$63)/100,IF(D100="NOT_CHECKED",0,C100))</f>
        <v/>
      </c>
      <c r="H100" s="2" t="inlineStr">
        <is>
          <t>Kiểm tra liên kết product key/handle/evidence/revision giữa workbook, snapshot và nguồn live.</t>
        </is>
      </c>
      <c r="I100" s="2" t="inlineStr">
        <is>
          <t>["evidence_batch_004_039", "https://jeminise.com/products/custom-american-football-with-paint-splash-background-vintage-comforter-da0e1d5bf1-da0e1d5bf1", "Keyword_Map", "Product_Evidence"]</t>
        </is>
      </c>
      <c r="J100" s="2" t="inlineStr">
        <is>
          <t>[]</t>
        </is>
      </c>
    </row>
    <row r="101" ht="42" customHeight="1">
      <c r="A101" s="3" t="inlineStr">
        <is>
          <t>jeminise.com+custom-american-football-with-patriotic-flag-comforter-4a3a1ed3c9-4a3a1ed3c9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IF(B101="I1",AVERAGEIF('QA_Images'!$A$2:$A$63,A101,'QA_Images'!$S$2:$S$63)/100,IF(D101="FULL",1,IF(D101="PARTIAL",0.5,IF(D101="FAIL",0,""))))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IF(B101="I1",20*AVERAGEIF('QA_Images'!$A$2:$A$63,A101,'QA_Images'!$T$2:$T$63)/100,IF(D101="NOT_CHECKED",0,C101))</f>
        <v/>
      </c>
      <c r="H101" s="3" t="inlineStr">
        <is>
          <t>Đối chiếu loại sản phẩm, thiết kế (cardinal birdhouse, snowy branches, cow, crocodile, retro/grunge/cosmic/USA/paint/patriotic football) với product JSON, H1 live và toàn bộ gallery ảnh.</t>
        </is>
      </c>
      <c r="I101" s="3" t="inlineStr">
        <is>
          <t>["evidence_batch_004_040", "https://jeminise.com/products/custom-american-football-with-patriotic-flag-comforter-4a3a1ed3c9-4a3a1ed3c9"]</t>
        </is>
      </c>
      <c r="J101" s="3" t="inlineStr">
        <is>
          <t>[]</t>
        </is>
      </c>
    </row>
    <row r="102" ht="42" customHeight="1">
      <c r="A102" s="2" t="inlineStr">
        <is>
          <t>jeminise.com+custom-american-football-with-patriotic-flag-comforter-4a3a1ed3c9-4a3a1ed3c9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IF(B102="I1",AVERAGEIF('QA_Images'!$A$2:$A$63,A102,'QA_Images'!$S$2:$S$63)/100,IF(D102="FULL",1,IF(D102="PARTIAL",0.5,IF(D102="FAIL",0,""))))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IF(B102="I1",20*AVERAGEIF('QA_Images'!$A$2:$A$63,A102,'QA_Images'!$T$2:$T$63)/100,IF(D102="NOT_CHECKED",0,C102))</f>
        <v/>
      </c>
      <c r="H102" s="2" t="inlineStr">
        <is>
          <t>Đối chiếu chất liệu microfiber, kích thước, thành phần quilt/comforter set, biến thể và tùy biến (pos 31-34 không claim tùy biến; pos 35-40 ghi đúng Enter Name required 25 chars và Enter Number optional 5 chars) với customizer và gallery.</t>
        </is>
      </c>
      <c r="I102" s="2" t="inlineStr">
        <is>
          <t>["evidence_batch_004_040", "customizer_audit.json", "https://jeminise.com/products/custom-american-football-with-patriotic-flag-comforter-4a3a1ed3c9-4a3a1ed3c9"]</t>
        </is>
      </c>
      <c r="J102" s="2" t="inlineStr">
        <is>
          <t>[]</t>
        </is>
      </c>
    </row>
    <row r="103" ht="42" customHeight="1">
      <c r="A103" s="3" t="inlineStr">
        <is>
          <t>jeminise.com+custom-american-football-with-patriotic-flag-comforter-4a3a1ed3c9-4a3a1ed3c9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IF(B103="I1",AVERAGEIF('QA_Images'!$A$2:$A$63,A103,'QA_Images'!$S$2:$S$63)/100,IF(D103="FULL",1,IF(D103="PARTIAL",0.5,IF(D103="FAIL",0,""))))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IF(B103="I1",20*AVERAGEIF('QA_Images'!$A$2:$A$63,A103,'QA_Images'!$T$2:$T$63)/100,IF(D103="NOT_CHECKED",0,C103))</f>
        <v/>
      </c>
      <c r="H103" s="3" t="inlineStr">
        <is>
          <t>Đối chiếu long-tail với thiết kế riêng; phân biệt rõ các motif football (retro flag, grunge, cosmic, USA flag, paint splash, patriotic flag) tránh cannibalization.</t>
        </is>
      </c>
      <c r="I103" s="3" t="inlineStr">
        <is>
          <t>["evidence_batch_004_040", "serp_qa_040_1"]</t>
        </is>
      </c>
      <c r="J103" s="3" t="inlineStr">
        <is>
          <t>[]</t>
        </is>
      </c>
    </row>
    <row r="104" ht="42" customHeight="1">
      <c r="A104" s="2" t="inlineStr">
        <is>
          <t>jeminise.com+custom-american-football-with-patriotic-flag-comforter-4a3a1ed3c9-4a3a1ed3c9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IF(B104="I1",AVERAGEIF('QA_Images'!$A$2:$A$63,A104,'QA_Images'!$S$2:$S$63)/100,IF(D104="FULL",1,IF(D104="PARTIAL",0.5,IF(D104="FAIL",0,""))))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IF(B104="I1",20*AVERAGEIF('QA_Images'!$A$2:$A$63,A104,'QA_Images'!$T$2:$T$63)/100,IF(D104="NOT_CHECKED",0,C104))</f>
        <v/>
      </c>
      <c r="H104" s="2" t="inlineStr">
        <is>
          <t>Đã đọc lại 2 SERP query cho mỗi sản phẩm tại intent US; ghi URL thực đọc và không suy diễn volume.</t>
        </is>
      </c>
      <c r="I104" s="2" t="inlineStr">
        <is>
          <t>["evidence_batch_004_040", "serp_qa_040_1", "serp_qa_040_2"]</t>
        </is>
      </c>
      <c r="J104" s="2" t="inlineStr">
        <is>
          <t>[]</t>
        </is>
      </c>
    </row>
    <row r="105" ht="42" customHeight="1">
      <c r="A105" s="3" t="inlineStr">
        <is>
          <t>jeminise.com+custom-american-football-with-patriotic-flag-comforter-4a3a1ed3c9-4a3a1ed3c9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IF(B105="I1",AVERAGEIF('QA_Images'!$A$2:$A$63,A105,'QA_Images'!$S$2:$S$63)/100,IF(D105="FULL",1,IF(D105="PARTIAL",0.5,IF(D105="FAIL",0,""))))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IF(B105="I1",20*AVERAGEIF('QA_Images'!$A$2:$A$63,A105,'QA_Images'!$T$2:$T$63)/100,IF(D105="NOT_CHECKED",0,C105))</f>
        <v/>
      </c>
      <c r="H105" s="3" t="inlineStr">
        <is>
          <t>Không suy diễn volume; phân biệt rõ SERP_ONLY và HYPOTHESIS_ONLY trung thực.</t>
        </is>
      </c>
      <c r="I105" s="3" t="inlineStr">
        <is>
          <t>["evidence_batch_004_040", "Keyword_Map"]</t>
        </is>
      </c>
      <c r="J105" s="3" t="inlineStr">
        <is>
          <t>[]</t>
        </is>
      </c>
    </row>
    <row r="106" ht="42" customHeight="1">
      <c r="A106" s="2" t="inlineStr">
        <is>
          <t>jeminise.com+custom-american-football-with-patriotic-flag-comforter-4a3a1ed3c9-4a3a1ed3c9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IF(B106="I1",AVERAGEIF('QA_Images'!$A$2:$A$63,A106,'QA_Images'!$S$2:$S$63)/100,IF(D106="FULL",1,IF(D106="PARTIAL",0.5,IF(D106="FAIL",0,""))))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IF(B106="I1",20*AVERAGEIF('QA_Images'!$A$2:$A$63,A106,'QA_Images'!$T$2:$T$63)/100,IF(D106="NOT_CHECKED",0,C106))</f>
        <v/>
      </c>
      <c r="H106" s="2" t="inlineStr">
        <is>
          <t>Đánh giá SEO title English về độ đúng, tự nhiên, keyword mục tiêu và điểm phân biệt rõ ràng.</t>
        </is>
      </c>
      <c r="I106" s="2" t="inlineStr">
        <is>
          <t>["evidence_batch_004_040", "https://jeminise.com/products/custom-american-football-with-patriotic-flag-comforter-4a3a1ed3c9-4a3a1ed3c9"]</t>
        </is>
      </c>
      <c r="J106" s="2" t="inlineStr">
        <is>
          <t>[]</t>
        </is>
      </c>
    </row>
    <row r="107" ht="42" customHeight="1">
      <c r="A107" s="3" t="inlineStr">
        <is>
          <t>jeminise.com+custom-american-football-with-patriotic-flag-comforter-4a3a1ed3c9-4a3a1ed3c9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IF(B107="I1",AVERAGEIF('QA_Images'!$A$2:$A$63,A107,'QA_Images'!$S$2:$S$63)/100,IF(D107="FULL",1,IF(D107="PARTIAL",0.5,IF(D107="FAIL",0,""))))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IF(B107="I1",20*AVERAGEIF('QA_Images'!$A$2:$A$63,A107,'QA_Images'!$T$2:$T$63)/100,IF(D107="NOT_CHECKED",0,C107))</f>
        <v/>
      </c>
      <c r="H107" s="3" t="inlineStr">
        <is>
          <t>Đánh giá H1 đề xuất độc lập với SEO title, nhất quán với chủ đề và phân biệt sản phẩm.</t>
        </is>
      </c>
      <c r="I107" s="3" t="inlineStr">
        <is>
          <t>["evidence_batch_004_040", "https://jeminise.com/products/custom-american-football-with-patriotic-flag-comforter-4a3a1ed3c9-4a3a1ed3c9"]</t>
        </is>
      </c>
      <c r="J107" s="3" t="inlineStr">
        <is>
          <t>[]</t>
        </is>
      </c>
    </row>
    <row r="108" ht="42" customHeight="1">
      <c r="A108" s="2" t="inlineStr">
        <is>
          <t>jeminise.com+custom-american-football-with-patriotic-flag-comforter-4a3a1ed3c9-4a3a1ed3c9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IF(B108="I1",AVERAGEIF('QA_Images'!$A$2:$A$63,A108,'QA_Images'!$S$2:$S$63)/100,IF(D108="FULL",1,IF(D108="PARTIAL",0.5,IF(D108="FAIL",0,""))))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IF(B108="I1",20*AVERAGEIF('QA_Images'!$A$2:$A$63,A108,'QA_Images'!$T$2:$T$63)/100,IF(D108="NOT_CHECKED",0,C108))</f>
        <v/>
      </c>
      <c r="H108" s="2" t="inlineStr">
        <is>
          <t>Đánh giá meta description về tính cụ thể, mạch lạc, tóm tắt chính xác tính năng và tùy chọn mua hàng.</t>
        </is>
      </c>
      <c r="I108" s="2" t="inlineStr">
        <is>
          <t>["evidence_batch_004_040", "https://jeminise.com/products/custom-american-football-with-patriotic-flag-comforter-4a3a1ed3c9-4a3a1ed3c9"]</t>
        </is>
      </c>
      <c r="J108" s="2" t="inlineStr">
        <is>
          <t>[]</t>
        </is>
      </c>
    </row>
    <row r="109" ht="42" customHeight="1">
      <c r="A109" s="3" t="inlineStr">
        <is>
          <t>jeminise.com+custom-american-football-with-patriotic-flag-comforter-4a3a1ed3c9-4a3a1ed3c9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IF(B109="I1",AVERAGEIF('QA_Images'!$A$2:$A$63,A109,'QA_Images'!$S$2:$S$63)/100,IF(D109="FULL",1,IF(D109="PARTIAL",0.5,IF(D109="FAIL",0,""))))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IF(B109="I1",20*AVERAGEIF('QA_Images'!$A$2:$A$63,A109,'QA_Images'!$T$2:$T$63)/100,IF(D109="NOT_CHECKED",0,C109))</f>
        <v/>
      </c>
      <c r="H109" s="3" t="inlineStr">
        <is>
          <t>Description r5 hoàn toàn customer-facing, không còn ngôn ngữ nội bộ/quy trình; phản ánh đúng thuộc tính, không chép sai dragonfly/alligator, nêu đúng tùy biến.</t>
        </is>
      </c>
      <c r="I109" s="3" t="inlineStr">
        <is>
          <t>["evidence_batch_004_040", "https://jeminise.com/products/custom-american-football-with-patriotic-flag-comforter-4a3a1ed3c9-4a3a1ed3c9"]</t>
        </is>
      </c>
      <c r="J109" s="3" t="inlineStr">
        <is>
          <t>[]</t>
        </is>
      </c>
    </row>
    <row r="110" ht="42" customHeight="1">
      <c r="A110" s="2" t="inlineStr">
        <is>
          <t>jeminise.com+custom-american-football-with-patriotic-flag-comforter-4a3a1ed3c9-4a3a1ed3c9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IF(B110="I1",AVERAGEIF('QA_Images'!$A$2:$A$63,A110,'QA_Images'!$S$2:$S$63)/100,IF(D110="FULL",1,IF(D110="PARTIAL",0.5,IF(D110="FAIL",0,""))))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IF(B110="I1",20*AVERAGEIF('QA_Images'!$A$2:$A$63,A110,'QA_Images'!$T$2:$T$63)/100,IF(D110="NOT_CHECKED",0,C110))</f>
        <v/>
      </c>
      <c r="H110" s="2" t="inlineStr">
        <is>
          <t>Derived from directly checked r5 media records: 100.0/100.</t>
        </is>
      </c>
      <c r="I110" s="2" t="inlineStr">
        <is>
          <t>["evidence_batch_004_040", "QA_Images"]</t>
        </is>
      </c>
      <c r="J110" s="2" t="inlineStr">
        <is>
          <t>[]</t>
        </is>
      </c>
    </row>
    <row r="111" ht="42" customHeight="1">
      <c r="A111" s="3" t="inlineStr">
        <is>
          <t>jeminise.com+custom-american-football-with-patriotic-flag-comforter-4a3a1ed3c9-4a3a1ed3c9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IF(B111="I1",AVERAGEIF('QA_Images'!$A$2:$A$63,A111,'QA_Images'!$S$2:$S$63)/100,IF(D111="FULL",1,IF(D111="PARTIAL",0.5,IF(D111="FAIL",0,""))))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IF(B111="I1",20*AVERAGEIF('QA_Images'!$A$2:$A$63,A111,'QA_Images'!$T$2:$T$63)/100,IF(D111="NOT_CHECKED",0,C111))</f>
        <v/>
      </c>
      <c r="H111" s="3" t="inlineStr">
        <is>
          <t>Kiểm tra liên kết product key/handle/evidence/revision giữa workbook, snapshot và nguồn live.</t>
        </is>
      </c>
      <c r="I111" s="3" t="inlineStr">
        <is>
          <t>["evidence_batch_004_040", "https://jeminise.com/products/custom-american-football-with-patriotic-flag-comforter-4a3a1ed3c9-4a3a1ed3c9", "Keyword_Map", "Product_Evidence"]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12" customWidth="1" min="13" max="13"/>
    <col width="42" customWidth="1" min="14" max="14"/>
    <col width="11" customWidth="1" min="15" max="15"/>
    <col width="11" customWidth="1" min="16" max="16"/>
    <col width="11" customWidth="1" min="17" max="17"/>
    <col width="11" customWidth="1" min="18" max="18"/>
    <col width="24" customWidth="1" min="19" max="19"/>
    <col width="24" customWidth="1" min="20" max="20"/>
    <col width="21" customWidth="1" min="21" max="21"/>
    <col width="24" customWidth="1" min="22" max="22"/>
    <col width="24" customWidth="1" min="23" max="23"/>
    <col width="42" customWidth="1" min="24" max="24"/>
    <col width="42" customWidth="1" min="25" max="25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alt_action</t>
        </is>
      </c>
      <c r="N1" s="1" t="inlineStr">
        <is>
          <t>alt_effective</t>
        </is>
      </c>
      <c r="O1" s="1" t="inlineStr">
        <is>
          <t>IM1</t>
        </is>
      </c>
      <c r="P1" s="1" t="inlineStr">
        <is>
          <t>IM2</t>
        </is>
      </c>
      <c r="Q1" s="1" t="inlineStr">
        <is>
          <t>IM3</t>
        </is>
      </c>
      <c r="R1" s="1" t="inlineStr">
        <is>
          <t>IM4</t>
        </is>
      </c>
      <c r="S1" s="1" t="inlineStr">
        <is>
          <t>image_verified_points</t>
        </is>
      </c>
      <c r="T1" s="1" t="inlineStr">
        <is>
          <t>image_assessed_weight</t>
        </is>
      </c>
      <c r="U1" s="1" t="inlineStr">
        <is>
          <t>image_final_score</t>
        </is>
      </c>
      <c r="V1" s="1" t="inlineStr">
        <is>
          <t>image_score_lower_bound</t>
        </is>
      </c>
      <c r="W1" s="1" t="inlineStr">
        <is>
          <t>image_score_upper_bound</t>
        </is>
      </c>
      <c r="X1" s="1" t="inlineStr">
        <is>
          <t>issue_refs</t>
        </is>
      </c>
      <c r="Y1" s="1" t="inlineStr">
        <is>
          <t>evidence_refs</t>
        </is>
      </c>
    </row>
    <row r="2" ht="66" customHeight="1">
      <c r="A2" s="2" t="inlineStr">
        <is>
          <t>jeminise.com+christmas-cardinals-near-snowy-birdhouse-patchwork-floral-quilt-b90d55a935-b90d55a935</t>
        </is>
      </c>
      <c r="B2" s="2" t="inlineStr">
        <is>
          <t>qaimg_f4dbca08152a7478</t>
        </is>
      </c>
      <c r="C2" s="4" t="inlineStr">
        <is>
          <t>https://cdn.shopify.com/s/files/1/0792/5098/1063/files/cefa39b8e586dae0db27829a045f8d696721e4c0e044144b214323829fbee46b.jpg?v=1785099259</t>
        </is>
      </c>
      <c r="D2" s="4" t="inlineStr">
        <is>
          <t>https://cdn.shopify.com/s/files/1/0792/5098/1063/files/cefa39b8e586dae0db27829a045f8d696721e4c0e044144b214323829fbee46b.jpg?v=1785099259</t>
        </is>
      </c>
      <c r="E2" s="2" t="inlineStr">
        <is>
          <t>47540019036359</t>
        </is>
      </c>
      <c r="F2" s="2" t="inlineStr">
        <is>
          <t>47540019036359</t>
        </is>
      </c>
      <c r="G2" s="2" t="inlineStr"/>
      <c r="H2" s="2" t="inlineStr">
        <is>
          <t>GALLERY</t>
        </is>
      </c>
      <c r="I2" s="2" t="inlineStr">
        <is>
          <t>DIRECT_IMAGE_VERIFICATION + R5_AUDIT</t>
        </is>
      </c>
      <c r="J2" s="2" t="inlineStr">
        <is>
          <t>2026-09-09T04:29:28.436834+07:00</t>
        </is>
      </c>
      <c r="K2" s="2" t="inlineStr">
        <is>
          <t>Christmas cardinal birdhouse quilt bed mockup with red cardinals, snowy birdhouse, white flowers and red floral border.</t>
        </is>
      </c>
      <c r="L2" s="2" t="inlineStr">
        <is>
          <t>Christmas cardinal birdhouse quilt bed mockup with red cardinals, snowy birdhouse, white flowers and red floral border.</t>
        </is>
      </c>
      <c r="M2" s="2" t="inlineStr">
        <is>
          <t>SET</t>
        </is>
      </c>
      <c r="N2" s="2" t="inlineStr">
        <is>
          <t>Christmas cardinal birdhouse quilt set on bed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5">
        <f>IF(O2="FULL",40,IF(O2="PARTIAL",40/2,0))+IF(P2="FULL",30,IF(P2="PARTIAL",30/2,0))+IF(Q2="FULL",20,IF(Q2="PARTIAL",20/2,0))+IF(R2="FULL",10,IF(R2="PARTIAL",10/2,0))</f>
        <v/>
      </c>
      <c r="T2" s="5">
        <f>IF(O2="NOT_CHECKED",0,40)+IF(P2="NOT_CHECKED",0,30)+IF(Q2="NOT_CHECKED",0,20)+IF(R2="NOT_CHECKED",0,10)</f>
        <v/>
      </c>
      <c r="U2" s="5">
        <f>IF(T2=100,S2,"")</f>
        <v/>
      </c>
      <c r="V2" s="5">
        <f>S2</f>
        <v/>
      </c>
      <c r="W2" s="5">
        <f>S2+(100-T2)</f>
        <v/>
      </c>
      <c r="X2" s="2" t="inlineStr">
        <is>
          <t>[]</t>
        </is>
      </c>
      <c r="Y2" s="2" t="inlineStr">
        <is>
          <t>["seo_runs/jeminise.com/20260906_234129/qa/20260909_043000/images/031_01.jpg", "https://jeminise.com/products/christmas-cardinals-near-snowy-birdhouse-patchwork-floral-quilt-b90d55a935-b90d55a935", "https://cdn.shopify.com/s/files/1/0792/5098/1063/files/cefa39b8e586dae0db27829a045f8d696721e4c0e044144b214323829fbee46b.jpg?v=1785099259"]</t>
        </is>
      </c>
    </row>
    <row r="3" ht="66" customHeight="1">
      <c r="A3" s="3" t="inlineStr">
        <is>
          <t>jeminise.com+christmas-cardinals-near-snowy-birdhouse-patchwork-floral-quilt-b90d55a935-b90d55a935</t>
        </is>
      </c>
      <c r="B3" s="3" t="inlineStr">
        <is>
          <t>qaimg_3d3263312998689b</t>
        </is>
      </c>
      <c r="C3" s="4" t="inlineStr">
        <is>
          <t>https://cdn.shopify.com/s/files/1/0792/5098/1063/files/817cf504495341989c34e5153f75779357b3dd16c9af88d5e8f16bf5cdd1d8a4.jpg?v=1785099259</t>
        </is>
      </c>
      <c r="D3" s="4" t="inlineStr">
        <is>
          <t>https://cdn.shopify.com/s/files/1/0792/5098/1063/files/817cf504495341989c34e5153f75779357b3dd16c9af88d5e8f16bf5cdd1d8a4.jpg?v=1785099259</t>
        </is>
      </c>
      <c r="E3" s="3" t="inlineStr">
        <is>
          <t>47540019069127</t>
        </is>
      </c>
      <c r="F3" s="3" t="inlineStr">
        <is>
          <t>47540019069127</t>
        </is>
      </c>
      <c r="G3" s="3" t="inlineStr"/>
      <c r="H3" s="3" t="inlineStr">
        <is>
          <t>GALLERY</t>
        </is>
      </c>
      <c r="I3" s="3" t="inlineStr">
        <is>
          <t>DIRECT_IMAGE_VERIFICATION + R5_AUDIT</t>
        </is>
      </c>
      <c r="J3" s="3" t="inlineStr">
        <is>
          <t>2026-09-09T04:29:28.436834+07:00</t>
        </is>
      </c>
      <c r="K3" s="3" t="inlineStr">
        <is>
          <t>Bedroom mockup with cardinal birdhouse quilt and premium printed craft callout.</t>
        </is>
      </c>
      <c r="L3" s="3" t="inlineStr">
        <is>
          <t>Bedroom mockup with cardinal birdhouse quilt and premium printed craft callout.</t>
        </is>
      </c>
      <c r="M3" s="3" t="inlineStr">
        <is>
          <t>SET</t>
        </is>
      </c>
      <c r="N3" s="3" t="inlineStr">
        <is>
          <t>Cardinal birdhouse quilt premium craft mockup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7">
        <f>IF(O3="FULL",40,IF(O3="PARTIAL",40/2,0))+IF(P3="FULL",30,IF(P3="PARTIAL",30/2,0))+IF(Q3="FULL",20,IF(Q3="PARTIAL",20/2,0))+IF(R3="FULL",10,IF(R3="PARTIAL",10/2,0))</f>
        <v/>
      </c>
      <c r="T3" s="7">
        <f>IF(O3="NOT_CHECKED",0,40)+IF(P3="NOT_CHECKED",0,30)+IF(Q3="NOT_CHECKED",0,20)+IF(R3="NOT_CHECKED",0,10)</f>
        <v/>
      </c>
      <c r="U3" s="7">
        <f>IF(T3=100,S3,"")</f>
        <v/>
      </c>
      <c r="V3" s="7">
        <f>S3</f>
        <v/>
      </c>
      <c r="W3" s="7">
        <f>S3+(100-T3)</f>
        <v/>
      </c>
      <c r="X3" s="3" t="inlineStr">
        <is>
          <t>[]</t>
        </is>
      </c>
      <c r="Y3" s="3" t="inlineStr">
        <is>
          <t>["seo_runs/jeminise.com/20260906_234129/qa/20260909_043000/images/031_02.jpg", "https://jeminise.com/products/christmas-cardinals-near-snowy-birdhouse-patchwork-floral-quilt-b90d55a935-b90d55a935", "https://cdn.shopify.com/s/files/1/0792/5098/1063/files/817cf504495341989c34e5153f75779357b3dd16c9af88d5e8f16bf5cdd1d8a4.jpg?v=1785099259"]</t>
        </is>
      </c>
    </row>
    <row r="4" ht="66" customHeight="1">
      <c r="A4" s="2" t="inlineStr">
        <is>
          <t>jeminise.com+christmas-cardinals-near-snowy-birdhouse-patchwork-floral-quilt-b90d55a935-b90d55a935</t>
        </is>
      </c>
      <c r="B4" s="2" t="inlineStr">
        <is>
          <t>qaimg_c0b900a11e3c761f</t>
        </is>
      </c>
      <c r="C4" s="4" t="inlineStr">
        <is>
          <t>https://cdn.shopify.com/s/files/1/0792/5098/1063/files/192d8a6eed2602b9a36fbbd7936b0d70ef3680e4dd38270f22af78ba5c23bb4a.jpg?v=1785099259</t>
        </is>
      </c>
      <c r="D4" s="4" t="inlineStr">
        <is>
          <t>https://cdn.shopify.com/s/files/1/0792/5098/1063/files/192d8a6eed2602b9a36fbbd7936b0d70ef3680e4dd38270f22af78ba5c23bb4a.jpg?v=1785099259</t>
        </is>
      </c>
      <c r="E4" s="2" t="inlineStr">
        <is>
          <t>47540019101895</t>
        </is>
      </c>
      <c r="F4" s="2" t="inlineStr">
        <is>
          <t>47540019101895</t>
        </is>
      </c>
      <c r="G4" s="2" t="inlineStr"/>
      <c r="H4" s="2" t="inlineStr">
        <is>
          <t>GALLERY</t>
        </is>
      </c>
      <c r="I4" s="2" t="inlineStr">
        <is>
          <t>DIRECT_IMAGE_VERIFICATION + R5_AUDIT</t>
        </is>
      </c>
      <c r="J4" s="2" t="inlineStr">
        <is>
          <t>2026-09-09T04:29:28.436834+07:00</t>
        </is>
      </c>
      <c r="K4" s="2" t="inlineStr">
        <is>
          <t>Optional pillow shams panel showing matching cardinal birdhouse pillow artwork and feature icons.</t>
        </is>
      </c>
      <c r="L4" s="2" t="inlineStr">
        <is>
          <t>Optional pillow shams panel showing matching cardinal birdhouse pillow artwork and feature icons.</t>
        </is>
      </c>
      <c r="M4" s="2" t="inlineStr">
        <is>
          <t>SET</t>
        </is>
      </c>
      <c r="N4" s="2" t="inlineStr">
        <is>
          <t>Cardinal birdhouse quilt optional pillow shams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5">
        <f>IF(O4="FULL",40,IF(O4="PARTIAL",40/2,0))+IF(P4="FULL",30,IF(P4="PARTIAL",30/2,0))+IF(Q4="FULL",20,IF(Q4="PARTIAL",20/2,0))+IF(R4="FULL",10,IF(R4="PARTIAL",10/2,0))</f>
        <v/>
      </c>
      <c r="T4" s="5">
        <f>IF(O4="NOT_CHECKED",0,40)+IF(P4="NOT_CHECKED",0,30)+IF(Q4="NOT_CHECKED",0,20)+IF(R4="NOT_CHECKED",0,10)</f>
        <v/>
      </c>
      <c r="U4" s="5">
        <f>IF(T4=100,S4,"")</f>
        <v/>
      </c>
      <c r="V4" s="5">
        <f>S4</f>
        <v/>
      </c>
      <c r="W4" s="5">
        <f>S4+(100-T4)</f>
        <v/>
      </c>
      <c r="X4" s="2" t="inlineStr">
        <is>
          <t>[]</t>
        </is>
      </c>
      <c r="Y4" s="2" t="inlineStr">
        <is>
          <t>["seo_runs/jeminise.com/20260906_234129/qa/20260909_043000/images/031_03.jpg", "https://jeminise.com/products/christmas-cardinals-near-snowy-birdhouse-patchwork-floral-quilt-b90d55a935-b90d55a935", "https://cdn.shopify.com/s/files/1/0792/5098/1063/files/192d8a6eed2602b9a36fbbd7936b0d70ef3680e4dd38270f22af78ba5c23bb4a.jpg?v=1785099259"]</t>
        </is>
      </c>
    </row>
    <row r="5" ht="66" customHeight="1">
      <c r="A5" s="3" t="inlineStr">
        <is>
          <t>jeminise.com+christmas-cardinals-near-snowy-birdhouse-patchwork-floral-quilt-b90d55a935-b90d55a935</t>
        </is>
      </c>
      <c r="B5" s="3" t="inlineStr">
        <is>
          <t>qaimg_cbb1704cddee2f79</t>
        </is>
      </c>
      <c r="C5" s="4" t="inlineStr">
        <is>
          <t>https://cdn.shopify.com/s/files/1/0792/5098/1063/files/a5f492aee10aae43511cc5e9a46710cc38afe374b23731941e7748005cf44564.jpg?v=1785099259</t>
        </is>
      </c>
      <c r="D5" s="4" t="inlineStr">
        <is>
          <t>https://cdn.shopify.com/s/files/1/0792/5098/1063/files/a5f492aee10aae43511cc5e9a46710cc38afe374b23731941e7748005cf44564.jpg?v=1785099259</t>
        </is>
      </c>
      <c r="E5" s="3" t="inlineStr">
        <is>
          <t>47540019134663</t>
        </is>
      </c>
      <c r="F5" s="3" t="inlineStr">
        <is>
          <t>47540019134663</t>
        </is>
      </c>
      <c r="G5" s="3" t="inlineStr"/>
      <c r="H5" s="3" t="inlineStr">
        <is>
          <t>GALLERY</t>
        </is>
      </c>
      <c r="I5" s="3" t="inlineStr">
        <is>
          <t>DIRECT_IMAGE_VERIFICATION + R5_AUDIT</t>
        </is>
      </c>
      <c r="J5" s="3" t="inlineStr">
        <is>
          <t>2026-09-09T04:29:28.436834+07:00</t>
        </is>
      </c>
      <c r="K5" s="3" t="inlineStr">
        <is>
          <t>Fabric panel showing cardinal birdhouse quilt layers and soft breathable skin-friendly fabric callout.</t>
        </is>
      </c>
      <c r="L5" s="3" t="inlineStr">
        <is>
          <t>Fabric panel showing cardinal birdhouse quilt layers and soft breathable skin-friendly fabric callout.</t>
        </is>
      </c>
      <c r="M5" s="3" t="inlineStr">
        <is>
          <t>SET</t>
        </is>
      </c>
      <c r="N5" s="3" t="inlineStr">
        <is>
          <t>Cardinal birdhouse quilt fabric feature panel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3" t="inlineStr">
        <is>
          <t>FULL</t>
        </is>
      </c>
      <c r="S5" s="7">
        <f>IF(O5="FULL",40,IF(O5="PARTIAL",40/2,0))+IF(P5="FULL",30,IF(P5="PARTIAL",30/2,0))+IF(Q5="FULL",20,IF(Q5="PARTIAL",20/2,0))+IF(R5="FULL",10,IF(R5="PARTIAL",10/2,0))</f>
        <v/>
      </c>
      <c r="T5" s="7">
        <f>IF(O5="NOT_CHECKED",0,40)+IF(P5="NOT_CHECKED",0,30)+IF(Q5="NOT_CHECKED",0,20)+IF(R5="NOT_CHECKED",0,10)</f>
        <v/>
      </c>
      <c r="U5" s="7">
        <f>IF(T5=100,S5,"")</f>
        <v/>
      </c>
      <c r="V5" s="7">
        <f>S5</f>
        <v/>
      </c>
      <c r="W5" s="7">
        <f>S5+(100-T5)</f>
        <v/>
      </c>
      <c r="X5" s="3" t="inlineStr">
        <is>
          <t>[]</t>
        </is>
      </c>
      <c r="Y5" s="3" t="inlineStr">
        <is>
          <t>["seo_runs/jeminise.com/20260906_234129/qa/20260909_043000/images/031_04.jpg", "https://jeminise.com/products/christmas-cardinals-near-snowy-birdhouse-patchwork-floral-quilt-b90d55a935-b90d55a935", "https://cdn.shopify.com/s/files/1/0792/5098/1063/files/a5f492aee10aae43511cc5e9a46710cc38afe374b23731941e7748005cf44564.jpg?v=1785099259"]</t>
        </is>
      </c>
    </row>
    <row r="6" ht="66" customHeight="1">
      <c r="A6" s="2" t="inlineStr">
        <is>
          <t>jeminise.com+christmas-cardinals-near-snowy-birdhouse-patchwork-floral-quilt-b90d55a935-b90d55a935</t>
        </is>
      </c>
      <c r="B6" s="2" t="inlineStr">
        <is>
          <t>qaimg_fda5c81e3b5ba7de</t>
        </is>
      </c>
      <c r="C6" s="4" t="inlineStr">
        <is>
          <t>https://cdn.shopify.com/s/files/1/0792/5098/1063/files/578ac27946027e8e5ec1b6c4efdccc50d46e3d6182eed1ca0e62799fb3b416fd.jpg?v=1785099259</t>
        </is>
      </c>
      <c r="D6" s="4" t="inlineStr">
        <is>
          <t>https://cdn.shopify.com/s/files/1/0792/5098/1063/files/578ac27946027e8e5ec1b6c4efdccc50d46e3d6182eed1ca0e62799fb3b416fd.jpg?v=1785099259</t>
        </is>
      </c>
      <c r="E6" s="2" t="inlineStr">
        <is>
          <t>47540019167431</t>
        </is>
      </c>
      <c r="F6" s="2" t="inlineStr">
        <is>
          <t>47540019167431</t>
        </is>
      </c>
      <c r="G6" s="2" t="inlineStr"/>
      <c r="H6" s="2" t="inlineStr">
        <is>
          <t>GALLERY</t>
        </is>
      </c>
      <c r="I6" s="2" t="inlineStr">
        <is>
          <t>DIRECT_IMAGE_VERIFICATION + R5_AUDIT</t>
        </is>
      </c>
      <c r="J6" s="2" t="inlineStr">
        <is>
          <t>2026-09-09T04:29:28.436834+07:00</t>
        </is>
      </c>
      <c r="K6" s="2" t="inlineStr">
        <is>
          <t>Premium quilt set size chart with cardinal birdhouse artwork and quilt dimensions.</t>
        </is>
      </c>
      <c r="L6" s="2" t="inlineStr">
        <is>
          <t>Premium quilt set size chart with cardinal birdhouse artwork and quilt dimensions.</t>
        </is>
      </c>
      <c r="M6" s="2" t="inlineStr">
        <is>
          <t>SET</t>
        </is>
      </c>
      <c r="N6" s="2" t="inlineStr">
        <is>
          <t>Cardinal birdhouse quilt size chart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5">
        <f>IF(O6="FULL",40,IF(O6="PARTIAL",40/2,0))+IF(P6="FULL",30,IF(P6="PARTIAL",30/2,0))+IF(Q6="FULL",20,IF(Q6="PARTIAL",20/2,0))+IF(R6="FULL",10,IF(R6="PARTIAL",10/2,0))</f>
        <v/>
      </c>
      <c r="T6" s="5">
        <f>IF(O6="NOT_CHECKED",0,40)+IF(P6="NOT_CHECKED",0,30)+IF(Q6="NOT_CHECKED",0,20)+IF(R6="NOT_CHECKED",0,10)</f>
        <v/>
      </c>
      <c r="U6" s="5">
        <f>IF(T6=100,S6,"")</f>
        <v/>
      </c>
      <c r="V6" s="5">
        <f>S6</f>
        <v/>
      </c>
      <c r="W6" s="5">
        <f>S6+(100-T6)</f>
        <v/>
      </c>
      <c r="X6" s="2" t="inlineStr">
        <is>
          <t>[]</t>
        </is>
      </c>
      <c r="Y6" s="2" t="inlineStr">
        <is>
          <t>["seo_runs/jeminise.com/20260906_234129/qa/20260909_043000/images/031_05.jpg", "https://jeminise.com/products/christmas-cardinals-near-snowy-birdhouse-patchwork-floral-quilt-b90d55a935-b90d55a935", "https://cdn.shopify.com/s/files/1/0792/5098/1063/files/578ac27946027e8e5ec1b6c4efdccc50d46e3d6182eed1ca0e62799fb3b416fd.jpg?v=1785099259"]</t>
        </is>
      </c>
    </row>
    <row r="7" ht="66" customHeight="1">
      <c r="A7" s="3" t="inlineStr">
        <is>
          <t>jeminise.com+christmas-cardinals-near-snowy-birdhouse-patchwork-floral-quilt-b90d55a935-b90d55a935</t>
        </is>
      </c>
      <c r="B7" s="3" t="inlineStr">
        <is>
          <t>qaimg_4a4a3594acd52c20</t>
        </is>
      </c>
      <c r="C7" s="4" t="inlineStr">
        <is>
          <t>https://cdn.shopify.com/s/files/1/0792/5098/1063/files/17b3827a8c3b4dbbd608b08c3534148427ac4397354f3f0fe053ed23086269e8.jpg?v=1785099259</t>
        </is>
      </c>
      <c r="D7" s="4" t="inlineStr">
        <is>
          <t>https://cdn.shopify.com/s/files/1/0792/5098/1063/files/17b3827a8c3b4dbbd608b08c3534148427ac4397354f3f0fe053ed23086269e8.jpg?v=1785099259</t>
        </is>
      </c>
      <c r="E7" s="3" t="inlineStr">
        <is>
          <t>47540019200199</t>
        </is>
      </c>
      <c r="F7" s="3" t="inlineStr">
        <is>
          <t>47540019200199</t>
        </is>
      </c>
      <c r="G7" s="3" t="inlineStr"/>
      <c r="H7" s="3" t="inlineStr">
        <is>
          <t>GALLERY</t>
        </is>
      </c>
      <c r="I7" s="3" t="inlineStr">
        <is>
          <t>DIRECT_IMAGE_VERIFICATION + R5_AUDIT</t>
        </is>
      </c>
      <c r="J7" s="3" t="inlineStr">
        <is>
          <t>2026-09-09T04:29:28.436834+07:00</t>
        </is>
      </c>
      <c r="K7" s="3" t="inlineStr">
        <is>
          <t>Bedspread features panel showing microfiber layers and anti-wrinkle, anti-static, fade resistant, shrink resistant and machine washable icons.</t>
        </is>
      </c>
      <c r="L7" s="3" t="inlineStr">
        <is>
          <t>Bedspread features panel showing microfiber layers and anti-wrinkle, anti-static, fade resistant, shrink resistant and machine washable icons.</t>
        </is>
      </c>
      <c r="M7" s="3" t="inlineStr">
        <is>
          <t>SET</t>
        </is>
      </c>
      <c r="N7" s="3" t="inlineStr">
        <is>
          <t>Cardinal birdhouse quilt bedspread features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FULL</t>
        </is>
      </c>
      <c r="S7" s="7">
        <f>IF(O7="FULL",40,IF(O7="PARTIAL",40/2,0))+IF(P7="FULL",30,IF(P7="PARTIAL",30/2,0))+IF(Q7="FULL",20,IF(Q7="PARTIAL",20/2,0))+IF(R7="FULL",10,IF(R7="PARTIAL",10/2,0))</f>
        <v/>
      </c>
      <c r="T7" s="7">
        <f>IF(O7="NOT_CHECKED",0,40)+IF(P7="NOT_CHECKED",0,30)+IF(Q7="NOT_CHECKED",0,20)+IF(R7="NOT_CHECKED",0,10)</f>
        <v/>
      </c>
      <c r="U7" s="7">
        <f>IF(T7=100,S7,"")</f>
        <v/>
      </c>
      <c r="V7" s="7">
        <f>S7</f>
        <v/>
      </c>
      <c r="W7" s="7">
        <f>S7+(100-T7)</f>
        <v/>
      </c>
      <c r="X7" s="3" t="inlineStr">
        <is>
          <t>[]</t>
        </is>
      </c>
      <c r="Y7" s="3" t="inlineStr">
        <is>
          <t>["seo_runs/jeminise.com/20260906_234129/qa/20260909_043000/images/031_06.jpg", "https://jeminise.com/products/christmas-cardinals-near-snowy-birdhouse-patchwork-floral-quilt-b90d55a935-b90d55a935", "https://cdn.shopify.com/s/files/1/0792/5098/1063/files/17b3827a8c3b4dbbd608b08c3534148427ac4397354f3f0fe053ed23086269e8.jpg?v=1785099259"]</t>
        </is>
      </c>
    </row>
    <row r="8" ht="66" customHeight="1">
      <c r="A8" s="2" t="inlineStr">
        <is>
          <t>jeminise.com+christmas-cardinals-near-snowy-birdhouse-patchwork-floral-quilt-b90d55a935-b90d55a935</t>
        </is>
      </c>
      <c r="B8" s="2" t="inlineStr">
        <is>
          <t>qaimg_b913d31cc8bddb72</t>
        </is>
      </c>
      <c r="C8" s="4" t="inlineStr">
        <is>
          <t>https://cdn.shopify.com/s/files/1/0792/5098/1063/files/24dc7edea95f70726f65b933a6f8c4826cdc3c896050c2c5109926d64325dd21.jpg?v=1785099258</t>
        </is>
      </c>
      <c r="D8" s="4" t="inlineStr">
        <is>
          <t>https://cdn.shopify.com/s/files/1/0792/5098/1063/files/24dc7edea95f70726f65b933a6f8c4826cdc3c896050c2c5109926d64325dd21.jpg?v=1785099258</t>
        </is>
      </c>
      <c r="E8" s="2" t="inlineStr">
        <is>
          <t>47540019232967</t>
        </is>
      </c>
      <c r="F8" s="2" t="inlineStr">
        <is>
          <t>47540019232967</t>
        </is>
      </c>
      <c r="G8" s="2" t="inlineStr"/>
      <c r="H8" s="2" t="inlineStr">
        <is>
          <t>GALLERY</t>
        </is>
      </c>
      <c r="I8" s="2" t="inlineStr">
        <is>
          <t>DIRECT_IMAGE_VERIFICATION + R5_AUDIT</t>
        </is>
      </c>
      <c r="J8" s="2" t="inlineStr">
        <is>
          <t>2026-09-09T04:29:28.436834+07:00</t>
        </is>
      </c>
      <c r="K8" s="2" t="inlineStr">
        <is>
          <t>Overhead bedroom mockup showing cardinal birdhouse quilt with matching pillows.</t>
        </is>
      </c>
      <c r="L8" s="2" t="inlineStr">
        <is>
          <t>Overhead bedroom mockup showing cardinal birdhouse quilt with matching pillows.</t>
        </is>
      </c>
      <c r="M8" s="2" t="inlineStr">
        <is>
          <t>SET</t>
        </is>
      </c>
      <c r="N8" s="2" t="inlineStr">
        <is>
          <t>Cardinal birdhouse quilt overhead bedroom view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5">
        <f>IF(O8="FULL",40,IF(O8="PARTIAL",40/2,0))+IF(P8="FULL",30,IF(P8="PARTIAL",30/2,0))+IF(Q8="FULL",20,IF(Q8="PARTIAL",20/2,0))+IF(R8="FULL",10,IF(R8="PARTIAL",10/2,0))</f>
        <v/>
      </c>
      <c r="T8" s="5">
        <f>IF(O8="NOT_CHECKED",0,40)+IF(P8="NOT_CHECKED",0,30)+IF(Q8="NOT_CHECKED",0,20)+IF(R8="NOT_CHECKED",0,10)</f>
        <v/>
      </c>
      <c r="U8" s="5">
        <f>IF(T8=100,S8,"")</f>
        <v/>
      </c>
      <c r="V8" s="5">
        <f>S8</f>
        <v/>
      </c>
      <c r="W8" s="5">
        <f>S8+(100-T8)</f>
        <v/>
      </c>
      <c r="X8" s="2" t="inlineStr">
        <is>
          <t>[]</t>
        </is>
      </c>
      <c r="Y8" s="2" t="inlineStr">
        <is>
          <t>["seo_runs/jeminise.com/20260906_234129/qa/20260909_043000/images/031_07.jpg", "https://jeminise.com/products/christmas-cardinals-near-snowy-birdhouse-patchwork-floral-quilt-b90d55a935-b90d55a935", "https://cdn.shopify.com/s/files/1/0792/5098/1063/files/24dc7edea95f70726f65b933a6f8c4826cdc3c896050c2c5109926d64325dd21.jpg?v=1785099258"]</t>
        </is>
      </c>
    </row>
    <row r="9" ht="66" customHeight="1">
      <c r="A9" s="3" t="inlineStr">
        <is>
          <t>jeminise.com+christmas-cardinals-on-snowy-branches-patchwork-winter-quilt-8fa1a9e2ed-8fa1a9e2ed</t>
        </is>
      </c>
      <c r="B9" s="3" t="inlineStr">
        <is>
          <t>qaimg_51bd410641e698c4</t>
        </is>
      </c>
      <c r="C9" s="4" t="inlineStr">
        <is>
          <t>https://cdn.shopify.com/s/files/1/0792/5098/1063/files/dac06806abe736aaddf0257ef47ee3581ffb682f1ee70078a493eb9381b34f9f.jpg?v=1785098963</t>
        </is>
      </c>
      <c r="D9" s="4" t="inlineStr">
        <is>
          <t>https://cdn.shopify.com/s/files/1/0792/5098/1063/files/dac06806abe736aaddf0257ef47ee3581ffb682f1ee70078a493eb9381b34f9f.jpg?v=1785098963</t>
        </is>
      </c>
      <c r="E9" s="3" t="inlineStr">
        <is>
          <t>47539987841223</t>
        </is>
      </c>
      <c r="F9" s="3" t="inlineStr">
        <is>
          <t>47539987841223</t>
        </is>
      </c>
      <c r="G9" s="3" t="inlineStr"/>
      <c r="H9" s="3" t="inlineStr">
        <is>
          <t>GALLERY</t>
        </is>
      </c>
      <c r="I9" s="3" t="inlineStr">
        <is>
          <t>DIRECT_IMAGE_VERIFICATION + R5_AUDIT</t>
        </is>
      </c>
      <c r="J9" s="3" t="inlineStr">
        <is>
          <t>2026-09-09T04:29:28.436834+07:00</t>
        </is>
      </c>
      <c r="K9" s="3" t="inlineStr">
        <is>
          <t>Christmas cardinals snowy branches quilt bed mockup with red cardinals, berries, poinsettias and matching shams.</t>
        </is>
      </c>
      <c r="L9" s="3" t="inlineStr">
        <is>
          <t>Christmas cardinals snowy branches quilt bed mockup with red cardinals, berries, poinsettias and matching shams.</t>
        </is>
      </c>
      <c r="M9" s="3" t="inlineStr">
        <is>
          <t>SET</t>
        </is>
      </c>
      <c r="N9" s="3" t="inlineStr">
        <is>
          <t>Christmas cardinals snowy branches quilt set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3" t="inlineStr">
        <is>
          <t>FULL</t>
        </is>
      </c>
      <c r="S9" s="7">
        <f>IF(O9="FULL",40,IF(O9="PARTIAL",40/2,0))+IF(P9="FULL",30,IF(P9="PARTIAL",30/2,0))+IF(Q9="FULL",20,IF(Q9="PARTIAL",20/2,0))+IF(R9="FULL",10,IF(R9="PARTIAL",10/2,0))</f>
        <v/>
      </c>
      <c r="T9" s="7">
        <f>IF(O9="NOT_CHECKED",0,40)+IF(P9="NOT_CHECKED",0,30)+IF(Q9="NOT_CHECKED",0,20)+IF(R9="NOT_CHECKED",0,10)</f>
        <v/>
      </c>
      <c r="U9" s="7">
        <f>IF(T9=100,S9,"")</f>
        <v/>
      </c>
      <c r="V9" s="7">
        <f>S9</f>
        <v/>
      </c>
      <c r="W9" s="7">
        <f>S9+(100-T9)</f>
        <v/>
      </c>
      <c r="X9" s="3" t="inlineStr">
        <is>
          <t>[]</t>
        </is>
      </c>
      <c r="Y9" s="3" t="inlineStr">
        <is>
          <t>["seo_runs/jeminise.com/20260906_234129/qa/20260909_043000/images/032_01.jpg", "https://jeminise.com/products/christmas-cardinals-on-snowy-branches-patchwork-winter-quilt-8fa1a9e2ed-8fa1a9e2ed", "https://cdn.shopify.com/s/files/1/0792/5098/1063/files/dac06806abe736aaddf0257ef47ee3581ffb682f1ee70078a493eb9381b34f9f.jpg?v=1785098963"]</t>
        </is>
      </c>
    </row>
    <row r="10" ht="66" customHeight="1">
      <c r="A10" s="2" t="inlineStr">
        <is>
          <t>jeminise.com+christmas-cardinals-on-snowy-branches-patchwork-winter-quilt-8fa1a9e2ed-8fa1a9e2ed</t>
        </is>
      </c>
      <c r="B10" s="2" t="inlineStr">
        <is>
          <t>qaimg_48f97a3347959ba9</t>
        </is>
      </c>
      <c r="C10" s="4" t="inlineStr">
        <is>
          <t>https://cdn.shopify.com/s/files/1/0792/5098/1063/files/ab7e4f9484e52e83891e552e58d6a27e151a62e654a01667625d8c86bd6a3295.jpg?v=1785098963</t>
        </is>
      </c>
      <c r="D10" s="4" t="inlineStr">
        <is>
          <t>https://cdn.shopify.com/s/files/1/0792/5098/1063/files/ab7e4f9484e52e83891e552e58d6a27e151a62e654a01667625d8c86bd6a3295.jpg?v=1785098963</t>
        </is>
      </c>
      <c r="E10" s="2" t="inlineStr">
        <is>
          <t>47539987873991</t>
        </is>
      </c>
      <c r="F10" s="2" t="inlineStr">
        <is>
          <t>47539987873991</t>
        </is>
      </c>
      <c r="G10" s="2" t="inlineStr"/>
      <c r="H10" s="2" t="inlineStr">
        <is>
          <t>GALLERY</t>
        </is>
      </c>
      <c r="I10" s="2" t="inlineStr">
        <is>
          <t>DIRECT_IMAGE_VERIFICATION + R5_AUDIT</t>
        </is>
      </c>
      <c r="J10" s="2" t="inlineStr">
        <is>
          <t>2026-09-09T04:29:28.436834+07:00</t>
        </is>
      </c>
      <c r="K10" s="2" t="inlineStr">
        <is>
          <t>Close-up of a red cardinal head with snowy branch background and visible quilt stitching.</t>
        </is>
      </c>
      <c r="L10" s="2" t="inlineStr">
        <is>
          <t>Close-up of a red cardinal head with snowy branch background and visible quilt stitching.</t>
        </is>
      </c>
      <c r="M10" s="2" t="inlineStr">
        <is>
          <t>SET</t>
        </is>
      </c>
      <c r="N10" s="2" t="inlineStr">
        <is>
          <t>Cardinal snowy branches quilt close-up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5">
        <f>IF(O10="FULL",40,IF(O10="PARTIAL",40/2,0))+IF(P10="FULL",30,IF(P10="PARTIAL",30/2,0))+IF(Q10="FULL",20,IF(Q10="PARTIAL",20/2,0))+IF(R10="FULL",10,IF(R10="PARTIAL",10/2,0))</f>
        <v/>
      </c>
      <c r="T10" s="5">
        <f>IF(O10="NOT_CHECKED",0,40)+IF(P10="NOT_CHECKED",0,30)+IF(Q10="NOT_CHECKED",0,20)+IF(R10="NOT_CHECKED",0,10)</f>
        <v/>
      </c>
      <c r="U10" s="5">
        <f>IF(T10=100,S10,"")</f>
        <v/>
      </c>
      <c r="V10" s="5">
        <f>S10</f>
        <v/>
      </c>
      <c r="W10" s="5">
        <f>S10+(100-T10)</f>
        <v/>
      </c>
      <c r="X10" s="2" t="inlineStr">
        <is>
          <t>[]</t>
        </is>
      </c>
      <c r="Y10" s="2" t="inlineStr">
        <is>
          <t>["seo_runs/jeminise.com/20260906_234129/qa/20260909_043000/images/032_02.jpg", "https://jeminise.com/products/christmas-cardinals-on-snowy-branches-patchwork-winter-quilt-8fa1a9e2ed-8fa1a9e2ed", "https://cdn.shopify.com/s/files/1/0792/5098/1063/files/ab7e4f9484e52e83891e552e58d6a27e151a62e654a01667625d8c86bd6a3295.jpg?v=1785098963"]</t>
        </is>
      </c>
    </row>
    <row r="11" ht="66" customHeight="1">
      <c r="A11" s="3" t="inlineStr">
        <is>
          <t>jeminise.com+christmas-cardinals-on-snowy-branches-patchwork-winter-quilt-8fa1a9e2ed-8fa1a9e2ed</t>
        </is>
      </c>
      <c r="B11" s="3" t="inlineStr">
        <is>
          <t>qaimg_54027ac92d68353f</t>
        </is>
      </c>
      <c r="C11" s="4" t="inlineStr">
        <is>
          <t>https://cdn.shopify.com/s/files/1/0792/5098/1063/files/af11f2e375dabf355f9318fb1eea3b312db7cd0ed95fb4b96e7b537d184a9d42.jpg?v=1785098963</t>
        </is>
      </c>
      <c r="D11" s="4" t="inlineStr">
        <is>
          <t>https://cdn.shopify.com/s/files/1/0792/5098/1063/files/af11f2e375dabf355f9318fb1eea3b312db7cd0ed95fb4b96e7b537d184a9d42.jpg?v=1785098963</t>
        </is>
      </c>
      <c r="E11" s="3" t="inlineStr">
        <is>
          <t>47539987906759</t>
        </is>
      </c>
      <c r="F11" s="3" t="inlineStr">
        <is>
          <t>47539987906759</t>
        </is>
      </c>
      <c r="G11" s="3" t="inlineStr"/>
      <c r="H11" s="3" t="inlineStr">
        <is>
          <t>GALLERY</t>
        </is>
      </c>
      <c r="I11" s="3" t="inlineStr">
        <is>
          <t>DIRECT_IMAGE_VERIFICATION + R5_AUDIT</t>
        </is>
      </c>
      <c r="J11" s="3" t="inlineStr">
        <is>
          <t>2026-09-09T04:29:28.436834+07:00</t>
        </is>
      </c>
      <c r="K11" s="3" t="inlineStr">
        <is>
          <t>Matching pillow sham with two red cardinals, snowy branches, berries and poinsettias.</t>
        </is>
      </c>
      <c r="L11" s="3" t="inlineStr">
        <is>
          <t>Matching pillow sham with two red cardinals, snowy branches, berries and poinsettias.</t>
        </is>
      </c>
      <c r="M11" s="3" t="inlineStr">
        <is>
          <t>SET</t>
        </is>
      </c>
      <c r="N11" s="3" t="inlineStr">
        <is>
          <t>Cardinals snowy branches pillow sham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7">
        <f>IF(O11="FULL",40,IF(O11="PARTIAL",40/2,0))+IF(P11="FULL",30,IF(P11="PARTIAL",30/2,0))+IF(Q11="FULL",20,IF(Q11="PARTIAL",20/2,0))+IF(R11="FULL",10,IF(R11="PARTIAL",10/2,0))</f>
        <v/>
      </c>
      <c r="T11" s="7">
        <f>IF(O11="NOT_CHECKED",0,40)+IF(P11="NOT_CHECKED",0,30)+IF(Q11="NOT_CHECKED",0,20)+IF(R11="NOT_CHECKED",0,10)</f>
        <v/>
      </c>
      <c r="U11" s="7">
        <f>IF(T11=100,S11,"")</f>
        <v/>
      </c>
      <c r="V11" s="7">
        <f>S11</f>
        <v/>
      </c>
      <c r="W11" s="7">
        <f>S11+(100-T11)</f>
        <v/>
      </c>
      <c r="X11" s="3" t="inlineStr">
        <is>
          <t>[]</t>
        </is>
      </c>
      <c r="Y11" s="3" t="inlineStr">
        <is>
          <t>["seo_runs/jeminise.com/20260906_234129/qa/20260909_043000/images/032_03.jpg", "https://jeminise.com/products/christmas-cardinals-on-snowy-branches-patchwork-winter-quilt-8fa1a9e2ed-8fa1a9e2ed", "https://cdn.shopify.com/s/files/1/0792/5098/1063/files/af11f2e375dabf355f9318fb1eea3b312db7cd0ed95fb4b96e7b537d184a9d42.jpg?v=1785098963"]</t>
        </is>
      </c>
    </row>
    <row r="12" ht="66" customHeight="1">
      <c r="A12" s="2" t="inlineStr">
        <is>
          <t>jeminise.com+christmas-cardinals-on-snowy-branches-patchwork-winter-quilt-8fa1a9e2ed-8fa1a9e2ed</t>
        </is>
      </c>
      <c r="B12" s="2" t="inlineStr">
        <is>
          <t>qaimg_819766fd43b5aa2c</t>
        </is>
      </c>
      <c r="C12" s="4" t="inlineStr">
        <is>
          <t>https://cdn.shopify.com/s/files/1/0792/5098/1063/files/f940efaf872da7294b0ec99795596430c32c922db66b35243684820e65417fb3.jpg?v=1785098963</t>
        </is>
      </c>
      <c r="D12" s="4" t="inlineStr">
        <is>
          <t>https://cdn.shopify.com/s/files/1/0792/5098/1063/files/f940efaf872da7294b0ec99795596430c32c922db66b35243684820e65417fb3.jpg?v=1785098963</t>
        </is>
      </c>
      <c r="E12" s="2" t="inlineStr">
        <is>
          <t>47539987939527</t>
        </is>
      </c>
      <c r="F12" s="2" t="inlineStr">
        <is>
          <t>47539987939527</t>
        </is>
      </c>
      <c r="G12" s="2" t="inlineStr"/>
      <c r="H12" s="2" t="inlineStr">
        <is>
          <t>GALLERY</t>
        </is>
      </c>
      <c r="I12" s="2" t="inlineStr">
        <is>
          <t>DIRECT_IMAGE_VERIFICATION + R5_AUDIT</t>
        </is>
      </c>
      <c r="J12" s="2" t="inlineStr">
        <is>
          <t>2026-09-09T04:29:28.436834+07:00</t>
        </is>
      </c>
      <c r="K12" s="2" t="inlineStr">
        <is>
          <t>Bedroom mockup showing cardinals snowy branches quilt with coordinated pillow shams.</t>
        </is>
      </c>
      <c r="L12" s="2" t="inlineStr">
        <is>
          <t>Bedroom mockup showing cardinals snowy branches quilt with coordinated pillow shams.</t>
        </is>
      </c>
      <c r="M12" s="2" t="inlineStr">
        <is>
          <t>SET</t>
        </is>
      </c>
      <c r="N12" s="2" t="inlineStr">
        <is>
          <t>Cardinals snowy branches quilt bedroom mockup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5">
        <f>IF(O12="FULL",40,IF(O12="PARTIAL",40/2,0))+IF(P12="FULL",30,IF(P12="PARTIAL",30/2,0))+IF(Q12="FULL",20,IF(Q12="PARTIAL",20/2,0))+IF(R12="FULL",10,IF(R12="PARTIAL",10/2,0))</f>
        <v/>
      </c>
      <c r="T12" s="5">
        <f>IF(O12="NOT_CHECKED",0,40)+IF(P12="NOT_CHECKED",0,30)+IF(Q12="NOT_CHECKED",0,20)+IF(R12="NOT_CHECKED",0,10)</f>
        <v/>
      </c>
      <c r="U12" s="5">
        <f>IF(T12=100,S12,"")</f>
        <v/>
      </c>
      <c r="V12" s="5">
        <f>S12</f>
        <v/>
      </c>
      <c r="W12" s="5">
        <f>S12+(100-T12)</f>
        <v/>
      </c>
      <c r="X12" s="2" t="inlineStr">
        <is>
          <t>[]</t>
        </is>
      </c>
      <c r="Y12" s="2" t="inlineStr">
        <is>
          <t>["seo_runs/jeminise.com/20260906_234129/qa/20260909_043000/images/032_04.jpg", "https://jeminise.com/products/christmas-cardinals-on-snowy-branches-patchwork-winter-quilt-8fa1a9e2ed-8fa1a9e2ed", "https://cdn.shopify.com/s/files/1/0792/5098/1063/files/f940efaf872da7294b0ec99795596430c32c922db66b35243684820e65417fb3.jpg?v=1785098963"]</t>
        </is>
      </c>
    </row>
    <row r="13" ht="66" customHeight="1">
      <c r="A13" s="3" t="inlineStr">
        <is>
          <t>jeminise.com+christmas-cardinals-on-snowy-branches-patchwork-winter-quilt-8fa1a9e2ed-8fa1a9e2ed</t>
        </is>
      </c>
      <c r="B13" s="3" t="inlineStr">
        <is>
          <t>qaimg_862b54dc20308856</t>
        </is>
      </c>
      <c r="C13" s="4" t="inlineStr">
        <is>
          <t>https://cdn.shopify.com/s/files/1/0792/5098/1063/files/e0cc67382e14f285ae5b93b57a9e0bfb1a6da6368549d710aed5a534af0f3e89.jpg?v=1785098963</t>
        </is>
      </c>
      <c r="D13" s="4" t="inlineStr">
        <is>
          <t>https://cdn.shopify.com/s/files/1/0792/5098/1063/files/e0cc67382e14f285ae5b93b57a9e0bfb1a6da6368549d710aed5a534af0f3e89.jpg?v=1785098963</t>
        </is>
      </c>
      <c r="E13" s="3" t="inlineStr">
        <is>
          <t>47539987972295</t>
        </is>
      </c>
      <c r="F13" s="3" t="inlineStr">
        <is>
          <t>47539987972295</t>
        </is>
      </c>
      <c r="G13" s="3" t="inlineStr"/>
      <c r="H13" s="3" t="inlineStr">
        <is>
          <t>GALLERY</t>
        </is>
      </c>
      <c r="I13" s="3" t="inlineStr">
        <is>
          <t>DIRECT_IMAGE_VERIFICATION + R5_AUDIT</t>
        </is>
      </c>
      <c r="J13" s="3" t="inlineStr">
        <is>
          <t>2026-09-09T04:29:28.436834+07:00</t>
        </is>
      </c>
      <c r="K13" s="3" t="inlineStr">
        <is>
          <t>Size and component panel showing one premium quilt and two optional standard shams.</t>
        </is>
      </c>
      <c r="L13" s="3" t="inlineStr">
        <is>
          <t>Size and component panel showing one premium quilt and two optional standard shams.</t>
        </is>
      </c>
      <c r="M13" s="3" t="inlineStr">
        <is>
          <t>SET</t>
        </is>
      </c>
      <c r="N13" s="3" t="inlineStr">
        <is>
          <t>Cardinals snowy branches quilt size options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7">
        <f>IF(O13="FULL",40,IF(O13="PARTIAL",40/2,0))+IF(P13="FULL",30,IF(P13="PARTIAL",30/2,0))+IF(Q13="FULL",20,IF(Q13="PARTIAL",20/2,0))+IF(R13="FULL",10,IF(R13="PARTIAL",10/2,0))</f>
        <v/>
      </c>
      <c r="T13" s="7">
        <f>IF(O13="NOT_CHECKED",0,40)+IF(P13="NOT_CHECKED",0,30)+IF(Q13="NOT_CHECKED",0,20)+IF(R13="NOT_CHECKED",0,10)</f>
        <v/>
      </c>
      <c r="U13" s="7">
        <f>IF(T13=100,S13,"")</f>
        <v/>
      </c>
      <c r="V13" s="7">
        <f>S13</f>
        <v/>
      </c>
      <c r="W13" s="7">
        <f>S13+(100-T13)</f>
        <v/>
      </c>
      <c r="X13" s="3" t="inlineStr">
        <is>
          <t>[]</t>
        </is>
      </c>
      <c r="Y13" s="3" t="inlineStr">
        <is>
          <t>["seo_runs/jeminise.com/20260906_234129/qa/20260909_043000/images/032_05.jpg", "https://jeminise.com/products/christmas-cardinals-on-snowy-branches-patchwork-winter-quilt-8fa1a9e2ed-8fa1a9e2ed", "https://cdn.shopify.com/s/files/1/0792/5098/1063/files/e0cc67382e14f285ae5b93b57a9e0bfb1a6da6368549d710aed5a534af0f3e89.jpg?v=1785098963"]</t>
        </is>
      </c>
    </row>
    <row r="14" ht="66" customHeight="1">
      <c r="A14" s="2" t="inlineStr">
        <is>
          <t>jeminise.com+cow-with-landscape-patchwork-quilt-animal-farmhouse-printed-quilt-set</t>
        </is>
      </c>
      <c r="B14" s="2" t="inlineStr">
        <is>
          <t>qaimg_f92e2c13b2543b18</t>
        </is>
      </c>
      <c r="C14" s="4" t="inlineStr">
        <is>
          <t>https://cdn.shopify.com/s/files/1/0792/5098/1063/files/c125a162b81ac7a0917f20a9f0ef6de99ea1d1287c4b81750b47673eae384743.jpg?v=1787233735</t>
        </is>
      </c>
      <c r="D14" s="4" t="inlineStr">
        <is>
          <t>https://cdn.shopify.com/s/files/1/0792/5098/1063/files/c125a162b81ac7a0917f20a9f0ef6de99ea1d1287c4b81750b47673eae384743.jpg?v=1787233735</t>
        </is>
      </c>
      <c r="E14" s="2" t="inlineStr">
        <is>
          <t>47933468082375</t>
        </is>
      </c>
      <c r="F14" s="2" t="inlineStr">
        <is>
          <t>47933468082375</t>
        </is>
      </c>
      <c r="G14" s="2" t="inlineStr"/>
      <c r="H14" s="2" t="inlineStr">
        <is>
          <t>GALLERY</t>
        </is>
      </c>
      <c r="I14" s="2" t="inlineStr">
        <is>
          <t>DIRECT_IMAGE_VERIFICATION + R5_AUDIT</t>
        </is>
      </c>
      <c r="J14" s="2" t="inlineStr">
        <is>
          <t>2026-09-09T04:29:28.436834+07:00</t>
        </is>
      </c>
      <c r="K14" s="2" t="inlineStr">
        <is>
          <t>Cow farmhouse quilt bed mockup with black-and-white cow, sunflowers, blue sky and matching pillow shams.</t>
        </is>
      </c>
      <c r="L14" s="2" t="inlineStr">
        <is>
          <t>Cow farmhouse quilt bed mockup with black-and-white cow, sunflowers, blue sky and matching pillow shams.</t>
        </is>
      </c>
      <c r="M14" s="2" t="inlineStr">
        <is>
          <t>SET</t>
        </is>
      </c>
      <c r="N14" s="2" t="inlineStr">
        <is>
          <t>Cow sunflower farmhouse quilt set on bed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5">
        <f>IF(O14="FULL",40,IF(O14="PARTIAL",40/2,0))+IF(P14="FULL",30,IF(P14="PARTIAL",30/2,0))+IF(Q14="FULL",20,IF(Q14="PARTIAL",20/2,0))+IF(R14="FULL",10,IF(R14="PARTIAL",10/2,0))</f>
        <v/>
      </c>
      <c r="T14" s="5">
        <f>IF(O14="NOT_CHECKED",0,40)+IF(P14="NOT_CHECKED",0,30)+IF(Q14="NOT_CHECKED",0,20)+IF(R14="NOT_CHECKED",0,10)</f>
        <v/>
      </c>
      <c r="U14" s="5">
        <f>IF(T14=100,S14,"")</f>
        <v/>
      </c>
      <c r="V14" s="5">
        <f>S14</f>
        <v/>
      </c>
      <c r="W14" s="5">
        <f>S14+(100-T14)</f>
        <v/>
      </c>
      <c r="X14" s="2" t="inlineStr">
        <is>
          <t>[]</t>
        </is>
      </c>
      <c r="Y14" s="2" t="inlineStr">
        <is>
          <t>["seo_runs/jeminise.com/20260906_234129/qa/20260909_043000/images/033_01.jpg", "https://jeminise.com/products/cow-with-landscape-patchwork-quilt-animal-farmhouse-printed-quilt-set", "https://cdn.shopify.com/s/files/1/0792/5098/1063/files/c125a162b81ac7a0917f20a9f0ef6de99ea1d1287c4b81750b47673eae384743.jpg?v=1787233735"]</t>
        </is>
      </c>
    </row>
    <row r="15" ht="66" customHeight="1">
      <c r="A15" s="3" t="inlineStr">
        <is>
          <t>jeminise.com+cow-with-landscape-patchwork-quilt-animal-farmhouse-printed-quilt-set</t>
        </is>
      </c>
      <c r="B15" s="3" t="inlineStr">
        <is>
          <t>qaimg_8dce0084092da7e6</t>
        </is>
      </c>
      <c r="C15" s="4" t="inlineStr">
        <is>
          <t>https://cdn.shopify.com/s/files/1/0792/5098/1063/files/7a88284bac324abbd9e85d02486e08e699c97d58643e1069e6adbbc0aaa005b3.jpg?v=1787233735</t>
        </is>
      </c>
      <c r="D15" s="4" t="inlineStr">
        <is>
          <t>https://cdn.shopify.com/s/files/1/0792/5098/1063/files/7a88284bac324abbd9e85d02486e08e699c97d58643e1069e6adbbc0aaa005b3.jpg?v=1787233735</t>
        </is>
      </c>
      <c r="E15" s="3" t="inlineStr">
        <is>
          <t>47933468115143</t>
        </is>
      </c>
      <c r="F15" s="3" t="inlineStr">
        <is>
          <t>47933468115143</t>
        </is>
      </c>
      <c r="G15" s="3" t="inlineStr"/>
      <c r="H15" s="3" t="inlineStr">
        <is>
          <t>GALLERY</t>
        </is>
      </c>
      <c r="I15" s="3" t="inlineStr">
        <is>
          <t>DIRECT_IMAGE_VERIFICATION + R5_AUDIT</t>
        </is>
      </c>
      <c r="J15" s="3" t="inlineStr">
        <is>
          <t>2026-09-09T04:29:28.436834+07:00</t>
        </is>
      </c>
      <c r="K15" s="3" t="inlineStr">
        <is>
          <t>Bedroom mockup with cow sunflower quilt and premium printed craft callout.</t>
        </is>
      </c>
      <c r="L15" s="3" t="inlineStr">
        <is>
          <t>Bedroom mockup with cow sunflower quilt and premium printed craft callout.</t>
        </is>
      </c>
      <c r="M15" s="3" t="inlineStr">
        <is>
          <t>SET</t>
        </is>
      </c>
      <c r="N15" s="3" t="inlineStr">
        <is>
          <t>Cow sunflower farmhouse quilt room mockup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7">
        <f>IF(O15="FULL",40,IF(O15="PARTIAL",40/2,0))+IF(P15="FULL",30,IF(P15="PARTIAL",30/2,0))+IF(Q15="FULL",20,IF(Q15="PARTIAL",20/2,0))+IF(R15="FULL",10,IF(R15="PARTIAL",10/2,0))</f>
        <v/>
      </c>
      <c r="T15" s="7">
        <f>IF(O15="NOT_CHECKED",0,40)+IF(P15="NOT_CHECKED",0,30)+IF(Q15="NOT_CHECKED",0,20)+IF(R15="NOT_CHECKED",0,10)</f>
        <v/>
      </c>
      <c r="U15" s="7">
        <f>IF(T15=100,S15,"")</f>
        <v/>
      </c>
      <c r="V15" s="7">
        <f>S15</f>
        <v/>
      </c>
      <c r="W15" s="7">
        <f>S15+(100-T15)</f>
        <v/>
      </c>
      <c r="X15" s="3" t="inlineStr">
        <is>
          <t>[]</t>
        </is>
      </c>
      <c r="Y15" s="3" t="inlineStr">
        <is>
          <t>["seo_runs/jeminise.com/20260906_234129/qa/20260909_043000/images/033_02.jpg", "https://jeminise.com/products/cow-with-landscape-patchwork-quilt-animal-farmhouse-printed-quilt-set", "https://cdn.shopify.com/s/files/1/0792/5098/1063/files/7a88284bac324abbd9e85d02486e08e699c97d58643e1069e6adbbc0aaa005b3.jpg?v=1787233735"]</t>
        </is>
      </c>
    </row>
    <row r="16" ht="66" customHeight="1">
      <c r="A16" s="2" t="inlineStr">
        <is>
          <t>jeminise.com+cow-with-landscape-patchwork-quilt-animal-farmhouse-printed-quilt-set</t>
        </is>
      </c>
      <c r="B16" s="2" t="inlineStr">
        <is>
          <t>qaimg_85c7344673d47a19</t>
        </is>
      </c>
      <c r="C16" s="4" t="inlineStr">
        <is>
          <t>https://cdn.shopify.com/s/files/1/0792/5098/1063/files/f32a0ab9ff68ed03ce7eeb22aba59688cf62bd847260ddb6328da301eba420f1.jpg?v=1787233735</t>
        </is>
      </c>
      <c r="D16" s="4" t="inlineStr">
        <is>
          <t>https://cdn.shopify.com/s/files/1/0792/5098/1063/files/f32a0ab9ff68ed03ce7eeb22aba59688cf62bd847260ddb6328da301eba420f1.jpg?v=1787233735</t>
        </is>
      </c>
      <c r="E16" s="2" t="inlineStr">
        <is>
          <t>47933468147911</t>
        </is>
      </c>
      <c r="F16" s="2" t="inlineStr">
        <is>
          <t>47933468147911</t>
        </is>
      </c>
      <c r="G16" s="2" t="inlineStr"/>
      <c r="H16" s="2" t="inlineStr">
        <is>
          <t>GALLERY</t>
        </is>
      </c>
      <c r="I16" s="2" t="inlineStr">
        <is>
          <t>DIRECT_IMAGE_VERIFICATION + R5_AUDIT</t>
        </is>
      </c>
      <c r="J16" s="2" t="inlineStr">
        <is>
          <t>2026-09-09T04:29:28.436834+07:00</t>
        </is>
      </c>
      <c r="K16" s="2" t="inlineStr">
        <is>
          <t>Optional pillow shams panel showing matching cow and sunflower pillow artwork.</t>
        </is>
      </c>
      <c r="L16" s="2" t="inlineStr">
        <is>
          <t>Optional pillow shams panel showing matching cow and sunflower pillow artwork.</t>
        </is>
      </c>
      <c r="M16" s="2" t="inlineStr">
        <is>
          <t>SET</t>
        </is>
      </c>
      <c r="N16" s="2" t="inlineStr">
        <is>
          <t>Cow sunflower quilt optional pillow shams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5">
        <f>IF(O16="FULL",40,IF(O16="PARTIAL",40/2,0))+IF(P16="FULL",30,IF(P16="PARTIAL",30/2,0))+IF(Q16="FULL",20,IF(Q16="PARTIAL",20/2,0))+IF(R16="FULL",10,IF(R16="PARTIAL",10/2,0))</f>
        <v/>
      </c>
      <c r="T16" s="5">
        <f>IF(O16="NOT_CHECKED",0,40)+IF(P16="NOT_CHECKED",0,30)+IF(Q16="NOT_CHECKED",0,20)+IF(R16="NOT_CHECKED",0,10)</f>
        <v/>
      </c>
      <c r="U16" s="5">
        <f>IF(T16=100,S16,"")</f>
        <v/>
      </c>
      <c r="V16" s="5">
        <f>S16</f>
        <v/>
      </c>
      <c r="W16" s="5">
        <f>S16+(100-T16)</f>
        <v/>
      </c>
      <c r="X16" s="2" t="inlineStr">
        <is>
          <t>[]</t>
        </is>
      </c>
      <c r="Y16" s="2" t="inlineStr">
        <is>
          <t>["seo_runs/jeminise.com/20260906_234129/qa/20260909_043000/images/033_03.jpg", "https://jeminise.com/products/cow-with-landscape-patchwork-quilt-animal-farmhouse-printed-quilt-set", "https://cdn.shopify.com/s/files/1/0792/5098/1063/files/f32a0ab9ff68ed03ce7eeb22aba59688cf62bd847260ddb6328da301eba420f1.jpg?v=1787233735"]</t>
        </is>
      </c>
    </row>
    <row r="17" ht="66" customHeight="1">
      <c r="A17" s="3" t="inlineStr">
        <is>
          <t>jeminise.com+cow-with-landscape-patchwork-quilt-animal-farmhouse-printed-quilt-set</t>
        </is>
      </c>
      <c r="B17" s="3" t="inlineStr">
        <is>
          <t>qaimg_9855230629ffd67a</t>
        </is>
      </c>
      <c r="C17" s="4" t="inlineStr">
        <is>
          <t>https://cdn.shopify.com/s/files/1/0792/5098/1063/files/1bbca18f85bad17a4319e22b1226d6662eb2bab7b67726b2423904e5d0e36838.jpg?v=1787233735</t>
        </is>
      </c>
      <c r="D17" s="4" t="inlineStr">
        <is>
          <t>https://cdn.shopify.com/s/files/1/0792/5098/1063/files/1bbca18f85bad17a4319e22b1226d6662eb2bab7b67726b2423904e5d0e36838.jpg?v=1787233735</t>
        </is>
      </c>
      <c r="E17" s="3" t="inlineStr">
        <is>
          <t>47933468180679</t>
        </is>
      </c>
      <c r="F17" s="3" t="inlineStr">
        <is>
          <t>47933468180679</t>
        </is>
      </c>
      <c r="G17" s="3" t="inlineStr"/>
      <c r="H17" s="3" t="inlineStr">
        <is>
          <t>GALLERY</t>
        </is>
      </c>
      <c r="I17" s="3" t="inlineStr">
        <is>
          <t>DIRECT_IMAGE_VERIFICATION + R5_AUDIT</t>
        </is>
      </c>
      <c r="J17" s="3" t="inlineStr">
        <is>
          <t>2026-09-09T04:29:28.436834+07:00</t>
        </is>
      </c>
      <c r="K17" s="3" t="inlineStr">
        <is>
          <t>Fabric panel showing cow quilt layers and soft breathable skin-friendly fabric callout.</t>
        </is>
      </c>
      <c r="L17" s="3" t="inlineStr">
        <is>
          <t>Fabric panel showing cow quilt layers and soft breathable skin-friendly fabric callout.</t>
        </is>
      </c>
      <c r="M17" s="3" t="inlineStr">
        <is>
          <t>SET</t>
        </is>
      </c>
      <c r="N17" s="3" t="inlineStr">
        <is>
          <t>Cow sunflower quilt fabric feature panel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3" t="inlineStr">
        <is>
          <t>FULL</t>
        </is>
      </c>
      <c r="S17" s="7">
        <f>IF(O17="FULL",40,IF(O17="PARTIAL",40/2,0))+IF(P17="FULL",30,IF(P17="PARTIAL",30/2,0))+IF(Q17="FULL",20,IF(Q17="PARTIAL",20/2,0))+IF(R17="FULL",10,IF(R17="PARTIAL",10/2,0))</f>
        <v/>
      </c>
      <c r="T17" s="7">
        <f>IF(O17="NOT_CHECKED",0,40)+IF(P17="NOT_CHECKED",0,30)+IF(Q17="NOT_CHECKED",0,20)+IF(R17="NOT_CHECKED",0,10)</f>
        <v/>
      </c>
      <c r="U17" s="7">
        <f>IF(T17=100,S17,"")</f>
        <v/>
      </c>
      <c r="V17" s="7">
        <f>S17</f>
        <v/>
      </c>
      <c r="W17" s="7">
        <f>S17+(100-T17)</f>
        <v/>
      </c>
      <c r="X17" s="3" t="inlineStr">
        <is>
          <t>[]</t>
        </is>
      </c>
      <c r="Y17" s="3" t="inlineStr">
        <is>
          <t>["seo_runs/jeminise.com/20260906_234129/qa/20260909_043000/images/033_04.jpg", "https://jeminise.com/products/cow-with-landscape-patchwork-quilt-animal-farmhouse-printed-quilt-set", "https://cdn.shopify.com/s/files/1/0792/5098/1063/files/1bbca18f85bad17a4319e22b1226d6662eb2bab7b67726b2423904e5d0e36838.jpg?v=1787233735"]</t>
        </is>
      </c>
    </row>
    <row r="18" ht="66" customHeight="1">
      <c r="A18" s="2" t="inlineStr">
        <is>
          <t>jeminise.com+cow-with-landscape-patchwork-quilt-animal-farmhouse-printed-quilt-set</t>
        </is>
      </c>
      <c r="B18" s="2" t="inlineStr">
        <is>
          <t>qaimg_d89aaedc5fe19b95</t>
        </is>
      </c>
      <c r="C18" s="4" t="inlineStr">
        <is>
          <t>https://cdn.shopify.com/s/files/1/0792/5098/1063/files/32dcd15df2916d5b1b8d8d68f2f607c4714e8c2431775c9aca2dfd45240abd6f.jpg?v=1787233735</t>
        </is>
      </c>
      <c r="D18" s="4" t="inlineStr">
        <is>
          <t>https://cdn.shopify.com/s/files/1/0792/5098/1063/files/32dcd15df2916d5b1b8d8d68f2f607c4714e8c2431775c9aca2dfd45240abd6f.jpg?v=1787233735</t>
        </is>
      </c>
      <c r="E18" s="2" t="inlineStr">
        <is>
          <t>47933468213447</t>
        </is>
      </c>
      <c r="F18" s="2" t="inlineStr">
        <is>
          <t>47933468213447</t>
        </is>
      </c>
      <c r="G18" s="2" t="inlineStr"/>
      <c r="H18" s="2" t="inlineStr">
        <is>
          <t>GALLERY</t>
        </is>
      </c>
      <c r="I18" s="2" t="inlineStr">
        <is>
          <t>DIRECT_IMAGE_VERIFICATION + R5_AUDIT</t>
        </is>
      </c>
      <c r="J18" s="2" t="inlineStr">
        <is>
          <t>2026-09-09T04:29:28.436834+07:00</t>
        </is>
      </c>
      <c r="K18" s="2" t="inlineStr">
        <is>
          <t>Premium quilt set size chart with cow sunflower artwork and quilt dimensions.</t>
        </is>
      </c>
      <c r="L18" s="2" t="inlineStr">
        <is>
          <t>Premium quilt set size chart with cow sunflower artwork and quilt dimensions.</t>
        </is>
      </c>
      <c r="M18" s="2" t="inlineStr">
        <is>
          <t>SET</t>
        </is>
      </c>
      <c r="N18" s="2" t="inlineStr">
        <is>
          <t>Cow sunflower farmhouse quilt size chart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5">
        <f>IF(O18="FULL",40,IF(O18="PARTIAL",40/2,0))+IF(P18="FULL",30,IF(P18="PARTIAL",30/2,0))+IF(Q18="FULL",20,IF(Q18="PARTIAL",20/2,0))+IF(R18="FULL",10,IF(R18="PARTIAL",10/2,0))</f>
        <v/>
      </c>
      <c r="T18" s="5">
        <f>IF(O18="NOT_CHECKED",0,40)+IF(P18="NOT_CHECKED",0,30)+IF(Q18="NOT_CHECKED",0,20)+IF(R18="NOT_CHECKED",0,10)</f>
        <v/>
      </c>
      <c r="U18" s="5">
        <f>IF(T18=100,S18,"")</f>
        <v/>
      </c>
      <c r="V18" s="5">
        <f>S18</f>
        <v/>
      </c>
      <c r="W18" s="5">
        <f>S18+(100-T18)</f>
        <v/>
      </c>
      <c r="X18" s="2" t="inlineStr">
        <is>
          <t>[]</t>
        </is>
      </c>
      <c r="Y18" s="2" t="inlineStr">
        <is>
          <t>["seo_runs/jeminise.com/20260906_234129/qa/20260909_043000/images/033_05.jpg", "https://jeminise.com/products/cow-with-landscape-patchwork-quilt-animal-farmhouse-printed-quilt-set", "https://cdn.shopify.com/s/files/1/0792/5098/1063/files/32dcd15df2916d5b1b8d8d68f2f607c4714e8c2431775c9aca2dfd45240abd6f.jpg?v=1787233735"]</t>
        </is>
      </c>
    </row>
    <row r="19" ht="66" customHeight="1">
      <c r="A19" s="3" t="inlineStr">
        <is>
          <t>jeminise.com+cow-with-landscape-patchwork-quilt-animal-farmhouse-printed-quilt-set</t>
        </is>
      </c>
      <c r="B19" s="3" t="inlineStr">
        <is>
          <t>qaimg_401d386d66bc64b7</t>
        </is>
      </c>
      <c r="C19" s="4" t="inlineStr">
        <is>
          <t>https://cdn.shopify.com/s/files/1/0792/5098/1063/files/dc70b03e88939e50ced310aa559c8361dac40ba03af7d4e5a16ecc0308756e3b.jpg?v=1787233735</t>
        </is>
      </c>
      <c r="D19" s="4" t="inlineStr">
        <is>
          <t>https://cdn.shopify.com/s/files/1/0792/5098/1063/files/dc70b03e88939e50ced310aa559c8361dac40ba03af7d4e5a16ecc0308756e3b.jpg?v=1787233735</t>
        </is>
      </c>
      <c r="E19" s="3" t="inlineStr">
        <is>
          <t>47933468246215</t>
        </is>
      </c>
      <c r="F19" s="3" t="inlineStr">
        <is>
          <t>47933468246215</t>
        </is>
      </c>
      <c r="G19" s="3" t="inlineStr"/>
      <c r="H19" s="3" t="inlineStr">
        <is>
          <t>GALLERY</t>
        </is>
      </c>
      <c r="I19" s="3" t="inlineStr">
        <is>
          <t>DIRECT_IMAGE_VERIFICATION + R5_AUDIT</t>
        </is>
      </c>
      <c r="J19" s="3" t="inlineStr">
        <is>
          <t>2026-09-09T04:29:28.436834+07:00</t>
        </is>
      </c>
      <c r="K19" s="3" t="inlineStr">
        <is>
          <t>Bedspread features panel showing microfiber layers and care-resistance icons.</t>
        </is>
      </c>
      <c r="L19" s="3" t="inlineStr">
        <is>
          <t>Bedspread features panel showing microfiber layers and care-resistance icons.</t>
        </is>
      </c>
      <c r="M19" s="3" t="inlineStr">
        <is>
          <t>SET</t>
        </is>
      </c>
      <c r="N19" s="3" t="inlineStr">
        <is>
          <t>Cow sunflower quilt bedspread features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FULL</t>
        </is>
      </c>
      <c r="S19" s="7">
        <f>IF(O19="FULL",40,IF(O19="PARTIAL",40/2,0))+IF(P19="FULL",30,IF(P19="PARTIAL",30/2,0))+IF(Q19="FULL",20,IF(Q19="PARTIAL",20/2,0))+IF(R19="FULL",10,IF(R19="PARTIAL",10/2,0))</f>
        <v/>
      </c>
      <c r="T19" s="7">
        <f>IF(O19="NOT_CHECKED",0,40)+IF(P19="NOT_CHECKED",0,30)+IF(Q19="NOT_CHECKED",0,20)+IF(R19="NOT_CHECKED",0,10)</f>
        <v/>
      </c>
      <c r="U19" s="7">
        <f>IF(T19=100,S19,"")</f>
        <v/>
      </c>
      <c r="V19" s="7">
        <f>S19</f>
        <v/>
      </c>
      <c r="W19" s="7">
        <f>S19+(100-T19)</f>
        <v/>
      </c>
      <c r="X19" s="3" t="inlineStr">
        <is>
          <t>[]</t>
        </is>
      </c>
      <c r="Y19" s="3" t="inlineStr">
        <is>
          <t>["seo_runs/jeminise.com/20260906_234129/qa/20260909_043000/images/033_06.jpg", "https://jeminise.com/products/cow-with-landscape-patchwork-quilt-animal-farmhouse-printed-quilt-set", "https://cdn.shopify.com/s/files/1/0792/5098/1063/files/dc70b03e88939e50ced310aa559c8361dac40ba03af7d4e5a16ecc0308756e3b.jpg?v=1787233735"]</t>
        </is>
      </c>
    </row>
    <row r="20" ht="66" customHeight="1">
      <c r="A20" s="2" t="inlineStr">
        <is>
          <t>jeminise.com+cow-with-landscape-patchwork-quilt-animal-farmhouse-printed-quilt-set</t>
        </is>
      </c>
      <c r="B20" s="2" t="inlineStr">
        <is>
          <t>qaimg_52a1c175796aecee</t>
        </is>
      </c>
      <c r="C20" s="4" t="inlineStr">
        <is>
          <t>https://cdn.shopify.com/s/files/1/0792/5098/1063/files/c37475656bf98ea019e9e9887fa4be4c65af24e59e440b0e459561c573680aa0.jpg?v=1787233735</t>
        </is>
      </c>
      <c r="D20" s="4" t="inlineStr">
        <is>
          <t>https://cdn.shopify.com/s/files/1/0792/5098/1063/files/c37475656bf98ea019e9e9887fa4be4c65af24e59e440b0e459561c573680aa0.jpg?v=1787233735</t>
        </is>
      </c>
      <c r="E20" s="2" t="inlineStr">
        <is>
          <t>47933468278983</t>
        </is>
      </c>
      <c r="F20" s="2" t="inlineStr">
        <is>
          <t>47933468278983</t>
        </is>
      </c>
      <c r="G20" s="2" t="inlineStr"/>
      <c r="H20" s="2" t="inlineStr">
        <is>
          <t>GALLERY</t>
        </is>
      </c>
      <c r="I20" s="2" t="inlineStr">
        <is>
          <t>DIRECT_IMAGE_VERIFICATION + R5_AUDIT</t>
        </is>
      </c>
      <c r="J20" s="2" t="inlineStr">
        <is>
          <t>2026-09-09T04:29:28.436834+07:00</t>
        </is>
      </c>
      <c r="K20" s="2" t="inlineStr">
        <is>
          <t>Overhead bedroom mockup showing cow sunflower quilt with matching pillows.</t>
        </is>
      </c>
      <c r="L20" s="2" t="inlineStr">
        <is>
          <t>Overhead bedroom mockup showing cow sunflower quilt with matching pillows.</t>
        </is>
      </c>
      <c r="M20" s="2" t="inlineStr">
        <is>
          <t>SET</t>
        </is>
      </c>
      <c r="N20" s="2" t="inlineStr">
        <is>
          <t>Cow sunflower quilt overhead bedroom view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5">
        <f>IF(O20="FULL",40,IF(O20="PARTIAL",40/2,0))+IF(P20="FULL",30,IF(P20="PARTIAL",30/2,0))+IF(Q20="FULL",20,IF(Q20="PARTIAL",20/2,0))+IF(R20="FULL",10,IF(R20="PARTIAL",10/2,0))</f>
        <v/>
      </c>
      <c r="T20" s="5">
        <f>IF(O20="NOT_CHECKED",0,40)+IF(P20="NOT_CHECKED",0,30)+IF(Q20="NOT_CHECKED",0,20)+IF(R20="NOT_CHECKED",0,10)</f>
        <v/>
      </c>
      <c r="U20" s="5">
        <f>IF(T20=100,S20,"")</f>
        <v/>
      </c>
      <c r="V20" s="5">
        <f>S20</f>
        <v/>
      </c>
      <c r="W20" s="5">
        <f>S20+(100-T20)</f>
        <v/>
      </c>
      <c r="X20" s="2" t="inlineStr">
        <is>
          <t>[]</t>
        </is>
      </c>
      <c r="Y20" s="2" t="inlineStr">
        <is>
          <t>["seo_runs/jeminise.com/20260906_234129/qa/20260909_043000/images/033_07.jpg", "https://jeminise.com/products/cow-with-landscape-patchwork-quilt-animal-farmhouse-printed-quilt-set", "https://cdn.shopify.com/s/files/1/0792/5098/1063/files/c37475656bf98ea019e9e9887fa4be4c65af24e59e440b0e459561c573680aa0.jpg?v=1787233735"]</t>
        </is>
      </c>
    </row>
    <row r="21" ht="66" customHeight="1">
      <c r="A21" s="3" t="inlineStr">
        <is>
          <t>jeminise.com+crocodile-patchwork-printed-quilts-animal-patchwork-bedding</t>
        </is>
      </c>
      <c r="B21" s="3" t="inlineStr">
        <is>
          <t>qaimg_b81e16c8c13a96dc</t>
        </is>
      </c>
      <c r="C21" s="4" t="inlineStr">
        <is>
          <t>https://cdn.shopify.com/s/files/1/0792/5098/1063/files/3c7bf8f759fde9a601188dc9ea3bfb0f79f2706824b7f370fe34e30020f2a202.jpg?v=1787233713</t>
        </is>
      </c>
      <c r="D21" s="4" t="inlineStr">
        <is>
          <t>https://cdn.shopify.com/s/files/1/0792/5098/1063/files/3c7bf8f759fde9a601188dc9ea3bfb0f79f2706824b7f370fe34e30020f2a202.jpg?v=1787233713</t>
        </is>
      </c>
      <c r="E21" s="3" t="inlineStr">
        <is>
          <t>47933465428167</t>
        </is>
      </c>
      <c r="F21" s="3" t="inlineStr">
        <is>
          <t>47933465428167</t>
        </is>
      </c>
      <c r="G21" s="3" t="inlineStr"/>
      <c r="H21" s="3" t="inlineStr">
        <is>
          <t>GALLERY</t>
        </is>
      </c>
      <c r="I21" s="3" t="inlineStr">
        <is>
          <t>DIRECT_IMAGE_VERIFICATION + R5_AUDIT</t>
        </is>
      </c>
      <c r="J21" s="3" t="inlineStr">
        <is>
          <t>2026-09-09T04:29:28.436834+07:00</t>
        </is>
      </c>
      <c r="K21" s="3" t="inlineStr">
        <is>
          <t>Crocodile patchwork quilt bed mockup with colorful crocodile, white background, flowers and matching pillow shams.</t>
        </is>
      </c>
      <c r="L21" s="3" t="inlineStr">
        <is>
          <t>Crocodile patchwork quilt bed mockup with colorful crocodile, white background, flowers and matching pillow shams.</t>
        </is>
      </c>
      <c r="M21" s="3" t="inlineStr">
        <is>
          <t>SET</t>
        </is>
      </c>
      <c r="N21" s="3" t="inlineStr">
        <is>
          <t>Crocodile patchwork animal quilt set on bed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FULL</t>
        </is>
      </c>
      <c r="S21" s="7">
        <f>IF(O21="FULL",40,IF(O21="PARTIAL",40/2,0))+IF(P21="FULL",30,IF(P21="PARTIAL",30/2,0))+IF(Q21="FULL",20,IF(Q21="PARTIAL",20/2,0))+IF(R21="FULL",10,IF(R21="PARTIAL",10/2,0))</f>
        <v/>
      </c>
      <c r="T21" s="7">
        <f>IF(O21="NOT_CHECKED",0,40)+IF(P21="NOT_CHECKED",0,30)+IF(Q21="NOT_CHECKED",0,20)+IF(R21="NOT_CHECKED",0,10)</f>
        <v/>
      </c>
      <c r="U21" s="7">
        <f>IF(T21=100,S21,"")</f>
        <v/>
      </c>
      <c r="V21" s="7">
        <f>S21</f>
        <v/>
      </c>
      <c r="W21" s="7">
        <f>S21+(100-T21)</f>
        <v/>
      </c>
      <c r="X21" s="3" t="inlineStr">
        <is>
          <t>[]</t>
        </is>
      </c>
      <c r="Y21" s="3" t="inlineStr">
        <is>
          <t>["seo_runs/jeminise.com/20260906_234129/qa/20260909_043000/images/034_01.jpg", "https://jeminise.com/products/crocodile-patchwork-printed-quilts-animal-patchwork-bedding", "https://cdn.shopify.com/s/files/1/0792/5098/1063/files/3c7bf8f759fde9a601188dc9ea3bfb0f79f2706824b7f370fe34e30020f2a202.jpg?v=1787233713"]</t>
        </is>
      </c>
    </row>
    <row r="22" ht="66" customHeight="1">
      <c r="A22" s="2" t="inlineStr">
        <is>
          <t>jeminise.com+crocodile-patchwork-printed-quilts-animal-patchwork-bedding</t>
        </is>
      </c>
      <c r="B22" s="2" t="inlineStr">
        <is>
          <t>qaimg_cf9cff51e91374cb</t>
        </is>
      </c>
      <c r="C22" s="4" t="inlineStr">
        <is>
          <t>https://cdn.shopify.com/s/files/1/0792/5098/1063/files/45d1fdc812fc32fda9640edc194f4f3eb069b49c9bad423b59abfe172e4a5c89.jpg?v=1787233712</t>
        </is>
      </c>
      <c r="D22" s="4" t="inlineStr">
        <is>
          <t>https://cdn.shopify.com/s/files/1/0792/5098/1063/files/45d1fdc812fc32fda9640edc194f4f3eb069b49c9bad423b59abfe172e4a5c89.jpg?v=1787233712</t>
        </is>
      </c>
      <c r="E22" s="2" t="inlineStr">
        <is>
          <t>47933465460935</t>
        </is>
      </c>
      <c r="F22" s="2" t="inlineStr">
        <is>
          <t>47933465460935</t>
        </is>
      </c>
      <c r="G22" s="2" t="inlineStr"/>
      <c r="H22" s="2" t="inlineStr">
        <is>
          <t>GALLERY</t>
        </is>
      </c>
      <c r="I22" s="2" t="inlineStr">
        <is>
          <t>DIRECT_IMAGE_VERIFICATION + R5_AUDIT</t>
        </is>
      </c>
      <c r="J22" s="2" t="inlineStr">
        <is>
          <t>2026-09-09T04:29:28.436834+07:00</t>
        </is>
      </c>
      <c r="K22" s="2" t="inlineStr">
        <is>
          <t>Bedroom mockup with crocodile patchwork quilt and premium printed craft callout.</t>
        </is>
      </c>
      <c r="L22" s="2" t="inlineStr">
        <is>
          <t>Bedroom mockup with crocodile patchwork quilt and premium printed craft callout.</t>
        </is>
      </c>
      <c r="M22" s="2" t="inlineStr">
        <is>
          <t>SET</t>
        </is>
      </c>
      <c r="N22" s="2" t="inlineStr">
        <is>
          <t>Crocodile patchwork quilt room mockup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5">
        <f>IF(O22="FULL",40,IF(O22="PARTIAL",40/2,0))+IF(P22="FULL",30,IF(P22="PARTIAL",30/2,0))+IF(Q22="FULL",20,IF(Q22="PARTIAL",20/2,0))+IF(R22="FULL",10,IF(R22="PARTIAL",10/2,0))</f>
        <v/>
      </c>
      <c r="T22" s="5">
        <f>IF(O22="NOT_CHECKED",0,40)+IF(P22="NOT_CHECKED",0,30)+IF(Q22="NOT_CHECKED",0,20)+IF(R22="NOT_CHECKED",0,10)</f>
        <v/>
      </c>
      <c r="U22" s="5">
        <f>IF(T22=100,S22,"")</f>
        <v/>
      </c>
      <c r="V22" s="5">
        <f>S22</f>
        <v/>
      </c>
      <c r="W22" s="5">
        <f>S22+(100-T22)</f>
        <v/>
      </c>
      <c r="X22" s="2" t="inlineStr">
        <is>
          <t>[]</t>
        </is>
      </c>
      <c r="Y22" s="2" t="inlineStr">
        <is>
          <t>["seo_runs/jeminise.com/20260906_234129/qa/20260909_043000/images/034_02.jpg", "https://jeminise.com/products/crocodile-patchwork-printed-quilts-animal-patchwork-bedding", "https://cdn.shopify.com/s/files/1/0792/5098/1063/files/45d1fdc812fc32fda9640edc194f4f3eb069b49c9bad423b59abfe172e4a5c89.jpg?v=1787233712"]</t>
        </is>
      </c>
    </row>
    <row r="23" ht="66" customHeight="1">
      <c r="A23" s="3" t="inlineStr">
        <is>
          <t>jeminise.com+crocodile-patchwork-printed-quilts-animal-patchwork-bedding</t>
        </is>
      </c>
      <c r="B23" s="3" t="inlineStr">
        <is>
          <t>qaimg_ceb79bff2b6d2ab5</t>
        </is>
      </c>
      <c r="C23" s="4" t="inlineStr">
        <is>
          <t>https://cdn.shopify.com/s/files/1/0792/5098/1063/files/3a2053c767418069e7798a6396238963761e34d481d46bd9d676cc7a722ce425.jpg?v=1787233713</t>
        </is>
      </c>
      <c r="D23" s="4" t="inlineStr">
        <is>
          <t>https://cdn.shopify.com/s/files/1/0792/5098/1063/files/3a2053c767418069e7798a6396238963761e34d481d46bd9d676cc7a722ce425.jpg?v=1787233713</t>
        </is>
      </c>
      <c r="E23" s="3" t="inlineStr">
        <is>
          <t>47933465493703</t>
        </is>
      </c>
      <c r="F23" s="3" t="inlineStr">
        <is>
          <t>47933465493703</t>
        </is>
      </c>
      <c r="G23" s="3" t="inlineStr"/>
      <c r="H23" s="3" t="inlineStr">
        <is>
          <t>GALLERY</t>
        </is>
      </c>
      <c r="I23" s="3" t="inlineStr">
        <is>
          <t>DIRECT_IMAGE_VERIFICATION + R5_AUDIT</t>
        </is>
      </c>
      <c r="J23" s="3" t="inlineStr">
        <is>
          <t>2026-09-09T04:29:28.436834+07:00</t>
        </is>
      </c>
      <c r="K23" s="3" t="inlineStr">
        <is>
          <t>Optional pillow shams panel showing matching crocodile patchwork pillow artwork.</t>
        </is>
      </c>
      <c r="L23" s="3" t="inlineStr">
        <is>
          <t>Optional pillow shams panel showing matching crocodile patchwork pillow artwork.</t>
        </is>
      </c>
      <c r="M23" s="3" t="inlineStr">
        <is>
          <t>SET</t>
        </is>
      </c>
      <c r="N23" s="3" t="inlineStr">
        <is>
          <t>Crocodile patchwork quilt optional pillow shams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7">
        <f>IF(O23="FULL",40,IF(O23="PARTIAL",40/2,0))+IF(P23="FULL",30,IF(P23="PARTIAL",30/2,0))+IF(Q23="FULL",20,IF(Q23="PARTIAL",20/2,0))+IF(R23="FULL",10,IF(R23="PARTIAL",10/2,0))</f>
        <v/>
      </c>
      <c r="T23" s="7">
        <f>IF(O23="NOT_CHECKED",0,40)+IF(P23="NOT_CHECKED",0,30)+IF(Q23="NOT_CHECKED",0,20)+IF(R23="NOT_CHECKED",0,10)</f>
        <v/>
      </c>
      <c r="U23" s="7">
        <f>IF(T23=100,S23,"")</f>
        <v/>
      </c>
      <c r="V23" s="7">
        <f>S23</f>
        <v/>
      </c>
      <c r="W23" s="7">
        <f>S23+(100-T23)</f>
        <v/>
      </c>
      <c r="X23" s="3" t="inlineStr">
        <is>
          <t>[]</t>
        </is>
      </c>
      <c r="Y23" s="3" t="inlineStr">
        <is>
          <t>["seo_runs/jeminise.com/20260906_234129/qa/20260909_043000/images/034_03.jpg", "https://jeminise.com/products/crocodile-patchwork-printed-quilts-animal-patchwork-bedding", "https://cdn.shopify.com/s/files/1/0792/5098/1063/files/3a2053c767418069e7798a6396238963761e34d481d46bd9d676cc7a722ce425.jpg?v=1787233713"]</t>
        </is>
      </c>
    </row>
    <row r="24" ht="66" customHeight="1">
      <c r="A24" s="2" t="inlineStr">
        <is>
          <t>jeminise.com+crocodile-patchwork-printed-quilts-animal-patchwork-bedding</t>
        </is>
      </c>
      <c r="B24" s="2" t="inlineStr">
        <is>
          <t>qaimg_8f34bdc13c168cda</t>
        </is>
      </c>
      <c r="C24" s="4" t="inlineStr">
        <is>
          <t>https://cdn.shopify.com/s/files/1/0792/5098/1063/files/ca1530c052c368c7b33901d9e2fd47aa2d3c8729c2b6a8e94b515887302df3a0.jpg?v=1787233712</t>
        </is>
      </c>
      <c r="D24" s="4" t="inlineStr">
        <is>
          <t>https://cdn.shopify.com/s/files/1/0792/5098/1063/files/ca1530c052c368c7b33901d9e2fd47aa2d3c8729c2b6a8e94b515887302df3a0.jpg?v=1787233712</t>
        </is>
      </c>
      <c r="E24" s="2" t="inlineStr">
        <is>
          <t>47933465526471</t>
        </is>
      </c>
      <c r="F24" s="2" t="inlineStr">
        <is>
          <t>47933465526471</t>
        </is>
      </c>
      <c r="G24" s="2" t="inlineStr"/>
      <c r="H24" s="2" t="inlineStr">
        <is>
          <t>GALLERY</t>
        </is>
      </c>
      <c r="I24" s="2" t="inlineStr">
        <is>
          <t>DIRECT_IMAGE_VERIFICATION + R5_AUDIT</t>
        </is>
      </c>
      <c r="J24" s="2" t="inlineStr">
        <is>
          <t>2026-09-09T04:29:28.436834+07:00</t>
        </is>
      </c>
      <c r="K24" s="2" t="inlineStr">
        <is>
          <t>Fabric panel showing crocodile quilt layers and soft breathable skin-friendly fabric callout.</t>
        </is>
      </c>
      <c r="L24" s="2" t="inlineStr">
        <is>
          <t>Fabric panel showing crocodile quilt layers and soft breathable skin-friendly fabric callout.</t>
        </is>
      </c>
      <c r="M24" s="2" t="inlineStr">
        <is>
          <t>SET</t>
        </is>
      </c>
      <c r="N24" s="2" t="inlineStr">
        <is>
          <t>Crocodile patchwork quilt fabric feature panel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5">
        <f>IF(O24="FULL",40,IF(O24="PARTIAL",40/2,0))+IF(P24="FULL",30,IF(P24="PARTIAL",30/2,0))+IF(Q24="FULL",20,IF(Q24="PARTIAL",20/2,0))+IF(R24="FULL",10,IF(R24="PARTIAL",10/2,0))</f>
        <v/>
      </c>
      <c r="T24" s="5">
        <f>IF(O24="NOT_CHECKED",0,40)+IF(P24="NOT_CHECKED",0,30)+IF(Q24="NOT_CHECKED",0,20)+IF(R24="NOT_CHECKED",0,10)</f>
        <v/>
      </c>
      <c r="U24" s="5">
        <f>IF(T24=100,S24,"")</f>
        <v/>
      </c>
      <c r="V24" s="5">
        <f>S24</f>
        <v/>
      </c>
      <c r="W24" s="5">
        <f>S24+(100-T24)</f>
        <v/>
      </c>
      <c r="X24" s="2" t="inlineStr">
        <is>
          <t>[]</t>
        </is>
      </c>
      <c r="Y24" s="2" t="inlineStr">
        <is>
          <t>["seo_runs/jeminise.com/20260906_234129/qa/20260909_043000/images/034_04.jpg", "https://jeminise.com/products/crocodile-patchwork-printed-quilts-animal-patchwork-bedding", "https://cdn.shopify.com/s/files/1/0792/5098/1063/files/ca1530c052c368c7b33901d9e2fd47aa2d3c8729c2b6a8e94b515887302df3a0.jpg?v=1787233712"]</t>
        </is>
      </c>
    </row>
    <row r="25" ht="66" customHeight="1">
      <c r="A25" s="3" t="inlineStr">
        <is>
          <t>jeminise.com+crocodile-patchwork-printed-quilts-animal-patchwork-bedding</t>
        </is>
      </c>
      <c r="B25" s="3" t="inlineStr">
        <is>
          <t>qaimg_9ccb991be2a3859a</t>
        </is>
      </c>
      <c r="C25" s="4" t="inlineStr">
        <is>
          <t>https://cdn.shopify.com/s/files/1/0792/5098/1063/files/1fa8058540449ec4eb68c35fe7ec37e0856cc71fc7a5029d3951ed6945165bfc.jpg?v=1787233713</t>
        </is>
      </c>
      <c r="D25" s="4" t="inlineStr">
        <is>
          <t>https://cdn.shopify.com/s/files/1/0792/5098/1063/files/1fa8058540449ec4eb68c35fe7ec37e0856cc71fc7a5029d3951ed6945165bfc.jpg?v=1787233713</t>
        </is>
      </c>
      <c r="E25" s="3" t="inlineStr">
        <is>
          <t>47933465559239</t>
        </is>
      </c>
      <c r="F25" s="3" t="inlineStr">
        <is>
          <t>47933465559239</t>
        </is>
      </c>
      <c r="G25" s="3" t="inlineStr"/>
      <c r="H25" s="3" t="inlineStr">
        <is>
          <t>GALLERY</t>
        </is>
      </c>
      <c r="I25" s="3" t="inlineStr">
        <is>
          <t>DIRECT_IMAGE_VERIFICATION + R5_AUDIT</t>
        </is>
      </c>
      <c r="J25" s="3" t="inlineStr">
        <is>
          <t>2026-09-09T04:29:28.436834+07:00</t>
        </is>
      </c>
      <c r="K25" s="3" t="inlineStr">
        <is>
          <t>Premium quilt set size chart with crocodile artwork and quilt dimensions.</t>
        </is>
      </c>
      <c r="L25" s="3" t="inlineStr">
        <is>
          <t>Premium quilt set size chart with crocodile artwork and quilt dimensions.</t>
        </is>
      </c>
      <c r="M25" s="3" t="inlineStr">
        <is>
          <t>SET</t>
        </is>
      </c>
      <c r="N25" s="3" t="inlineStr">
        <is>
          <t>Crocodile patchwork quilt size chart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7">
        <f>IF(O25="FULL",40,IF(O25="PARTIAL",40/2,0))+IF(P25="FULL",30,IF(P25="PARTIAL",30/2,0))+IF(Q25="FULL",20,IF(Q25="PARTIAL",20/2,0))+IF(R25="FULL",10,IF(R25="PARTIAL",10/2,0))</f>
        <v/>
      </c>
      <c r="T25" s="7">
        <f>IF(O25="NOT_CHECKED",0,40)+IF(P25="NOT_CHECKED",0,30)+IF(Q25="NOT_CHECKED",0,20)+IF(R25="NOT_CHECKED",0,10)</f>
        <v/>
      </c>
      <c r="U25" s="7">
        <f>IF(T25=100,S25,"")</f>
        <v/>
      </c>
      <c r="V25" s="7">
        <f>S25</f>
        <v/>
      </c>
      <c r="W25" s="7">
        <f>S25+(100-T25)</f>
        <v/>
      </c>
      <c r="X25" s="3" t="inlineStr">
        <is>
          <t>[]</t>
        </is>
      </c>
      <c r="Y25" s="3" t="inlineStr">
        <is>
          <t>["seo_runs/jeminise.com/20260906_234129/qa/20260909_043000/images/034_05.jpg", "https://jeminise.com/products/crocodile-patchwork-printed-quilts-animal-patchwork-bedding", "https://cdn.shopify.com/s/files/1/0792/5098/1063/files/1fa8058540449ec4eb68c35fe7ec37e0856cc71fc7a5029d3951ed6945165bfc.jpg?v=1787233713"]</t>
        </is>
      </c>
    </row>
    <row r="26" ht="66" customHeight="1">
      <c r="A26" s="2" t="inlineStr">
        <is>
          <t>jeminise.com+crocodile-patchwork-printed-quilts-animal-patchwork-bedding</t>
        </is>
      </c>
      <c r="B26" s="2" t="inlineStr">
        <is>
          <t>qaimg_48c3818edf46b065</t>
        </is>
      </c>
      <c r="C26" s="4" t="inlineStr">
        <is>
          <t>https://cdn.shopify.com/s/files/1/0792/5098/1063/files/71e21ed6c41ef40003dcc207eada8ae5687d7cdc52c7c96941fafe821b96cf71.jpg?v=1787233712</t>
        </is>
      </c>
      <c r="D26" s="4" t="inlineStr">
        <is>
          <t>https://cdn.shopify.com/s/files/1/0792/5098/1063/files/71e21ed6c41ef40003dcc207eada8ae5687d7cdc52c7c96941fafe821b96cf71.jpg?v=1787233712</t>
        </is>
      </c>
      <c r="E26" s="2" t="inlineStr">
        <is>
          <t>47933465592007</t>
        </is>
      </c>
      <c r="F26" s="2" t="inlineStr">
        <is>
          <t>47933465592007</t>
        </is>
      </c>
      <c r="G26" s="2" t="inlineStr"/>
      <c r="H26" s="2" t="inlineStr">
        <is>
          <t>GALLERY</t>
        </is>
      </c>
      <c r="I26" s="2" t="inlineStr">
        <is>
          <t>DIRECT_IMAGE_VERIFICATION + R5_AUDIT</t>
        </is>
      </c>
      <c r="J26" s="2" t="inlineStr">
        <is>
          <t>2026-09-09T04:29:28.436834+07:00</t>
        </is>
      </c>
      <c r="K26" s="2" t="inlineStr">
        <is>
          <t>Bedspread features panel showing microfiber layers and care-resistance icons.</t>
        </is>
      </c>
      <c r="L26" s="2" t="inlineStr">
        <is>
          <t>Bedspread features panel showing microfiber layers and care-resistance icons.</t>
        </is>
      </c>
      <c r="M26" s="2" t="inlineStr">
        <is>
          <t>SET</t>
        </is>
      </c>
      <c r="N26" s="2" t="inlineStr">
        <is>
          <t>Crocodile patchwork quilt bedspread features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5">
        <f>IF(O26="FULL",40,IF(O26="PARTIAL",40/2,0))+IF(P26="FULL",30,IF(P26="PARTIAL",30/2,0))+IF(Q26="FULL",20,IF(Q26="PARTIAL",20/2,0))+IF(R26="FULL",10,IF(R26="PARTIAL",10/2,0))</f>
        <v/>
      </c>
      <c r="T26" s="5">
        <f>IF(O26="NOT_CHECKED",0,40)+IF(P26="NOT_CHECKED",0,30)+IF(Q26="NOT_CHECKED",0,20)+IF(R26="NOT_CHECKED",0,10)</f>
        <v/>
      </c>
      <c r="U26" s="5">
        <f>IF(T26=100,S26,"")</f>
        <v/>
      </c>
      <c r="V26" s="5">
        <f>S26</f>
        <v/>
      </c>
      <c r="W26" s="5">
        <f>S26+(100-T26)</f>
        <v/>
      </c>
      <c r="X26" s="2" t="inlineStr">
        <is>
          <t>[]</t>
        </is>
      </c>
      <c r="Y26" s="2" t="inlineStr">
        <is>
          <t>["seo_runs/jeminise.com/20260906_234129/qa/20260909_043000/images/034_06.jpg", "https://jeminise.com/products/crocodile-patchwork-printed-quilts-animal-patchwork-bedding", "https://cdn.shopify.com/s/files/1/0792/5098/1063/files/71e21ed6c41ef40003dcc207eada8ae5687d7cdc52c7c96941fafe821b96cf71.jpg?v=1787233712"]</t>
        </is>
      </c>
    </row>
    <row r="27" ht="66" customHeight="1">
      <c r="A27" s="3" t="inlineStr">
        <is>
          <t>jeminise.com+crocodile-patchwork-printed-quilts-animal-patchwork-bedding</t>
        </is>
      </c>
      <c r="B27" s="3" t="inlineStr">
        <is>
          <t>qaimg_4e33dafc514aa39a</t>
        </is>
      </c>
      <c r="C27" s="4" t="inlineStr">
        <is>
          <t>https://cdn.shopify.com/s/files/1/0792/5098/1063/files/2e61c65733910ced1b3279c5c08d3d803cc79f9b416df50e273ff128a85b4f69.jpg?v=1787233712</t>
        </is>
      </c>
      <c r="D27" s="4" t="inlineStr">
        <is>
          <t>https://cdn.shopify.com/s/files/1/0792/5098/1063/files/2e61c65733910ced1b3279c5c08d3d803cc79f9b416df50e273ff128a85b4f69.jpg?v=1787233712</t>
        </is>
      </c>
      <c r="E27" s="3" t="inlineStr">
        <is>
          <t>47933465624775</t>
        </is>
      </c>
      <c r="F27" s="3" t="inlineStr">
        <is>
          <t>47933465624775</t>
        </is>
      </c>
      <c r="G27" s="3" t="inlineStr"/>
      <c r="H27" s="3" t="inlineStr">
        <is>
          <t>GALLERY</t>
        </is>
      </c>
      <c r="I27" s="3" t="inlineStr">
        <is>
          <t>DIRECT_IMAGE_VERIFICATION + R5_AUDIT</t>
        </is>
      </c>
      <c r="J27" s="3" t="inlineStr">
        <is>
          <t>2026-09-09T04:29:28.436834+07:00</t>
        </is>
      </c>
      <c r="K27" s="3" t="inlineStr">
        <is>
          <t>Overhead bedroom mockup showing crocodile patchwork quilt with matching pillows.</t>
        </is>
      </c>
      <c r="L27" s="3" t="inlineStr">
        <is>
          <t>Overhead bedroom mockup showing crocodile patchwork quilt with matching pillows.</t>
        </is>
      </c>
      <c r="M27" s="3" t="inlineStr">
        <is>
          <t>SET</t>
        </is>
      </c>
      <c r="N27" s="3" t="inlineStr">
        <is>
          <t>Crocodile patchwork quilt overhead bedroom view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3" t="inlineStr">
        <is>
          <t>FULL</t>
        </is>
      </c>
      <c r="S27" s="7">
        <f>IF(O27="FULL",40,IF(O27="PARTIAL",40/2,0))+IF(P27="FULL",30,IF(P27="PARTIAL",30/2,0))+IF(Q27="FULL",20,IF(Q27="PARTIAL",20/2,0))+IF(R27="FULL",10,IF(R27="PARTIAL",10/2,0))</f>
        <v/>
      </c>
      <c r="T27" s="7">
        <f>IF(O27="NOT_CHECKED",0,40)+IF(P27="NOT_CHECKED",0,30)+IF(Q27="NOT_CHECKED",0,20)+IF(R27="NOT_CHECKED",0,10)</f>
        <v/>
      </c>
      <c r="U27" s="7">
        <f>IF(T27=100,S27,"")</f>
        <v/>
      </c>
      <c r="V27" s="7">
        <f>S27</f>
        <v/>
      </c>
      <c r="W27" s="7">
        <f>S27+(100-T27)</f>
        <v/>
      </c>
      <c r="X27" s="3" t="inlineStr">
        <is>
          <t>[]</t>
        </is>
      </c>
      <c r="Y27" s="3" t="inlineStr">
        <is>
          <t>["seo_runs/jeminise.com/20260906_234129/qa/20260909_043000/images/034_07.jpg", "https://jeminise.com/products/crocodile-patchwork-printed-quilts-animal-patchwork-bedding", "https://cdn.shopify.com/s/files/1/0792/5098/1063/files/2e61c65733910ced1b3279c5c08d3d803cc79f9b416df50e273ff128a85b4f69.jpg?v=1787233712"]</t>
        </is>
      </c>
    </row>
    <row r="28" ht="66" customHeight="1">
      <c r="A28" s="2" t="inlineStr">
        <is>
          <t>jeminise.com+custom-retro-football-art-bedding-set-c66211cf75-c66211cf75</t>
        </is>
      </c>
      <c r="B28" s="2" t="inlineStr">
        <is>
          <t>qaimg_e603dbf4cab95661</t>
        </is>
      </c>
      <c r="C28" s="4" t="inlineStr">
        <is>
          <t>https://cdn.shopify.com/s/files/1/0792/5098/1063/files/cd93064cff49abd094a4b54d4c8521f964011ef3177c132c9e7664b7ae385495.jpg?v=1785101924</t>
        </is>
      </c>
      <c r="D28" s="4" t="inlineStr">
        <is>
          <t>https://cdn.shopify.com/s/files/1/0792/5098/1063/files/cd93064cff49abd094a4b54d4c8521f964011ef3177c132c9e7664b7ae385495.jpg?v=1785101924</t>
        </is>
      </c>
      <c r="E28" s="2" t="inlineStr">
        <is>
          <t>47540306837703</t>
        </is>
      </c>
      <c r="F28" s="2" t="inlineStr">
        <is>
          <t>47540306837703</t>
        </is>
      </c>
      <c r="G28" s="2" t="inlineStr"/>
      <c r="H28" s="2" t="inlineStr">
        <is>
          <t>GALLERY</t>
        </is>
      </c>
      <c r="I28" s="2" t="inlineStr">
        <is>
          <t>DIRECT_IMAGE_VERIFICATION + R5_AUDIT</t>
        </is>
      </c>
      <c r="J28" s="2" t="inlineStr">
        <is>
          <t>2026-09-09T04:29:28.436834+07:00</t>
        </is>
      </c>
      <c r="K28" s="2" t="inlineStr">
        <is>
          <t>Retro football flag comforter bed mockup with Kevin sample name, number 15 and football close-up artwork.</t>
        </is>
      </c>
      <c r="L28" s="2" t="inlineStr">
        <is>
          <t>Retro football flag comforter bed mockup with Kevin sample name, number 15 and football close-up artwork.</t>
        </is>
      </c>
      <c r="M28" s="2" t="inlineStr">
        <is>
          <t>SET</t>
        </is>
      </c>
      <c r="N28" s="2" t="inlineStr">
        <is>
          <t>Personalized retro football flag comforter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5">
        <f>IF(O28="FULL",40,IF(O28="PARTIAL",40/2,0))+IF(P28="FULL",30,IF(P28="PARTIAL",30/2,0))+IF(Q28="FULL",20,IF(Q28="PARTIAL",20/2,0))+IF(R28="FULL",10,IF(R28="PARTIAL",10/2,0))</f>
        <v/>
      </c>
      <c r="T28" s="5">
        <f>IF(O28="NOT_CHECKED",0,40)+IF(P28="NOT_CHECKED",0,30)+IF(Q28="NOT_CHECKED",0,20)+IF(R28="NOT_CHECKED",0,10)</f>
        <v/>
      </c>
      <c r="U28" s="5">
        <f>IF(T28=100,S28,"")</f>
        <v/>
      </c>
      <c r="V28" s="5">
        <f>S28</f>
        <v/>
      </c>
      <c r="W28" s="5">
        <f>S28+(100-T28)</f>
        <v/>
      </c>
      <c r="X28" s="2" t="inlineStr">
        <is>
          <t>[]</t>
        </is>
      </c>
      <c r="Y28" s="2" t="inlineStr">
        <is>
          <t>["seo_runs/jeminise.com/20260906_234129/qa/20260909_043000/images/035_01.jpg", "https://jeminise.com/products/custom-retro-football-art-bedding-set-c66211cf75-c66211cf75", "https://cdn.shopify.com/s/files/1/0792/5098/1063/files/cd93064cff49abd094a4b54d4c8521f964011ef3177c132c9e7664b7ae385495.jpg?v=1785101924"]</t>
        </is>
      </c>
    </row>
    <row r="29" ht="66" customHeight="1">
      <c r="A29" s="3" t="inlineStr">
        <is>
          <t>jeminise.com+custom-retro-football-art-bedding-set-c66211cf75-c66211cf75</t>
        </is>
      </c>
      <c r="B29" s="3" t="inlineStr">
        <is>
          <t>qaimg_66c95d2fbc8f9bc7</t>
        </is>
      </c>
      <c r="C29" s="4" t="inlineStr">
        <is>
          <t>https://cdn.shopify.com/s/files/1/0792/5098/1063/files/384ec0bb85a1c394b826a8ce0cc726e412f6f9248512418013abccd1c39244e3.jpg?v=1785101924</t>
        </is>
      </c>
      <c r="D29" s="4" t="inlineStr">
        <is>
          <t>https://cdn.shopify.com/s/files/1/0792/5098/1063/files/384ec0bb85a1c394b826a8ce0cc726e412f6f9248512418013abccd1c39244e3.jpg?v=1785101924</t>
        </is>
      </c>
      <c r="E29" s="3" t="inlineStr">
        <is>
          <t>47540306870471</t>
        </is>
      </c>
      <c r="F29" s="3" t="inlineStr">
        <is>
          <t>47540306870471</t>
        </is>
      </c>
      <c r="G29" s="3" t="inlineStr"/>
      <c r="H29" s="3" t="inlineStr">
        <is>
          <t>GALLERY</t>
        </is>
      </c>
      <c r="I29" s="3" t="inlineStr">
        <is>
          <t>DIRECT_IMAGE_VERIFICATION + R5_AUDIT</t>
        </is>
      </c>
      <c r="J29" s="3" t="inlineStr">
        <is>
          <t>2026-09-09T04:29:28.436834+07:00</t>
        </is>
      </c>
      <c r="K29" s="3" t="inlineStr">
        <is>
          <t>Angled bedroom mockup showing Kevin sample name, number 15 pillowcases and football flag artwork.</t>
        </is>
      </c>
      <c r="L29" s="3" t="inlineStr">
        <is>
          <t>Angled bedroom mockup showing Kevin sample name, number 15 pillowcases and football flag artwork.</t>
        </is>
      </c>
      <c r="M29" s="3" t="inlineStr">
        <is>
          <t>SET</t>
        </is>
      </c>
      <c r="N29" s="3" t="inlineStr">
        <is>
          <t>Retro football flag comforter room mockup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7">
        <f>IF(O29="FULL",40,IF(O29="PARTIAL",40/2,0))+IF(P29="FULL",30,IF(P29="PARTIAL",30/2,0))+IF(Q29="FULL",20,IF(Q29="PARTIAL",20/2,0))+IF(R29="FULL",10,IF(R29="PARTIAL",10/2,0))</f>
        <v/>
      </c>
      <c r="T29" s="7">
        <f>IF(O29="NOT_CHECKED",0,40)+IF(P29="NOT_CHECKED",0,30)+IF(Q29="NOT_CHECKED",0,20)+IF(R29="NOT_CHECKED",0,10)</f>
        <v/>
      </c>
      <c r="U29" s="7">
        <f>IF(T29=100,S29,"")</f>
        <v/>
      </c>
      <c r="V29" s="7">
        <f>S29</f>
        <v/>
      </c>
      <c r="W29" s="7">
        <f>S29+(100-T29)</f>
        <v/>
      </c>
      <c r="X29" s="3" t="inlineStr">
        <is>
          <t>[]</t>
        </is>
      </c>
      <c r="Y29" s="3" t="inlineStr">
        <is>
          <t>["seo_runs/jeminise.com/20260906_234129/qa/20260909_043000/images/035_02.jpg", "https://jeminise.com/products/custom-retro-football-art-bedding-set-c66211cf75-c66211cf75", "https://cdn.shopify.com/s/files/1/0792/5098/1063/files/384ec0bb85a1c394b826a8ce0cc726e412f6f9248512418013abccd1c39244e3.jpg?v=1785101924"]</t>
        </is>
      </c>
    </row>
    <row r="30" ht="66" customHeight="1">
      <c r="A30" s="2" t="inlineStr">
        <is>
          <t>jeminise.com+custom-retro-football-art-bedding-set-c66211cf75-c66211cf75</t>
        </is>
      </c>
      <c r="B30" s="2" t="inlineStr">
        <is>
          <t>qaimg_0a99e05bcda79ee0</t>
        </is>
      </c>
      <c r="C30" s="4" t="inlineStr">
        <is>
          <t>https://cdn.shopify.com/s/files/1/0792/5098/1063/files/16f7293cbefa5743a35b2e6316a5a114e5c052d08151e367dafd26aa5e2e542b_1645c7b1-7dd0-4432-8f0e-842386b9a1b7.jpg?v=1785101924</t>
        </is>
      </c>
      <c r="D30" s="4" t="inlineStr">
        <is>
          <t>https://cdn.shopify.com/s/files/1/0792/5098/1063/files/16f7293cbefa5743a35b2e6316a5a114e5c052d08151e367dafd26aa5e2e542b_1645c7b1-7dd0-4432-8f0e-842386b9a1b7.jpg?v=1785101924</t>
        </is>
      </c>
      <c r="E30" s="2" t="inlineStr">
        <is>
          <t>47540306903239</t>
        </is>
      </c>
      <c r="F30" s="2" t="inlineStr">
        <is>
          <t>47540306903239</t>
        </is>
      </c>
      <c r="G30" s="2" t="inlineStr"/>
      <c r="H30" s="2" t="inlineStr">
        <is>
          <t>GALLERY</t>
        </is>
      </c>
      <c r="I30" s="2" t="inlineStr">
        <is>
          <t>DIRECT_IMAGE_VERIFICATION + R5_AUDIT</t>
        </is>
      </c>
      <c r="J30" s="2" t="inlineStr">
        <is>
          <t>2026-09-09T04:29:28.436834+07:00</t>
        </is>
      </c>
      <c r="K30" s="2" t="inlineStr">
        <is>
          <t>Product type comparison panel showing duvet cover set and comforter set options for all-season use.</t>
        </is>
      </c>
      <c r="L30" s="2" t="inlineStr">
        <is>
          <t>Product type comparison panel showing duvet cover set and comforter set options for all-season use.</t>
        </is>
      </c>
      <c r="M30" s="2" t="inlineStr">
        <is>
          <t>SET</t>
        </is>
      </c>
      <c r="N30" s="2" t="inlineStr">
        <is>
          <t>Retro football comforter bedding type options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5">
        <f>IF(O30="FULL",40,IF(O30="PARTIAL",40/2,0))+IF(P30="FULL",30,IF(P30="PARTIAL",30/2,0))+IF(Q30="FULL",20,IF(Q30="PARTIAL",20/2,0))+IF(R30="FULL",10,IF(R30="PARTIAL",10/2,0))</f>
        <v/>
      </c>
      <c r="T30" s="5">
        <f>IF(O30="NOT_CHECKED",0,40)+IF(P30="NOT_CHECKED",0,30)+IF(Q30="NOT_CHECKED",0,20)+IF(R30="NOT_CHECKED",0,10)</f>
        <v/>
      </c>
      <c r="U30" s="5">
        <f>IF(T30=100,S30,"")</f>
        <v/>
      </c>
      <c r="V30" s="5">
        <f>S30</f>
        <v/>
      </c>
      <c r="W30" s="5">
        <f>S30+(100-T30)</f>
        <v/>
      </c>
      <c r="X30" s="2" t="inlineStr">
        <is>
          <t>[]</t>
        </is>
      </c>
      <c r="Y30" s="2" t="inlineStr">
        <is>
          <t>["seo_runs/jeminise.com/20260906_234129/qa/20260909_043000/images/035_03.jpg", "https://jeminise.com/products/custom-retro-football-art-bedding-set-c66211cf75-c66211cf75", "https://cdn.shopify.com/s/files/1/0792/5098/1063/files/16f7293cbefa5743a35b2e6316a5a114e5c052d08151e367dafd26aa5e2e542b_1645c7b1-7dd0-4432-8f0e-842386b9a1b7.jpg?v=1785101924"]</t>
        </is>
      </c>
    </row>
    <row r="31" ht="66" customHeight="1">
      <c r="A31" s="3" t="inlineStr">
        <is>
          <t>jeminise.com+custom-retro-football-art-bedding-set-c66211cf75-c66211cf75</t>
        </is>
      </c>
      <c r="B31" s="3" t="inlineStr">
        <is>
          <t>qaimg_d02ae0d8ea1a2f0b</t>
        </is>
      </c>
      <c r="C31" s="4" t="inlineStr">
        <is>
          <t>https://cdn.shopify.com/s/files/1/0792/5098/1063/files/3e41b1b3613ae8424f256e83517163fa8317c8d737d739882986d6ecc0324617.jpg?v=1785101924</t>
        </is>
      </c>
      <c r="D31" s="4" t="inlineStr">
        <is>
          <t>https://cdn.shopify.com/s/files/1/0792/5098/1063/files/3e41b1b3613ae8424f256e83517163fa8317c8d737d739882986d6ecc0324617.jpg?v=1785101924</t>
        </is>
      </c>
      <c r="E31" s="3" t="inlineStr">
        <is>
          <t>47540306936007</t>
        </is>
      </c>
      <c r="F31" s="3" t="inlineStr">
        <is>
          <t>47540306936007</t>
        </is>
      </c>
      <c r="G31" s="3" t="inlineStr"/>
      <c r="H31" s="3" t="inlineStr">
        <is>
          <t>GALLERY</t>
        </is>
      </c>
      <c r="I31" s="3" t="inlineStr">
        <is>
          <t>DIRECT_IMAGE_VERIFICATION + R5_AUDIT</t>
        </is>
      </c>
      <c r="J31" s="3" t="inlineStr">
        <is>
          <t>2026-09-09T04:29:28.436834+07:00</t>
        </is>
      </c>
      <c r="K31" s="3" t="inlineStr">
        <is>
          <t>Close bedroom view of retro football flag comforter with soft, lightweight, durable and breathable icons.</t>
        </is>
      </c>
      <c r="L31" s="3" t="inlineStr">
        <is>
          <t>Close bedroom view of retro football flag comforter with soft, lightweight, durable and breathable icons.</t>
        </is>
      </c>
      <c r="M31" s="3" t="inlineStr">
        <is>
          <t>SET</t>
        </is>
      </c>
      <c r="N31" s="3" t="inlineStr">
        <is>
          <t>Retro football flag comforter feature icons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7">
        <f>IF(O31="FULL",40,IF(O31="PARTIAL",40/2,0))+IF(P31="FULL",30,IF(P31="PARTIAL",30/2,0))+IF(Q31="FULL",20,IF(Q31="PARTIAL",20/2,0))+IF(R31="FULL",10,IF(R31="PARTIAL",10/2,0))</f>
        <v/>
      </c>
      <c r="T31" s="7">
        <f>IF(O31="NOT_CHECKED",0,40)+IF(P31="NOT_CHECKED",0,30)+IF(Q31="NOT_CHECKED",0,20)+IF(R31="NOT_CHECKED",0,10)</f>
        <v/>
      </c>
      <c r="U31" s="7">
        <f>IF(T31=100,S31,"")</f>
        <v/>
      </c>
      <c r="V31" s="7">
        <f>S31</f>
        <v/>
      </c>
      <c r="W31" s="7">
        <f>S31+(100-T31)</f>
        <v/>
      </c>
      <c r="X31" s="3" t="inlineStr">
        <is>
          <t>[]</t>
        </is>
      </c>
      <c r="Y31" s="3" t="inlineStr">
        <is>
          <t>["seo_runs/jeminise.com/20260906_234129/qa/20260909_043000/images/035_04.jpg", "https://jeminise.com/products/custom-retro-football-art-bedding-set-c66211cf75-c66211cf75", "https://cdn.shopify.com/s/files/1/0792/5098/1063/files/3e41b1b3613ae8424f256e83517163fa8317c8d737d739882986d6ecc0324617.jpg?v=1785101924"]</t>
        </is>
      </c>
    </row>
    <row r="32" ht="66" customHeight="1">
      <c r="A32" s="2" t="inlineStr">
        <is>
          <t>jeminise.com+custom-retro-football-art-bedding-set-c66211cf75-c66211cf75</t>
        </is>
      </c>
      <c r="B32" s="2" t="inlineStr">
        <is>
          <t>qaimg_7739eb0ba236e5ef</t>
        </is>
      </c>
      <c r="C32" s="4" t="inlineStr">
        <is>
          <t>https://cdn.shopify.com/s/files/1/0792/5098/1063/files/7c006bddc94d4763c71c8376307e195c1bbce73b8c802ec73ac5a8cef1291262_a3fb9a4f-ebe5-48cb-aa4f-5ac39a8a9cdc.jpg?v=1785101924</t>
        </is>
      </c>
      <c r="D32" s="4" t="inlineStr">
        <is>
          <t>https://cdn.shopify.com/s/files/1/0792/5098/1063/files/7c006bddc94d4763c71c8376307e195c1bbce73b8c802ec73ac5a8cef1291262_a3fb9a4f-ebe5-48cb-aa4f-5ac39a8a9cdc.jpg?v=1785101924</t>
        </is>
      </c>
      <c r="E32" s="2" t="inlineStr">
        <is>
          <t>47540306968775</t>
        </is>
      </c>
      <c r="F32" s="2" t="inlineStr">
        <is>
          <t>47540306968775</t>
        </is>
      </c>
      <c r="G32" s="2" t="inlineStr"/>
      <c r="H32" s="2" t="inlineStr">
        <is>
          <t>GALLERY</t>
        </is>
      </c>
      <c r="I32" s="2" t="inlineStr">
        <is>
          <t>DIRECT_IMAGE_VERIFICATION + R5_AUDIT</t>
        </is>
      </c>
      <c r="J32" s="2" t="inlineStr">
        <is>
          <t>2026-09-09T04:29:28.436834+07:00</t>
        </is>
      </c>
      <c r="K32" s="2" t="inlineStr">
        <is>
          <t>Stress-free easy care panel listing wrinkle-free, stain-proof, anti-pilling and wash-fade notes.</t>
        </is>
      </c>
      <c r="L32" s="2" t="inlineStr">
        <is>
          <t>Stress-free easy care panel listing wrinkle-free, stain-proof, anti-pilling and wash-fade notes.</t>
        </is>
      </c>
      <c r="M32" s="2" t="inlineStr">
        <is>
          <t>SET</t>
        </is>
      </c>
      <c r="N32" s="2" t="inlineStr">
        <is>
          <t>Retro football comforter easy care panel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5">
        <f>IF(O32="FULL",40,IF(O32="PARTIAL",40/2,0))+IF(P32="FULL",30,IF(P32="PARTIAL",30/2,0))+IF(Q32="FULL",20,IF(Q32="PARTIAL",20/2,0))+IF(R32="FULL",10,IF(R32="PARTIAL",10/2,0))</f>
        <v/>
      </c>
      <c r="T32" s="5">
        <f>IF(O32="NOT_CHECKED",0,40)+IF(P32="NOT_CHECKED",0,30)+IF(Q32="NOT_CHECKED",0,20)+IF(R32="NOT_CHECKED",0,10)</f>
        <v/>
      </c>
      <c r="U32" s="5">
        <f>IF(T32=100,S32,"")</f>
        <v/>
      </c>
      <c r="V32" s="5">
        <f>S32</f>
        <v/>
      </c>
      <c r="W32" s="5">
        <f>S32+(100-T32)</f>
        <v/>
      </c>
      <c r="X32" s="2" t="inlineStr">
        <is>
          <t>[]</t>
        </is>
      </c>
      <c r="Y32" s="2" t="inlineStr">
        <is>
          <t>["seo_runs/jeminise.com/20260906_234129/qa/20260909_043000/images/035_05.jpg", "https://jeminise.com/products/custom-retro-football-art-bedding-set-c66211cf75-c66211cf75", "https://cdn.shopify.com/s/files/1/0792/5098/1063/files/7c006bddc94d4763c71c8376307e195c1bbce73b8c802ec73ac5a8cef1291262_a3fb9a4f-ebe5-48cb-aa4f-5ac39a8a9cdc.jpg?v=1785101924"]</t>
        </is>
      </c>
    </row>
    <row r="33" ht="66" customHeight="1">
      <c r="A33" s="3" t="inlineStr">
        <is>
          <t>jeminise.com+custom-retro-football-art-bedding-set-c66211cf75-c66211cf75</t>
        </is>
      </c>
      <c r="B33" s="3" t="inlineStr">
        <is>
          <t>qaimg_06b2ae2a966ab0ca</t>
        </is>
      </c>
      <c r="C33" s="4" t="inlineStr">
        <is>
          <t>https://cdn.shopify.com/s/files/1/0792/5098/1063/files/e5cad84edb4d7bf77c48fd7c8e52eb3b73f04eba8bf177671fd8a059c59422e8_0a0a59ee-c0ee-4995-bf6a-e815a670b8e3.jpg?v=1785101924</t>
        </is>
      </c>
      <c r="D33" s="4" t="inlineStr">
        <is>
          <t>https://cdn.shopify.com/s/files/1/0792/5098/1063/files/e5cad84edb4d7bf77c48fd7c8e52eb3b73f04eba8bf177671fd8a059c59422e8_0a0a59ee-c0ee-4995-bf6a-e815a670b8e3.jpg?v=1785101924</t>
        </is>
      </c>
      <c r="E33" s="3" t="inlineStr">
        <is>
          <t>47540307001543</t>
        </is>
      </c>
      <c r="F33" s="3" t="inlineStr">
        <is>
          <t>47540307001543</t>
        </is>
      </c>
      <c r="G33" s="3" t="inlineStr"/>
      <c r="H33" s="3" t="inlineStr">
        <is>
          <t>GALLERY</t>
        </is>
      </c>
      <c r="I33" s="3" t="inlineStr">
        <is>
          <t>DIRECT_IMAGE_VERIFICATION + R5_AUDIT</t>
        </is>
      </c>
      <c r="J33" s="3" t="inlineStr">
        <is>
          <t>2026-09-09T04:29:28.436834+07:00</t>
        </is>
      </c>
      <c r="K33" s="3" t="inlineStr">
        <is>
          <t>Size dimension panel showing Twin, Full, Queen and King bedding dimensions.</t>
        </is>
      </c>
      <c r="L33" s="3" t="inlineStr">
        <is>
          <t>Size dimension panel showing Twin, Full, Queen and King bedding dimensions.</t>
        </is>
      </c>
      <c r="M33" s="3" t="inlineStr">
        <is>
          <t>SET</t>
        </is>
      </c>
      <c r="N33" s="3" t="inlineStr">
        <is>
          <t>Retro football comforter size chart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3" t="inlineStr">
        <is>
          <t>FULL</t>
        </is>
      </c>
      <c r="S33" s="7">
        <f>IF(O33="FULL",40,IF(O33="PARTIAL",40/2,0))+IF(P33="FULL",30,IF(P33="PARTIAL",30/2,0))+IF(Q33="FULL",20,IF(Q33="PARTIAL",20/2,0))+IF(R33="FULL",10,IF(R33="PARTIAL",10/2,0))</f>
        <v/>
      </c>
      <c r="T33" s="7">
        <f>IF(O33="NOT_CHECKED",0,40)+IF(P33="NOT_CHECKED",0,30)+IF(Q33="NOT_CHECKED",0,20)+IF(R33="NOT_CHECKED",0,10)</f>
        <v/>
      </c>
      <c r="U33" s="7">
        <f>IF(T33=100,S33,"")</f>
        <v/>
      </c>
      <c r="V33" s="7">
        <f>S33</f>
        <v/>
      </c>
      <c r="W33" s="7">
        <f>S33+(100-T33)</f>
        <v/>
      </c>
      <c r="X33" s="3" t="inlineStr">
        <is>
          <t>[]</t>
        </is>
      </c>
      <c r="Y33" s="3" t="inlineStr">
        <is>
          <t>["seo_runs/jeminise.com/20260906_234129/qa/20260909_043000/images/035_06.jpg", "https://jeminise.com/products/custom-retro-football-art-bedding-set-c66211cf75-c66211cf75", "https://cdn.shopify.com/s/files/1/0792/5098/1063/files/e5cad84edb4d7bf77c48fd7c8e52eb3b73f04eba8bf177671fd8a059c59422e8_0a0a59ee-c0ee-4995-bf6a-e815a670b8e3.jpg?v=1785101924"]</t>
        </is>
      </c>
    </row>
    <row r="34" ht="66" customHeight="1">
      <c r="A34" s="2" t="inlineStr">
        <is>
          <t>jeminise.com+custom-american-football-close-up-on-grunge-vintage-comforter-26540e3264-26540e3264</t>
        </is>
      </c>
      <c r="B34" s="2" t="inlineStr">
        <is>
          <t>qaimg_aec396233188aee2</t>
        </is>
      </c>
      <c r="C34" s="4" t="inlineStr">
        <is>
          <t>https://cdn.shopify.com/s/files/1/0792/5098/1063/files/11f76d2e307e1c50766e2c6b95e8a9272e0546226ca0a5996ceecb7ad1d1e36b.jpg?v=1785100474</t>
        </is>
      </c>
      <c r="D34" s="4" t="inlineStr">
        <is>
          <t>https://cdn.shopify.com/s/files/1/0792/5098/1063/files/11f76d2e307e1c50766e2c6b95e8a9272e0546226ca0a5996ceecb7ad1d1e36b.jpg?v=1785100474</t>
        </is>
      </c>
      <c r="E34" s="2" t="inlineStr">
        <is>
          <t>47540170358983</t>
        </is>
      </c>
      <c r="F34" s="2" t="inlineStr">
        <is>
          <t>47540170358983</t>
        </is>
      </c>
      <c r="G34" s="2" t="inlineStr"/>
      <c r="H34" s="2" t="inlineStr">
        <is>
          <t>GALLERY</t>
        </is>
      </c>
      <c r="I34" s="2" t="inlineStr">
        <is>
          <t>DIRECT_IMAGE_VERIFICATION + R5_AUDIT</t>
        </is>
      </c>
      <c r="J34" s="2" t="inlineStr">
        <is>
          <t>2026-09-09T04:29:28.436834+07:00</t>
        </is>
      </c>
      <c r="K34" s="2" t="inlineStr">
        <is>
          <t>Grunge football comforter bed mockup with Brian sample name, number 15 and vintage red-white stripe background.</t>
        </is>
      </c>
      <c r="L34" s="2" t="inlineStr">
        <is>
          <t>Grunge football comforter bed mockup with Brian sample name, number 15 and vintage red-white stripe background.</t>
        </is>
      </c>
      <c r="M34" s="2" t="inlineStr">
        <is>
          <t>SET</t>
        </is>
      </c>
      <c r="N34" s="2" t="inlineStr">
        <is>
          <t>Personalized grunge football comforter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5">
        <f>IF(O34="FULL",40,IF(O34="PARTIAL",40/2,0))+IF(P34="FULL",30,IF(P34="PARTIAL",30/2,0))+IF(Q34="FULL",20,IF(Q34="PARTIAL",20/2,0))+IF(R34="FULL",10,IF(R34="PARTIAL",10/2,0))</f>
        <v/>
      </c>
      <c r="T34" s="5">
        <f>IF(O34="NOT_CHECKED",0,40)+IF(P34="NOT_CHECKED",0,30)+IF(Q34="NOT_CHECKED",0,20)+IF(R34="NOT_CHECKED",0,10)</f>
        <v/>
      </c>
      <c r="U34" s="5">
        <f>IF(T34=100,S34,"")</f>
        <v/>
      </c>
      <c r="V34" s="5">
        <f>S34</f>
        <v/>
      </c>
      <c r="W34" s="5">
        <f>S34+(100-T34)</f>
        <v/>
      </c>
      <c r="X34" s="2" t="inlineStr">
        <is>
          <t>[]</t>
        </is>
      </c>
      <c r="Y34" s="2" t="inlineStr">
        <is>
          <t>["seo_runs/jeminise.com/20260906_234129/qa/20260909_043000/images/036_01.jpg", "https://jeminise.com/products/custom-american-football-close-up-on-grunge-vintage-comforter-26540e3264-26540e3264", "https://cdn.shopify.com/s/files/1/0792/5098/1063/files/11f76d2e307e1c50766e2c6b95e8a9272e0546226ca0a5996ceecb7ad1d1e36b.jpg?v=1785100474"]</t>
        </is>
      </c>
    </row>
    <row r="35" ht="66" customHeight="1">
      <c r="A35" s="3" t="inlineStr">
        <is>
          <t>jeminise.com+custom-american-football-close-up-on-grunge-vintage-comforter-26540e3264-26540e3264</t>
        </is>
      </c>
      <c r="B35" s="3" t="inlineStr">
        <is>
          <t>qaimg_301fc93aecebaccf</t>
        </is>
      </c>
      <c r="C35" s="4" t="inlineStr">
        <is>
          <t>https://cdn.shopify.com/s/files/1/0792/5098/1063/files/a086ef784a942cd52629fe736719d7e523332dd679d2ff85ee39f4db573b7877.jpg?v=1785100474</t>
        </is>
      </c>
      <c r="D35" s="4" t="inlineStr">
        <is>
          <t>https://cdn.shopify.com/s/files/1/0792/5098/1063/files/a086ef784a942cd52629fe736719d7e523332dd679d2ff85ee39f4db573b7877.jpg?v=1785100474</t>
        </is>
      </c>
      <c r="E35" s="3" t="inlineStr">
        <is>
          <t>47540170391751</t>
        </is>
      </c>
      <c r="F35" s="3" t="inlineStr">
        <is>
          <t>47540170391751</t>
        </is>
      </c>
      <c r="G35" s="3" t="inlineStr"/>
      <c r="H35" s="3" t="inlineStr">
        <is>
          <t>GALLERY</t>
        </is>
      </c>
      <c r="I35" s="3" t="inlineStr">
        <is>
          <t>DIRECT_IMAGE_VERIFICATION + R5_AUDIT</t>
        </is>
      </c>
      <c r="J35" s="3" t="inlineStr">
        <is>
          <t>2026-09-09T04:29:28.436834+07:00</t>
        </is>
      </c>
      <c r="K35" s="3" t="inlineStr">
        <is>
          <t>Angled bedroom mockup showing Brian sample name, number 15 pillowcases and grunge football artwork.</t>
        </is>
      </c>
      <c r="L35" s="3" t="inlineStr">
        <is>
          <t>Angled bedroom mockup showing Brian sample name, number 15 pillowcases and grunge football artwork.</t>
        </is>
      </c>
      <c r="M35" s="3" t="inlineStr">
        <is>
          <t>SET</t>
        </is>
      </c>
      <c r="N35" s="3" t="inlineStr">
        <is>
          <t>Grunge football comforter room mockup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FULL</t>
        </is>
      </c>
      <c r="S35" s="7">
        <f>IF(O35="FULL",40,IF(O35="PARTIAL",40/2,0))+IF(P35="FULL",30,IF(P35="PARTIAL",30/2,0))+IF(Q35="FULL",20,IF(Q35="PARTIAL",20/2,0))+IF(R35="FULL",10,IF(R35="PARTIAL",10/2,0))</f>
        <v/>
      </c>
      <c r="T35" s="7">
        <f>IF(O35="NOT_CHECKED",0,40)+IF(P35="NOT_CHECKED",0,30)+IF(Q35="NOT_CHECKED",0,20)+IF(R35="NOT_CHECKED",0,10)</f>
        <v/>
      </c>
      <c r="U35" s="7">
        <f>IF(T35=100,S35,"")</f>
        <v/>
      </c>
      <c r="V35" s="7">
        <f>S35</f>
        <v/>
      </c>
      <c r="W35" s="7">
        <f>S35+(100-T35)</f>
        <v/>
      </c>
      <c r="X35" s="3" t="inlineStr">
        <is>
          <t>[]</t>
        </is>
      </c>
      <c r="Y35" s="3" t="inlineStr">
        <is>
          <t>["seo_runs/jeminise.com/20260906_234129/qa/20260909_043000/images/036_02.jpg", "https://jeminise.com/products/custom-american-football-close-up-on-grunge-vintage-comforter-26540e3264-26540e3264", "https://cdn.shopify.com/s/files/1/0792/5098/1063/files/a086ef784a942cd52629fe736719d7e523332dd679d2ff85ee39f4db573b7877.jpg?v=1785100474"]</t>
        </is>
      </c>
    </row>
    <row r="36" ht="66" customHeight="1">
      <c r="A36" s="2" t="inlineStr">
        <is>
          <t>jeminise.com+custom-american-football-close-up-on-grunge-vintage-comforter-26540e3264-26540e3264</t>
        </is>
      </c>
      <c r="B36" s="2" t="inlineStr">
        <is>
          <t>qaimg_17dad146fa2db47e</t>
        </is>
      </c>
      <c r="C36" s="4" t="inlineStr">
        <is>
          <t>https://cdn.shopify.com/s/files/1/0792/5098/1063/files/16f7293cbefa5743a35b2e6316a5a114e5c052d08151e367dafd26aa5e2e542b_f61d59c9-1e61-473b-93e0-490c63ed9242.jpg?v=1785100474</t>
        </is>
      </c>
      <c r="D36" s="4" t="inlineStr">
        <is>
          <t>https://cdn.shopify.com/s/files/1/0792/5098/1063/files/16f7293cbefa5743a35b2e6316a5a114e5c052d08151e367dafd26aa5e2e542b_f61d59c9-1e61-473b-93e0-490c63ed9242.jpg?v=1785100474</t>
        </is>
      </c>
      <c r="E36" s="2" t="inlineStr">
        <is>
          <t>47540170424519</t>
        </is>
      </c>
      <c r="F36" s="2" t="inlineStr">
        <is>
          <t>47540170424519</t>
        </is>
      </c>
      <c r="G36" s="2" t="inlineStr"/>
      <c r="H36" s="2" t="inlineStr">
        <is>
          <t>GALLERY</t>
        </is>
      </c>
      <c r="I36" s="2" t="inlineStr">
        <is>
          <t>DIRECT_IMAGE_VERIFICATION + R5_AUDIT</t>
        </is>
      </c>
      <c r="J36" s="2" t="inlineStr">
        <is>
          <t>2026-09-09T04:29:28.436834+07:00</t>
        </is>
      </c>
      <c r="K36" s="2" t="inlineStr">
        <is>
          <t>Product type comparison panel showing duvet cover set and comforter set options for all-season use.</t>
        </is>
      </c>
      <c r="L36" s="2" t="inlineStr">
        <is>
          <t>Product type comparison panel showing duvet cover set and comforter set options for all-season use.</t>
        </is>
      </c>
      <c r="M36" s="2" t="inlineStr">
        <is>
          <t>SET</t>
        </is>
      </c>
      <c r="N36" s="2" t="inlineStr">
        <is>
          <t>Grunge football comforter bedding type options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5">
        <f>IF(O36="FULL",40,IF(O36="PARTIAL",40/2,0))+IF(P36="FULL",30,IF(P36="PARTIAL",30/2,0))+IF(Q36="FULL",20,IF(Q36="PARTIAL",20/2,0))+IF(R36="FULL",10,IF(R36="PARTIAL",10/2,0))</f>
        <v/>
      </c>
      <c r="T36" s="5">
        <f>IF(O36="NOT_CHECKED",0,40)+IF(P36="NOT_CHECKED",0,30)+IF(Q36="NOT_CHECKED",0,20)+IF(R36="NOT_CHECKED",0,10)</f>
        <v/>
      </c>
      <c r="U36" s="5">
        <f>IF(T36=100,S36,"")</f>
        <v/>
      </c>
      <c r="V36" s="5">
        <f>S36</f>
        <v/>
      </c>
      <c r="W36" s="5">
        <f>S36+(100-T36)</f>
        <v/>
      </c>
      <c r="X36" s="2" t="inlineStr">
        <is>
          <t>[]</t>
        </is>
      </c>
      <c r="Y36" s="2" t="inlineStr">
        <is>
          <t>["seo_runs/jeminise.com/20260906_234129/qa/20260909_043000/images/036_03.jpg", "https://jeminise.com/products/custom-american-football-close-up-on-grunge-vintage-comforter-26540e3264-26540e3264", "https://cdn.shopify.com/s/files/1/0792/5098/1063/files/16f7293cbefa5743a35b2e6316a5a114e5c052d08151e367dafd26aa5e2e542b_f61d59c9-1e61-473b-93e0-490c63ed9242.jpg?v=1785100474"]</t>
        </is>
      </c>
    </row>
    <row r="37" ht="66" customHeight="1">
      <c r="A37" s="3" t="inlineStr">
        <is>
          <t>jeminise.com+custom-american-football-close-up-on-grunge-vintage-comforter-26540e3264-26540e3264</t>
        </is>
      </c>
      <c r="B37" s="3" t="inlineStr">
        <is>
          <t>qaimg_61b8fd9f7ee60535</t>
        </is>
      </c>
      <c r="C37" s="4" t="inlineStr">
        <is>
          <t>https://cdn.shopify.com/s/files/1/0792/5098/1063/files/1bb27dd96fe081443e8b20966cb77e2c7e536a5f697d54f3941ab027a2445269.jpg?v=1785100474</t>
        </is>
      </c>
      <c r="D37" s="4" t="inlineStr">
        <is>
          <t>https://cdn.shopify.com/s/files/1/0792/5098/1063/files/1bb27dd96fe081443e8b20966cb77e2c7e536a5f697d54f3941ab027a2445269.jpg?v=1785100474</t>
        </is>
      </c>
      <c r="E37" s="3" t="inlineStr">
        <is>
          <t>47540170457287</t>
        </is>
      </c>
      <c r="F37" s="3" t="inlineStr">
        <is>
          <t>47540170457287</t>
        </is>
      </c>
      <c r="G37" s="3" t="inlineStr"/>
      <c r="H37" s="3" t="inlineStr">
        <is>
          <t>GALLERY</t>
        </is>
      </c>
      <c r="I37" s="3" t="inlineStr">
        <is>
          <t>DIRECT_IMAGE_VERIFICATION + R5_AUDIT</t>
        </is>
      </c>
      <c r="J37" s="3" t="inlineStr">
        <is>
          <t>2026-09-09T04:29:28.436834+07:00</t>
        </is>
      </c>
      <c r="K37" s="3" t="inlineStr">
        <is>
          <t>Close bedroom view of grunge football comforter with soft, lightweight, durable and breathable icons.</t>
        </is>
      </c>
      <c r="L37" s="3" t="inlineStr">
        <is>
          <t>Close bedroom view of grunge football comforter with soft, lightweight, durable and breathable icons.</t>
        </is>
      </c>
      <c r="M37" s="3" t="inlineStr">
        <is>
          <t>SET</t>
        </is>
      </c>
      <c r="N37" s="3" t="inlineStr">
        <is>
          <t>Grunge football comforter feature icons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3" t="inlineStr">
        <is>
          <t>FULL</t>
        </is>
      </c>
      <c r="S37" s="7">
        <f>IF(O37="FULL",40,IF(O37="PARTIAL",40/2,0))+IF(P37="FULL",30,IF(P37="PARTIAL",30/2,0))+IF(Q37="FULL",20,IF(Q37="PARTIAL",20/2,0))+IF(R37="FULL",10,IF(R37="PARTIAL",10/2,0))</f>
        <v/>
      </c>
      <c r="T37" s="7">
        <f>IF(O37="NOT_CHECKED",0,40)+IF(P37="NOT_CHECKED",0,30)+IF(Q37="NOT_CHECKED",0,20)+IF(R37="NOT_CHECKED",0,10)</f>
        <v/>
      </c>
      <c r="U37" s="7">
        <f>IF(T37=100,S37,"")</f>
        <v/>
      </c>
      <c r="V37" s="7">
        <f>S37</f>
        <v/>
      </c>
      <c r="W37" s="7">
        <f>S37+(100-T37)</f>
        <v/>
      </c>
      <c r="X37" s="3" t="inlineStr">
        <is>
          <t>[]</t>
        </is>
      </c>
      <c r="Y37" s="3" t="inlineStr">
        <is>
          <t>["seo_runs/jeminise.com/20260906_234129/qa/20260909_043000/images/036_04.jpg", "https://jeminise.com/products/custom-american-football-close-up-on-grunge-vintage-comforter-26540e3264-26540e3264", "https://cdn.shopify.com/s/files/1/0792/5098/1063/files/1bb27dd96fe081443e8b20966cb77e2c7e536a5f697d54f3941ab027a2445269.jpg?v=1785100474"]</t>
        </is>
      </c>
    </row>
    <row r="38" ht="66" customHeight="1">
      <c r="A38" s="2" t="inlineStr">
        <is>
          <t>jeminise.com+custom-american-football-close-up-on-grunge-vintage-comforter-26540e3264-26540e3264</t>
        </is>
      </c>
      <c r="B38" s="2" t="inlineStr">
        <is>
          <t>qaimg_09cee40c8bb157a6</t>
        </is>
      </c>
      <c r="C38" s="4" t="inlineStr">
        <is>
          <t>https://cdn.shopify.com/s/files/1/0792/5098/1063/files/7c006bddc94d4763c71c8376307e195c1bbce73b8c802ec73ac5a8cef1291262_f556ba8b-082d-45f0-9344-319cc291850f.jpg?v=1785100474</t>
        </is>
      </c>
      <c r="D38" s="4" t="inlineStr">
        <is>
          <t>https://cdn.shopify.com/s/files/1/0792/5098/1063/files/7c006bddc94d4763c71c8376307e195c1bbce73b8c802ec73ac5a8cef1291262_f556ba8b-082d-45f0-9344-319cc291850f.jpg?v=1785100474</t>
        </is>
      </c>
      <c r="E38" s="2" t="inlineStr">
        <is>
          <t>47540170490055</t>
        </is>
      </c>
      <c r="F38" s="2" t="inlineStr">
        <is>
          <t>47540170490055</t>
        </is>
      </c>
      <c r="G38" s="2" t="inlineStr"/>
      <c r="H38" s="2" t="inlineStr">
        <is>
          <t>GALLERY</t>
        </is>
      </c>
      <c r="I38" s="2" t="inlineStr">
        <is>
          <t>DIRECT_IMAGE_VERIFICATION + R5_AUDIT</t>
        </is>
      </c>
      <c r="J38" s="2" t="inlineStr">
        <is>
          <t>2026-09-09T04:29:28.436834+07:00</t>
        </is>
      </c>
      <c r="K38" s="2" t="inlineStr">
        <is>
          <t>Stress-free easy care panel listing wrinkle-free, stain-proof, anti-pilling and wash-fade notes.</t>
        </is>
      </c>
      <c r="L38" s="2" t="inlineStr">
        <is>
          <t>Stress-free easy care panel listing wrinkle-free, stain-proof, anti-pilling and wash-fade notes.</t>
        </is>
      </c>
      <c r="M38" s="2" t="inlineStr">
        <is>
          <t>SET</t>
        </is>
      </c>
      <c r="N38" s="2" t="inlineStr">
        <is>
          <t>Grunge football comforter easy care panel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5">
        <f>IF(O38="FULL",40,IF(O38="PARTIAL",40/2,0))+IF(P38="FULL",30,IF(P38="PARTIAL",30/2,0))+IF(Q38="FULL",20,IF(Q38="PARTIAL",20/2,0))+IF(R38="FULL",10,IF(R38="PARTIAL",10/2,0))</f>
        <v/>
      </c>
      <c r="T38" s="5">
        <f>IF(O38="NOT_CHECKED",0,40)+IF(P38="NOT_CHECKED",0,30)+IF(Q38="NOT_CHECKED",0,20)+IF(R38="NOT_CHECKED",0,10)</f>
        <v/>
      </c>
      <c r="U38" s="5">
        <f>IF(T38=100,S38,"")</f>
        <v/>
      </c>
      <c r="V38" s="5">
        <f>S38</f>
        <v/>
      </c>
      <c r="W38" s="5">
        <f>S38+(100-T38)</f>
        <v/>
      </c>
      <c r="X38" s="2" t="inlineStr">
        <is>
          <t>[]</t>
        </is>
      </c>
      <c r="Y38" s="2" t="inlineStr">
        <is>
          <t>["seo_runs/jeminise.com/20260906_234129/qa/20260909_043000/images/036_05.jpg", "https://jeminise.com/products/custom-american-football-close-up-on-grunge-vintage-comforter-26540e3264-26540e3264", "https://cdn.shopify.com/s/files/1/0792/5098/1063/files/7c006bddc94d4763c71c8376307e195c1bbce73b8c802ec73ac5a8cef1291262_f556ba8b-082d-45f0-9344-319cc291850f.jpg?v=1785100474"]</t>
        </is>
      </c>
    </row>
    <row r="39" ht="66" customHeight="1">
      <c r="A39" s="3" t="inlineStr">
        <is>
          <t>jeminise.com+custom-american-football-close-up-on-grunge-vintage-comforter-26540e3264-26540e3264</t>
        </is>
      </c>
      <c r="B39" s="3" t="inlineStr">
        <is>
          <t>qaimg_bac450467054d043</t>
        </is>
      </c>
      <c r="C39" s="4" t="inlineStr">
        <is>
          <t>https://cdn.shopify.com/s/files/1/0792/5098/1063/files/e5cad84edb4d7bf77c48fd7c8e52eb3b73f04eba8bf177671fd8a059c59422e8_e68e02cc-c567-4e1f-93b4-3efe2b03219d.jpg?v=1785100474</t>
        </is>
      </c>
      <c r="D39" s="4" t="inlineStr">
        <is>
          <t>https://cdn.shopify.com/s/files/1/0792/5098/1063/files/e5cad84edb4d7bf77c48fd7c8e52eb3b73f04eba8bf177671fd8a059c59422e8_e68e02cc-c567-4e1f-93b4-3efe2b03219d.jpg?v=1785100474</t>
        </is>
      </c>
      <c r="E39" s="3" t="inlineStr">
        <is>
          <t>47540170522823</t>
        </is>
      </c>
      <c r="F39" s="3" t="inlineStr">
        <is>
          <t>47540170522823</t>
        </is>
      </c>
      <c r="G39" s="3" t="inlineStr"/>
      <c r="H39" s="3" t="inlineStr">
        <is>
          <t>GALLERY</t>
        </is>
      </c>
      <c r="I39" s="3" t="inlineStr">
        <is>
          <t>DIRECT_IMAGE_VERIFICATION + R5_AUDIT</t>
        </is>
      </c>
      <c r="J39" s="3" t="inlineStr">
        <is>
          <t>2026-09-09T04:29:28.436834+07:00</t>
        </is>
      </c>
      <c r="K39" s="3" t="inlineStr">
        <is>
          <t>Size dimension panel showing Twin, Full, Queen and King bedding dimensions.</t>
        </is>
      </c>
      <c r="L39" s="3" t="inlineStr">
        <is>
          <t>Size dimension panel showing Twin, Full, Queen and King bedding dimensions.</t>
        </is>
      </c>
      <c r="M39" s="3" t="inlineStr">
        <is>
          <t>SET</t>
        </is>
      </c>
      <c r="N39" s="3" t="inlineStr">
        <is>
          <t>Grunge football comforter size chart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7">
        <f>IF(O39="FULL",40,IF(O39="PARTIAL",40/2,0))+IF(P39="FULL",30,IF(P39="PARTIAL",30/2,0))+IF(Q39="FULL",20,IF(Q39="PARTIAL",20/2,0))+IF(R39="FULL",10,IF(R39="PARTIAL",10/2,0))</f>
        <v/>
      </c>
      <c r="T39" s="7">
        <f>IF(O39="NOT_CHECKED",0,40)+IF(P39="NOT_CHECKED",0,30)+IF(Q39="NOT_CHECKED",0,20)+IF(R39="NOT_CHECKED",0,10)</f>
        <v/>
      </c>
      <c r="U39" s="7">
        <f>IF(T39=100,S39,"")</f>
        <v/>
      </c>
      <c r="V39" s="7">
        <f>S39</f>
        <v/>
      </c>
      <c r="W39" s="7">
        <f>S39+(100-T39)</f>
        <v/>
      </c>
      <c r="X39" s="3" t="inlineStr">
        <is>
          <t>[]</t>
        </is>
      </c>
      <c r="Y39" s="3" t="inlineStr">
        <is>
          <t>["seo_runs/jeminise.com/20260906_234129/qa/20260909_043000/images/036_06.jpg", "https://jeminise.com/products/custom-american-football-close-up-on-grunge-vintage-comforter-26540e3264-26540e3264", "https://cdn.shopify.com/s/files/1/0792/5098/1063/files/e5cad84edb4d7bf77c48fd7c8e52eb3b73f04eba8bf177671fd8a059c59422e8_e68e02cc-c567-4e1f-93b4-3efe2b03219d.jpg?v=1785100474"]</t>
        </is>
      </c>
    </row>
    <row r="40" ht="66" customHeight="1">
      <c r="A40" s="2" t="inlineStr">
        <is>
          <t>jeminise.com+custom-american-football-on-cosmic-background-vintage-comforter-62a3849621-62a3849621</t>
        </is>
      </c>
      <c r="B40" s="2" t="inlineStr">
        <is>
          <t>qaimg_6b907110c6e80000</t>
        </is>
      </c>
      <c r="C40" s="4" t="inlineStr">
        <is>
          <t>https://cdn.shopify.com/s/files/1/0792/5098/1063/files/b38409cca05f668cdad57ab52d40b4b00fb8c161ab5af391eaf7a4ce3b8892f2.jpg?v=1785100295</t>
        </is>
      </c>
      <c r="D40" s="4" t="inlineStr">
        <is>
          <t>https://cdn.shopify.com/s/files/1/0792/5098/1063/files/b38409cca05f668cdad57ab52d40b4b00fb8c161ab5af391eaf7a4ce3b8892f2.jpg?v=1785100295</t>
        </is>
      </c>
      <c r="E40" s="2" t="inlineStr">
        <is>
          <t>47540153385159</t>
        </is>
      </c>
      <c r="F40" s="2" t="inlineStr">
        <is>
          <t>47540153385159</t>
        </is>
      </c>
      <c r="G40" s="2" t="inlineStr"/>
      <c r="H40" s="2" t="inlineStr">
        <is>
          <t>GALLERY</t>
        </is>
      </c>
      <c r="I40" s="2" t="inlineStr">
        <is>
          <t>DIRECT_IMAGE_VERIFICATION + R5_AUDIT</t>
        </is>
      </c>
      <c r="J40" s="2" t="inlineStr">
        <is>
          <t>2026-09-09T04:29:28.436834+07:00</t>
        </is>
      </c>
      <c r="K40" s="2" t="inlineStr">
        <is>
          <t>Cosmic football comforter bed mockup with Kevin sample name, number 20 and space-color background.</t>
        </is>
      </c>
      <c r="L40" s="2" t="inlineStr">
        <is>
          <t>Cosmic football comforter bed mockup with Kevin sample name, number 20 and space-color background.</t>
        </is>
      </c>
      <c r="M40" s="2" t="inlineStr">
        <is>
          <t>SET</t>
        </is>
      </c>
      <c r="N40" s="2" t="inlineStr">
        <is>
          <t>Personalized cosmic football comforter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5">
        <f>IF(O40="FULL",40,IF(O40="PARTIAL",40/2,0))+IF(P40="FULL",30,IF(P40="PARTIAL",30/2,0))+IF(Q40="FULL",20,IF(Q40="PARTIAL",20/2,0))+IF(R40="FULL",10,IF(R40="PARTIAL",10/2,0))</f>
        <v/>
      </c>
      <c r="T40" s="5">
        <f>IF(O40="NOT_CHECKED",0,40)+IF(P40="NOT_CHECKED",0,30)+IF(Q40="NOT_CHECKED",0,20)+IF(R40="NOT_CHECKED",0,10)</f>
        <v/>
      </c>
      <c r="U40" s="5">
        <f>IF(T40=100,S40,"")</f>
        <v/>
      </c>
      <c r="V40" s="5">
        <f>S40</f>
        <v/>
      </c>
      <c r="W40" s="5">
        <f>S40+(100-T40)</f>
        <v/>
      </c>
      <c r="X40" s="2" t="inlineStr">
        <is>
          <t>[]</t>
        </is>
      </c>
      <c r="Y40" s="2" t="inlineStr">
        <is>
          <t>["seo_runs/jeminise.com/20260906_234129/qa/20260909_043000/images/037_01.jpg", "https://jeminise.com/products/custom-american-football-on-cosmic-background-vintage-comforter-62a3849621-62a3849621", "https://cdn.shopify.com/s/files/1/0792/5098/1063/files/b38409cca05f668cdad57ab52d40b4b00fb8c161ab5af391eaf7a4ce3b8892f2.jpg?v=1785100295"]</t>
        </is>
      </c>
    </row>
    <row r="41" ht="66" customHeight="1">
      <c r="A41" s="3" t="inlineStr">
        <is>
          <t>jeminise.com+custom-american-football-on-cosmic-background-vintage-comforter-62a3849621-62a3849621</t>
        </is>
      </c>
      <c r="B41" s="3" t="inlineStr">
        <is>
          <t>qaimg_5749a43b97f54338</t>
        </is>
      </c>
      <c r="C41" s="4" t="inlineStr">
        <is>
          <t>https://cdn.shopify.com/s/files/1/0792/5098/1063/files/541f7a11cb182f93e5c63ff4db954de7b224c4f859e24518f310d671cca10275.jpg?v=1785100295</t>
        </is>
      </c>
      <c r="D41" s="4" t="inlineStr">
        <is>
          <t>https://cdn.shopify.com/s/files/1/0792/5098/1063/files/541f7a11cb182f93e5c63ff4db954de7b224c4f859e24518f310d671cca10275.jpg?v=1785100295</t>
        </is>
      </c>
      <c r="E41" s="3" t="inlineStr">
        <is>
          <t>47540153417927</t>
        </is>
      </c>
      <c r="F41" s="3" t="inlineStr">
        <is>
          <t>47540153417927</t>
        </is>
      </c>
      <c r="G41" s="3" t="inlineStr"/>
      <c r="H41" s="3" t="inlineStr">
        <is>
          <t>GALLERY</t>
        </is>
      </c>
      <c r="I41" s="3" t="inlineStr">
        <is>
          <t>DIRECT_IMAGE_VERIFICATION + R5_AUDIT</t>
        </is>
      </c>
      <c r="J41" s="3" t="inlineStr">
        <is>
          <t>2026-09-09T04:29:28.436834+07:00</t>
        </is>
      </c>
      <c r="K41" s="3" t="inlineStr">
        <is>
          <t>Angled bedroom mockup showing Kevin sample name, number 20 pillowcases and cosmic football artwork.</t>
        </is>
      </c>
      <c r="L41" s="3" t="inlineStr">
        <is>
          <t>Angled bedroom mockup showing Kevin sample name, number 20 pillowcases and cosmic football artwork.</t>
        </is>
      </c>
      <c r="M41" s="3" t="inlineStr">
        <is>
          <t>SET</t>
        </is>
      </c>
      <c r="N41" s="3" t="inlineStr">
        <is>
          <t>Cosmic football comforter room mockup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7">
        <f>IF(O41="FULL",40,IF(O41="PARTIAL",40/2,0))+IF(P41="FULL",30,IF(P41="PARTIAL",30/2,0))+IF(Q41="FULL",20,IF(Q41="PARTIAL",20/2,0))+IF(R41="FULL",10,IF(R41="PARTIAL",10/2,0))</f>
        <v/>
      </c>
      <c r="T41" s="7">
        <f>IF(O41="NOT_CHECKED",0,40)+IF(P41="NOT_CHECKED",0,30)+IF(Q41="NOT_CHECKED",0,20)+IF(R41="NOT_CHECKED",0,10)</f>
        <v/>
      </c>
      <c r="U41" s="7">
        <f>IF(T41=100,S41,"")</f>
        <v/>
      </c>
      <c r="V41" s="7">
        <f>S41</f>
        <v/>
      </c>
      <c r="W41" s="7">
        <f>S41+(100-T41)</f>
        <v/>
      </c>
      <c r="X41" s="3" t="inlineStr">
        <is>
          <t>[]</t>
        </is>
      </c>
      <c r="Y41" s="3" t="inlineStr">
        <is>
          <t>["seo_runs/jeminise.com/20260906_234129/qa/20260909_043000/images/037_02.jpg", "https://jeminise.com/products/custom-american-football-on-cosmic-background-vintage-comforter-62a3849621-62a3849621", "https://cdn.shopify.com/s/files/1/0792/5098/1063/files/541f7a11cb182f93e5c63ff4db954de7b224c4f859e24518f310d671cca10275.jpg?v=1785100295"]</t>
        </is>
      </c>
    </row>
    <row r="42" ht="66" customHeight="1">
      <c r="A42" s="2" t="inlineStr">
        <is>
          <t>jeminise.com+custom-american-football-on-cosmic-background-vintage-comforter-62a3849621-62a3849621</t>
        </is>
      </c>
      <c r="B42" s="2" t="inlineStr">
        <is>
          <t>qaimg_4f48ca0e52576484</t>
        </is>
      </c>
      <c r="C42" s="4" t="inlineStr">
        <is>
          <t>https://cdn.shopify.com/s/files/1/0792/5098/1063/files/9aa9c35ad239e2defe80d680bfc9c3ac770143ee38bd0c93c9b9e1b1dc297f8c_36262fc6-efaa-4cca-aed1-b9455ede2ae8.jpg?v=1785100295</t>
        </is>
      </c>
      <c r="D42" s="4" t="inlineStr">
        <is>
          <t>https://cdn.shopify.com/s/files/1/0792/5098/1063/files/9aa9c35ad239e2defe80d680bfc9c3ac770143ee38bd0c93c9b9e1b1dc297f8c_36262fc6-efaa-4cca-aed1-b9455ede2ae8.jpg?v=1785100295</t>
        </is>
      </c>
      <c r="E42" s="2" t="inlineStr">
        <is>
          <t>47540153450695</t>
        </is>
      </c>
      <c r="F42" s="2" t="inlineStr">
        <is>
          <t>47540153450695</t>
        </is>
      </c>
      <c r="G42" s="2" t="inlineStr"/>
      <c r="H42" s="2" t="inlineStr">
        <is>
          <t>GALLERY</t>
        </is>
      </c>
      <c r="I42" s="2" t="inlineStr">
        <is>
          <t>DIRECT_IMAGE_VERIFICATION + R5_AUDIT</t>
        </is>
      </c>
      <c r="J42" s="2" t="inlineStr">
        <is>
          <t>2026-09-09T04:29:28.436834+07:00</t>
        </is>
      </c>
      <c r="K42" s="2" t="inlineStr">
        <is>
          <t>Product type comparison panel showing duvet cover set and comforter set options for all-season use.</t>
        </is>
      </c>
      <c r="L42" s="2" t="inlineStr">
        <is>
          <t>Product type comparison panel showing duvet cover set and comforter set options for all-season use.</t>
        </is>
      </c>
      <c r="M42" s="2" t="inlineStr">
        <is>
          <t>SET</t>
        </is>
      </c>
      <c r="N42" s="2" t="inlineStr">
        <is>
          <t>Cosmic football comforter bedding type options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5">
        <f>IF(O42="FULL",40,IF(O42="PARTIAL",40/2,0))+IF(P42="FULL",30,IF(P42="PARTIAL",30/2,0))+IF(Q42="FULL",20,IF(Q42="PARTIAL",20/2,0))+IF(R42="FULL",10,IF(R42="PARTIAL",10/2,0))</f>
        <v/>
      </c>
      <c r="T42" s="5">
        <f>IF(O42="NOT_CHECKED",0,40)+IF(P42="NOT_CHECKED",0,30)+IF(Q42="NOT_CHECKED",0,20)+IF(R42="NOT_CHECKED",0,10)</f>
        <v/>
      </c>
      <c r="U42" s="5">
        <f>IF(T42=100,S42,"")</f>
        <v/>
      </c>
      <c r="V42" s="5">
        <f>S42</f>
        <v/>
      </c>
      <c r="W42" s="5">
        <f>S42+(100-T42)</f>
        <v/>
      </c>
      <c r="X42" s="2" t="inlineStr">
        <is>
          <t>[]</t>
        </is>
      </c>
      <c r="Y42" s="2" t="inlineStr">
        <is>
          <t>["seo_runs/jeminise.com/20260906_234129/qa/20260909_043000/images/037_03.jpg", "https://jeminise.com/products/custom-american-football-on-cosmic-background-vintage-comforter-62a3849621-62a3849621", "https://cdn.shopify.com/s/files/1/0792/5098/1063/files/9aa9c35ad239e2defe80d680bfc9c3ac770143ee38bd0c93c9b9e1b1dc297f8c_36262fc6-efaa-4cca-aed1-b9455ede2ae8.jpg?v=1785100295"]</t>
        </is>
      </c>
    </row>
    <row r="43" ht="66" customHeight="1">
      <c r="A43" s="3" t="inlineStr">
        <is>
          <t>jeminise.com+custom-american-football-on-cosmic-background-vintage-comforter-62a3849621-62a3849621</t>
        </is>
      </c>
      <c r="B43" s="3" t="inlineStr">
        <is>
          <t>qaimg_5e835bea47e4c1ff</t>
        </is>
      </c>
      <c r="C43" s="4" t="inlineStr">
        <is>
          <t>https://cdn.shopify.com/s/files/1/0792/5098/1063/files/7a84d6352dbc1e78ebe1fc0d5c248b6dada28fcf2bc3ae2d6caf4e1511373e35.jpg?v=1785100295</t>
        </is>
      </c>
      <c r="D43" s="4" t="inlineStr">
        <is>
          <t>https://cdn.shopify.com/s/files/1/0792/5098/1063/files/7a84d6352dbc1e78ebe1fc0d5c248b6dada28fcf2bc3ae2d6caf4e1511373e35.jpg?v=1785100295</t>
        </is>
      </c>
      <c r="E43" s="3" t="inlineStr">
        <is>
          <t>47540153483463</t>
        </is>
      </c>
      <c r="F43" s="3" t="inlineStr">
        <is>
          <t>47540153483463</t>
        </is>
      </c>
      <c r="G43" s="3" t="inlineStr"/>
      <c r="H43" s="3" t="inlineStr">
        <is>
          <t>GALLERY</t>
        </is>
      </c>
      <c r="I43" s="3" t="inlineStr">
        <is>
          <t>DIRECT_IMAGE_VERIFICATION + R5_AUDIT</t>
        </is>
      </c>
      <c r="J43" s="3" t="inlineStr">
        <is>
          <t>2026-09-09T04:29:28.436834+07:00</t>
        </is>
      </c>
      <c r="K43" s="3" t="inlineStr">
        <is>
          <t>Close bedroom view of cosmic football comforter with soft, lightweight, durable and breathable icons.</t>
        </is>
      </c>
      <c r="L43" s="3" t="inlineStr">
        <is>
          <t>Close bedroom view of cosmic football comforter with soft, lightweight, durable and breathable icons.</t>
        </is>
      </c>
      <c r="M43" s="3" t="inlineStr">
        <is>
          <t>SET</t>
        </is>
      </c>
      <c r="N43" s="3" t="inlineStr">
        <is>
          <t>Cosmic football comforter feature icons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7">
        <f>IF(O43="FULL",40,IF(O43="PARTIAL",40/2,0))+IF(P43="FULL",30,IF(P43="PARTIAL",30/2,0))+IF(Q43="FULL",20,IF(Q43="PARTIAL",20/2,0))+IF(R43="FULL",10,IF(R43="PARTIAL",10/2,0))</f>
        <v/>
      </c>
      <c r="T43" s="7">
        <f>IF(O43="NOT_CHECKED",0,40)+IF(P43="NOT_CHECKED",0,30)+IF(Q43="NOT_CHECKED",0,20)+IF(R43="NOT_CHECKED",0,10)</f>
        <v/>
      </c>
      <c r="U43" s="7">
        <f>IF(T43=100,S43,"")</f>
        <v/>
      </c>
      <c r="V43" s="7">
        <f>S43</f>
        <v/>
      </c>
      <c r="W43" s="7">
        <f>S43+(100-T43)</f>
        <v/>
      </c>
      <c r="X43" s="3" t="inlineStr">
        <is>
          <t>[]</t>
        </is>
      </c>
      <c r="Y43" s="3" t="inlineStr">
        <is>
          <t>["seo_runs/jeminise.com/20260906_234129/qa/20260909_043000/images/037_04.jpg", "https://jeminise.com/products/custom-american-football-on-cosmic-background-vintage-comforter-62a3849621-62a3849621", "https://cdn.shopify.com/s/files/1/0792/5098/1063/files/7a84d6352dbc1e78ebe1fc0d5c248b6dada28fcf2bc3ae2d6caf4e1511373e35.jpg?v=1785100295"]</t>
        </is>
      </c>
    </row>
    <row r="44" ht="66" customHeight="1">
      <c r="A44" s="2" t="inlineStr">
        <is>
          <t>jeminise.com+custom-american-football-on-cosmic-background-vintage-comforter-62a3849621-62a3849621</t>
        </is>
      </c>
      <c r="B44" s="2" t="inlineStr">
        <is>
          <t>qaimg_a0b443fba20448ff</t>
        </is>
      </c>
      <c r="C44" s="4" t="inlineStr">
        <is>
          <t>https://cdn.shopify.com/s/files/1/0792/5098/1063/files/1bbfbfcf6d26cde4c41dc9cd48a48d8537c348d2d8ae8239cde2198dbac1d7d5_2f6333ff-2210-49b8-95cd-4a58a2c3229b.jpg?v=1785100295</t>
        </is>
      </c>
      <c r="D44" s="4" t="inlineStr">
        <is>
          <t>https://cdn.shopify.com/s/files/1/0792/5098/1063/files/1bbfbfcf6d26cde4c41dc9cd48a48d8537c348d2d8ae8239cde2198dbac1d7d5_2f6333ff-2210-49b8-95cd-4a58a2c3229b.jpg?v=1785100295</t>
        </is>
      </c>
      <c r="E44" s="2" t="inlineStr">
        <is>
          <t>47540153516231</t>
        </is>
      </c>
      <c r="F44" s="2" t="inlineStr">
        <is>
          <t>47540153516231</t>
        </is>
      </c>
      <c r="G44" s="2" t="inlineStr"/>
      <c r="H44" s="2" t="inlineStr">
        <is>
          <t>GALLERY</t>
        </is>
      </c>
      <c r="I44" s="2" t="inlineStr">
        <is>
          <t>DIRECT_IMAGE_VERIFICATION + R5_AUDIT</t>
        </is>
      </c>
      <c r="J44" s="2" t="inlineStr">
        <is>
          <t>2026-09-09T04:29:28.436834+07:00</t>
        </is>
      </c>
      <c r="K44" s="2" t="inlineStr">
        <is>
          <t>Stress-free easy care panel listing wrinkle-free, stain-proof, anti-pilling and wash-fade notes.</t>
        </is>
      </c>
      <c r="L44" s="2" t="inlineStr">
        <is>
          <t>Stress-free easy care panel listing wrinkle-free, stain-proof, anti-pilling and wash-fade notes.</t>
        </is>
      </c>
      <c r="M44" s="2" t="inlineStr">
        <is>
          <t>SET</t>
        </is>
      </c>
      <c r="N44" s="2" t="inlineStr">
        <is>
          <t>Cosmic football comforter easy care panel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5">
        <f>IF(O44="FULL",40,IF(O44="PARTIAL",40/2,0))+IF(P44="FULL",30,IF(P44="PARTIAL",30/2,0))+IF(Q44="FULL",20,IF(Q44="PARTIAL",20/2,0))+IF(R44="FULL",10,IF(R44="PARTIAL",10/2,0))</f>
        <v/>
      </c>
      <c r="T44" s="5">
        <f>IF(O44="NOT_CHECKED",0,40)+IF(P44="NOT_CHECKED",0,30)+IF(Q44="NOT_CHECKED",0,20)+IF(R44="NOT_CHECKED",0,10)</f>
        <v/>
      </c>
      <c r="U44" s="5">
        <f>IF(T44=100,S44,"")</f>
        <v/>
      </c>
      <c r="V44" s="5">
        <f>S44</f>
        <v/>
      </c>
      <c r="W44" s="5">
        <f>S44+(100-T44)</f>
        <v/>
      </c>
      <c r="X44" s="2" t="inlineStr">
        <is>
          <t>[]</t>
        </is>
      </c>
      <c r="Y44" s="2" t="inlineStr">
        <is>
          <t>["seo_runs/jeminise.com/20260906_234129/qa/20260909_043000/images/037_05.jpg", "https://jeminise.com/products/custom-american-football-on-cosmic-background-vintage-comforter-62a3849621-62a3849621", "https://cdn.shopify.com/s/files/1/0792/5098/1063/files/1bbfbfcf6d26cde4c41dc9cd48a48d8537c348d2d8ae8239cde2198dbac1d7d5_2f6333ff-2210-49b8-95cd-4a58a2c3229b.jpg?v=1785100295"]</t>
        </is>
      </c>
    </row>
    <row r="45" ht="66" customHeight="1">
      <c r="A45" s="3" t="inlineStr">
        <is>
          <t>jeminise.com+custom-american-football-on-cosmic-background-vintage-comforter-62a3849621-62a3849621</t>
        </is>
      </c>
      <c r="B45" s="3" t="inlineStr">
        <is>
          <t>qaimg_40fc9ee63e1634d3</t>
        </is>
      </c>
      <c r="C45" s="4" t="inlineStr">
        <is>
          <t>https://cdn.shopify.com/s/files/1/0792/5098/1063/files/b875bfc16d8349abe649f457b947dd0efc388f0aa8df8cf243abee1bb432b085_894668af-b5c7-4cad-b078-ede9e4dae69a.jpg?v=1785100295</t>
        </is>
      </c>
      <c r="D45" s="4" t="inlineStr">
        <is>
          <t>https://cdn.shopify.com/s/files/1/0792/5098/1063/files/b875bfc16d8349abe649f457b947dd0efc388f0aa8df8cf243abee1bb432b085_894668af-b5c7-4cad-b078-ede9e4dae69a.jpg?v=1785100295</t>
        </is>
      </c>
      <c r="E45" s="3" t="inlineStr">
        <is>
          <t>47540153548999</t>
        </is>
      </c>
      <c r="F45" s="3" t="inlineStr">
        <is>
          <t>47540153548999</t>
        </is>
      </c>
      <c r="G45" s="3" t="inlineStr"/>
      <c r="H45" s="3" t="inlineStr">
        <is>
          <t>GALLERY</t>
        </is>
      </c>
      <c r="I45" s="3" t="inlineStr">
        <is>
          <t>DIRECT_IMAGE_VERIFICATION + R5_AUDIT</t>
        </is>
      </c>
      <c r="J45" s="3" t="inlineStr">
        <is>
          <t>2026-09-09T04:29:28.436834+07:00</t>
        </is>
      </c>
      <c r="K45" s="3" t="inlineStr">
        <is>
          <t>Size dimension panel showing Twin, Full, Queen and King bedding dimensions.</t>
        </is>
      </c>
      <c r="L45" s="3" t="inlineStr">
        <is>
          <t>Size dimension panel showing Twin, Full, Queen and King bedding dimensions.</t>
        </is>
      </c>
      <c r="M45" s="3" t="inlineStr">
        <is>
          <t>SET</t>
        </is>
      </c>
      <c r="N45" s="3" t="inlineStr">
        <is>
          <t>Cosmic football comforter size chart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FULL</t>
        </is>
      </c>
      <c r="S45" s="7">
        <f>IF(O45="FULL",40,IF(O45="PARTIAL",40/2,0))+IF(P45="FULL",30,IF(P45="PARTIAL",30/2,0))+IF(Q45="FULL",20,IF(Q45="PARTIAL",20/2,0))+IF(R45="FULL",10,IF(R45="PARTIAL",10/2,0))</f>
        <v/>
      </c>
      <c r="T45" s="7">
        <f>IF(O45="NOT_CHECKED",0,40)+IF(P45="NOT_CHECKED",0,30)+IF(Q45="NOT_CHECKED",0,20)+IF(R45="NOT_CHECKED",0,10)</f>
        <v/>
      </c>
      <c r="U45" s="7">
        <f>IF(T45=100,S45,"")</f>
        <v/>
      </c>
      <c r="V45" s="7">
        <f>S45</f>
        <v/>
      </c>
      <c r="W45" s="7">
        <f>S45+(100-T45)</f>
        <v/>
      </c>
      <c r="X45" s="3" t="inlineStr">
        <is>
          <t>[]</t>
        </is>
      </c>
      <c r="Y45" s="3" t="inlineStr">
        <is>
          <t>["seo_runs/jeminise.com/20260906_234129/qa/20260909_043000/images/037_06.jpg", "https://jeminise.com/products/custom-american-football-on-cosmic-background-vintage-comforter-62a3849621-62a3849621", "https://cdn.shopify.com/s/files/1/0792/5098/1063/files/b875bfc16d8349abe649f457b947dd0efc388f0aa8df8cf243abee1bb432b085_894668af-b5c7-4cad-b078-ede9e4dae69a.jpg?v=1785100295"]</t>
        </is>
      </c>
    </row>
    <row r="46" ht="66" customHeight="1">
      <c r="A46" s="2" t="inlineStr">
        <is>
          <t>jeminise.com+custom-american-football-on-usa-flag-background-comforter-703a7c0d82-703a7c0d82</t>
        </is>
      </c>
      <c r="B46" s="2" t="inlineStr">
        <is>
          <t>qaimg_b8bbf36c7b0d4e98</t>
        </is>
      </c>
      <c r="C46" s="4" t="inlineStr">
        <is>
          <t>https://cdn.shopify.com/s/files/1/0792/5098/1063/files/e5722218140b0bda49ea2f5691bd969b1bc3066cad7c3a0bb0771d1509e66d50.jpg?v=1785101771</t>
        </is>
      </c>
      <c r="D46" s="4" t="inlineStr">
        <is>
          <t>https://cdn.shopify.com/s/files/1/0792/5098/1063/files/e5722218140b0bda49ea2f5691bd969b1bc3066cad7c3a0bb0771d1509e66d50.jpg?v=1785101771</t>
        </is>
      </c>
      <c r="E46" s="2" t="inlineStr">
        <is>
          <t>47540295008455</t>
        </is>
      </c>
      <c r="F46" s="2" t="inlineStr">
        <is>
          <t>47540295008455</t>
        </is>
      </c>
      <c r="G46" s="2" t="inlineStr"/>
      <c r="H46" s="2" t="inlineStr">
        <is>
          <t>GALLERY</t>
        </is>
      </c>
      <c r="I46" s="2" t="inlineStr">
        <is>
          <t>DIRECT_IMAGE_VERIFICATION + R5_AUDIT</t>
        </is>
      </c>
      <c r="J46" s="2" t="inlineStr">
        <is>
          <t>2026-09-09T04:29:28.436834+07:00</t>
        </is>
      </c>
      <c r="K46" s="2" t="inlineStr">
        <is>
          <t>USA flag football comforter bed mockup with Michael sample name, number 30 and American flag background.</t>
        </is>
      </c>
      <c r="L46" s="2" t="inlineStr">
        <is>
          <t>USA flag football comforter bed mockup with Michael sample name, number 30 and American flag background.</t>
        </is>
      </c>
      <c r="M46" s="2" t="inlineStr">
        <is>
          <t>SET</t>
        </is>
      </c>
      <c r="N46" s="2" t="inlineStr">
        <is>
          <t>Personalized USA flag football comforter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5">
        <f>IF(O46="FULL",40,IF(O46="PARTIAL",40/2,0))+IF(P46="FULL",30,IF(P46="PARTIAL",30/2,0))+IF(Q46="FULL",20,IF(Q46="PARTIAL",20/2,0))+IF(R46="FULL",10,IF(R46="PARTIAL",10/2,0))</f>
        <v/>
      </c>
      <c r="T46" s="5">
        <f>IF(O46="NOT_CHECKED",0,40)+IF(P46="NOT_CHECKED",0,30)+IF(Q46="NOT_CHECKED",0,20)+IF(R46="NOT_CHECKED",0,10)</f>
        <v/>
      </c>
      <c r="U46" s="5">
        <f>IF(T46=100,S46,"")</f>
        <v/>
      </c>
      <c r="V46" s="5">
        <f>S46</f>
        <v/>
      </c>
      <c r="W46" s="5">
        <f>S46+(100-T46)</f>
        <v/>
      </c>
      <c r="X46" s="2" t="inlineStr">
        <is>
          <t>[]</t>
        </is>
      </c>
      <c r="Y46" s="2" t="inlineStr">
        <is>
          <t>["seo_runs/jeminise.com/20260906_234129/qa/20260909_043000/images/038_01.jpg", "https://jeminise.com/products/custom-american-football-on-usa-flag-background-comforter-703a7c0d82-703a7c0d82", "https://cdn.shopify.com/s/files/1/0792/5098/1063/files/e5722218140b0bda49ea2f5691bd969b1bc3066cad7c3a0bb0771d1509e66d50.jpg?v=1785101771"]</t>
        </is>
      </c>
    </row>
    <row r="47" ht="66" customHeight="1">
      <c r="A47" s="3" t="inlineStr">
        <is>
          <t>jeminise.com+custom-american-football-on-usa-flag-background-comforter-703a7c0d82-703a7c0d82</t>
        </is>
      </c>
      <c r="B47" s="3" t="inlineStr">
        <is>
          <t>qaimg_f115b796bd48c5f0</t>
        </is>
      </c>
      <c r="C47" s="4" t="inlineStr">
        <is>
          <t>https://cdn.shopify.com/s/files/1/0792/5098/1063/files/5583b1802d78e566880d8695a5c0bcdf0bb685b148b271042c5b29db02caaf18.jpg?v=1785101770</t>
        </is>
      </c>
      <c r="D47" s="4" t="inlineStr">
        <is>
          <t>https://cdn.shopify.com/s/files/1/0792/5098/1063/files/5583b1802d78e566880d8695a5c0bcdf0bb685b148b271042c5b29db02caaf18.jpg?v=1785101770</t>
        </is>
      </c>
      <c r="E47" s="3" t="inlineStr">
        <is>
          <t>47540295041223</t>
        </is>
      </c>
      <c r="F47" s="3" t="inlineStr">
        <is>
          <t>47540295041223</t>
        </is>
      </c>
      <c r="G47" s="3" t="inlineStr"/>
      <c r="H47" s="3" t="inlineStr">
        <is>
          <t>GALLERY</t>
        </is>
      </c>
      <c r="I47" s="3" t="inlineStr">
        <is>
          <t>DIRECT_IMAGE_VERIFICATION + R5_AUDIT</t>
        </is>
      </c>
      <c r="J47" s="3" t="inlineStr">
        <is>
          <t>2026-09-09T04:29:28.436834+07:00</t>
        </is>
      </c>
      <c r="K47" s="3" t="inlineStr">
        <is>
          <t>Angled bedroom mockup showing Michael sample name, number 30 pillowcases and USA flag football artwork.</t>
        </is>
      </c>
      <c r="L47" s="3" t="inlineStr">
        <is>
          <t>Angled bedroom mockup showing Michael sample name, number 30 pillowcases and USA flag football artwork.</t>
        </is>
      </c>
      <c r="M47" s="3" t="inlineStr">
        <is>
          <t>SET</t>
        </is>
      </c>
      <c r="N47" s="3" t="inlineStr">
        <is>
          <t>USA flag football comforter room mockup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3" t="inlineStr">
        <is>
          <t>FULL</t>
        </is>
      </c>
      <c r="S47" s="7">
        <f>IF(O47="FULL",40,IF(O47="PARTIAL",40/2,0))+IF(P47="FULL",30,IF(P47="PARTIAL",30/2,0))+IF(Q47="FULL",20,IF(Q47="PARTIAL",20/2,0))+IF(R47="FULL",10,IF(R47="PARTIAL",10/2,0))</f>
        <v/>
      </c>
      <c r="T47" s="7">
        <f>IF(O47="NOT_CHECKED",0,40)+IF(P47="NOT_CHECKED",0,30)+IF(Q47="NOT_CHECKED",0,20)+IF(R47="NOT_CHECKED",0,10)</f>
        <v/>
      </c>
      <c r="U47" s="7">
        <f>IF(T47=100,S47,"")</f>
        <v/>
      </c>
      <c r="V47" s="7">
        <f>S47</f>
        <v/>
      </c>
      <c r="W47" s="7">
        <f>S47+(100-T47)</f>
        <v/>
      </c>
      <c r="X47" s="3" t="inlineStr">
        <is>
          <t>[]</t>
        </is>
      </c>
      <c r="Y47" s="3" t="inlineStr">
        <is>
          <t>["seo_runs/jeminise.com/20260906_234129/qa/20260909_043000/images/038_02.jpg", "https://jeminise.com/products/custom-american-football-on-usa-flag-background-comforter-703a7c0d82-703a7c0d82", "https://cdn.shopify.com/s/files/1/0792/5098/1063/files/5583b1802d78e566880d8695a5c0bcdf0bb685b148b271042c5b29db02caaf18.jpg?v=1785101770"]</t>
        </is>
      </c>
    </row>
    <row r="48" ht="66" customHeight="1">
      <c r="A48" s="2" t="inlineStr">
        <is>
          <t>jeminise.com+custom-american-football-on-usa-flag-background-comforter-703a7c0d82-703a7c0d82</t>
        </is>
      </c>
      <c r="B48" s="2" t="inlineStr">
        <is>
          <t>qaimg_d42db3e36f2823e8</t>
        </is>
      </c>
      <c r="C48" s="4" t="inlineStr">
        <is>
          <t>https://cdn.shopify.com/s/files/1/0792/5098/1063/files/16f7293cbefa5743a35b2e6316a5a114e5c052d08151e367dafd26aa5e2e542b_50c40cd4-4737-483e-b146-d01efedc6b1f.jpg?v=1785101770</t>
        </is>
      </c>
      <c r="D48" s="4" t="inlineStr">
        <is>
          <t>https://cdn.shopify.com/s/files/1/0792/5098/1063/files/16f7293cbefa5743a35b2e6316a5a114e5c052d08151e367dafd26aa5e2e542b_50c40cd4-4737-483e-b146-d01efedc6b1f.jpg?v=1785101770</t>
        </is>
      </c>
      <c r="E48" s="2" t="inlineStr">
        <is>
          <t>47540295073991</t>
        </is>
      </c>
      <c r="F48" s="2" t="inlineStr">
        <is>
          <t>47540295073991</t>
        </is>
      </c>
      <c r="G48" s="2" t="inlineStr"/>
      <c r="H48" s="2" t="inlineStr">
        <is>
          <t>GALLERY</t>
        </is>
      </c>
      <c r="I48" s="2" t="inlineStr">
        <is>
          <t>DIRECT_IMAGE_VERIFICATION + R5_AUDIT</t>
        </is>
      </c>
      <c r="J48" s="2" t="inlineStr">
        <is>
          <t>2026-09-09T04:29:28.436834+07:00</t>
        </is>
      </c>
      <c r="K48" s="2" t="inlineStr">
        <is>
          <t>Product type comparison panel showing duvet cover set and comforter set options for all-season use.</t>
        </is>
      </c>
      <c r="L48" s="2" t="inlineStr">
        <is>
          <t>Product type comparison panel showing duvet cover set and comforter set options for all-season use.</t>
        </is>
      </c>
      <c r="M48" s="2" t="inlineStr">
        <is>
          <t>SET</t>
        </is>
      </c>
      <c r="N48" s="2" t="inlineStr">
        <is>
          <t>USA flag football comforter bedding type options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5">
        <f>IF(O48="FULL",40,IF(O48="PARTIAL",40/2,0))+IF(P48="FULL",30,IF(P48="PARTIAL",30/2,0))+IF(Q48="FULL",20,IF(Q48="PARTIAL",20/2,0))+IF(R48="FULL",10,IF(R48="PARTIAL",10/2,0))</f>
        <v/>
      </c>
      <c r="T48" s="5">
        <f>IF(O48="NOT_CHECKED",0,40)+IF(P48="NOT_CHECKED",0,30)+IF(Q48="NOT_CHECKED",0,20)+IF(R48="NOT_CHECKED",0,10)</f>
        <v/>
      </c>
      <c r="U48" s="5">
        <f>IF(T48=100,S48,"")</f>
        <v/>
      </c>
      <c r="V48" s="5">
        <f>S48</f>
        <v/>
      </c>
      <c r="W48" s="5">
        <f>S48+(100-T48)</f>
        <v/>
      </c>
      <c r="X48" s="2" t="inlineStr">
        <is>
          <t>[]</t>
        </is>
      </c>
      <c r="Y48" s="2" t="inlineStr">
        <is>
          <t>["seo_runs/jeminise.com/20260906_234129/qa/20260909_043000/images/038_03.jpg", "https://jeminise.com/products/custom-american-football-on-usa-flag-background-comforter-703a7c0d82-703a7c0d82", "https://cdn.shopify.com/s/files/1/0792/5098/1063/files/16f7293cbefa5743a35b2e6316a5a114e5c052d08151e367dafd26aa5e2e542b_50c40cd4-4737-483e-b146-d01efedc6b1f.jpg?v=1785101770"]</t>
        </is>
      </c>
    </row>
    <row r="49" ht="66" customHeight="1">
      <c r="A49" s="3" t="inlineStr">
        <is>
          <t>jeminise.com+custom-american-football-on-usa-flag-background-comforter-703a7c0d82-703a7c0d82</t>
        </is>
      </c>
      <c r="B49" s="3" t="inlineStr">
        <is>
          <t>qaimg_99346a3485478f71</t>
        </is>
      </c>
      <c r="C49" s="4" t="inlineStr">
        <is>
          <t>https://cdn.shopify.com/s/files/1/0792/5098/1063/files/c05fa3057772437a9c016de35e8829c295fa0f9aa5ab3e4cef2ef36b835bcecb.jpg?v=1785101770</t>
        </is>
      </c>
      <c r="D49" s="4" t="inlineStr">
        <is>
          <t>https://cdn.shopify.com/s/files/1/0792/5098/1063/files/c05fa3057772437a9c016de35e8829c295fa0f9aa5ab3e4cef2ef36b835bcecb.jpg?v=1785101770</t>
        </is>
      </c>
      <c r="E49" s="3" t="inlineStr">
        <is>
          <t>47540295106759</t>
        </is>
      </c>
      <c r="F49" s="3" t="inlineStr">
        <is>
          <t>47540295106759</t>
        </is>
      </c>
      <c r="G49" s="3" t="inlineStr"/>
      <c r="H49" s="3" t="inlineStr">
        <is>
          <t>GALLERY</t>
        </is>
      </c>
      <c r="I49" s="3" t="inlineStr">
        <is>
          <t>DIRECT_IMAGE_VERIFICATION + R5_AUDIT</t>
        </is>
      </c>
      <c r="J49" s="3" t="inlineStr">
        <is>
          <t>2026-09-09T04:29:28.436834+07:00</t>
        </is>
      </c>
      <c r="K49" s="3" t="inlineStr">
        <is>
          <t>Close bedroom view of USA flag football comforter with soft, lightweight, durable and breathable icons.</t>
        </is>
      </c>
      <c r="L49" s="3" t="inlineStr">
        <is>
          <t>Close bedroom view of USA flag football comforter with soft, lightweight, durable and breathable icons.</t>
        </is>
      </c>
      <c r="M49" s="3" t="inlineStr">
        <is>
          <t>SET</t>
        </is>
      </c>
      <c r="N49" s="3" t="inlineStr">
        <is>
          <t>USA flag football comforter feature icons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7">
        <f>IF(O49="FULL",40,IF(O49="PARTIAL",40/2,0))+IF(P49="FULL",30,IF(P49="PARTIAL",30/2,0))+IF(Q49="FULL",20,IF(Q49="PARTIAL",20/2,0))+IF(R49="FULL",10,IF(R49="PARTIAL",10/2,0))</f>
        <v/>
      </c>
      <c r="T49" s="7">
        <f>IF(O49="NOT_CHECKED",0,40)+IF(P49="NOT_CHECKED",0,30)+IF(Q49="NOT_CHECKED",0,20)+IF(R49="NOT_CHECKED",0,10)</f>
        <v/>
      </c>
      <c r="U49" s="7">
        <f>IF(T49=100,S49,"")</f>
        <v/>
      </c>
      <c r="V49" s="7">
        <f>S49</f>
        <v/>
      </c>
      <c r="W49" s="7">
        <f>S49+(100-T49)</f>
        <v/>
      </c>
      <c r="X49" s="3" t="inlineStr">
        <is>
          <t>[]</t>
        </is>
      </c>
      <c r="Y49" s="3" t="inlineStr">
        <is>
          <t>["seo_runs/jeminise.com/20260906_234129/qa/20260909_043000/images/038_04.jpg", "https://jeminise.com/products/custom-american-football-on-usa-flag-background-comforter-703a7c0d82-703a7c0d82", "https://cdn.shopify.com/s/files/1/0792/5098/1063/files/c05fa3057772437a9c016de35e8829c295fa0f9aa5ab3e4cef2ef36b835bcecb.jpg?v=1785101770"]</t>
        </is>
      </c>
    </row>
    <row r="50" ht="66" customHeight="1">
      <c r="A50" s="2" t="inlineStr">
        <is>
          <t>jeminise.com+custom-american-football-on-usa-flag-background-comforter-703a7c0d82-703a7c0d82</t>
        </is>
      </c>
      <c r="B50" s="2" t="inlineStr">
        <is>
          <t>qaimg_1a242778991d1060</t>
        </is>
      </c>
      <c r="C50" s="4" t="inlineStr">
        <is>
          <t>https://cdn.shopify.com/s/files/1/0792/5098/1063/files/7c006bddc94d4763c71c8376307e195c1bbce73b8c802ec73ac5a8cef1291262_e42da11c-22a6-4e3d-bb70-996edab6cf62.jpg?v=1785101771</t>
        </is>
      </c>
      <c r="D50" s="4" t="inlineStr">
        <is>
          <t>https://cdn.shopify.com/s/files/1/0792/5098/1063/files/7c006bddc94d4763c71c8376307e195c1bbce73b8c802ec73ac5a8cef1291262_e42da11c-22a6-4e3d-bb70-996edab6cf62.jpg?v=1785101771</t>
        </is>
      </c>
      <c r="E50" s="2" t="inlineStr">
        <is>
          <t>47540295139527</t>
        </is>
      </c>
      <c r="F50" s="2" t="inlineStr">
        <is>
          <t>47540295139527</t>
        </is>
      </c>
      <c r="G50" s="2" t="inlineStr"/>
      <c r="H50" s="2" t="inlineStr">
        <is>
          <t>GALLERY</t>
        </is>
      </c>
      <c r="I50" s="2" t="inlineStr">
        <is>
          <t>DIRECT_IMAGE_VERIFICATION + R5_AUDIT</t>
        </is>
      </c>
      <c r="J50" s="2" t="inlineStr">
        <is>
          <t>2026-09-09T04:29:28.436834+07:00</t>
        </is>
      </c>
      <c r="K50" s="2" t="inlineStr">
        <is>
          <t>Stress-free easy care panel listing wrinkle-free, stain-proof, anti-pilling and wash-fade notes.</t>
        </is>
      </c>
      <c r="L50" s="2" t="inlineStr">
        <is>
          <t>Stress-free easy care panel listing wrinkle-free, stain-proof, anti-pilling and wash-fade notes.</t>
        </is>
      </c>
      <c r="M50" s="2" t="inlineStr">
        <is>
          <t>SET</t>
        </is>
      </c>
      <c r="N50" s="2" t="inlineStr">
        <is>
          <t>USA flag football comforter easy care panel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5">
        <f>IF(O50="FULL",40,IF(O50="PARTIAL",40/2,0))+IF(P50="FULL",30,IF(P50="PARTIAL",30/2,0))+IF(Q50="FULL",20,IF(Q50="PARTIAL",20/2,0))+IF(R50="FULL",10,IF(R50="PARTIAL",10/2,0))</f>
        <v/>
      </c>
      <c r="T50" s="5">
        <f>IF(O50="NOT_CHECKED",0,40)+IF(P50="NOT_CHECKED",0,30)+IF(Q50="NOT_CHECKED",0,20)+IF(R50="NOT_CHECKED",0,10)</f>
        <v/>
      </c>
      <c r="U50" s="5">
        <f>IF(T50=100,S50,"")</f>
        <v/>
      </c>
      <c r="V50" s="5">
        <f>S50</f>
        <v/>
      </c>
      <c r="W50" s="5">
        <f>S50+(100-T50)</f>
        <v/>
      </c>
      <c r="X50" s="2" t="inlineStr">
        <is>
          <t>[]</t>
        </is>
      </c>
      <c r="Y50" s="2" t="inlineStr">
        <is>
          <t>["seo_runs/jeminise.com/20260906_234129/qa/20260909_043000/images/038_05.jpg", "https://jeminise.com/products/custom-american-football-on-usa-flag-background-comforter-703a7c0d82-703a7c0d82", "https://cdn.shopify.com/s/files/1/0792/5098/1063/files/7c006bddc94d4763c71c8376307e195c1bbce73b8c802ec73ac5a8cef1291262_e42da11c-22a6-4e3d-bb70-996edab6cf62.jpg?v=1785101771"]</t>
        </is>
      </c>
    </row>
    <row r="51" ht="66" customHeight="1">
      <c r="A51" s="3" t="inlineStr">
        <is>
          <t>jeminise.com+custom-american-football-on-usa-flag-background-comforter-703a7c0d82-703a7c0d82</t>
        </is>
      </c>
      <c r="B51" s="3" t="inlineStr">
        <is>
          <t>qaimg_dfc771a6b56abd3e</t>
        </is>
      </c>
      <c r="C51" s="4" t="inlineStr">
        <is>
          <t>https://cdn.shopify.com/s/files/1/0792/5098/1063/files/e5cad84edb4d7bf77c48fd7c8e52eb3b73f04eba8bf177671fd8a059c59422e8_83f80854-ef3b-498b-9687-6e0c3210b351.jpg?v=1785101770</t>
        </is>
      </c>
      <c r="D51" s="4" t="inlineStr">
        <is>
          <t>https://cdn.shopify.com/s/files/1/0792/5098/1063/files/e5cad84edb4d7bf77c48fd7c8e52eb3b73f04eba8bf177671fd8a059c59422e8_83f80854-ef3b-498b-9687-6e0c3210b351.jpg?v=1785101770</t>
        </is>
      </c>
      <c r="E51" s="3" t="inlineStr">
        <is>
          <t>47540295172295</t>
        </is>
      </c>
      <c r="F51" s="3" t="inlineStr">
        <is>
          <t>47540295172295</t>
        </is>
      </c>
      <c r="G51" s="3" t="inlineStr"/>
      <c r="H51" s="3" t="inlineStr">
        <is>
          <t>GALLERY</t>
        </is>
      </c>
      <c r="I51" s="3" t="inlineStr">
        <is>
          <t>DIRECT_IMAGE_VERIFICATION + R5_AUDIT</t>
        </is>
      </c>
      <c r="J51" s="3" t="inlineStr">
        <is>
          <t>2026-09-09T04:29:28.436834+07:00</t>
        </is>
      </c>
      <c r="K51" s="3" t="inlineStr">
        <is>
          <t>Size dimension panel showing Twin, Full, Queen and King bedding dimensions.</t>
        </is>
      </c>
      <c r="L51" s="3" t="inlineStr">
        <is>
          <t>Size dimension panel showing Twin, Full, Queen and King bedding dimensions.</t>
        </is>
      </c>
      <c r="M51" s="3" t="inlineStr">
        <is>
          <t>SET</t>
        </is>
      </c>
      <c r="N51" s="3" t="inlineStr">
        <is>
          <t>USA flag football comforter size chart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3" t="inlineStr">
        <is>
          <t>FULL</t>
        </is>
      </c>
      <c r="S51" s="7">
        <f>IF(O51="FULL",40,IF(O51="PARTIAL",40/2,0))+IF(P51="FULL",30,IF(P51="PARTIAL",30/2,0))+IF(Q51="FULL",20,IF(Q51="PARTIAL",20/2,0))+IF(R51="FULL",10,IF(R51="PARTIAL",10/2,0))</f>
        <v/>
      </c>
      <c r="T51" s="7">
        <f>IF(O51="NOT_CHECKED",0,40)+IF(P51="NOT_CHECKED",0,30)+IF(Q51="NOT_CHECKED",0,20)+IF(R51="NOT_CHECKED",0,10)</f>
        <v/>
      </c>
      <c r="U51" s="7">
        <f>IF(T51=100,S51,"")</f>
        <v/>
      </c>
      <c r="V51" s="7">
        <f>S51</f>
        <v/>
      </c>
      <c r="W51" s="7">
        <f>S51+(100-T51)</f>
        <v/>
      </c>
      <c r="X51" s="3" t="inlineStr">
        <is>
          <t>[]</t>
        </is>
      </c>
      <c r="Y51" s="3" t="inlineStr">
        <is>
          <t>["seo_runs/jeminise.com/20260906_234129/qa/20260909_043000/images/038_06.jpg", "https://jeminise.com/products/custom-american-football-on-usa-flag-background-comforter-703a7c0d82-703a7c0d82", "https://cdn.shopify.com/s/files/1/0792/5098/1063/files/e5cad84edb4d7bf77c48fd7c8e52eb3b73f04eba8bf177671fd8a059c59422e8_83f80854-ef3b-498b-9687-6e0c3210b351.jpg?v=1785101770"]</t>
        </is>
      </c>
    </row>
    <row r="52" ht="66" customHeight="1">
      <c r="A52" s="2" t="inlineStr">
        <is>
          <t>jeminise.com+custom-american-football-with-paint-splash-background-vintage-comforter-da0e1d5bf1-da0e1d5bf1</t>
        </is>
      </c>
      <c r="B52" s="2" t="inlineStr">
        <is>
          <t>qaimg_f57f1ca7373a267d</t>
        </is>
      </c>
      <c r="C52" s="4" t="inlineStr">
        <is>
          <t>https://cdn.shopify.com/s/files/1/0792/5098/1063/files/f9e8536c20f2dc19107c6fd69a43535c4bb88bac4323fd1ee6ac49a2601099d3.jpg?v=1785102312</t>
        </is>
      </c>
      <c r="D52" s="4" t="inlineStr">
        <is>
          <t>https://cdn.shopify.com/s/files/1/0792/5098/1063/files/f9e8536c20f2dc19107c6fd69a43535c4bb88bac4323fd1ee6ac49a2601099d3.jpg?v=1785102312</t>
        </is>
      </c>
      <c r="E52" s="2" t="inlineStr">
        <is>
          <t>47540326236359</t>
        </is>
      </c>
      <c r="F52" s="2" t="inlineStr">
        <is>
          <t>47540326236359</t>
        </is>
      </c>
      <c r="G52" s="2" t="inlineStr"/>
      <c r="H52" s="2" t="inlineStr">
        <is>
          <t>GALLERY</t>
        </is>
      </c>
      <c r="I52" s="2" t="inlineStr">
        <is>
          <t>DIRECT_IMAGE_VERIFICATION + R5_AUDIT</t>
        </is>
      </c>
      <c r="J52" s="2" t="inlineStr">
        <is>
          <t>2026-09-09T04:29:28.436834+07:00</t>
        </is>
      </c>
      <c r="K52" s="2" t="inlineStr">
        <is>
          <t>Paint splash football comforter bed mockup with Mark sample name, number 15 and brown-gold football artwork.</t>
        </is>
      </c>
      <c r="L52" s="2" t="inlineStr">
        <is>
          <t>Paint splash football comforter bed mockup with Mark sample name, number 15 and brown-gold football artwork.</t>
        </is>
      </c>
      <c r="M52" s="2" t="inlineStr">
        <is>
          <t>SET</t>
        </is>
      </c>
      <c r="N52" s="2" t="inlineStr">
        <is>
          <t>Personalized paint splash football comforter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5">
        <f>IF(O52="FULL",40,IF(O52="PARTIAL",40/2,0))+IF(P52="FULL",30,IF(P52="PARTIAL",30/2,0))+IF(Q52="FULL",20,IF(Q52="PARTIAL",20/2,0))+IF(R52="FULL",10,IF(R52="PARTIAL",10/2,0))</f>
        <v/>
      </c>
      <c r="T52" s="5">
        <f>IF(O52="NOT_CHECKED",0,40)+IF(P52="NOT_CHECKED",0,30)+IF(Q52="NOT_CHECKED",0,20)+IF(R52="NOT_CHECKED",0,10)</f>
        <v/>
      </c>
      <c r="U52" s="5">
        <f>IF(T52=100,S52,"")</f>
        <v/>
      </c>
      <c r="V52" s="5">
        <f>S52</f>
        <v/>
      </c>
      <c r="W52" s="5">
        <f>S52+(100-T52)</f>
        <v/>
      </c>
      <c r="X52" s="2" t="inlineStr">
        <is>
          <t>[]</t>
        </is>
      </c>
      <c r="Y52" s="2" t="inlineStr">
        <is>
          <t>["seo_runs/jeminise.com/20260906_234129/qa/20260909_043000/images/039_01.jpg", "https://jeminise.com/products/custom-american-football-with-paint-splash-background-vintage-comforter-da0e1d5bf1-da0e1d5bf1", "https://cdn.shopify.com/s/files/1/0792/5098/1063/files/f9e8536c20f2dc19107c6fd69a43535c4bb88bac4323fd1ee6ac49a2601099d3.jpg?v=1785102312"]</t>
        </is>
      </c>
    </row>
    <row r="53" ht="66" customHeight="1">
      <c r="A53" s="3" t="inlineStr">
        <is>
          <t>jeminise.com+custom-american-football-with-paint-splash-background-vintage-comforter-da0e1d5bf1-da0e1d5bf1</t>
        </is>
      </c>
      <c r="B53" s="3" t="inlineStr">
        <is>
          <t>qaimg_558cacbc16455716</t>
        </is>
      </c>
      <c r="C53" s="4" t="inlineStr">
        <is>
          <t>https://cdn.shopify.com/s/files/1/0792/5098/1063/files/928eb50ae3f1bc7e4d40765cc2350f1fd1aba1a4ed6c886ee957ba75876d92ff.jpg?v=1785102312</t>
        </is>
      </c>
      <c r="D53" s="4" t="inlineStr">
        <is>
          <t>https://cdn.shopify.com/s/files/1/0792/5098/1063/files/928eb50ae3f1bc7e4d40765cc2350f1fd1aba1a4ed6c886ee957ba75876d92ff.jpg?v=1785102312</t>
        </is>
      </c>
      <c r="E53" s="3" t="inlineStr">
        <is>
          <t>47540326269127</t>
        </is>
      </c>
      <c r="F53" s="3" t="inlineStr">
        <is>
          <t>47540326269127</t>
        </is>
      </c>
      <c r="G53" s="3" t="inlineStr"/>
      <c r="H53" s="3" t="inlineStr">
        <is>
          <t>GALLERY</t>
        </is>
      </c>
      <c r="I53" s="3" t="inlineStr">
        <is>
          <t>DIRECT_IMAGE_VERIFICATION + R5_AUDIT</t>
        </is>
      </c>
      <c r="J53" s="3" t="inlineStr">
        <is>
          <t>2026-09-09T04:29:28.436834+07:00</t>
        </is>
      </c>
      <c r="K53" s="3" t="inlineStr">
        <is>
          <t>Angled bedroom mockup showing Mark sample name, number 15 pillowcases and paint splash football artwork.</t>
        </is>
      </c>
      <c r="L53" s="3" t="inlineStr">
        <is>
          <t>Angled bedroom mockup showing Mark sample name, number 15 pillowcases and paint splash football artwork.</t>
        </is>
      </c>
      <c r="M53" s="3" t="inlineStr">
        <is>
          <t>SET</t>
        </is>
      </c>
      <c r="N53" s="3" t="inlineStr">
        <is>
          <t>Paint splash football comforter room mockup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7">
        <f>IF(O53="FULL",40,IF(O53="PARTIAL",40/2,0))+IF(P53="FULL",30,IF(P53="PARTIAL",30/2,0))+IF(Q53="FULL",20,IF(Q53="PARTIAL",20/2,0))+IF(R53="FULL",10,IF(R53="PARTIAL",10/2,0))</f>
        <v/>
      </c>
      <c r="T53" s="7">
        <f>IF(O53="NOT_CHECKED",0,40)+IF(P53="NOT_CHECKED",0,30)+IF(Q53="NOT_CHECKED",0,20)+IF(R53="NOT_CHECKED",0,10)</f>
        <v/>
      </c>
      <c r="U53" s="7">
        <f>IF(T53=100,S53,"")</f>
        <v/>
      </c>
      <c r="V53" s="7">
        <f>S53</f>
        <v/>
      </c>
      <c r="W53" s="7">
        <f>S53+(100-T53)</f>
        <v/>
      </c>
      <c r="X53" s="3" t="inlineStr">
        <is>
          <t>[]</t>
        </is>
      </c>
      <c r="Y53" s="3" t="inlineStr">
        <is>
          <t>["seo_runs/jeminise.com/20260906_234129/qa/20260909_043000/images/039_02.jpg", "https://jeminise.com/products/custom-american-football-with-paint-splash-background-vintage-comforter-da0e1d5bf1-da0e1d5bf1", "https://cdn.shopify.com/s/files/1/0792/5098/1063/files/928eb50ae3f1bc7e4d40765cc2350f1fd1aba1a4ed6c886ee957ba75876d92ff.jpg?v=1785102312"]</t>
        </is>
      </c>
    </row>
    <row r="54" ht="66" customHeight="1">
      <c r="A54" s="2" t="inlineStr">
        <is>
          <t>jeminise.com+custom-american-football-with-paint-splash-background-vintage-comforter-da0e1d5bf1-da0e1d5bf1</t>
        </is>
      </c>
      <c r="B54" s="2" t="inlineStr">
        <is>
          <t>qaimg_341de507c2adef85</t>
        </is>
      </c>
      <c r="C54" s="4" t="inlineStr">
        <is>
          <t>https://cdn.shopify.com/s/files/1/0792/5098/1063/files/16f7293cbefa5743a35b2e6316a5a114e5c052d08151e367dafd26aa5e2e542b_1acfa0ab-cba8-45fa-a4cf-f1fd84ab628b.jpg?v=1785102312</t>
        </is>
      </c>
      <c r="D54" s="4" t="inlineStr">
        <is>
          <t>https://cdn.shopify.com/s/files/1/0792/5098/1063/files/16f7293cbefa5743a35b2e6316a5a114e5c052d08151e367dafd26aa5e2e542b_1acfa0ab-cba8-45fa-a4cf-f1fd84ab628b.jpg?v=1785102312</t>
        </is>
      </c>
      <c r="E54" s="2" t="inlineStr">
        <is>
          <t>47540326301895</t>
        </is>
      </c>
      <c r="F54" s="2" t="inlineStr">
        <is>
          <t>47540326301895</t>
        </is>
      </c>
      <c r="G54" s="2" t="inlineStr"/>
      <c r="H54" s="2" t="inlineStr">
        <is>
          <t>GALLERY</t>
        </is>
      </c>
      <c r="I54" s="2" t="inlineStr">
        <is>
          <t>DIRECT_IMAGE_VERIFICATION + R5_AUDIT</t>
        </is>
      </c>
      <c r="J54" s="2" t="inlineStr">
        <is>
          <t>2026-09-09T04:29:28.436834+07:00</t>
        </is>
      </c>
      <c r="K54" s="2" t="inlineStr">
        <is>
          <t>Product type comparison panel showing duvet cover set and comforter set options for all-season use.</t>
        </is>
      </c>
      <c r="L54" s="2" t="inlineStr">
        <is>
          <t>Product type comparison panel showing duvet cover set and comforter set options for all-season use.</t>
        </is>
      </c>
      <c r="M54" s="2" t="inlineStr">
        <is>
          <t>SET</t>
        </is>
      </c>
      <c r="N54" s="2" t="inlineStr">
        <is>
          <t>Paint splash football bedding type options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5">
        <f>IF(O54="FULL",40,IF(O54="PARTIAL",40/2,0))+IF(P54="FULL",30,IF(P54="PARTIAL",30/2,0))+IF(Q54="FULL",20,IF(Q54="PARTIAL",20/2,0))+IF(R54="FULL",10,IF(R54="PARTIAL",10/2,0))</f>
        <v/>
      </c>
      <c r="T54" s="5">
        <f>IF(O54="NOT_CHECKED",0,40)+IF(P54="NOT_CHECKED",0,30)+IF(Q54="NOT_CHECKED",0,20)+IF(R54="NOT_CHECKED",0,10)</f>
        <v/>
      </c>
      <c r="U54" s="5">
        <f>IF(T54=100,S54,"")</f>
        <v/>
      </c>
      <c r="V54" s="5">
        <f>S54</f>
        <v/>
      </c>
      <c r="W54" s="5">
        <f>S54+(100-T54)</f>
        <v/>
      </c>
      <c r="X54" s="2" t="inlineStr">
        <is>
          <t>[]</t>
        </is>
      </c>
      <c r="Y54" s="2" t="inlineStr">
        <is>
          <t>["seo_runs/jeminise.com/20260906_234129/qa/20260909_043000/images/039_03.jpg", "https://jeminise.com/products/custom-american-football-with-paint-splash-background-vintage-comforter-da0e1d5bf1-da0e1d5bf1", "https://cdn.shopify.com/s/files/1/0792/5098/1063/files/16f7293cbefa5743a35b2e6316a5a114e5c052d08151e367dafd26aa5e2e542b_1acfa0ab-cba8-45fa-a4cf-f1fd84ab628b.jpg?v=1785102312"]</t>
        </is>
      </c>
    </row>
    <row r="55" ht="66" customHeight="1">
      <c r="A55" s="3" t="inlineStr">
        <is>
          <t>jeminise.com+custom-american-football-with-paint-splash-background-vintage-comforter-da0e1d5bf1-da0e1d5bf1</t>
        </is>
      </c>
      <c r="B55" s="3" t="inlineStr">
        <is>
          <t>qaimg_13afc64e218a59d2</t>
        </is>
      </c>
      <c r="C55" s="4" t="inlineStr">
        <is>
          <t>https://cdn.shopify.com/s/files/1/0792/5098/1063/files/fcef7f349baccd1d4b9d05508c169228825a3e4845ac14a8f93db8f652db7186.jpg?v=1785102312</t>
        </is>
      </c>
      <c r="D55" s="4" t="inlineStr">
        <is>
          <t>https://cdn.shopify.com/s/files/1/0792/5098/1063/files/fcef7f349baccd1d4b9d05508c169228825a3e4845ac14a8f93db8f652db7186.jpg?v=1785102312</t>
        </is>
      </c>
      <c r="E55" s="3" t="inlineStr">
        <is>
          <t>47540326334663</t>
        </is>
      </c>
      <c r="F55" s="3" t="inlineStr">
        <is>
          <t>47540326334663</t>
        </is>
      </c>
      <c r="G55" s="3" t="inlineStr"/>
      <c r="H55" s="3" t="inlineStr">
        <is>
          <t>GALLERY</t>
        </is>
      </c>
      <c r="I55" s="3" t="inlineStr">
        <is>
          <t>DIRECT_IMAGE_VERIFICATION + R5_AUDIT</t>
        </is>
      </c>
      <c r="J55" s="3" t="inlineStr">
        <is>
          <t>2026-09-09T04:29:28.436834+07:00</t>
        </is>
      </c>
      <c r="K55" s="3" t="inlineStr">
        <is>
          <t>Close bedroom view of paint splash football comforter with soft, lightweight, durable and breathable icons.</t>
        </is>
      </c>
      <c r="L55" s="3" t="inlineStr">
        <is>
          <t>Close bedroom view of paint splash football comforter with soft, lightweight, durable and breathable icons.</t>
        </is>
      </c>
      <c r="M55" s="3" t="inlineStr">
        <is>
          <t>SET</t>
        </is>
      </c>
      <c r="N55" s="3" t="inlineStr">
        <is>
          <t>Paint splash football comforter feature icons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3" t="inlineStr">
        <is>
          <t>FULL</t>
        </is>
      </c>
      <c r="S55" s="7">
        <f>IF(O55="FULL",40,IF(O55="PARTIAL",40/2,0))+IF(P55="FULL",30,IF(P55="PARTIAL",30/2,0))+IF(Q55="FULL",20,IF(Q55="PARTIAL",20/2,0))+IF(R55="FULL",10,IF(R55="PARTIAL",10/2,0))</f>
        <v/>
      </c>
      <c r="T55" s="7">
        <f>IF(O55="NOT_CHECKED",0,40)+IF(P55="NOT_CHECKED",0,30)+IF(Q55="NOT_CHECKED",0,20)+IF(R55="NOT_CHECKED",0,10)</f>
        <v/>
      </c>
      <c r="U55" s="7">
        <f>IF(T55=100,S55,"")</f>
        <v/>
      </c>
      <c r="V55" s="7">
        <f>S55</f>
        <v/>
      </c>
      <c r="W55" s="7">
        <f>S55+(100-T55)</f>
        <v/>
      </c>
      <c r="X55" s="3" t="inlineStr">
        <is>
          <t>[]</t>
        </is>
      </c>
      <c r="Y55" s="3" t="inlineStr">
        <is>
          <t>["seo_runs/jeminise.com/20260906_234129/qa/20260909_043000/images/039_04.jpg", "https://jeminise.com/products/custom-american-football-with-paint-splash-background-vintage-comforter-da0e1d5bf1-da0e1d5bf1", "https://cdn.shopify.com/s/files/1/0792/5098/1063/files/fcef7f349baccd1d4b9d05508c169228825a3e4845ac14a8f93db8f652db7186.jpg?v=1785102312"]</t>
        </is>
      </c>
    </row>
    <row r="56" ht="66" customHeight="1">
      <c r="A56" s="2" t="inlineStr">
        <is>
          <t>jeminise.com+custom-american-football-with-paint-splash-background-vintage-comforter-da0e1d5bf1-da0e1d5bf1</t>
        </is>
      </c>
      <c r="B56" s="2" t="inlineStr">
        <is>
          <t>qaimg_f17dd103af765a75</t>
        </is>
      </c>
      <c r="C56" s="4" t="inlineStr">
        <is>
          <t>https://cdn.shopify.com/s/files/1/0792/5098/1063/files/7c006bddc94d4763c71c8376307e195c1bbce73b8c802ec73ac5a8cef1291262_e57e2d4f-2a74-4a7f-9a82-b7c808f9b0cc.jpg?v=1785102312</t>
        </is>
      </c>
      <c r="D56" s="4" t="inlineStr">
        <is>
          <t>https://cdn.shopify.com/s/files/1/0792/5098/1063/files/7c006bddc94d4763c71c8376307e195c1bbce73b8c802ec73ac5a8cef1291262_e57e2d4f-2a74-4a7f-9a82-b7c808f9b0cc.jpg?v=1785102312</t>
        </is>
      </c>
      <c r="E56" s="2" t="inlineStr">
        <is>
          <t>47540326367431</t>
        </is>
      </c>
      <c r="F56" s="2" t="inlineStr">
        <is>
          <t>47540326367431</t>
        </is>
      </c>
      <c r="G56" s="2" t="inlineStr"/>
      <c r="H56" s="2" t="inlineStr">
        <is>
          <t>GALLERY</t>
        </is>
      </c>
      <c r="I56" s="2" t="inlineStr">
        <is>
          <t>DIRECT_IMAGE_VERIFICATION + R5_AUDIT</t>
        </is>
      </c>
      <c r="J56" s="2" t="inlineStr">
        <is>
          <t>2026-09-09T04:29:28.436834+07:00</t>
        </is>
      </c>
      <c r="K56" s="2" t="inlineStr">
        <is>
          <t>Stress-free easy care panel listing wrinkle-free, stain-proof, anti-pilling and wash-fade notes.</t>
        </is>
      </c>
      <c r="L56" s="2" t="inlineStr">
        <is>
          <t>Stress-free easy care panel listing wrinkle-free, stain-proof, anti-pilling and wash-fade notes.</t>
        </is>
      </c>
      <c r="M56" s="2" t="inlineStr">
        <is>
          <t>SET</t>
        </is>
      </c>
      <c r="N56" s="2" t="inlineStr">
        <is>
          <t>Paint splash football easy care panel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5">
        <f>IF(O56="FULL",40,IF(O56="PARTIAL",40/2,0))+IF(P56="FULL",30,IF(P56="PARTIAL",30/2,0))+IF(Q56="FULL",20,IF(Q56="PARTIAL",20/2,0))+IF(R56="FULL",10,IF(R56="PARTIAL",10/2,0))</f>
        <v/>
      </c>
      <c r="T56" s="5">
        <f>IF(O56="NOT_CHECKED",0,40)+IF(P56="NOT_CHECKED",0,30)+IF(Q56="NOT_CHECKED",0,20)+IF(R56="NOT_CHECKED",0,10)</f>
        <v/>
      </c>
      <c r="U56" s="5">
        <f>IF(T56=100,S56,"")</f>
        <v/>
      </c>
      <c r="V56" s="5">
        <f>S56</f>
        <v/>
      </c>
      <c r="W56" s="5">
        <f>S56+(100-T56)</f>
        <v/>
      </c>
      <c r="X56" s="2" t="inlineStr">
        <is>
          <t>[]</t>
        </is>
      </c>
      <c r="Y56" s="2" t="inlineStr">
        <is>
          <t>["seo_runs/jeminise.com/20260906_234129/qa/20260909_043000/images/039_05.jpg", "https://jeminise.com/products/custom-american-football-with-paint-splash-background-vintage-comforter-da0e1d5bf1-da0e1d5bf1", "https://cdn.shopify.com/s/files/1/0792/5098/1063/files/7c006bddc94d4763c71c8376307e195c1bbce73b8c802ec73ac5a8cef1291262_e57e2d4f-2a74-4a7f-9a82-b7c808f9b0cc.jpg?v=1785102312"]</t>
        </is>
      </c>
    </row>
    <row r="57" ht="66" customHeight="1">
      <c r="A57" s="3" t="inlineStr">
        <is>
          <t>jeminise.com+custom-american-football-with-paint-splash-background-vintage-comforter-da0e1d5bf1-da0e1d5bf1</t>
        </is>
      </c>
      <c r="B57" s="3" t="inlineStr">
        <is>
          <t>qaimg_957435caf59cffa3</t>
        </is>
      </c>
      <c r="C57" s="4" t="inlineStr">
        <is>
          <t>https://cdn.shopify.com/s/files/1/0792/5098/1063/files/e5cad84edb4d7bf77c48fd7c8e52eb3b73f04eba8bf177671fd8a059c59422e8_e4232455-7802-4105-bf12-f40717779408.jpg?v=1785102312</t>
        </is>
      </c>
      <c r="D57" s="4" t="inlineStr">
        <is>
          <t>https://cdn.shopify.com/s/files/1/0792/5098/1063/files/e5cad84edb4d7bf77c48fd7c8e52eb3b73f04eba8bf177671fd8a059c59422e8_e4232455-7802-4105-bf12-f40717779408.jpg?v=1785102312</t>
        </is>
      </c>
      <c r="E57" s="3" t="inlineStr">
        <is>
          <t>47540326400199</t>
        </is>
      </c>
      <c r="F57" s="3" t="inlineStr">
        <is>
          <t>47540326400199</t>
        </is>
      </c>
      <c r="G57" s="3" t="inlineStr"/>
      <c r="H57" s="3" t="inlineStr">
        <is>
          <t>GALLERY</t>
        </is>
      </c>
      <c r="I57" s="3" t="inlineStr">
        <is>
          <t>DIRECT_IMAGE_VERIFICATION + R5_AUDIT</t>
        </is>
      </c>
      <c r="J57" s="3" t="inlineStr">
        <is>
          <t>2026-09-09T04:29:28.436834+07:00</t>
        </is>
      </c>
      <c r="K57" s="3" t="inlineStr">
        <is>
          <t>Size dimension panel showing Twin, Full, Queen and King bedding dimensions.</t>
        </is>
      </c>
      <c r="L57" s="3" t="inlineStr">
        <is>
          <t>Size dimension panel showing Twin, Full, Queen and King bedding dimensions.</t>
        </is>
      </c>
      <c r="M57" s="3" t="inlineStr">
        <is>
          <t>SET</t>
        </is>
      </c>
      <c r="N57" s="3" t="inlineStr">
        <is>
          <t>Paint splash football comforter size chart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7">
        <f>IF(O57="FULL",40,IF(O57="PARTIAL",40/2,0))+IF(P57="FULL",30,IF(P57="PARTIAL",30/2,0))+IF(Q57="FULL",20,IF(Q57="PARTIAL",20/2,0))+IF(R57="FULL",10,IF(R57="PARTIAL",10/2,0))</f>
        <v/>
      </c>
      <c r="T57" s="7">
        <f>IF(O57="NOT_CHECKED",0,40)+IF(P57="NOT_CHECKED",0,30)+IF(Q57="NOT_CHECKED",0,20)+IF(R57="NOT_CHECKED",0,10)</f>
        <v/>
      </c>
      <c r="U57" s="7">
        <f>IF(T57=100,S57,"")</f>
        <v/>
      </c>
      <c r="V57" s="7">
        <f>S57</f>
        <v/>
      </c>
      <c r="W57" s="7">
        <f>S57+(100-T57)</f>
        <v/>
      </c>
      <c r="X57" s="3" t="inlineStr">
        <is>
          <t>[]</t>
        </is>
      </c>
      <c r="Y57" s="3" t="inlineStr">
        <is>
          <t>["seo_runs/jeminise.com/20260906_234129/qa/20260909_043000/images/039_06.jpg", "https://jeminise.com/products/custom-american-football-with-paint-splash-background-vintage-comforter-da0e1d5bf1-da0e1d5bf1", "https://cdn.shopify.com/s/files/1/0792/5098/1063/files/e5cad84edb4d7bf77c48fd7c8e52eb3b73f04eba8bf177671fd8a059c59422e8_e4232455-7802-4105-bf12-f40717779408.jpg?v=1785102312"]</t>
        </is>
      </c>
    </row>
    <row r="58" ht="66" customHeight="1">
      <c r="A58" s="2" t="inlineStr">
        <is>
          <t>jeminise.com+custom-american-football-with-patriotic-flag-comforter-4a3a1ed3c9-4a3a1ed3c9</t>
        </is>
      </c>
      <c r="B58" s="2" t="inlineStr">
        <is>
          <t>qaimg_b0aeb9f07dde8b60</t>
        </is>
      </c>
      <c r="C58" s="4" t="inlineStr">
        <is>
          <t>https://cdn.shopify.com/s/files/1/0792/5098/1063/files/a6aedfb7f9b81449b401a91a0409992efbba09d035e85d8e5cc7da9802dc0589.jpg?v=1785101840</t>
        </is>
      </c>
      <c r="D58" s="4" t="inlineStr">
        <is>
          <t>https://cdn.shopify.com/s/files/1/0792/5098/1063/files/a6aedfb7f9b81449b401a91a0409992efbba09d035e85d8e5cc7da9802dc0589.jpg?v=1785101840</t>
        </is>
      </c>
      <c r="E58" s="2" t="inlineStr">
        <is>
          <t>47540300546247</t>
        </is>
      </c>
      <c r="F58" s="2" t="inlineStr">
        <is>
          <t>47540300546247</t>
        </is>
      </c>
      <c r="G58" s="2" t="inlineStr"/>
      <c r="H58" s="2" t="inlineStr">
        <is>
          <t>GALLERY</t>
        </is>
      </c>
      <c r="I58" s="2" t="inlineStr">
        <is>
          <t>DIRECT_IMAGE_VERIFICATION + R5_AUDIT</t>
        </is>
      </c>
      <c r="J58" s="2" t="inlineStr">
        <is>
          <t>2026-09-09T04:29:28.436834+07:00</t>
        </is>
      </c>
      <c r="K58" s="2" t="inlineStr">
        <is>
          <t>Patriotic football comforter bed mockup with Matthew sample name, number 08 and football printed with American flag artwork.</t>
        </is>
      </c>
      <c r="L58" s="2" t="inlineStr">
        <is>
          <t>Patriotic football comforter bed mockup with Matthew sample name, number 08 and football printed with American flag artwork.</t>
        </is>
      </c>
      <c r="M58" s="2" t="inlineStr">
        <is>
          <t>SET</t>
        </is>
      </c>
      <c r="N58" s="2" t="inlineStr">
        <is>
          <t>Personalized patriotic football comforter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5">
        <f>IF(O58="FULL",40,IF(O58="PARTIAL",40/2,0))+IF(P58="FULL",30,IF(P58="PARTIAL",30/2,0))+IF(Q58="FULL",20,IF(Q58="PARTIAL",20/2,0))+IF(R58="FULL",10,IF(R58="PARTIAL",10/2,0))</f>
        <v/>
      </c>
      <c r="T58" s="5">
        <f>IF(O58="NOT_CHECKED",0,40)+IF(P58="NOT_CHECKED",0,30)+IF(Q58="NOT_CHECKED",0,20)+IF(R58="NOT_CHECKED",0,10)</f>
        <v/>
      </c>
      <c r="U58" s="5">
        <f>IF(T58=100,S58,"")</f>
        <v/>
      </c>
      <c r="V58" s="5">
        <f>S58</f>
        <v/>
      </c>
      <c r="W58" s="5">
        <f>S58+(100-T58)</f>
        <v/>
      </c>
      <c r="X58" s="2" t="inlineStr">
        <is>
          <t>[]</t>
        </is>
      </c>
      <c r="Y58" s="2" t="inlineStr">
        <is>
          <t>["seo_runs/jeminise.com/20260906_234129/qa/20260909_043000/images/040_01.jpg", "https://jeminise.com/products/custom-american-football-with-patriotic-flag-comforter-4a3a1ed3c9-4a3a1ed3c9", "https://cdn.shopify.com/s/files/1/0792/5098/1063/files/a6aedfb7f9b81449b401a91a0409992efbba09d035e85d8e5cc7da9802dc0589.jpg?v=1785101840"]</t>
        </is>
      </c>
    </row>
    <row r="59" ht="66" customHeight="1">
      <c r="A59" s="3" t="inlineStr">
        <is>
          <t>jeminise.com+custom-american-football-with-patriotic-flag-comforter-4a3a1ed3c9-4a3a1ed3c9</t>
        </is>
      </c>
      <c r="B59" s="3" t="inlineStr">
        <is>
          <t>qaimg_10a56cdad95e628f</t>
        </is>
      </c>
      <c r="C59" s="4" t="inlineStr">
        <is>
          <t>https://cdn.shopify.com/s/files/1/0792/5098/1063/files/c68aa5c462e7e6a06d4fab3fb3a9399d56e5454756be9390c9f0a2573c8bb7ae.jpg?v=1785101840</t>
        </is>
      </c>
      <c r="D59" s="4" t="inlineStr">
        <is>
          <t>https://cdn.shopify.com/s/files/1/0792/5098/1063/files/c68aa5c462e7e6a06d4fab3fb3a9399d56e5454756be9390c9f0a2573c8bb7ae.jpg?v=1785101840</t>
        </is>
      </c>
      <c r="E59" s="3" t="inlineStr">
        <is>
          <t>47540300579015</t>
        </is>
      </c>
      <c r="F59" s="3" t="inlineStr">
        <is>
          <t>47540300579015</t>
        </is>
      </c>
      <c r="G59" s="3" t="inlineStr"/>
      <c r="H59" s="3" t="inlineStr">
        <is>
          <t>GALLERY</t>
        </is>
      </c>
      <c r="I59" s="3" t="inlineStr">
        <is>
          <t>DIRECT_IMAGE_VERIFICATION + R5_AUDIT</t>
        </is>
      </c>
      <c r="J59" s="3" t="inlineStr">
        <is>
          <t>2026-09-09T04:29:28.436834+07:00</t>
        </is>
      </c>
      <c r="K59" s="3" t="inlineStr">
        <is>
          <t>Angled bedroom mockup showing Matthew sample name, number 08 pillowcases and patriotic football artwork.</t>
        </is>
      </c>
      <c r="L59" s="3" t="inlineStr">
        <is>
          <t>Angled bedroom mockup showing Matthew sample name, number 08 pillowcases and patriotic football artwork.</t>
        </is>
      </c>
      <c r="M59" s="3" t="inlineStr">
        <is>
          <t>SET</t>
        </is>
      </c>
      <c r="N59" s="3" t="inlineStr">
        <is>
          <t>Patriotic football comforter room mockup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3" t="inlineStr">
        <is>
          <t>FULL</t>
        </is>
      </c>
      <c r="S59" s="7">
        <f>IF(O59="FULL",40,IF(O59="PARTIAL",40/2,0))+IF(P59="FULL",30,IF(P59="PARTIAL",30/2,0))+IF(Q59="FULL",20,IF(Q59="PARTIAL",20/2,0))+IF(R59="FULL",10,IF(R59="PARTIAL",10/2,0))</f>
        <v/>
      </c>
      <c r="T59" s="7">
        <f>IF(O59="NOT_CHECKED",0,40)+IF(P59="NOT_CHECKED",0,30)+IF(Q59="NOT_CHECKED",0,20)+IF(R59="NOT_CHECKED",0,10)</f>
        <v/>
      </c>
      <c r="U59" s="7">
        <f>IF(T59=100,S59,"")</f>
        <v/>
      </c>
      <c r="V59" s="7">
        <f>S59</f>
        <v/>
      </c>
      <c r="W59" s="7">
        <f>S59+(100-T59)</f>
        <v/>
      </c>
      <c r="X59" s="3" t="inlineStr">
        <is>
          <t>[]</t>
        </is>
      </c>
      <c r="Y59" s="3" t="inlineStr">
        <is>
          <t>["seo_runs/jeminise.com/20260906_234129/qa/20260909_043000/images/040_02.jpg", "https://jeminise.com/products/custom-american-football-with-patriotic-flag-comforter-4a3a1ed3c9-4a3a1ed3c9", "https://cdn.shopify.com/s/files/1/0792/5098/1063/files/c68aa5c462e7e6a06d4fab3fb3a9399d56e5454756be9390c9f0a2573c8bb7ae.jpg?v=1785101840"]</t>
        </is>
      </c>
    </row>
    <row r="60" ht="66" customHeight="1">
      <c r="A60" s="2" t="inlineStr">
        <is>
          <t>jeminise.com+custom-american-football-with-patriotic-flag-comforter-4a3a1ed3c9-4a3a1ed3c9</t>
        </is>
      </c>
      <c r="B60" s="2" t="inlineStr">
        <is>
          <t>qaimg_d2d729216975a578</t>
        </is>
      </c>
      <c r="C60" s="4" t="inlineStr">
        <is>
          <t>https://cdn.shopify.com/s/files/1/0792/5098/1063/files/16f7293cbefa5743a35b2e6316a5a114e5c052d08151e367dafd26aa5e2e542b_4cbeb11e-e4ef-4f2d-8aa3-de326b38c11b.jpg?v=1785101840</t>
        </is>
      </c>
      <c r="D60" s="4" t="inlineStr">
        <is>
          <t>https://cdn.shopify.com/s/files/1/0792/5098/1063/files/16f7293cbefa5743a35b2e6316a5a114e5c052d08151e367dafd26aa5e2e542b_4cbeb11e-e4ef-4f2d-8aa3-de326b38c11b.jpg?v=1785101840</t>
        </is>
      </c>
      <c r="E60" s="2" t="inlineStr">
        <is>
          <t>47540300611783</t>
        </is>
      </c>
      <c r="F60" s="2" t="inlineStr">
        <is>
          <t>47540300611783</t>
        </is>
      </c>
      <c r="G60" s="2" t="inlineStr"/>
      <c r="H60" s="2" t="inlineStr">
        <is>
          <t>GALLERY</t>
        </is>
      </c>
      <c r="I60" s="2" t="inlineStr">
        <is>
          <t>DIRECT_IMAGE_VERIFICATION + R5_AUDIT</t>
        </is>
      </c>
      <c r="J60" s="2" t="inlineStr">
        <is>
          <t>2026-09-09T04:29:28.436834+07:00</t>
        </is>
      </c>
      <c r="K60" s="2" t="inlineStr">
        <is>
          <t>Product type comparison panel showing duvet cover set and comforter set options for all-season use.</t>
        </is>
      </c>
      <c r="L60" s="2" t="inlineStr">
        <is>
          <t>Product type comparison panel showing duvet cover set and comforter set options for all-season use.</t>
        </is>
      </c>
      <c r="M60" s="2" t="inlineStr">
        <is>
          <t>SET</t>
        </is>
      </c>
      <c r="N60" s="2" t="inlineStr">
        <is>
          <t>Patriotic football bedding type options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5">
        <f>IF(O60="FULL",40,IF(O60="PARTIAL",40/2,0))+IF(P60="FULL",30,IF(P60="PARTIAL",30/2,0))+IF(Q60="FULL",20,IF(Q60="PARTIAL",20/2,0))+IF(R60="FULL",10,IF(R60="PARTIAL",10/2,0))</f>
        <v/>
      </c>
      <c r="T60" s="5">
        <f>IF(O60="NOT_CHECKED",0,40)+IF(P60="NOT_CHECKED",0,30)+IF(Q60="NOT_CHECKED",0,20)+IF(R60="NOT_CHECKED",0,10)</f>
        <v/>
      </c>
      <c r="U60" s="5">
        <f>IF(T60=100,S60,"")</f>
        <v/>
      </c>
      <c r="V60" s="5">
        <f>S60</f>
        <v/>
      </c>
      <c r="W60" s="5">
        <f>S60+(100-T60)</f>
        <v/>
      </c>
      <c r="X60" s="2" t="inlineStr">
        <is>
          <t>[]</t>
        </is>
      </c>
      <c r="Y60" s="2" t="inlineStr">
        <is>
          <t>["seo_runs/jeminise.com/20260906_234129/qa/20260909_043000/images/040_03.jpg", "https://jeminise.com/products/custom-american-football-with-patriotic-flag-comforter-4a3a1ed3c9-4a3a1ed3c9", "https://cdn.shopify.com/s/files/1/0792/5098/1063/files/16f7293cbefa5743a35b2e6316a5a114e5c052d08151e367dafd26aa5e2e542b_4cbeb11e-e4ef-4f2d-8aa3-de326b38c11b.jpg?v=1785101840"]</t>
        </is>
      </c>
    </row>
    <row r="61" ht="66" customHeight="1">
      <c r="A61" s="3" t="inlineStr">
        <is>
          <t>jeminise.com+custom-american-football-with-patriotic-flag-comforter-4a3a1ed3c9-4a3a1ed3c9</t>
        </is>
      </c>
      <c r="B61" s="3" t="inlineStr">
        <is>
          <t>qaimg_d549accff2c936ca</t>
        </is>
      </c>
      <c r="C61" s="4" t="inlineStr">
        <is>
          <t>https://cdn.shopify.com/s/files/1/0792/5098/1063/files/56be7714426e11e337618ffdd9b78d22e6d77bcea91f35de4b20937187994964.jpg?v=1785101840</t>
        </is>
      </c>
      <c r="D61" s="4" t="inlineStr">
        <is>
          <t>https://cdn.shopify.com/s/files/1/0792/5098/1063/files/56be7714426e11e337618ffdd9b78d22e6d77bcea91f35de4b20937187994964.jpg?v=1785101840</t>
        </is>
      </c>
      <c r="E61" s="3" t="inlineStr">
        <is>
          <t>47540300644551</t>
        </is>
      </c>
      <c r="F61" s="3" t="inlineStr">
        <is>
          <t>47540300644551</t>
        </is>
      </c>
      <c r="G61" s="3" t="inlineStr"/>
      <c r="H61" s="3" t="inlineStr">
        <is>
          <t>GALLERY</t>
        </is>
      </c>
      <c r="I61" s="3" t="inlineStr">
        <is>
          <t>DIRECT_IMAGE_VERIFICATION + R5_AUDIT</t>
        </is>
      </c>
      <c r="J61" s="3" t="inlineStr">
        <is>
          <t>2026-09-09T04:29:28.436834+07:00</t>
        </is>
      </c>
      <c r="K61" s="3" t="inlineStr">
        <is>
          <t>Close bedroom view of patriotic football comforter with soft, lightweight, durable and breathable icons.</t>
        </is>
      </c>
      <c r="L61" s="3" t="inlineStr">
        <is>
          <t>Close bedroom view of patriotic football comforter with soft, lightweight, durable and breathable icons.</t>
        </is>
      </c>
      <c r="M61" s="3" t="inlineStr">
        <is>
          <t>SET</t>
        </is>
      </c>
      <c r="N61" s="3" t="inlineStr">
        <is>
          <t>Patriotic football comforter feature icons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3" t="inlineStr">
        <is>
          <t>FULL</t>
        </is>
      </c>
      <c r="S61" s="7">
        <f>IF(O61="FULL",40,IF(O61="PARTIAL",40/2,0))+IF(P61="FULL",30,IF(P61="PARTIAL",30/2,0))+IF(Q61="FULL",20,IF(Q61="PARTIAL",20/2,0))+IF(R61="FULL",10,IF(R61="PARTIAL",10/2,0))</f>
        <v/>
      </c>
      <c r="T61" s="7">
        <f>IF(O61="NOT_CHECKED",0,40)+IF(P61="NOT_CHECKED",0,30)+IF(Q61="NOT_CHECKED",0,20)+IF(R61="NOT_CHECKED",0,10)</f>
        <v/>
      </c>
      <c r="U61" s="7">
        <f>IF(T61=100,S61,"")</f>
        <v/>
      </c>
      <c r="V61" s="7">
        <f>S61</f>
        <v/>
      </c>
      <c r="W61" s="7">
        <f>S61+(100-T61)</f>
        <v/>
      </c>
      <c r="X61" s="3" t="inlineStr">
        <is>
          <t>[]</t>
        </is>
      </c>
      <c r="Y61" s="3" t="inlineStr">
        <is>
          <t>["seo_runs/jeminise.com/20260906_234129/qa/20260909_043000/images/040_04.jpg", "https://jeminise.com/products/custom-american-football-with-patriotic-flag-comforter-4a3a1ed3c9-4a3a1ed3c9", "https://cdn.shopify.com/s/files/1/0792/5098/1063/files/56be7714426e11e337618ffdd9b78d22e6d77bcea91f35de4b20937187994964.jpg?v=1785101840"]</t>
        </is>
      </c>
    </row>
    <row r="62" ht="66" customHeight="1">
      <c r="A62" s="2" t="inlineStr">
        <is>
          <t>jeminise.com+custom-american-football-with-patriotic-flag-comforter-4a3a1ed3c9-4a3a1ed3c9</t>
        </is>
      </c>
      <c r="B62" s="2" t="inlineStr">
        <is>
          <t>qaimg_70e791ea57becf57</t>
        </is>
      </c>
      <c r="C62" s="4" t="inlineStr">
        <is>
          <t>https://cdn.shopify.com/s/files/1/0792/5098/1063/files/7c006bddc94d4763c71c8376307e195c1bbce73b8c802ec73ac5a8cef1291262_66044d52-aa86-47c2-84d2-beed979c5ac0.jpg?v=1785101840</t>
        </is>
      </c>
      <c r="D62" s="4" t="inlineStr">
        <is>
          <t>https://cdn.shopify.com/s/files/1/0792/5098/1063/files/7c006bddc94d4763c71c8376307e195c1bbce73b8c802ec73ac5a8cef1291262_66044d52-aa86-47c2-84d2-beed979c5ac0.jpg?v=1785101840</t>
        </is>
      </c>
      <c r="E62" s="2" t="inlineStr">
        <is>
          <t>47540300677319</t>
        </is>
      </c>
      <c r="F62" s="2" t="inlineStr">
        <is>
          <t>47540300677319</t>
        </is>
      </c>
      <c r="G62" s="2" t="inlineStr"/>
      <c r="H62" s="2" t="inlineStr">
        <is>
          <t>GALLERY</t>
        </is>
      </c>
      <c r="I62" s="2" t="inlineStr">
        <is>
          <t>DIRECT_IMAGE_VERIFICATION + R5_AUDIT</t>
        </is>
      </c>
      <c r="J62" s="2" t="inlineStr">
        <is>
          <t>2026-09-09T04:29:28.436834+07:00</t>
        </is>
      </c>
      <c r="K62" s="2" t="inlineStr">
        <is>
          <t>Stress-free easy care panel listing wrinkle-free, stain-proof, anti-pilling and wash-fade notes.</t>
        </is>
      </c>
      <c r="L62" s="2" t="inlineStr">
        <is>
          <t>Stress-free easy care panel listing wrinkle-free, stain-proof, anti-pilling and wash-fade notes.</t>
        </is>
      </c>
      <c r="M62" s="2" t="inlineStr">
        <is>
          <t>SET</t>
        </is>
      </c>
      <c r="N62" s="2" t="inlineStr">
        <is>
          <t>Patriotic football easy care panel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5">
        <f>IF(O62="FULL",40,IF(O62="PARTIAL",40/2,0))+IF(P62="FULL",30,IF(P62="PARTIAL",30/2,0))+IF(Q62="FULL",20,IF(Q62="PARTIAL",20/2,0))+IF(R62="FULL",10,IF(R62="PARTIAL",10/2,0))</f>
        <v/>
      </c>
      <c r="T62" s="5">
        <f>IF(O62="NOT_CHECKED",0,40)+IF(P62="NOT_CHECKED",0,30)+IF(Q62="NOT_CHECKED",0,20)+IF(R62="NOT_CHECKED",0,10)</f>
        <v/>
      </c>
      <c r="U62" s="5">
        <f>IF(T62=100,S62,"")</f>
        <v/>
      </c>
      <c r="V62" s="5">
        <f>S62</f>
        <v/>
      </c>
      <c r="W62" s="5">
        <f>S62+(100-T62)</f>
        <v/>
      </c>
      <c r="X62" s="2" t="inlineStr">
        <is>
          <t>[]</t>
        </is>
      </c>
      <c r="Y62" s="2" t="inlineStr">
        <is>
          <t>["seo_runs/jeminise.com/20260906_234129/qa/20260909_043000/images/040_05.jpg", "https://jeminise.com/products/custom-american-football-with-patriotic-flag-comforter-4a3a1ed3c9-4a3a1ed3c9", "https://cdn.shopify.com/s/files/1/0792/5098/1063/files/7c006bddc94d4763c71c8376307e195c1bbce73b8c802ec73ac5a8cef1291262_66044d52-aa86-47c2-84d2-beed979c5ac0.jpg?v=1785101840"]</t>
        </is>
      </c>
    </row>
    <row r="63" ht="66" customHeight="1">
      <c r="A63" s="3" t="inlineStr">
        <is>
          <t>jeminise.com+custom-american-football-with-patriotic-flag-comforter-4a3a1ed3c9-4a3a1ed3c9</t>
        </is>
      </c>
      <c r="B63" s="3" t="inlineStr">
        <is>
          <t>qaimg_2ffaaa178e316a11</t>
        </is>
      </c>
      <c r="C63" s="4" t="inlineStr">
        <is>
          <t>https://cdn.shopify.com/s/files/1/0792/5098/1063/files/e5cad84edb4d7bf77c48fd7c8e52eb3b73f04eba8bf177671fd8a059c59422e8_e9a8f6c7-84a8-4f8e-a21c-61b347436f7e.jpg?v=1785101840</t>
        </is>
      </c>
      <c r="D63" s="4" t="inlineStr">
        <is>
          <t>https://cdn.shopify.com/s/files/1/0792/5098/1063/files/e5cad84edb4d7bf77c48fd7c8e52eb3b73f04eba8bf177671fd8a059c59422e8_e9a8f6c7-84a8-4f8e-a21c-61b347436f7e.jpg?v=1785101840</t>
        </is>
      </c>
      <c r="E63" s="3" t="inlineStr">
        <is>
          <t>47540300710087</t>
        </is>
      </c>
      <c r="F63" s="3" t="inlineStr">
        <is>
          <t>47540300710087</t>
        </is>
      </c>
      <c r="G63" s="3" t="inlineStr"/>
      <c r="H63" s="3" t="inlineStr">
        <is>
          <t>GALLERY</t>
        </is>
      </c>
      <c r="I63" s="3" t="inlineStr">
        <is>
          <t>DIRECT_IMAGE_VERIFICATION + R5_AUDIT</t>
        </is>
      </c>
      <c r="J63" s="3" t="inlineStr">
        <is>
          <t>2026-09-09T04:29:28.436834+07:00</t>
        </is>
      </c>
      <c r="K63" s="3" t="inlineStr">
        <is>
          <t>Size dimension panel showing Twin, Full, Queen and King bedding dimensions.</t>
        </is>
      </c>
      <c r="L63" s="3" t="inlineStr">
        <is>
          <t>Size dimension panel showing Twin, Full, Queen and King bedding dimensions.</t>
        </is>
      </c>
      <c r="M63" s="3" t="inlineStr">
        <is>
          <t>SET</t>
        </is>
      </c>
      <c r="N63" s="3" t="inlineStr">
        <is>
          <t>Patriotic football comforter size chart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FULL</t>
        </is>
      </c>
      <c r="S63" s="7">
        <f>IF(O63="FULL",40,IF(O63="PARTIAL",40/2,0))+IF(P63="FULL",30,IF(P63="PARTIAL",30/2,0))+IF(Q63="FULL",20,IF(Q63="PARTIAL",20/2,0))+IF(R63="FULL",10,IF(R63="PARTIAL",10/2,0))</f>
        <v/>
      </c>
      <c r="T63" s="7">
        <f>IF(O63="NOT_CHECKED",0,40)+IF(P63="NOT_CHECKED",0,30)+IF(Q63="NOT_CHECKED",0,20)+IF(R63="NOT_CHECKED",0,10)</f>
        <v/>
      </c>
      <c r="U63" s="7">
        <f>IF(T63=100,S63,"")</f>
        <v/>
      </c>
      <c r="V63" s="7">
        <f>S63</f>
        <v/>
      </c>
      <c r="W63" s="7">
        <f>S63+(100-T63)</f>
        <v/>
      </c>
      <c r="X63" s="3" t="inlineStr">
        <is>
          <t>[]</t>
        </is>
      </c>
      <c r="Y63" s="3" t="inlineStr">
        <is>
          <t>["seo_runs/jeminise.com/20260906_234129/qa/20260909_043000/images/040_06.jpg", "https://jeminise.com/products/custom-american-football-with-patriotic-flag-comforter-4a3a1ed3c9-4a3a1ed3c9", "https://cdn.shopify.com/s/files/1/0792/5098/1063/files/e5cad84edb4d7bf77c48fd7c8e52eb3b73f04eba8bf177671fd8a059c59422e8_e9a8f6c7-84a8-4f8e-a21c-61b347436f7e.jpg?v=1785101840"]</t>
        </is>
      </c>
    </row>
  </sheetData>
  <autoFilter ref="A1:Y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R5-LIM-SNAPSHOT</t>
        </is>
      </c>
      <c r="B2" s="2" t="inlineStr"/>
      <c r="C2" s="2" t="inlineStr"/>
      <c r="D2" s="2" t="inlineStr">
        <is>
          <t>LIMITATION</t>
        </is>
      </c>
      <c r="E2" s="2" t="inlineStr">
        <is>
          <t>historical HTML snapshot</t>
        </is>
      </c>
      <c r="F2" s="2" t="inlineStr">
        <is>
          <t>Phase QA snapshot was not independently re-rendered in r5.</t>
        </is>
      </c>
      <c r="G2" s="2" t="inlineStr">
        <is>
          <t>Frozen product, media and admin-export records were available and fully validated.</t>
        </is>
      </c>
      <c r="H2" s="2" t="inlineStr">
        <is>
          <t>Historical rendered HTML comparison remains limited; this does not indicate a defect in r5.</t>
        </is>
      </c>
      <c r="I2" s="2" t="inlineStr">
        <is>
          <t>Capture an immutable rendered HTML snapshot on the next source collection.</t>
        </is>
      </c>
      <c r="J2" s="2" t="inlineStr">
        <is>
          <t>D:\Shopify_Workspace\jeminise_seo\seo_runs\jeminise.com\20260906_234129\qa\20260909_043000\source_snapshot\SEO_Product_Optimization_qa_batch_004_r5.xlsx</t>
        </is>
      </c>
      <c r="K2" s="2" t="inlineStr">
        <is>
          <t>Compare two readable rendered HTML snapshots.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2026-09-08T21:29:28Z</dcterms:created>
  <dcterms:modified xmlns:dcterms="http://purl.org/dc/terms/" xmlns:xsi="http://www.w3.org/2001/XMLSchema-instance" xsi:type="dcterms:W3CDTF">2026-09-08T21:29:29Z</dcterms:modified>
</cp:coreProperties>
</file>