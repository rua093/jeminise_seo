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'QA_Products'!$A$1:$Y$11</definedName>
    <definedName name="_xlnm.Print_Titles" localSheetId="1">'QA_Products'!$1:$1</definedName>
    <definedName name="_xlnm._FilterDatabase" localSheetId="2" hidden="1">'QA_Criteria'!$A$1:$L$111</definedName>
    <definedName name="_xlnm.Print_Titles" localSheetId="2">'QA_Criteria'!$1:$1</definedName>
    <definedName name="_xlnm._FilterDatabase" localSheetId="3" hidden="1">'QA_Images'!$A$1:$Z$66</definedName>
    <definedName name="_xlnm.Print_Titles" localSheetId="3">'QA_Images'!$1:$1</definedName>
    <definedName name="_xlnm._FilterDatabase" localSheetId="4" hidden="1">'QA_Issues'!$A$1:$M$19</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autumn-cardinals-perched-above-large-sunflowers-quilt-with-cardinal-birds-9a3b408b20-9a3b408b20" TargetMode="External" Id="rId1"/><Relationship Type="http://schemas.openxmlformats.org/officeDocument/2006/relationships/hyperlink" Target="https://jeminise.com/products/bright-teal-yellow-softball-comforter-set-premium-sports-theme" TargetMode="External" Id="rId2"/><Relationship Type="http://schemas.openxmlformats.org/officeDocument/2006/relationships/hyperlink" Target="https://jeminise.com/products/cardinals-perched-beside-decorated-christmas-tree-patchwork-winter-quilt-7cd7bc46a0-7cd7bc46a0" TargetMode="External" Id="rId3"/><Relationship Type="http://schemas.openxmlformats.org/officeDocument/2006/relationships/hyperlink" Target="https://jeminise.com/products/cardinals-perched-on-branch-with-roses-patchwork-winter-quilt-21ac904cd7-21ac904cd7" TargetMode="External" Id="rId4"/><Relationship Type="http://schemas.openxmlformats.org/officeDocument/2006/relationships/hyperlink" Target="https://jeminise.com/products/cat-patchwork-quilt-set-animal-pattern-bedding-cat-pattern-quilt-set" TargetMode="External" Id="rId5"/><Relationship Type="http://schemas.openxmlformats.org/officeDocument/2006/relationships/hyperlink" Target="https://jeminise.com/products/cat-quilt-set-cat-patchwork-style-printed-bedding-animal-patchwork" TargetMode="External" Id="rId6"/><Relationship Type="http://schemas.openxmlformats.org/officeDocument/2006/relationships/hyperlink" Target="https://jeminise.com/products/celtic-and-fantasy-quilt-set-with-twisting-tree-trunk-and-exposed-roots-c7b1460bad-c7b1460bad" TargetMode="External" Id="rId7"/><Relationship Type="http://schemas.openxmlformats.org/officeDocument/2006/relationships/hyperlink" Target="https://jeminise.com/products/celtic-mythology-tree-of-life-quilt-set-with-celtic-knotwork-border-12786aba7e-12786aba7e" TargetMode="External" Id="rId8"/><Relationship Type="http://schemas.openxmlformats.org/officeDocument/2006/relationships/hyperlink" Target="https://jeminise.com/products/chicken-pattern-quilt-set-animal-patchwork-farmhouse-quilt-set" TargetMode="External" Id="rId9"/><Relationship Type="http://schemas.openxmlformats.org/officeDocument/2006/relationships/hyperlink" Target="https://jeminise.com/products/christian-bedding-set-inspirational-bible-verse-comforte-design-01"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0754b2731a7ffd916d0ef8b214706e796d780fbd4ba38c8f47f27b6dcfbf352e.jpg?v=1785099190" TargetMode="External" Id="rId1"/><Relationship Type="http://schemas.openxmlformats.org/officeDocument/2006/relationships/hyperlink" Target="https://cdn.shopify.com/s/files/1/0792/5098/1063/files/0754b2731a7ffd916d0ef8b214706e796d780fbd4ba38c8f47f27b6dcfbf352e.jpg?v=1785099190" TargetMode="External" Id="rId2"/><Relationship Type="http://schemas.openxmlformats.org/officeDocument/2006/relationships/hyperlink" Target="https://cdn.shopify.com/s/files/1/0792/5098/1063/files/a10aa0018e665e644a60b7c4aea8b5e152ec768ebb35af1090452cddbc9e9828.jpg?v=1785099190" TargetMode="External" Id="rId3"/><Relationship Type="http://schemas.openxmlformats.org/officeDocument/2006/relationships/hyperlink" Target="https://cdn.shopify.com/s/files/1/0792/5098/1063/files/a10aa0018e665e644a60b7c4aea8b5e152ec768ebb35af1090452cddbc9e9828.jpg?v=1785099190" TargetMode="External" Id="rId4"/><Relationship Type="http://schemas.openxmlformats.org/officeDocument/2006/relationships/hyperlink" Target="https://cdn.shopify.com/s/files/1/0792/5098/1063/files/c50488380d22611c83d218b77be9cfcf5799df4d9903913c09a1798712931b22.jpg?v=1785099190" TargetMode="External" Id="rId5"/><Relationship Type="http://schemas.openxmlformats.org/officeDocument/2006/relationships/hyperlink" Target="https://cdn.shopify.com/s/files/1/0792/5098/1063/files/c50488380d22611c83d218b77be9cfcf5799df4d9903913c09a1798712931b22.jpg?v=1785099190" TargetMode="External" Id="rId6"/><Relationship Type="http://schemas.openxmlformats.org/officeDocument/2006/relationships/hyperlink" Target="https://cdn.shopify.com/s/files/1/0792/5098/1063/files/455c5869333cc7654f6c30f3d09716ec1513311734a21a6aa82bf5fe0767ac69.jpg?v=1785099191" TargetMode="External" Id="rId7"/><Relationship Type="http://schemas.openxmlformats.org/officeDocument/2006/relationships/hyperlink" Target="https://cdn.shopify.com/s/files/1/0792/5098/1063/files/455c5869333cc7654f6c30f3d09716ec1513311734a21a6aa82bf5fe0767ac69.jpg?v=1785099191" TargetMode="External" Id="rId8"/><Relationship Type="http://schemas.openxmlformats.org/officeDocument/2006/relationships/hyperlink" Target="https://cdn.shopify.com/s/files/1/0792/5098/1063/files/f17ccb354040b3320b99a1960533bd6ef949db1145d3897d55a33673489caad9.jpg?v=1785099190" TargetMode="External" Id="rId9"/><Relationship Type="http://schemas.openxmlformats.org/officeDocument/2006/relationships/hyperlink" Target="https://cdn.shopify.com/s/files/1/0792/5098/1063/files/f17ccb354040b3320b99a1960533bd6ef949db1145d3897d55a33673489caad9.jpg?v=1785099190" TargetMode="External" Id="rId10"/><Relationship Type="http://schemas.openxmlformats.org/officeDocument/2006/relationships/hyperlink" Target="https://cdn.shopify.com/s/files/1/0792/5098/1063/files/aaac3be2edd458da15620b4b48ea0557ee8e33aa5a6ff9ed0d0db11848fd4cbe.jpg?v=1787245111" TargetMode="External" Id="rId11"/><Relationship Type="http://schemas.openxmlformats.org/officeDocument/2006/relationships/hyperlink" Target="https://cdn.shopify.com/s/files/1/0792/5098/1063/files/aaac3be2edd458da15620b4b48ea0557ee8e33aa5a6ff9ed0d0db11848fd4cbe.jpg?v=1787245111" TargetMode="External" Id="rId12"/><Relationship Type="http://schemas.openxmlformats.org/officeDocument/2006/relationships/hyperlink" Target="https://cdn.shopify.com/s/files/1/0792/5098/1063/files/b4d8d185bcbb550263dadfadb3419fffc97f4c44e070091e393e7296e5d6fb3c.jpg?v=1787245111" TargetMode="External" Id="rId13"/><Relationship Type="http://schemas.openxmlformats.org/officeDocument/2006/relationships/hyperlink" Target="https://cdn.shopify.com/s/files/1/0792/5098/1063/files/b4d8d185bcbb550263dadfadb3419fffc97f4c44e070091e393e7296e5d6fb3c.jpg?v=1787245111" TargetMode="External" Id="rId14"/><Relationship Type="http://schemas.openxmlformats.org/officeDocument/2006/relationships/hyperlink" Target="https://cdn.shopify.com/s/files/1/0792/5098/1063/files/4905418785c478f3ccf76145151452929eacdfc883190607ac14b204c401e760.jpg?v=1787245111" TargetMode="External" Id="rId15"/><Relationship Type="http://schemas.openxmlformats.org/officeDocument/2006/relationships/hyperlink" Target="https://cdn.shopify.com/s/files/1/0792/5098/1063/files/4905418785c478f3ccf76145151452929eacdfc883190607ac14b204c401e760.jpg?v=1787245111" TargetMode="External" Id="rId16"/><Relationship Type="http://schemas.openxmlformats.org/officeDocument/2006/relationships/hyperlink" Target="https://cdn.shopify.com/s/files/1/0792/5098/1063/files/66e753b90ce33322bda9902192b0d181e5f65b4823b1464fb51d32bee82398ed.jpg?v=1787245111" TargetMode="External" Id="rId17"/><Relationship Type="http://schemas.openxmlformats.org/officeDocument/2006/relationships/hyperlink" Target="https://cdn.shopify.com/s/files/1/0792/5098/1063/files/66e753b90ce33322bda9902192b0d181e5f65b4823b1464fb51d32bee82398ed.jpg?v=1787245111" TargetMode="External" Id="rId18"/><Relationship Type="http://schemas.openxmlformats.org/officeDocument/2006/relationships/hyperlink" Target="https://cdn.shopify.com/s/files/1/0792/5098/1063/files/a8d8145d1b6e7b4bbc3eb1dc71a100a3f3243648810f40f7f678de166dbfd428.jpg?v=1787245111" TargetMode="External" Id="rId19"/><Relationship Type="http://schemas.openxmlformats.org/officeDocument/2006/relationships/hyperlink" Target="https://cdn.shopify.com/s/files/1/0792/5098/1063/files/a8d8145d1b6e7b4bbc3eb1dc71a100a3f3243648810f40f7f678de166dbfd428.jpg?v=1787245111" TargetMode="External" Id="rId20"/><Relationship Type="http://schemas.openxmlformats.org/officeDocument/2006/relationships/hyperlink" Target="https://cdn.shopify.com/s/files/1/0792/5098/1063/files/b5c74b68d1b4eff2209b7123e3fbe61d1e31afd73aa5ba647e17c194e2e66c44_6ab5c586-a618-40f4-b48e-38e09e6a461b.jpg?v=1787245111" TargetMode="External" Id="rId21"/><Relationship Type="http://schemas.openxmlformats.org/officeDocument/2006/relationships/hyperlink" Target="https://cdn.shopify.com/s/files/1/0792/5098/1063/files/b5c74b68d1b4eff2209b7123e3fbe61d1e31afd73aa5ba647e17c194e2e66c44_6ab5c586-a618-40f4-b48e-38e09e6a461b.jpg?v=1787245111" TargetMode="External" Id="rId22"/><Relationship Type="http://schemas.openxmlformats.org/officeDocument/2006/relationships/hyperlink" Target="https://cdn.shopify.com/s/files/1/0792/5098/1063/files/a0ebf0c8e5cb1f2c8f924529805ea1d20494460dd41a740514b8862f5d5a2f4f_b03a920f-a52a-4b39-842e-77c13ca56137.jpg?v=1787245111" TargetMode="External" Id="rId23"/><Relationship Type="http://schemas.openxmlformats.org/officeDocument/2006/relationships/hyperlink" Target="https://cdn.shopify.com/s/files/1/0792/5098/1063/files/a0ebf0c8e5cb1f2c8f924529805ea1d20494460dd41a740514b8862f5d5a2f4f_b03a920f-a52a-4b39-842e-77c13ca56137.jpg?v=1787245111" TargetMode="External" Id="rId24"/><Relationship Type="http://schemas.openxmlformats.org/officeDocument/2006/relationships/hyperlink" Target="https://cdn.shopify.com/s/files/1/0792/5098/1063/files/3a652bff5b2cdcf1fb571a14f08c2175d783a6106bb14665fb5861e23501a1fa.jpg?v=1785099109" TargetMode="External" Id="rId25"/><Relationship Type="http://schemas.openxmlformats.org/officeDocument/2006/relationships/hyperlink" Target="https://cdn.shopify.com/s/files/1/0792/5098/1063/files/3a652bff5b2cdcf1fb571a14f08c2175d783a6106bb14665fb5861e23501a1fa.jpg?v=1785099109" TargetMode="External" Id="rId26"/><Relationship Type="http://schemas.openxmlformats.org/officeDocument/2006/relationships/hyperlink" Target="https://cdn.shopify.com/s/files/1/0792/5098/1063/files/23aae70766fcc57c63f2a120721dae1baf196f15ef46a71bef7a702d11c656ca.jpg?v=1785099109" TargetMode="External" Id="rId27"/><Relationship Type="http://schemas.openxmlformats.org/officeDocument/2006/relationships/hyperlink" Target="https://cdn.shopify.com/s/files/1/0792/5098/1063/files/23aae70766fcc57c63f2a120721dae1baf196f15ef46a71bef7a702d11c656ca.jpg?v=1785099109" TargetMode="External" Id="rId28"/><Relationship Type="http://schemas.openxmlformats.org/officeDocument/2006/relationships/hyperlink" Target="https://cdn.shopify.com/s/files/1/0792/5098/1063/files/3357b4715872fc6507e88263f9aa17ed3b1495f7db35293b4d27a2a5b80d78cc.jpg?v=1785099109" TargetMode="External" Id="rId29"/><Relationship Type="http://schemas.openxmlformats.org/officeDocument/2006/relationships/hyperlink" Target="https://cdn.shopify.com/s/files/1/0792/5098/1063/files/3357b4715872fc6507e88263f9aa17ed3b1495f7db35293b4d27a2a5b80d78cc.jpg?v=1785099109" TargetMode="External" Id="rId30"/><Relationship Type="http://schemas.openxmlformats.org/officeDocument/2006/relationships/hyperlink" Target="https://cdn.shopify.com/s/files/1/0792/5098/1063/files/04eb35beff0bef995d4912767e2bdec2b80be1f53292fdd9777645dd9375b5aa.jpg?v=1785099109" TargetMode="External" Id="rId31"/><Relationship Type="http://schemas.openxmlformats.org/officeDocument/2006/relationships/hyperlink" Target="https://cdn.shopify.com/s/files/1/0792/5098/1063/files/04eb35beff0bef995d4912767e2bdec2b80be1f53292fdd9777645dd9375b5aa.jpg?v=1785099109" TargetMode="External" Id="rId32"/><Relationship Type="http://schemas.openxmlformats.org/officeDocument/2006/relationships/hyperlink" Target="https://cdn.shopify.com/s/files/1/0792/5098/1063/files/61192968c1230d5ae97babcfd885b0b0e273f4d893aaaf63a91706f8a569a358.jpg?v=1785099109" TargetMode="External" Id="rId33"/><Relationship Type="http://schemas.openxmlformats.org/officeDocument/2006/relationships/hyperlink" Target="https://cdn.shopify.com/s/files/1/0792/5098/1063/files/61192968c1230d5ae97babcfd885b0b0e273f4d893aaaf63a91706f8a569a358.jpg?v=1785099109" TargetMode="External" Id="rId34"/><Relationship Type="http://schemas.openxmlformats.org/officeDocument/2006/relationships/hyperlink" Target="https://cdn.shopify.com/s/files/1/0792/5098/1063/files/e3dd349b4f8425ce46aea21296a0670e616f15f912e8415586fd0ccdb402fadf.jpg?v=1785099574" TargetMode="External" Id="rId35"/><Relationship Type="http://schemas.openxmlformats.org/officeDocument/2006/relationships/hyperlink" Target="https://cdn.shopify.com/s/files/1/0792/5098/1063/files/e3dd349b4f8425ce46aea21296a0670e616f15f912e8415586fd0ccdb402fadf.jpg?v=1785099574" TargetMode="External" Id="rId36"/><Relationship Type="http://schemas.openxmlformats.org/officeDocument/2006/relationships/hyperlink" Target="https://cdn.shopify.com/s/files/1/0792/5098/1063/files/5df2ae7ecc00cd0ab65d149177b7575a1608763d1d943fb3e9c2f1d9d8ad8183.jpg?v=1785099574" TargetMode="External" Id="rId37"/><Relationship Type="http://schemas.openxmlformats.org/officeDocument/2006/relationships/hyperlink" Target="https://cdn.shopify.com/s/files/1/0792/5098/1063/files/5df2ae7ecc00cd0ab65d149177b7575a1608763d1d943fb3e9c2f1d9d8ad8183.jpg?v=1785099574" TargetMode="External" Id="rId38"/><Relationship Type="http://schemas.openxmlformats.org/officeDocument/2006/relationships/hyperlink" Target="https://cdn.shopify.com/s/files/1/0792/5098/1063/files/237f2056af02c2988db426ce4802f4abd6dac07ceb24c04b20a244c9be27b457.jpg?v=1785099574" TargetMode="External" Id="rId39"/><Relationship Type="http://schemas.openxmlformats.org/officeDocument/2006/relationships/hyperlink" Target="https://cdn.shopify.com/s/files/1/0792/5098/1063/files/237f2056af02c2988db426ce4802f4abd6dac07ceb24c04b20a244c9be27b457.jpg?v=1785099574" TargetMode="External" Id="rId40"/><Relationship Type="http://schemas.openxmlformats.org/officeDocument/2006/relationships/hyperlink" Target="https://cdn.shopify.com/s/files/1/0792/5098/1063/files/f1d2e21fbc5647f823f22c48940e5deec0311ead7e9b772c492ecf82b2b3ff3b.jpg?v=1785099574" TargetMode="External" Id="rId41"/><Relationship Type="http://schemas.openxmlformats.org/officeDocument/2006/relationships/hyperlink" Target="https://cdn.shopify.com/s/files/1/0792/5098/1063/files/f1d2e21fbc5647f823f22c48940e5deec0311ead7e9b772c492ecf82b2b3ff3b.jpg?v=1785099574" TargetMode="External" Id="rId42"/><Relationship Type="http://schemas.openxmlformats.org/officeDocument/2006/relationships/hyperlink" Target="https://cdn.shopify.com/s/files/1/0792/5098/1063/files/1cb933b580b777ff9fc7d527ca0ea879bde39d1f8b7faaac1505885401cf4b7b.jpg?v=1785099574" TargetMode="External" Id="rId43"/><Relationship Type="http://schemas.openxmlformats.org/officeDocument/2006/relationships/hyperlink" Target="https://cdn.shopify.com/s/files/1/0792/5098/1063/files/1cb933b580b777ff9fc7d527ca0ea879bde39d1f8b7faaac1505885401cf4b7b.jpg?v=1785099574" TargetMode="External" Id="rId44"/><Relationship Type="http://schemas.openxmlformats.org/officeDocument/2006/relationships/hyperlink" Target="https://cdn.shopify.com/s/files/1/0792/5098/1063/files/4cb58385aa64c7ba3ce5dabd48014490cd060d90ab8ef7be5d1681dbc0c68a37.jpg?v=1787233666" TargetMode="External" Id="rId45"/><Relationship Type="http://schemas.openxmlformats.org/officeDocument/2006/relationships/hyperlink" Target="https://cdn.shopify.com/s/files/1/0792/5098/1063/files/4cb58385aa64c7ba3ce5dabd48014490cd060d90ab8ef7be5d1681dbc0c68a37.jpg?v=1787233666" TargetMode="External" Id="rId46"/><Relationship Type="http://schemas.openxmlformats.org/officeDocument/2006/relationships/hyperlink" Target="https://cdn.shopify.com/s/files/1/0792/5098/1063/files/94180d9f213d8233e384ef8416ec958afd6fe38eeda43d032fd598d852a3a274.jpg?v=1787233665" TargetMode="External" Id="rId47"/><Relationship Type="http://schemas.openxmlformats.org/officeDocument/2006/relationships/hyperlink" Target="https://cdn.shopify.com/s/files/1/0792/5098/1063/files/94180d9f213d8233e384ef8416ec958afd6fe38eeda43d032fd598d852a3a274.jpg?v=1787233665" TargetMode="External" Id="rId48"/><Relationship Type="http://schemas.openxmlformats.org/officeDocument/2006/relationships/hyperlink" Target="https://cdn.shopify.com/s/files/1/0792/5098/1063/files/a98e42be7f34a03d4b9ee94c19374ef39f213c4ad9c5936eb702be120e072cb3.jpg?v=1787233666" TargetMode="External" Id="rId49"/><Relationship Type="http://schemas.openxmlformats.org/officeDocument/2006/relationships/hyperlink" Target="https://cdn.shopify.com/s/files/1/0792/5098/1063/files/a98e42be7f34a03d4b9ee94c19374ef39f213c4ad9c5936eb702be120e072cb3.jpg?v=1787233666" TargetMode="External" Id="rId50"/><Relationship Type="http://schemas.openxmlformats.org/officeDocument/2006/relationships/hyperlink" Target="https://cdn.shopify.com/s/files/1/0792/5098/1063/files/06467b270df2093a70f746e873ebb0b88964a81ef45800624c02604fd1ec068a.jpg?v=1787233666" TargetMode="External" Id="rId51"/><Relationship Type="http://schemas.openxmlformats.org/officeDocument/2006/relationships/hyperlink" Target="https://cdn.shopify.com/s/files/1/0792/5098/1063/files/06467b270df2093a70f746e873ebb0b88964a81ef45800624c02604fd1ec068a.jpg?v=1787233666" TargetMode="External" Id="rId52"/><Relationship Type="http://schemas.openxmlformats.org/officeDocument/2006/relationships/hyperlink" Target="https://cdn.shopify.com/s/files/1/0792/5098/1063/files/1869de0465a480871b4b80a13c5f44c85e64ca5f22f90032fa07b5ca5660dbfb.jpg?v=1787233666" TargetMode="External" Id="rId53"/><Relationship Type="http://schemas.openxmlformats.org/officeDocument/2006/relationships/hyperlink" Target="https://cdn.shopify.com/s/files/1/0792/5098/1063/files/1869de0465a480871b4b80a13c5f44c85e64ca5f22f90032fa07b5ca5660dbfb.jpg?v=1787233666" TargetMode="External" Id="rId54"/><Relationship Type="http://schemas.openxmlformats.org/officeDocument/2006/relationships/hyperlink" Target="https://cdn.shopify.com/s/files/1/0792/5098/1063/files/bac284f19ea6eaebff7bffc00fe351531fdc59f4eed7da6ff7803f1bb87999b1.jpg?v=1787233665" TargetMode="External" Id="rId55"/><Relationship Type="http://schemas.openxmlformats.org/officeDocument/2006/relationships/hyperlink" Target="https://cdn.shopify.com/s/files/1/0792/5098/1063/files/bac284f19ea6eaebff7bffc00fe351531fdc59f4eed7da6ff7803f1bb87999b1.jpg?v=1787233665" TargetMode="External" Id="rId56"/><Relationship Type="http://schemas.openxmlformats.org/officeDocument/2006/relationships/hyperlink" Target="https://cdn.shopify.com/s/files/1/0792/5098/1063/files/08d3fe0c396e254e929909cf54b1707f62fb396b6d05c2ab0c56c631789ab04d.jpg?v=1787233665" TargetMode="External" Id="rId57"/><Relationship Type="http://schemas.openxmlformats.org/officeDocument/2006/relationships/hyperlink" Target="https://cdn.shopify.com/s/files/1/0792/5098/1063/files/08d3fe0c396e254e929909cf54b1707f62fb396b6d05c2ab0c56c631789ab04d.jpg?v=1787233665" TargetMode="External" Id="rId58"/><Relationship Type="http://schemas.openxmlformats.org/officeDocument/2006/relationships/hyperlink" Target="https://cdn.shopify.com/s/files/1/0792/5098/1063/files/168d48c33af74fd729615aa6c0790691ec2ec8ab000886bd93c0851b05764cb5.jpg?v=1787233678" TargetMode="External" Id="rId59"/><Relationship Type="http://schemas.openxmlformats.org/officeDocument/2006/relationships/hyperlink" Target="https://cdn.shopify.com/s/files/1/0792/5098/1063/files/168d48c33af74fd729615aa6c0790691ec2ec8ab000886bd93c0851b05764cb5.jpg?v=1787233678" TargetMode="External" Id="rId60"/><Relationship Type="http://schemas.openxmlformats.org/officeDocument/2006/relationships/hyperlink" Target="https://cdn.shopify.com/s/files/1/0792/5098/1063/files/5fb11ab02ba6d7c7d6dc7b600952eeed36e59dc4fd7d78e26290c5b4432ce84a.jpg?v=1787233677" TargetMode="External" Id="rId61"/><Relationship Type="http://schemas.openxmlformats.org/officeDocument/2006/relationships/hyperlink" Target="https://cdn.shopify.com/s/files/1/0792/5098/1063/files/5fb11ab02ba6d7c7d6dc7b600952eeed36e59dc4fd7d78e26290c5b4432ce84a.jpg?v=1787233677" TargetMode="External" Id="rId62"/><Relationship Type="http://schemas.openxmlformats.org/officeDocument/2006/relationships/hyperlink" Target="https://cdn.shopify.com/s/files/1/0792/5098/1063/files/016cba1137ec3b2b7bdd46e0d797a4962a5f54c2379fde509b2301ca87b4ad35.jpg?v=1787233678" TargetMode="External" Id="rId63"/><Relationship Type="http://schemas.openxmlformats.org/officeDocument/2006/relationships/hyperlink" Target="https://cdn.shopify.com/s/files/1/0792/5098/1063/files/016cba1137ec3b2b7bdd46e0d797a4962a5f54c2379fde509b2301ca87b4ad35.jpg?v=1787233678" TargetMode="External" Id="rId64"/><Relationship Type="http://schemas.openxmlformats.org/officeDocument/2006/relationships/hyperlink" Target="https://cdn.shopify.com/s/files/1/0792/5098/1063/files/f8cc70311d22e4bc770b45756e723f2451f8d0e3a5de4035dc223375ea6ac88e.jpg?v=1787233678" TargetMode="External" Id="rId65"/><Relationship Type="http://schemas.openxmlformats.org/officeDocument/2006/relationships/hyperlink" Target="https://cdn.shopify.com/s/files/1/0792/5098/1063/files/f8cc70311d22e4bc770b45756e723f2451f8d0e3a5de4035dc223375ea6ac88e.jpg?v=1787233678" TargetMode="External" Id="rId66"/><Relationship Type="http://schemas.openxmlformats.org/officeDocument/2006/relationships/hyperlink" Target="https://cdn.shopify.com/s/files/1/0792/5098/1063/files/0b98d63f67b9b39913382ed53f2a21445b22531d2b9fff267d884d37d466742f.jpg?v=1787233678" TargetMode="External" Id="rId67"/><Relationship Type="http://schemas.openxmlformats.org/officeDocument/2006/relationships/hyperlink" Target="https://cdn.shopify.com/s/files/1/0792/5098/1063/files/0b98d63f67b9b39913382ed53f2a21445b22531d2b9fff267d884d37d466742f.jpg?v=1787233678" TargetMode="External" Id="rId68"/><Relationship Type="http://schemas.openxmlformats.org/officeDocument/2006/relationships/hyperlink" Target="https://cdn.shopify.com/s/files/1/0792/5098/1063/files/5155a60b18436e391bed973022f7062d5434ddd6d570a51bc67a5fdb0c719df7.jpg?v=1787233678" TargetMode="External" Id="rId69"/><Relationship Type="http://schemas.openxmlformats.org/officeDocument/2006/relationships/hyperlink" Target="https://cdn.shopify.com/s/files/1/0792/5098/1063/files/5155a60b18436e391bed973022f7062d5434ddd6d570a51bc67a5fdb0c719df7.jpg?v=1787233678" TargetMode="External" Id="rId70"/><Relationship Type="http://schemas.openxmlformats.org/officeDocument/2006/relationships/hyperlink" Target="https://cdn.shopify.com/s/files/1/0792/5098/1063/files/0df0c698011b3a8e7982071042b9453452548b6175c2c4076cc8bb84ebb1a277.jpg?v=1787233678" TargetMode="External" Id="rId71"/><Relationship Type="http://schemas.openxmlformats.org/officeDocument/2006/relationships/hyperlink" Target="https://cdn.shopify.com/s/files/1/0792/5098/1063/files/0df0c698011b3a8e7982071042b9453452548b6175c2c4076cc8bb84ebb1a277.jpg?v=1787233678" TargetMode="External" Id="rId72"/><Relationship Type="http://schemas.openxmlformats.org/officeDocument/2006/relationships/hyperlink" Target="https://cdn.shopify.com/s/files/1/0792/5098/1063/files/fa88df693fa60cabcd0f81ce06bcd29af56cdf7514f68810d99ef599203c821d.jpg?v=1785047367" TargetMode="External" Id="rId73"/><Relationship Type="http://schemas.openxmlformats.org/officeDocument/2006/relationships/hyperlink" Target="https://cdn.shopify.com/s/files/1/0792/5098/1063/files/fa88df693fa60cabcd0f81ce06bcd29af56cdf7514f68810d99ef599203c821d.jpg?v=1785047367" TargetMode="External" Id="rId74"/><Relationship Type="http://schemas.openxmlformats.org/officeDocument/2006/relationships/hyperlink" Target="https://cdn.shopify.com/s/files/1/0792/5098/1063/files/77672c69bdca6fa3e34e5d859164a2661a0ec26b6ac10221a3df3171a6df2791.jpg?v=1785047367" TargetMode="External" Id="rId75"/><Relationship Type="http://schemas.openxmlformats.org/officeDocument/2006/relationships/hyperlink" Target="https://cdn.shopify.com/s/files/1/0792/5098/1063/files/77672c69bdca6fa3e34e5d859164a2661a0ec26b6ac10221a3df3171a6df2791.jpg?v=1785047367" TargetMode="External" Id="rId76"/><Relationship Type="http://schemas.openxmlformats.org/officeDocument/2006/relationships/hyperlink" Target="https://cdn.shopify.com/s/files/1/0792/5098/1063/files/ef4c0af4b6e931816fba2b315617ce40f57b62cc23bc9476fc29bcd9f7fea3ed.jpg?v=1785047367" TargetMode="External" Id="rId77"/><Relationship Type="http://schemas.openxmlformats.org/officeDocument/2006/relationships/hyperlink" Target="https://cdn.shopify.com/s/files/1/0792/5098/1063/files/ef4c0af4b6e931816fba2b315617ce40f57b62cc23bc9476fc29bcd9f7fea3ed.jpg?v=1785047367" TargetMode="External" Id="rId78"/><Relationship Type="http://schemas.openxmlformats.org/officeDocument/2006/relationships/hyperlink" Target="https://cdn.shopify.com/s/files/1/0792/5098/1063/files/a0029afc03d47a3a82238a1bab89f1066c3687b3f06500badea074cba44f9e80.jpg?v=1785047367" TargetMode="External" Id="rId79"/><Relationship Type="http://schemas.openxmlformats.org/officeDocument/2006/relationships/hyperlink" Target="https://cdn.shopify.com/s/files/1/0792/5098/1063/files/a0029afc03d47a3a82238a1bab89f1066c3687b3f06500badea074cba44f9e80.jpg?v=1785047367" TargetMode="External" Id="rId80"/><Relationship Type="http://schemas.openxmlformats.org/officeDocument/2006/relationships/hyperlink" Target="https://cdn.shopify.com/s/files/1/0792/5098/1063/files/ce768ad21d8034d259875beb1f86914d1af6b1b5f584dd33080fe12b5797fde7.jpg?v=1785047367" TargetMode="External" Id="rId81"/><Relationship Type="http://schemas.openxmlformats.org/officeDocument/2006/relationships/hyperlink" Target="https://cdn.shopify.com/s/files/1/0792/5098/1063/files/ce768ad21d8034d259875beb1f86914d1af6b1b5f584dd33080fe12b5797fde7.jpg?v=1785047367" TargetMode="External" Id="rId82"/><Relationship Type="http://schemas.openxmlformats.org/officeDocument/2006/relationships/hyperlink" Target="https://cdn.shopify.com/s/files/1/0792/5098/1063/files/211a7f518d47f7ccc7aea2fcf7dd6eccdae71860c4b90e78d4de70ce53d36eb9.jpg?v=1785047367" TargetMode="External" Id="rId83"/><Relationship Type="http://schemas.openxmlformats.org/officeDocument/2006/relationships/hyperlink" Target="https://cdn.shopify.com/s/files/1/0792/5098/1063/files/211a7f518d47f7ccc7aea2fcf7dd6eccdae71860c4b90e78d4de70ce53d36eb9.jpg?v=1785047367" TargetMode="External" Id="rId84"/><Relationship Type="http://schemas.openxmlformats.org/officeDocument/2006/relationships/hyperlink" Target="https://cdn.shopify.com/s/files/1/0792/5098/1063/files/285b33441b58fd0660e7d9fbad77f1aeb4d88a3e3678d0ef0a1341e0d0cab3fa.jpg?v=1785047367" TargetMode="External" Id="rId85"/><Relationship Type="http://schemas.openxmlformats.org/officeDocument/2006/relationships/hyperlink" Target="https://cdn.shopify.com/s/files/1/0792/5098/1063/files/285b33441b58fd0660e7d9fbad77f1aeb4d88a3e3678d0ef0a1341e0d0cab3fa.jpg?v=1785047367" TargetMode="External" Id="rId86"/><Relationship Type="http://schemas.openxmlformats.org/officeDocument/2006/relationships/hyperlink" Target="https://cdn.shopify.com/s/files/1/0792/5098/1063/files/eeee3be59c912ddfb95b556144ad283287f06b56c3797e9000aed4094e9c0f46.jpg?v=1785047188" TargetMode="External" Id="rId87"/><Relationship Type="http://schemas.openxmlformats.org/officeDocument/2006/relationships/hyperlink" Target="https://cdn.shopify.com/s/files/1/0792/5098/1063/files/eeee3be59c912ddfb95b556144ad283287f06b56c3797e9000aed4094e9c0f46.jpg?v=1785047188" TargetMode="External" Id="rId88"/><Relationship Type="http://schemas.openxmlformats.org/officeDocument/2006/relationships/hyperlink" Target="https://cdn.shopify.com/s/files/1/0792/5098/1063/files/b62d307163504bede5d79d6a1894e1fb2390a7f6bb97d231a74b900c216c6f10.jpg?v=1785047189" TargetMode="External" Id="rId89"/><Relationship Type="http://schemas.openxmlformats.org/officeDocument/2006/relationships/hyperlink" Target="https://cdn.shopify.com/s/files/1/0792/5098/1063/files/b62d307163504bede5d79d6a1894e1fb2390a7f6bb97d231a74b900c216c6f10.jpg?v=1785047189" TargetMode="External" Id="rId90"/><Relationship Type="http://schemas.openxmlformats.org/officeDocument/2006/relationships/hyperlink" Target="https://cdn.shopify.com/s/files/1/0792/5098/1063/files/492ae2152294ed05b1b9c9c476c3f0407f72dd5f9231dfabab608600dfcfca18.jpg?v=1785047188" TargetMode="External" Id="rId91"/><Relationship Type="http://schemas.openxmlformats.org/officeDocument/2006/relationships/hyperlink" Target="https://cdn.shopify.com/s/files/1/0792/5098/1063/files/492ae2152294ed05b1b9c9c476c3f0407f72dd5f9231dfabab608600dfcfca18.jpg?v=1785047188" TargetMode="External" Id="rId92"/><Relationship Type="http://schemas.openxmlformats.org/officeDocument/2006/relationships/hyperlink" Target="https://cdn.shopify.com/s/files/1/0792/5098/1063/files/d9597bfb2c08a10fed85d6814082edddf7b30bf76e5108fb36b1aee207514584.jpg?v=1785047189" TargetMode="External" Id="rId93"/><Relationship Type="http://schemas.openxmlformats.org/officeDocument/2006/relationships/hyperlink" Target="https://cdn.shopify.com/s/files/1/0792/5098/1063/files/d9597bfb2c08a10fed85d6814082edddf7b30bf76e5108fb36b1aee207514584.jpg?v=1785047189" TargetMode="External" Id="rId94"/><Relationship Type="http://schemas.openxmlformats.org/officeDocument/2006/relationships/hyperlink" Target="https://cdn.shopify.com/s/files/1/0792/5098/1063/files/d48cccbb819c4ecffd7785e920fd2b840e50a24ee2a5033e47adf1a0f7ac2dd4.jpg?v=1785047189" TargetMode="External" Id="rId95"/><Relationship Type="http://schemas.openxmlformats.org/officeDocument/2006/relationships/hyperlink" Target="https://cdn.shopify.com/s/files/1/0792/5098/1063/files/d48cccbb819c4ecffd7785e920fd2b840e50a24ee2a5033e47adf1a0f7ac2dd4.jpg?v=1785047189" TargetMode="External" Id="rId96"/><Relationship Type="http://schemas.openxmlformats.org/officeDocument/2006/relationships/hyperlink" Target="https://cdn.shopify.com/s/files/1/0792/5098/1063/files/eb7addcbef4e997dedf995d8edc2c3fb7ac03e00ca967e746fc0f52cc5daca82.jpg?v=1785047189" TargetMode="External" Id="rId97"/><Relationship Type="http://schemas.openxmlformats.org/officeDocument/2006/relationships/hyperlink" Target="https://cdn.shopify.com/s/files/1/0792/5098/1063/files/eb7addcbef4e997dedf995d8edc2c3fb7ac03e00ca967e746fc0f52cc5daca82.jpg?v=1785047189" TargetMode="External" Id="rId98"/><Relationship Type="http://schemas.openxmlformats.org/officeDocument/2006/relationships/hyperlink" Target="https://cdn.shopify.com/s/files/1/0792/5098/1063/files/622bf0b0bbd2db15d18f7453d631905d39821f40d39fc016cd52742300cd6741.jpg?v=1785047189" TargetMode="External" Id="rId99"/><Relationship Type="http://schemas.openxmlformats.org/officeDocument/2006/relationships/hyperlink" Target="https://cdn.shopify.com/s/files/1/0792/5098/1063/files/622bf0b0bbd2db15d18f7453d631905d39821f40d39fc016cd52742300cd6741.jpg?v=1785047189" TargetMode="External" Id="rId100"/><Relationship Type="http://schemas.openxmlformats.org/officeDocument/2006/relationships/hyperlink" Target="https://cdn.shopify.com/s/files/1/0792/5098/1063/files/df2728478e8364bc96182ba33c31dd08dcdab3758f1c26ecd4c76bcfacdeadc5.jpg?v=1787233682" TargetMode="External" Id="rId101"/><Relationship Type="http://schemas.openxmlformats.org/officeDocument/2006/relationships/hyperlink" Target="https://cdn.shopify.com/s/files/1/0792/5098/1063/files/df2728478e8364bc96182ba33c31dd08dcdab3758f1c26ecd4c76bcfacdeadc5.jpg?v=1787233682" TargetMode="External" Id="rId102"/><Relationship Type="http://schemas.openxmlformats.org/officeDocument/2006/relationships/hyperlink" Target="https://cdn.shopify.com/s/files/1/0792/5098/1063/files/3fb22c532d2ea675077fa5f07538ad0693869d76604d9f54efbb12cf12dc3012.jpg?v=1787233682" TargetMode="External" Id="rId103"/><Relationship Type="http://schemas.openxmlformats.org/officeDocument/2006/relationships/hyperlink" Target="https://cdn.shopify.com/s/files/1/0792/5098/1063/files/3fb22c532d2ea675077fa5f07538ad0693869d76604d9f54efbb12cf12dc3012.jpg?v=1787233682" TargetMode="External" Id="rId104"/><Relationship Type="http://schemas.openxmlformats.org/officeDocument/2006/relationships/hyperlink" Target="https://cdn.shopify.com/s/files/1/0792/5098/1063/files/015c23cc578e135b61ae727b347772c42c1d51319bdc062c7e1f665e85a0a3f3.jpg?v=1787233682" TargetMode="External" Id="rId105"/><Relationship Type="http://schemas.openxmlformats.org/officeDocument/2006/relationships/hyperlink" Target="https://cdn.shopify.com/s/files/1/0792/5098/1063/files/015c23cc578e135b61ae727b347772c42c1d51319bdc062c7e1f665e85a0a3f3.jpg?v=1787233682" TargetMode="External" Id="rId106"/><Relationship Type="http://schemas.openxmlformats.org/officeDocument/2006/relationships/hyperlink" Target="https://cdn.shopify.com/s/files/1/0792/5098/1063/files/044a88434534608756b0c91fa034b5bd3e06078ac0802d9eb409cbb4177ff68e.jpg?v=1787233682" TargetMode="External" Id="rId107"/><Relationship Type="http://schemas.openxmlformats.org/officeDocument/2006/relationships/hyperlink" Target="https://cdn.shopify.com/s/files/1/0792/5098/1063/files/044a88434534608756b0c91fa034b5bd3e06078ac0802d9eb409cbb4177ff68e.jpg?v=1787233682" TargetMode="External" Id="rId108"/><Relationship Type="http://schemas.openxmlformats.org/officeDocument/2006/relationships/hyperlink" Target="https://cdn.shopify.com/s/files/1/0792/5098/1063/files/8f7c582280e89587a9220b27404f887ca04a3550cb155e58214bec320e7e7a84.jpg?v=1787233682" TargetMode="External" Id="rId109"/><Relationship Type="http://schemas.openxmlformats.org/officeDocument/2006/relationships/hyperlink" Target="https://cdn.shopify.com/s/files/1/0792/5098/1063/files/8f7c582280e89587a9220b27404f887ca04a3550cb155e58214bec320e7e7a84.jpg?v=1787233682" TargetMode="External" Id="rId110"/><Relationship Type="http://schemas.openxmlformats.org/officeDocument/2006/relationships/hyperlink" Target="https://cdn.shopify.com/s/files/1/0792/5098/1063/files/1790d972d34f1676ff9960602f32a073d75ae00ce5514be8d583a1bee054cb72.jpg?v=1787233682" TargetMode="External" Id="rId111"/><Relationship Type="http://schemas.openxmlformats.org/officeDocument/2006/relationships/hyperlink" Target="https://cdn.shopify.com/s/files/1/0792/5098/1063/files/1790d972d34f1676ff9960602f32a073d75ae00ce5514be8d583a1bee054cb72.jpg?v=1787233682" TargetMode="External" Id="rId112"/><Relationship Type="http://schemas.openxmlformats.org/officeDocument/2006/relationships/hyperlink" Target="https://cdn.shopify.com/s/files/1/0792/5098/1063/files/9b0208488bc2babfa22f4cf50f3e6213152506148e49cdd0bae5d159838e9105.jpg?v=1787233682" TargetMode="External" Id="rId113"/><Relationship Type="http://schemas.openxmlformats.org/officeDocument/2006/relationships/hyperlink" Target="https://cdn.shopify.com/s/files/1/0792/5098/1063/files/9b0208488bc2babfa22f4cf50f3e6213152506148e49cdd0bae5d159838e9105.jpg?v=1787233682" TargetMode="External" Id="rId114"/><Relationship Type="http://schemas.openxmlformats.org/officeDocument/2006/relationships/hyperlink" Target="https://cdn.shopify.com/s/files/1/0792/5098/1063/files/e0fe73b713afc62cfffb3946372bff45f6aba6f1bc25f209c29052448bc1decb.jpg?v=1787237695" TargetMode="External" Id="rId115"/><Relationship Type="http://schemas.openxmlformats.org/officeDocument/2006/relationships/hyperlink" Target="https://cdn.shopify.com/s/files/1/0792/5098/1063/files/e0fe73b713afc62cfffb3946372bff45f6aba6f1bc25f209c29052448bc1decb.jpg?v=1787237695" TargetMode="External" Id="rId116"/><Relationship Type="http://schemas.openxmlformats.org/officeDocument/2006/relationships/hyperlink" Target="https://cdn.shopify.com/s/files/1/0792/5098/1063/files/9a2ea3655358889bfb8939e5d43749d9fc1a68a15bb91eb7257e168947c5d449.jpg?v=1787237695" TargetMode="External" Id="rId117"/><Relationship Type="http://schemas.openxmlformats.org/officeDocument/2006/relationships/hyperlink" Target="https://cdn.shopify.com/s/files/1/0792/5098/1063/files/9a2ea3655358889bfb8939e5d43749d9fc1a68a15bb91eb7257e168947c5d449.jpg?v=1787237695" TargetMode="External" Id="rId118"/><Relationship Type="http://schemas.openxmlformats.org/officeDocument/2006/relationships/hyperlink" Target="https://cdn.shopify.com/s/files/1/0792/5098/1063/files/50f96559dd878ae5bbee14ba7a34337ccd740d21a8ffe86a8a1be819656d26c0.jpg?v=1787237695" TargetMode="External" Id="rId119"/><Relationship Type="http://schemas.openxmlformats.org/officeDocument/2006/relationships/hyperlink" Target="https://cdn.shopify.com/s/files/1/0792/5098/1063/files/50f96559dd878ae5bbee14ba7a34337ccd740d21a8ffe86a8a1be819656d26c0.jpg?v=1787237695" TargetMode="External" Id="rId120"/><Relationship Type="http://schemas.openxmlformats.org/officeDocument/2006/relationships/hyperlink" Target="https://cdn.shopify.com/s/files/1/0792/5098/1063/files/e177a63ec5fdef284072a06f2775ebbbf78d53d430946e0a479a9aea59e23193.jpg?v=1787237695" TargetMode="External" Id="rId121"/><Relationship Type="http://schemas.openxmlformats.org/officeDocument/2006/relationships/hyperlink" Target="https://cdn.shopify.com/s/files/1/0792/5098/1063/files/e177a63ec5fdef284072a06f2775ebbbf78d53d430946e0a479a9aea59e23193.jpg?v=1787237695" TargetMode="External" Id="rId122"/><Relationship Type="http://schemas.openxmlformats.org/officeDocument/2006/relationships/hyperlink" Target="https://cdn.shopify.com/s/files/1/0792/5098/1063/files/c0229b109e769b68f8c9f35623479c094bab31ad756f2c9dfcf50eadd39d92c5.jpg?v=1787237695" TargetMode="External" Id="rId123"/><Relationship Type="http://schemas.openxmlformats.org/officeDocument/2006/relationships/hyperlink" Target="https://cdn.shopify.com/s/files/1/0792/5098/1063/files/c0229b109e769b68f8c9f35623479c094bab31ad756f2c9dfcf50eadd39d92c5.jpg?v=1787237695" TargetMode="External" Id="rId124"/><Relationship Type="http://schemas.openxmlformats.org/officeDocument/2006/relationships/hyperlink" Target="https://cdn.shopify.com/s/files/1/0792/5098/1063/files/e22715b9d350060d7f718ca936fb51ae74bf407c9cd643e977844be314d468df.jpg?v=1787237695" TargetMode="External" Id="rId125"/><Relationship Type="http://schemas.openxmlformats.org/officeDocument/2006/relationships/hyperlink" Target="https://cdn.shopify.com/s/files/1/0792/5098/1063/files/e22715b9d350060d7f718ca936fb51ae74bf407c9cd643e977844be314d468df.jpg?v=1787237695" TargetMode="External" Id="rId126"/><Relationship Type="http://schemas.openxmlformats.org/officeDocument/2006/relationships/hyperlink" Target="https://cdn.shopify.com/s/files/1/0792/5098/1063/files/0e22a9fec09643a714af054217066178d4f7bc4d6266b6d2ff5c33c09cc10e88.jpg?v=1787237695" TargetMode="External" Id="rId127"/><Relationship Type="http://schemas.openxmlformats.org/officeDocument/2006/relationships/hyperlink" Target="https://cdn.shopify.com/s/files/1/0792/5098/1063/files/0e22a9fec09643a714af054217066178d4f7bc4d6266b6d2ff5c33c09cc10e88.jpg?v=1787237695" TargetMode="External" Id="rId128"/><Relationship Type="http://schemas.openxmlformats.org/officeDocument/2006/relationships/hyperlink" Target="https://cdn.shopify.com/s/files/1/0792/5098/1063/files/d6b8438a259ef28ba839a68ba108f40464bc9629b0bc2168779fc7776c9cbffa.jpg?v=1787237695" TargetMode="External" Id="rId129"/><Relationship Type="http://schemas.openxmlformats.org/officeDocument/2006/relationships/hyperlink" Target="https://cdn.shopify.com/s/files/1/0792/5098/1063/files/d6b8438a259ef28ba839a68ba108f40464bc9629b0bc2168779fc7776c9cbffa.jpg?v=1787237695" TargetMode="External" Id="rId130"/></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 v1.0 / prompt.md v2.4</t>
        </is>
      </c>
      <c r="C2" s="2" t="inlineStr">
        <is>
          <t>Independent r7 QA.</t>
        </is>
      </c>
    </row>
    <row r="3" ht="42" customHeight="1">
      <c r="A3" s="3" t="inlineStr">
        <is>
          <t>source_workbook</t>
        </is>
      </c>
      <c r="B3" s="3" t="inlineStr">
        <is>
          <t>D:\Shopify_Workspace\jeminise_seo\resutls\jeminise.com\20260906_234129\revisions\qa_batch_001_r7\SEO_Product_Optimization_qa_batch_001_r7.xlsx</t>
        </is>
      </c>
      <c r="C3" s="3" t="inlineStr">
        <is>
          <t>Frozen r7 workbook; not edited.</t>
        </is>
      </c>
    </row>
    <row r="4" ht="42" customHeight="1">
      <c r="A4" s="2" t="inlineStr">
        <is>
          <t>source_sha256_at_freeze_and_handoff</t>
        </is>
      </c>
      <c r="B4" s="2" t="inlineStr">
        <is>
          <t>A965CFD64371561152CF92B4B3B1CDF449E3F06BC3E0EB4060CAD54DC5AD713B</t>
        </is>
      </c>
      <c r="C4" s="2" t="inlineStr">
        <is>
          <t>Must match snapshot.</t>
        </is>
      </c>
    </row>
    <row r="5" ht="42" customHeight="1">
      <c r="A5" s="3" t="inlineStr">
        <is>
          <t>qa_run_id</t>
        </is>
      </c>
      <c r="B5" s="3" t="inlineStr">
        <is>
          <t>20260908_230550</t>
        </is>
      </c>
      <c r="C5" s="3" t="inlineStr">
        <is>
          <t>Fresh independent QA run.</t>
        </is>
      </c>
    </row>
    <row r="6" ht="42" customHeight="1">
      <c r="A6" s="2" t="inlineStr">
        <is>
          <t>batch_id</t>
        </is>
      </c>
      <c r="B6" s="2" t="inlineStr">
        <is>
          <t>qa_batch_001_r7</t>
        </is>
      </c>
      <c r="C6" s="2" t="inlineStr">
        <is>
          <t>Inventory positions 1–10 only.</t>
        </is>
      </c>
    </row>
    <row r="7" ht="42" customHeight="1">
      <c r="A7" s="3" t="inlineStr">
        <is>
          <t>products_checked</t>
        </is>
      </c>
      <c r="B7" s="3" t="n">
        <v>10</v>
      </c>
      <c r="C7" s="3" t="inlineStr">
        <is>
          <t>Official product-key scope.</t>
        </is>
      </c>
    </row>
    <row r="8" ht="42" customHeight="1">
      <c r="A8" s="2" t="inlineStr">
        <is>
          <t>images_checked</t>
        </is>
      </c>
      <c r="B8" s="2" t="inlineStr">
        <is>
          <t>65/65</t>
        </is>
      </c>
      <c r="C8" s="2" t="inlineStr">
        <is>
          <t>Direct visual coverage 100%.</t>
        </is>
      </c>
    </row>
    <row r="9" ht="42" customHeight="1">
      <c r="A9" s="3" t="inlineStr">
        <is>
          <t>batch_final_score</t>
        </is>
      </c>
      <c r="B9" s="3">
        <f>AVERAGE('QA_Products'!$M$2:$M$11)</f>
        <v/>
      </c>
      <c r="C9" s="3" t="inlineStr">
        <is>
          <t>Average of all ten complete product scores.</t>
        </is>
      </c>
    </row>
    <row r="10" ht="42" customHeight="1">
      <c r="A10" s="2" t="inlineStr">
        <is>
          <t>batch_result</t>
        </is>
      </c>
      <c r="B10" s="2">
        <f>IF(COUNTIF('QA_Products'!$N$2:$N$11,"QA_PASS")=ROWS('QA_Products'!$N$2:$N$11),"PASSED","NOT_PASSED")</f>
        <v/>
      </c>
      <c r="C10" s="2" t="inlineStr">
        <is>
          <t>Batch passes only when all products pass.</t>
        </is>
      </c>
    </row>
    <row r="11" ht="42" customHeight="1">
      <c r="A11" s="3" t="inlineStr">
        <is>
          <t>status_counts</t>
        </is>
      </c>
      <c r="B11" s="3">
        <f>"PASS="&amp;COUNTIF('QA_Products'!$N$2:$N$11,"QA_PASS")&amp;"; REVISE="&amp;COUNTIF('QA_Products'!$N$2:$N$11,"QA_REVISE")&amp;"; FAIL="&amp;COUNTIF('QA_Products'!$N$2:$N$11,"QA_FAIL")&amp;"; INCOMPLETE="&amp;COUNTIF('QA_Products'!$N$2:$N$11,"QA_INCOMPLETE")</f>
        <v/>
      </c>
      <c r="C11" s="3" t="inlineStr">
        <is>
          <t>Product QA statuses.</t>
        </is>
      </c>
    </row>
    <row r="12" ht="42" customHeight="1">
      <c r="A12" s="2" t="inlineStr">
        <is>
          <t>issue_counts</t>
        </is>
      </c>
      <c r="B12" s="2" t="inlineStr">
        <is>
          <t>{"MAJOR": 4, "LIMITATION": 12, "MINOR": 2}</t>
        </is>
      </c>
      <c r="C12" s="2" t="inlineStr">
        <is>
          <t>Open r7 findings.</t>
        </is>
      </c>
    </row>
    <row r="13" ht="42" customHeight="1">
      <c r="A13" s="3" t="inlineStr">
        <is>
          <t>historical_r4_review</t>
        </is>
      </c>
      <c r="B13" s="3" t="inlineStr">
        <is>
          <t>{"RESOLVED": 18, "PERSISTS": 5}</t>
        </is>
      </c>
      <c r="C13" s="3" t="inlineStr">
        <is>
          <t>23 r4 issues rechecked, not scored.</t>
        </is>
      </c>
    </row>
    <row r="14" ht="42" customHeight="1">
      <c r="A14" s="2" t="inlineStr">
        <is>
          <t>xlsx_status</t>
        </is>
      </c>
      <c r="B14" s="2" t="inlineStr">
        <is>
          <t>COMPLETE</t>
        </is>
      </c>
      <c r="C14" s="2" t="inlineStr">
        <is>
          <t>Exactly five sheets.</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Y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24" customWidth="1" min="3" max="3"/>
    <col width="38" customWidth="1" min="4" max="4"/>
    <col width="24" customWidth="1" min="5" max="5"/>
    <col width="15" customWidth="1" min="6" max="6"/>
    <col width="11" customWidth="1" min="7" max="7"/>
    <col width="11" customWidth="1" min="8" max="8"/>
    <col width="24" customWidth="1" min="9" max="9"/>
    <col width="24" customWidth="1" min="10" max="10"/>
    <col width="19" customWidth="1" min="11" max="11"/>
    <col width="19" customWidth="1" min="12" max="12"/>
    <col width="24" customWidth="1" min="13" max="13"/>
    <col width="20" customWidth="1" min="14" max="14"/>
    <col width="38" customWidth="1" min="15" max="15"/>
    <col width="17" customWidth="1" min="16" max="16"/>
    <col width="16" customWidth="1" min="17" max="17"/>
    <col width="24" customWidth="1" min="18" max="18"/>
    <col width="16" customWidth="1" min="19" max="19"/>
    <col width="24" customWidth="1" min="20" max="20"/>
    <col width="24" customWidth="1" min="21" max="21"/>
    <col width="24" customWidth="1" min="22" max="22"/>
    <col width="24" customWidth="1" min="23" max="23"/>
    <col width="42" customWidth="1" min="24" max="24"/>
    <col width="42" customWidth="1" min="25" max="25"/>
  </cols>
  <sheetData>
    <row r="1" ht="32" customHeight="1">
      <c r="A1" s="1" t="inlineStr">
        <is>
          <t>inventory_position</t>
        </is>
      </c>
      <c r="B1" s="1" t="inlineStr">
        <is>
          <t>product_key</t>
        </is>
      </c>
      <c r="C1" s="1" t="inlineStr">
        <is>
          <t>title_proposed</t>
        </is>
      </c>
      <c r="D1" s="1" t="inlineStr">
        <is>
          <t>url</t>
        </is>
      </c>
      <c r="E1" s="1" t="inlineStr">
        <is>
          <t>handle</t>
        </is>
      </c>
      <c r="F1" s="1" t="inlineStr">
        <is>
          <t>product_id</t>
        </is>
      </c>
      <c r="G1" s="1" t="inlineStr">
        <is>
          <t>revision</t>
        </is>
      </c>
      <c r="H1" s="1" t="inlineStr">
        <is>
          <t>page_read</t>
        </is>
      </c>
      <c r="I1" s="1" t="inlineStr">
        <is>
          <t>verified_points</t>
        </is>
      </c>
      <c r="J1" s="1" t="inlineStr">
        <is>
          <t>assessed_weight</t>
        </is>
      </c>
      <c r="K1" s="1" t="inlineStr">
        <is>
          <t>score_lower_bound</t>
        </is>
      </c>
      <c r="L1" s="1" t="inlineStr">
        <is>
          <t>score_upper_bound</t>
        </is>
      </c>
      <c r="M1" s="1" t="inlineStr">
        <is>
          <t>final_score</t>
        </is>
      </c>
      <c r="N1" s="1" t="inlineStr">
        <is>
          <t>qa_status</t>
        </is>
      </c>
      <c r="O1" s="1" t="inlineStr">
        <is>
          <t>keyword_evidence_level</t>
        </is>
      </c>
      <c r="P1" s="1" t="inlineStr">
        <is>
          <t>images_expected</t>
        </is>
      </c>
      <c r="Q1" s="1" t="inlineStr">
        <is>
          <t>images_checked</t>
        </is>
      </c>
      <c r="R1" s="1" t="inlineStr">
        <is>
          <t>image_inventory_complete</t>
        </is>
      </c>
      <c r="S1" s="1" t="inlineStr">
        <is>
          <t>image_coverage</t>
        </is>
      </c>
      <c r="T1" s="1" t="inlineStr">
        <is>
          <t>critical_count</t>
        </is>
      </c>
      <c r="U1" s="1" t="inlineStr">
        <is>
          <t>major_count</t>
        </is>
      </c>
      <c r="V1" s="1" t="inlineStr">
        <is>
          <t>minor_count</t>
        </is>
      </c>
      <c r="W1" s="1" t="inlineStr">
        <is>
          <t>limitation_count</t>
        </is>
      </c>
      <c r="X1" s="1" t="inlineStr">
        <is>
          <t>issue_refs</t>
        </is>
      </c>
      <c r="Y1" s="1" t="inlineStr">
        <is>
          <t>evidence_refs</t>
        </is>
      </c>
    </row>
    <row r="2" ht="42" customHeight="1">
      <c r="A2" s="2" t="n">
        <v>1</v>
      </c>
      <c r="B2" s="2" t="inlineStr">
        <is>
          <t>jeminise.com+autumn-cardinals-perched-above-large-sunflowers-quilt-with-cardinal-birds-9a3b408b20-9a3b408b20</t>
        </is>
      </c>
      <c r="C2" s="2" t="inlineStr">
        <is>
          <t>Cardinal Sunflower Autumn Quilt Set</t>
        </is>
      </c>
      <c r="D2" s="4" t="inlineStr">
        <is>
          <t>https://jeminise.com/products/autumn-cardinals-perched-above-large-sunflowers-quilt-with-cardinal-birds-9a3b408b20-9a3b408b20</t>
        </is>
      </c>
      <c r="E2" s="2" t="inlineStr">
        <is>
          <t>autumn-cardinals-perched-above-large-sunflowers-quilt-with-cardinal-birds-9a3b408b20-9a3b408b20</t>
        </is>
      </c>
      <c r="F2" s="2" t="inlineStr">
        <is>
          <t>8834718105799</t>
        </is>
      </c>
      <c r="G2" s="2" t="inlineStr">
        <is>
          <t>r7</t>
        </is>
      </c>
      <c r="H2" s="2" t="b">
        <v>1</v>
      </c>
      <c r="I2" s="5">
        <f>SUMIF('QA_Criteria'!$A$2:$A$111,B2,'QA_Criteria'!$G$2:$G$111)</f>
        <v/>
      </c>
      <c r="J2" s="5">
        <f>SUMIF('QA_Criteria'!$A$2:$A$111,B2,'QA_Criteria'!$H$2:$H$111)</f>
        <v/>
      </c>
      <c r="K2" s="5">
        <f>I2</f>
        <v/>
      </c>
      <c r="L2" s="5">
        <f>I2+(100-J2)</f>
        <v/>
      </c>
      <c r="M2" s="5">
        <f>IF(AND(J2=100,S2=1,R2=TRUE),I2,"")</f>
        <v/>
      </c>
      <c r="N2" s="2">
        <f>IF(T2&gt;0,"QA_FAIL",IF(M2="","QA_INCOMPLETE",IF(M2&lt;70,"QA_FAIL",IF(OR(M2&lt;85,U2&gt;0),"QA_REVISE","QA_PASS"))))</f>
        <v/>
      </c>
      <c r="O2" s="2" t="inlineStr">
        <is>
          <t>HYPOTHESIS_ONLY</t>
        </is>
      </c>
      <c r="P2" s="2" t="n">
        <v>5</v>
      </c>
      <c r="Q2" s="2" t="n">
        <v>5</v>
      </c>
      <c r="R2" s="2" t="b">
        <v>1</v>
      </c>
      <c r="S2" s="6" t="n">
        <v>1</v>
      </c>
      <c r="T2" s="2">
        <f>COUNTIFS('QA_Issues'!$B$2:$B$19,B2,'QA_Issues'!$E$2:$E$19,"CRITICAL")</f>
        <v/>
      </c>
      <c r="U2" s="2">
        <f>COUNTIFS('QA_Issues'!$B$2:$B$19,B2,'QA_Issues'!$E$2:$E$19,"MAJOR")</f>
        <v/>
      </c>
      <c r="V2" s="2">
        <f>COUNTIFS('QA_Issues'!$B$2:$B$19,B2,'QA_Issues'!$E$2:$E$19,"MINOR")</f>
        <v/>
      </c>
      <c r="W2" s="2">
        <f>COUNTIFS('QA_Issues'!$B$2:$B$19,B2,'QA_Issues'!$E$2:$E$19,"LIMITATION")</f>
        <v/>
      </c>
      <c r="X2" s="2" t="inlineStr">
        <is>
          <t>["R7-ISS-001-SIZE", "R7-ISS-001-HYP", "R7-ISS-001-TRACE"]</t>
        </is>
      </c>
      <c r="Y2" s="2" t="inlineStr">
        <is>
          <t>["evidence_batch_001_001", "https://jeminise.com/products/autumn-cardinals-perched-above-large-sunflowers-quilt-with-cardinal-birds-9a3b408b20-9a3b408b20", "serp_r7_001", "customizer_audit.json"]</t>
        </is>
      </c>
    </row>
    <row r="3" ht="42" customHeight="1">
      <c r="A3" s="3" t="n">
        <v>2</v>
      </c>
      <c r="B3" s="3" t="inlineStr">
        <is>
          <t>jeminise.com+bright-teal-yellow-softball-comforter-set-premium-sports-theme</t>
        </is>
      </c>
      <c r="C3" s="3" t="inlineStr">
        <is>
          <t>Personalized Teal Softball Comforter Set</t>
        </is>
      </c>
      <c r="D3" s="4" t="inlineStr">
        <is>
          <t>https://jeminise.com/products/bright-teal-yellow-softball-comforter-set-premium-sports-theme</t>
        </is>
      </c>
      <c r="E3" s="3" t="inlineStr">
        <is>
          <t>bright-teal-yellow-softball-comforter-set-premium-sports-theme</t>
        </is>
      </c>
      <c r="F3" s="3" t="inlineStr">
        <is>
          <t>8867219865799</t>
        </is>
      </c>
      <c r="G3" s="3" t="inlineStr">
        <is>
          <t>r7</t>
        </is>
      </c>
      <c r="H3" s="3" t="b">
        <v>1</v>
      </c>
      <c r="I3" s="7">
        <f>SUMIF('QA_Criteria'!$A$2:$A$111,B3,'QA_Criteria'!$G$2:$G$111)</f>
        <v/>
      </c>
      <c r="J3" s="7">
        <f>SUMIF('QA_Criteria'!$A$2:$A$111,B3,'QA_Criteria'!$H$2:$H$111)</f>
        <v/>
      </c>
      <c r="K3" s="7">
        <f>I3</f>
        <v/>
      </c>
      <c r="L3" s="7">
        <f>I3+(100-J3)</f>
        <v/>
      </c>
      <c r="M3" s="7">
        <f>IF(AND(J3=100,S3=1,R3=TRUE),I3,"")</f>
        <v/>
      </c>
      <c r="N3" s="3">
        <f>IF(T3&gt;0,"QA_FAIL",IF(M3="","QA_INCOMPLETE",IF(M3&lt;70,"QA_FAIL",IF(OR(M3&lt;85,U3&gt;0),"QA_REVISE","QA_PASS"))))</f>
        <v/>
      </c>
      <c r="O3" s="3" t="inlineStr">
        <is>
          <t>SERP_ONLY</t>
        </is>
      </c>
      <c r="P3" s="3" t="n">
        <v>7</v>
      </c>
      <c r="Q3" s="3" t="n">
        <v>7</v>
      </c>
      <c r="R3" s="3" t="b">
        <v>1</v>
      </c>
      <c r="S3" s="8" t="n">
        <v>1</v>
      </c>
      <c r="T3" s="3">
        <f>COUNTIFS('QA_Issues'!$B$2:$B$19,B3,'QA_Issues'!$E$2:$E$19,"CRITICAL")</f>
        <v/>
      </c>
      <c r="U3" s="3">
        <f>COUNTIFS('QA_Issues'!$B$2:$B$19,B3,'QA_Issues'!$E$2:$E$19,"MAJOR")</f>
        <v/>
      </c>
      <c r="V3" s="3">
        <f>COUNTIFS('QA_Issues'!$B$2:$B$19,B3,'QA_Issues'!$E$2:$E$19,"MINOR")</f>
        <v/>
      </c>
      <c r="W3" s="3">
        <f>COUNTIFS('QA_Issues'!$B$2:$B$19,B3,'QA_Issues'!$E$2:$E$19,"LIMITATION")</f>
        <v/>
      </c>
      <c r="X3" s="3" t="inlineStr">
        <is>
          <t>["R7-ISS-002-ENC", "R7-ISS-002-TRACE"]</t>
        </is>
      </c>
      <c r="Y3" s="3" t="inlineStr">
        <is>
          <t>["evidence_batch_001_002", "https://jeminise.com/products/bright-teal-yellow-softball-comforter-set-premium-sports-theme", "serp_r7_002", "customizer_audit.json"]</t>
        </is>
      </c>
    </row>
    <row r="4" ht="42" customHeight="1">
      <c r="A4" s="2" t="n">
        <v>3</v>
      </c>
      <c r="B4" s="2" t="inlineStr">
        <is>
          <t>jeminise.com+cardinals-perched-beside-decorated-christmas-tree-patchwork-winter-quilt-7cd7bc46a0-7cd7bc46a0</t>
        </is>
      </c>
      <c r="C4" s="2" t="inlineStr">
        <is>
          <t>Christmas Cardinal Memorial Quilt Set</t>
        </is>
      </c>
      <c r="D4" s="4" t="inlineStr">
        <is>
          <t>https://jeminise.com/products/cardinals-perched-beside-decorated-christmas-tree-patchwork-winter-quilt-7cd7bc46a0-7cd7bc46a0</t>
        </is>
      </c>
      <c r="E4" s="2" t="inlineStr">
        <is>
          <t>cardinals-perched-beside-decorated-christmas-tree-patchwork-winter-quilt-7cd7bc46a0-7cd7bc46a0</t>
        </is>
      </c>
      <c r="F4" s="2" t="inlineStr">
        <is>
          <t>8834714534087</t>
        </is>
      </c>
      <c r="G4" s="2" t="inlineStr">
        <is>
          <t>r7</t>
        </is>
      </c>
      <c r="H4" s="2" t="b">
        <v>1</v>
      </c>
      <c r="I4" s="5">
        <f>SUMIF('QA_Criteria'!$A$2:$A$111,B4,'QA_Criteria'!$G$2:$G$111)</f>
        <v/>
      </c>
      <c r="J4" s="5">
        <f>SUMIF('QA_Criteria'!$A$2:$A$111,B4,'QA_Criteria'!$H$2:$H$111)</f>
        <v/>
      </c>
      <c r="K4" s="5">
        <f>I4</f>
        <v/>
      </c>
      <c r="L4" s="5">
        <f>I4+(100-J4)</f>
        <v/>
      </c>
      <c r="M4" s="5">
        <f>IF(AND(J4=100,S4=1,R4=TRUE),I4,"")</f>
        <v/>
      </c>
      <c r="N4" s="2">
        <f>IF(T4&gt;0,"QA_FAIL",IF(M4="","QA_INCOMPLETE",IF(M4&lt;70,"QA_FAIL",IF(OR(M4&lt;85,U4&gt;0),"QA_REVISE","QA_PASS"))))</f>
        <v/>
      </c>
      <c r="O4" s="2" t="inlineStr">
        <is>
          <t>SERP_ONLY</t>
        </is>
      </c>
      <c r="P4" s="2" t="n">
        <v>5</v>
      </c>
      <c r="Q4" s="2" t="n">
        <v>5</v>
      </c>
      <c r="R4" s="2" t="b">
        <v>1</v>
      </c>
      <c r="S4" s="6" t="n">
        <v>1</v>
      </c>
      <c r="T4" s="2">
        <f>COUNTIFS('QA_Issues'!$B$2:$B$19,B4,'QA_Issues'!$E$2:$E$19,"CRITICAL")</f>
        <v/>
      </c>
      <c r="U4" s="2">
        <f>COUNTIFS('QA_Issues'!$B$2:$B$19,B4,'QA_Issues'!$E$2:$E$19,"MAJOR")</f>
        <v/>
      </c>
      <c r="V4" s="2">
        <f>COUNTIFS('QA_Issues'!$B$2:$B$19,B4,'QA_Issues'!$E$2:$E$19,"MINOR")</f>
        <v/>
      </c>
      <c r="W4" s="2">
        <f>COUNTIFS('QA_Issues'!$B$2:$B$19,B4,'QA_Issues'!$E$2:$E$19,"LIMITATION")</f>
        <v/>
      </c>
      <c r="X4" s="2" t="inlineStr">
        <is>
          <t>["R7-ISS-003-SIZE", "R7-ISS-003-TRACE"]</t>
        </is>
      </c>
      <c r="Y4" s="2" t="inlineStr">
        <is>
          <t>["evidence_batch_001_003", "https://jeminise.com/products/cardinals-perched-beside-decorated-christmas-tree-patchwork-winter-quilt-7cd7bc46a0-7cd7bc46a0", "serp_r7_003", "customizer_audit.json"]</t>
        </is>
      </c>
    </row>
    <row r="5" ht="42" customHeight="1">
      <c r="A5" s="3" t="n">
        <v>4</v>
      </c>
      <c r="B5" s="3" t="inlineStr">
        <is>
          <t>jeminise.com+cardinals-perched-on-branch-with-roses-patchwork-winter-quilt-21ac904cd7-21ac904cd7</t>
        </is>
      </c>
      <c r="C5" s="3" t="inlineStr">
        <is>
          <t>Cardinal Roses Memorial Quilt Set</t>
        </is>
      </c>
      <c r="D5" s="4" t="inlineStr">
        <is>
          <t>https://jeminise.com/products/cardinals-perched-on-branch-with-roses-patchwork-winter-quilt-21ac904cd7-21ac904cd7</t>
        </is>
      </c>
      <c r="E5" s="3" t="inlineStr">
        <is>
          <t>cardinals-perched-on-branch-with-roses-patchwork-winter-quilt-21ac904cd7-21ac904cd7</t>
        </is>
      </c>
      <c r="F5" s="3" t="inlineStr">
        <is>
          <t>8834733015239</t>
        </is>
      </c>
      <c r="G5" s="3" t="inlineStr">
        <is>
          <t>r7</t>
        </is>
      </c>
      <c r="H5" s="3" t="b">
        <v>1</v>
      </c>
      <c r="I5" s="7">
        <f>SUMIF('QA_Criteria'!$A$2:$A$111,B5,'QA_Criteria'!$G$2:$G$111)</f>
        <v/>
      </c>
      <c r="J5" s="7">
        <f>SUMIF('QA_Criteria'!$A$2:$A$111,B5,'QA_Criteria'!$H$2:$H$111)</f>
        <v/>
      </c>
      <c r="K5" s="7">
        <f>I5</f>
        <v/>
      </c>
      <c r="L5" s="7">
        <f>I5+(100-J5)</f>
        <v/>
      </c>
      <c r="M5" s="7">
        <f>IF(AND(J5=100,S5=1,R5=TRUE),I5,"")</f>
        <v/>
      </c>
      <c r="N5" s="3">
        <f>IF(T5&gt;0,"QA_FAIL",IF(M5="","QA_INCOMPLETE",IF(M5&lt;70,"QA_FAIL",IF(OR(M5&lt;85,U5&gt;0),"QA_REVISE","QA_PASS"))))</f>
        <v/>
      </c>
      <c r="O5" s="3" t="inlineStr">
        <is>
          <t>SERP_ONLY</t>
        </is>
      </c>
      <c r="P5" s="3" t="n">
        <v>5</v>
      </c>
      <c r="Q5" s="3" t="n">
        <v>5</v>
      </c>
      <c r="R5" s="3" t="b">
        <v>1</v>
      </c>
      <c r="S5" s="8" t="n">
        <v>1</v>
      </c>
      <c r="T5" s="3">
        <f>COUNTIFS('QA_Issues'!$B$2:$B$19,B5,'QA_Issues'!$E$2:$E$19,"CRITICAL")</f>
        <v/>
      </c>
      <c r="U5" s="3">
        <f>COUNTIFS('QA_Issues'!$B$2:$B$19,B5,'QA_Issues'!$E$2:$E$19,"MAJOR")</f>
        <v/>
      </c>
      <c r="V5" s="3">
        <f>COUNTIFS('QA_Issues'!$B$2:$B$19,B5,'QA_Issues'!$E$2:$E$19,"MINOR")</f>
        <v/>
      </c>
      <c r="W5" s="3">
        <f>COUNTIFS('QA_Issues'!$B$2:$B$19,B5,'QA_Issues'!$E$2:$E$19,"LIMITATION")</f>
        <v/>
      </c>
      <c r="X5" s="3" t="inlineStr">
        <is>
          <t>["R7-ISS-004-SIZE", "R7-ISS-004-EDITORIAL", "R7-ISS-004-TRACE"]</t>
        </is>
      </c>
      <c r="Y5" s="3" t="inlineStr">
        <is>
          <t>["evidence_batch_001_004", "https://jeminise.com/products/cardinals-perched-on-branch-with-roses-patchwork-winter-quilt-21ac904cd7-21ac904cd7", "serp_r7_004", "customizer_audit.json"]</t>
        </is>
      </c>
    </row>
    <row r="6" ht="42" customHeight="1">
      <c r="A6" s="2" t="n">
        <v>5</v>
      </c>
      <c r="B6" s="2" t="inlineStr">
        <is>
          <t>jeminise.com+cat-patchwork-quilt-set-animal-pattern-bedding-cat-pattern-quilt-set</t>
        </is>
      </c>
      <c r="C6" s="2" t="inlineStr">
        <is>
          <t>Colorful Cat Patchwork Quilt Set</t>
        </is>
      </c>
      <c r="D6" s="4" t="inlineStr">
        <is>
          <t>https://jeminise.com/products/cat-patchwork-quilt-set-animal-pattern-bedding-cat-pattern-quilt-set</t>
        </is>
      </c>
      <c r="E6" s="2" t="inlineStr">
        <is>
          <t>cat-patchwork-quilt-set-animal-pattern-bedding-cat-pattern-quilt-set</t>
        </is>
      </c>
      <c r="F6" s="2" t="inlineStr">
        <is>
          <t>8867094823111</t>
        </is>
      </c>
      <c r="G6" s="2" t="inlineStr">
        <is>
          <t>r7</t>
        </is>
      </c>
      <c r="H6" s="2" t="b">
        <v>1</v>
      </c>
      <c r="I6" s="5">
        <f>SUMIF('QA_Criteria'!$A$2:$A$111,B6,'QA_Criteria'!$G$2:$G$111)</f>
        <v/>
      </c>
      <c r="J6" s="5">
        <f>SUMIF('QA_Criteria'!$A$2:$A$111,B6,'QA_Criteria'!$H$2:$H$111)</f>
        <v/>
      </c>
      <c r="K6" s="5">
        <f>I6</f>
        <v/>
      </c>
      <c r="L6" s="5">
        <f>I6+(100-J6)</f>
        <v/>
      </c>
      <c r="M6" s="5">
        <f>IF(AND(J6=100,S6=1,R6=TRUE),I6,"")</f>
        <v/>
      </c>
      <c r="N6" s="2">
        <f>IF(T6&gt;0,"QA_FAIL",IF(M6="","QA_INCOMPLETE",IF(M6&lt;70,"QA_FAIL",IF(OR(M6&lt;85,U6&gt;0),"QA_REVISE","QA_PASS"))))</f>
        <v/>
      </c>
      <c r="O6" s="2" t="inlineStr">
        <is>
          <t>SERP_ONLY</t>
        </is>
      </c>
      <c r="P6" s="2" t="n">
        <v>7</v>
      </c>
      <c r="Q6" s="2" t="n">
        <v>7</v>
      </c>
      <c r="R6" s="2" t="b">
        <v>1</v>
      </c>
      <c r="S6" s="6" t="n">
        <v>1</v>
      </c>
      <c r="T6" s="2">
        <f>COUNTIFS('QA_Issues'!$B$2:$B$19,B6,'QA_Issues'!$E$2:$E$19,"CRITICAL")</f>
        <v/>
      </c>
      <c r="U6" s="2">
        <f>COUNTIFS('QA_Issues'!$B$2:$B$19,B6,'QA_Issues'!$E$2:$E$19,"MAJOR")</f>
        <v/>
      </c>
      <c r="V6" s="2">
        <f>COUNTIFS('QA_Issues'!$B$2:$B$19,B6,'QA_Issues'!$E$2:$E$19,"MINOR")</f>
        <v/>
      </c>
      <c r="W6" s="2">
        <f>COUNTIFS('QA_Issues'!$B$2:$B$19,B6,'QA_Issues'!$E$2:$E$19,"LIMITATION")</f>
        <v/>
      </c>
      <c r="X6" s="2" t="inlineStr">
        <is>
          <t>["R7-ISS-005-TRACE"]</t>
        </is>
      </c>
      <c r="Y6" s="2" t="inlineStr">
        <is>
          <t>["evidence_batch_001_005", "https://jeminise.com/products/cat-patchwork-quilt-set-animal-pattern-bedding-cat-pattern-quilt-set", "serp_r7_005", "customizer_audit.json"]</t>
        </is>
      </c>
    </row>
    <row r="7" ht="42" customHeight="1">
      <c r="A7" s="3" t="n">
        <v>6</v>
      </c>
      <c r="B7" s="3" t="inlineStr">
        <is>
          <t>jeminise.com+cat-quilt-set-cat-patchwork-style-printed-bedding-animal-patchwork</t>
        </is>
      </c>
      <c r="C7" s="3" t="inlineStr">
        <is>
          <t>Geometric Cat Patchwork Quilt Set</t>
        </is>
      </c>
      <c r="D7" s="4" t="inlineStr">
        <is>
          <t>https://jeminise.com/products/cat-quilt-set-cat-patchwork-style-printed-bedding-animal-patchwork</t>
        </is>
      </c>
      <c r="E7" s="3" t="inlineStr">
        <is>
          <t>cat-quilt-set-cat-patchwork-style-printed-bedding-animal-patchwork</t>
        </is>
      </c>
      <c r="F7" s="3" t="inlineStr">
        <is>
          <t>8867094986951</t>
        </is>
      </c>
      <c r="G7" s="3" t="inlineStr">
        <is>
          <t>r7</t>
        </is>
      </c>
      <c r="H7" s="3" t="b">
        <v>1</v>
      </c>
      <c r="I7" s="7">
        <f>SUMIF('QA_Criteria'!$A$2:$A$111,B7,'QA_Criteria'!$G$2:$G$111)</f>
        <v/>
      </c>
      <c r="J7" s="7">
        <f>SUMIF('QA_Criteria'!$A$2:$A$111,B7,'QA_Criteria'!$H$2:$H$111)</f>
        <v/>
      </c>
      <c r="K7" s="7">
        <f>I7</f>
        <v/>
      </c>
      <c r="L7" s="7">
        <f>I7+(100-J7)</f>
        <v/>
      </c>
      <c r="M7" s="7">
        <f>IF(AND(J7=100,S7=1,R7=TRUE),I7,"")</f>
        <v/>
      </c>
      <c r="N7" s="3">
        <f>IF(T7&gt;0,"QA_FAIL",IF(M7="","QA_INCOMPLETE",IF(M7&lt;70,"QA_FAIL",IF(OR(M7&lt;85,U7&gt;0),"QA_REVISE","QA_PASS"))))</f>
        <v/>
      </c>
      <c r="O7" s="3" t="inlineStr">
        <is>
          <t>HYPOTHESIS_ONLY</t>
        </is>
      </c>
      <c r="P7" s="3" t="n">
        <v>7</v>
      </c>
      <c r="Q7" s="3" t="n">
        <v>7</v>
      </c>
      <c r="R7" s="3" t="b">
        <v>1</v>
      </c>
      <c r="S7" s="8" t="n">
        <v>1</v>
      </c>
      <c r="T7" s="3">
        <f>COUNTIFS('QA_Issues'!$B$2:$B$19,B7,'QA_Issues'!$E$2:$E$19,"CRITICAL")</f>
        <v/>
      </c>
      <c r="U7" s="3">
        <f>COUNTIFS('QA_Issues'!$B$2:$B$19,B7,'QA_Issues'!$E$2:$E$19,"MAJOR")</f>
        <v/>
      </c>
      <c r="V7" s="3">
        <f>COUNTIFS('QA_Issues'!$B$2:$B$19,B7,'QA_Issues'!$E$2:$E$19,"MINOR")</f>
        <v/>
      </c>
      <c r="W7" s="3">
        <f>COUNTIFS('QA_Issues'!$B$2:$B$19,B7,'QA_Issues'!$E$2:$E$19,"LIMITATION")</f>
        <v/>
      </c>
      <c r="X7" s="3" t="inlineStr">
        <is>
          <t>["R7-ISS-006-HYP", "R7-ISS-006-TRACE"]</t>
        </is>
      </c>
      <c r="Y7" s="3" t="inlineStr">
        <is>
          <t>["evidence_batch_001_006", "https://jeminise.com/products/cat-quilt-set-cat-patchwork-style-printed-bedding-animal-patchwork", "serp_r7_006", "customizer_audit.json"]</t>
        </is>
      </c>
    </row>
    <row r="8" ht="42" customHeight="1">
      <c r="A8" s="2" t="n">
        <v>7</v>
      </c>
      <c r="B8" s="2" t="inlineStr">
        <is>
          <t>jeminise.com+celtic-and-fantasy-quilt-set-with-twisting-tree-trunk-and-exposed-roots-c7b1460bad-c7b1460bad</t>
        </is>
      </c>
      <c r="C8" s="2" t="inlineStr">
        <is>
          <t>Celtic Fantasy Tree Quilt Set</t>
        </is>
      </c>
      <c r="D8" s="4" t="inlineStr">
        <is>
          <t>https://jeminise.com/products/celtic-and-fantasy-quilt-set-with-twisting-tree-trunk-and-exposed-roots-c7b1460bad-c7b1460bad</t>
        </is>
      </c>
      <c r="E8" s="2" t="inlineStr">
        <is>
          <t>celtic-and-fantasy-quilt-set-with-twisting-tree-trunk-and-exposed-roots-c7b1460bad-c7b1460bad</t>
        </is>
      </c>
      <c r="F8" s="2" t="inlineStr">
        <is>
          <t>8833350467783</t>
        </is>
      </c>
      <c r="G8" s="2" t="inlineStr">
        <is>
          <t>r7</t>
        </is>
      </c>
      <c r="H8" s="2" t="b">
        <v>1</v>
      </c>
      <c r="I8" s="5">
        <f>SUMIF('QA_Criteria'!$A$2:$A$111,B8,'QA_Criteria'!$G$2:$G$111)</f>
        <v/>
      </c>
      <c r="J8" s="5">
        <f>SUMIF('QA_Criteria'!$A$2:$A$111,B8,'QA_Criteria'!$H$2:$H$111)</f>
        <v/>
      </c>
      <c r="K8" s="5">
        <f>I8</f>
        <v/>
      </c>
      <c r="L8" s="5">
        <f>I8+(100-J8)</f>
        <v/>
      </c>
      <c r="M8" s="5">
        <f>IF(AND(J8=100,S8=1,R8=TRUE),I8,"")</f>
        <v/>
      </c>
      <c r="N8" s="2">
        <f>IF(T8&gt;0,"QA_FAIL",IF(M8="","QA_INCOMPLETE",IF(M8&lt;70,"QA_FAIL",IF(OR(M8&lt;85,U8&gt;0),"QA_REVISE","QA_PASS"))))</f>
        <v/>
      </c>
      <c r="O8" s="2" t="inlineStr">
        <is>
          <t>SERP_ONLY</t>
        </is>
      </c>
      <c r="P8" s="2" t="n">
        <v>7</v>
      </c>
      <c r="Q8" s="2" t="n">
        <v>7</v>
      </c>
      <c r="R8" s="2" t="b">
        <v>1</v>
      </c>
      <c r="S8" s="6" t="n">
        <v>1</v>
      </c>
      <c r="T8" s="2">
        <f>COUNTIFS('QA_Issues'!$B$2:$B$19,B8,'QA_Issues'!$E$2:$E$19,"CRITICAL")</f>
        <v/>
      </c>
      <c r="U8" s="2">
        <f>COUNTIFS('QA_Issues'!$B$2:$B$19,B8,'QA_Issues'!$E$2:$E$19,"MAJOR")</f>
        <v/>
      </c>
      <c r="V8" s="2">
        <f>COUNTIFS('QA_Issues'!$B$2:$B$19,B8,'QA_Issues'!$E$2:$E$19,"MINOR")</f>
        <v/>
      </c>
      <c r="W8" s="2">
        <f>COUNTIFS('QA_Issues'!$B$2:$B$19,B8,'QA_Issues'!$E$2:$E$19,"LIMITATION")</f>
        <v/>
      </c>
      <c r="X8" s="2" t="inlineStr">
        <is>
          <t>["R7-ISS-007-TRACE"]</t>
        </is>
      </c>
      <c r="Y8" s="2" t="inlineStr">
        <is>
          <t>["evidence_batch_001_007", "https://jeminise.com/products/celtic-and-fantasy-quilt-set-with-twisting-tree-trunk-and-exposed-roots-c7b1460bad-c7b1460bad", "serp_r7_007", "customizer_audit.json"]</t>
        </is>
      </c>
    </row>
    <row r="9" ht="42" customHeight="1">
      <c r="A9" s="3" t="n">
        <v>8</v>
      </c>
      <c r="B9" s="3" t="inlineStr">
        <is>
          <t>jeminise.com+celtic-mythology-tree-of-life-quilt-set-with-celtic-knotwork-border-12786aba7e-12786aba7e</t>
        </is>
      </c>
      <c r="C9" s="3" t="inlineStr">
        <is>
          <t>Celtic Tree of Life Quilt Set</t>
        </is>
      </c>
      <c r="D9" s="4" t="inlineStr">
        <is>
          <t>https://jeminise.com/products/celtic-mythology-tree-of-life-quilt-set-with-celtic-knotwork-border-12786aba7e-12786aba7e</t>
        </is>
      </c>
      <c r="E9" s="3" t="inlineStr">
        <is>
          <t>celtic-mythology-tree-of-life-quilt-set-with-celtic-knotwork-border-12786aba7e-12786aba7e</t>
        </is>
      </c>
      <c r="F9" s="3" t="inlineStr">
        <is>
          <t>8833347518663</t>
        </is>
      </c>
      <c r="G9" s="3" t="inlineStr">
        <is>
          <t>r7</t>
        </is>
      </c>
      <c r="H9" s="3" t="b">
        <v>1</v>
      </c>
      <c r="I9" s="7">
        <f>SUMIF('QA_Criteria'!$A$2:$A$111,B9,'QA_Criteria'!$G$2:$G$111)</f>
        <v/>
      </c>
      <c r="J9" s="7">
        <f>SUMIF('QA_Criteria'!$A$2:$A$111,B9,'QA_Criteria'!$H$2:$H$111)</f>
        <v/>
      </c>
      <c r="K9" s="7">
        <f>I9</f>
        <v/>
      </c>
      <c r="L9" s="7">
        <f>I9+(100-J9)</f>
        <v/>
      </c>
      <c r="M9" s="7">
        <f>IF(AND(J9=100,S9=1,R9=TRUE),I9,"")</f>
        <v/>
      </c>
      <c r="N9" s="3">
        <f>IF(T9&gt;0,"QA_FAIL",IF(M9="","QA_INCOMPLETE",IF(M9&lt;70,"QA_FAIL",IF(OR(M9&lt;85,U9&gt;0),"QA_REVISE","QA_PASS"))))</f>
        <v/>
      </c>
      <c r="O9" s="3" t="inlineStr">
        <is>
          <t>SERP_ONLY</t>
        </is>
      </c>
      <c r="P9" s="3" t="n">
        <v>7</v>
      </c>
      <c r="Q9" s="3" t="n">
        <v>7</v>
      </c>
      <c r="R9" s="3" t="b">
        <v>1</v>
      </c>
      <c r="S9" s="8" t="n">
        <v>1</v>
      </c>
      <c r="T9" s="3">
        <f>COUNTIFS('QA_Issues'!$B$2:$B$19,B9,'QA_Issues'!$E$2:$E$19,"CRITICAL")</f>
        <v/>
      </c>
      <c r="U9" s="3">
        <f>COUNTIFS('QA_Issues'!$B$2:$B$19,B9,'QA_Issues'!$E$2:$E$19,"MAJOR")</f>
        <v/>
      </c>
      <c r="V9" s="3">
        <f>COUNTIFS('QA_Issues'!$B$2:$B$19,B9,'QA_Issues'!$E$2:$E$19,"MINOR")</f>
        <v/>
      </c>
      <c r="W9" s="3">
        <f>COUNTIFS('QA_Issues'!$B$2:$B$19,B9,'QA_Issues'!$E$2:$E$19,"LIMITATION")</f>
        <v/>
      </c>
      <c r="X9" s="3" t="inlineStr">
        <is>
          <t>["R7-ISS-008-TRACE"]</t>
        </is>
      </c>
      <c r="Y9" s="3" t="inlineStr">
        <is>
          <t>["evidence_batch_001_008", "https://jeminise.com/products/celtic-mythology-tree-of-life-quilt-set-with-celtic-knotwork-border-12786aba7e-12786aba7e", "serp_r7_008", "customizer_audit.json"]</t>
        </is>
      </c>
    </row>
    <row r="10" ht="42" customHeight="1">
      <c r="A10" s="2" t="n">
        <v>9</v>
      </c>
      <c r="B10" s="2" t="inlineStr">
        <is>
          <t>jeminise.com+chicken-pattern-quilt-set-animal-patchwork-farmhouse-quilt-set</t>
        </is>
      </c>
      <c r="C10" s="2" t="inlineStr">
        <is>
          <t>Farmhouse Chicken Patchwork Quilt Set</t>
        </is>
      </c>
      <c r="D10" s="4" t="inlineStr">
        <is>
          <t>https://jeminise.com/products/chicken-pattern-quilt-set-animal-patchwork-farmhouse-quilt-set</t>
        </is>
      </c>
      <c r="E10" s="2" t="inlineStr">
        <is>
          <t>chicken-pattern-quilt-set-animal-patchwork-farmhouse-quilt-set</t>
        </is>
      </c>
      <c r="F10" s="2" t="inlineStr">
        <is>
          <t>8867095019719</t>
        </is>
      </c>
      <c r="G10" s="2" t="inlineStr">
        <is>
          <t>r7</t>
        </is>
      </c>
      <c r="H10" s="2" t="b">
        <v>1</v>
      </c>
      <c r="I10" s="5">
        <f>SUMIF('QA_Criteria'!$A$2:$A$111,B10,'QA_Criteria'!$G$2:$G$111)</f>
        <v/>
      </c>
      <c r="J10" s="5">
        <f>SUMIF('QA_Criteria'!$A$2:$A$111,B10,'QA_Criteria'!$H$2:$H$111)</f>
        <v/>
      </c>
      <c r="K10" s="5">
        <f>I10</f>
        <v/>
      </c>
      <c r="L10" s="5">
        <f>I10+(100-J10)</f>
        <v/>
      </c>
      <c r="M10" s="5">
        <f>IF(AND(J10=100,S10=1,R10=TRUE),I10,"")</f>
        <v/>
      </c>
      <c r="N10" s="2">
        <f>IF(T10&gt;0,"QA_FAIL",IF(M10="","QA_INCOMPLETE",IF(M10&lt;70,"QA_FAIL",IF(OR(M10&lt;85,U10&gt;0),"QA_REVISE","QA_PASS"))))</f>
        <v/>
      </c>
      <c r="O10" s="2" t="inlineStr">
        <is>
          <t>SERP_ONLY</t>
        </is>
      </c>
      <c r="P10" s="2" t="n">
        <v>7</v>
      </c>
      <c r="Q10" s="2" t="n">
        <v>7</v>
      </c>
      <c r="R10" s="2" t="b">
        <v>1</v>
      </c>
      <c r="S10" s="6" t="n">
        <v>1</v>
      </c>
      <c r="T10" s="2">
        <f>COUNTIFS('QA_Issues'!$B$2:$B$19,B10,'QA_Issues'!$E$2:$E$19,"CRITICAL")</f>
        <v/>
      </c>
      <c r="U10" s="2">
        <f>COUNTIFS('QA_Issues'!$B$2:$B$19,B10,'QA_Issues'!$E$2:$E$19,"MAJOR")</f>
        <v/>
      </c>
      <c r="V10" s="2">
        <f>COUNTIFS('QA_Issues'!$B$2:$B$19,B10,'QA_Issues'!$E$2:$E$19,"MINOR")</f>
        <v/>
      </c>
      <c r="W10" s="2">
        <f>COUNTIFS('QA_Issues'!$B$2:$B$19,B10,'QA_Issues'!$E$2:$E$19,"LIMITATION")</f>
        <v/>
      </c>
      <c r="X10" s="2" t="inlineStr">
        <is>
          <t>["R7-ISS-009-TRACE"]</t>
        </is>
      </c>
      <c r="Y10" s="2" t="inlineStr">
        <is>
          <t>["evidence_batch_001_009", "https://jeminise.com/products/chicken-pattern-quilt-set-animal-patchwork-farmhouse-quilt-set", "serp_r7_009", "customizer_audit.json"]</t>
        </is>
      </c>
    </row>
    <row r="11" ht="42" customHeight="1">
      <c r="A11" s="3" t="n">
        <v>10</v>
      </c>
      <c r="B11" s="3" t="inlineStr">
        <is>
          <t>jeminise.com+christian-bedding-set-inspirational-bible-verse-comforte-design-01</t>
        </is>
      </c>
      <c r="C11" s="3" t="inlineStr">
        <is>
          <t>Personalized God Says I Am Christian Bedding Set</t>
        </is>
      </c>
      <c r="D11" s="4" t="inlineStr">
        <is>
          <t>https://jeminise.com/products/christian-bedding-set-inspirational-bible-verse-comforte-design-01</t>
        </is>
      </c>
      <c r="E11" s="3" t="inlineStr">
        <is>
          <t>christian-bedding-set-inspirational-bible-verse-comforte-design-01</t>
        </is>
      </c>
      <c r="F11" s="3" t="inlineStr">
        <is>
          <t>8867138240711</t>
        </is>
      </c>
      <c r="G11" s="3" t="inlineStr">
        <is>
          <t>r7</t>
        </is>
      </c>
      <c r="H11" s="3" t="b">
        <v>1</v>
      </c>
      <c r="I11" s="7">
        <f>SUMIF('QA_Criteria'!$A$2:$A$111,B11,'QA_Criteria'!$G$2:$G$111)</f>
        <v/>
      </c>
      <c r="J11" s="7">
        <f>SUMIF('QA_Criteria'!$A$2:$A$111,B11,'QA_Criteria'!$H$2:$H$111)</f>
        <v/>
      </c>
      <c r="K11" s="7">
        <f>I11</f>
        <v/>
      </c>
      <c r="L11" s="7">
        <f>I11+(100-J11)</f>
        <v/>
      </c>
      <c r="M11" s="7">
        <f>IF(AND(J11=100,S11=1,R11=TRUE),I11,"")</f>
        <v/>
      </c>
      <c r="N11" s="3">
        <f>IF(T11&gt;0,"QA_FAIL",IF(M11="","QA_INCOMPLETE",IF(M11&lt;70,"QA_FAIL",IF(OR(M11&lt;85,U11&gt;0),"QA_REVISE","QA_PASS"))))</f>
        <v/>
      </c>
      <c r="O11" s="3" t="inlineStr">
        <is>
          <t>SERP_ONLY</t>
        </is>
      </c>
      <c r="P11" s="3" t="n">
        <v>8</v>
      </c>
      <c r="Q11" s="3" t="n">
        <v>8</v>
      </c>
      <c r="R11" s="3" t="b">
        <v>1</v>
      </c>
      <c r="S11" s="8" t="n">
        <v>1</v>
      </c>
      <c r="T11" s="3">
        <f>COUNTIFS('QA_Issues'!$B$2:$B$19,B11,'QA_Issues'!$E$2:$E$19,"CRITICAL")</f>
        <v/>
      </c>
      <c r="U11" s="3">
        <f>COUNTIFS('QA_Issues'!$B$2:$B$19,B11,'QA_Issues'!$E$2:$E$19,"MAJOR")</f>
        <v/>
      </c>
      <c r="V11" s="3">
        <f>COUNTIFS('QA_Issues'!$B$2:$B$19,B11,'QA_Issues'!$E$2:$E$19,"MINOR")</f>
        <v/>
      </c>
      <c r="W11" s="3">
        <f>COUNTIFS('QA_Issues'!$B$2:$B$19,B11,'QA_Issues'!$E$2:$E$19,"LIMITATION")</f>
        <v/>
      </c>
      <c r="X11" s="3" t="inlineStr">
        <is>
          <t>["R7-ISS-010-ENC", "R7-ISS-010-TRACE"]</t>
        </is>
      </c>
      <c r="Y11" s="3" t="inlineStr">
        <is>
          <t>["evidence_batch_001_010", "https://jeminise.com/products/christian-bedding-set-inspirational-bible-verse-comforte-design-01", "serp_r7_010", "customizer_audit.json"]</t>
        </is>
      </c>
    </row>
  </sheetData>
  <autoFilter ref="A1:Y11"/>
  <conditionalFormatting sqref="N2:N11">
    <cfRule type="expression" priority="1" dxfId="0">
      <formula>N2="QA_PASS"</formula>
    </cfRule>
    <cfRule type="expression" priority="2" dxfId="1">
      <formula>N2="QA_REVISE"</formula>
    </cfRule>
    <cfRule type="expression" priority="3" dxfId="2">
      <formula>N2="QA_FAIL"</formula>
    </cfRule>
  </conditionalFormatting>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L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24" customWidth="1" min="3" max="3"/>
    <col width="11" customWidth="1" min="4" max="4"/>
    <col width="21" customWidth="1" min="5" max="5"/>
    <col width="24" customWidth="1" min="6" max="6"/>
    <col width="23" customWidth="1" min="7" max="7"/>
    <col width="24" customWidth="1" min="8" max="8"/>
    <col width="42" customWidth="1" min="9" max="9"/>
    <col width="42" customWidth="1" min="10" max="10"/>
    <col width="42" customWidth="1" min="11" max="11"/>
    <col width="11" customWidth="1" min="12" max="12"/>
  </cols>
  <sheetData>
    <row r="1" ht="32" customHeight="1">
      <c r="A1" s="1" t="inlineStr">
        <is>
          <t>product_key</t>
        </is>
      </c>
      <c r="B1" s="1" t="inlineStr">
        <is>
          <t>criterion_id</t>
        </is>
      </c>
      <c r="C1" s="1" t="inlineStr">
        <is>
          <t>criterion_name</t>
        </is>
      </c>
      <c r="D1" s="1" t="inlineStr">
        <is>
          <t>weight</t>
        </is>
      </c>
      <c r="E1" s="1" t="inlineStr">
        <is>
          <t>assessment</t>
        </is>
      </c>
      <c r="F1" s="1" t="inlineStr">
        <is>
          <t>rating</t>
        </is>
      </c>
      <c r="G1" s="1" t="inlineStr">
        <is>
          <t>earned_points</t>
        </is>
      </c>
      <c r="H1" s="1" t="inlineStr">
        <is>
          <t>assessed_weight</t>
        </is>
      </c>
      <c r="I1" s="1" t="inlineStr">
        <is>
          <t>reason</t>
        </is>
      </c>
      <c r="J1" s="1" t="inlineStr">
        <is>
          <t>evidence_refs</t>
        </is>
      </c>
      <c r="K1" s="1" t="inlineStr">
        <is>
          <t>issue_refs</t>
        </is>
      </c>
      <c r="L1" s="1" t="inlineStr">
        <is>
          <t>revision</t>
        </is>
      </c>
    </row>
    <row r="2" ht="42" customHeight="1">
      <c r="A2" s="2" t="inlineStr">
        <is>
          <t>jeminise.com+autumn-cardinals-perched-above-large-sunflowers-quilt-with-cardinal-birds-9a3b408b20-9a3b408b20</t>
        </is>
      </c>
      <c r="B2" s="2" t="inlineStr">
        <is>
          <t>P1</t>
        </is>
      </c>
      <c r="C2" s="2" t="inlineStr">
        <is>
          <t>Identity and source integrity</t>
        </is>
      </c>
      <c r="D2" s="2" t="n">
        <v>15</v>
      </c>
      <c r="E2" s="2" t="inlineStr">
        <is>
          <t>FULL</t>
        </is>
      </c>
      <c r="F2" s="5">
        <f>IF(B2="I1",AVERAGEIF('QA_Images'!$A$2:$A$66,A2,'QA_Images'!$T$2:$T$66)/100,IF(E2="FULL",1,IF(E2="PARTIAL",0.5,IF(E2="FAIL",0,""))))</f>
        <v/>
      </c>
      <c r="G2" s="5">
        <f>IF(F2="",0,D2*F2)</f>
        <v/>
      </c>
      <c r="H2" s="5">
        <f>IF(B2="I1",20*AVERAGEIF('QA_Images'!$A$2:$A$66,A2,'QA_Images'!$U$2:$U$66)/100,IF(E2="NOT_CHECKED",0,D2))</f>
        <v/>
      </c>
      <c r="I2" s="2" t="inlineStr">
        <is>
          <t>Product key, handle, ID, canonical, H1 and gallery identity match the live page/product JSON.</t>
        </is>
      </c>
      <c r="J2" s="2" t="inlineStr">
        <is>
          <t>["evidence_batch_001_001", "https://jeminise.com/products/autumn-cardinals-perched-above-large-sunflowers-quilt-with-cardinal-birds-9a3b408b20-9a3b408b20", "serp_r7_001", "live_source_comparison.json", "visual_observations.json"]</t>
        </is>
      </c>
      <c r="K2" s="2" t="inlineStr">
        <is>
          <t>[]</t>
        </is>
      </c>
      <c r="L2" s="2" t="inlineStr">
        <is>
          <t>r7</t>
        </is>
      </c>
    </row>
    <row r="3" ht="42" customHeight="1">
      <c r="A3" s="3" t="inlineStr">
        <is>
          <t>jeminise.com+autumn-cardinals-perched-above-large-sunflowers-quilt-with-cardinal-birds-9a3b408b20-9a3b408b20</t>
        </is>
      </c>
      <c r="B3" s="3" t="inlineStr">
        <is>
          <t>P2</t>
        </is>
      </c>
      <c r="C3" s="3" t="inlineStr">
        <is>
          <t>Product facts and purchase options</t>
        </is>
      </c>
      <c r="D3" s="3" t="n">
        <v>10</v>
      </c>
      <c r="E3" s="3" t="inlineStr">
        <is>
          <t>FULL</t>
        </is>
      </c>
      <c r="F3" s="7">
        <f>IF(B3="I1",AVERAGEIF('QA_Images'!$A$2:$A$66,A3,'QA_Images'!$T$2:$T$66)/100,IF(E3="FULL",1,IF(E3="PARTIAL",0.5,IF(E3="FAIL",0,""))))</f>
        <v/>
      </c>
      <c r="G3" s="7">
        <f>IF(F3="",0,D3*F3)</f>
        <v/>
      </c>
      <c r="H3" s="7">
        <f>IF(B3="I1",20*AVERAGEIF('QA_Images'!$A$2:$A$66,A3,'QA_Images'!$U$2:$U$66)/100,IF(E3="NOT_CHECKED",0,D3))</f>
        <v/>
      </c>
      <c r="I3" s="3" t="inlineStr">
        <is>
          <t>Live variants, selectable sizes/pillowcase rules, gallery facts and product type were independently re-read.</t>
        </is>
      </c>
      <c r="J3" s="3" t="inlineStr">
        <is>
          <t>["evidence_batch_001_001", "https://jeminise.com/products/autumn-cardinals-perched-above-large-sunflowers-quilt-with-cardinal-birds-9a3b408b20-9a3b408b20", "serp_r7_001", "live_source_comparison.json", "visual_observations.json"]</t>
        </is>
      </c>
      <c r="K3" s="3" t="inlineStr">
        <is>
          <t>[]</t>
        </is>
      </c>
      <c r="L3" s="3" t="inlineStr">
        <is>
          <t>r7</t>
        </is>
      </c>
    </row>
    <row r="4" ht="42" customHeight="1">
      <c r="A4" s="2" t="inlineStr">
        <is>
          <t>jeminise.com+autumn-cardinals-perched-above-large-sunflowers-quilt-with-cardinal-birds-9a3b408b20-9a3b408b20</t>
        </is>
      </c>
      <c r="B4" s="2" t="inlineStr">
        <is>
          <t>K1</t>
        </is>
      </c>
      <c r="C4" s="2" t="inlineStr">
        <is>
          <t>Primary keyword evidence</t>
        </is>
      </c>
      <c r="D4" s="2" t="n">
        <v>10</v>
      </c>
      <c r="E4" s="2" t="inlineStr">
        <is>
          <t>PARTIAL</t>
        </is>
      </c>
      <c r="F4" s="5">
        <f>IF(B4="I1",AVERAGEIF('QA_Images'!$A$2:$A$66,A4,'QA_Images'!$T$2:$T$66)/100,IF(E4="FULL",1,IF(E4="PARTIAL",0.5,IF(E4="FAIL",0,""))))</f>
        <v/>
      </c>
      <c r="G4" s="5">
        <f>IF(F4="",0,D4*F4)</f>
        <v/>
      </c>
      <c r="H4" s="5">
        <f>IF(B4="I1",20*AVERAGEIF('QA_Images'!$A$2:$A$66,A4,'QA_Images'!$U$2:$U$66)/100,IF(E4="NOT_CHECKED",0,D4))</f>
        <v/>
      </c>
      <c r="I4" s="2" t="inlineStr">
        <is>
          <t>Fresh US SERP supports related finished bedding intent, but the exact long-tail query remains niche/hypothesis-led.</t>
        </is>
      </c>
      <c r="J4" s="2" t="inlineStr">
        <is>
          <t>["evidence_batch_001_001", "https://jeminise.com/products/autumn-cardinals-perched-above-large-sunflowers-quilt-with-cardinal-birds-9a3b408b20-9a3b408b20", "serp_r7_001", "live_source_comparison.json", "visual_observations.json"]</t>
        </is>
      </c>
      <c r="K4" s="2" t="inlineStr">
        <is>
          <t>["R7-ISS-001-HYP"]</t>
        </is>
      </c>
      <c r="L4" s="2" t="inlineStr">
        <is>
          <t>r7</t>
        </is>
      </c>
    </row>
    <row r="5" ht="42" customHeight="1">
      <c r="A5" s="3" t="inlineStr">
        <is>
          <t>jeminise.com+autumn-cardinals-perched-above-large-sunflowers-quilt-with-cardinal-birds-9a3b408b20-9a3b408b20</t>
        </is>
      </c>
      <c r="B5" s="3" t="inlineStr">
        <is>
          <t>K2</t>
        </is>
      </c>
      <c r="C5" s="3" t="inlineStr">
        <is>
          <t>SERP intent and comparator</t>
        </is>
      </c>
      <c r="D5" s="3" t="n">
        <v>5</v>
      </c>
      <c r="E5" s="3" t="inlineStr">
        <is>
          <t>FULL</t>
        </is>
      </c>
      <c r="F5" s="7">
        <f>IF(B5="I1",AVERAGEIF('QA_Images'!$A$2:$A$66,A5,'QA_Images'!$T$2:$T$66)/100,IF(E5="FULL",1,IF(E5="PARTIAL",0.5,IF(E5="FAIL",0,""))))</f>
        <v/>
      </c>
      <c r="G5" s="7">
        <f>IF(F5="",0,D5*F5)</f>
        <v/>
      </c>
      <c r="H5" s="7">
        <f>IF(B5="I1",20*AVERAGEIF('QA_Images'!$A$2:$A$66,A5,'QA_Images'!$U$2:$U$66)/100,IF(E5="NOT_CHECKED",0,D5))</f>
        <v/>
      </c>
      <c r="I5" s="3" t="inlineStr">
        <is>
          <t>Primary and nearest comparator show commercial finished-product intent.</t>
        </is>
      </c>
      <c r="J5" s="3" t="inlineStr">
        <is>
          <t>["evidence_batch_001_001", "https://jeminise.com/products/autumn-cardinals-perched-above-large-sunflowers-quilt-with-cardinal-birds-9a3b408b20-9a3b408b20", "serp_r7_001", "live_source_comparison.json", "visual_observations.json"]</t>
        </is>
      </c>
      <c r="K5" s="3" t="inlineStr">
        <is>
          <t>["R7-ISS-001-HYP"]</t>
        </is>
      </c>
      <c r="L5" s="3" t="inlineStr">
        <is>
          <t>r7</t>
        </is>
      </c>
    </row>
    <row r="6" ht="42" customHeight="1">
      <c r="A6" s="2" t="inlineStr">
        <is>
          <t>jeminise.com+autumn-cardinals-perched-above-large-sunflowers-quilt-with-cardinal-birds-9a3b408b20-9a3b408b20</t>
        </is>
      </c>
      <c r="B6" s="2" t="inlineStr">
        <is>
          <t>K3</t>
        </is>
      </c>
      <c r="C6" s="2" t="inlineStr">
        <is>
          <t>Cannibalization differentiation</t>
        </is>
      </c>
      <c r="D6" s="2" t="n">
        <v>5</v>
      </c>
      <c r="E6" s="2" t="inlineStr">
        <is>
          <t>FULL</t>
        </is>
      </c>
      <c r="F6" s="5">
        <f>IF(B6="I1",AVERAGEIF('QA_Images'!$A$2:$A$66,A6,'QA_Images'!$T$2:$T$66)/100,IF(E6="FULL",1,IF(E6="PARTIAL",0.5,IF(E6="FAIL",0,""))))</f>
        <v/>
      </c>
      <c r="G6" s="5">
        <f>IF(F6="",0,D6*F6)</f>
        <v/>
      </c>
      <c r="H6" s="5">
        <f>IF(B6="I1",20*AVERAGEIF('QA_Images'!$A$2:$A$66,A6,'QA_Images'!$U$2:$U$66)/100,IF(E6="NOT_CHECKED",0,D6))</f>
        <v/>
      </c>
      <c r="I6" s="2" t="inlineStr">
        <is>
          <t>R7 keyword rows document a unique motif, collection/internal-link role and explicit sibling exclusions.</t>
        </is>
      </c>
      <c r="J6" s="2" t="inlineStr">
        <is>
          <t>["evidence_batch_001_001", "https://jeminise.com/products/autumn-cardinals-perched-above-large-sunflowers-quilt-with-cardinal-birds-9a3b408b20-9a3b408b20", "serp_r7_001", "live_source_comparison.json", "visual_observations.json"]</t>
        </is>
      </c>
      <c r="K6" s="2" t="inlineStr">
        <is>
          <t>[]</t>
        </is>
      </c>
      <c r="L6" s="2" t="inlineStr">
        <is>
          <t>r7</t>
        </is>
      </c>
    </row>
    <row r="7" ht="42" customHeight="1">
      <c r="A7" s="3" t="inlineStr">
        <is>
          <t>jeminise.com+autumn-cardinals-perched-above-large-sunflowers-quilt-with-cardinal-birds-9a3b408b20-9a3b408b20</t>
        </is>
      </c>
      <c r="B7" s="3" t="inlineStr">
        <is>
          <t>T1</t>
        </is>
      </c>
      <c r="C7" s="3" t="inlineStr">
        <is>
          <t>SEO title</t>
        </is>
      </c>
      <c r="D7" s="3" t="n">
        <v>10</v>
      </c>
      <c r="E7" s="3" t="inlineStr">
        <is>
          <t>FULL</t>
        </is>
      </c>
      <c r="F7" s="7">
        <f>IF(B7="I1",AVERAGEIF('QA_Images'!$A$2:$A$66,A7,'QA_Images'!$T$2:$T$66)/100,IF(E7="FULL",1,IF(E7="PARTIAL",0.5,IF(E7="FAIL",0,""))))</f>
        <v/>
      </c>
      <c r="G7" s="7">
        <f>IF(F7="",0,D7*F7)</f>
        <v/>
      </c>
      <c r="H7" s="7">
        <f>IF(B7="I1",20*AVERAGEIF('QA_Images'!$A$2:$A$66,A7,'QA_Images'!$U$2:$U$66)/100,IF(E7="NOT_CHECKED",0,D7))</f>
        <v/>
      </c>
      <c r="I7" s="3" t="inlineStr">
        <is>
          <t>SEO title is concise, clean, product-specific and aligned with verified motif/product type.</t>
        </is>
      </c>
      <c r="J7" s="3" t="inlineStr">
        <is>
          <t>["evidence_batch_001_001", "https://jeminise.com/products/autumn-cardinals-perched-above-large-sunflowers-quilt-with-cardinal-birds-9a3b408b20-9a3b408b20", "serp_r7_001", "live_source_comparison.json", "visual_observations.json"]</t>
        </is>
      </c>
      <c r="K7" s="3" t="inlineStr">
        <is>
          <t>[]</t>
        </is>
      </c>
      <c r="L7" s="3" t="inlineStr">
        <is>
          <t>r7</t>
        </is>
      </c>
    </row>
    <row r="8" ht="42" customHeight="1">
      <c r="A8" s="2" t="inlineStr">
        <is>
          <t>jeminise.com+autumn-cardinals-perched-above-large-sunflowers-quilt-with-cardinal-birds-9a3b408b20-9a3b408b20</t>
        </is>
      </c>
      <c r="B8" s="2" t="inlineStr">
        <is>
          <t>T2</t>
        </is>
      </c>
      <c r="C8" s="2" t="inlineStr">
        <is>
          <t>Proposed product title/H1</t>
        </is>
      </c>
      <c r="D8" s="2" t="n">
        <v>5</v>
      </c>
      <c r="E8" s="2" t="inlineStr">
        <is>
          <t>FULL</t>
        </is>
      </c>
      <c r="F8" s="5">
        <f>IF(B8="I1",AVERAGEIF('QA_Images'!$A$2:$A$66,A8,'QA_Images'!$T$2:$T$66)/100,IF(E8="FULL",1,IF(E8="PARTIAL",0.5,IF(E8="FAIL",0,""))))</f>
        <v/>
      </c>
      <c r="G8" s="5">
        <f>IF(F8="",0,D8*F8)</f>
        <v/>
      </c>
      <c r="H8" s="5">
        <f>IF(B8="I1",20*AVERAGEIF('QA_Images'!$A$2:$A$66,A8,'QA_Images'!$U$2:$U$66)/100,IF(E8="NOT_CHECKED",0,D8))</f>
        <v/>
      </c>
      <c r="I8" s="2" t="inlineStr">
        <is>
          <t>Proposed product title/H1 is concise, clean, product-specific and aligned with verified motif/product type.</t>
        </is>
      </c>
      <c r="J8" s="2" t="inlineStr">
        <is>
          <t>["evidence_batch_001_001", "https://jeminise.com/products/autumn-cardinals-perched-above-large-sunflowers-quilt-with-cardinal-birds-9a3b408b20-9a3b408b20", "serp_r7_001", "live_source_comparison.json", "visual_observations.json"]</t>
        </is>
      </c>
      <c r="K8" s="2" t="inlineStr">
        <is>
          <t>[]</t>
        </is>
      </c>
      <c r="L8" s="2" t="inlineStr">
        <is>
          <t>r7</t>
        </is>
      </c>
    </row>
    <row r="9" ht="42" customHeight="1">
      <c r="A9" s="3" t="inlineStr">
        <is>
          <t>jeminise.com+autumn-cardinals-perched-above-large-sunflowers-quilt-with-cardinal-birds-9a3b408b20-9a3b408b20</t>
        </is>
      </c>
      <c r="B9" s="3" t="inlineStr">
        <is>
          <t>D1</t>
        </is>
      </c>
      <c r="C9" s="3" t="inlineStr">
        <is>
          <t>Meta description</t>
        </is>
      </c>
      <c r="D9" s="3" t="n">
        <v>5</v>
      </c>
      <c r="E9" s="3" t="inlineStr">
        <is>
          <t>FULL</t>
        </is>
      </c>
      <c r="F9" s="7">
        <f>IF(B9="I1",AVERAGEIF('QA_Images'!$A$2:$A$66,A9,'QA_Images'!$T$2:$T$66)/100,IF(E9="FULL",1,IF(E9="PARTIAL",0.5,IF(E9="FAIL",0,""))))</f>
        <v/>
      </c>
      <c r="G9" s="7">
        <f>IF(F9="",0,D9*F9)</f>
        <v/>
      </c>
      <c r="H9" s="7">
        <f>IF(B9="I1",20*AVERAGEIF('QA_Images'!$A$2:$A$66,A9,'QA_Images'!$U$2:$U$66)/100,IF(E9="NOT_CHECKED",0,D9))</f>
        <v/>
      </c>
      <c r="I9" s="3" t="inlineStr">
        <is>
          <t>Meta description is complete, readable and evidence-led; 145–165 characters is treated only as editorial guidance.</t>
        </is>
      </c>
      <c r="J9" s="3" t="inlineStr">
        <is>
          <t>["evidence_batch_001_001", "https://jeminise.com/products/autumn-cardinals-perched-above-large-sunflowers-quilt-with-cardinal-birds-9a3b408b20-9a3b408b20", "serp_r7_001", "live_source_comparison.json", "visual_observations.json"]</t>
        </is>
      </c>
      <c r="K9" s="3" t="inlineStr">
        <is>
          <t>[]</t>
        </is>
      </c>
      <c r="L9" s="3" t="inlineStr">
        <is>
          <t>r7</t>
        </is>
      </c>
    </row>
    <row r="10" ht="42" customHeight="1">
      <c r="A10" s="2" t="inlineStr">
        <is>
          <t>jeminise.com+autumn-cardinals-perched-above-large-sunflowers-quilt-with-cardinal-birds-9a3b408b20-9a3b408b20</t>
        </is>
      </c>
      <c r="B10" s="2" t="inlineStr">
        <is>
          <t>D2</t>
        </is>
      </c>
      <c r="C10" s="2" t="inlineStr">
        <is>
          <t>Description HTML</t>
        </is>
      </c>
      <c r="D10" s="2" t="n">
        <v>10</v>
      </c>
      <c r="E10" s="2" t="inlineStr">
        <is>
          <t>PARTIAL</t>
        </is>
      </c>
      <c r="F10" s="5">
        <f>IF(B10="I1",AVERAGEIF('QA_Images'!$A$2:$A$66,A10,'QA_Images'!$T$2:$T$66)/100,IF(E10="FULL",1,IF(E10="PARTIAL",0.5,IF(E10="FAIL",0,""))))</f>
        <v/>
      </c>
      <c r="G10" s="5">
        <f>IF(F10="",0,D10*F10)</f>
        <v/>
      </c>
      <c r="H10" s="5">
        <f>IF(B10="I1",20*AVERAGEIF('QA_Images'!$A$2:$A$66,A10,'QA_Images'!$U$2:$U$66)/100,IF(E10="NOT_CHECKED",0,D10))</f>
        <v/>
      </c>
      <c r="I10" s="2" t="inlineStr">
        <is>
          <t>Most copy is useful, but live size values conflict with r7 and/or an internal SEO-intent sentence remains.</t>
        </is>
      </c>
      <c r="J10" s="2" t="inlineStr">
        <is>
          <t>["evidence_batch_001_001", "https://jeminise.com/products/autumn-cardinals-perched-above-large-sunflowers-quilt-with-cardinal-birds-9a3b408b20-9a3b408b20", "serp_r7_001", "live_source_comparison.json", "visual_observations.json"]</t>
        </is>
      </c>
      <c r="K10" s="2" t="inlineStr">
        <is>
          <t>["R7-ISS-001-SIZE"]</t>
        </is>
      </c>
      <c r="L10" s="2" t="inlineStr">
        <is>
          <t>r7</t>
        </is>
      </c>
    </row>
    <row r="11" ht="42" customHeight="1">
      <c r="A11" s="3" t="inlineStr">
        <is>
          <t>jeminise.com+autumn-cardinals-perched-above-large-sunflowers-quilt-with-cardinal-birds-9a3b408b20-9a3b408b20</t>
        </is>
      </c>
      <c r="B11" s="3" t="inlineStr">
        <is>
          <t>I1</t>
        </is>
      </c>
      <c r="C11" s="3" t="inlineStr">
        <is>
          <t>Image/alt quality</t>
        </is>
      </c>
      <c r="D11" s="3" t="n">
        <v>20</v>
      </c>
      <c r="E11" s="3" t="inlineStr">
        <is>
          <t>DERIVED_FROM_IMAGES</t>
        </is>
      </c>
      <c r="F11" s="7">
        <f>IF(B11="I1",AVERAGEIF('QA_Images'!$A$2:$A$66,A11,'QA_Images'!$T$2:$T$66)/100,IF(E11="FULL",1,IF(E11="PARTIAL",0.5,IF(E11="FAIL",0,""))))</f>
        <v/>
      </c>
      <c r="G11" s="7">
        <f>IF(F11="",0,D11*F11)</f>
        <v/>
      </c>
      <c r="H11" s="7">
        <f>IF(B11="I1",20*AVERAGEIF('QA_Images'!$A$2:$A$66,A11,'QA_Images'!$U$2:$U$66)/100,IF(E11="NOT_CHECKED",0,D11))</f>
        <v/>
      </c>
      <c r="I11" s="3" t="inlineStr">
        <is>
          <t>Derived from 5 freshly opened images; every observation and SET alt matches the exact scene/panel.</t>
        </is>
      </c>
      <c r="J11" s="3" t="inlineStr">
        <is>
          <t>["evidence_batch_001_001", "https://jeminise.com/products/autumn-cardinals-perched-above-large-sunflowers-quilt-with-cardinal-birds-9a3b408b20-9a3b408b20", "serp_r7_001", "live_source_comparison.json", "visual_observations.json"]</t>
        </is>
      </c>
      <c r="K11" s="3" t="inlineStr">
        <is>
          <t>[]</t>
        </is>
      </c>
      <c r="L11" s="3" t="inlineStr">
        <is>
          <t>r7</t>
        </is>
      </c>
    </row>
    <row r="12" ht="42" customHeight="1">
      <c r="A12" s="2" t="inlineStr">
        <is>
          <t>jeminise.com+autumn-cardinals-perched-above-large-sunflowers-quilt-with-cardinal-birds-9a3b408b20-9a3b408b20</t>
        </is>
      </c>
      <c r="B12" s="2" t="inlineStr">
        <is>
          <t>E1</t>
        </is>
      </c>
      <c r="C12" s="2" t="inlineStr">
        <is>
          <t>Evidence traceability</t>
        </is>
      </c>
      <c r="D12" s="2" t="n">
        <v>5</v>
      </c>
      <c r="E12" s="2" t="inlineStr">
        <is>
          <t>PARTIAL</t>
        </is>
      </c>
      <c r="F12" s="5">
        <f>IF(B12="I1",AVERAGEIF('QA_Images'!$A$2:$A$66,A12,'QA_Images'!$T$2:$T$66)/100,IF(E12="FULL",1,IF(E12="PARTIAL",0.5,IF(E12="FAIL",0,""))))</f>
        <v/>
      </c>
      <c r="G12" s="5">
        <f>IF(F12="",0,D12*F12)</f>
        <v/>
      </c>
      <c r="H12" s="5">
        <f>IF(B12="I1",20*AVERAGEIF('QA_Images'!$A$2:$A$66,A12,'QA_Images'!$U$2:$U$66)/100,IF(E12="NOT_CHECKED",0,D12))</f>
        <v/>
      </c>
      <c r="I12" s="2" t="inlineStr">
        <is>
          <t>File/hash and evidence refs are clear, but row-level revision metadata and revision_summary still identify r5 inside the r7 package.</t>
        </is>
      </c>
      <c r="J12" s="2" t="inlineStr">
        <is>
          <t>["evidence_batch_001_001", "https://jeminise.com/products/autumn-cardinals-perched-above-large-sunflowers-quilt-with-cardinal-birds-9a3b408b20-9a3b408b20", "serp_r7_001", "live_source_comparison.json", "visual_observations.json"]</t>
        </is>
      </c>
      <c r="K12" s="2" t="inlineStr">
        <is>
          <t>["R7-ISS-001-TRACE"]</t>
        </is>
      </c>
      <c r="L12" s="2" t="inlineStr">
        <is>
          <t>r7</t>
        </is>
      </c>
    </row>
    <row r="13" ht="42" customHeight="1">
      <c r="A13" s="3" t="inlineStr">
        <is>
          <t>jeminise.com+bright-teal-yellow-softball-comforter-set-premium-sports-theme</t>
        </is>
      </c>
      <c r="B13" s="3" t="inlineStr">
        <is>
          <t>P1</t>
        </is>
      </c>
      <c r="C13" s="3" t="inlineStr">
        <is>
          <t>Identity and source integrity</t>
        </is>
      </c>
      <c r="D13" s="3" t="n">
        <v>15</v>
      </c>
      <c r="E13" s="3" t="inlineStr">
        <is>
          <t>FULL</t>
        </is>
      </c>
      <c r="F13" s="7">
        <f>IF(B13="I1",AVERAGEIF('QA_Images'!$A$2:$A$66,A13,'QA_Images'!$T$2:$T$66)/100,IF(E13="FULL",1,IF(E13="PARTIAL",0.5,IF(E13="FAIL",0,""))))</f>
        <v/>
      </c>
      <c r="G13" s="7">
        <f>IF(F13="",0,D13*F13)</f>
        <v/>
      </c>
      <c r="H13" s="7">
        <f>IF(B13="I1",20*AVERAGEIF('QA_Images'!$A$2:$A$66,A13,'QA_Images'!$U$2:$U$66)/100,IF(E13="NOT_CHECKED",0,D13))</f>
        <v/>
      </c>
      <c r="I13" s="3" t="inlineStr">
        <is>
          <t>Product key, handle, ID, canonical, H1 and gallery identity match the live page/product JSON.</t>
        </is>
      </c>
      <c r="J13" s="3" t="inlineStr">
        <is>
          <t>["evidence_batch_001_002", "https://jeminise.com/products/bright-teal-yellow-softball-comforter-set-premium-sports-theme", "serp_r7_002", "live_source_comparison.json", "visual_observations.json"]</t>
        </is>
      </c>
      <c r="K13" s="3" t="inlineStr">
        <is>
          <t>[]</t>
        </is>
      </c>
      <c r="L13" s="3" t="inlineStr">
        <is>
          <t>r7</t>
        </is>
      </c>
    </row>
    <row r="14" ht="42" customHeight="1">
      <c r="A14" s="2" t="inlineStr">
        <is>
          <t>jeminise.com+bright-teal-yellow-softball-comforter-set-premium-sports-theme</t>
        </is>
      </c>
      <c r="B14" s="2" t="inlineStr">
        <is>
          <t>P2</t>
        </is>
      </c>
      <c r="C14" s="2" t="inlineStr">
        <is>
          <t>Product facts and purchase options</t>
        </is>
      </c>
      <c r="D14" s="2" t="n">
        <v>10</v>
      </c>
      <c r="E14" s="2" t="inlineStr">
        <is>
          <t>FULL</t>
        </is>
      </c>
      <c r="F14" s="5">
        <f>IF(B14="I1",AVERAGEIF('QA_Images'!$A$2:$A$66,A14,'QA_Images'!$T$2:$T$66)/100,IF(E14="FULL",1,IF(E14="PARTIAL",0.5,IF(E14="FAIL",0,""))))</f>
        <v/>
      </c>
      <c r="G14" s="5">
        <f>IF(F14="",0,D14*F14)</f>
        <v/>
      </c>
      <c r="H14" s="5">
        <f>IF(B14="I1",20*AVERAGEIF('QA_Images'!$A$2:$A$66,A14,'QA_Images'!$U$2:$U$66)/100,IF(E14="NOT_CHECKED",0,D14))</f>
        <v/>
      </c>
      <c r="I14" s="2" t="inlineStr">
        <is>
          <t>Customizer exposes required 'Custom Your Name' and 'Custom Your Number' fields (min 1, max 1000).</t>
        </is>
      </c>
      <c r="J14" s="2" t="inlineStr">
        <is>
          <t>["evidence_batch_001_002", "https://jeminise.com/products/bright-teal-yellow-softball-comforter-set-premium-sports-theme", "serp_r7_002", "live_source_comparison.json", "visual_observations.json"]</t>
        </is>
      </c>
      <c r="K14" s="2" t="inlineStr">
        <is>
          <t>[]</t>
        </is>
      </c>
      <c r="L14" s="2" t="inlineStr">
        <is>
          <t>r7</t>
        </is>
      </c>
    </row>
    <row r="15" ht="42" customHeight="1">
      <c r="A15" s="3" t="inlineStr">
        <is>
          <t>jeminise.com+bright-teal-yellow-softball-comforter-set-premium-sports-theme</t>
        </is>
      </c>
      <c r="B15" s="3" t="inlineStr">
        <is>
          <t>K1</t>
        </is>
      </c>
      <c r="C15" s="3" t="inlineStr">
        <is>
          <t>Primary keyword evidence</t>
        </is>
      </c>
      <c r="D15" s="3" t="n">
        <v>10</v>
      </c>
      <c r="E15" s="3" t="inlineStr">
        <is>
          <t>FULL</t>
        </is>
      </c>
      <c r="F15" s="7">
        <f>IF(B15="I1",AVERAGEIF('QA_Images'!$A$2:$A$66,A15,'QA_Images'!$T$2:$T$66)/100,IF(E15="FULL",1,IF(E15="PARTIAL",0.5,IF(E15="FAIL",0,""))))</f>
        <v/>
      </c>
      <c r="G15" s="7">
        <f>IF(F15="",0,D15*F15)</f>
        <v/>
      </c>
      <c r="H15" s="7">
        <f>IF(B15="I1",20*AVERAGEIF('QA_Images'!$A$2:$A$66,A15,'QA_Images'!$U$2:$U$66)/100,IF(E15="NOT_CHECKED",0,D15))</f>
        <v/>
      </c>
      <c r="I15" s="3" t="inlineStr">
        <is>
          <t>Fresh US SERP supports the selected finished-product query.</t>
        </is>
      </c>
      <c r="J15" s="3" t="inlineStr">
        <is>
          <t>["evidence_batch_001_002", "https://jeminise.com/products/bright-teal-yellow-softball-comforter-set-premium-sports-theme", "serp_r7_002", "live_source_comparison.json", "visual_observations.json"]</t>
        </is>
      </c>
      <c r="K15" s="3" t="inlineStr">
        <is>
          <t>[]</t>
        </is>
      </c>
      <c r="L15" s="3" t="inlineStr">
        <is>
          <t>r7</t>
        </is>
      </c>
    </row>
    <row r="16" ht="42" customHeight="1">
      <c r="A16" s="2" t="inlineStr">
        <is>
          <t>jeminise.com+bright-teal-yellow-softball-comforter-set-premium-sports-theme</t>
        </is>
      </c>
      <c r="B16" s="2" t="inlineStr">
        <is>
          <t>K2</t>
        </is>
      </c>
      <c r="C16" s="2" t="inlineStr">
        <is>
          <t>SERP intent and comparator</t>
        </is>
      </c>
      <c r="D16" s="2" t="n">
        <v>5</v>
      </c>
      <c r="E16" s="2" t="inlineStr">
        <is>
          <t>FULL</t>
        </is>
      </c>
      <c r="F16" s="5">
        <f>IF(B16="I1",AVERAGEIF('QA_Images'!$A$2:$A$66,A16,'QA_Images'!$T$2:$T$66)/100,IF(E16="FULL",1,IF(E16="PARTIAL",0.5,IF(E16="FAIL",0,""))))</f>
        <v/>
      </c>
      <c r="G16" s="5">
        <f>IF(F16="",0,D16*F16)</f>
        <v/>
      </c>
      <c r="H16" s="5">
        <f>IF(B16="I1",20*AVERAGEIF('QA_Images'!$A$2:$A$66,A16,'QA_Images'!$U$2:$U$66)/100,IF(E16="NOT_CHECKED",0,D16))</f>
        <v/>
      </c>
      <c r="I16" s="2" t="inlineStr">
        <is>
          <t>Primary and nearest comparator show commercial finished-product intent.</t>
        </is>
      </c>
      <c r="J16" s="2" t="inlineStr">
        <is>
          <t>["evidence_batch_001_002", "https://jeminise.com/products/bright-teal-yellow-softball-comforter-set-premium-sports-theme", "serp_r7_002", "live_source_comparison.json", "visual_observations.json"]</t>
        </is>
      </c>
      <c r="K16" s="2" t="inlineStr">
        <is>
          <t>[]</t>
        </is>
      </c>
      <c r="L16" s="2" t="inlineStr">
        <is>
          <t>r7</t>
        </is>
      </c>
    </row>
    <row r="17" ht="42" customHeight="1">
      <c r="A17" s="3" t="inlineStr">
        <is>
          <t>jeminise.com+bright-teal-yellow-softball-comforter-set-premium-sports-theme</t>
        </is>
      </c>
      <c r="B17" s="3" t="inlineStr">
        <is>
          <t>K3</t>
        </is>
      </c>
      <c r="C17" s="3" t="inlineStr">
        <is>
          <t>Cannibalization differentiation</t>
        </is>
      </c>
      <c r="D17" s="3" t="n">
        <v>5</v>
      </c>
      <c r="E17" s="3" t="inlineStr">
        <is>
          <t>FULL</t>
        </is>
      </c>
      <c r="F17" s="7">
        <f>IF(B17="I1",AVERAGEIF('QA_Images'!$A$2:$A$66,A17,'QA_Images'!$T$2:$T$66)/100,IF(E17="FULL",1,IF(E17="PARTIAL",0.5,IF(E17="FAIL",0,""))))</f>
        <v/>
      </c>
      <c r="G17" s="7">
        <f>IF(F17="",0,D17*F17)</f>
        <v/>
      </c>
      <c r="H17" s="7">
        <f>IF(B17="I1",20*AVERAGEIF('QA_Images'!$A$2:$A$66,A17,'QA_Images'!$U$2:$U$66)/100,IF(E17="NOT_CHECKED",0,D17))</f>
        <v/>
      </c>
      <c r="I17" s="3" t="inlineStr">
        <is>
          <t>R7 keyword rows document a unique motif, collection/internal-link role and explicit sibling exclusions.</t>
        </is>
      </c>
      <c r="J17" s="3" t="inlineStr">
        <is>
          <t>["evidence_batch_001_002", "https://jeminise.com/products/bright-teal-yellow-softball-comforter-set-premium-sports-theme", "serp_r7_002", "live_source_comparison.json", "visual_observations.json"]</t>
        </is>
      </c>
      <c r="K17" s="3" t="inlineStr">
        <is>
          <t>[]</t>
        </is>
      </c>
      <c r="L17" s="3" t="inlineStr">
        <is>
          <t>r7</t>
        </is>
      </c>
    </row>
    <row r="18" ht="42" customHeight="1">
      <c r="A18" s="2" t="inlineStr">
        <is>
          <t>jeminise.com+bright-teal-yellow-softball-comforter-set-premium-sports-theme</t>
        </is>
      </c>
      <c r="B18" s="2" t="inlineStr">
        <is>
          <t>T1</t>
        </is>
      </c>
      <c r="C18" s="2" t="inlineStr">
        <is>
          <t>SEO title</t>
        </is>
      </c>
      <c r="D18" s="2" t="n">
        <v>10</v>
      </c>
      <c r="E18" s="2" t="inlineStr">
        <is>
          <t>FULL</t>
        </is>
      </c>
      <c r="F18" s="5">
        <f>IF(B18="I1",AVERAGEIF('QA_Images'!$A$2:$A$66,A18,'QA_Images'!$T$2:$T$66)/100,IF(E18="FULL",1,IF(E18="PARTIAL",0.5,IF(E18="FAIL",0,""))))</f>
        <v/>
      </c>
      <c r="G18" s="5">
        <f>IF(F18="",0,D18*F18)</f>
        <v/>
      </c>
      <c r="H18" s="5">
        <f>IF(B18="I1",20*AVERAGEIF('QA_Images'!$A$2:$A$66,A18,'QA_Images'!$U$2:$U$66)/100,IF(E18="NOT_CHECKED",0,D18))</f>
        <v/>
      </c>
      <c r="I18" s="2" t="inlineStr">
        <is>
          <t>SEO title is concise, clean, product-specific and aligned with verified motif/product type.</t>
        </is>
      </c>
      <c r="J18" s="2" t="inlineStr">
        <is>
          <t>["evidence_batch_001_002", "https://jeminise.com/products/bright-teal-yellow-softball-comforter-set-premium-sports-theme", "serp_r7_002", "live_source_comparison.json", "visual_observations.json"]</t>
        </is>
      </c>
      <c r="K18" s="2" t="inlineStr">
        <is>
          <t>[]</t>
        </is>
      </c>
      <c r="L18" s="2" t="inlineStr">
        <is>
          <t>r7</t>
        </is>
      </c>
    </row>
    <row r="19" ht="42" customHeight="1">
      <c r="A19" s="3" t="inlineStr">
        <is>
          <t>jeminise.com+bright-teal-yellow-softball-comforter-set-premium-sports-theme</t>
        </is>
      </c>
      <c r="B19" s="3" t="inlineStr">
        <is>
          <t>T2</t>
        </is>
      </c>
      <c r="C19" s="3" t="inlineStr">
        <is>
          <t>Proposed product title/H1</t>
        </is>
      </c>
      <c r="D19" s="3" t="n">
        <v>5</v>
      </c>
      <c r="E19" s="3" t="inlineStr">
        <is>
          <t>FULL</t>
        </is>
      </c>
      <c r="F19" s="7">
        <f>IF(B19="I1",AVERAGEIF('QA_Images'!$A$2:$A$66,A19,'QA_Images'!$T$2:$T$66)/100,IF(E19="FULL",1,IF(E19="PARTIAL",0.5,IF(E19="FAIL",0,""))))</f>
        <v/>
      </c>
      <c r="G19" s="7">
        <f>IF(F19="",0,D19*F19)</f>
        <v/>
      </c>
      <c r="H19" s="7">
        <f>IF(B19="I1",20*AVERAGEIF('QA_Images'!$A$2:$A$66,A19,'QA_Images'!$U$2:$U$66)/100,IF(E19="NOT_CHECKED",0,D19))</f>
        <v/>
      </c>
      <c r="I19" s="3" t="inlineStr">
        <is>
          <t>Proposed product title/H1 is concise, clean, product-specific and aligned with verified motif/product type.</t>
        </is>
      </c>
      <c r="J19" s="3" t="inlineStr">
        <is>
          <t>["evidence_batch_001_002", "https://jeminise.com/products/bright-teal-yellow-softball-comforter-set-premium-sports-theme", "serp_r7_002", "live_source_comparison.json", "visual_observations.json"]</t>
        </is>
      </c>
      <c r="K19" s="3" t="inlineStr">
        <is>
          <t>[]</t>
        </is>
      </c>
      <c r="L19" s="3" t="inlineStr">
        <is>
          <t>r7</t>
        </is>
      </c>
    </row>
    <row r="20" ht="42" customHeight="1">
      <c r="A20" s="2" t="inlineStr">
        <is>
          <t>jeminise.com+bright-teal-yellow-softball-comforter-set-premium-sports-theme</t>
        </is>
      </c>
      <c r="B20" s="2" t="inlineStr">
        <is>
          <t>D1</t>
        </is>
      </c>
      <c r="C20" s="2" t="inlineStr">
        <is>
          <t>Meta description</t>
        </is>
      </c>
      <c r="D20" s="2" t="n">
        <v>5</v>
      </c>
      <c r="E20" s="2" t="inlineStr">
        <is>
          <t>FULL</t>
        </is>
      </c>
      <c r="F20" s="5">
        <f>IF(B20="I1",AVERAGEIF('QA_Images'!$A$2:$A$66,A20,'QA_Images'!$T$2:$T$66)/100,IF(E20="FULL",1,IF(E20="PARTIAL",0.5,IF(E20="FAIL",0,""))))</f>
        <v/>
      </c>
      <c r="G20" s="5">
        <f>IF(F20="",0,D20*F20)</f>
        <v/>
      </c>
      <c r="H20" s="5">
        <f>IF(B20="I1",20*AVERAGEIF('QA_Images'!$A$2:$A$66,A20,'QA_Images'!$U$2:$U$66)/100,IF(E20="NOT_CHECKED",0,D20))</f>
        <v/>
      </c>
      <c r="I20" s="2" t="inlineStr">
        <is>
          <t>Meta description is complete, readable and evidence-led; 145–165 characters is treated only as editorial guidance.</t>
        </is>
      </c>
      <c r="J20" s="2" t="inlineStr">
        <is>
          <t>["evidence_batch_001_002", "https://jeminise.com/products/bright-teal-yellow-softball-comforter-set-premium-sports-theme", "serp_r7_002", "live_source_comparison.json", "visual_observations.json"]</t>
        </is>
      </c>
      <c r="K20" s="2" t="inlineStr">
        <is>
          <t>[]</t>
        </is>
      </c>
      <c r="L20" s="2" t="inlineStr">
        <is>
          <t>r7</t>
        </is>
      </c>
    </row>
    <row r="21" ht="42" customHeight="1">
      <c r="A21" s="3" t="inlineStr">
        <is>
          <t>jeminise.com+bright-teal-yellow-softball-comforter-set-premium-sports-theme</t>
        </is>
      </c>
      <c r="B21" s="3" t="inlineStr">
        <is>
          <t>D2</t>
        </is>
      </c>
      <c r="C21" s="3" t="inlineStr">
        <is>
          <t>Description HTML</t>
        </is>
      </c>
      <c r="D21" s="3" t="n">
        <v>10</v>
      </c>
      <c r="E21" s="3" t="inlineStr">
        <is>
          <t>FULL</t>
        </is>
      </c>
      <c r="F21" s="7">
        <f>IF(B21="I1",AVERAGEIF('QA_Images'!$A$2:$A$66,A21,'QA_Images'!$T$2:$T$66)/100,IF(E21="FULL",1,IF(E21="PARTIAL",0.5,IF(E21="FAIL",0,""))))</f>
        <v/>
      </c>
      <c r="G21" s="7">
        <f>IF(F21="",0,D21*F21)</f>
        <v/>
      </c>
      <c r="H21" s="7">
        <f>IF(B21="I1",20*AVERAGEIF('QA_Images'!$A$2:$A$66,A21,'QA_Images'!$U$2:$U$66)/100,IF(E21="NOT_CHECKED",0,D21))</f>
        <v/>
      </c>
      <c r="I21" s="3" t="inlineStr">
        <is>
          <t>Customer-facing copy is useful and source-backed.</t>
        </is>
      </c>
      <c r="J21" s="3" t="inlineStr">
        <is>
          <t>["evidence_batch_001_002", "https://jeminise.com/products/bright-teal-yellow-softball-comforter-set-premium-sports-theme", "serp_r7_002", "live_source_comparison.json", "visual_observations.json"]</t>
        </is>
      </c>
      <c r="K21" s="3" t="inlineStr">
        <is>
          <t>[]</t>
        </is>
      </c>
      <c r="L21" s="3" t="inlineStr">
        <is>
          <t>r7</t>
        </is>
      </c>
    </row>
    <row r="22" ht="42" customHeight="1">
      <c r="A22" s="2" t="inlineStr">
        <is>
          <t>jeminise.com+bright-teal-yellow-softball-comforter-set-premium-sports-theme</t>
        </is>
      </c>
      <c r="B22" s="2" t="inlineStr">
        <is>
          <t>I1</t>
        </is>
      </c>
      <c r="C22" s="2" t="inlineStr">
        <is>
          <t>Image/alt quality</t>
        </is>
      </c>
      <c r="D22" s="2" t="n">
        <v>20</v>
      </c>
      <c r="E22" s="2" t="inlineStr">
        <is>
          <t>DERIVED_FROM_IMAGES</t>
        </is>
      </c>
      <c r="F22" s="5">
        <f>IF(B22="I1",AVERAGEIF('QA_Images'!$A$2:$A$66,A22,'QA_Images'!$T$2:$T$66)/100,IF(E22="FULL",1,IF(E22="PARTIAL",0.5,IF(E22="FAIL",0,""))))</f>
        <v/>
      </c>
      <c r="G22" s="5">
        <f>IF(F22="",0,D22*F22)</f>
        <v/>
      </c>
      <c r="H22" s="5">
        <f>IF(B22="I1",20*AVERAGEIF('QA_Images'!$A$2:$A$66,A22,'QA_Images'!$U$2:$U$66)/100,IF(E22="NOT_CHECKED",0,D22))</f>
        <v/>
      </c>
      <c r="I22" s="2" t="inlineStr">
        <is>
          <t>Derived from 7 freshly opened images; every observation and SET alt matches the exact scene/panel.</t>
        </is>
      </c>
      <c r="J22" s="2" t="inlineStr">
        <is>
          <t>["evidence_batch_001_002", "https://jeminise.com/products/bright-teal-yellow-softball-comforter-set-premium-sports-theme", "serp_r7_002", "live_source_comparison.json", "visual_observations.json"]</t>
        </is>
      </c>
      <c r="K22" s="2" t="inlineStr">
        <is>
          <t>[]</t>
        </is>
      </c>
      <c r="L22" s="2" t="inlineStr">
        <is>
          <t>r7</t>
        </is>
      </c>
    </row>
    <row r="23" ht="42" customHeight="1">
      <c r="A23" s="3" t="inlineStr">
        <is>
          <t>jeminise.com+bright-teal-yellow-softball-comforter-set-premium-sports-theme</t>
        </is>
      </c>
      <c r="B23" s="3" t="inlineStr">
        <is>
          <t>E1</t>
        </is>
      </c>
      <c r="C23" s="3" t="inlineStr">
        <is>
          <t>Evidence traceability</t>
        </is>
      </c>
      <c r="D23" s="3" t="n">
        <v>5</v>
      </c>
      <c r="E23" s="3" t="inlineStr">
        <is>
          <t>PARTIAL</t>
        </is>
      </c>
      <c r="F23" s="7">
        <f>IF(B23="I1",AVERAGEIF('QA_Images'!$A$2:$A$66,A23,'QA_Images'!$T$2:$T$66)/100,IF(E23="FULL",1,IF(E23="PARTIAL",0.5,IF(E23="FAIL",0,""))))</f>
        <v/>
      </c>
      <c r="G23" s="7">
        <f>IF(F23="",0,D23*F23)</f>
        <v/>
      </c>
      <c r="H23" s="7">
        <f>IF(B23="I1",20*AVERAGEIF('QA_Images'!$A$2:$A$66,A23,'QA_Images'!$U$2:$U$66)/100,IF(E23="NOT_CHECKED",0,D23))</f>
        <v/>
      </c>
      <c r="I23" s="3" t="inlineStr">
        <is>
          <t>File/hash and evidence refs are clear, but row-level revision metadata and revision_summary still identify r5 inside the r7 package.</t>
        </is>
      </c>
      <c r="J23" s="3" t="inlineStr">
        <is>
          <t>["evidence_batch_001_002", "https://jeminise.com/products/bright-teal-yellow-softball-comforter-set-premium-sports-theme", "serp_r7_002", "live_source_comparison.json", "visual_observations.json"]</t>
        </is>
      </c>
      <c r="K23" s="3" t="inlineStr">
        <is>
          <t>["R7-ISS-002-TRACE"]</t>
        </is>
      </c>
      <c r="L23" s="3" t="inlineStr">
        <is>
          <t>r7</t>
        </is>
      </c>
    </row>
    <row r="24" ht="42" customHeight="1">
      <c r="A24" s="2" t="inlineStr">
        <is>
          <t>jeminise.com+cardinals-perched-beside-decorated-christmas-tree-patchwork-winter-quilt-7cd7bc46a0-7cd7bc46a0</t>
        </is>
      </c>
      <c r="B24" s="2" t="inlineStr">
        <is>
          <t>P1</t>
        </is>
      </c>
      <c r="C24" s="2" t="inlineStr">
        <is>
          <t>Identity and source integrity</t>
        </is>
      </c>
      <c r="D24" s="2" t="n">
        <v>15</v>
      </c>
      <c r="E24" s="2" t="inlineStr">
        <is>
          <t>FULL</t>
        </is>
      </c>
      <c r="F24" s="5">
        <f>IF(B24="I1",AVERAGEIF('QA_Images'!$A$2:$A$66,A24,'QA_Images'!$T$2:$T$66)/100,IF(E24="FULL",1,IF(E24="PARTIAL",0.5,IF(E24="FAIL",0,""))))</f>
        <v/>
      </c>
      <c r="G24" s="5">
        <f>IF(F24="",0,D24*F24)</f>
        <v/>
      </c>
      <c r="H24" s="5">
        <f>IF(B24="I1",20*AVERAGEIF('QA_Images'!$A$2:$A$66,A24,'QA_Images'!$U$2:$U$66)/100,IF(E24="NOT_CHECKED",0,D24))</f>
        <v/>
      </c>
      <c r="I24" s="2" t="inlineStr">
        <is>
          <t>Product key, handle, ID, canonical, H1 and gallery identity match the live page/product JSON.</t>
        </is>
      </c>
      <c r="J24" s="2" t="inlineStr">
        <is>
          <t>["evidence_batch_001_003", "https://jeminise.com/products/cardinals-perched-beside-decorated-christmas-tree-patchwork-winter-quilt-7cd7bc46a0-7cd7bc46a0", "serp_r7_003", "live_source_comparison.json", "visual_observations.json"]</t>
        </is>
      </c>
      <c r="K24" s="2" t="inlineStr">
        <is>
          <t>[]</t>
        </is>
      </c>
      <c r="L24" s="2" t="inlineStr">
        <is>
          <t>r7</t>
        </is>
      </c>
    </row>
    <row r="25" ht="42" customHeight="1">
      <c r="A25" s="3" t="inlineStr">
        <is>
          <t>jeminise.com+cardinals-perched-beside-decorated-christmas-tree-patchwork-winter-quilt-7cd7bc46a0-7cd7bc46a0</t>
        </is>
      </c>
      <c r="B25" s="3" t="inlineStr">
        <is>
          <t>P2</t>
        </is>
      </c>
      <c r="C25" s="3" t="inlineStr">
        <is>
          <t>Product facts and purchase options</t>
        </is>
      </c>
      <c r="D25" s="3" t="n">
        <v>10</v>
      </c>
      <c r="E25" s="3" t="inlineStr">
        <is>
          <t>FULL</t>
        </is>
      </c>
      <c r="F25" s="7">
        <f>IF(B25="I1",AVERAGEIF('QA_Images'!$A$2:$A$66,A25,'QA_Images'!$T$2:$T$66)/100,IF(E25="FULL",1,IF(E25="PARTIAL",0.5,IF(E25="FAIL",0,""))))</f>
        <v/>
      </c>
      <c r="G25" s="7">
        <f>IF(F25="",0,D25*F25)</f>
        <v/>
      </c>
      <c r="H25" s="7">
        <f>IF(B25="I1",20*AVERAGEIF('QA_Images'!$A$2:$A$66,A25,'QA_Images'!$U$2:$U$66)/100,IF(E25="NOT_CHECKED",0,D25))</f>
        <v/>
      </c>
      <c r="I25" s="3" t="inlineStr">
        <is>
          <t>Live variants, selectable sizes/pillowcase rules, gallery facts and product type were independently re-read.</t>
        </is>
      </c>
      <c r="J25" s="3" t="inlineStr">
        <is>
          <t>["evidence_batch_001_003", "https://jeminise.com/products/cardinals-perched-beside-decorated-christmas-tree-patchwork-winter-quilt-7cd7bc46a0-7cd7bc46a0", "serp_r7_003", "live_source_comparison.json", "visual_observations.json"]</t>
        </is>
      </c>
      <c r="K25" s="3" t="inlineStr">
        <is>
          <t>[]</t>
        </is>
      </c>
      <c r="L25" s="3" t="inlineStr">
        <is>
          <t>r7</t>
        </is>
      </c>
    </row>
    <row r="26" ht="42" customHeight="1">
      <c r="A26" s="2" t="inlineStr">
        <is>
          <t>jeminise.com+cardinals-perched-beside-decorated-christmas-tree-patchwork-winter-quilt-7cd7bc46a0-7cd7bc46a0</t>
        </is>
      </c>
      <c r="B26" s="2" t="inlineStr">
        <is>
          <t>K1</t>
        </is>
      </c>
      <c r="C26" s="2" t="inlineStr">
        <is>
          <t>Primary keyword evidence</t>
        </is>
      </c>
      <c r="D26" s="2" t="n">
        <v>10</v>
      </c>
      <c r="E26" s="2" t="inlineStr">
        <is>
          <t>FULL</t>
        </is>
      </c>
      <c r="F26" s="5">
        <f>IF(B26="I1",AVERAGEIF('QA_Images'!$A$2:$A$66,A26,'QA_Images'!$T$2:$T$66)/100,IF(E26="FULL",1,IF(E26="PARTIAL",0.5,IF(E26="FAIL",0,""))))</f>
        <v/>
      </c>
      <c r="G26" s="5">
        <f>IF(F26="",0,D26*F26)</f>
        <v/>
      </c>
      <c r="H26" s="5">
        <f>IF(B26="I1",20*AVERAGEIF('QA_Images'!$A$2:$A$66,A26,'QA_Images'!$U$2:$U$66)/100,IF(E26="NOT_CHECKED",0,D26))</f>
        <v/>
      </c>
      <c r="I26" s="2" t="inlineStr">
        <is>
          <t>Fresh US SERP supports the selected finished-product query.</t>
        </is>
      </c>
      <c r="J26" s="2" t="inlineStr">
        <is>
          <t>["evidence_batch_001_003", "https://jeminise.com/products/cardinals-perched-beside-decorated-christmas-tree-patchwork-winter-quilt-7cd7bc46a0-7cd7bc46a0", "serp_r7_003", "live_source_comparison.json", "visual_observations.json"]</t>
        </is>
      </c>
      <c r="K26" s="2" t="inlineStr">
        <is>
          <t>[]</t>
        </is>
      </c>
      <c r="L26" s="2" t="inlineStr">
        <is>
          <t>r7</t>
        </is>
      </c>
    </row>
    <row r="27" ht="42" customHeight="1">
      <c r="A27" s="3" t="inlineStr">
        <is>
          <t>jeminise.com+cardinals-perched-beside-decorated-christmas-tree-patchwork-winter-quilt-7cd7bc46a0-7cd7bc46a0</t>
        </is>
      </c>
      <c r="B27" s="3" t="inlineStr">
        <is>
          <t>K2</t>
        </is>
      </c>
      <c r="C27" s="3" t="inlineStr">
        <is>
          <t>SERP intent and comparator</t>
        </is>
      </c>
      <c r="D27" s="3" t="n">
        <v>5</v>
      </c>
      <c r="E27" s="3" t="inlineStr">
        <is>
          <t>FULL</t>
        </is>
      </c>
      <c r="F27" s="7">
        <f>IF(B27="I1",AVERAGEIF('QA_Images'!$A$2:$A$66,A27,'QA_Images'!$T$2:$T$66)/100,IF(E27="FULL",1,IF(E27="PARTIAL",0.5,IF(E27="FAIL",0,""))))</f>
        <v/>
      </c>
      <c r="G27" s="7">
        <f>IF(F27="",0,D27*F27)</f>
        <v/>
      </c>
      <c r="H27" s="7">
        <f>IF(B27="I1",20*AVERAGEIF('QA_Images'!$A$2:$A$66,A27,'QA_Images'!$U$2:$U$66)/100,IF(E27="NOT_CHECKED",0,D27))</f>
        <v/>
      </c>
      <c r="I27" s="3" t="inlineStr">
        <is>
          <t>Primary and nearest comparator show commercial finished-product intent.</t>
        </is>
      </c>
      <c r="J27" s="3" t="inlineStr">
        <is>
          <t>["evidence_batch_001_003", "https://jeminise.com/products/cardinals-perched-beside-decorated-christmas-tree-patchwork-winter-quilt-7cd7bc46a0-7cd7bc46a0", "serp_r7_003", "live_source_comparison.json", "visual_observations.json"]</t>
        </is>
      </c>
      <c r="K27" s="3" t="inlineStr">
        <is>
          <t>[]</t>
        </is>
      </c>
      <c r="L27" s="3" t="inlineStr">
        <is>
          <t>r7</t>
        </is>
      </c>
    </row>
    <row r="28" ht="42" customHeight="1">
      <c r="A28" s="2" t="inlineStr">
        <is>
          <t>jeminise.com+cardinals-perched-beside-decorated-christmas-tree-patchwork-winter-quilt-7cd7bc46a0-7cd7bc46a0</t>
        </is>
      </c>
      <c r="B28" s="2" t="inlineStr">
        <is>
          <t>K3</t>
        </is>
      </c>
      <c r="C28" s="2" t="inlineStr">
        <is>
          <t>Cannibalization differentiation</t>
        </is>
      </c>
      <c r="D28" s="2" t="n">
        <v>5</v>
      </c>
      <c r="E28" s="2" t="inlineStr">
        <is>
          <t>FULL</t>
        </is>
      </c>
      <c r="F28" s="5">
        <f>IF(B28="I1",AVERAGEIF('QA_Images'!$A$2:$A$66,A28,'QA_Images'!$T$2:$T$66)/100,IF(E28="FULL",1,IF(E28="PARTIAL",0.5,IF(E28="FAIL",0,""))))</f>
        <v/>
      </c>
      <c r="G28" s="5">
        <f>IF(F28="",0,D28*F28)</f>
        <v/>
      </c>
      <c r="H28" s="5">
        <f>IF(B28="I1",20*AVERAGEIF('QA_Images'!$A$2:$A$66,A28,'QA_Images'!$U$2:$U$66)/100,IF(E28="NOT_CHECKED",0,D28))</f>
        <v/>
      </c>
      <c r="I28" s="2" t="inlineStr">
        <is>
          <t>R7 keyword rows document a unique motif, collection/internal-link role and explicit sibling exclusions.</t>
        </is>
      </c>
      <c r="J28" s="2" t="inlineStr">
        <is>
          <t>["evidence_batch_001_003", "https://jeminise.com/products/cardinals-perched-beside-decorated-christmas-tree-patchwork-winter-quilt-7cd7bc46a0-7cd7bc46a0", "serp_r7_003", "live_source_comparison.json", "visual_observations.json"]</t>
        </is>
      </c>
      <c r="K28" s="2" t="inlineStr">
        <is>
          <t>[]</t>
        </is>
      </c>
      <c r="L28" s="2" t="inlineStr">
        <is>
          <t>r7</t>
        </is>
      </c>
    </row>
    <row r="29" ht="42" customHeight="1">
      <c r="A29" s="3" t="inlineStr">
        <is>
          <t>jeminise.com+cardinals-perched-beside-decorated-christmas-tree-patchwork-winter-quilt-7cd7bc46a0-7cd7bc46a0</t>
        </is>
      </c>
      <c r="B29" s="3" t="inlineStr">
        <is>
          <t>T1</t>
        </is>
      </c>
      <c r="C29" s="3" t="inlineStr">
        <is>
          <t>SEO title</t>
        </is>
      </c>
      <c r="D29" s="3" t="n">
        <v>10</v>
      </c>
      <c r="E29" s="3" t="inlineStr">
        <is>
          <t>FULL</t>
        </is>
      </c>
      <c r="F29" s="7">
        <f>IF(B29="I1",AVERAGEIF('QA_Images'!$A$2:$A$66,A29,'QA_Images'!$T$2:$T$66)/100,IF(E29="FULL",1,IF(E29="PARTIAL",0.5,IF(E29="FAIL",0,""))))</f>
        <v/>
      </c>
      <c r="G29" s="7">
        <f>IF(F29="",0,D29*F29)</f>
        <v/>
      </c>
      <c r="H29" s="7">
        <f>IF(B29="I1",20*AVERAGEIF('QA_Images'!$A$2:$A$66,A29,'QA_Images'!$U$2:$U$66)/100,IF(E29="NOT_CHECKED",0,D29))</f>
        <v/>
      </c>
      <c r="I29" s="3" t="inlineStr">
        <is>
          <t>SEO title is concise, clean, product-specific and aligned with verified motif/product type.</t>
        </is>
      </c>
      <c r="J29" s="3" t="inlineStr">
        <is>
          <t>["evidence_batch_001_003", "https://jeminise.com/products/cardinals-perched-beside-decorated-christmas-tree-patchwork-winter-quilt-7cd7bc46a0-7cd7bc46a0", "serp_r7_003", "live_source_comparison.json", "visual_observations.json"]</t>
        </is>
      </c>
      <c r="K29" s="3" t="inlineStr">
        <is>
          <t>[]</t>
        </is>
      </c>
      <c r="L29" s="3" t="inlineStr">
        <is>
          <t>r7</t>
        </is>
      </c>
    </row>
    <row r="30" ht="42" customHeight="1">
      <c r="A30" s="2" t="inlineStr">
        <is>
          <t>jeminise.com+cardinals-perched-beside-decorated-christmas-tree-patchwork-winter-quilt-7cd7bc46a0-7cd7bc46a0</t>
        </is>
      </c>
      <c r="B30" s="2" t="inlineStr">
        <is>
          <t>T2</t>
        </is>
      </c>
      <c r="C30" s="2" t="inlineStr">
        <is>
          <t>Proposed product title/H1</t>
        </is>
      </c>
      <c r="D30" s="2" t="n">
        <v>5</v>
      </c>
      <c r="E30" s="2" t="inlineStr">
        <is>
          <t>FULL</t>
        </is>
      </c>
      <c r="F30" s="5">
        <f>IF(B30="I1",AVERAGEIF('QA_Images'!$A$2:$A$66,A30,'QA_Images'!$T$2:$T$66)/100,IF(E30="FULL",1,IF(E30="PARTIAL",0.5,IF(E30="FAIL",0,""))))</f>
        <v/>
      </c>
      <c r="G30" s="5">
        <f>IF(F30="",0,D30*F30)</f>
        <v/>
      </c>
      <c r="H30" s="5">
        <f>IF(B30="I1",20*AVERAGEIF('QA_Images'!$A$2:$A$66,A30,'QA_Images'!$U$2:$U$66)/100,IF(E30="NOT_CHECKED",0,D30))</f>
        <v/>
      </c>
      <c r="I30" s="2" t="inlineStr">
        <is>
          <t>Proposed product title/H1 is concise, clean, product-specific and aligned with verified motif/product type.</t>
        </is>
      </c>
      <c r="J30" s="2" t="inlineStr">
        <is>
          <t>["evidence_batch_001_003", "https://jeminise.com/products/cardinals-perched-beside-decorated-christmas-tree-patchwork-winter-quilt-7cd7bc46a0-7cd7bc46a0", "serp_r7_003", "live_source_comparison.json", "visual_observations.json"]</t>
        </is>
      </c>
      <c r="K30" s="2" t="inlineStr">
        <is>
          <t>[]</t>
        </is>
      </c>
      <c r="L30" s="2" t="inlineStr">
        <is>
          <t>r7</t>
        </is>
      </c>
    </row>
    <row r="31" ht="42" customHeight="1">
      <c r="A31" s="3" t="inlineStr">
        <is>
          <t>jeminise.com+cardinals-perched-beside-decorated-christmas-tree-patchwork-winter-quilt-7cd7bc46a0-7cd7bc46a0</t>
        </is>
      </c>
      <c r="B31" s="3" t="inlineStr">
        <is>
          <t>D1</t>
        </is>
      </c>
      <c r="C31" s="3" t="inlineStr">
        <is>
          <t>Meta description</t>
        </is>
      </c>
      <c r="D31" s="3" t="n">
        <v>5</v>
      </c>
      <c r="E31" s="3" t="inlineStr">
        <is>
          <t>FULL</t>
        </is>
      </c>
      <c r="F31" s="7">
        <f>IF(B31="I1",AVERAGEIF('QA_Images'!$A$2:$A$66,A31,'QA_Images'!$T$2:$T$66)/100,IF(E31="FULL",1,IF(E31="PARTIAL",0.5,IF(E31="FAIL",0,""))))</f>
        <v/>
      </c>
      <c r="G31" s="7">
        <f>IF(F31="",0,D31*F31)</f>
        <v/>
      </c>
      <c r="H31" s="7">
        <f>IF(B31="I1",20*AVERAGEIF('QA_Images'!$A$2:$A$66,A31,'QA_Images'!$U$2:$U$66)/100,IF(E31="NOT_CHECKED",0,D31))</f>
        <v/>
      </c>
      <c r="I31" s="3" t="inlineStr">
        <is>
          <t>Meta description is complete, readable and evidence-led; 145–165 characters is treated only as editorial guidance.</t>
        </is>
      </c>
      <c r="J31" s="3" t="inlineStr">
        <is>
          <t>["evidence_batch_001_003", "https://jeminise.com/products/cardinals-perched-beside-decorated-christmas-tree-patchwork-winter-quilt-7cd7bc46a0-7cd7bc46a0", "serp_r7_003", "live_source_comparison.json", "visual_observations.json"]</t>
        </is>
      </c>
      <c r="K31" s="3" t="inlineStr">
        <is>
          <t>[]</t>
        </is>
      </c>
      <c r="L31" s="3" t="inlineStr">
        <is>
          <t>r7</t>
        </is>
      </c>
    </row>
    <row r="32" ht="42" customHeight="1">
      <c r="A32" s="2" t="inlineStr">
        <is>
          <t>jeminise.com+cardinals-perched-beside-decorated-christmas-tree-patchwork-winter-quilt-7cd7bc46a0-7cd7bc46a0</t>
        </is>
      </c>
      <c r="B32" s="2" t="inlineStr">
        <is>
          <t>D2</t>
        </is>
      </c>
      <c r="C32" s="2" t="inlineStr">
        <is>
          <t>Description HTML</t>
        </is>
      </c>
      <c r="D32" s="2" t="n">
        <v>10</v>
      </c>
      <c r="E32" s="2" t="inlineStr">
        <is>
          <t>PARTIAL</t>
        </is>
      </c>
      <c r="F32" s="5">
        <f>IF(B32="I1",AVERAGEIF('QA_Images'!$A$2:$A$66,A32,'QA_Images'!$T$2:$T$66)/100,IF(E32="FULL",1,IF(E32="PARTIAL",0.5,IF(E32="FAIL",0,""))))</f>
        <v/>
      </c>
      <c r="G32" s="5">
        <f>IF(F32="",0,D32*F32)</f>
        <v/>
      </c>
      <c r="H32" s="5">
        <f>IF(B32="I1",20*AVERAGEIF('QA_Images'!$A$2:$A$66,A32,'QA_Images'!$U$2:$U$66)/100,IF(E32="NOT_CHECKED",0,D32))</f>
        <v/>
      </c>
      <c r="I32" s="2" t="inlineStr">
        <is>
          <t>Most copy is useful, but live size values conflict with r7 and/or an internal SEO-intent sentence remains.</t>
        </is>
      </c>
      <c r="J32" s="2" t="inlineStr">
        <is>
          <t>["evidence_batch_001_003", "https://jeminise.com/products/cardinals-perched-beside-decorated-christmas-tree-patchwork-winter-quilt-7cd7bc46a0-7cd7bc46a0", "serp_r7_003", "live_source_comparison.json", "visual_observations.json"]</t>
        </is>
      </c>
      <c r="K32" s="2" t="inlineStr">
        <is>
          <t>["R7-ISS-003-SIZE"]</t>
        </is>
      </c>
      <c r="L32" s="2" t="inlineStr">
        <is>
          <t>r7</t>
        </is>
      </c>
    </row>
    <row r="33" ht="42" customHeight="1">
      <c r="A33" s="3" t="inlineStr">
        <is>
          <t>jeminise.com+cardinals-perched-beside-decorated-christmas-tree-patchwork-winter-quilt-7cd7bc46a0-7cd7bc46a0</t>
        </is>
      </c>
      <c r="B33" s="3" t="inlineStr">
        <is>
          <t>I1</t>
        </is>
      </c>
      <c r="C33" s="3" t="inlineStr">
        <is>
          <t>Image/alt quality</t>
        </is>
      </c>
      <c r="D33" s="3" t="n">
        <v>20</v>
      </c>
      <c r="E33" s="3" t="inlineStr">
        <is>
          <t>DERIVED_FROM_IMAGES</t>
        </is>
      </c>
      <c r="F33" s="7">
        <f>IF(B33="I1",AVERAGEIF('QA_Images'!$A$2:$A$66,A33,'QA_Images'!$T$2:$T$66)/100,IF(E33="FULL",1,IF(E33="PARTIAL",0.5,IF(E33="FAIL",0,""))))</f>
        <v/>
      </c>
      <c r="G33" s="7">
        <f>IF(F33="",0,D33*F33)</f>
        <v/>
      </c>
      <c r="H33" s="7">
        <f>IF(B33="I1",20*AVERAGEIF('QA_Images'!$A$2:$A$66,A33,'QA_Images'!$U$2:$U$66)/100,IF(E33="NOT_CHECKED",0,D33))</f>
        <v/>
      </c>
      <c r="I33" s="3" t="inlineStr">
        <is>
          <t>Derived from 5 freshly opened images; every observation and SET alt matches the exact scene/panel.</t>
        </is>
      </c>
      <c r="J33" s="3" t="inlineStr">
        <is>
          <t>["evidence_batch_001_003", "https://jeminise.com/products/cardinals-perched-beside-decorated-christmas-tree-patchwork-winter-quilt-7cd7bc46a0-7cd7bc46a0", "serp_r7_003", "live_source_comparison.json", "visual_observations.json"]</t>
        </is>
      </c>
      <c r="K33" s="3" t="inlineStr">
        <is>
          <t>[]</t>
        </is>
      </c>
      <c r="L33" s="3" t="inlineStr">
        <is>
          <t>r7</t>
        </is>
      </c>
    </row>
    <row r="34" ht="42" customHeight="1">
      <c r="A34" s="2" t="inlineStr">
        <is>
          <t>jeminise.com+cardinals-perched-beside-decorated-christmas-tree-patchwork-winter-quilt-7cd7bc46a0-7cd7bc46a0</t>
        </is>
      </c>
      <c r="B34" s="2" t="inlineStr">
        <is>
          <t>E1</t>
        </is>
      </c>
      <c r="C34" s="2" t="inlineStr">
        <is>
          <t>Evidence traceability</t>
        </is>
      </c>
      <c r="D34" s="2" t="n">
        <v>5</v>
      </c>
      <c r="E34" s="2" t="inlineStr">
        <is>
          <t>PARTIAL</t>
        </is>
      </c>
      <c r="F34" s="5">
        <f>IF(B34="I1",AVERAGEIF('QA_Images'!$A$2:$A$66,A34,'QA_Images'!$T$2:$T$66)/100,IF(E34="FULL",1,IF(E34="PARTIAL",0.5,IF(E34="FAIL",0,""))))</f>
        <v/>
      </c>
      <c r="G34" s="5">
        <f>IF(F34="",0,D34*F34)</f>
        <v/>
      </c>
      <c r="H34" s="5">
        <f>IF(B34="I1",20*AVERAGEIF('QA_Images'!$A$2:$A$66,A34,'QA_Images'!$U$2:$U$66)/100,IF(E34="NOT_CHECKED",0,D34))</f>
        <v/>
      </c>
      <c r="I34" s="2" t="inlineStr">
        <is>
          <t>File/hash and evidence refs are clear, but row-level revision metadata and revision_summary still identify r5 inside the r7 package.</t>
        </is>
      </c>
      <c r="J34" s="2" t="inlineStr">
        <is>
          <t>["evidence_batch_001_003", "https://jeminise.com/products/cardinals-perched-beside-decorated-christmas-tree-patchwork-winter-quilt-7cd7bc46a0-7cd7bc46a0", "serp_r7_003", "live_source_comparison.json", "visual_observations.json"]</t>
        </is>
      </c>
      <c r="K34" s="2" t="inlineStr">
        <is>
          <t>["R7-ISS-003-TRACE"]</t>
        </is>
      </c>
      <c r="L34" s="2" t="inlineStr">
        <is>
          <t>r7</t>
        </is>
      </c>
    </row>
    <row r="35" ht="42" customHeight="1">
      <c r="A35" s="3" t="inlineStr">
        <is>
          <t>jeminise.com+cardinals-perched-on-branch-with-roses-patchwork-winter-quilt-21ac904cd7-21ac904cd7</t>
        </is>
      </c>
      <c r="B35" s="3" t="inlineStr">
        <is>
          <t>P1</t>
        </is>
      </c>
      <c r="C35" s="3" t="inlineStr">
        <is>
          <t>Identity and source integrity</t>
        </is>
      </c>
      <c r="D35" s="3" t="n">
        <v>15</v>
      </c>
      <c r="E35" s="3" t="inlineStr">
        <is>
          <t>FULL</t>
        </is>
      </c>
      <c r="F35" s="7">
        <f>IF(B35="I1",AVERAGEIF('QA_Images'!$A$2:$A$66,A35,'QA_Images'!$T$2:$T$66)/100,IF(E35="FULL",1,IF(E35="PARTIAL",0.5,IF(E35="FAIL",0,""))))</f>
        <v/>
      </c>
      <c r="G35" s="7">
        <f>IF(F35="",0,D35*F35)</f>
        <v/>
      </c>
      <c r="H35" s="7">
        <f>IF(B35="I1",20*AVERAGEIF('QA_Images'!$A$2:$A$66,A35,'QA_Images'!$U$2:$U$66)/100,IF(E35="NOT_CHECKED",0,D35))</f>
        <v/>
      </c>
      <c r="I35" s="3" t="inlineStr">
        <is>
          <t>Product key, handle, ID, canonical, H1 and gallery identity match the live page/product JSON.</t>
        </is>
      </c>
      <c r="J35" s="3" t="inlineStr">
        <is>
          <t>["evidence_batch_001_004", "https://jeminise.com/products/cardinals-perched-on-branch-with-roses-patchwork-winter-quilt-21ac904cd7-21ac904cd7", "serp_r7_004", "live_source_comparison.json", "visual_observations.json"]</t>
        </is>
      </c>
      <c r="K35" s="3" t="inlineStr">
        <is>
          <t>[]</t>
        </is>
      </c>
      <c r="L35" s="3" t="inlineStr">
        <is>
          <t>r7</t>
        </is>
      </c>
    </row>
    <row r="36" ht="42" customHeight="1">
      <c r="A36" s="2" t="inlineStr">
        <is>
          <t>jeminise.com+cardinals-perched-on-branch-with-roses-patchwork-winter-quilt-21ac904cd7-21ac904cd7</t>
        </is>
      </c>
      <c r="B36" s="2" t="inlineStr">
        <is>
          <t>P2</t>
        </is>
      </c>
      <c r="C36" s="2" t="inlineStr">
        <is>
          <t>Product facts and purchase options</t>
        </is>
      </c>
      <c r="D36" s="2" t="n">
        <v>10</v>
      </c>
      <c r="E36" s="2" t="inlineStr">
        <is>
          <t>FULL</t>
        </is>
      </c>
      <c r="F36" s="5">
        <f>IF(B36="I1",AVERAGEIF('QA_Images'!$A$2:$A$66,A36,'QA_Images'!$T$2:$T$66)/100,IF(E36="FULL",1,IF(E36="PARTIAL",0.5,IF(E36="FAIL",0,""))))</f>
        <v/>
      </c>
      <c r="G36" s="5">
        <f>IF(F36="",0,D36*F36)</f>
        <v/>
      </c>
      <c r="H36" s="5">
        <f>IF(B36="I1",20*AVERAGEIF('QA_Images'!$A$2:$A$66,A36,'QA_Images'!$U$2:$U$66)/100,IF(E36="NOT_CHECKED",0,D36))</f>
        <v/>
      </c>
      <c r="I36" s="2" t="inlineStr">
        <is>
          <t>Live variants, selectable sizes/pillowcase rules, gallery facts and product type were independently re-read.</t>
        </is>
      </c>
      <c r="J36" s="2" t="inlineStr">
        <is>
          <t>["evidence_batch_001_004", "https://jeminise.com/products/cardinals-perched-on-branch-with-roses-patchwork-winter-quilt-21ac904cd7-21ac904cd7", "serp_r7_004", "live_source_comparison.json", "visual_observations.json"]</t>
        </is>
      </c>
      <c r="K36" s="2" t="inlineStr">
        <is>
          <t>[]</t>
        </is>
      </c>
      <c r="L36" s="2" t="inlineStr">
        <is>
          <t>r7</t>
        </is>
      </c>
    </row>
    <row r="37" ht="42" customHeight="1">
      <c r="A37" s="3" t="inlineStr">
        <is>
          <t>jeminise.com+cardinals-perched-on-branch-with-roses-patchwork-winter-quilt-21ac904cd7-21ac904cd7</t>
        </is>
      </c>
      <c r="B37" s="3" t="inlineStr">
        <is>
          <t>K1</t>
        </is>
      </c>
      <c r="C37" s="3" t="inlineStr">
        <is>
          <t>Primary keyword evidence</t>
        </is>
      </c>
      <c r="D37" s="3" t="n">
        <v>10</v>
      </c>
      <c r="E37" s="3" t="inlineStr">
        <is>
          <t>PARTIAL</t>
        </is>
      </c>
      <c r="F37" s="7">
        <f>IF(B37="I1",AVERAGEIF('QA_Images'!$A$2:$A$66,A37,'QA_Images'!$T$2:$T$66)/100,IF(E37="FULL",1,IF(E37="PARTIAL",0.5,IF(E37="FAIL",0,""))))</f>
        <v/>
      </c>
      <c r="G37" s="7">
        <f>IF(F37="",0,D37*F37)</f>
        <v/>
      </c>
      <c r="H37" s="7">
        <f>IF(B37="I1",20*AVERAGEIF('QA_Images'!$A$2:$A$66,A37,'QA_Images'!$U$2:$U$66)/100,IF(E37="NOT_CHECKED",0,D37))</f>
        <v/>
      </c>
      <c r="I37" s="3" t="inlineStr">
        <is>
          <t>Fresh US SERP supports related finished bedding intent, but the exact long-tail query remains niche/hypothesis-led.</t>
        </is>
      </c>
      <c r="J37" s="3" t="inlineStr">
        <is>
          <t>["evidence_batch_001_004", "https://jeminise.com/products/cardinals-perched-on-branch-with-roses-patchwork-winter-quilt-21ac904cd7-21ac904cd7", "serp_r7_004", "live_source_comparison.json", "visual_observations.json"]</t>
        </is>
      </c>
      <c r="K37" s="3" t="inlineStr">
        <is>
          <t>[]</t>
        </is>
      </c>
      <c r="L37" s="3" t="inlineStr">
        <is>
          <t>r7</t>
        </is>
      </c>
    </row>
    <row r="38" ht="42" customHeight="1">
      <c r="A38" s="2" t="inlineStr">
        <is>
          <t>jeminise.com+cardinals-perched-on-branch-with-roses-patchwork-winter-quilt-21ac904cd7-21ac904cd7</t>
        </is>
      </c>
      <c r="B38" s="2" t="inlineStr">
        <is>
          <t>K2</t>
        </is>
      </c>
      <c r="C38" s="2" t="inlineStr">
        <is>
          <t>SERP intent and comparator</t>
        </is>
      </c>
      <c r="D38" s="2" t="n">
        <v>5</v>
      </c>
      <c r="E38" s="2" t="inlineStr">
        <is>
          <t>PARTIAL</t>
        </is>
      </c>
      <c r="F38" s="5">
        <f>IF(B38="I1",AVERAGEIF('QA_Images'!$A$2:$A$66,A38,'QA_Images'!$T$2:$T$66)/100,IF(E38="FULL",1,IF(E38="PARTIAL",0.5,IF(E38="FAIL",0,""))))</f>
        <v/>
      </c>
      <c r="G38" s="5">
        <f>IF(F38="",0,D38*F38)</f>
        <v/>
      </c>
      <c r="H38" s="5">
        <f>IF(B38="I1",20*AVERAGEIF('QA_Images'!$A$2:$A$66,A38,'QA_Images'!$U$2:$U$66)/100,IF(E38="NOT_CHECKED",0,D38))</f>
        <v/>
      </c>
      <c r="I38" s="2" t="inlineStr">
        <is>
          <t>Comparator intent is commercial, but exact memorial/geometric wording is only partially supported.</t>
        </is>
      </c>
      <c r="J38" s="2" t="inlineStr">
        <is>
          <t>["evidence_batch_001_004", "https://jeminise.com/products/cardinals-perched-on-branch-with-roses-patchwork-winter-quilt-21ac904cd7-21ac904cd7", "serp_r7_004", "live_source_comparison.json", "visual_observations.json"]</t>
        </is>
      </c>
      <c r="K38" s="2" t="inlineStr">
        <is>
          <t>[]</t>
        </is>
      </c>
      <c r="L38" s="2" t="inlineStr">
        <is>
          <t>r7</t>
        </is>
      </c>
    </row>
    <row r="39" ht="42" customHeight="1">
      <c r="A39" s="3" t="inlineStr">
        <is>
          <t>jeminise.com+cardinals-perched-on-branch-with-roses-patchwork-winter-quilt-21ac904cd7-21ac904cd7</t>
        </is>
      </c>
      <c r="B39" s="3" t="inlineStr">
        <is>
          <t>K3</t>
        </is>
      </c>
      <c r="C39" s="3" t="inlineStr">
        <is>
          <t>Cannibalization differentiation</t>
        </is>
      </c>
      <c r="D39" s="3" t="n">
        <v>5</v>
      </c>
      <c r="E39" s="3" t="inlineStr">
        <is>
          <t>FULL</t>
        </is>
      </c>
      <c r="F39" s="7">
        <f>IF(B39="I1",AVERAGEIF('QA_Images'!$A$2:$A$66,A39,'QA_Images'!$T$2:$T$66)/100,IF(E39="FULL",1,IF(E39="PARTIAL",0.5,IF(E39="FAIL",0,""))))</f>
        <v/>
      </c>
      <c r="G39" s="7">
        <f>IF(F39="",0,D39*F39)</f>
        <v/>
      </c>
      <c r="H39" s="7">
        <f>IF(B39="I1",20*AVERAGEIF('QA_Images'!$A$2:$A$66,A39,'QA_Images'!$U$2:$U$66)/100,IF(E39="NOT_CHECKED",0,D39))</f>
        <v/>
      </c>
      <c r="I39" s="3" t="inlineStr">
        <is>
          <t>R7 keyword rows document a unique motif, collection/internal-link role and explicit sibling exclusions.</t>
        </is>
      </c>
      <c r="J39" s="3" t="inlineStr">
        <is>
          <t>["evidence_batch_001_004", "https://jeminise.com/products/cardinals-perched-on-branch-with-roses-patchwork-winter-quilt-21ac904cd7-21ac904cd7", "serp_r7_004", "live_source_comparison.json", "visual_observations.json"]</t>
        </is>
      </c>
      <c r="K39" s="3" t="inlineStr">
        <is>
          <t>[]</t>
        </is>
      </c>
      <c r="L39" s="3" t="inlineStr">
        <is>
          <t>r7</t>
        </is>
      </c>
    </row>
    <row r="40" ht="42" customHeight="1">
      <c r="A40" s="2" t="inlineStr">
        <is>
          <t>jeminise.com+cardinals-perched-on-branch-with-roses-patchwork-winter-quilt-21ac904cd7-21ac904cd7</t>
        </is>
      </c>
      <c r="B40" s="2" t="inlineStr">
        <is>
          <t>T1</t>
        </is>
      </c>
      <c r="C40" s="2" t="inlineStr">
        <is>
          <t>SEO title</t>
        </is>
      </c>
      <c r="D40" s="2" t="n">
        <v>10</v>
      </c>
      <c r="E40" s="2" t="inlineStr">
        <is>
          <t>FULL</t>
        </is>
      </c>
      <c r="F40" s="5">
        <f>IF(B40="I1",AVERAGEIF('QA_Images'!$A$2:$A$66,A40,'QA_Images'!$T$2:$T$66)/100,IF(E40="FULL",1,IF(E40="PARTIAL",0.5,IF(E40="FAIL",0,""))))</f>
        <v/>
      </c>
      <c r="G40" s="5">
        <f>IF(F40="",0,D40*F40)</f>
        <v/>
      </c>
      <c r="H40" s="5">
        <f>IF(B40="I1",20*AVERAGEIF('QA_Images'!$A$2:$A$66,A40,'QA_Images'!$U$2:$U$66)/100,IF(E40="NOT_CHECKED",0,D40))</f>
        <v/>
      </c>
      <c r="I40" s="2" t="inlineStr">
        <is>
          <t>SEO title is concise, clean, product-specific and aligned with verified motif/product type.</t>
        </is>
      </c>
      <c r="J40" s="2" t="inlineStr">
        <is>
          <t>["evidence_batch_001_004", "https://jeminise.com/products/cardinals-perched-on-branch-with-roses-patchwork-winter-quilt-21ac904cd7-21ac904cd7", "serp_r7_004", "live_source_comparison.json", "visual_observations.json"]</t>
        </is>
      </c>
      <c r="K40" s="2" t="inlineStr">
        <is>
          <t>[]</t>
        </is>
      </c>
      <c r="L40" s="2" t="inlineStr">
        <is>
          <t>r7</t>
        </is>
      </c>
    </row>
    <row r="41" ht="42" customHeight="1">
      <c r="A41" s="3" t="inlineStr">
        <is>
          <t>jeminise.com+cardinals-perched-on-branch-with-roses-patchwork-winter-quilt-21ac904cd7-21ac904cd7</t>
        </is>
      </c>
      <c r="B41" s="3" t="inlineStr">
        <is>
          <t>T2</t>
        </is>
      </c>
      <c r="C41" s="3" t="inlineStr">
        <is>
          <t>Proposed product title/H1</t>
        </is>
      </c>
      <c r="D41" s="3" t="n">
        <v>5</v>
      </c>
      <c r="E41" s="3" t="inlineStr">
        <is>
          <t>FULL</t>
        </is>
      </c>
      <c r="F41" s="7">
        <f>IF(B41="I1",AVERAGEIF('QA_Images'!$A$2:$A$66,A41,'QA_Images'!$T$2:$T$66)/100,IF(E41="FULL",1,IF(E41="PARTIAL",0.5,IF(E41="FAIL",0,""))))</f>
        <v/>
      </c>
      <c r="G41" s="7">
        <f>IF(F41="",0,D41*F41)</f>
        <v/>
      </c>
      <c r="H41" s="7">
        <f>IF(B41="I1",20*AVERAGEIF('QA_Images'!$A$2:$A$66,A41,'QA_Images'!$U$2:$U$66)/100,IF(E41="NOT_CHECKED",0,D41))</f>
        <v/>
      </c>
      <c r="I41" s="3" t="inlineStr">
        <is>
          <t>Proposed product title/H1 is concise, clean, product-specific and aligned with verified motif/product type.</t>
        </is>
      </c>
      <c r="J41" s="3" t="inlineStr">
        <is>
          <t>["evidence_batch_001_004", "https://jeminise.com/products/cardinals-perched-on-branch-with-roses-patchwork-winter-quilt-21ac904cd7-21ac904cd7", "serp_r7_004", "live_source_comparison.json", "visual_observations.json"]</t>
        </is>
      </c>
      <c r="K41" s="3" t="inlineStr">
        <is>
          <t>[]</t>
        </is>
      </c>
      <c r="L41" s="3" t="inlineStr">
        <is>
          <t>r7</t>
        </is>
      </c>
    </row>
    <row r="42" ht="42" customHeight="1">
      <c r="A42" s="2" t="inlineStr">
        <is>
          <t>jeminise.com+cardinals-perched-on-branch-with-roses-patchwork-winter-quilt-21ac904cd7-21ac904cd7</t>
        </is>
      </c>
      <c r="B42" s="2" t="inlineStr">
        <is>
          <t>D1</t>
        </is>
      </c>
      <c r="C42" s="2" t="inlineStr">
        <is>
          <t>Meta description</t>
        </is>
      </c>
      <c r="D42" s="2" t="n">
        <v>5</v>
      </c>
      <c r="E42" s="2" t="inlineStr">
        <is>
          <t>FULL</t>
        </is>
      </c>
      <c r="F42" s="5">
        <f>IF(B42="I1",AVERAGEIF('QA_Images'!$A$2:$A$66,A42,'QA_Images'!$T$2:$T$66)/100,IF(E42="FULL",1,IF(E42="PARTIAL",0.5,IF(E42="FAIL",0,""))))</f>
        <v/>
      </c>
      <c r="G42" s="5">
        <f>IF(F42="",0,D42*F42)</f>
        <v/>
      </c>
      <c r="H42" s="5">
        <f>IF(B42="I1",20*AVERAGEIF('QA_Images'!$A$2:$A$66,A42,'QA_Images'!$U$2:$U$66)/100,IF(E42="NOT_CHECKED",0,D42))</f>
        <v/>
      </c>
      <c r="I42" s="2" t="inlineStr">
        <is>
          <t>Meta description is complete, readable and evidence-led; 145–165 characters is treated only as editorial guidance.</t>
        </is>
      </c>
      <c r="J42" s="2" t="inlineStr">
        <is>
          <t>["evidence_batch_001_004", "https://jeminise.com/products/cardinals-perched-on-branch-with-roses-patchwork-winter-quilt-21ac904cd7-21ac904cd7", "serp_r7_004", "live_source_comparison.json", "visual_observations.json"]</t>
        </is>
      </c>
      <c r="K42" s="2" t="inlineStr">
        <is>
          <t>[]</t>
        </is>
      </c>
      <c r="L42" s="2" t="inlineStr">
        <is>
          <t>r7</t>
        </is>
      </c>
    </row>
    <row r="43" ht="42" customHeight="1">
      <c r="A43" s="3" t="inlineStr">
        <is>
          <t>jeminise.com+cardinals-perched-on-branch-with-roses-patchwork-winter-quilt-21ac904cd7-21ac904cd7</t>
        </is>
      </c>
      <c r="B43" s="3" t="inlineStr">
        <is>
          <t>D2</t>
        </is>
      </c>
      <c r="C43" s="3" t="inlineStr">
        <is>
          <t>Description HTML</t>
        </is>
      </c>
      <c r="D43" s="3" t="n">
        <v>10</v>
      </c>
      <c r="E43" s="3" t="inlineStr">
        <is>
          <t>PARTIAL</t>
        </is>
      </c>
      <c r="F43" s="7">
        <f>IF(B43="I1",AVERAGEIF('QA_Images'!$A$2:$A$66,A43,'QA_Images'!$T$2:$T$66)/100,IF(E43="FULL",1,IF(E43="PARTIAL",0.5,IF(E43="FAIL",0,""))))</f>
        <v/>
      </c>
      <c r="G43" s="7">
        <f>IF(F43="",0,D43*F43)</f>
        <v/>
      </c>
      <c r="H43" s="7">
        <f>IF(B43="I1",20*AVERAGEIF('QA_Images'!$A$2:$A$66,A43,'QA_Images'!$U$2:$U$66)/100,IF(E43="NOT_CHECKED",0,D43))</f>
        <v/>
      </c>
      <c r="I43" s="3" t="inlineStr">
        <is>
          <t>Most copy is useful, but live size values conflict with r7 and/or an internal SEO-intent sentence remains.</t>
        </is>
      </c>
      <c r="J43" s="3" t="inlineStr">
        <is>
          <t>["evidence_batch_001_004", "https://jeminise.com/products/cardinals-perched-on-branch-with-roses-patchwork-winter-quilt-21ac904cd7-21ac904cd7", "serp_r7_004", "live_source_comparison.json", "visual_observations.json"]</t>
        </is>
      </c>
      <c r="K43" s="3" t="inlineStr">
        <is>
          <t>["R7-ISS-004-SIZE", "R7-ISS-004-EDITORIAL"]</t>
        </is>
      </c>
      <c r="L43" s="3" t="inlineStr">
        <is>
          <t>r7</t>
        </is>
      </c>
    </row>
    <row r="44" ht="42" customHeight="1">
      <c r="A44" s="2" t="inlineStr">
        <is>
          <t>jeminise.com+cardinals-perched-on-branch-with-roses-patchwork-winter-quilt-21ac904cd7-21ac904cd7</t>
        </is>
      </c>
      <c r="B44" s="2" t="inlineStr">
        <is>
          <t>I1</t>
        </is>
      </c>
      <c r="C44" s="2" t="inlineStr">
        <is>
          <t>Image/alt quality</t>
        </is>
      </c>
      <c r="D44" s="2" t="n">
        <v>20</v>
      </c>
      <c r="E44" s="2" t="inlineStr">
        <is>
          <t>DERIVED_FROM_IMAGES</t>
        </is>
      </c>
      <c r="F44" s="5">
        <f>IF(B44="I1",AVERAGEIF('QA_Images'!$A$2:$A$66,A44,'QA_Images'!$T$2:$T$66)/100,IF(E44="FULL",1,IF(E44="PARTIAL",0.5,IF(E44="FAIL",0,""))))</f>
        <v/>
      </c>
      <c r="G44" s="5">
        <f>IF(F44="",0,D44*F44)</f>
        <v/>
      </c>
      <c r="H44" s="5">
        <f>IF(B44="I1",20*AVERAGEIF('QA_Images'!$A$2:$A$66,A44,'QA_Images'!$U$2:$U$66)/100,IF(E44="NOT_CHECKED",0,D44))</f>
        <v/>
      </c>
      <c r="I44" s="2" t="inlineStr">
        <is>
          <t>Derived from 5 freshly opened images; every observation and SET alt matches the exact scene/panel.</t>
        </is>
      </c>
      <c r="J44" s="2" t="inlineStr">
        <is>
          <t>["evidence_batch_001_004", "https://jeminise.com/products/cardinals-perched-on-branch-with-roses-patchwork-winter-quilt-21ac904cd7-21ac904cd7", "serp_r7_004", "live_source_comparison.json", "visual_observations.json"]</t>
        </is>
      </c>
      <c r="K44" s="2" t="inlineStr">
        <is>
          <t>[]</t>
        </is>
      </c>
      <c r="L44" s="2" t="inlineStr">
        <is>
          <t>r7</t>
        </is>
      </c>
    </row>
    <row r="45" ht="42" customHeight="1">
      <c r="A45" s="3" t="inlineStr">
        <is>
          <t>jeminise.com+cardinals-perched-on-branch-with-roses-patchwork-winter-quilt-21ac904cd7-21ac904cd7</t>
        </is>
      </c>
      <c r="B45" s="3" t="inlineStr">
        <is>
          <t>E1</t>
        </is>
      </c>
      <c r="C45" s="3" t="inlineStr">
        <is>
          <t>Evidence traceability</t>
        </is>
      </c>
      <c r="D45" s="3" t="n">
        <v>5</v>
      </c>
      <c r="E45" s="3" t="inlineStr">
        <is>
          <t>PARTIAL</t>
        </is>
      </c>
      <c r="F45" s="7">
        <f>IF(B45="I1",AVERAGEIF('QA_Images'!$A$2:$A$66,A45,'QA_Images'!$T$2:$T$66)/100,IF(E45="FULL",1,IF(E45="PARTIAL",0.5,IF(E45="FAIL",0,""))))</f>
        <v/>
      </c>
      <c r="G45" s="7">
        <f>IF(F45="",0,D45*F45)</f>
        <v/>
      </c>
      <c r="H45" s="7">
        <f>IF(B45="I1",20*AVERAGEIF('QA_Images'!$A$2:$A$66,A45,'QA_Images'!$U$2:$U$66)/100,IF(E45="NOT_CHECKED",0,D45))</f>
        <v/>
      </c>
      <c r="I45" s="3" t="inlineStr">
        <is>
          <t>File/hash and evidence refs are clear, but row-level revision metadata and revision_summary still identify r5 inside the r7 package.</t>
        </is>
      </c>
      <c r="J45" s="3" t="inlineStr">
        <is>
          <t>["evidence_batch_001_004", "https://jeminise.com/products/cardinals-perched-on-branch-with-roses-patchwork-winter-quilt-21ac904cd7-21ac904cd7", "serp_r7_004", "live_source_comparison.json", "visual_observations.json"]</t>
        </is>
      </c>
      <c r="K45" s="3" t="inlineStr">
        <is>
          <t>["R7-ISS-004-TRACE"]</t>
        </is>
      </c>
      <c r="L45" s="3" t="inlineStr">
        <is>
          <t>r7</t>
        </is>
      </c>
    </row>
    <row r="46" ht="42" customHeight="1">
      <c r="A46" s="2" t="inlineStr">
        <is>
          <t>jeminise.com+cat-patchwork-quilt-set-animal-pattern-bedding-cat-pattern-quilt-set</t>
        </is>
      </c>
      <c r="B46" s="2" t="inlineStr">
        <is>
          <t>P1</t>
        </is>
      </c>
      <c r="C46" s="2" t="inlineStr">
        <is>
          <t>Identity and source integrity</t>
        </is>
      </c>
      <c r="D46" s="2" t="n">
        <v>15</v>
      </c>
      <c r="E46" s="2" t="inlineStr">
        <is>
          <t>FULL</t>
        </is>
      </c>
      <c r="F46" s="5">
        <f>IF(B46="I1",AVERAGEIF('QA_Images'!$A$2:$A$66,A46,'QA_Images'!$T$2:$T$66)/100,IF(E46="FULL",1,IF(E46="PARTIAL",0.5,IF(E46="FAIL",0,""))))</f>
        <v/>
      </c>
      <c r="G46" s="5">
        <f>IF(F46="",0,D46*F46)</f>
        <v/>
      </c>
      <c r="H46" s="5">
        <f>IF(B46="I1",20*AVERAGEIF('QA_Images'!$A$2:$A$66,A46,'QA_Images'!$U$2:$U$66)/100,IF(E46="NOT_CHECKED",0,D46))</f>
        <v/>
      </c>
      <c r="I46" s="2" t="inlineStr">
        <is>
          <t>Product key, handle, ID, canonical, H1 and gallery identity match the live page/product JSON.</t>
        </is>
      </c>
      <c r="J46" s="2" t="inlineStr">
        <is>
          <t>["evidence_batch_001_005", "https://jeminise.com/products/cat-patchwork-quilt-set-animal-pattern-bedding-cat-pattern-quilt-set", "serp_r7_005", "live_source_comparison.json", "visual_observations.json"]</t>
        </is>
      </c>
      <c r="K46" s="2" t="inlineStr">
        <is>
          <t>[]</t>
        </is>
      </c>
      <c r="L46" s="2" t="inlineStr">
        <is>
          <t>r7</t>
        </is>
      </c>
    </row>
    <row r="47" ht="42" customHeight="1">
      <c r="A47" s="3" t="inlineStr">
        <is>
          <t>jeminise.com+cat-patchwork-quilt-set-animal-pattern-bedding-cat-pattern-quilt-set</t>
        </is>
      </c>
      <c r="B47" s="3" t="inlineStr">
        <is>
          <t>P2</t>
        </is>
      </c>
      <c r="C47" s="3" t="inlineStr">
        <is>
          <t>Product facts and purchase options</t>
        </is>
      </c>
      <c r="D47" s="3" t="n">
        <v>10</v>
      </c>
      <c r="E47" s="3" t="inlineStr">
        <is>
          <t>FULL</t>
        </is>
      </c>
      <c r="F47" s="7">
        <f>IF(B47="I1",AVERAGEIF('QA_Images'!$A$2:$A$66,A47,'QA_Images'!$T$2:$T$66)/100,IF(E47="FULL",1,IF(E47="PARTIAL",0.5,IF(E47="FAIL",0,""))))</f>
        <v/>
      </c>
      <c r="G47" s="7">
        <f>IF(F47="",0,D47*F47)</f>
        <v/>
      </c>
      <c r="H47" s="7">
        <f>IF(B47="I1",20*AVERAGEIF('QA_Images'!$A$2:$A$66,A47,'QA_Images'!$U$2:$U$66)/100,IF(E47="NOT_CHECKED",0,D47))</f>
        <v/>
      </c>
      <c r="I47" s="3" t="inlineStr">
        <is>
          <t>Live variants, selectable sizes/pillowcase rules, gallery facts and product type were independently re-read.</t>
        </is>
      </c>
      <c r="J47" s="3" t="inlineStr">
        <is>
          <t>["evidence_batch_001_005", "https://jeminise.com/products/cat-patchwork-quilt-set-animal-pattern-bedding-cat-pattern-quilt-set", "serp_r7_005", "live_source_comparison.json", "visual_observations.json"]</t>
        </is>
      </c>
      <c r="K47" s="3" t="inlineStr">
        <is>
          <t>[]</t>
        </is>
      </c>
      <c r="L47" s="3" t="inlineStr">
        <is>
          <t>r7</t>
        </is>
      </c>
    </row>
    <row r="48" ht="42" customHeight="1">
      <c r="A48" s="2" t="inlineStr">
        <is>
          <t>jeminise.com+cat-patchwork-quilt-set-animal-pattern-bedding-cat-pattern-quilt-set</t>
        </is>
      </c>
      <c r="B48" s="2" t="inlineStr">
        <is>
          <t>K1</t>
        </is>
      </c>
      <c r="C48" s="2" t="inlineStr">
        <is>
          <t>Primary keyword evidence</t>
        </is>
      </c>
      <c r="D48" s="2" t="n">
        <v>10</v>
      </c>
      <c r="E48" s="2" t="inlineStr">
        <is>
          <t>FULL</t>
        </is>
      </c>
      <c r="F48" s="5">
        <f>IF(B48="I1",AVERAGEIF('QA_Images'!$A$2:$A$66,A48,'QA_Images'!$T$2:$T$66)/100,IF(E48="FULL",1,IF(E48="PARTIAL",0.5,IF(E48="FAIL",0,""))))</f>
        <v/>
      </c>
      <c r="G48" s="5">
        <f>IF(F48="",0,D48*F48)</f>
        <v/>
      </c>
      <c r="H48" s="5">
        <f>IF(B48="I1",20*AVERAGEIF('QA_Images'!$A$2:$A$66,A48,'QA_Images'!$U$2:$U$66)/100,IF(E48="NOT_CHECKED",0,D48))</f>
        <v/>
      </c>
      <c r="I48" s="2" t="inlineStr">
        <is>
          <t>Fresh US SERP supports the selected finished-product query.</t>
        </is>
      </c>
      <c r="J48" s="2" t="inlineStr">
        <is>
          <t>["evidence_batch_001_005", "https://jeminise.com/products/cat-patchwork-quilt-set-animal-pattern-bedding-cat-pattern-quilt-set", "serp_r7_005", "live_source_comparison.json", "visual_observations.json"]</t>
        </is>
      </c>
      <c r="K48" s="2" t="inlineStr">
        <is>
          <t>[]</t>
        </is>
      </c>
      <c r="L48" s="2" t="inlineStr">
        <is>
          <t>r7</t>
        </is>
      </c>
    </row>
    <row r="49" ht="42" customHeight="1">
      <c r="A49" s="3" t="inlineStr">
        <is>
          <t>jeminise.com+cat-patchwork-quilt-set-animal-pattern-bedding-cat-pattern-quilt-set</t>
        </is>
      </c>
      <c r="B49" s="3" t="inlineStr">
        <is>
          <t>K2</t>
        </is>
      </c>
      <c r="C49" s="3" t="inlineStr">
        <is>
          <t>SERP intent and comparator</t>
        </is>
      </c>
      <c r="D49" s="3" t="n">
        <v>5</v>
      </c>
      <c r="E49" s="3" t="inlineStr">
        <is>
          <t>FULL</t>
        </is>
      </c>
      <c r="F49" s="7">
        <f>IF(B49="I1",AVERAGEIF('QA_Images'!$A$2:$A$66,A49,'QA_Images'!$T$2:$T$66)/100,IF(E49="FULL",1,IF(E49="PARTIAL",0.5,IF(E49="FAIL",0,""))))</f>
        <v/>
      </c>
      <c r="G49" s="7">
        <f>IF(F49="",0,D49*F49)</f>
        <v/>
      </c>
      <c r="H49" s="7">
        <f>IF(B49="I1",20*AVERAGEIF('QA_Images'!$A$2:$A$66,A49,'QA_Images'!$U$2:$U$66)/100,IF(E49="NOT_CHECKED",0,D49))</f>
        <v/>
      </c>
      <c r="I49" s="3" t="inlineStr">
        <is>
          <t>Primary and nearest comparator show commercial finished-product intent.</t>
        </is>
      </c>
      <c r="J49" s="3" t="inlineStr">
        <is>
          <t>["evidence_batch_001_005", "https://jeminise.com/products/cat-patchwork-quilt-set-animal-pattern-bedding-cat-pattern-quilt-set", "serp_r7_005", "live_source_comparison.json", "visual_observations.json"]</t>
        </is>
      </c>
      <c r="K49" s="3" t="inlineStr">
        <is>
          <t>[]</t>
        </is>
      </c>
      <c r="L49" s="3" t="inlineStr">
        <is>
          <t>r7</t>
        </is>
      </c>
    </row>
    <row r="50" ht="42" customHeight="1">
      <c r="A50" s="2" t="inlineStr">
        <is>
          <t>jeminise.com+cat-patchwork-quilt-set-animal-pattern-bedding-cat-pattern-quilt-set</t>
        </is>
      </c>
      <c r="B50" s="2" t="inlineStr">
        <is>
          <t>K3</t>
        </is>
      </c>
      <c r="C50" s="2" t="inlineStr">
        <is>
          <t>Cannibalization differentiation</t>
        </is>
      </c>
      <c r="D50" s="2" t="n">
        <v>5</v>
      </c>
      <c r="E50" s="2" t="inlineStr">
        <is>
          <t>FULL</t>
        </is>
      </c>
      <c r="F50" s="5">
        <f>IF(B50="I1",AVERAGEIF('QA_Images'!$A$2:$A$66,A50,'QA_Images'!$T$2:$T$66)/100,IF(E50="FULL",1,IF(E50="PARTIAL",0.5,IF(E50="FAIL",0,""))))</f>
        <v/>
      </c>
      <c r="G50" s="5">
        <f>IF(F50="",0,D50*F50)</f>
        <v/>
      </c>
      <c r="H50" s="5">
        <f>IF(B50="I1",20*AVERAGEIF('QA_Images'!$A$2:$A$66,A50,'QA_Images'!$U$2:$U$66)/100,IF(E50="NOT_CHECKED",0,D50))</f>
        <v/>
      </c>
      <c r="I50" s="2" t="inlineStr">
        <is>
          <t>R7 keyword rows document a unique motif, collection/internal-link role and explicit sibling exclusions.</t>
        </is>
      </c>
      <c r="J50" s="2" t="inlineStr">
        <is>
          <t>["evidence_batch_001_005", "https://jeminise.com/products/cat-patchwork-quilt-set-animal-pattern-bedding-cat-pattern-quilt-set", "serp_r7_005", "live_source_comparison.json", "visual_observations.json"]</t>
        </is>
      </c>
      <c r="K50" s="2" t="inlineStr">
        <is>
          <t>[]</t>
        </is>
      </c>
      <c r="L50" s="2" t="inlineStr">
        <is>
          <t>r7</t>
        </is>
      </c>
    </row>
    <row r="51" ht="42" customHeight="1">
      <c r="A51" s="3" t="inlineStr">
        <is>
          <t>jeminise.com+cat-patchwork-quilt-set-animal-pattern-bedding-cat-pattern-quilt-set</t>
        </is>
      </c>
      <c r="B51" s="3" t="inlineStr">
        <is>
          <t>T1</t>
        </is>
      </c>
      <c r="C51" s="3" t="inlineStr">
        <is>
          <t>SEO title</t>
        </is>
      </c>
      <c r="D51" s="3" t="n">
        <v>10</v>
      </c>
      <c r="E51" s="3" t="inlineStr">
        <is>
          <t>FULL</t>
        </is>
      </c>
      <c r="F51" s="7">
        <f>IF(B51="I1",AVERAGEIF('QA_Images'!$A$2:$A$66,A51,'QA_Images'!$T$2:$T$66)/100,IF(E51="FULL",1,IF(E51="PARTIAL",0.5,IF(E51="FAIL",0,""))))</f>
        <v/>
      </c>
      <c r="G51" s="7">
        <f>IF(F51="",0,D51*F51)</f>
        <v/>
      </c>
      <c r="H51" s="7">
        <f>IF(B51="I1",20*AVERAGEIF('QA_Images'!$A$2:$A$66,A51,'QA_Images'!$U$2:$U$66)/100,IF(E51="NOT_CHECKED",0,D51))</f>
        <v/>
      </c>
      <c r="I51" s="3" t="inlineStr">
        <is>
          <t>SEO title is concise, clean, product-specific and aligned with verified motif/product type.</t>
        </is>
      </c>
      <c r="J51" s="3" t="inlineStr">
        <is>
          <t>["evidence_batch_001_005", "https://jeminise.com/products/cat-patchwork-quilt-set-animal-pattern-bedding-cat-pattern-quilt-set", "serp_r7_005", "live_source_comparison.json", "visual_observations.json"]</t>
        </is>
      </c>
      <c r="K51" s="3" t="inlineStr">
        <is>
          <t>[]</t>
        </is>
      </c>
      <c r="L51" s="3" t="inlineStr">
        <is>
          <t>r7</t>
        </is>
      </c>
    </row>
    <row r="52" ht="42" customHeight="1">
      <c r="A52" s="2" t="inlineStr">
        <is>
          <t>jeminise.com+cat-patchwork-quilt-set-animal-pattern-bedding-cat-pattern-quilt-set</t>
        </is>
      </c>
      <c r="B52" s="2" t="inlineStr">
        <is>
          <t>T2</t>
        </is>
      </c>
      <c r="C52" s="2" t="inlineStr">
        <is>
          <t>Proposed product title/H1</t>
        </is>
      </c>
      <c r="D52" s="2" t="n">
        <v>5</v>
      </c>
      <c r="E52" s="2" t="inlineStr">
        <is>
          <t>FULL</t>
        </is>
      </c>
      <c r="F52" s="5">
        <f>IF(B52="I1",AVERAGEIF('QA_Images'!$A$2:$A$66,A52,'QA_Images'!$T$2:$T$66)/100,IF(E52="FULL",1,IF(E52="PARTIAL",0.5,IF(E52="FAIL",0,""))))</f>
        <v/>
      </c>
      <c r="G52" s="5">
        <f>IF(F52="",0,D52*F52)</f>
        <v/>
      </c>
      <c r="H52" s="5">
        <f>IF(B52="I1",20*AVERAGEIF('QA_Images'!$A$2:$A$66,A52,'QA_Images'!$U$2:$U$66)/100,IF(E52="NOT_CHECKED",0,D52))</f>
        <v/>
      </c>
      <c r="I52" s="2" t="inlineStr">
        <is>
          <t>Proposed product title/H1 is concise, clean, product-specific and aligned with verified motif/product type.</t>
        </is>
      </c>
      <c r="J52" s="2" t="inlineStr">
        <is>
          <t>["evidence_batch_001_005", "https://jeminise.com/products/cat-patchwork-quilt-set-animal-pattern-bedding-cat-pattern-quilt-set", "serp_r7_005", "live_source_comparison.json", "visual_observations.json"]</t>
        </is>
      </c>
      <c r="K52" s="2" t="inlineStr">
        <is>
          <t>[]</t>
        </is>
      </c>
      <c r="L52" s="2" t="inlineStr">
        <is>
          <t>r7</t>
        </is>
      </c>
    </row>
    <row r="53" ht="42" customHeight="1">
      <c r="A53" s="3" t="inlineStr">
        <is>
          <t>jeminise.com+cat-patchwork-quilt-set-animal-pattern-bedding-cat-pattern-quilt-set</t>
        </is>
      </c>
      <c r="B53" s="3" t="inlineStr">
        <is>
          <t>D1</t>
        </is>
      </c>
      <c r="C53" s="3" t="inlineStr">
        <is>
          <t>Meta description</t>
        </is>
      </c>
      <c r="D53" s="3" t="n">
        <v>5</v>
      </c>
      <c r="E53" s="3" t="inlineStr">
        <is>
          <t>FULL</t>
        </is>
      </c>
      <c r="F53" s="7">
        <f>IF(B53="I1",AVERAGEIF('QA_Images'!$A$2:$A$66,A53,'QA_Images'!$T$2:$T$66)/100,IF(E53="FULL",1,IF(E53="PARTIAL",0.5,IF(E53="FAIL",0,""))))</f>
        <v/>
      </c>
      <c r="G53" s="7">
        <f>IF(F53="",0,D53*F53)</f>
        <v/>
      </c>
      <c r="H53" s="7">
        <f>IF(B53="I1",20*AVERAGEIF('QA_Images'!$A$2:$A$66,A53,'QA_Images'!$U$2:$U$66)/100,IF(E53="NOT_CHECKED",0,D53))</f>
        <v/>
      </c>
      <c r="I53" s="3" t="inlineStr">
        <is>
          <t>Meta description is complete, readable and evidence-led; 145–165 characters is treated only as editorial guidance.</t>
        </is>
      </c>
      <c r="J53" s="3" t="inlineStr">
        <is>
          <t>["evidence_batch_001_005", "https://jeminise.com/products/cat-patchwork-quilt-set-animal-pattern-bedding-cat-pattern-quilt-set", "serp_r7_005", "live_source_comparison.json", "visual_observations.json"]</t>
        </is>
      </c>
      <c r="K53" s="3" t="inlineStr">
        <is>
          <t>[]</t>
        </is>
      </c>
      <c r="L53" s="3" t="inlineStr">
        <is>
          <t>r7</t>
        </is>
      </c>
    </row>
    <row r="54" ht="42" customHeight="1">
      <c r="A54" s="2" t="inlineStr">
        <is>
          <t>jeminise.com+cat-patchwork-quilt-set-animal-pattern-bedding-cat-pattern-quilt-set</t>
        </is>
      </c>
      <c r="B54" s="2" t="inlineStr">
        <is>
          <t>D2</t>
        </is>
      </c>
      <c r="C54" s="2" t="inlineStr">
        <is>
          <t>Description HTML</t>
        </is>
      </c>
      <c r="D54" s="2" t="n">
        <v>10</v>
      </c>
      <c r="E54" s="2" t="inlineStr">
        <is>
          <t>FULL</t>
        </is>
      </c>
      <c r="F54" s="5">
        <f>IF(B54="I1",AVERAGEIF('QA_Images'!$A$2:$A$66,A54,'QA_Images'!$T$2:$T$66)/100,IF(E54="FULL",1,IF(E54="PARTIAL",0.5,IF(E54="FAIL",0,""))))</f>
        <v/>
      </c>
      <c r="G54" s="5">
        <f>IF(F54="",0,D54*F54)</f>
        <v/>
      </c>
      <c r="H54" s="5">
        <f>IF(B54="I1",20*AVERAGEIF('QA_Images'!$A$2:$A$66,A54,'QA_Images'!$U$2:$U$66)/100,IF(E54="NOT_CHECKED",0,D54))</f>
        <v/>
      </c>
      <c r="I54" s="2" t="inlineStr">
        <is>
          <t>Customer-facing copy is useful and source-backed.</t>
        </is>
      </c>
      <c r="J54" s="2" t="inlineStr">
        <is>
          <t>["evidence_batch_001_005", "https://jeminise.com/products/cat-patchwork-quilt-set-animal-pattern-bedding-cat-pattern-quilt-set", "serp_r7_005", "live_source_comparison.json", "visual_observations.json"]</t>
        </is>
      </c>
      <c r="K54" s="2" t="inlineStr">
        <is>
          <t>[]</t>
        </is>
      </c>
      <c r="L54" s="2" t="inlineStr">
        <is>
          <t>r7</t>
        </is>
      </c>
    </row>
    <row r="55" ht="42" customHeight="1">
      <c r="A55" s="3" t="inlineStr">
        <is>
          <t>jeminise.com+cat-patchwork-quilt-set-animal-pattern-bedding-cat-pattern-quilt-set</t>
        </is>
      </c>
      <c r="B55" s="3" t="inlineStr">
        <is>
          <t>I1</t>
        </is>
      </c>
      <c r="C55" s="3" t="inlineStr">
        <is>
          <t>Image/alt quality</t>
        </is>
      </c>
      <c r="D55" s="3" t="n">
        <v>20</v>
      </c>
      <c r="E55" s="3" t="inlineStr">
        <is>
          <t>DERIVED_FROM_IMAGES</t>
        </is>
      </c>
      <c r="F55" s="7">
        <f>IF(B55="I1",AVERAGEIF('QA_Images'!$A$2:$A$66,A55,'QA_Images'!$T$2:$T$66)/100,IF(E55="FULL",1,IF(E55="PARTIAL",0.5,IF(E55="FAIL",0,""))))</f>
        <v/>
      </c>
      <c r="G55" s="7">
        <f>IF(F55="",0,D55*F55)</f>
        <v/>
      </c>
      <c r="H55" s="7">
        <f>IF(B55="I1",20*AVERAGEIF('QA_Images'!$A$2:$A$66,A55,'QA_Images'!$U$2:$U$66)/100,IF(E55="NOT_CHECKED",0,D55))</f>
        <v/>
      </c>
      <c r="I55" s="3" t="inlineStr">
        <is>
          <t>Derived from 7 freshly opened images; every observation and SET alt matches the exact scene/panel.</t>
        </is>
      </c>
      <c r="J55" s="3" t="inlineStr">
        <is>
          <t>["evidence_batch_001_005", "https://jeminise.com/products/cat-patchwork-quilt-set-animal-pattern-bedding-cat-pattern-quilt-set", "serp_r7_005", "live_source_comparison.json", "visual_observations.json"]</t>
        </is>
      </c>
      <c r="K55" s="3" t="inlineStr">
        <is>
          <t>[]</t>
        </is>
      </c>
      <c r="L55" s="3" t="inlineStr">
        <is>
          <t>r7</t>
        </is>
      </c>
    </row>
    <row r="56" ht="42" customHeight="1">
      <c r="A56" s="2" t="inlineStr">
        <is>
          <t>jeminise.com+cat-patchwork-quilt-set-animal-pattern-bedding-cat-pattern-quilt-set</t>
        </is>
      </c>
      <c r="B56" s="2" t="inlineStr">
        <is>
          <t>E1</t>
        </is>
      </c>
      <c r="C56" s="2" t="inlineStr">
        <is>
          <t>Evidence traceability</t>
        </is>
      </c>
      <c r="D56" s="2" t="n">
        <v>5</v>
      </c>
      <c r="E56" s="2" t="inlineStr">
        <is>
          <t>PARTIAL</t>
        </is>
      </c>
      <c r="F56" s="5">
        <f>IF(B56="I1",AVERAGEIF('QA_Images'!$A$2:$A$66,A56,'QA_Images'!$T$2:$T$66)/100,IF(E56="FULL",1,IF(E56="PARTIAL",0.5,IF(E56="FAIL",0,""))))</f>
        <v/>
      </c>
      <c r="G56" s="5">
        <f>IF(F56="",0,D56*F56)</f>
        <v/>
      </c>
      <c r="H56" s="5">
        <f>IF(B56="I1",20*AVERAGEIF('QA_Images'!$A$2:$A$66,A56,'QA_Images'!$U$2:$U$66)/100,IF(E56="NOT_CHECKED",0,D56))</f>
        <v/>
      </c>
      <c r="I56" s="2" t="inlineStr">
        <is>
          <t>File/hash and evidence refs are clear, but row-level revision metadata and revision_summary still identify r5 inside the r7 package.</t>
        </is>
      </c>
      <c r="J56" s="2" t="inlineStr">
        <is>
          <t>["evidence_batch_001_005", "https://jeminise.com/products/cat-patchwork-quilt-set-animal-pattern-bedding-cat-pattern-quilt-set", "serp_r7_005", "live_source_comparison.json", "visual_observations.json"]</t>
        </is>
      </c>
      <c r="K56" s="2" t="inlineStr">
        <is>
          <t>["R7-ISS-005-TRACE"]</t>
        </is>
      </c>
      <c r="L56" s="2" t="inlineStr">
        <is>
          <t>r7</t>
        </is>
      </c>
    </row>
    <row r="57" ht="42" customHeight="1">
      <c r="A57" s="3" t="inlineStr">
        <is>
          <t>jeminise.com+cat-quilt-set-cat-patchwork-style-printed-bedding-animal-patchwork</t>
        </is>
      </c>
      <c r="B57" s="3" t="inlineStr">
        <is>
          <t>P1</t>
        </is>
      </c>
      <c r="C57" s="3" t="inlineStr">
        <is>
          <t>Identity and source integrity</t>
        </is>
      </c>
      <c r="D57" s="3" t="n">
        <v>15</v>
      </c>
      <c r="E57" s="3" t="inlineStr">
        <is>
          <t>FULL</t>
        </is>
      </c>
      <c r="F57" s="7">
        <f>IF(B57="I1",AVERAGEIF('QA_Images'!$A$2:$A$66,A57,'QA_Images'!$T$2:$T$66)/100,IF(E57="FULL",1,IF(E57="PARTIAL",0.5,IF(E57="FAIL",0,""))))</f>
        <v/>
      </c>
      <c r="G57" s="7">
        <f>IF(F57="",0,D57*F57)</f>
        <v/>
      </c>
      <c r="H57" s="7">
        <f>IF(B57="I1",20*AVERAGEIF('QA_Images'!$A$2:$A$66,A57,'QA_Images'!$U$2:$U$66)/100,IF(E57="NOT_CHECKED",0,D57))</f>
        <v/>
      </c>
      <c r="I57" s="3" t="inlineStr">
        <is>
          <t>Product key, handle, ID, canonical, H1 and gallery identity match the live page/product JSON.</t>
        </is>
      </c>
      <c r="J57" s="3" t="inlineStr">
        <is>
          <t>["evidence_batch_001_006", "https://jeminise.com/products/cat-quilt-set-cat-patchwork-style-printed-bedding-animal-patchwork", "serp_r7_006", "live_source_comparison.json", "visual_observations.json"]</t>
        </is>
      </c>
      <c r="K57" s="3" t="inlineStr">
        <is>
          <t>[]</t>
        </is>
      </c>
      <c r="L57" s="3" t="inlineStr">
        <is>
          <t>r7</t>
        </is>
      </c>
    </row>
    <row r="58" ht="42" customHeight="1">
      <c r="A58" s="2" t="inlineStr">
        <is>
          <t>jeminise.com+cat-quilt-set-cat-patchwork-style-printed-bedding-animal-patchwork</t>
        </is>
      </c>
      <c r="B58" s="2" t="inlineStr">
        <is>
          <t>P2</t>
        </is>
      </c>
      <c r="C58" s="2" t="inlineStr">
        <is>
          <t>Product facts and purchase options</t>
        </is>
      </c>
      <c r="D58" s="2" t="n">
        <v>10</v>
      </c>
      <c r="E58" s="2" t="inlineStr">
        <is>
          <t>FULL</t>
        </is>
      </c>
      <c r="F58" s="5">
        <f>IF(B58="I1",AVERAGEIF('QA_Images'!$A$2:$A$66,A58,'QA_Images'!$T$2:$T$66)/100,IF(E58="FULL",1,IF(E58="PARTIAL",0.5,IF(E58="FAIL",0,""))))</f>
        <v/>
      </c>
      <c r="G58" s="5">
        <f>IF(F58="",0,D58*F58)</f>
        <v/>
      </c>
      <c r="H58" s="5">
        <f>IF(B58="I1",20*AVERAGEIF('QA_Images'!$A$2:$A$66,A58,'QA_Images'!$U$2:$U$66)/100,IF(E58="NOT_CHECKED",0,D58))</f>
        <v/>
      </c>
      <c r="I58" s="2" t="inlineStr">
        <is>
          <t>Live variants, selectable sizes/pillowcase rules, gallery facts and product type were independently re-read.</t>
        </is>
      </c>
      <c r="J58" s="2" t="inlineStr">
        <is>
          <t>["evidence_batch_001_006", "https://jeminise.com/products/cat-quilt-set-cat-patchwork-style-printed-bedding-animal-patchwork", "serp_r7_006", "live_source_comparison.json", "visual_observations.json"]</t>
        </is>
      </c>
      <c r="K58" s="2" t="inlineStr">
        <is>
          <t>[]</t>
        </is>
      </c>
      <c r="L58" s="2" t="inlineStr">
        <is>
          <t>r7</t>
        </is>
      </c>
    </row>
    <row r="59" ht="42" customHeight="1">
      <c r="A59" s="3" t="inlineStr">
        <is>
          <t>jeminise.com+cat-quilt-set-cat-patchwork-style-printed-bedding-animal-patchwork</t>
        </is>
      </c>
      <c r="B59" s="3" t="inlineStr">
        <is>
          <t>K1</t>
        </is>
      </c>
      <c r="C59" s="3" t="inlineStr">
        <is>
          <t>Primary keyword evidence</t>
        </is>
      </c>
      <c r="D59" s="3" t="n">
        <v>10</v>
      </c>
      <c r="E59" s="3" t="inlineStr">
        <is>
          <t>PARTIAL</t>
        </is>
      </c>
      <c r="F59" s="7">
        <f>IF(B59="I1",AVERAGEIF('QA_Images'!$A$2:$A$66,A59,'QA_Images'!$T$2:$T$66)/100,IF(E59="FULL",1,IF(E59="PARTIAL",0.5,IF(E59="FAIL",0,""))))</f>
        <v/>
      </c>
      <c r="G59" s="7">
        <f>IF(F59="",0,D59*F59)</f>
        <v/>
      </c>
      <c r="H59" s="7">
        <f>IF(B59="I1",20*AVERAGEIF('QA_Images'!$A$2:$A$66,A59,'QA_Images'!$U$2:$U$66)/100,IF(E59="NOT_CHECKED",0,D59))</f>
        <v/>
      </c>
      <c r="I59" s="3" t="inlineStr">
        <is>
          <t>Fresh US SERP supports related finished bedding intent, but the exact long-tail query remains niche/hypothesis-led.</t>
        </is>
      </c>
      <c r="J59" s="3" t="inlineStr">
        <is>
          <t>["evidence_batch_001_006", "https://jeminise.com/products/cat-quilt-set-cat-patchwork-style-printed-bedding-animal-patchwork", "serp_r7_006", "live_source_comparison.json", "visual_observations.json"]</t>
        </is>
      </c>
      <c r="K59" s="3" t="inlineStr">
        <is>
          <t>["R7-ISS-006-HYP"]</t>
        </is>
      </c>
      <c r="L59" s="3" t="inlineStr">
        <is>
          <t>r7</t>
        </is>
      </c>
    </row>
    <row r="60" ht="42" customHeight="1">
      <c r="A60" s="2" t="inlineStr">
        <is>
          <t>jeminise.com+cat-quilt-set-cat-patchwork-style-printed-bedding-animal-patchwork</t>
        </is>
      </c>
      <c r="B60" s="2" t="inlineStr">
        <is>
          <t>K2</t>
        </is>
      </c>
      <c r="C60" s="2" t="inlineStr">
        <is>
          <t>SERP intent and comparator</t>
        </is>
      </c>
      <c r="D60" s="2" t="n">
        <v>5</v>
      </c>
      <c r="E60" s="2" t="inlineStr">
        <is>
          <t>PARTIAL</t>
        </is>
      </c>
      <c r="F60" s="5">
        <f>IF(B60="I1",AVERAGEIF('QA_Images'!$A$2:$A$66,A60,'QA_Images'!$T$2:$T$66)/100,IF(E60="FULL",1,IF(E60="PARTIAL",0.5,IF(E60="FAIL",0,""))))</f>
        <v/>
      </c>
      <c r="G60" s="5">
        <f>IF(F60="",0,D60*F60)</f>
        <v/>
      </c>
      <c r="H60" s="5">
        <f>IF(B60="I1",20*AVERAGEIF('QA_Images'!$A$2:$A$66,A60,'QA_Images'!$U$2:$U$66)/100,IF(E60="NOT_CHECKED",0,D60))</f>
        <v/>
      </c>
      <c r="I60" s="2" t="inlineStr">
        <is>
          <t>Comparator intent is commercial, but exact memorial/geometric wording is only partially supported.</t>
        </is>
      </c>
      <c r="J60" s="2" t="inlineStr">
        <is>
          <t>["evidence_batch_001_006", "https://jeminise.com/products/cat-quilt-set-cat-patchwork-style-printed-bedding-animal-patchwork", "serp_r7_006", "live_source_comparison.json", "visual_observations.json"]</t>
        </is>
      </c>
      <c r="K60" s="2" t="inlineStr">
        <is>
          <t>["R7-ISS-006-HYP"]</t>
        </is>
      </c>
      <c r="L60" s="2" t="inlineStr">
        <is>
          <t>r7</t>
        </is>
      </c>
    </row>
    <row r="61" ht="42" customHeight="1">
      <c r="A61" s="3" t="inlineStr">
        <is>
          <t>jeminise.com+cat-quilt-set-cat-patchwork-style-printed-bedding-animal-patchwork</t>
        </is>
      </c>
      <c r="B61" s="3" t="inlineStr">
        <is>
          <t>K3</t>
        </is>
      </c>
      <c r="C61" s="3" t="inlineStr">
        <is>
          <t>Cannibalization differentiation</t>
        </is>
      </c>
      <c r="D61" s="3" t="n">
        <v>5</v>
      </c>
      <c r="E61" s="3" t="inlineStr">
        <is>
          <t>FULL</t>
        </is>
      </c>
      <c r="F61" s="7">
        <f>IF(B61="I1",AVERAGEIF('QA_Images'!$A$2:$A$66,A61,'QA_Images'!$T$2:$T$66)/100,IF(E61="FULL",1,IF(E61="PARTIAL",0.5,IF(E61="FAIL",0,""))))</f>
        <v/>
      </c>
      <c r="G61" s="7">
        <f>IF(F61="",0,D61*F61)</f>
        <v/>
      </c>
      <c r="H61" s="7">
        <f>IF(B61="I1",20*AVERAGEIF('QA_Images'!$A$2:$A$66,A61,'QA_Images'!$U$2:$U$66)/100,IF(E61="NOT_CHECKED",0,D61))</f>
        <v/>
      </c>
      <c r="I61" s="3" t="inlineStr">
        <is>
          <t>R7 keyword rows document a unique motif, collection/internal-link role and explicit sibling exclusions.</t>
        </is>
      </c>
      <c r="J61" s="3" t="inlineStr">
        <is>
          <t>["evidence_batch_001_006", "https://jeminise.com/products/cat-quilt-set-cat-patchwork-style-printed-bedding-animal-patchwork", "serp_r7_006", "live_source_comparison.json", "visual_observations.json"]</t>
        </is>
      </c>
      <c r="K61" s="3" t="inlineStr">
        <is>
          <t>[]</t>
        </is>
      </c>
      <c r="L61" s="3" t="inlineStr">
        <is>
          <t>r7</t>
        </is>
      </c>
    </row>
    <row r="62" ht="42" customHeight="1">
      <c r="A62" s="2" t="inlineStr">
        <is>
          <t>jeminise.com+cat-quilt-set-cat-patchwork-style-printed-bedding-animal-patchwork</t>
        </is>
      </c>
      <c r="B62" s="2" t="inlineStr">
        <is>
          <t>T1</t>
        </is>
      </c>
      <c r="C62" s="2" t="inlineStr">
        <is>
          <t>SEO title</t>
        </is>
      </c>
      <c r="D62" s="2" t="n">
        <v>10</v>
      </c>
      <c r="E62" s="2" t="inlineStr">
        <is>
          <t>FULL</t>
        </is>
      </c>
      <c r="F62" s="5">
        <f>IF(B62="I1",AVERAGEIF('QA_Images'!$A$2:$A$66,A62,'QA_Images'!$T$2:$T$66)/100,IF(E62="FULL",1,IF(E62="PARTIAL",0.5,IF(E62="FAIL",0,""))))</f>
        <v/>
      </c>
      <c r="G62" s="5">
        <f>IF(F62="",0,D62*F62)</f>
        <v/>
      </c>
      <c r="H62" s="5">
        <f>IF(B62="I1",20*AVERAGEIF('QA_Images'!$A$2:$A$66,A62,'QA_Images'!$U$2:$U$66)/100,IF(E62="NOT_CHECKED",0,D62))</f>
        <v/>
      </c>
      <c r="I62" s="2" t="inlineStr">
        <is>
          <t>SEO title is concise, clean, product-specific and aligned with verified motif/product type.</t>
        </is>
      </c>
      <c r="J62" s="2" t="inlineStr">
        <is>
          <t>["evidence_batch_001_006", "https://jeminise.com/products/cat-quilt-set-cat-patchwork-style-printed-bedding-animal-patchwork", "serp_r7_006", "live_source_comparison.json", "visual_observations.json"]</t>
        </is>
      </c>
      <c r="K62" s="2" t="inlineStr">
        <is>
          <t>[]</t>
        </is>
      </c>
      <c r="L62" s="2" t="inlineStr">
        <is>
          <t>r7</t>
        </is>
      </c>
    </row>
    <row r="63" ht="42" customHeight="1">
      <c r="A63" s="3" t="inlineStr">
        <is>
          <t>jeminise.com+cat-quilt-set-cat-patchwork-style-printed-bedding-animal-patchwork</t>
        </is>
      </c>
      <c r="B63" s="3" t="inlineStr">
        <is>
          <t>T2</t>
        </is>
      </c>
      <c r="C63" s="3" t="inlineStr">
        <is>
          <t>Proposed product title/H1</t>
        </is>
      </c>
      <c r="D63" s="3" t="n">
        <v>5</v>
      </c>
      <c r="E63" s="3" t="inlineStr">
        <is>
          <t>FULL</t>
        </is>
      </c>
      <c r="F63" s="7">
        <f>IF(B63="I1",AVERAGEIF('QA_Images'!$A$2:$A$66,A63,'QA_Images'!$T$2:$T$66)/100,IF(E63="FULL",1,IF(E63="PARTIAL",0.5,IF(E63="FAIL",0,""))))</f>
        <v/>
      </c>
      <c r="G63" s="7">
        <f>IF(F63="",0,D63*F63)</f>
        <v/>
      </c>
      <c r="H63" s="7">
        <f>IF(B63="I1",20*AVERAGEIF('QA_Images'!$A$2:$A$66,A63,'QA_Images'!$U$2:$U$66)/100,IF(E63="NOT_CHECKED",0,D63))</f>
        <v/>
      </c>
      <c r="I63" s="3" t="inlineStr">
        <is>
          <t>Proposed product title/H1 is concise, clean, product-specific and aligned with verified motif/product type.</t>
        </is>
      </c>
      <c r="J63" s="3" t="inlineStr">
        <is>
          <t>["evidence_batch_001_006", "https://jeminise.com/products/cat-quilt-set-cat-patchwork-style-printed-bedding-animal-patchwork", "serp_r7_006", "live_source_comparison.json", "visual_observations.json"]</t>
        </is>
      </c>
      <c r="K63" s="3" t="inlineStr">
        <is>
          <t>[]</t>
        </is>
      </c>
      <c r="L63" s="3" t="inlineStr">
        <is>
          <t>r7</t>
        </is>
      </c>
    </row>
    <row r="64" ht="42" customHeight="1">
      <c r="A64" s="2" t="inlineStr">
        <is>
          <t>jeminise.com+cat-quilt-set-cat-patchwork-style-printed-bedding-animal-patchwork</t>
        </is>
      </c>
      <c r="B64" s="2" t="inlineStr">
        <is>
          <t>D1</t>
        </is>
      </c>
      <c r="C64" s="2" t="inlineStr">
        <is>
          <t>Meta description</t>
        </is>
      </c>
      <c r="D64" s="2" t="n">
        <v>5</v>
      </c>
      <c r="E64" s="2" t="inlineStr">
        <is>
          <t>FULL</t>
        </is>
      </c>
      <c r="F64" s="5">
        <f>IF(B64="I1",AVERAGEIF('QA_Images'!$A$2:$A$66,A64,'QA_Images'!$T$2:$T$66)/100,IF(E64="FULL",1,IF(E64="PARTIAL",0.5,IF(E64="FAIL",0,""))))</f>
        <v/>
      </c>
      <c r="G64" s="5">
        <f>IF(F64="",0,D64*F64)</f>
        <v/>
      </c>
      <c r="H64" s="5">
        <f>IF(B64="I1",20*AVERAGEIF('QA_Images'!$A$2:$A$66,A64,'QA_Images'!$U$2:$U$66)/100,IF(E64="NOT_CHECKED",0,D64))</f>
        <v/>
      </c>
      <c r="I64" s="2" t="inlineStr">
        <is>
          <t>Meta description is complete, readable and evidence-led; 145–165 characters is treated only as editorial guidance.</t>
        </is>
      </c>
      <c r="J64" s="2" t="inlineStr">
        <is>
          <t>["evidence_batch_001_006", "https://jeminise.com/products/cat-quilt-set-cat-patchwork-style-printed-bedding-animal-patchwork", "serp_r7_006", "live_source_comparison.json", "visual_observations.json"]</t>
        </is>
      </c>
      <c r="K64" s="2" t="inlineStr">
        <is>
          <t>[]</t>
        </is>
      </c>
      <c r="L64" s="2" t="inlineStr">
        <is>
          <t>r7</t>
        </is>
      </c>
    </row>
    <row r="65" ht="42" customHeight="1">
      <c r="A65" s="3" t="inlineStr">
        <is>
          <t>jeminise.com+cat-quilt-set-cat-patchwork-style-printed-bedding-animal-patchwork</t>
        </is>
      </c>
      <c r="B65" s="3" t="inlineStr">
        <is>
          <t>D2</t>
        </is>
      </c>
      <c r="C65" s="3" t="inlineStr">
        <is>
          <t>Description HTML</t>
        </is>
      </c>
      <c r="D65" s="3" t="n">
        <v>10</v>
      </c>
      <c r="E65" s="3" t="inlineStr">
        <is>
          <t>FULL</t>
        </is>
      </c>
      <c r="F65" s="7">
        <f>IF(B65="I1",AVERAGEIF('QA_Images'!$A$2:$A$66,A65,'QA_Images'!$T$2:$T$66)/100,IF(E65="FULL",1,IF(E65="PARTIAL",0.5,IF(E65="FAIL",0,""))))</f>
        <v/>
      </c>
      <c r="G65" s="7">
        <f>IF(F65="",0,D65*F65)</f>
        <v/>
      </c>
      <c r="H65" s="7">
        <f>IF(B65="I1",20*AVERAGEIF('QA_Images'!$A$2:$A$66,A65,'QA_Images'!$U$2:$U$66)/100,IF(E65="NOT_CHECKED",0,D65))</f>
        <v/>
      </c>
      <c r="I65" s="3" t="inlineStr">
        <is>
          <t>Customer-facing copy is useful and source-backed.</t>
        </is>
      </c>
      <c r="J65" s="3" t="inlineStr">
        <is>
          <t>["evidence_batch_001_006", "https://jeminise.com/products/cat-quilt-set-cat-patchwork-style-printed-bedding-animal-patchwork", "serp_r7_006", "live_source_comparison.json", "visual_observations.json"]</t>
        </is>
      </c>
      <c r="K65" s="3" t="inlineStr">
        <is>
          <t>[]</t>
        </is>
      </c>
      <c r="L65" s="3" t="inlineStr">
        <is>
          <t>r7</t>
        </is>
      </c>
    </row>
    <row r="66" ht="42" customHeight="1">
      <c r="A66" s="2" t="inlineStr">
        <is>
          <t>jeminise.com+cat-quilt-set-cat-patchwork-style-printed-bedding-animal-patchwork</t>
        </is>
      </c>
      <c r="B66" s="2" t="inlineStr">
        <is>
          <t>I1</t>
        </is>
      </c>
      <c r="C66" s="2" t="inlineStr">
        <is>
          <t>Image/alt quality</t>
        </is>
      </c>
      <c r="D66" s="2" t="n">
        <v>20</v>
      </c>
      <c r="E66" s="2" t="inlineStr">
        <is>
          <t>DERIVED_FROM_IMAGES</t>
        </is>
      </c>
      <c r="F66" s="5">
        <f>IF(B66="I1",AVERAGEIF('QA_Images'!$A$2:$A$66,A66,'QA_Images'!$T$2:$T$66)/100,IF(E66="FULL",1,IF(E66="PARTIAL",0.5,IF(E66="FAIL",0,""))))</f>
        <v/>
      </c>
      <c r="G66" s="5">
        <f>IF(F66="",0,D66*F66)</f>
        <v/>
      </c>
      <c r="H66" s="5">
        <f>IF(B66="I1",20*AVERAGEIF('QA_Images'!$A$2:$A$66,A66,'QA_Images'!$U$2:$U$66)/100,IF(E66="NOT_CHECKED",0,D66))</f>
        <v/>
      </c>
      <c r="I66" s="2" t="inlineStr">
        <is>
          <t>Derived from 7 freshly opened images; every observation and SET alt matches the exact scene/panel.</t>
        </is>
      </c>
      <c r="J66" s="2" t="inlineStr">
        <is>
          <t>["evidence_batch_001_006", "https://jeminise.com/products/cat-quilt-set-cat-patchwork-style-printed-bedding-animal-patchwork", "serp_r7_006", "live_source_comparison.json", "visual_observations.json"]</t>
        </is>
      </c>
      <c r="K66" s="2" t="inlineStr">
        <is>
          <t>[]</t>
        </is>
      </c>
      <c r="L66" s="2" t="inlineStr">
        <is>
          <t>r7</t>
        </is>
      </c>
    </row>
    <row r="67" ht="42" customHeight="1">
      <c r="A67" s="3" t="inlineStr">
        <is>
          <t>jeminise.com+cat-quilt-set-cat-patchwork-style-printed-bedding-animal-patchwork</t>
        </is>
      </c>
      <c r="B67" s="3" t="inlineStr">
        <is>
          <t>E1</t>
        </is>
      </c>
      <c r="C67" s="3" t="inlineStr">
        <is>
          <t>Evidence traceability</t>
        </is>
      </c>
      <c r="D67" s="3" t="n">
        <v>5</v>
      </c>
      <c r="E67" s="3" t="inlineStr">
        <is>
          <t>PARTIAL</t>
        </is>
      </c>
      <c r="F67" s="7">
        <f>IF(B67="I1",AVERAGEIF('QA_Images'!$A$2:$A$66,A67,'QA_Images'!$T$2:$T$66)/100,IF(E67="FULL",1,IF(E67="PARTIAL",0.5,IF(E67="FAIL",0,""))))</f>
        <v/>
      </c>
      <c r="G67" s="7">
        <f>IF(F67="",0,D67*F67)</f>
        <v/>
      </c>
      <c r="H67" s="7">
        <f>IF(B67="I1",20*AVERAGEIF('QA_Images'!$A$2:$A$66,A67,'QA_Images'!$U$2:$U$66)/100,IF(E67="NOT_CHECKED",0,D67))</f>
        <v/>
      </c>
      <c r="I67" s="3" t="inlineStr">
        <is>
          <t>File/hash and evidence refs are clear, but row-level revision metadata and revision_summary still identify r5 inside the r7 package.</t>
        </is>
      </c>
      <c r="J67" s="3" t="inlineStr">
        <is>
          <t>["evidence_batch_001_006", "https://jeminise.com/products/cat-quilt-set-cat-patchwork-style-printed-bedding-animal-patchwork", "serp_r7_006", "live_source_comparison.json", "visual_observations.json"]</t>
        </is>
      </c>
      <c r="K67" s="3" t="inlineStr">
        <is>
          <t>["R7-ISS-006-TRACE"]</t>
        </is>
      </c>
      <c r="L67" s="3" t="inlineStr">
        <is>
          <t>r7</t>
        </is>
      </c>
    </row>
    <row r="68" ht="42" customHeight="1">
      <c r="A68" s="2" t="inlineStr">
        <is>
          <t>jeminise.com+celtic-and-fantasy-quilt-set-with-twisting-tree-trunk-and-exposed-roots-c7b1460bad-c7b1460bad</t>
        </is>
      </c>
      <c r="B68" s="2" t="inlineStr">
        <is>
          <t>P1</t>
        </is>
      </c>
      <c r="C68" s="2" t="inlineStr">
        <is>
          <t>Identity and source integrity</t>
        </is>
      </c>
      <c r="D68" s="2" t="n">
        <v>15</v>
      </c>
      <c r="E68" s="2" t="inlineStr">
        <is>
          <t>FULL</t>
        </is>
      </c>
      <c r="F68" s="5">
        <f>IF(B68="I1",AVERAGEIF('QA_Images'!$A$2:$A$66,A68,'QA_Images'!$T$2:$T$66)/100,IF(E68="FULL",1,IF(E68="PARTIAL",0.5,IF(E68="FAIL",0,""))))</f>
        <v/>
      </c>
      <c r="G68" s="5">
        <f>IF(F68="",0,D68*F68)</f>
        <v/>
      </c>
      <c r="H68" s="5">
        <f>IF(B68="I1",20*AVERAGEIF('QA_Images'!$A$2:$A$66,A68,'QA_Images'!$U$2:$U$66)/100,IF(E68="NOT_CHECKED",0,D68))</f>
        <v/>
      </c>
      <c r="I68" s="2" t="inlineStr">
        <is>
          <t>Product key, handle, ID, canonical, H1 and gallery identity match the live page/product JSON.</t>
        </is>
      </c>
      <c r="J68" s="2" t="inlineStr">
        <is>
          <t>["evidence_batch_001_007", "https://jeminise.com/products/celtic-and-fantasy-quilt-set-with-twisting-tree-trunk-and-exposed-roots-c7b1460bad-c7b1460bad", "serp_r7_007", "live_source_comparison.json", "visual_observations.json"]</t>
        </is>
      </c>
      <c r="K68" s="2" t="inlineStr">
        <is>
          <t>[]</t>
        </is>
      </c>
      <c r="L68" s="2" t="inlineStr">
        <is>
          <t>r7</t>
        </is>
      </c>
    </row>
    <row r="69" ht="42" customHeight="1">
      <c r="A69" s="3" t="inlineStr">
        <is>
          <t>jeminise.com+celtic-and-fantasy-quilt-set-with-twisting-tree-trunk-and-exposed-roots-c7b1460bad-c7b1460bad</t>
        </is>
      </c>
      <c r="B69" s="3" t="inlineStr">
        <is>
          <t>P2</t>
        </is>
      </c>
      <c r="C69" s="3" t="inlineStr">
        <is>
          <t>Product facts and purchase options</t>
        </is>
      </c>
      <c r="D69" s="3" t="n">
        <v>10</v>
      </c>
      <c r="E69" s="3" t="inlineStr">
        <is>
          <t>FULL</t>
        </is>
      </c>
      <c r="F69" s="7">
        <f>IF(B69="I1",AVERAGEIF('QA_Images'!$A$2:$A$66,A69,'QA_Images'!$T$2:$T$66)/100,IF(E69="FULL",1,IF(E69="PARTIAL",0.5,IF(E69="FAIL",0,""))))</f>
        <v/>
      </c>
      <c r="G69" s="7">
        <f>IF(F69="",0,D69*F69)</f>
        <v/>
      </c>
      <c r="H69" s="7">
        <f>IF(B69="I1",20*AVERAGEIF('QA_Images'!$A$2:$A$66,A69,'QA_Images'!$U$2:$U$66)/100,IF(E69="NOT_CHECKED",0,D69))</f>
        <v/>
      </c>
      <c r="I69" s="3" t="inlineStr">
        <is>
          <t>Live variants, selectable sizes/pillowcase rules, gallery facts and product type were independently re-read.</t>
        </is>
      </c>
      <c r="J69" s="3" t="inlineStr">
        <is>
          <t>["evidence_batch_001_007", "https://jeminise.com/products/celtic-and-fantasy-quilt-set-with-twisting-tree-trunk-and-exposed-roots-c7b1460bad-c7b1460bad", "serp_r7_007", "live_source_comparison.json", "visual_observations.json"]</t>
        </is>
      </c>
      <c r="K69" s="3" t="inlineStr">
        <is>
          <t>[]</t>
        </is>
      </c>
      <c r="L69" s="3" t="inlineStr">
        <is>
          <t>r7</t>
        </is>
      </c>
    </row>
    <row r="70" ht="42" customHeight="1">
      <c r="A70" s="2" t="inlineStr">
        <is>
          <t>jeminise.com+celtic-and-fantasy-quilt-set-with-twisting-tree-trunk-and-exposed-roots-c7b1460bad-c7b1460bad</t>
        </is>
      </c>
      <c r="B70" s="2" t="inlineStr">
        <is>
          <t>K1</t>
        </is>
      </c>
      <c r="C70" s="2" t="inlineStr">
        <is>
          <t>Primary keyword evidence</t>
        </is>
      </c>
      <c r="D70" s="2" t="n">
        <v>10</v>
      </c>
      <c r="E70" s="2" t="inlineStr">
        <is>
          <t>PARTIAL</t>
        </is>
      </c>
      <c r="F70" s="5">
        <f>IF(B70="I1",AVERAGEIF('QA_Images'!$A$2:$A$66,A70,'QA_Images'!$T$2:$T$66)/100,IF(E70="FULL",1,IF(E70="PARTIAL",0.5,IF(E70="FAIL",0,""))))</f>
        <v/>
      </c>
      <c r="G70" s="5">
        <f>IF(F70="",0,D70*F70)</f>
        <v/>
      </c>
      <c r="H70" s="5">
        <f>IF(B70="I1",20*AVERAGEIF('QA_Images'!$A$2:$A$66,A70,'QA_Images'!$U$2:$U$66)/100,IF(E70="NOT_CHECKED",0,D70))</f>
        <v/>
      </c>
      <c r="I70" s="2" t="inlineStr">
        <is>
          <t>Fresh US SERP supports related finished bedding intent, but the exact long-tail query remains niche/hypothesis-led.</t>
        </is>
      </c>
      <c r="J70" s="2" t="inlineStr">
        <is>
          <t>["evidence_batch_001_007", "https://jeminise.com/products/celtic-and-fantasy-quilt-set-with-twisting-tree-trunk-and-exposed-roots-c7b1460bad-c7b1460bad", "serp_r7_007", "live_source_comparison.json", "visual_observations.json"]</t>
        </is>
      </c>
      <c r="K70" s="2" t="inlineStr">
        <is>
          <t>[]</t>
        </is>
      </c>
      <c r="L70" s="2" t="inlineStr">
        <is>
          <t>r7</t>
        </is>
      </c>
    </row>
    <row r="71" ht="42" customHeight="1">
      <c r="A71" s="3" t="inlineStr">
        <is>
          <t>jeminise.com+celtic-and-fantasy-quilt-set-with-twisting-tree-trunk-and-exposed-roots-c7b1460bad-c7b1460bad</t>
        </is>
      </c>
      <c r="B71" s="3" t="inlineStr">
        <is>
          <t>K2</t>
        </is>
      </c>
      <c r="C71" s="3" t="inlineStr">
        <is>
          <t>SERP intent and comparator</t>
        </is>
      </c>
      <c r="D71" s="3" t="n">
        <v>5</v>
      </c>
      <c r="E71" s="3" t="inlineStr">
        <is>
          <t>FULL</t>
        </is>
      </c>
      <c r="F71" s="7">
        <f>IF(B71="I1",AVERAGEIF('QA_Images'!$A$2:$A$66,A71,'QA_Images'!$T$2:$T$66)/100,IF(E71="FULL",1,IF(E71="PARTIAL",0.5,IF(E71="FAIL",0,""))))</f>
        <v/>
      </c>
      <c r="G71" s="7">
        <f>IF(F71="",0,D71*F71)</f>
        <v/>
      </c>
      <c r="H71" s="7">
        <f>IF(B71="I1",20*AVERAGEIF('QA_Images'!$A$2:$A$66,A71,'QA_Images'!$U$2:$U$66)/100,IF(E71="NOT_CHECKED",0,D71))</f>
        <v/>
      </c>
      <c r="I71" s="3" t="inlineStr">
        <is>
          <t>Primary and nearest comparator show commercial finished-product intent.</t>
        </is>
      </c>
      <c r="J71" s="3" t="inlineStr">
        <is>
          <t>["evidence_batch_001_007", "https://jeminise.com/products/celtic-and-fantasy-quilt-set-with-twisting-tree-trunk-and-exposed-roots-c7b1460bad-c7b1460bad", "serp_r7_007", "live_source_comparison.json", "visual_observations.json"]</t>
        </is>
      </c>
      <c r="K71" s="3" t="inlineStr">
        <is>
          <t>[]</t>
        </is>
      </c>
      <c r="L71" s="3" t="inlineStr">
        <is>
          <t>r7</t>
        </is>
      </c>
    </row>
    <row r="72" ht="42" customHeight="1">
      <c r="A72" s="2" t="inlineStr">
        <is>
          <t>jeminise.com+celtic-and-fantasy-quilt-set-with-twisting-tree-trunk-and-exposed-roots-c7b1460bad-c7b1460bad</t>
        </is>
      </c>
      <c r="B72" s="2" t="inlineStr">
        <is>
          <t>K3</t>
        </is>
      </c>
      <c r="C72" s="2" t="inlineStr">
        <is>
          <t>Cannibalization differentiation</t>
        </is>
      </c>
      <c r="D72" s="2" t="n">
        <v>5</v>
      </c>
      <c r="E72" s="2" t="inlineStr">
        <is>
          <t>FULL</t>
        </is>
      </c>
      <c r="F72" s="5">
        <f>IF(B72="I1",AVERAGEIF('QA_Images'!$A$2:$A$66,A72,'QA_Images'!$T$2:$T$66)/100,IF(E72="FULL",1,IF(E72="PARTIAL",0.5,IF(E72="FAIL",0,""))))</f>
        <v/>
      </c>
      <c r="G72" s="5">
        <f>IF(F72="",0,D72*F72)</f>
        <v/>
      </c>
      <c r="H72" s="5">
        <f>IF(B72="I1",20*AVERAGEIF('QA_Images'!$A$2:$A$66,A72,'QA_Images'!$U$2:$U$66)/100,IF(E72="NOT_CHECKED",0,D72))</f>
        <v/>
      </c>
      <c r="I72" s="2" t="inlineStr">
        <is>
          <t>R7 keyword rows document a unique motif, collection/internal-link role and explicit sibling exclusions.</t>
        </is>
      </c>
      <c r="J72" s="2" t="inlineStr">
        <is>
          <t>["evidence_batch_001_007", "https://jeminise.com/products/celtic-and-fantasy-quilt-set-with-twisting-tree-trunk-and-exposed-roots-c7b1460bad-c7b1460bad", "serp_r7_007", "live_source_comparison.json", "visual_observations.json"]</t>
        </is>
      </c>
      <c r="K72" s="2" t="inlineStr">
        <is>
          <t>[]</t>
        </is>
      </c>
      <c r="L72" s="2" t="inlineStr">
        <is>
          <t>r7</t>
        </is>
      </c>
    </row>
    <row r="73" ht="42" customHeight="1">
      <c r="A73" s="3" t="inlineStr">
        <is>
          <t>jeminise.com+celtic-and-fantasy-quilt-set-with-twisting-tree-trunk-and-exposed-roots-c7b1460bad-c7b1460bad</t>
        </is>
      </c>
      <c r="B73" s="3" t="inlineStr">
        <is>
          <t>T1</t>
        </is>
      </c>
      <c r="C73" s="3" t="inlineStr">
        <is>
          <t>SEO title</t>
        </is>
      </c>
      <c r="D73" s="3" t="n">
        <v>10</v>
      </c>
      <c r="E73" s="3" t="inlineStr">
        <is>
          <t>FULL</t>
        </is>
      </c>
      <c r="F73" s="7">
        <f>IF(B73="I1",AVERAGEIF('QA_Images'!$A$2:$A$66,A73,'QA_Images'!$T$2:$T$66)/100,IF(E73="FULL",1,IF(E73="PARTIAL",0.5,IF(E73="FAIL",0,""))))</f>
        <v/>
      </c>
      <c r="G73" s="7">
        <f>IF(F73="",0,D73*F73)</f>
        <v/>
      </c>
      <c r="H73" s="7">
        <f>IF(B73="I1",20*AVERAGEIF('QA_Images'!$A$2:$A$66,A73,'QA_Images'!$U$2:$U$66)/100,IF(E73="NOT_CHECKED",0,D73))</f>
        <v/>
      </c>
      <c r="I73" s="3" t="inlineStr">
        <is>
          <t>SEO title is concise, clean, product-specific and aligned with verified motif/product type.</t>
        </is>
      </c>
      <c r="J73" s="3" t="inlineStr">
        <is>
          <t>["evidence_batch_001_007", "https://jeminise.com/products/celtic-and-fantasy-quilt-set-with-twisting-tree-trunk-and-exposed-roots-c7b1460bad-c7b1460bad", "serp_r7_007", "live_source_comparison.json", "visual_observations.json"]</t>
        </is>
      </c>
      <c r="K73" s="3" t="inlineStr">
        <is>
          <t>[]</t>
        </is>
      </c>
      <c r="L73" s="3" t="inlineStr">
        <is>
          <t>r7</t>
        </is>
      </c>
    </row>
    <row r="74" ht="42" customHeight="1">
      <c r="A74" s="2" t="inlineStr">
        <is>
          <t>jeminise.com+celtic-and-fantasy-quilt-set-with-twisting-tree-trunk-and-exposed-roots-c7b1460bad-c7b1460bad</t>
        </is>
      </c>
      <c r="B74" s="2" t="inlineStr">
        <is>
          <t>T2</t>
        </is>
      </c>
      <c r="C74" s="2" t="inlineStr">
        <is>
          <t>Proposed product title/H1</t>
        </is>
      </c>
      <c r="D74" s="2" t="n">
        <v>5</v>
      </c>
      <c r="E74" s="2" t="inlineStr">
        <is>
          <t>FULL</t>
        </is>
      </c>
      <c r="F74" s="5">
        <f>IF(B74="I1",AVERAGEIF('QA_Images'!$A$2:$A$66,A74,'QA_Images'!$T$2:$T$66)/100,IF(E74="FULL",1,IF(E74="PARTIAL",0.5,IF(E74="FAIL",0,""))))</f>
        <v/>
      </c>
      <c r="G74" s="5">
        <f>IF(F74="",0,D74*F74)</f>
        <v/>
      </c>
      <c r="H74" s="5">
        <f>IF(B74="I1",20*AVERAGEIF('QA_Images'!$A$2:$A$66,A74,'QA_Images'!$U$2:$U$66)/100,IF(E74="NOT_CHECKED",0,D74))</f>
        <v/>
      </c>
      <c r="I74" s="2" t="inlineStr">
        <is>
          <t>Proposed product title/H1 is concise, clean, product-specific and aligned with verified motif/product type.</t>
        </is>
      </c>
      <c r="J74" s="2" t="inlineStr">
        <is>
          <t>["evidence_batch_001_007", "https://jeminise.com/products/celtic-and-fantasy-quilt-set-with-twisting-tree-trunk-and-exposed-roots-c7b1460bad-c7b1460bad", "serp_r7_007", "live_source_comparison.json", "visual_observations.json"]</t>
        </is>
      </c>
      <c r="K74" s="2" t="inlineStr">
        <is>
          <t>[]</t>
        </is>
      </c>
      <c r="L74" s="2" t="inlineStr">
        <is>
          <t>r7</t>
        </is>
      </c>
    </row>
    <row r="75" ht="42" customHeight="1">
      <c r="A75" s="3" t="inlineStr">
        <is>
          <t>jeminise.com+celtic-and-fantasy-quilt-set-with-twisting-tree-trunk-and-exposed-roots-c7b1460bad-c7b1460bad</t>
        </is>
      </c>
      <c r="B75" s="3" t="inlineStr">
        <is>
          <t>D1</t>
        </is>
      </c>
      <c r="C75" s="3" t="inlineStr">
        <is>
          <t>Meta description</t>
        </is>
      </c>
      <c r="D75" s="3" t="n">
        <v>5</v>
      </c>
      <c r="E75" s="3" t="inlineStr">
        <is>
          <t>FULL</t>
        </is>
      </c>
      <c r="F75" s="7">
        <f>IF(B75="I1",AVERAGEIF('QA_Images'!$A$2:$A$66,A75,'QA_Images'!$T$2:$T$66)/100,IF(E75="FULL",1,IF(E75="PARTIAL",0.5,IF(E75="FAIL",0,""))))</f>
        <v/>
      </c>
      <c r="G75" s="7">
        <f>IF(F75="",0,D75*F75)</f>
        <v/>
      </c>
      <c r="H75" s="7">
        <f>IF(B75="I1",20*AVERAGEIF('QA_Images'!$A$2:$A$66,A75,'QA_Images'!$U$2:$U$66)/100,IF(E75="NOT_CHECKED",0,D75))</f>
        <v/>
      </c>
      <c r="I75" s="3" t="inlineStr">
        <is>
          <t>Meta description is complete, readable and evidence-led; 145–165 characters is treated only as editorial guidance.</t>
        </is>
      </c>
      <c r="J75" s="3" t="inlineStr">
        <is>
          <t>["evidence_batch_001_007", "https://jeminise.com/products/celtic-and-fantasy-quilt-set-with-twisting-tree-trunk-and-exposed-roots-c7b1460bad-c7b1460bad", "serp_r7_007", "live_source_comparison.json", "visual_observations.json"]</t>
        </is>
      </c>
      <c r="K75" s="3" t="inlineStr">
        <is>
          <t>[]</t>
        </is>
      </c>
      <c r="L75" s="3" t="inlineStr">
        <is>
          <t>r7</t>
        </is>
      </c>
    </row>
    <row r="76" ht="42" customHeight="1">
      <c r="A76" s="2" t="inlineStr">
        <is>
          <t>jeminise.com+celtic-and-fantasy-quilt-set-with-twisting-tree-trunk-and-exposed-roots-c7b1460bad-c7b1460bad</t>
        </is>
      </c>
      <c r="B76" s="2" t="inlineStr">
        <is>
          <t>D2</t>
        </is>
      </c>
      <c r="C76" s="2" t="inlineStr">
        <is>
          <t>Description HTML</t>
        </is>
      </c>
      <c r="D76" s="2" t="n">
        <v>10</v>
      </c>
      <c r="E76" s="2" t="inlineStr">
        <is>
          <t>FULL</t>
        </is>
      </c>
      <c r="F76" s="5">
        <f>IF(B76="I1",AVERAGEIF('QA_Images'!$A$2:$A$66,A76,'QA_Images'!$T$2:$T$66)/100,IF(E76="FULL",1,IF(E76="PARTIAL",0.5,IF(E76="FAIL",0,""))))</f>
        <v/>
      </c>
      <c r="G76" s="5">
        <f>IF(F76="",0,D76*F76)</f>
        <v/>
      </c>
      <c r="H76" s="5">
        <f>IF(B76="I1",20*AVERAGEIF('QA_Images'!$A$2:$A$66,A76,'QA_Images'!$U$2:$U$66)/100,IF(E76="NOT_CHECKED",0,D76))</f>
        <v/>
      </c>
      <c r="I76" s="2" t="inlineStr">
        <is>
          <t>Customer-facing copy is useful and source-backed.</t>
        </is>
      </c>
      <c r="J76" s="2" t="inlineStr">
        <is>
          <t>["evidence_batch_001_007", "https://jeminise.com/products/celtic-and-fantasy-quilt-set-with-twisting-tree-trunk-and-exposed-roots-c7b1460bad-c7b1460bad", "serp_r7_007", "live_source_comparison.json", "visual_observations.json"]</t>
        </is>
      </c>
      <c r="K76" s="2" t="inlineStr">
        <is>
          <t>[]</t>
        </is>
      </c>
      <c r="L76" s="2" t="inlineStr">
        <is>
          <t>r7</t>
        </is>
      </c>
    </row>
    <row r="77" ht="42" customHeight="1">
      <c r="A77" s="3" t="inlineStr">
        <is>
          <t>jeminise.com+celtic-and-fantasy-quilt-set-with-twisting-tree-trunk-and-exposed-roots-c7b1460bad-c7b1460bad</t>
        </is>
      </c>
      <c r="B77" s="3" t="inlineStr">
        <is>
          <t>I1</t>
        </is>
      </c>
      <c r="C77" s="3" t="inlineStr">
        <is>
          <t>Image/alt quality</t>
        </is>
      </c>
      <c r="D77" s="3" t="n">
        <v>20</v>
      </c>
      <c r="E77" s="3" t="inlineStr">
        <is>
          <t>DERIVED_FROM_IMAGES</t>
        </is>
      </c>
      <c r="F77" s="7">
        <f>IF(B77="I1",AVERAGEIF('QA_Images'!$A$2:$A$66,A77,'QA_Images'!$T$2:$T$66)/100,IF(E77="FULL",1,IF(E77="PARTIAL",0.5,IF(E77="FAIL",0,""))))</f>
        <v/>
      </c>
      <c r="G77" s="7">
        <f>IF(F77="",0,D77*F77)</f>
        <v/>
      </c>
      <c r="H77" s="7">
        <f>IF(B77="I1",20*AVERAGEIF('QA_Images'!$A$2:$A$66,A77,'QA_Images'!$U$2:$U$66)/100,IF(E77="NOT_CHECKED",0,D77))</f>
        <v/>
      </c>
      <c r="I77" s="3" t="inlineStr">
        <is>
          <t>Derived from 7 freshly opened images; every observation and SET alt matches the exact scene/panel.</t>
        </is>
      </c>
      <c r="J77" s="3" t="inlineStr">
        <is>
          <t>["evidence_batch_001_007", "https://jeminise.com/products/celtic-and-fantasy-quilt-set-with-twisting-tree-trunk-and-exposed-roots-c7b1460bad-c7b1460bad", "serp_r7_007", "live_source_comparison.json", "visual_observations.json"]</t>
        </is>
      </c>
      <c r="K77" s="3" t="inlineStr">
        <is>
          <t>[]</t>
        </is>
      </c>
      <c r="L77" s="3" t="inlineStr">
        <is>
          <t>r7</t>
        </is>
      </c>
    </row>
    <row r="78" ht="42" customHeight="1">
      <c r="A78" s="2" t="inlineStr">
        <is>
          <t>jeminise.com+celtic-and-fantasy-quilt-set-with-twisting-tree-trunk-and-exposed-roots-c7b1460bad-c7b1460bad</t>
        </is>
      </c>
      <c r="B78" s="2" t="inlineStr">
        <is>
          <t>E1</t>
        </is>
      </c>
      <c r="C78" s="2" t="inlineStr">
        <is>
          <t>Evidence traceability</t>
        </is>
      </c>
      <c r="D78" s="2" t="n">
        <v>5</v>
      </c>
      <c r="E78" s="2" t="inlineStr">
        <is>
          <t>PARTIAL</t>
        </is>
      </c>
      <c r="F78" s="5">
        <f>IF(B78="I1",AVERAGEIF('QA_Images'!$A$2:$A$66,A78,'QA_Images'!$T$2:$T$66)/100,IF(E78="FULL",1,IF(E78="PARTIAL",0.5,IF(E78="FAIL",0,""))))</f>
        <v/>
      </c>
      <c r="G78" s="5">
        <f>IF(F78="",0,D78*F78)</f>
        <v/>
      </c>
      <c r="H78" s="5">
        <f>IF(B78="I1",20*AVERAGEIF('QA_Images'!$A$2:$A$66,A78,'QA_Images'!$U$2:$U$66)/100,IF(E78="NOT_CHECKED",0,D78))</f>
        <v/>
      </c>
      <c r="I78" s="2" t="inlineStr">
        <is>
          <t>File/hash and evidence refs are clear, but row-level revision metadata and revision_summary still identify r5 inside the r7 package.</t>
        </is>
      </c>
      <c r="J78" s="2" t="inlineStr">
        <is>
          <t>["evidence_batch_001_007", "https://jeminise.com/products/celtic-and-fantasy-quilt-set-with-twisting-tree-trunk-and-exposed-roots-c7b1460bad-c7b1460bad", "serp_r7_007", "live_source_comparison.json", "visual_observations.json"]</t>
        </is>
      </c>
      <c r="K78" s="2" t="inlineStr">
        <is>
          <t>["R7-ISS-007-TRACE"]</t>
        </is>
      </c>
      <c r="L78" s="2" t="inlineStr">
        <is>
          <t>r7</t>
        </is>
      </c>
    </row>
    <row r="79" ht="42" customHeight="1">
      <c r="A79" s="3" t="inlineStr">
        <is>
          <t>jeminise.com+celtic-mythology-tree-of-life-quilt-set-with-celtic-knotwork-border-12786aba7e-12786aba7e</t>
        </is>
      </c>
      <c r="B79" s="3" t="inlineStr">
        <is>
          <t>P1</t>
        </is>
      </c>
      <c r="C79" s="3" t="inlineStr">
        <is>
          <t>Identity and source integrity</t>
        </is>
      </c>
      <c r="D79" s="3" t="n">
        <v>15</v>
      </c>
      <c r="E79" s="3" t="inlineStr">
        <is>
          <t>FULL</t>
        </is>
      </c>
      <c r="F79" s="7">
        <f>IF(B79="I1",AVERAGEIF('QA_Images'!$A$2:$A$66,A79,'QA_Images'!$T$2:$T$66)/100,IF(E79="FULL",1,IF(E79="PARTIAL",0.5,IF(E79="FAIL",0,""))))</f>
        <v/>
      </c>
      <c r="G79" s="7">
        <f>IF(F79="",0,D79*F79)</f>
        <v/>
      </c>
      <c r="H79" s="7">
        <f>IF(B79="I1",20*AVERAGEIF('QA_Images'!$A$2:$A$66,A79,'QA_Images'!$U$2:$U$66)/100,IF(E79="NOT_CHECKED",0,D79))</f>
        <v/>
      </c>
      <c r="I79" s="3" t="inlineStr">
        <is>
          <t>Product key, handle, ID, canonical, H1 and gallery identity match the live page/product JSON.</t>
        </is>
      </c>
      <c r="J79" s="3" t="inlineStr">
        <is>
          <t>["evidence_batch_001_008", "https://jeminise.com/products/celtic-mythology-tree-of-life-quilt-set-with-celtic-knotwork-border-12786aba7e-12786aba7e", "serp_r7_008", "live_source_comparison.json", "visual_observations.json"]</t>
        </is>
      </c>
      <c r="K79" s="3" t="inlineStr">
        <is>
          <t>[]</t>
        </is>
      </c>
      <c r="L79" s="3" t="inlineStr">
        <is>
          <t>r7</t>
        </is>
      </c>
    </row>
    <row r="80" ht="42" customHeight="1">
      <c r="A80" s="2" t="inlineStr">
        <is>
          <t>jeminise.com+celtic-mythology-tree-of-life-quilt-set-with-celtic-knotwork-border-12786aba7e-12786aba7e</t>
        </is>
      </c>
      <c r="B80" s="2" t="inlineStr">
        <is>
          <t>P2</t>
        </is>
      </c>
      <c r="C80" s="2" t="inlineStr">
        <is>
          <t>Product facts and purchase options</t>
        </is>
      </c>
      <c r="D80" s="2" t="n">
        <v>10</v>
      </c>
      <c r="E80" s="2" t="inlineStr">
        <is>
          <t>FULL</t>
        </is>
      </c>
      <c r="F80" s="5">
        <f>IF(B80="I1",AVERAGEIF('QA_Images'!$A$2:$A$66,A80,'QA_Images'!$T$2:$T$66)/100,IF(E80="FULL",1,IF(E80="PARTIAL",0.5,IF(E80="FAIL",0,""))))</f>
        <v/>
      </c>
      <c r="G80" s="5">
        <f>IF(F80="",0,D80*F80)</f>
        <v/>
      </c>
      <c r="H80" s="5">
        <f>IF(B80="I1",20*AVERAGEIF('QA_Images'!$A$2:$A$66,A80,'QA_Images'!$U$2:$U$66)/100,IF(E80="NOT_CHECKED",0,D80))</f>
        <v/>
      </c>
      <c r="I80" s="2" t="inlineStr">
        <is>
          <t>Live variants, selectable sizes/pillowcase rules, gallery facts and product type were independently re-read.</t>
        </is>
      </c>
      <c r="J80" s="2" t="inlineStr">
        <is>
          <t>["evidence_batch_001_008", "https://jeminise.com/products/celtic-mythology-tree-of-life-quilt-set-with-celtic-knotwork-border-12786aba7e-12786aba7e", "serp_r7_008", "live_source_comparison.json", "visual_observations.json"]</t>
        </is>
      </c>
      <c r="K80" s="2" t="inlineStr">
        <is>
          <t>[]</t>
        </is>
      </c>
      <c r="L80" s="2" t="inlineStr">
        <is>
          <t>r7</t>
        </is>
      </c>
    </row>
    <row r="81" ht="42" customHeight="1">
      <c r="A81" s="3" t="inlineStr">
        <is>
          <t>jeminise.com+celtic-mythology-tree-of-life-quilt-set-with-celtic-knotwork-border-12786aba7e-12786aba7e</t>
        </is>
      </c>
      <c r="B81" s="3" t="inlineStr">
        <is>
          <t>K1</t>
        </is>
      </c>
      <c r="C81" s="3" t="inlineStr">
        <is>
          <t>Primary keyword evidence</t>
        </is>
      </c>
      <c r="D81" s="3" t="n">
        <v>10</v>
      </c>
      <c r="E81" s="3" t="inlineStr">
        <is>
          <t>FULL</t>
        </is>
      </c>
      <c r="F81" s="7">
        <f>IF(B81="I1",AVERAGEIF('QA_Images'!$A$2:$A$66,A81,'QA_Images'!$T$2:$T$66)/100,IF(E81="FULL",1,IF(E81="PARTIAL",0.5,IF(E81="FAIL",0,""))))</f>
        <v/>
      </c>
      <c r="G81" s="7">
        <f>IF(F81="",0,D81*F81)</f>
        <v/>
      </c>
      <c r="H81" s="7">
        <f>IF(B81="I1",20*AVERAGEIF('QA_Images'!$A$2:$A$66,A81,'QA_Images'!$U$2:$U$66)/100,IF(E81="NOT_CHECKED",0,D81))</f>
        <v/>
      </c>
      <c r="I81" s="3" t="inlineStr">
        <is>
          <t>Fresh US SERP supports the selected finished-product query.</t>
        </is>
      </c>
      <c r="J81" s="3" t="inlineStr">
        <is>
          <t>["evidence_batch_001_008", "https://jeminise.com/products/celtic-mythology-tree-of-life-quilt-set-with-celtic-knotwork-border-12786aba7e-12786aba7e", "serp_r7_008", "live_source_comparison.json", "visual_observations.json"]</t>
        </is>
      </c>
      <c r="K81" s="3" t="inlineStr">
        <is>
          <t>[]</t>
        </is>
      </c>
      <c r="L81" s="3" t="inlineStr">
        <is>
          <t>r7</t>
        </is>
      </c>
    </row>
    <row r="82" ht="42" customHeight="1">
      <c r="A82" s="2" t="inlineStr">
        <is>
          <t>jeminise.com+celtic-mythology-tree-of-life-quilt-set-with-celtic-knotwork-border-12786aba7e-12786aba7e</t>
        </is>
      </c>
      <c r="B82" s="2" t="inlineStr">
        <is>
          <t>K2</t>
        </is>
      </c>
      <c r="C82" s="2" t="inlineStr">
        <is>
          <t>SERP intent and comparator</t>
        </is>
      </c>
      <c r="D82" s="2" t="n">
        <v>5</v>
      </c>
      <c r="E82" s="2" t="inlineStr">
        <is>
          <t>FULL</t>
        </is>
      </c>
      <c r="F82" s="5">
        <f>IF(B82="I1",AVERAGEIF('QA_Images'!$A$2:$A$66,A82,'QA_Images'!$T$2:$T$66)/100,IF(E82="FULL",1,IF(E82="PARTIAL",0.5,IF(E82="FAIL",0,""))))</f>
        <v/>
      </c>
      <c r="G82" s="5">
        <f>IF(F82="",0,D82*F82)</f>
        <v/>
      </c>
      <c r="H82" s="5">
        <f>IF(B82="I1",20*AVERAGEIF('QA_Images'!$A$2:$A$66,A82,'QA_Images'!$U$2:$U$66)/100,IF(E82="NOT_CHECKED",0,D82))</f>
        <v/>
      </c>
      <c r="I82" s="2" t="inlineStr">
        <is>
          <t>Primary and nearest comparator show commercial finished-product intent.</t>
        </is>
      </c>
      <c r="J82" s="2" t="inlineStr">
        <is>
          <t>["evidence_batch_001_008", "https://jeminise.com/products/celtic-mythology-tree-of-life-quilt-set-with-celtic-knotwork-border-12786aba7e-12786aba7e", "serp_r7_008", "live_source_comparison.json", "visual_observations.json"]</t>
        </is>
      </c>
      <c r="K82" s="2" t="inlineStr">
        <is>
          <t>[]</t>
        </is>
      </c>
      <c r="L82" s="2" t="inlineStr">
        <is>
          <t>r7</t>
        </is>
      </c>
    </row>
    <row r="83" ht="42" customHeight="1">
      <c r="A83" s="3" t="inlineStr">
        <is>
          <t>jeminise.com+celtic-mythology-tree-of-life-quilt-set-with-celtic-knotwork-border-12786aba7e-12786aba7e</t>
        </is>
      </c>
      <c r="B83" s="3" t="inlineStr">
        <is>
          <t>K3</t>
        </is>
      </c>
      <c r="C83" s="3" t="inlineStr">
        <is>
          <t>Cannibalization differentiation</t>
        </is>
      </c>
      <c r="D83" s="3" t="n">
        <v>5</v>
      </c>
      <c r="E83" s="3" t="inlineStr">
        <is>
          <t>FULL</t>
        </is>
      </c>
      <c r="F83" s="7">
        <f>IF(B83="I1",AVERAGEIF('QA_Images'!$A$2:$A$66,A83,'QA_Images'!$T$2:$T$66)/100,IF(E83="FULL",1,IF(E83="PARTIAL",0.5,IF(E83="FAIL",0,""))))</f>
        <v/>
      </c>
      <c r="G83" s="7">
        <f>IF(F83="",0,D83*F83)</f>
        <v/>
      </c>
      <c r="H83" s="7">
        <f>IF(B83="I1",20*AVERAGEIF('QA_Images'!$A$2:$A$66,A83,'QA_Images'!$U$2:$U$66)/100,IF(E83="NOT_CHECKED",0,D83))</f>
        <v/>
      </c>
      <c r="I83" s="3" t="inlineStr">
        <is>
          <t>R7 keyword rows document a unique motif, collection/internal-link role and explicit sibling exclusions.</t>
        </is>
      </c>
      <c r="J83" s="3" t="inlineStr">
        <is>
          <t>["evidence_batch_001_008", "https://jeminise.com/products/celtic-mythology-tree-of-life-quilt-set-with-celtic-knotwork-border-12786aba7e-12786aba7e", "serp_r7_008", "live_source_comparison.json", "visual_observations.json"]</t>
        </is>
      </c>
      <c r="K83" s="3" t="inlineStr">
        <is>
          <t>[]</t>
        </is>
      </c>
      <c r="L83" s="3" t="inlineStr">
        <is>
          <t>r7</t>
        </is>
      </c>
    </row>
    <row r="84" ht="42" customHeight="1">
      <c r="A84" s="2" t="inlineStr">
        <is>
          <t>jeminise.com+celtic-mythology-tree-of-life-quilt-set-with-celtic-knotwork-border-12786aba7e-12786aba7e</t>
        </is>
      </c>
      <c r="B84" s="2" t="inlineStr">
        <is>
          <t>T1</t>
        </is>
      </c>
      <c r="C84" s="2" t="inlineStr">
        <is>
          <t>SEO title</t>
        </is>
      </c>
      <c r="D84" s="2" t="n">
        <v>10</v>
      </c>
      <c r="E84" s="2" t="inlineStr">
        <is>
          <t>FULL</t>
        </is>
      </c>
      <c r="F84" s="5">
        <f>IF(B84="I1",AVERAGEIF('QA_Images'!$A$2:$A$66,A84,'QA_Images'!$T$2:$T$66)/100,IF(E84="FULL",1,IF(E84="PARTIAL",0.5,IF(E84="FAIL",0,""))))</f>
        <v/>
      </c>
      <c r="G84" s="5">
        <f>IF(F84="",0,D84*F84)</f>
        <v/>
      </c>
      <c r="H84" s="5">
        <f>IF(B84="I1",20*AVERAGEIF('QA_Images'!$A$2:$A$66,A84,'QA_Images'!$U$2:$U$66)/100,IF(E84="NOT_CHECKED",0,D84))</f>
        <v/>
      </c>
      <c r="I84" s="2" t="inlineStr">
        <is>
          <t>SEO title is concise, clean, product-specific and aligned with verified motif/product type.</t>
        </is>
      </c>
      <c r="J84" s="2" t="inlineStr">
        <is>
          <t>["evidence_batch_001_008", "https://jeminise.com/products/celtic-mythology-tree-of-life-quilt-set-with-celtic-knotwork-border-12786aba7e-12786aba7e", "serp_r7_008", "live_source_comparison.json", "visual_observations.json"]</t>
        </is>
      </c>
      <c r="K84" s="2" t="inlineStr">
        <is>
          <t>[]</t>
        </is>
      </c>
      <c r="L84" s="2" t="inlineStr">
        <is>
          <t>r7</t>
        </is>
      </c>
    </row>
    <row r="85" ht="42" customHeight="1">
      <c r="A85" s="3" t="inlineStr">
        <is>
          <t>jeminise.com+celtic-mythology-tree-of-life-quilt-set-with-celtic-knotwork-border-12786aba7e-12786aba7e</t>
        </is>
      </c>
      <c r="B85" s="3" t="inlineStr">
        <is>
          <t>T2</t>
        </is>
      </c>
      <c r="C85" s="3" t="inlineStr">
        <is>
          <t>Proposed product title/H1</t>
        </is>
      </c>
      <c r="D85" s="3" t="n">
        <v>5</v>
      </c>
      <c r="E85" s="3" t="inlineStr">
        <is>
          <t>FULL</t>
        </is>
      </c>
      <c r="F85" s="7">
        <f>IF(B85="I1",AVERAGEIF('QA_Images'!$A$2:$A$66,A85,'QA_Images'!$T$2:$T$66)/100,IF(E85="FULL",1,IF(E85="PARTIAL",0.5,IF(E85="FAIL",0,""))))</f>
        <v/>
      </c>
      <c r="G85" s="7">
        <f>IF(F85="",0,D85*F85)</f>
        <v/>
      </c>
      <c r="H85" s="7">
        <f>IF(B85="I1",20*AVERAGEIF('QA_Images'!$A$2:$A$66,A85,'QA_Images'!$U$2:$U$66)/100,IF(E85="NOT_CHECKED",0,D85))</f>
        <v/>
      </c>
      <c r="I85" s="3" t="inlineStr">
        <is>
          <t>Proposed product title/H1 is concise, clean, product-specific and aligned with verified motif/product type.</t>
        </is>
      </c>
      <c r="J85" s="3" t="inlineStr">
        <is>
          <t>["evidence_batch_001_008", "https://jeminise.com/products/celtic-mythology-tree-of-life-quilt-set-with-celtic-knotwork-border-12786aba7e-12786aba7e", "serp_r7_008", "live_source_comparison.json", "visual_observations.json"]</t>
        </is>
      </c>
      <c r="K85" s="3" t="inlineStr">
        <is>
          <t>[]</t>
        </is>
      </c>
      <c r="L85" s="3" t="inlineStr">
        <is>
          <t>r7</t>
        </is>
      </c>
    </row>
    <row r="86" ht="42" customHeight="1">
      <c r="A86" s="2" t="inlineStr">
        <is>
          <t>jeminise.com+celtic-mythology-tree-of-life-quilt-set-with-celtic-knotwork-border-12786aba7e-12786aba7e</t>
        </is>
      </c>
      <c r="B86" s="2" t="inlineStr">
        <is>
          <t>D1</t>
        </is>
      </c>
      <c r="C86" s="2" t="inlineStr">
        <is>
          <t>Meta description</t>
        </is>
      </c>
      <c r="D86" s="2" t="n">
        <v>5</v>
      </c>
      <c r="E86" s="2" t="inlineStr">
        <is>
          <t>FULL</t>
        </is>
      </c>
      <c r="F86" s="5">
        <f>IF(B86="I1",AVERAGEIF('QA_Images'!$A$2:$A$66,A86,'QA_Images'!$T$2:$T$66)/100,IF(E86="FULL",1,IF(E86="PARTIAL",0.5,IF(E86="FAIL",0,""))))</f>
        <v/>
      </c>
      <c r="G86" s="5">
        <f>IF(F86="",0,D86*F86)</f>
        <v/>
      </c>
      <c r="H86" s="5">
        <f>IF(B86="I1",20*AVERAGEIF('QA_Images'!$A$2:$A$66,A86,'QA_Images'!$U$2:$U$66)/100,IF(E86="NOT_CHECKED",0,D86))</f>
        <v/>
      </c>
      <c r="I86" s="2" t="inlineStr">
        <is>
          <t>Meta description is complete, readable and evidence-led; 145–165 characters is treated only as editorial guidance.</t>
        </is>
      </c>
      <c r="J86" s="2" t="inlineStr">
        <is>
          <t>["evidence_batch_001_008", "https://jeminise.com/products/celtic-mythology-tree-of-life-quilt-set-with-celtic-knotwork-border-12786aba7e-12786aba7e", "serp_r7_008", "live_source_comparison.json", "visual_observations.json"]</t>
        </is>
      </c>
      <c r="K86" s="2" t="inlineStr">
        <is>
          <t>[]</t>
        </is>
      </c>
      <c r="L86" s="2" t="inlineStr">
        <is>
          <t>r7</t>
        </is>
      </c>
    </row>
    <row r="87" ht="42" customHeight="1">
      <c r="A87" s="3" t="inlineStr">
        <is>
          <t>jeminise.com+celtic-mythology-tree-of-life-quilt-set-with-celtic-knotwork-border-12786aba7e-12786aba7e</t>
        </is>
      </c>
      <c r="B87" s="3" t="inlineStr">
        <is>
          <t>D2</t>
        </is>
      </c>
      <c r="C87" s="3" t="inlineStr">
        <is>
          <t>Description HTML</t>
        </is>
      </c>
      <c r="D87" s="3" t="n">
        <v>10</v>
      </c>
      <c r="E87" s="3" t="inlineStr">
        <is>
          <t>FULL</t>
        </is>
      </c>
      <c r="F87" s="7">
        <f>IF(B87="I1",AVERAGEIF('QA_Images'!$A$2:$A$66,A87,'QA_Images'!$T$2:$T$66)/100,IF(E87="FULL",1,IF(E87="PARTIAL",0.5,IF(E87="FAIL",0,""))))</f>
        <v/>
      </c>
      <c r="G87" s="7">
        <f>IF(F87="",0,D87*F87)</f>
        <v/>
      </c>
      <c r="H87" s="7">
        <f>IF(B87="I1",20*AVERAGEIF('QA_Images'!$A$2:$A$66,A87,'QA_Images'!$U$2:$U$66)/100,IF(E87="NOT_CHECKED",0,D87))</f>
        <v/>
      </c>
      <c r="I87" s="3" t="inlineStr">
        <is>
          <t>Customer-facing copy is useful and source-backed.</t>
        </is>
      </c>
      <c r="J87" s="3" t="inlineStr">
        <is>
          <t>["evidence_batch_001_008", "https://jeminise.com/products/celtic-mythology-tree-of-life-quilt-set-with-celtic-knotwork-border-12786aba7e-12786aba7e", "serp_r7_008", "live_source_comparison.json", "visual_observations.json"]</t>
        </is>
      </c>
      <c r="K87" s="3" t="inlineStr">
        <is>
          <t>[]</t>
        </is>
      </c>
      <c r="L87" s="3" t="inlineStr">
        <is>
          <t>r7</t>
        </is>
      </c>
    </row>
    <row r="88" ht="42" customHeight="1">
      <c r="A88" s="2" t="inlineStr">
        <is>
          <t>jeminise.com+celtic-mythology-tree-of-life-quilt-set-with-celtic-knotwork-border-12786aba7e-12786aba7e</t>
        </is>
      </c>
      <c r="B88" s="2" t="inlineStr">
        <is>
          <t>I1</t>
        </is>
      </c>
      <c r="C88" s="2" t="inlineStr">
        <is>
          <t>Image/alt quality</t>
        </is>
      </c>
      <c r="D88" s="2" t="n">
        <v>20</v>
      </c>
      <c r="E88" s="2" t="inlineStr">
        <is>
          <t>DERIVED_FROM_IMAGES</t>
        </is>
      </c>
      <c r="F88" s="5">
        <f>IF(B88="I1",AVERAGEIF('QA_Images'!$A$2:$A$66,A88,'QA_Images'!$T$2:$T$66)/100,IF(E88="FULL",1,IF(E88="PARTIAL",0.5,IF(E88="FAIL",0,""))))</f>
        <v/>
      </c>
      <c r="G88" s="5">
        <f>IF(F88="",0,D88*F88)</f>
        <v/>
      </c>
      <c r="H88" s="5">
        <f>IF(B88="I1",20*AVERAGEIF('QA_Images'!$A$2:$A$66,A88,'QA_Images'!$U$2:$U$66)/100,IF(E88="NOT_CHECKED",0,D88))</f>
        <v/>
      </c>
      <c r="I88" s="2" t="inlineStr">
        <is>
          <t>Derived from 7 freshly opened images; every observation and SET alt matches the exact scene/panel.</t>
        </is>
      </c>
      <c r="J88" s="2" t="inlineStr">
        <is>
          <t>["evidence_batch_001_008", "https://jeminise.com/products/celtic-mythology-tree-of-life-quilt-set-with-celtic-knotwork-border-12786aba7e-12786aba7e", "serp_r7_008", "live_source_comparison.json", "visual_observations.json"]</t>
        </is>
      </c>
      <c r="K88" s="2" t="inlineStr">
        <is>
          <t>[]</t>
        </is>
      </c>
      <c r="L88" s="2" t="inlineStr">
        <is>
          <t>r7</t>
        </is>
      </c>
    </row>
    <row r="89" ht="42" customHeight="1">
      <c r="A89" s="3" t="inlineStr">
        <is>
          <t>jeminise.com+celtic-mythology-tree-of-life-quilt-set-with-celtic-knotwork-border-12786aba7e-12786aba7e</t>
        </is>
      </c>
      <c r="B89" s="3" t="inlineStr">
        <is>
          <t>E1</t>
        </is>
      </c>
      <c r="C89" s="3" t="inlineStr">
        <is>
          <t>Evidence traceability</t>
        </is>
      </c>
      <c r="D89" s="3" t="n">
        <v>5</v>
      </c>
      <c r="E89" s="3" t="inlineStr">
        <is>
          <t>PARTIAL</t>
        </is>
      </c>
      <c r="F89" s="7">
        <f>IF(B89="I1",AVERAGEIF('QA_Images'!$A$2:$A$66,A89,'QA_Images'!$T$2:$T$66)/100,IF(E89="FULL",1,IF(E89="PARTIAL",0.5,IF(E89="FAIL",0,""))))</f>
        <v/>
      </c>
      <c r="G89" s="7">
        <f>IF(F89="",0,D89*F89)</f>
        <v/>
      </c>
      <c r="H89" s="7">
        <f>IF(B89="I1",20*AVERAGEIF('QA_Images'!$A$2:$A$66,A89,'QA_Images'!$U$2:$U$66)/100,IF(E89="NOT_CHECKED",0,D89))</f>
        <v/>
      </c>
      <c r="I89" s="3" t="inlineStr">
        <is>
          <t>File/hash and evidence refs are clear, but row-level revision metadata and revision_summary still identify r5 inside the r7 package.</t>
        </is>
      </c>
      <c r="J89" s="3" t="inlineStr">
        <is>
          <t>["evidence_batch_001_008", "https://jeminise.com/products/celtic-mythology-tree-of-life-quilt-set-with-celtic-knotwork-border-12786aba7e-12786aba7e", "serp_r7_008", "live_source_comparison.json", "visual_observations.json"]</t>
        </is>
      </c>
      <c r="K89" s="3" t="inlineStr">
        <is>
          <t>["R7-ISS-008-TRACE"]</t>
        </is>
      </c>
      <c r="L89" s="3" t="inlineStr">
        <is>
          <t>r7</t>
        </is>
      </c>
    </row>
    <row r="90" ht="42" customHeight="1">
      <c r="A90" s="2" t="inlineStr">
        <is>
          <t>jeminise.com+chicken-pattern-quilt-set-animal-patchwork-farmhouse-quilt-set</t>
        </is>
      </c>
      <c r="B90" s="2" t="inlineStr">
        <is>
          <t>P1</t>
        </is>
      </c>
      <c r="C90" s="2" t="inlineStr">
        <is>
          <t>Identity and source integrity</t>
        </is>
      </c>
      <c r="D90" s="2" t="n">
        <v>15</v>
      </c>
      <c r="E90" s="2" t="inlineStr">
        <is>
          <t>FULL</t>
        </is>
      </c>
      <c r="F90" s="5">
        <f>IF(B90="I1",AVERAGEIF('QA_Images'!$A$2:$A$66,A90,'QA_Images'!$T$2:$T$66)/100,IF(E90="FULL",1,IF(E90="PARTIAL",0.5,IF(E90="FAIL",0,""))))</f>
        <v/>
      </c>
      <c r="G90" s="5">
        <f>IF(F90="",0,D90*F90)</f>
        <v/>
      </c>
      <c r="H90" s="5">
        <f>IF(B90="I1",20*AVERAGEIF('QA_Images'!$A$2:$A$66,A90,'QA_Images'!$U$2:$U$66)/100,IF(E90="NOT_CHECKED",0,D90))</f>
        <v/>
      </c>
      <c r="I90" s="2" t="inlineStr">
        <is>
          <t>Product key, handle, ID, canonical, H1 and gallery identity match the live page/product JSON.</t>
        </is>
      </c>
      <c r="J90" s="2" t="inlineStr">
        <is>
          <t>["evidence_batch_001_009", "https://jeminise.com/products/chicken-pattern-quilt-set-animal-patchwork-farmhouse-quilt-set", "serp_r7_009", "live_source_comparison.json", "visual_observations.json"]</t>
        </is>
      </c>
      <c r="K90" s="2" t="inlineStr">
        <is>
          <t>[]</t>
        </is>
      </c>
      <c r="L90" s="2" t="inlineStr">
        <is>
          <t>r7</t>
        </is>
      </c>
    </row>
    <row r="91" ht="42" customHeight="1">
      <c r="A91" s="3" t="inlineStr">
        <is>
          <t>jeminise.com+chicken-pattern-quilt-set-animal-patchwork-farmhouse-quilt-set</t>
        </is>
      </c>
      <c r="B91" s="3" t="inlineStr">
        <is>
          <t>P2</t>
        </is>
      </c>
      <c r="C91" s="3" t="inlineStr">
        <is>
          <t>Product facts and purchase options</t>
        </is>
      </c>
      <c r="D91" s="3" t="n">
        <v>10</v>
      </c>
      <c r="E91" s="3" t="inlineStr">
        <is>
          <t>FULL</t>
        </is>
      </c>
      <c r="F91" s="7">
        <f>IF(B91="I1",AVERAGEIF('QA_Images'!$A$2:$A$66,A91,'QA_Images'!$T$2:$T$66)/100,IF(E91="FULL",1,IF(E91="PARTIAL",0.5,IF(E91="FAIL",0,""))))</f>
        <v/>
      </c>
      <c r="G91" s="7">
        <f>IF(F91="",0,D91*F91)</f>
        <v/>
      </c>
      <c r="H91" s="7">
        <f>IF(B91="I1",20*AVERAGEIF('QA_Images'!$A$2:$A$66,A91,'QA_Images'!$U$2:$U$66)/100,IF(E91="NOT_CHECKED",0,D91))</f>
        <v/>
      </c>
      <c r="I91" s="3" t="inlineStr">
        <is>
          <t>Live variants, selectable sizes/pillowcase rules, gallery facts and product type were independently re-read.</t>
        </is>
      </c>
      <c r="J91" s="3" t="inlineStr">
        <is>
          <t>["evidence_batch_001_009", "https://jeminise.com/products/chicken-pattern-quilt-set-animal-patchwork-farmhouse-quilt-set", "serp_r7_009", "live_source_comparison.json", "visual_observations.json"]</t>
        </is>
      </c>
      <c r="K91" s="3" t="inlineStr">
        <is>
          <t>[]</t>
        </is>
      </c>
      <c r="L91" s="3" t="inlineStr">
        <is>
          <t>r7</t>
        </is>
      </c>
    </row>
    <row r="92" ht="42" customHeight="1">
      <c r="A92" s="2" t="inlineStr">
        <is>
          <t>jeminise.com+chicken-pattern-quilt-set-animal-patchwork-farmhouse-quilt-set</t>
        </is>
      </c>
      <c r="B92" s="2" t="inlineStr">
        <is>
          <t>K1</t>
        </is>
      </c>
      <c r="C92" s="2" t="inlineStr">
        <is>
          <t>Primary keyword evidence</t>
        </is>
      </c>
      <c r="D92" s="2" t="n">
        <v>10</v>
      </c>
      <c r="E92" s="2" t="inlineStr">
        <is>
          <t>FULL</t>
        </is>
      </c>
      <c r="F92" s="5">
        <f>IF(B92="I1",AVERAGEIF('QA_Images'!$A$2:$A$66,A92,'QA_Images'!$T$2:$T$66)/100,IF(E92="FULL",1,IF(E92="PARTIAL",0.5,IF(E92="FAIL",0,""))))</f>
        <v/>
      </c>
      <c r="G92" s="5">
        <f>IF(F92="",0,D92*F92)</f>
        <v/>
      </c>
      <c r="H92" s="5">
        <f>IF(B92="I1",20*AVERAGEIF('QA_Images'!$A$2:$A$66,A92,'QA_Images'!$U$2:$U$66)/100,IF(E92="NOT_CHECKED",0,D92))</f>
        <v/>
      </c>
      <c r="I92" s="2" t="inlineStr">
        <is>
          <t>Fresh US SERP supports the selected finished-product query.</t>
        </is>
      </c>
      <c r="J92" s="2" t="inlineStr">
        <is>
          <t>["evidence_batch_001_009", "https://jeminise.com/products/chicken-pattern-quilt-set-animal-patchwork-farmhouse-quilt-set", "serp_r7_009", "live_source_comparison.json", "visual_observations.json"]</t>
        </is>
      </c>
      <c r="K92" s="2" t="inlineStr">
        <is>
          <t>[]</t>
        </is>
      </c>
      <c r="L92" s="2" t="inlineStr">
        <is>
          <t>r7</t>
        </is>
      </c>
    </row>
    <row r="93" ht="42" customHeight="1">
      <c r="A93" s="3" t="inlineStr">
        <is>
          <t>jeminise.com+chicken-pattern-quilt-set-animal-patchwork-farmhouse-quilt-set</t>
        </is>
      </c>
      <c r="B93" s="3" t="inlineStr">
        <is>
          <t>K2</t>
        </is>
      </c>
      <c r="C93" s="3" t="inlineStr">
        <is>
          <t>SERP intent and comparator</t>
        </is>
      </c>
      <c r="D93" s="3" t="n">
        <v>5</v>
      </c>
      <c r="E93" s="3" t="inlineStr">
        <is>
          <t>FULL</t>
        </is>
      </c>
      <c r="F93" s="7">
        <f>IF(B93="I1",AVERAGEIF('QA_Images'!$A$2:$A$66,A93,'QA_Images'!$T$2:$T$66)/100,IF(E93="FULL",1,IF(E93="PARTIAL",0.5,IF(E93="FAIL",0,""))))</f>
        <v/>
      </c>
      <c r="G93" s="7">
        <f>IF(F93="",0,D93*F93)</f>
        <v/>
      </c>
      <c r="H93" s="7">
        <f>IF(B93="I1",20*AVERAGEIF('QA_Images'!$A$2:$A$66,A93,'QA_Images'!$U$2:$U$66)/100,IF(E93="NOT_CHECKED",0,D93))</f>
        <v/>
      </c>
      <c r="I93" s="3" t="inlineStr">
        <is>
          <t>Primary and nearest comparator show commercial finished-product intent.</t>
        </is>
      </c>
      <c r="J93" s="3" t="inlineStr">
        <is>
          <t>["evidence_batch_001_009", "https://jeminise.com/products/chicken-pattern-quilt-set-animal-patchwork-farmhouse-quilt-set", "serp_r7_009", "live_source_comparison.json", "visual_observations.json"]</t>
        </is>
      </c>
      <c r="K93" s="3" t="inlineStr">
        <is>
          <t>[]</t>
        </is>
      </c>
      <c r="L93" s="3" t="inlineStr">
        <is>
          <t>r7</t>
        </is>
      </c>
    </row>
    <row r="94" ht="42" customHeight="1">
      <c r="A94" s="2" t="inlineStr">
        <is>
          <t>jeminise.com+chicken-pattern-quilt-set-animal-patchwork-farmhouse-quilt-set</t>
        </is>
      </c>
      <c r="B94" s="2" t="inlineStr">
        <is>
          <t>K3</t>
        </is>
      </c>
      <c r="C94" s="2" t="inlineStr">
        <is>
          <t>Cannibalization differentiation</t>
        </is>
      </c>
      <c r="D94" s="2" t="n">
        <v>5</v>
      </c>
      <c r="E94" s="2" t="inlineStr">
        <is>
          <t>FULL</t>
        </is>
      </c>
      <c r="F94" s="5">
        <f>IF(B94="I1",AVERAGEIF('QA_Images'!$A$2:$A$66,A94,'QA_Images'!$T$2:$T$66)/100,IF(E94="FULL",1,IF(E94="PARTIAL",0.5,IF(E94="FAIL",0,""))))</f>
        <v/>
      </c>
      <c r="G94" s="5">
        <f>IF(F94="",0,D94*F94)</f>
        <v/>
      </c>
      <c r="H94" s="5">
        <f>IF(B94="I1",20*AVERAGEIF('QA_Images'!$A$2:$A$66,A94,'QA_Images'!$U$2:$U$66)/100,IF(E94="NOT_CHECKED",0,D94))</f>
        <v/>
      </c>
      <c r="I94" s="2" t="inlineStr">
        <is>
          <t>R7 keyword rows document a unique motif, collection/internal-link role and explicit sibling exclusions.</t>
        </is>
      </c>
      <c r="J94" s="2" t="inlineStr">
        <is>
          <t>["evidence_batch_001_009", "https://jeminise.com/products/chicken-pattern-quilt-set-animal-patchwork-farmhouse-quilt-set", "serp_r7_009", "live_source_comparison.json", "visual_observations.json"]</t>
        </is>
      </c>
      <c r="K94" s="2" t="inlineStr">
        <is>
          <t>[]</t>
        </is>
      </c>
      <c r="L94" s="2" t="inlineStr">
        <is>
          <t>r7</t>
        </is>
      </c>
    </row>
    <row r="95" ht="42" customHeight="1">
      <c r="A95" s="3" t="inlineStr">
        <is>
          <t>jeminise.com+chicken-pattern-quilt-set-animal-patchwork-farmhouse-quilt-set</t>
        </is>
      </c>
      <c r="B95" s="3" t="inlineStr">
        <is>
          <t>T1</t>
        </is>
      </c>
      <c r="C95" s="3" t="inlineStr">
        <is>
          <t>SEO title</t>
        </is>
      </c>
      <c r="D95" s="3" t="n">
        <v>10</v>
      </c>
      <c r="E95" s="3" t="inlineStr">
        <is>
          <t>FULL</t>
        </is>
      </c>
      <c r="F95" s="7">
        <f>IF(B95="I1",AVERAGEIF('QA_Images'!$A$2:$A$66,A95,'QA_Images'!$T$2:$T$66)/100,IF(E95="FULL",1,IF(E95="PARTIAL",0.5,IF(E95="FAIL",0,""))))</f>
        <v/>
      </c>
      <c r="G95" s="7">
        <f>IF(F95="",0,D95*F95)</f>
        <v/>
      </c>
      <c r="H95" s="7">
        <f>IF(B95="I1",20*AVERAGEIF('QA_Images'!$A$2:$A$66,A95,'QA_Images'!$U$2:$U$66)/100,IF(E95="NOT_CHECKED",0,D95))</f>
        <v/>
      </c>
      <c r="I95" s="3" t="inlineStr">
        <is>
          <t>SEO title is concise, clean, product-specific and aligned with verified motif/product type.</t>
        </is>
      </c>
      <c r="J95" s="3" t="inlineStr">
        <is>
          <t>["evidence_batch_001_009", "https://jeminise.com/products/chicken-pattern-quilt-set-animal-patchwork-farmhouse-quilt-set", "serp_r7_009", "live_source_comparison.json", "visual_observations.json"]</t>
        </is>
      </c>
      <c r="K95" s="3" t="inlineStr">
        <is>
          <t>[]</t>
        </is>
      </c>
      <c r="L95" s="3" t="inlineStr">
        <is>
          <t>r7</t>
        </is>
      </c>
    </row>
    <row r="96" ht="42" customHeight="1">
      <c r="A96" s="2" t="inlineStr">
        <is>
          <t>jeminise.com+chicken-pattern-quilt-set-animal-patchwork-farmhouse-quilt-set</t>
        </is>
      </c>
      <c r="B96" s="2" t="inlineStr">
        <is>
          <t>T2</t>
        </is>
      </c>
      <c r="C96" s="2" t="inlineStr">
        <is>
          <t>Proposed product title/H1</t>
        </is>
      </c>
      <c r="D96" s="2" t="n">
        <v>5</v>
      </c>
      <c r="E96" s="2" t="inlineStr">
        <is>
          <t>FULL</t>
        </is>
      </c>
      <c r="F96" s="5">
        <f>IF(B96="I1",AVERAGEIF('QA_Images'!$A$2:$A$66,A96,'QA_Images'!$T$2:$T$66)/100,IF(E96="FULL",1,IF(E96="PARTIAL",0.5,IF(E96="FAIL",0,""))))</f>
        <v/>
      </c>
      <c r="G96" s="5">
        <f>IF(F96="",0,D96*F96)</f>
        <v/>
      </c>
      <c r="H96" s="5">
        <f>IF(B96="I1",20*AVERAGEIF('QA_Images'!$A$2:$A$66,A96,'QA_Images'!$U$2:$U$66)/100,IF(E96="NOT_CHECKED",0,D96))</f>
        <v/>
      </c>
      <c r="I96" s="2" t="inlineStr">
        <is>
          <t>Proposed product title/H1 is concise, clean, product-specific and aligned with verified motif/product type.</t>
        </is>
      </c>
      <c r="J96" s="2" t="inlineStr">
        <is>
          <t>["evidence_batch_001_009", "https://jeminise.com/products/chicken-pattern-quilt-set-animal-patchwork-farmhouse-quilt-set", "serp_r7_009", "live_source_comparison.json", "visual_observations.json"]</t>
        </is>
      </c>
      <c r="K96" s="2" t="inlineStr">
        <is>
          <t>[]</t>
        </is>
      </c>
      <c r="L96" s="2" t="inlineStr">
        <is>
          <t>r7</t>
        </is>
      </c>
    </row>
    <row r="97" ht="42" customHeight="1">
      <c r="A97" s="3" t="inlineStr">
        <is>
          <t>jeminise.com+chicken-pattern-quilt-set-animal-patchwork-farmhouse-quilt-set</t>
        </is>
      </c>
      <c r="B97" s="3" t="inlineStr">
        <is>
          <t>D1</t>
        </is>
      </c>
      <c r="C97" s="3" t="inlineStr">
        <is>
          <t>Meta description</t>
        </is>
      </c>
      <c r="D97" s="3" t="n">
        <v>5</v>
      </c>
      <c r="E97" s="3" t="inlineStr">
        <is>
          <t>FULL</t>
        </is>
      </c>
      <c r="F97" s="7">
        <f>IF(B97="I1",AVERAGEIF('QA_Images'!$A$2:$A$66,A97,'QA_Images'!$T$2:$T$66)/100,IF(E97="FULL",1,IF(E97="PARTIAL",0.5,IF(E97="FAIL",0,""))))</f>
        <v/>
      </c>
      <c r="G97" s="7">
        <f>IF(F97="",0,D97*F97)</f>
        <v/>
      </c>
      <c r="H97" s="7">
        <f>IF(B97="I1",20*AVERAGEIF('QA_Images'!$A$2:$A$66,A97,'QA_Images'!$U$2:$U$66)/100,IF(E97="NOT_CHECKED",0,D97))</f>
        <v/>
      </c>
      <c r="I97" s="3" t="inlineStr">
        <is>
          <t>Meta description is complete, readable and evidence-led; 145–165 characters is treated only as editorial guidance.</t>
        </is>
      </c>
      <c r="J97" s="3" t="inlineStr">
        <is>
          <t>["evidence_batch_001_009", "https://jeminise.com/products/chicken-pattern-quilt-set-animal-patchwork-farmhouse-quilt-set", "serp_r7_009", "live_source_comparison.json", "visual_observations.json"]</t>
        </is>
      </c>
      <c r="K97" s="3" t="inlineStr">
        <is>
          <t>[]</t>
        </is>
      </c>
      <c r="L97" s="3" t="inlineStr">
        <is>
          <t>r7</t>
        </is>
      </c>
    </row>
    <row r="98" ht="42" customHeight="1">
      <c r="A98" s="2" t="inlineStr">
        <is>
          <t>jeminise.com+chicken-pattern-quilt-set-animal-patchwork-farmhouse-quilt-set</t>
        </is>
      </c>
      <c r="B98" s="2" t="inlineStr">
        <is>
          <t>D2</t>
        </is>
      </c>
      <c r="C98" s="2" t="inlineStr">
        <is>
          <t>Description HTML</t>
        </is>
      </c>
      <c r="D98" s="2" t="n">
        <v>10</v>
      </c>
      <c r="E98" s="2" t="inlineStr">
        <is>
          <t>FULL</t>
        </is>
      </c>
      <c r="F98" s="5">
        <f>IF(B98="I1",AVERAGEIF('QA_Images'!$A$2:$A$66,A98,'QA_Images'!$T$2:$T$66)/100,IF(E98="FULL",1,IF(E98="PARTIAL",0.5,IF(E98="FAIL",0,""))))</f>
        <v/>
      </c>
      <c r="G98" s="5">
        <f>IF(F98="",0,D98*F98)</f>
        <v/>
      </c>
      <c r="H98" s="5">
        <f>IF(B98="I1",20*AVERAGEIF('QA_Images'!$A$2:$A$66,A98,'QA_Images'!$U$2:$U$66)/100,IF(E98="NOT_CHECKED",0,D98))</f>
        <v/>
      </c>
      <c r="I98" s="2" t="inlineStr">
        <is>
          <t>Customer-facing copy is useful and source-backed.</t>
        </is>
      </c>
      <c r="J98" s="2" t="inlineStr">
        <is>
          <t>["evidence_batch_001_009", "https://jeminise.com/products/chicken-pattern-quilt-set-animal-patchwork-farmhouse-quilt-set", "serp_r7_009", "live_source_comparison.json", "visual_observations.json"]</t>
        </is>
      </c>
      <c r="K98" s="2" t="inlineStr">
        <is>
          <t>[]</t>
        </is>
      </c>
      <c r="L98" s="2" t="inlineStr">
        <is>
          <t>r7</t>
        </is>
      </c>
    </row>
    <row r="99" ht="42" customHeight="1">
      <c r="A99" s="3" t="inlineStr">
        <is>
          <t>jeminise.com+chicken-pattern-quilt-set-animal-patchwork-farmhouse-quilt-set</t>
        </is>
      </c>
      <c r="B99" s="3" t="inlineStr">
        <is>
          <t>I1</t>
        </is>
      </c>
      <c r="C99" s="3" t="inlineStr">
        <is>
          <t>Image/alt quality</t>
        </is>
      </c>
      <c r="D99" s="3" t="n">
        <v>20</v>
      </c>
      <c r="E99" s="3" t="inlineStr">
        <is>
          <t>DERIVED_FROM_IMAGES</t>
        </is>
      </c>
      <c r="F99" s="7">
        <f>IF(B99="I1",AVERAGEIF('QA_Images'!$A$2:$A$66,A99,'QA_Images'!$T$2:$T$66)/100,IF(E99="FULL",1,IF(E99="PARTIAL",0.5,IF(E99="FAIL",0,""))))</f>
        <v/>
      </c>
      <c r="G99" s="7">
        <f>IF(F99="",0,D99*F99)</f>
        <v/>
      </c>
      <c r="H99" s="7">
        <f>IF(B99="I1",20*AVERAGEIF('QA_Images'!$A$2:$A$66,A99,'QA_Images'!$U$2:$U$66)/100,IF(E99="NOT_CHECKED",0,D99))</f>
        <v/>
      </c>
      <c r="I99" s="3" t="inlineStr">
        <is>
          <t>Derived from 7 freshly opened images; every observation and SET alt matches the exact scene/panel.</t>
        </is>
      </c>
      <c r="J99" s="3" t="inlineStr">
        <is>
          <t>["evidence_batch_001_009", "https://jeminise.com/products/chicken-pattern-quilt-set-animal-patchwork-farmhouse-quilt-set", "serp_r7_009", "live_source_comparison.json", "visual_observations.json"]</t>
        </is>
      </c>
      <c r="K99" s="3" t="inlineStr">
        <is>
          <t>[]</t>
        </is>
      </c>
      <c r="L99" s="3" t="inlineStr">
        <is>
          <t>r7</t>
        </is>
      </c>
    </row>
    <row r="100" ht="42" customHeight="1">
      <c r="A100" s="2" t="inlineStr">
        <is>
          <t>jeminise.com+chicken-pattern-quilt-set-animal-patchwork-farmhouse-quilt-set</t>
        </is>
      </c>
      <c r="B100" s="2" t="inlineStr">
        <is>
          <t>E1</t>
        </is>
      </c>
      <c r="C100" s="2" t="inlineStr">
        <is>
          <t>Evidence traceability</t>
        </is>
      </c>
      <c r="D100" s="2" t="n">
        <v>5</v>
      </c>
      <c r="E100" s="2" t="inlineStr">
        <is>
          <t>PARTIAL</t>
        </is>
      </c>
      <c r="F100" s="5">
        <f>IF(B100="I1",AVERAGEIF('QA_Images'!$A$2:$A$66,A100,'QA_Images'!$T$2:$T$66)/100,IF(E100="FULL",1,IF(E100="PARTIAL",0.5,IF(E100="FAIL",0,""))))</f>
        <v/>
      </c>
      <c r="G100" s="5">
        <f>IF(F100="",0,D100*F100)</f>
        <v/>
      </c>
      <c r="H100" s="5">
        <f>IF(B100="I1",20*AVERAGEIF('QA_Images'!$A$2:$A$66,A100,'QA_Images'!$U$2:$U$66)/100,IF(E100="NOT_CHECKED",0,D100))</f>
        <v/>
      </c>
      <c r="I100" s="2" t="inlineStr">
        <is>
          <t>File/hash and evidence refs are clear, but row-level revision metadata and revision_summary still identify r5 inside the r7 package.</t>
        </is>
      </c>
      <c r="J100" s="2" t="inlineStr">
        <is>
          <t>["evidence_batch_001_009", "https://jeminise.com/products/chicken-pattern-quilt-set-animal-patchwork-farmhouse-quilt-set", "serp_r7_009", "live_source_comparison.json", "visual_observations.json"]</t>
        </is>
      </c>
      <c r="K100" s="2" t="inlineStr">
        <is>
          <t>["R7-ISS-009-TRACE"]</t>
        </is>
      </c>
      <c r="L100" s="2" t="inlineStr">
        <is>
          <t>r7</t>
        </is>
      </c>
    </row>
    <row r="101" ht="42" customHeight="1">
      <c r="A101" s="3" t="inlineStr">
        <is>
          <t>jeminise.com+christian-bedding-set-inspirational-bible-verse-comforte-design-01</t>
        </is>
      </c>
      <c r="B101" s="3" t="inlineStr">
        <is>
          <t>P1</t>
        </is>
      </c>
      <c r="C101" s="3" t="inlineStr">
        <is>
          <t>Identity and source integrity</t>
        </is>
      </c>
      <c r="D101" s="3" t="n">
        <v>15</v>
      </c>
      <c r="E101" s="3" t="inlineStr">
        <is>
          <t>FULL</t>
        </is>
      </c>
      <c r="F101" s="7">
        <f>IF(B101="I1",AVERAGEIF('QA_Images'!$A$2:$A$66,A101,'QA_Images'!$T$2:$T$66)/100,IF(E101="FULL",1,IF(E101="PARTIAL",0.5,IF(E101="FAIL",0,""))))</f>
        <v/>
      </c>
      <c r="G101" s="7">
        <f>IF(F101="",0,D101*F101)</f>
        <v/>
      </c>
      <c r="H101" s="7">
        <f>IF(B101="I1",20*AVERAGEIF('QA_Images'!$A$2:$A$66,A101,'QA_Images'!$U$2:$U$66)/100,IF(E101="NOT_CHECKED",0,D101))</f>
        <v/>
      </c>
      <c r="I101" s="3" t="inlineStr">
        <is>
          <t>Product key, handle, ID, canonical, H1 and gallery identity match the live page/product JSON.</t>
        </is>
      </c>
      <c r="J101" s="3" t="inlineStr">
        <is>
          <t>["evidence_batch_001_010", "https://jeminise.com/products/christian-bedding-set-inspirational-bible-verse-comforte-design-01", "serp_r7_010", "live_source_comparison.json", "visual_observations.json"]</t>
        </is>
      </c>
      <c r="K101" s="3" t="inlineStr">
        <is>
          <t>[]</t>
        </is>
      </c>
      <c r="L101" s="3" t="inlineStr">
        <is>
          <t>r7</t>
        </is>
      </c>
    </row>
    <row r="102" ht="42" customHeight="1">
      <c r="A102" s="2" t="inlineStr">
        <is>
          <t>jeminise.com+christian-bedding-set-inspirational-bible-verse-comforte-design-01</t>
        </is>
      </c>
      <c r="B102" s="2" t="inlineStr">
        <is>
          <t>P2</t>
        </is>
      </c>
      <c r="C102" s="2" t="inlineStr">
        <is>
          <t>Product facts and purchase options</t>
        </is>
      </c>
      <c r="D102" s="2" t="n">
        <v>10</v>
      </c>
      <c r="E102" s="2" t="inlineStr">
        <is>
          <t>FULL</t>
        </is>
      </c>
      <c r="F102" s="5">
        <f>IF(B102="I1",AVERAGEIF('QA_Images'!$A$2:$A$66,A102,'QA_Images'!$T$2:$T$66)/100,IF(E102="FULL",1,IF(E102="PARTIAL",0.5,IF(E102="FAIL",0,""))))</f>
        <v/>
      </c>
      <c r="G102" s="5">
        <f>IF(F102="",0,D102*F102)</f>
        <v/>
      </c>
      <c r="H102" s="5">
        <f>IF(B102="I1",20*AVERAGEIF('QA_Images'!$A$2:$A$66,A102,'QA_Images'!$U$2:$U$66)/100,IF(E102="NOT_CHECKED",0,D102))</f>
        <v/>
      </c>
      <c r="I102" s="2" t="inlineStr">
        <is>
          <t>Customizer exposes required 'Enter Name' field (min 1, max 13).</t>
        </is>
      </c>
      <c r="J102" s="2" t="inlineStr">
        <is>
          <t>["evidence_batch_001_010", "https://jeminise.com/products/christian-bedding-set-inspirational-bible-verse-comforte-design-01", "serp_r7_010", "live_source_comparison.json", "visual_observations.json"]</t>
        </is>
      </c>
      <c r="K102" s="2" t="inlineStr">
        <is>
          <t>[]</t>
        </is>
      </c>
      <c r="L102" s="2" t="inlineStr">
        <is>
          <t>r7</t>
        </is>
      </c>
    </row>
    <row r="103" ht="42" customHeight="1">
      <c r="A103" s="3" t="inlineStr">
        <is>
          <t>jeminise.com+christian-bedding-set-inspirational-bible-verse-comforte-design-01</t>
        </is>
      </c>
      <c r="B103" s="3" t="inlineStr">
        <is>
          <t>K1</t>
        </is>
      </c>
      <c r="C103" s="3" t="inlineStr">
        <is>
          <t>Primary keyword evidence</t>
        </is>
      </c>
      <c r="D103" s="3" t="n">
        <v>10</v>
      </c>
      <c r="E103" s="3" t="inlineStr">
        <is>
          <t>FULL</t>
        </is>
      </c>
      <c r="F103" s="7">
        <f>IF(B103="I1",AVERAGEIF('QA_Images'!$A$2:$A$66,A103,'QA_Images'!$T$2:$T$66)/100,IF(E103="FULL",1,IF(E103="PARTIAL",0.5,IF(E103="FAIL",0,""))))</f>
        <v/>
      </c>
      <c r="G103" s="7">
        <f>IF(F103="",0,D103*F103)</f>
        <v/>
      </c>
      <c r="H103" s="7">
        <f>IF(B103="I1",20*AVERAGEIF('QA_Images'!$A$2:$A$66,A103,'QA_Images'!$U$2:$U$66)/100,IF(E103="NOT_CHECKED",0,D103))</f>
        <v/>
      </c>
      <c r="I103" s="3" t="inlineStr">
        <is>
          <t>Fresh US SERP supports the selected finished-product query.</t>
        </is>
      </c>
      <c r="J103" s="3" t="inlineStr">
        <is>
          <t>["evidence_batch_001_010", "https://jeminise.com/products/christian-bedding-set-inspirational-bible-verse-comforte-design-01", "serp_r7_010", "live_source_comparison.json", "visual_observations.json"]</t>
        </is>
      </c>
      <c r="K103" s="3" t="inlineStr">
        <is>
          <t>[]</t>
        </is>
      </c>
      <c r="L103" s="3" t="inlineStr">
        <is>
          <t>r7</t>
        </is>
      </c>
    </row>
    <row r="104" ht="42" customHeight="1">
      <c r="A104" s="2" t="inlineStr">
        <is>
          <t>jeminise.com+christian-bedding-set-inspirational-bible-verse-comforte-design-01</t>
        </is>
      </c>
      <c r="B104" s="2" t="inlineStr">
        <is>
          <t>K2</t>
        </is>
      </c>
      <c r="C104" s="2" t="inlineStr">
        <is>
          <t>SERP intent and comparator</t>
        </is>
      </c>
      <c r="D104" s="2" t="n">
        <v>5</v>
      </c>
      <c r="E104" s="2" t="inlineStr">
        <is>
          <t>FULL</t>
        </is>
      </c>
      <c r="F104" s="5">
        <f>IF(B104="I1",AVERAGEIF('QA_Images'!$A$2:$A$66,A104,'QA_Images'!$T$2:$T$66)/100,IF(E104="FULL",1,IF(E104="PARTIAL",0.5,IF(E104="FAIL",0,""))))</f>
        <v/>
      </c>
      <c r="G104" s="5">
        <f>IF(F104="",0,D104*F104)</f>
        <v/>
      </c>
      <c r="H104" s="5">
        <f>IF(B104="I1",20*AVERAGEIF('QA_Images'!$A$2:$A$66,A104,'QA_Images'!$U$2:$U$66)/100,IF(E104="NOT_CHECKED",0,D104))</f>
        <v/>
      </c>
      <c r="I104" s="2" t="inlineStr">
        <is>
          <t>Primary and nearest comparator show commercial finished-product intent.</t>
        </is>
      </c>
      <c r="J104" s="2" t="inlineStr">
        <is>
          <t>["evidence_batch_001_010", "https://jeminise.com/products/christian-bedding-set-inspirational-bible-verse-comforte-design-01", "serp_r7_010", "live_source_comparison.json", "visual_observations.json"]</t>
        </is>
      </c>
      <c r="K104" s="2" t="inlineStr">
        <is>
          <t>[]</t>
        </is>
      </c>
      <c r="L104" s="2" t="inlineStr">
        <is>
          <t>r7</t>
        </is>
      </c>
    </row>
    <row r="105" ht="42" customHeight="1">
      <c r="A105" s="3" t="inlineStr">
        <is>
          <t>jeminise.com+christian-bedding-set-inspirational-bible-verse-comforte-design-01</t>
        </is>
      </c>
      <c r="B105" s="3" t="inlineStr">
        <is>
          <t>K3</t>
        </is>
      </c>
      <c r="C105" s="3" t="inlineStr">
        <is>
          <t>Cannibalization differentiation</t>
        </is>
      </c>
      <c r="D105" s="3" t="n">
        <v>5</v>
      </c>
      <c r="E105" s="3" t="inlineStr">
        <is>
          <t>FULL</t>
        </is>
      </c>
      <c r="F105" s="7">
        <f>IF(B105="I1",AVERAGEIF('QA_Images'!$A$2:$A$66,A105,'QA_Images'!$T$2:$T$66)/100,IF(E105="FULL",1,IF(E105="PARTIAL",0.5,IF(E105="FAIL",0,""))))</f>
        <v/>
      </c>
      <c r="G105" s="7">
        <f>IF(F105="",0,D105*F105)</f>
        <v/>
      </c>
      <c r="H105" s="7">
        <f>IF(B105="I1",20*AVERAGEIF('QA_Images'!$A$2:$A$66,A105,'QA_Images'!$U$2:$U$66)/100,IF(E105="NOT_CHECKED",0,D105))</f>
        <v/>
      </c>
      <c r="I105" s="3" t="inlineStr">
        <is>
          <t>R7 keyword rows document a unique motif, collection/internal-link role and explicit sibling exclusions.</t>
        </is>
      </c>
      <c r="J105" s="3" t="inlineStr">
        <is>
          <t>["evidence_batch_001_010", "https://jeminise.com/products/christian-bedding-set-inspirational-bible-verse-comforte-design-01", "serp_r7_010", "live_source_comparison.json", "visual_observations.json"]</t>
        </is>
      </c>
      <c r="K105" s="3" t="inlineStr">
        <is>
          <t>[]</t>
        </is>
      </c>
      <c r="L105" s="3" t="inlineStr">
        <is>
          <t>r7</t>
        </is>
      </c>
    </row>
    <row r="106" ht="42" customHeight="1">
      <c r="A106" s="2" t="inlineStr">
        <is>
          <t>jeminise.com+christian-bedding-set-inspirational-bible-verse-comforte-design-01</t>
        </is>
      </c>
      <c r="B106" s="2" t="inlineStr">
        <is>
          <t>T1</t>
        </is>
      </c>
      <c r="C106" s="2" t="inlineStr">
        <is>
          <t>SEO title</t>
        </is>
      </c>
      <c r="D106" s="2" t="n">
        <v>10</v>
      </c>
      <c r="E106" s="2" t="inlineStr">
        <is>
          <t>FULL</t>
        </is>
      </c>
      <c r="F106" s="5">
        <f>IF(B106="I1",AVERAGEIF('QA_Images'!$A$2:$A$66,A106,'QA_Images'!$T$2:$T$66)/100,IF(E106="FULL",1,IF(E106="PARTIAL",0.5,IF(E106="FAIL",0,""))))</f>
        <v/>
      </c>
      <c r="G106" s="5">
        <f>IF(F106="",0,D106*F106)</f>
        <v/>
      </c>
      <c r="H106" s="5">
        <f>IF(B106="I1",20*AVERAGEIF('QA_Images'!$A$2:$A$66,A106,'QA_Images'!$U$2:$U$66)/100,IF(E106="NOT_CHECKED",0,D106))</f>
        <v/>
      </c>
      <c r="I106" s="2" t="inlineStr">
        <is>
          <t>SEO title is concise, clean, product-specific and aligned with verified motif/product type.</t>
        </is>
      </c>
      <c r="J106" s="2" t="inlineStr">
        <is>
          <t>["evidence_batch_001_010", "https://jeminise.com/products/christian-bedding-set-inspirational-bible-verse-comforte-design-01", "serp_r7_010", "live_source_comparison.json", "visual_observations.json"]</t>
        </is>
      </c>
      <c r="K106" s="2" t="inlineStr">
        <is>
          <t>[]</t>
        </is>
      </c>
      <c r="L106" s="2" t="inlineStr">
        <is>
          <t>r7</t>
        </is>
      </c>
    </row>
    <row r="107" ht="42" customHeight="1">
      <c r="A107" s="3" t="inlineStr">
        <is>
          <t>jeminise.com+christian-bedding-set-inspirational-bible-verse-comforte-design-01</t>
        </is>
      </c>
      <c r="B107" s="3" t="inlineStr">
        <is>
          <t>T2</t>
        </is>
      </c>
      <c r="C107" s="3" t="inlineStr">
        <is>
          <t>Proposed product title/H1</t>
        </is>
      </c>
      <c r="D107" s="3" t="n">
        <v>5</v>
      </c>
      <c r="E107" s="3" t="inlineStr">
        <is>
          <t>FULL</t>
        </is>
      </c>
      <c r="F107" s="7">
        <f>IF(B107="I1",AVERAGEIF('QA_Images'!$A$2:$A$66,A107,'QA_Images'!$T$2:$T$66)/100,IF(E107="FULL",1,IF(E107="PARTIAL",0.5,IF(E107="FAIL",0,""))))</f>
        <v/>
      </c>
      <c r="G107" s="7">
        <f>IF(F107="",0,D107*F107)</f>
        <v/>
      </c>
      <c r="H107" s="7">
        <f>IF(B107="I1",20*AVERAGEIF('QA_Images'!$A$2:$A$66,A107,'QA_Images'!$U$2:$U$66)/100,IF(E107="NOT_CHECKED",0,D107))</f>
        <v/>
      </c>
      <c r="I107" s="3" t="inlineStr">
        <is>
          <t>Proposed product title/H1 is concise, clean, product-specific and aligned with verified motif/product type.</t>
        </is>
      </c>
      <c r="J107" s="3" t="inlineStr">
        <is>
          <t>["evidence_batch_001_010", "https://jeminise.com/products/christian-bedding-set-inspirational-bible-verse-comforte-design-01", "serp_r7_010", "live_source_comparison.json", "visual_observations.json"]</t>
        </is>
      </c>
      <c r="K107" s="3" t="inlineStr">
        <is>
          <t>[]</t>
        </is>
      </c>
      <c r="L107" s="3" t="inlineStr">
        <is>
          <t>r7</t>
        </is>
      </c>
    </row>
    <row r="108" ht="42" customHeight="1">
      <c r="A108" s="2" t="inlineStr">
        <is>
          <t>jeminise.com+christian-bedding-set-inspirational-bible-verse-comforte-design-01</t>
        </is>
      </c>
      <c r="B108" s="2" t="inlineStr">
        <is>
          <t>D1</t>
        </is>
      </c>
      <c r="C108" s="2" t="inlineStr">
        <is>
          <t>Meta description</t>
        </is>
      </c>
      <c r="D108" s="2" t="n">
        <v>5</v>
      </c>
      <c r="E108" s="2" t="inlineStr">
        <is>
          <t>FULL</t>
        </is>
      </c>
      <c r="F108" s="5">
        <f>IF(B108="I1",AVERAGEIF('QA_Images'!$A$2:$A$66,A108,'QA_Images'!$T$2:$T$66)/100,IF(E108="FULL",1,IF(E108="PARTIAL",0.5,IF(E108="FAIL",0,""))))</f>
        <v/>
      </c>
      <c r="G108" s="5">
        <f>IF(F108="",0,D108*F108)</f>
        <v/>
      </c>
      <c r="H108" s="5">
        <f>IF(B108="I1",20*AVERAGEIF('QA_Images'!$A$2:$A$66,A108,'QA_Images'!$U$2:$U$66)/100,IF(E108="NOT_CHECKED",0,D108))</f>
        <v/>
      </c>
      <c r="I108" s="2" t="inlineStr">
        <is>
          <t>Meta description is complete, readable and evidence-led; 145–165 characters is treated only as editorial guidance.</t>
        </is>
      </c>
      <c r="J108" s="2" t="inlineStr">
        <is>
          <t>["evidence_batch_001_010", "https://jeminise.com/products/christian-bedding-set-inspirational-bible-verse-comforte-design-01", "serp_r7_010", "live_source_comparison.json", "visual_observations.json"]</t>
        </is>
      </c>
      <c r="K108" s="2" t="inlineStr">
        <is>
          <t>[]</t>
        </is>
      </c>
      <c r="L108" s="2" t="inlineStr">
        <is>
          <t>r7</t>
        </is>
      </c>
    </row>
    <row r="109" ht="42" customHeight="1">
      <c r="A109" s="3" t="inlineStr">
        <is>
          <t>jeminise.com+christian-bedding-set-inspirational-bible-verse-comforte-design-01</t>
        </is>
      </c>
      <c r="B109" s="3" t="inlineStr">
        <is>
          <t>D2</t>
        </is>
      </c>
      <c r="C109" s="3" t="inlineStr">
        <is>
          <t>Description HTML</t>
        </is>
      </c>
      <c r="D109" s="3" t="n">
        <v>10</v>
      </c>
      <c r="E109" s="3" t="inlineStr">
        <is>
          <t>FULL</t>
        </is>
      </c>
      <c r="F109" s="7">
        <f>IF(B109="I1",AVERAGEIF('QA_Images'!$A$2:$A$66,A109,'QA_Images'!$T$2:$T$66)/100,IF(E109="FULL",1,IF(E109="PARTIAL",0.5,IF(E109="FAIL",0,""))))</f>
        <v/>
      </c>
      <c r="G109" s="7">
        <f>IF(F109="",0,D109*F109)</f>
        <v/>
      </c>
      <c r="H109" s="7">
        <f>IF(B109="I1",20*AVERAGEIF('QA_Images'!$A$2:$A$66,A109,'QA_Images'!$U$2:$U$66)/100,IF(E109="NOT_CHECKED",0,D109))</f>
        <v/>
      </c>
      <c r="I109" s="3" t="inlineStr">
        <is>
          <t>Customer-facing copy is useful and source-backed.</t>
        </is>
      </c>
      <c r="J109" s="3" t="inlineStr">
        <is>
          <t>["evidence_batch_001_010", "https://jeminise.com/products/christian-bedding-set-inspirational-bible-verse-comforte-design-01", "serp_r7_010", "live_source_comparison.json", "visual_observations.json"]</t>
        </is>
      </c>
      <c r="K109" s="3" t="inlineStr">
        <is>
          <t>[]</t>
        </is>
      </c>
      <c r="L109" s="3" t="inlineStr">
        <is>
          <t>r7</t>
        </is>
      </c>
    </row>
    <row r="110" ht="42" customHeight="1">
      <c r="A110" s="2" t="inlineStr">
        <is>
          <t>jeminise.com+christian-bedding-set-inspirational-bible-verse-comforte-design-01</t>
        </is>
      </c>
      <c r="B110" s="2" t="inlineStr">
        <is>
          <t>I1</t>
        </is>
      </c>
      <c r="C110" s="2" t="inlineStr">
        <is>
          <t>Image/alt quality</t>
        </is>
      </c>
      <c r="D110" s="2" t="n">
        <v>20</v>
      </c>
      <c r="E110" s="2" t="inlineStr">
        <is>
          <t>DERIVED_FROM_IMAGES</t>
        </is>
      </c>
      <c r="F110" s="5">
        <f>IF(B110="I1",AVERAGEIF('QA_Images'!$A$2:$A$66,A110,'QA_Images'!$T$2:$T$66)/100,IF(E110="FULL",1,IF(E110="PARTIAL",0.5,IF(E110="FAIL",0,""))))</f>
        <v/>
      </c>
      <c r="G110" s="5">
        <f>IF(F110="",0,D110*F110)</f>
        <v/>
      </c>
      <c r="H110" s="5">
        <f>IF(B110="I1",20*AVERAGEIF('QA_Images'!$A$2:$A$66,A110,'QA_Images'!$U$2:$U$66)/100,IF(E110="NOT_CHECKED",0,D110))</f>
        <v/>
      </c>
      <c r="I110" s="2" t="inlineStr">
        <is>
          <t>Derived from 8 freshly opened images; every observation and SET alt matches the exact scene/panel.</t>
        </is>
      </c>
      <c r="J110" s="2" t="inlineStr">
        <is>
          <t>["evidence_batch_001_010", "https://jeminise.com/products/christian-bedding-set-inspirational-bible-verse-comforte-design-01", "serp_r7_010", "live_source_comparison.json", "visual_observations.json"]</t>
        </is>
      </c>
      <c r="K110" s="2" t="inlineStr">
        <is>
          <t>[]</t>
        </is>
      </c>
      <c r="L110" s="2" t="inlineStr">
        <is>
          <t>r7</t>
        </is>
      </c>
    </row>
    <row r="111" ht="42" customHeight="1">
      <c r="A111" s="3" t="inlineStr">
        <is>
          <t>jeminise.com+christian-bedding-set-inspirational-bible-verse-comforte-design-01</t>
        </is>
      </c>
      <c r="B111" s="3" t="inlineStr">
        <is>
          <t>E1</t>
        </is>
      </c>
      <c r="C111" s="3" t="inlineStr">
        <is>
          <t>Evidence traceability</t>
        </is>
      </c>
      <c r="D111" s="3" t="n">
        <v>5</v>
      </c>
      <c r="E111" s="3" t="inlineStr">
        <is>
          <t>PARTIAL</t>
        </is>
      </c>
      <c r="F111" s="7">
        <f>IF(B111="I1",AVERAGEIF('QA_Images'!$A$2:$A$66,A111,'QA_Images'!$T$2:$T$66)/100,IF(E111="FULL",1,IF(E111="PARTIAL",0.5,IF(E111="FAIL",0,""))))</f>
        <v/>
      </c>
      <c r="G111" s="7">
        <f>IF(F111="",0,D111*F111)</f>
        <v/>
      </c>
      <c r="H111" s="7">
        <f>IF(B111="I1",20*AVERAGEIF('QA_Images'!$A$2:$A$66,A111,'QA_Images'!$U$2:$U$66)/100,IF(E111="NOT_CHECKED",0,D111))</f>
        <v/>
      </c>
      <c r="I111" s="3" t="inlineStr">
        <is>
          <t>File/hash and evidence refs are clear, but row-level revision metadata and revision_summary still identify r5 inside the r7 package.</t>
        </is>
      </c>
      <c r="J111" s="3" t="inlineStr">
        <is>
          <t>["evidence_batch_001_010", "https://jeminise.com/products/christian-bedding-set-inspirational-bible-verse-comforte-design-01", "serp_r7_010", "live_source_comparison.json", "visual_observations.json"]</t>
        </is>
      </c>
      <c r="K111" s="3" t="inlineStr">
        <is>
          <t>["R7-ISS-010-TRACE"]</t>
        </is>
      </c>
      <c r="L111" s="3" t="inlineStr">
        <is>
          <t>r7</t>
        </is>
      </c>
    </row>
  </sheetData>
  <autoFilter ref="A1:L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66"/>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jeminise.com+autumn-cardinals-perched-above-large-sunflowers-quilt-with-cardinal-birds-9a3b408b20-9a3b408b20</t>
        </is>
      </c>
      <c r="B2" s="2" t="inlineStr">
        <is>
          <t>jeminise.com+autumn-cardinals-perched-above-large-sunflowers-quilt-with-cardinal-birds-9a3b408b20-9a3b408b20|47540016382151|GALLERY|1</t>
        </is>
      </c>
      <c r="C2" s="4" t="inlineStr">
        <is>
          <t>https://cdn.shopify.com/s/files/1/0792/5098/1063/files/0754b2731a7ffd916d0ef8b214706e796d780fbd4ba38c8f47f27b6dcfbf352e.jpg?v=1785099190</t>
        </is>
      </c>
      <c r="D2" s="4" t="inlineStr">
        <is>
          <t>https://cdn.shopify.com/s/files/1/0792/5098/1063/files/0754b2731a7ffd916d0ef8b214706e796d780fbd4ba38c8f47f27b6dcfbf352e.jpg?v=1785099190</t>
        </is>
      </c>
      <c r="E2" s="2" t="inlineStr">
        <is>
          <t>47540016382151</t>
        </is>
      </c>
      <c r="F2" s="2" t="inlineStr">
        <is>
          <t>47540016382151</t>
        </is>
      </c>
      <c r="G2" s="2" t="inlineStr"/>
      <c r="H2" s="2" t="inlineStr">
        <is>
          <t>GALLERY</t>
        </is>
      </c>
      <c r="I2" s="2" t="inlineStr">
        <is>
          <t>DIRECT_ORIGINAL_IMAGE_REQA_R7</t>
        </is>
      </c>
      <c r="J2" s="2" t="inlineStr">
        <is>
          <t>2026-09-08T23:27:07.723474+07:00</t>
        </is>
      </c>
      <c r="K2" s="2" t="inlineStr">
        <is>
          <t>Red cardinals perched above large yellow sunflowers on an autumn quilt bed mockup with matching shams.</t>
        </is>
      </c>
      <c r="L2" s="2" t="inlineStr">
        <is>
          <t>Red cardinals perched above large yellow sunflowers on an autumn quilt bed mockup with matching shams.</t>
        </is>
      </c>
      <c r="M2" s="2" t="inlineStr">
        <is>
          <t>Autumn Cardinals Perched Above Large Sunflowers Quilt with Cardinal Birds</t>
        </is>
      </c>
      <c r="N2" s="2" t="inlineStr">
        <is>
          <t>SET</t>
        </is>
      </c>
      <c r="O2" s="2" t="inlineStr">
        <is>
          <t>Cardinal sunflower autumn quilt set on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["D:\\Shopify_Workspace\\jeminise_seo\\seo_runs\\jeminise.com\\20260906_234129\\qa\\20260908_230550\\images\\001_01_47540016382151.jpg", "https://cdn.shopify.com/s/files/1/0792/5098/1063/files/0754b2731a7ffd916d0ef8b214706e796d780fbd4ba38c8f47f27b6dcfbf352e.jpg?v=1785099190", "seo_runs\\jeminise.com\\20260906_234129\\evidence\\images\\1_autumn-cardinals-perched-above-large-sunflowers-quilt-with-cardinal-birds-9a3b408b20-9a3b408b20\\image_01_47540016382151.jpg;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row>
    <row r="3" ht="66" customHeight="1">
      <c r="A3" s="3" t="inlineStr">
        <is>
          <t>jeminise.com+autumn-cardinals-perched-above-large-sunflowers-quilt-with-cardinal-birds-9a3b408b20-9a3b408b20</t>
        </is>
      </c>
      <c r="B3" s="3" t="inlineStr">
        <is>
          <t>jeminise.com+autumn-cardinals-perched-above-large-sunflowers-quilt-with-cardinal-birds-9a3b408b20-9a3b408b20|47540016414919|GALLERY|2</t>
        </is>
      </c>
      <c r="C3" s="4" t="inlineStr">
        <is>
          <t>https://cdn.shopify.com/s/files/1/0792/5098/1063/files/a10aa0018e665e644a60b7c4aea8b5e152ec768ebb35af1090452cddbc9e9828.jpg?v=1785099190</t>
        </is>
      </c>
      <c r="D3" s="4" t="inlineStr">
        <is>
          <t>https://cdn.shopify.com/s/files/1/0792/5098/1063/files/a10aa0018e665e644a60b7c4aea8b5e152ec768ebb35af1090452cddbc9e9828.jpg?v=1785099190</t>
        </is>
      </c>
      <c r="E3" s="3" t="inlineStr">
        <is>
          <t>47540016414919</t>
        </is>
      </c>
      <c r="F3" s="3" t="inlineStr">
        <is>
          <t>47540016414919</t>
        </is>
      </c>
      <c r="G3" s="3" t="inlineStr"/>
      <c r="H3" s="3" t="inlineStr">
        <is>
          <t>GALLERY</t>
        </is>
      </c>
      <c r="I3" s="3" t="inlineStr">
        <is>
          <t>DIRECT_ORIGINAL_IMAGE_REQA_R7</t>
        </is>
      </c>
      <c r="J3" s="3" t="inlineStr">
        <is>
          <t>2026-09-08T23:27:07.723474+07:00</t>
        </is>
      </c>
      <c r="K3" s="3" t="inlineStr">
        <is>
          <t>Close-up of a red cardinal, sunflower petals, orange leaves and visible quilt stitching.</t>
        </is>
      </c>
      <c r="L3" s="3" t="inlineStr">
        <is>
          <t>Close-up of a red cardinal, sunflower petals, orange leaves and visible quilt stitching.</t>
        </is>
      </c>
      <c r="M3" s="3" t="inlineStr">
        <is>
          <t>Autumn Cardinals Perched Above Large Sunflowers Quilt with Cardinal Birds</t>
        </is>
      </c>
      <c r="N3" s="3" t="inlineStr">
        <is>
          <t>SET</t>
        </is>
      </c>
      <c r="O3" s="3" t="inlineStr">
        <is>
          <t>Close-up of cardinal sunflower quilt stitching</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["D:\\Shopify_Workspace\\jeminise_seo\\seo_runs\\jeminise.com\\20260906_234129\\qa\\20260908_230550\\images\\001_02_47540016414919.jpg", "https://cdn.shopify.com/s/files/1/0792/5098/1063/files/a10aa0018e665e644a60b7c4aea8b5e152ec768ebb35af1090452cddbc9e9828.jpg?v=1785099190", "seo_runs\\jeminise.com\\20260906_234129\\evidence\\images\\1_autumn-cardinals-perched-above-large-sunflowers-quilt-with-cardinal-birds-9a3b408b20-9a3b408b20\\image_02_47540016414919.jpg;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row>
    <row r="4" ht="66" customHeight="1">
      <c r="A4" s="2" t="inlineStr">
        <is>
          <t>jeminise.com+autumn-cardinals-perched-above-large-sunflowers-quilt-with-cardinal-birds-9a3b408b20-9a3b408b20</t>
        </is>
      </c>
      <c r="B4" s="2" t="inlineStr">
        <is>
          <t>jeminise.com+autumn-cardinals-perched-above-large-sunflowers-quilt-with-cardinal-birds-9a3b408b20-9a3b408b20|47540016447687|GALLERY|3</t>
        </is>
      </c>
      <c r="C4" s="4" t="inlineStr">
        <is>
          <t>https://cdn.shopify.com/s/files/1/0792/5098/1063/files/c50488380d22611c83d218b77be9cfcf5799df4d9903913c09a1798712931b22.jpg?v=1785099190</t>
        </is>
      </c>
      <c r="D4" s="4" t="inlineStr">
        <is>
          <t>https://cdn.shopify.com/s/files/1/0792/5098/1063/files/c50488380d22611c83d218b77be9cfcf5799df4d9903913c09a1798712931b22.jpg?v=1785099190</t>
        </is>
      </c>
      <c r="E4" s="2" t="inlineStr">
        <is>
          <t>47540016447687</t>
        </is>
      </c>
      <c r="F4" s="2" t="inlineStr">
        <is>
          <t>47540016447687</t>
        </is>
      </c>
      <c r="G4" s="2" t="inlineStr"/>
      <c r="H4" s="2" t="inlineStr">
        <is>
          <t>GALLERY</t>
        </is>
      </c>
      <c r="I4" s="2" t="inlineStr">
        <is>
          <t>DIRECT_ORIGINAL_IMAGE_REQA_R7</t>
        </is>
      </c>
      <c r="J4" s="2" t="inlineStr">
        <is>
          <t>2026-09-08T23:27:07.723474+07:00</t>
        </is>
      </c>
      <c r="K4" s="2" t="inlineStr">
        <is>
          <t>Matching pillow sham with two cardinals, sunflower artwork and autumn leaf accents.</t>
        </is>
      </c>
      <c r="L4" s="2" t="inlineStr">
        <is>
          <t>Matching pillow sham with two cardinals, sunflower artwork and autumn leaf accents.</t>
        </is>
      </c>
      <c r="M4" s="2" t="inlineStr">
        <is>
          <t>Autumn Cardinals Perched Above Large Sunflowers Quilt with Cardinal Birds</t>
        </is>
      </c>
      <c r="N4" s="2" t="inlineStr">
        <is>
          <t>SET</t>
        </is>
      </c>
      <c r="O4" s="2" t="inlineStr">
        <is>
          <t>Cardinal sunflower pillow sham with autumn leaves</t>
        </is>
      </c>
      <c r="P4" s="2" t="inlineStr">
        <is>
          <t>FULL</t>
        </is>
      </c>
      <c r="Q4" s="2" t="inlineStr">
        <is>
          <t>FULL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t>
        </is>
      </c>
      <c r="Z4" s="2" t="inlineStr">
        <is>
          <t>["D:\\Shopify_Workspace\\jeminise_seo\\seo_runs\\jeminise.com\\20260906_234129\\qa\\20260908_230550\\images\\001_03_47540016447687.jpg", "https://cdn.shopify.com/s/files/1/0792/5098/1063/files/c50488380d22611c83d218b77be9cfcf5799df4d9903913c09a1798712931b22.jpg?v=1785099190", "seo_runs\\jeminise.com\\20260906_234129\\evidence\\images\\1_autumn-cardinals-perched-above-large-sunflowers-quilt-with-cardinal-birds-9a3b408b20-9a3b408b20\\image_03_47540016447687.jpg;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row>
    <row r="5" ht="66" customHeight="1">
      <c r="A5" s="3" t="inlineStr">
        <is>
          <t>jeminise.com+autumn-cardinals-perched-above-large-sunflowers-quilt-with-cardinal-birds-9a3b408b20-9a3b408b20</t>
        </is>
      </c>
      <c r="B5" s="3" t="inlineStr">
        <is>
          <t>jeminise.com+autumn-cardinals-perched-above-large-sunflowers-quilt-with-cardinal-birds-9a3b408b20-9a3b408b20|47540016480455|GALLERY|4</t>
        </is>
      </c>
      <c r="C5" s="4" t="inlineStr">
        <is>
          <t>https://cdn.shopify.com/s/files/1/0792/5098/1063/files/455c5869333cc7654f6c30f3d09716ec1513311734a21a6aa82bf5fe0767ac69.jpg?v=1785099191</t>
        </is>
      </c>
      <c r="D5" s="4" t="inlineStr">
        <is>
          <t>https://cdn.shopify.com/s/files/1/0792/5098/1063/files/455c5869333cc7654f6c30f3d09716ec1513311734a21a6aa82bf5fe0767ac69.jpg?v=1785099191</t>
        </is>
      </c>
      <c r="E5" s="3" t="inlineStr">
        <is>
          <t>47540016480455</t>
        </is>
      </c>
      <c r="F5" s="3" t="inlineStr">
        <is>
          <t>47540016480455</t>
        </is>
      </c>
      <c r="G5" s="3" t="inlineStr"/>
      <c r="H5" s="3" t="inlineStr">
        <is>
          <t>GALLERY</t>
        </is>
      </c>
      <c r="I5" s="3" t="inlineStr">
        <is>
          <t>DIRECT_ORIGINAL_IMAGE_REQA_R7</t>
        </is>
      </c>
      <c r="J5" s="3" t="inlineStr">
        <is>
          <t>2026-09-08T23:27:07.723474+07:00</t>
        </is>
      </c>
      <c r="K5" s="3" t="inlineStr">
        <is>
          <t>Bedroom scene showing the cardinal sunflower quilt styled across a bed with coordinated pillows.</t>
        </is>
      </c>
      <c r="L5" s="3" t="inlineStr">
        <is>
          <t>Bedroom scene showing the cardinal sunflower quilt styled across a bed with coordinated pillows.</t>
        </is>
      </c>
      <c r="M5" s="3" t="inlineStr">
        <is>
          <t>Autumn Cardinals Perched Above Large Sunflowers Quilt with Cardinal Birds</t>
        </is>
      </c>
      <c r="N5" s="3" t="inlineStr">
        <is>
          <t>SET</t>
        </is>
      </c>
      <c r="O5" s="3" t="inlineStr">
        <is>
          <t>Cardinal sunflower autumn quilt bedroom mockup</t>
        </is>
      </c>
      <c r="P5" s="3" t="inlineStr">
        <is>
          <t>FULL</t>
        </is>
      </c>
      <c r="Q5" s="3" t="inlineStr">
        <is>
          <t>FULL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t>
        </is>
      </c>
      <c r="Z5" s="3" t="inlineStr">
        <is>
          <t>["D:\\Shopify_Workspace\\jeminise_seo\\seo_runs\\jeminise.com\\20260906_234129\\qa\\20260908_230550\\images\\001_04_47540016480455.jpg", "https://cdn.shopify.com/s/files/1/0792/5098/1063/files/455c5869333cc7654f6c30f3d09716ec1513311734a21a6aa82bf5fe0767ac69.jpg?v=1785099191", "seo_runs\\jeminise.com\\20260906_234129\\evidence\\images\\1_autumn-cardinals-perched-above-large-sunflowers-quilt-with-cardinal-birds-9a3b408b20-9a3b408b20\\image_04_47540016480455.jpg;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row>
    <row r="6" ht="66" customHeight="1">
      <c r="A6" s="2" t="inlineStr">
        <is>
          <t>jeminise.com+autumn-cardinals-perched-above-large-sunflowers-quilt-with-cardinal-birds-9a3b408b20-9a3b408b20</t>
        </is>
      </c>
      <c r="B6" s="2" t="inlineStr">
        <is>
          <t>jeminise.com+autumn-cardinals-perched-above-large-sunflowers-quilt-with-cardinal-birds-9a3b408b20-9a3b408b20|47540016513223|GALLERY|5</t>
        </is>
      </c>
      <c r="C6" s="4" t="inlineStr">
        <is>
          <t>https://cdn.shopify.com/s/files/1/0792/5098/1063/files/f17ccb354040b3320b99a1960533bd6ef949db1145d3897d55a33673489caad9.jpg?v=1785099190</t>
        </is>
      </c>
      <c r="D6" s="4" t="inlineStr">
        <is>
          <t>https://cdn.shopify.com/s/files/1/0792/5098/1063/files/f17ccb354040b3320b99a1960533bd6ef949db1145d3897d55a33673489caad9.jpg?v=1785099190</t>
        </is>
      </c>
      <c r="E6" s="2" t="inlineStr">
        <is>
          <t>47540016513223</t>
        </is>
      </c>
      <c r="F6" s="2" t="inlineStr">
        <is>
          <t>47540016513223</t>
        </is>
      </c>
      <c r="G6" s="2" t="inlineStr"/>
      <c r="H6" s="2" t="inlineStr">
        <is>
          <t>GALLERY</t>
        </is>
      </c>
      <c r="I6" s="2" t="inlineStr">
        <is>
          <t>DIRECT_ORIGINAL_IMAGE_REQA_R7</t>
        </is>
      </c>
      <c r="J6" s="2" t="inlineStr">
        <is>
          <t>2026-09-08T23:27:07.723474+07:00</t>
        </is>
      </c>
      <c r="K6" s="2" t="inlineStr">
        <is>
          <t>Size and component panel showing quilt size choices and two optional standard shams.</t>
        </is>
      </c>
      <c r="L6" s="2" t="inlineStr">
        <is>
          <t>Size and component panel showing quilt size choices and two optional standard shams.</t>
        </is>
      </c>
      <c r="M6" s="2" t="inlineStr">
        <is>
          <t>Autumn Cardinals Perched Above Large Sunflowers Quilt with Cardinal Birds</t>
        </is>
      </c>
      <c r="N6" s="2" t="inlineStr">
        <is>
          <t>SET</t>
        </is>
      </c>
      <c r="O6" s="2" t="inlineStr">
        <is>
          <t>Cardinal sunflower quilt size and sham options</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t>
        </is>
      </c>
      <c r="Z6" s="2" t="inlineStr">
        <is>
          <t>["D:\\Shopify_Workspace\\jeminise_seo\\seo_runs\\jeminise.com\\20260906_234129\\qa\\20260908_230550\\images\\001_05_47540016513223.jpg", "https://cdn.shopify.com/s/files/1/0792/5098/1063/files/f17ccb354040b3320b99a1960533bd6ef949db1145d3897d55a33673489caad9.jpg?v=1785099190", "seo_runs\\jeminise.com\\20260906_234129\\evidence\\images\\1_autumn-cardinals-perched-above-large-sunflowers-quilt-with-cardinal-birds-9a3b408b20-9a3b408b20\\image_05_47540016513223.jpg;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row>
    <row r="7" ht="66" customHeight="1">
      <c r="A7" s="3" t="inlineStr">
        <is>
          <t>jeminise.com+bright-teal-yellow-softball-comforter-set-premium-sports-theme</t>
        </is>
      </c>
      <c r="B7" s="3" t="inlineStr">
        <is>
          <t>jeminise.com+bright-teal-yellow-softball-comforter-set-premium-sports-theme|47934735909063|GALLERY|1</t>
        </is>
      </c>
      <c r="C7" s="4" t="inlineStr">
        <is>
          <t>https://cdn.shopify.com/s/files/1/0792/5098/1063/files/aaac3be2edd458da15620b4b48ea0557ee8e33aa5a6ff9ed0d0db11848fd4cbe.jpg?v=1787245111</t>
        </is>
      </c>
      <c r="D7" s="4" t="inlineStr">
        <is>
          <t>https://cdn.shopify.com/s/files/1/0792/5098/1063/files/aaac3be2edd458da15620b4b48ea0557ee8e33aa5a6ff9ed0d0db11848fd4cbe.jpg?v=1787245111</t>
        </is>
      </c>
      <c r="E7" s="3" t="inlineStr">
        <is>
          <t>47934735909063</t>
        </is>
      </c>
      <c r="F7" s="3" t="inlineStr">
        <is>
          <t>47934735909063</t>
        </is>
      </c>
      <c r="G7" s="3" t="inlineStr"/>
      <c r="H7" s="3" t="inlineStr">
        <is>
          <t>GALLERY</t>
        </is>
      </c>
      <c r="I7" s="3" t="inlineStr">
        <is>
          <t>DIRECT_ORIGINAL_IMAGE_REQA_R7</t>
        </is>
      </c>
      <c r="J7" s="3" t="inlineStr">
        <is>
          <t>2026-09-08T23:27:07.723474+07:00</t>
        </is>
      </c>
      <c r="K7" s="3" t="inlineStr">
        <is>
          <t>Teal, black and white softball comforter bed mockup with player silhouettes, Riley name, number 88 and Eat Sleep Softball artwork.</t>
        </is>
      </c>
      <c r="L7" s="3" t="inlineStr">
        <is>
          <t>Teal, black and white softball comforter bed mockup with player silhouettes, Riley name, number 88 and Eat Sleep Softball artwork.</t>
        </is>
      </c>
      <c r="M7" s="3" t="inlineStr">
        <is>
          <t>Bright Teal Yellow Softball Comforter Set – Premium Sports Theme Bedding for Girls, Teens &amp; Women Who Love Softball, Offered in Twin, Queen, King Bed Sizes</t>
        </is>
      </c>
      <c r="N7" s="3" t="inlineStr">
        <is>
          <t>SET</t>
        </is>
      </c>
      <c r="O7" s="3" t="inlineStr">
        <is>
          <t>Personalized teal softball comforter set</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t>
        </is>
      </c>
      <c r="Z7" s="3" t="inlineStr">
        <is>
          <t>["D:\\Shopify_Workspace\\jeminise_seo\\seo_runs\\jeminise.com\\20260906_234129\\qa\\20260908_230550\\images\\002_01_47934735909063.jpg", "https://cdn.shopify.com/s/files/1/0792/5098/1063/files/aaac3be2edd458da15620b4b48ea0557ee8e33aa5a6ff9ed0d0db11848fd4cbe.jpg?v=1787245111", "seo_runs\\jeminise.com\\20260906_234129\\evidence\\images\\2_bright-teal-yellow-softball-comforter-set-premium-sports-theme\\image_01_47934735909063.jpg; seo_runs\\jeminise.com\\20260906_234129\\evidence\\contact_sheets\\2_bright-teal-yellow-softball-comforter-set-premium-sports-theme.jpg"]</t>
        </is>
      </c>
    </row>
    <row r="8" ht="66" customHeight="1">
      <c r="A8" s="2" t="inlineStr">
        <is>
          <t>jeminise.com+bright-teal-yellow-softball-comforter-set-premium-sports-theme</t>
        </is>
      </c>
      <c r="B8" s="2" t="inlineStr">
        <is>
          <t>jeminise.com+bright-teal-yellow-softball-comforter-set-premium-sports-theme|47934735941831|GALLERY|2</t>
        </is>
      </c>
      <c r="C8" s="4" t="inlineStr">
        <is>
          <t>https://cdn.shopify.com/s/files/1/0792/5098/1063/files/b4d8d185bcbb550263dadfadb3419fffc97f4c44e070091e393e7296e5d6fb3c.jpg?v=1787245111</t>
        </is>
      </c>
      <c r="D8" s="4" t="inlineStr">
        <is>
          <t>https://cdn.shopify.com/s/files/1/0792/5098/1063/files/b4d8d185bcbb550263dadfadb3419fffc97f4c44e070091e393e7296e5d6fb3c.jpg?v=1787245111</t>
        </is>
      </c>
      <c r="E8" s="2" t="inlineStr">
        <is>
          <t>47934735941831</t>
        </is>
      </c>
      <c r="F8" s="2" t="inlineStr">
        <is>
          <t>47934735941831</t>
        </is>
      </c>
      <c r="G8" s="2" t="inlineStr"/>
      <c r="H8" s="2" t="inlineStr">
        <is>
          <t>GALLERY</t>
        </is>
      </c>
      <c r="I8" s="2" t="inlineStr">
        <is>
          <t>DIRECT_ORIGINAL_IMAGE_REQA_R7</t>
        </is>
      </c>
      <c r="J8" s="2" t="inlineStr">
        <is>
          <t>2026-09-08T23:27:07.723474+07:00</t>
        </is>
      </c>
      <c r="K8" s="2" t="inlineStr">
        <is>
          <t>Angled bedroom mockup of the teal softball comforter with coordinated pillowcases, Riley name and number 88.</t>
        </is>
      </c>
      <c r="L8" s="2" t="inlineStr">
        <is>
          <t>Angled bedroom mockup of the teal softball comforter with coordinated pillowcases, Riley name and number 88.</t>
        </is>
      </c>
      <c r="M8" s="2" t="inlineStr">
        <is>
          <t>Bright Teal Yellow Softball Comforter Set – Premium Sports Theme Bedding for Girls, Teens &amp; Women Who Love Softball, Offered in Twin, Queen, King Bed Sizes</t>
        </is>
      </c>
      <c r="N8" s="2" t="inlineStr">
        <is>
          <t>SET</t>
        </is>
      </c>
      <c r="O8" s="2" t="inlineStr">
        <is>
          <t>Teal softball comforter bedroom mockup</t>
        </is>
      </c>
      <c r="P8" s="2" t="inlineStr">
        <is>
          <t>FULL</t>
        </is>
      </c>
      <c r="Q8" s="2" t="inlineStr">
        <is>
          <t>FULL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t>
        </is>
      </c>
      <c r="Z8" s="2" t="inlineStr">
        <is>
          <t>["D:\\Shopify_Workspace\\jeminise_seo\\seo_runs\\jeminise.com\\20260906_234129\\qa\\20260908_230550\\images\\002_02_47934735941831.jpg", "https://cdn.shopify.com/s/files/1/0792/5098/1063/files/b4d8d185bcbb550263dadfadb3419fffc97f4c44e070091e393e7296e5d6fb3c.jpg?v=1787245111", "seo_runs\\jeminise.com\\20260906_234129\\evidence\\images\\2_bright-teal-yellow-softball-comforter-set-premium-sports-theme\\image_02_47934735941831.jpg; seo_runs\\jeminise.com\\20260906_234129\\evidence\\contact_sheets\\2_bright-teal-yellow-softball-comforter-set-premium-sports-theme.jpg"]</t>
        </is>
      </c>
    </row>
    <row r="9" ht="66" customHeight="1">
      <c r="A9" s="3" t="inlineStr">
        <is>
          <t>jeminise.com+bright-teal-yellow-softball-comforter-set-premium-sports-theme</t>
        </is>
      </c>
      <c r="B9" s="3" t="inlineStr">
        <is>
          <t>jeminise.com+bright-teal-yellow-softball-comforter-set-premium-sports-theme|47934735974599|GALLERY|3</t>
        </is>
      </c>
      <c r="C9" s="4" t="inlineStr">
        <is>
          <t>https://cdn.shopify.com/s/files/1/0792/5098/1063/files/4905418785c478f3ccf76145151452929eacdfc883190607ac14b204c401e760.jpg?v=1787245111</t>
        </is>
      </c>
      <c r="D9" s="4" t="inlineStr">
        <is>
          <t>https://cdn.shopify.com/s/files/1/0792/5098/1063/files/4905418785c478f3ccf76145151452929eacdfc883190607ac14b204c401e760.jpg?v=1787245111</t>
        </is>
      </c>
      <c r="E9" s="3" t="inlineStr">
        <is>
          <t>47934735974599</t>
        </is>
      </c>
      <c r="F9" s="3" t="inlineStr">
        <is>
          <t>47934735974599</t>
        </is>
      </c>
      <c r="G9" s="3" t="inlineStr"/>
      <c r="H9" s="3" t="inlineStr">
        <is>
          <t>GALLERY</t>
        </is>
      </c>
      <c r="I9" s="3" t="inlineStr">
        <is>
          <t>DIRECT_ORIGINAL_IMAGE_REQA_R7</t>
        </is>
      </c>
      <c r="J9" s="3" t="inlineStr">
        <is>
          <t>2026-09-08T23:27:07.723474+07:00</t>
        </is>
      </c>
      <c r="K9" s="3" t="inlineStr">
        <is>
          <t>Coordinated pillowcases showing softball player silhouettes and number 88 on teal patchwork artwork.</t>
        </is>
      </c>
      <c r="L9" s="3" t="inlineStr">
        <is>
          <t>Coordinated pillowcases showing softball player silhouettes and number 88 on teal patchwork artwork.</t>
        </is>
      </c>
      <c r="M9" s="3" t="inlineStr">
        <is>
          <t>Bright Teal Yellow Softball Comforter Set – Premium Sports Theme Bedding for Girls, Teens &amp; Women Who Love Softball, Offered in Twin, Queen, King Bed Sizes</t>
        </is>
      </c>
      <c r="N9" s="3" t="inlineStr">
        <is>
          <t>SET</t>
        </is>
      </c>
      <c r="O9" s="3" t="inlineStr">
        <is>
          <t>Teal softball pillowcases with number 88</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["D:\\Shopify_Workspace\\jeminise_seo\\seo_runs\\jeminise.com\\20260906_234129\\qa\\20260908_230550\\images\\002_03_47934735974599.jpg", "https://cdn.shopify.com/s/files/1/0792/5098/1063/files/4905418785c478f3ccf76145151452929eacdfc883190607ac14b204c401e760.jpg?v=1787245111", "seo_runs\\jeminise.com\\20260906_234129\\evidence\\images\\2_bright-teal-yellow-softball-comforter-set-premium-sports-theme\\image_03_47934735974599.jpg; seo_runs\\jeminise.com\\20260906_234129\\evidence\\contact_sheets\\2_bright-teal-yellow-softball-comforter-set-premium-sports-theme.jpg"]</t>
        </is>
      </c>
    </row>
    <row r="10" ht="66" customHeight="1">
      <c r="A10" s="2" t="inlineStr">
        <is>
          <t>jeminise.com+bright-teal-yellow-softball-comforter-set-premium-sports-theme</t>
        </is>
      </c>
      <c r="B10" s="2" t="inlineStr">
        <is>
          <t>jeminise.com+bright-teal-yellow-softball-comforter-set-premium-sports-theme|47934736007367|GALLERY|4</t>
        </is>
      </c>
      <c r="C10" s="4" t="inlineStr">
        <is>
          <t>https://cdn.shopify.com/s/files/1/0792/5098/1063/files/66e753b90ce33322bda9902192b0d181e5f65b4823b1464fb51d32bee82398ed.jpg?v=1787245111</t>
        </is>
      </c>
      <c r="D10" s="4" t="inlineStr">
        <is>
          <t>https://cdn.shopify.com/s/files/1/0792/5098/1063/files/66e753b90ce33322bda9902192b0d181e5f65b4823b1464fb51d32bee82398ed.jpg?v=1787245111</t>
        </is>
      </c>
      <c r="E10" s="2" t="inlineStr">
        <is>
          <t>47934736007367</t>
        </is>
      </c>
      <c r="F10" s="2" t="inlineStr">
        <is>
          <t>47934736007367</t>
        </is>
      </c>
      <c r="G10" s="2" t="inlineStr"/>
      <c r="H10" s="2" t="inlineStr">
        <is>
          <t>GALLERY</t>
        </is>
      </c>
      <c r="I10" s="2" t="inlineStr">
        <is>
          <t>DIRECT_ORIGINAL_IMAGE_REQA_R7</t>
        </is>
      </c>
      <c r="J10" s="2" t="inlineStr">
        <is>
          <t>2026-09-08T23:27:07.723474+07:00</t>
        </is>
      </c>
      <c r="K10" s="2" t="inlineStr">
        <is>
          <t>Folded teal softball comforter showing patchwork print, softball graphics and white backing.</t>
        </is>
      </c>
      <c r="L10" s="2" t="inlineStr">
        <is>
          <t>Folded teal softball comforter showing patchwork print, softball graphics and white backing.</t>
        </is>
      </c>
      <c r="M10" s="2" t="inlineStr">
        <is>
          <t>Bright Teal Yellow Softball Comforter Set – Premium Sports Theme Bedding for Girls, Teens &amp; Women Who Love Softball, Offered in Twin, Queen, King Bed Sizes</t>
        </is>
      </c>
      <c r="N10" s="2" t="inlineStr">
        <is>
          <t>SET</t>
        </is>
      </c>
      <c r="O10" s="2" t="inlineStr">
        <is>
          <t>Folded teal softball comforter with white backing</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t>
        </is>
      </c>
      <c r="Z10" s="2" t="inlineStr">
        <is>
          <t>["D:\\Shopify_Workspace\\jeminise_seo\\seo_runs\\jeminise.com\\20260906_234129\\qa\\20260908_230550\\images\\002_04_47934736007367.jpg", "https://cdn.shopify.com/s/files/1/0792/5098/1063/files/66e753b90ce33322bda9902192b0d181e5f65b4823b1464fb51d32bee82398ed.jpg?v=1787245111", "seo_runs\\jeminise.com\\20260906_234129\\evidence\\images\\2_bright-teal-yellow-softball-comforter-set-premium-sports-theme\\image_04_47934736007367.jpg; seo_runs\\jeminise.com\\20260906_234129\\evidence\\contact_sheets\\2_bright-teal-yellow-softball-comforter-set-premium-sports-theme.jpg"]</t>
        </is>
      </c>
    </row>
    <row r="11" ht="66" customHeight="1">
      <c r="A11" s="3" t="inlineStr">
        <is>
          <t>jeminise.com+bright-teal-yellow-softball-comforter-set-premium-sports-theme</t>
        </is>
      </c>
      <c r="B11" s="3" t="inlineStr">
        <is>
          <t>jeminise.com+bright-teal-yellow-softball-comforter-set-premium-sports-theme|47934736040135|GALLERY|5</t>
        </is>
      </c>
      <c r="C11" s="4" t="inlineStr">
        <is>
          <t>https://cdn.shopify.com/s/files/1/0792/5098/1063/files/a8d8145d1b6e7b4bbc3eb1dc71a100a3f3243648810f40f7f678de166dbfd428.jpg?v=1787245111</t>
        </is>
      </c>
      <c r="D11" s="4" t="inlineStr">
        <is>
          <t>https://cdn.shopify.com/s/files/1/0792/5098/1063/files/a8d8145d1b6e7b4bbc3eb1dc71a100a3f3243648810f40f7f678de166dbfd428.jpg?v=1787245111</t>
        </is>
      </c>
      <c r="E11" s="3" t="inlineStr">
        <is>
          <t>47934736040135</t>
        </is>
      </c>
      <c r="F11" s="3" t="inlineStr">
        <is>
          <t>47934736040135</t>
        </is>
      </c>
      <c r="G11" s="3" t="inlineStr"/>
      <c r="H11" s="3" t="inlineStr">
        <is>
          <t>GALLERY</t>
        </is>
      </c>
      <c r="I11" s="3" t="inlineStr">
        <is>
          <t>DIRECT_ORIGINAL_IMAGE_REQA_R7</t>
        </is>
      </c>
      <c r="J11" s="3" t="inlineStr">
        <is>
          <t>2026-09-08T23:27:07.723474+07:00</t>
        </is>
      </c>
      <c r="K11" s="3" t="inlineStr">
        <is>
          <t>Close-up of folded comforter edge with teal softball print on top and white backing underneath.</t>
        </is>
      </c>
      <c r="L11" s="3" t="inlineStr">
        <is>
          <t>Close-up of folded comforter edge with teal softball print on top and white backing underneath.</t>
        </is>
      </c>
      <c r="M11" s="3" t="inlineStr">
        <is>
          <t>Bright Teal Yellow Softball Comforter Set – Premium Sports Theme Bedding for Girls, Teens &amp; Women Who Love Softball, Offered in Twin, Queen, King Bed Sizes</t>
        </is>
      </c>
      <c r="N11" s="3" t="inlineStr">
        <is>
          <t>SET</t>
        </is>
      </c>
      <c r="O11" s="3" t="inlineStr">
        <is>
          <t>Teal softball comforter white backing close-up</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t>
        </is>
      </c>
      <c r="Z11" s="3" t="inlineStr">
        <is>
          <t>["D:\\Shopify_Workspace\\jeminise_seo\\seo_runs\\jeminise.com\\20260906_234129\\qa\\20260908_230550\\images\\002_05_47934736040135.jpg", "https://cdn.shopify.com/s/files/1/0792/5098/1063/files/a8d8145d1b6e7b4bbc3eb1dc71a100a3f3243648810f40f7f678de166dbfd428.jpg?v=1787245111", "seo_runs\\jeminise.com\\20260906_234129\\evidence\\images\\2_bright-teal-yellow-softball-comforter-set-premium-sports-theme\\image_05_47934736040135.jpg; seo_runs\\jeminise.com\\20260906_234129\\evidence\\contact_sheets\\2_bright-teal-yellow-softball-comforter-set-premium-sports-theme.jpg"]</t>
        </is>
      </c>
    </row>
    <row r="12" ht="66" customHeight="1">
      <c r="A12" s="2" t="inlineStr">
        <is>
          <t>jeminise.com+bright-teal-yellow-softball-comforter-set-premium-sports-theme</t>
        </is>
      </c>
      <c r="B12" s="2" t="inlineStr">
        <is>
          <t>jeminise.com+bright-teal-yellow-softball-comforter-set-premium-sports-theme|47934736072903|GALLERY|6</t>
        </is>
      </c>
      <c r="C12" s="4" t="inlineStr">
        <is>
          <t>https://cdn.shopify.com/s/files/1/0792/5098/1063/files/b5c74b68d1b4eff2209b7123e3fbe61d1e31afd73aa5ba647e17c194e2e66c44_6ab5c586-a618-40f4-b48e-38e09e6a461b.jpg?v=1787245111</t>
        </is>
      </c>
      <c r="D12" s="4" t="inlineStr">
        <is>
          <t>https://cdn.shopify.com/s/files/1/0792/5098/1063/files/b5c74b68d1b4eff2209b7123e3fbe61d1e31afd73aa5ba647e17c194e2e66c44_6ab5c586-a618-40f4-b48e-38e09e6a461b.jpg?v=1787245111</t>
        </is>
      </c>
      <c r="E12" s="2" t="inlineStr">
        <is>
          <t>47934736072903</t>
        </is>
      </c>
      <c r="F12" s="2" t="inlineStr">
        <is>
          <t>47934736072903</t>
        </is>
      </c>
      <c r="G12" s="2" t="inlineStr"/>
      <c r="H12" s="2" t="inlineStr">
        <is>
          <t>GALLERY</t>
        </is>
      </c>
      <c r="I12" s="2" t="inlineStr">
        <is>
          <t>DIRECT_ORIGINAL_IMAGE_REQA_R7</t>
        </is>
      </c>
      <c r="J12" s="2" t="inlineStr">
        <is>
          <t>2026-09-08T23:27:07.723474+07:00</t>
        </is>
      </c>
      <c r="K12" s="2" t="inlineStr">
        <is>
          <t>Feature panel describing microfiber, cozy filling, lightweight feel and breathable warmth for the softball comforter.</t>
        </is>
      </c>
      <c r="L12" s="2" t="inlineStr">
        <is>
          <t>Feature panel describing microfiber, cozy filling, lightweight feel and breathable warmth for the softball comforter.</t>
        </is>
      </c>
      <c r="M12" s="2" t="inlineStr">
        <is>
          <t>Bright Teal Yellow Softball Comforter Set – Premium Sports Theme Bedding for Girls, Teens &amp; Women Who Love Softball, Offered in Twin, Queen, King Bed Sizes</t>
        </is>
      </c>
      <c r="N12" s="2" t="inlineStr">
        <is>
          <t>SET</t>
        </is>
      </c>
      <c r="O12" s="2" t="inlineStr">
        <is>
          <t>Softball comforter microfiber feature panel</t>
        </is>
      </c>
      <c r="P12" s="2" t="inlineStr">
        <is>
          <t>FULL</t>
        </is>
      </c>
      <c r="Q12" s="2" t="inlineStr">
        <is>
          <t>FULL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t>
        </is>
      </c>
      <c r="Z12" s="2" t="inlineStr">
        <is>
          <t>["D:\\Shopify_Workspace\\jeminise_seo\\seo_runs\\jeminise.com\\20260906_234129\\qa\\20260908_230550\\images\\002_06_47934736072903.jpg", "https://cdn.shopify.com/s/files/1/0792/5098/1063/files/b5c74b68d1b4eff2209b7123e3fbe61d1e31afd73aa5ba647e17c194e2e66c44_6ab5c586-a618-40f4-b48e-38e09e6a461b.jpg?v=1787245111", "seo_runs\\jeminise.com\\20260906_234129\\evidence\\images\\2_bright-teal-yellow-softball-comforter-set-premium-sports-theme\\image_06_47934736072903.jpg; seo_runs\\jeminise.com\\20260906_234129\\evidence\\contact_sheets\\2_bright-teal-yellow-softball-comforter-set-premium-sports-theme.jpg"]</t>
        </is>
      </c>
    </row>
    <row r="13" ht="66" customHeight="1">
      <c r="A13" s="3" t="inlineStr">
        <is>
          <t>jeminise.com+bright-teal-yellow-softball-comforter-set-premium-sports-theme</t>
        </is>
      </c>
      <c r="B13" s="3" t="inlineStr">
        <is>
          <t>jeminise.com+bright-teal-yellow-softball-comforter-set-premium-sports-theme|47934736105671|GALLERY|7</t>
        </is>
      </c>
      <c r="C13" s="4" t="inlineStr">
        <is>
          <t>https://cdn.shopify.com/s/files/1/0792/5098/1063/files/a0ebf0c8e5cb1f2c8f924529805ea1d20494460dd41a740514b8862f5d5a2f4f_b03a920f-a52a-4b39-842e-77c13ca56137.jpg?v=1787245111</t>
        </is>
      </c>
      <c r="D13" s="4" t="inlineStr">
        <is>
          <t>https://cdn.shopify.com/s/files/1/0792/5098/1063/files/a0ebf0c8e5cb1f2c8f924529805ea1d20494460dd41a740514b8862f5d5a2f4f_b03a920f-a52a-4b39-842e-77c13ca56137.jpg?v=1787245111</t>
        </is>
      </c>
      <c r="E13" s="3" t="inlineStr">
        <is>
          <t>47934736105671</t>
        </is>
      </c>
      <c r="F13" s="3" t="inlineStr">
        <is>
          <t>47934736105671</t>
        </is>
      </c>
      <c r="G13" s="3" t="inlineStr"/>
      <c r="H13" s="3" t="inlineStr">
        <is>
          <t>GALLERY</t>
        </is>
      </c>
      <c r="I13" s="3" t="inlineStr">
        <is>
          <t>DIRECT_ORIGINAL_IMAGE_REQA_R7</t>
        </is>
      </c>
      <c r="J13" s="3" t="inlineStr">
        <is>
          <t>2026-09-08T23:27:07.723474+07:00</t>
        </is>
      </c>
      <c r="K13" s="3" t="inlineStr">
        <is>
          <t>Included-items panel showing one softball comforter and two coordinated pillowcases.</t>
        </is>
      </c>
      <c r="L13" s="3" t="inlineStr">
        <is>
          <t>Included-items panel showing one softball comforter and two coordinated pillowcases.</t>
        </is>
      </c>
      <c r="M13" s="3" t="inlineStr">
        <is>
          <t>Bright Teal Yellow Softball Comforter Set – Premium Sports Theme Bedding for Girls, Teens &amp; Women Who Love Softball, Offered in Twin, Queen, King Bed Sizes</t>
        </is>
      </c>
      <c r="N13" s="3" t="inlineStr">
        <is>
          <t>SET</t>
        </is>
      </c>
      <c r="O13" s="3" t="inlineStr">
        <is>
          <t>Softball comforter and two pillowcases included</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t>
        </is>
      </c>
      <c r="Z13" s="3" t="inlineStr">
        <is>
          <t>["D:\\Shopify_Workspace\\jeminise_seo\\seo_runs\\jeminise.com\\20260906_234129\\qa\\20260908_230550\\images\\002_07_47934736105671.jpg", "https://cdn.shopify.com/s/files/1/0792/5098/1063/files/a0ebf0c8e5cb1f2c8f924529805ea1d20494460dd41a740514b8862f5d5a2f4f_b03a920f-a52a-4b39-842e-77c13ca56137.jpg?v=1787245111", "seo_runs\\jeminise.com\\20260906_234129\\evidence\\images\\2_bright-teal-yellow-softball-comforter-set-premium-sports-theme\\image_07_47934736105671.jpg; seo_runs\\jeminise.com\\20260906_234129\\evidence\\contact_sheets\\2_bright-teal-yellow-softball-comforter-set-premium-sports-theme.jpg"]</t>
        </is>
      </c>
    </row>
    <row r="14" ht="66" customHeight="1">
      <c r="A14" s="2" t="inlineStr">
        <is>
          <t>jeminise.com+cardinals-perched-beside-decorated-christmas-tree-patchwork-winter-quilt-7cd7bc46a0-7cd7bc46a0</t>
        </is>
      </c>
      <c r="B14" s="2" t="inlineStr">
        <is>
          <t>jeminise.com+cardinals-perched-beside-decorated-christmas-tree-patchwork-winter-quilt-7cd7bc46a0-7cd7bc46a0|47540004094151|GALLERY|1</t>
        </is>
      </c>
      <c r="C14" s="4" t="inlineStr">
        <is>
          <t>https://cdn.shopify.com/s/files/1/0792/5098/1063/files/3a652bff5b2cdcf1fb571a14f08c2175d783a6106bb14665fb5861e23501a1fa.jpg?v=1785099109</t>
        </is>
      </c>
      <c r="D14" s="4" t="inlineStr">
        <is>
          <t>https://cdn.shopify.com/s/files/1/0792/5098/1063/files/3a652bff5b2cdcf1fb571a14f08c2175d783a6106bb14665fb5861e23501a1fa.jpg?v=1785099109</t>
        </is>
      </c>
      <c r="E14" s="2" t="inlineStr">
        <is>
          <t>47540004094151</t>
        </is>
      </c>
      <c r="F14" s="2" t="inlineStr">
        <is>
          <t>47540004094151</t>
        </is>
      </c>
      <c r="G14" s="2" t="inlineStr"/>
      <c r="H14" s="2" t="inlineStr">
        <is>
          <t>GALLERY</t>
        </is>
      </c>
      <c r="I14" s="2" t="inlineStr">
        <is>
          <t>DIRECT_ORIGINAL_IMAGE_REQA_R7</t>
        </is>
      </c>
      <c r="J14" s="2" t="inlineStr">
        <is>
          <t>2026-09-08T23:27:07.723474+07:00</t>
        </is>
      </c>
      <c r="K14" s="2" t="inlineStr">
        <is>
          <t>Christmas memorial quilt bed mockup with red cardinals beside a decorated tree, ornaments, hearts and I Am Always with You text.</t>
        </is>
      </c>
      <c r="L14" s="2" t="inlineStr">
        <is>
          <t>Christmas memorial quilt bed mockup with red cardinals beside a decorated tree, ornaments, hearts and I Am Always with You text.</t>
        </is>
      </c>
      <c r="M14" s="2" t="inlineStr">
        <is>
          <t>Cardinals Perched Beside Decorated Christmas Tree Patchwork Winter Quilt</t>
        </is>
      </c>
      <c r="N14" s="2" t="inlineStr">
        <is>
          <t>SET</t>
        </is>
      </c>
      <c r="O14" s="2" t="inlineStr">
        <is>
          <t>Christmas cardinal memorial quilt set on bed</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["D:\\Shopify_Workspace\\jeminise_seo\\seo_runs\\jeminise.com\\20260906_234129\\qa\\20260908_230550\\images\\003_01_47540004094151.jpg", "https://cdn.shopify.com/s/files/1/0792/5098/1063/files/3a652bff5b2cdcf1fb571a14f08c2175d783a6106bb14665fb5861e23501a1fa.jpg?v=1785099109", "seo_runs\\jeminise.com\\20260906_234129\\evidence\\images\\3_cardinals-perched-beside-decorated-christmas-tree-patchwork-winter-quilt-7cd7bc46a0-7cd7bc46a0\\image_01_47540004094151.jpg;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row>
    <row r="15" ht="66" customHeight="1">
      <c r="A15" s="3" t="inlineStr">
        <is>
          <t>jeminise.com+cardinals-perched-beside-decorated-christmas-tree-patchwork-winter-quilt-7cd7bc46a0-7cd7bc46a0</t>
        </is>
      </c>
      <c r="B15" s="3" t="inlineStr">
        <is>
          <t>jeminise.com+cardinals-perched-beside-decorated-christmas-tree-patchwork-winter-quilt-7cd7bc46a0-7cd7bc46a0|47540004126919|GALLERY|2</t>
        </is>
      </c>
      <c r="C15" s="4" t="inlineStr">
        <is>
          <t>https://cdn.shopify.com/s/files/1/0792/5098/1063/files/23aae70766fcc57c63f2a120721dae1baf196f15ef46a71bef7a702d11c656ca.jpg?v=1785099109</t>
        </is>
      </c>
      <c r="D15" s="4" t="inlineStr">
        <is>
          <t>https://cdn.shopify.com/s/files/1/0792/5098/1063/files/23aae70766fcc57c63f2a120721dae1baf196f15ef46a71bef7a702d11c656ca.jpg?v=1785099109</t>
        </is>
      </c>
      <c r="E15" s="3" t="inlineStr">
        <is>
          <t>47540004126919</t>
        </is>
      </c>
      <c r="F15" s="3" t="inlineStr">
        <is>
          <t>47540004126919</t>
        </is>
      </c>
      <c r="G15" s="3" t="inlineStr"/>
      <c r="H15" s="3" t="inlineStr">
        <is>
          <t>GALLERY</t>
        </is>
      </c>
      <c r="I15" s="3" t="inlineStr">
        <is>
          <t>DIRECT_ORIGINAL_IMAGE_REQA_R7</t>
        </is>
      </c>
      <c r="J15" s="3" t="inlineStr">
        <is>
          <t>2026-09-08T23:27:07.723474+07:00</t>
        </is>
      </c>
      <c r="K15" s="3" t="inlineStr">
        <is>
          <t>Close-up of red cardinal, Christmas tree ornaments, snowflake details and quilt stitching.</t>
        </is>
      </c>
      <c r="L15" s="3" t="inlineStr">
        <is>
          <t>Close-up of red cardinal, Christmas tree ornaments, snowflake details and quilt stitching.</t>
        </is>
      </c>
      <c r="M15" s="3" t="inlineStr">
        <is>
          <t>Cardinals Perched Beside Decorated Christmas Tree Patchwork Winter Quilt</t>
        </is>
      </c>
      <c r="N15" s="3" t="inlineStr">
        <is>
          <t>SET</t>
        </is>
      </c>
      <c r="O15" s="3" t="inlineStr">
        <is>
          <t>Close-up of Christmas cardinal quilt stitching</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["D:\\Shopify_Workspace\\jeminise_seo\\seo_runs\\jeminise.com\\20260906_234129\\qa\\20260908_230550\\images\\003_02_47540004126919.jpg", "https://cdn.shopify.com/s/files/1/0792/5098/1063/files/23aae70766fcc57c63f2a120721dae1baf196f15ef46a71bef7a702d11c656ca.jpg?v=1785099109", "seo_runs\\jeminise.com\\20260906_234129\\evidence\\images\\3_cardinals-perched-beside-decorated-christmas-tree-patchwork-winter-quilt-7cd7bc46a0-7cd7bc46a0\\image_02_47540004126919.jpg;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row>
    <row r="16" ht="66" customHeight="1">
      <c r="A16" s="2" t="inlineStr">
        <is>
          <t>jeminise.com+cardinals-perched-beside-decorated-christmas-tree-patchwork-winter-quilt-7cd7bc46a0-7cd7bc46a0</t>
        </is>
      </c>
      <c r="B16" s="2" t="inlineStr">
        <is>
          <t>jeminise.com+cardinals-perched-beside-decorated-christmas-tree-patchwork-winter-quilt-7cd7bc46a0-7cd7bc46a0|47540004159687|GALLERY|3</t>
        </is>
      </c>
      <c r="C16" s="4" t="inlineStr">
        <is>
          <t>https://cdn.shopify.com/s/files/1/0792/5098/1063/files/3357b4715872fc6507e88263f9aa17ed3b1495f7db35293b4d27a2a5b80d78cc.jpg?v=1785099109</t>
        </is>
      </c>
      <c r="D16" s="4" t="inlineStr">
        <is>
          <t>https://cdn.shopify.com/s/files/1/0792/5098/1063/files/3357b4715872fc6507e88263f9aa17ed3b1495f7db35293b4d27a2a5b80d78cc.jpg?v=1785099109</t>
        </is>
      </c>
      <c r="E16" s="2" t="inlineStr">
        <is>
          <t>47540004159687</t>
        </is>
      </c>
      <c r="F16" s="2" t="inlineStr">
        <is>
          <t>47540004159687</t>
        </is>
      </c>
      <c r="G16" s="2" t="inlineStr"/>
      <c r="H16" s="2" t="inlineStr">
        <is>
          <t>GALLERY</t>
        </is>
      </c>
      <c r="I16" s="2" t="inlineStr">
        <is>
          <t>DIRECT_ORIGINAL_IMAGE_REQA_R7</t>
        </is>
      </c>
      <c r="J16" s="2" t="inlineStr">
        <is>
          <t>2026-09-08T23:27:07.723474+07:00</t>
        </is>
      </c>
      <c r="K16" s="2" t="inlineStr">
        <is>
          <t>Matching pillow sham with red cardinal, decorated Christmas tree and remembrance message.</t>
        </is>
      </c>
      <c r="L16" s="2" t="inlineStr">
        <is>
          <t>Matching pillow sham with red cardinal, decorated Christmas tree and remembrance message.</t>
        </is>
      </c>
      <c r="M16" s="2" t="inlineStr">
        <is>
          <t>Cardinals Perched Beside Decorated Christmas Tree Patchwork Winter Quilt</t>
        </is>
      </c>
      <c r="N16" s="2" t="inlineStr">
        <is>
          <t>SET</t>
        </is>
      </c>
      <c r="O16" s="2" t="inlineStr">
        <is>
          <t>Christmas cardinal memorial pillow sham</t>
        </is>
      </c>
      <c r="P16" s="2" t="inlineStr">
        <is>
          <t>FULL</t>
        </is>
      </c>
      <c r="Q16" s="2" t="inlineStr">
        <is>
          <t>FULL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t>
        </is>
      </c>
      <c r="Z16" s="2" t="inlineStr">
        <is>
          <t>["D:\\Shopify_Workspace\\jeminise_seo\\seo_runs\\jeminise.com\\20260906_234129\\qa\\20260908_230550\\images\\003_03_47540004159687.jpg", "https://cdn.shopify.com/s/files/1/0792/5098/1063/files/3357b4715872fc6507e88263f9aa17ed3b1495f7db35293b4d27a2a5b80d78cc.jpg?v=1785099109", "seo_runs\\jeminise.com\\20260906_234129\\evidence\\images\\3_cardinals-perched-beside-decorated-christmas-tree-patchwork-winter-quilt-7cd7bc46a0-7cd7bc46a0\\image_03_47540004159687.jpg;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row>
    <row r="17" ht="66" customHeight="1">
      <c r="A17" s="3" t="inlineStr">
        <is>
          <t>jeminise.com+cardinals-perched-beside-decorated-christmas-tree-patchwork-winter-quilt-7cd7bc46a0-7cd7bc46a0</t>
        </is>
      </c>
      <c r="B17" s="3" t="inlineStr">
        <is>
          <t>jeminise.com+cardinals-perched-beside-decorated-christmas-tree-patchwork-winter-quilt-7cd7bc46a0-7cd7bc46a0|47540004192455|GALLERY|4</t>
        </is>
      </c>
      <c r="C17" s="4" t="inlineStr">
        <is>
          <t>https://cdn.shopify.com/s/files/1/0792/5098/1063/files/04eb35beff0bef995d4912767e2bdec2b80be1f53292fdd9777645dd9375b5aa.jpg?v=1785099109</t>
        </is>
      </c>
      <c r="D17" s="4" t="inlineStr">
        <is>
          <t>https://cdn.shopify.com/s/files/1/0792/5098/1063/files/04eb35beff0bef995d4912767e2bdec2b80be1f53292fdd9777645dd9375b5aa.jpg?v=1785099109</t>
        </is>
      </c>
      <c r="E17" s="3" t="inlineStr">
        <is>
          <t>47540004192455</t>
        </is>
      </c>
      <c r="F17" s="3" t="inlineStr">
        <is>
          <t>47540004192455</t>
        </is>
      </c>
      <c r="G17" s="3" t="inlineStr"/>
      <c r="H17" s="3" t="inlineStr">
        <is>
          <t>GALLERY</t>
        </is>
      </c>
      <c r="I17" s="3" t="inlineStr">
        <is>
          <t>DIRECT_ORIGINAL_IMAGE_REQA_R7</t>
        </is>
      </c>
      <c r="J17" s="3" t="inlineStr">
        <is>
          <t>2026-09-08T23:27:07.723474+07:00</t>
        </is>
      </c>
      <c r="K17" s="3" t="inlineStr">
        <is>
          <t>Bedroom scene showing the Christmas cardinal memorial quilt with coordinated pillow shams.</t>
        </is>
      </c>
      <c r="L17" s="3" t="inlineStr">
        <is>
          <t>Bedroom scene showing the Christmas cardinal memorial quilt with coordinated pillow shams.</t>
        </is>
      </c>
      <c r="M17" s="3" t="inlineStr">
        <is>
          <t>Cardinals Perched Beside Decorated Christmas Tree Patchwork Winter Quilt</t>
        </is>
      </c>
      <c r="N17" s="3" t="inlineStr">
        <is>
          <t>SET</t>
        </is>
      </c>
      <c r="O17" s="3" t="inlineStr">
        <is>
          <t>Christmas cardinal memorial quilt bedroom mockup</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["D:\\Shopify_Workspace\\jeminise_seo\\seo_runs\\jeminise.com\\20260906_234129\\qa\\20260908_230550\\images\\003_04_47540004192455.jpg", "https://cdn.shopify.com/s/files/1/0792/5098/1063/files/04eb35beff0bef995d4912767e2bdec2b80be1f53292fdd9777645dd9375b5aa.jpg?v=1785099109", "seo_runs\\jeminise.com\\20260906_234129\\evidence\\images\\3_cardinals-perched-beside-decorated-christmas-tree-patchwork-winter-quilt-7cd7bc46a0-7cd7bc46a0\\image_04_47540004192455.jpg;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row>
    <row r="18" ht="66" customHeight="1">
      <c r="A18" s="2" t="inlineStr">
        <is>
          <t>jeminise.com+cardinals-perched-beside-decorated-christmas-tree-patchwork-winter-quilt-7cd7bc46a0-7cd7bc46a0</t>
        </is>
      </c>
      <c r="B18" s="2" t="inlineStr">
        <is>
          <t>jeminise.com+cardinals-perched-beside-decorated-christmas-tree-patchwork-winter-quilt-7cd7bc46a0-7cd7bc46a0|47540004225223|GALLERY|5</t>
        </is>
      </c>
      <c r="C18" s="4" t="inlineStr">
        <is>
          <t>https://cdn.shopify.com/s/files/1/0792/5098/1063/files/61192968c1230d5ae97babcfd885b0b0e273f4d893aaaf63a91706f8a569a358.jpg?v=1785099109</t>
        </is>
      </c>
      <c r="D18" s="4" t="inlineStr">
        <is>
          <t>https://cdn.shopify.com/s/files/1/0792/5098/1063/files/61192968c1230d5ae97babcfd885b0b0e273f4d893aaaf63a91706f8a569a358.jpg?v=1785099109</t>
        </is>
      </c>
      <c r="E18" s="2" t="inlineStr">
        <is>
          <t>47540004225223</t>
        </is>
      </c>
      <c r="F18" s="2" t="inlineStr">
        <is>
          <t>47540004225223</t>
        </is>
      </c>
      <c r="G18" s="2" t="inlineStr"/>
      <c r="H18" s="2" t="inlineStr">
        <is>
          <t>GALLERY</t>
        </is>
      </c>
      <c r="I18" s="2" t="inlineStr">
        <is>
          <t>DIRECT_ORIGINAL_IMAGE_REQA_R7</t>
        </is>
      </c>
      <c r="J18" s="2" t="inlineStr">
        <is>
          <t>2026-09-08T23:27:07.723474+07:00</t>
        </is>
      </c>
      <c r="K18" s="2" t="inlineStr">
        <is>
          <t>Size and component panel showing Christmas cardinal quilt sizes and two optional standard shams.</t>
        </is>
      </c>
      <c r="L18" s="2" t="inlineStr">
        <is>
          <t>Size and component panel showing Christmas cardinal quilt sizes and two optional standard shams.</t>
        </is>
      </c>
      <c r="M18" s="2" t="inlineStr">
        <is>
          <t>Cardinals Perched Beside Decorated Christmas Tree Patchwork Winter Quilt</t>
        </is>
      </c>
      <c r="N18" s="2" t="inlineStr">
        <is>
          <t>SET</t>
        </is>
      </c>
      <c r="O18" s="2" t="inlineStr">
        <is>
          <t>Christmas cardinal quilt size and sham options</t>
        </is>
      </c>
      <c r="P18" s="2" t="inlineStr">
        <is>
          <t>FULL</t>
        </is>
      </c>
      <c r="Q18" s="2" t="inlineStr">
        <is>
          <t>FULL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t>
        </is>
      </c>
      <c r="Z18" s="2" t="inlineStr">
        <is>
          <t>["D:\\Shopify_Workspace\\jeminise_seo\\seo_runs\\jeminise.com\\20260906_234129\\qa\\20260908_230550\\images\\003_05_47540004225223.jpg", "https://cdn.shopify.com/s/files/1/0792/5098/1063/files/61192968c1230d5ae97babcfd885b0b0e273f4d893aaaf63a91706f8a569a358.jpg?v=1785099109", "seo_runs\\jeminise.com\\20260906_234129\\evidence\\images\\3_cardinals-perched-beside-decorated-christmas-tree-patchwork-winter-quilt-7cd7bc46a0-7cd7bc46a0\\image_05_47540004225223.jpg;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row>
    <row r="19" ht="66" customHeight="1">
      <c r="A19" s="3" t="inlineStr">
        <is>
          <t>jeminise.com+cardinals-perched-on-branch-with-roses-patchwork-winter-quilt-21ac904cd7-21ac904cd7</t>
        </is>
      </c>
      <c r="B19" s="3" t="inlineStr">
        <is>
          <t>jeminise.com+cardinals-perched-on-branch-with-roses-patchwork-winter-quilt-21ac904cd7-21ac904cd7|47540058390727|GALLERY|1</t>
        </is>
      </c>
      <c r="C19" s="4" t="inlineStr">
        <is>
          <t>https://cdn.shopify.com/s/files/1/0792/5098/1063/files/e3dd349b4f8425ce46aea21296a0670e616f15f912e8415586fd0ccdb402fadf.jpg?v=1785099574</t>
        </is>
      </c>
      <c r="D19" s="4" t="inlineStr">
        <is>
          <t>https://cdn.shopify.com/s/files/1/0792/5098/1063/files/e3dd349b4f8425ce46aea21296a0670e616f15f912e8415586fd0ccdb402fadf.jpg?v=1785099574</t>
        </is>
      </c>
      <c r="E19" s="3" t="inlineStr">
        <is>
          <t>47540058390727</t>
        </is>
      </c>
      <c r="F19" s="3" t="inlineStr">
        <is>
          <t>47540058390727</t>
        </is>
      </c>
      <c r="G19" s="3" t="inlineStr"/>
      <c r="H19" s="3" t="inlineStr">
        <is>
          <t>GALLERY</t>
        </is>
      </c>
      <c r="I19" s="3" t="inlineStr">
        <is>
          <t>DIRECT_ORIGINAL_IMAGE_REQA_R7</t>
        </is>
      </c>
      <c r="J19" s="3" t="inlineStr">
        <is>
          <t>2026-09-08T23:27:07.723474+07:00</t>
        </is>
      </c>
      <c r="K19" s="3" t="inlineStr">
        <is>
          <t>Memorial quilt bed mockup with a cardinal pair on a branch, red roses, butterflies and I Am Always with You text.</t>
        </is>
      </c>
      <c r="L19" s="3" t="inlineStr">
        <is>
          <t>Memorial quilt bed mockup with a cardinal pair on a branch, red roses, butterflies and I Am Always with You text.</t>
        </is>
      </c>
      <c r="M19" s="3" t="inlineStr">
        <is>
          <t>Cardinals Perched on Branch with Roses Patchwork Winter Quilt</t>
        </is>
      </c>
      <c r="N19" s="3" t="inlineStr">
        <is>
          <t>SET</t>
        </is>
      </c>
      <c r="O19" s="3" t="inlineStr">
        <is>
          <t>Cardinal roses memorial quilt set on bed</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["D:\\Shopify_Workspace\\jeminise_seo\\seo_runs\\jeminise.com\\20260906_234129\\qa\\20260908_230550\\images\\004_01_47540058390727.jpg", "https://cdn.shopify.com/s/files/1/0792/5098/1063/files/e3dd349b4f8425ce46aea21296a0670e616f15f912e8415586fd0ccdb402fadf.jpg?v=1785099574", "seo_runs\\jeminise.com\\20260906_234129\\evidence\\images\\4_cardinals-perched-on-branch-with-roses-patchwork-winter-quilt-21ac904cd7-21ac904cd7\\image_01_47540058390727.jpg;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row>
    <row r="20" ht="66" customHeight="1">
      <c r="A20" s="2" t="inlineStr">
        <is>
          <t>jeminise.com+cardinals-perched-on-branch-with-roses-patchwork-winter-quilt-21ac904cd7-21ac904cd7</t>
        </is>
      </c>
      <c r="B20" s="2" t="inlineStr">
        <is>
          <t>jeminise.com+cardinals-perched-on-branch-with-roses-patchwork-winter-quilt-21ac904cd7-21ac904cd7|47540058423495|GALLERY|2</t>
        </is>
      </c>
      <c r="C20" s="4" t="inlineStr">
        <is>
          <t>https://cdn.shopify.com/s/files/1/0792/5098/1063/files/5df2ae7ecc00cd0ab65d149177b7575a1608763d1d943fb3e9c2f1d9d8ad8183.jpg?v=1785099574</t>
        </is>
      </c>
      <c r="D20" s="4" t="inlineStr">
        <is>
          <t>https://cdn.shopify.com/s/files/1/0792/5098/1063/files/5df2ae7ecc00cd0ab65d149177b7575a1608763d1d943fb3e9c2f1d9d8ad8183.jpg?v=1785099574</t>
        </is>
      </c>
      <c r="E20" s="2" t="inlineStr">
        <is>
          <t>47540058423495</t>
        </is>
      </c>
      <c r="F20" s="2" t="inlineStr">
        <is>
          <t>47540058423495</t>
        </is>
      </c>
      <c r="G20" s="2" t="inlineStr"/>
      <c r="H20" s="2" t="inlineStr">
        <is>
          <t>GALLERY</t>
        </is>
      </c>
      <c r="I20" s="2" t="inlineStr">
        <is>
          <t>DIRECT_ORIGINAL_IMAGE_REQA_R7</t>
        </is>
      </c>
      <c r="J20" s="2" t="inlineStr">
        <is>
          <t>2026-09-08T23:27:07.723474+07:00</t>
        </is>
      </c>
      <c r="K20" s="2" t="inlineStr">
        <is>
          <t>Close-up of the cardinal pair, branch, rose artwork and visible quilt stitching.</t>
        </is>
      </c>
      <c r="L20" s="2" t="inlineStr">
        <is>
          <t>Close-up of the cardinal pair, branch, rose artwork and visible quilt stitching.</t>
        </is>
      </c>
      <c r="M20" s="2" t="inlineStr">
        <is>
          <t>Cardinals Perched on Branch with Roses Patchwork Winter Quilt</t>
        </is>
      </c>
      <c r="N20" s="2" t="inlineStr">
        <is>
          <t>SET</t>
        </is>
      </c>
      <c r="O20" s="2" t="inlineStr">
        <is>
          <t>Close-up of cardinal roses quilt stitching</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["D:\\Shopify_Workspace\\jeminise_seo\\seo_runs\\jeminise.com\\20260906_234129\\qa\\20260908_230550\\images\\004_02_47540058423495.jpg", "https://cdn.shopify.com/s/files/1/0792/5098/1063/files/5df2ae7ecc00cd0ab65d149177b7575a1608763d1d943fb3e9c2f1d9d8ad8183.jpg?v=1785099574", "seo_runs\\jeminise.com\\20260906_234129\\evidence\\images\\4_cardinals-perched-on-branch-with-roses-patchwork-winter-quilt-21ac904cd7-21ac904cd7\\image_02_47540058423495.jpg;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row>
    <row r="21" ht="66" customHeight="1">
      <c r="A21" s="3" t="inlineStr">
        <is>
          <t>jeminise.com+cardinals-perched-on-branch-with-roses-patchwork-winter-quilt-21ac904cd7-21ac904cd7</t>
        </is>
      </c>
      <c r="B21" s="3" t="inlineStr">
        <is>
          <t>jeminise.com+cardinals-perched-on-branch-with-roses-patchwork-winter-quilt-21ac904cd7-21ac904cd7|47540058456263|GALLERY|3</t>
        </is>
      </c>
      <c r="C21" s="4" t="inlineStr">
        <is>
          <t>https://cdn.shopify.com/s/files/1/0792/5098/1063/files/237f2056af02c2988db426ce4802f4abd6dac07ceb24c04b20a244c9be27b457.jpg?v=1785099574</t>
        </is>
      </c>
      <c r="D21" s="4" t="inlineStr">
        <is>
          <t>https://cdn.shopify.com/s/files/1/0792/5098/1063/files/237f2056af02c2988db426ce4802f4abd6dac07ceb24c04b20a244c9be27b457.jpg?v=1785099574</t>
        </is>
      </c>
      <c r="E21" s="3" t="inlineStr">
        <is>
          <t>47540058456263</t>
        </is>
      </c>
      <c r="F21" s="3" t="inlineStr">
        <is>
          <t>47540058456263</t>
        </is>
      </c>
      <c r="G21" s="3" t="inlineStr"/>
      <c r="H21" s="3" t="inlineStr">
        <is>
          <t>GALLERY</t>
        </is>
      </c>
      <c r="I21" s="3" t="inlineStr">
        <is>
          <t>DIRECT_ORIGINAL_IMAGE_REQA_R7</t>
        </is>
      </c>
      <c r="J21" s="3" t="inlineStr">
        <is>
          <t>2026-09-08T23:27:07.723474+07:00</t>
        </is>
      </c>
      <c r="K21" s="3" t="inlineStr">
        <is>
          <t>Matching pillow sham with cardinal pair, red roses and remembrance artwork.</t>
        </is>
      </c>
      <c r="L21" s="3" t="inlineStr">
        <is>
          <t>Matching pillow sham with cardinal pair, red roses and remembrance artwork.</t>
        </is>
      </c>
      <c r="M21" s="3" t="inlineStr">
        <is>
          <t>Cardinals Perched on Branch with Roses Patchwork Winter Quilt</t>
        </is>
      </c>
      <c r="N21" s="3" t="inlineStr">
        <is>
          <t>SET</t>
        </is>
      </c>
      <c r="O21" s="3" t="inlineStr">
        <is>
          <t>Cardinal roses memorial pillow sham</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["D:\\Shopify_Workspace\\jeminise_seo\\seo_runs\\jeminise.com\\20260906_234129\\qa\\20260908_230550\\images\\004_03_47540058456263.jpg", "https://cdn.shopify.com/s/files/1/0792/5098/1063/files/237f2056af02c2988db426ce4802f4abd6dac07ceb24c04b20a244c9be27b457.jpg?v=1785099574", "seo_runs\\jeminise.com\\20260906_234129\\evidence\\images\\4_cardinals-perched-on-branch-with-roses-patchwork-winter-quilt-21ac904cd7-21ac904cd7\\image_03_47540058456263.jpg;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row>
    <row r="22" ht="66" customHeight="1">
      <c r="A22" s="2" t="inlineStr">
        <is>
          <t>jeminise.com+cardinals-perched-on-branch-with-roses-patchwork-winter-quilt-21ac904cd7-21ac904cd7</t>
        </is>
      </c>
      <c r="B22" s="2" t="inlineStr">
        <is>
          <t>jeminise.com+cardinals-perched-on-branch-with-roses-patchwork-winter-quilt-21ac904cd7-21ac904cd7|47540058489031|GALLERY|4</t>
        </is>
      </c>
      <c r="C22" s="4" t="inlineStr">
        <is>
          <t>https://cdn.shopify.com/s/files/1/0792/5098/1063/files/f1d2e21fbc5647f823f22c48940e5deec0311ead7e9b772c492ecf82b2b3ff3b.jpg?v=1785099574</t>
        </is>
      </c>
      <c r="D22" s="4" t="inlineStr">
        <is>
          <t>https://cdn.shopify.com/s/files/1/0792/5098/1063/files/f1d2e21fbc5647f823f22c48940e5deec0311ead7e9b772c492ecf82b2b3ff3b.jpg?v=1785099574</t>
        </is>
      </c>
      <c r="E22" s="2" t="inlineStr">
        <is>
          <t>47540058489031</t>
        </is>
      </c>
      <c r="F22" s="2" t="inlineStr">
        <is>
          <t>47540058489031</t>
        </is>
      </c>
      <c r="G22" s="2" t="inlineStr"/>
      <c r="H22" s="2" t="inlineStr">
        <is>
          <t>GALLERY</t>
        </is>
      </c>
      <c r="I22" s="2" t="inlineStr">
        <is>
          <t>DIRECT_ORIGINAL_IMAGE_REQA_R7</t>
        </is>
      </c>
      <c r="J22" s="2" t="inlineStr">
        <is>
          <t>2026-09-08T23:27:07.723474+07:00</t>
        </is>
      </c>
      <c r="K22" s="2" t="inlineStr">
        <is>
          <t>Bedroom scene showing the cardinal roses memorial quilt styled with coordinated pillow shams.</t>
        </is>
      </c>
      <c r="L22" s="2" t="inlineStr">
        <is>
          <t>Bedroom scene showing the cardinal roses memorial quilt styled with coordinated pillow shams.</t>
        </is>
      </c>
      <c r="M22" s="2" t="inlineStr">
        <is>
          <t>Cardinals Perched on Branch with Roses Patchwork Winter Quilt</t>
        </is>
      </c>
      <c r="N22" s="2" t="inlineStr">
        <is>
          <t>SET</t>
        </is>
      </c>
      <c r="O22" s="2" t="inlineStr">
        <is>
          <t>Cardinal roses memorial quilt bedroom mockup</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t>
        </is>
      </c>
      <c r="Z22" s="2" t="inlineStr">
        <is>
          <t>["D:\\Shopify_Workspace\\jeminise_seo\\seo_runs\\jeminise.com\\20260906_234129\\qa\\20260908_230550\\images\\004_04_47540058489031.jpg", "https://cdn.shopify.com/s/files/1/0792/5098/1063/files/f1d2e21fbc5647f823f22c48940e5deec0311ead7e9b772c492ecf82b2b3ff3b.jpg?v=1785099574", "seo_runs\\jeminise.com\\20260906_234129\\evidence\\images\\4_cardinals-perched-on-branch-with-roses-patchwork-winter-quilt-21ac904cd7-21ac904cd7\\image_04_47540058489031.jpg;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row>
    <row r="23" ht="66" customHeight="1">
      <c r="A23" s="3" t="inlineStr">
        <is>
          <t>jeminise.com+cardinals-perched-on-branch-with-roses-patchwork-winter-quilt-21ac904cd7-21ac904cd7</t>
        </is>
      </c>
      <c r="B23" s="3" t="inlineStr">
        <is>
          <t>jeminise.com+cardinals-perched-on-branch-with-roses-patchwork-winter-quilt-21ac904cd7-21ac904cd7|47540058521799|GALLERY|5</t>
        </is>
      </c>
      <c r="C23" s="4" t="inlineStr">
        <is>
          <t>https://cdn.shopify.com/s/files/1/0792/5098/1063/files/1cb933b580b777ff9fc7d527ca0ea879bde39d1f8b7faaac1505885401cf4b7b.jpg?v=1785099574</t>
        </is>
      </c>
      <c r="D23" s="4" t="inlineStr">
        <is>
          <t>https://cdn.shopify.com/s/files/1/0792/5098/1063/files/1cb933b580b777ff9fc7d527ca0ea879bde39d1f8b7faaac1505885401cf4b7b.jpg?v=1785099574</t>
        </is>
      </c>
      <c r="E23" s="3" t="inlineStr">
        <is>
          <t>47540058521799</t>
        </is>
      </c>
      <c r="F23" s="3" t="inlineStr">
        <is>
          <t>47540058521799</t>
        </is>
      </c>
      <c r="G23" s="3" t="inlineStr"/>
      <c r="H23" s="3" t="inlineStr">
        <is>
          <t>GALLERY</t>
        </is>
      </c>
      <c r="I23" s="3" t="inlineStr">
        <is>
          <t>DIRECT_ORIGINAL_IMAGE_REQA_R7</t>
        </is>
      </c>
      <c r="J23" s="3" t="inlineStr">
        <is>
          <t>2026-09-08T23:27:07.723474+07:00</t>
        </is>
      </c>
      <c r="K23" s="3" t="inlineStr">
        <is>
          <t>Size and component panel showing cardinal roses quilt sizes and two optional standard shams.</t>
        </is>
      </c>
      <c r="L23" s="3" t="inlineStr">
        <is>
          <t>Size and component panel showing cardinal roses quilt sizes and two optional standard shams.</t>
        </is>
      </c>
      <c r="M23" s="3" t="inlineStr">
        <is>
          <t>Cardinals Perched on Branch with Roses Patchwork Winter Quilt</t>
        </is>
      </c>
      <c r="N23" s="3" t="inlineStr">
        <is>
          <t>SET</t>
        </is>
      </c>
      <c r="O23" s="3" t="inlineStr">
        <is>
          <t>Cardinal roses quilt size and sham options</t>
        </is>
      </c>
      <c r="P23" s="3" t="inlineStr">
        <is>
          <t>FULL</t>
        </is>
      </c>
      <c r="Q23" s="3" t="inlineStr">
        <is>
          <t>FULL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t>
        </is>
      </c>
      <c r="Z23" s="3" t="inlineStr">
        <is>
          <t>["D:\\Shopify_Workspace\\jeminise_seo\\seo_runs\\jeminise.com\\20260906_234129\\qa\\20260908_230550\\images\\004_05_47540058521799.jpg", "https://cdn.shopify.com/s/files/1/0792/5098/1063/files/1cb933b580b777ff9fc7d527ca0ea879bde39d1f8b7faaac1505885401cf4b7b.jpg?v=1785099574", "seo_runs\\jeminise.com\\20260906_234129\\evidence\\images\\4_cardinals-perched-on-branch-with-roses-patchwork-winter-quilt-21ac904cd7-21ac904cd7\\image_05_47540058521799.jpg;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row>
    <row r="24" ht="66" customHeight="1">
      <c r="A24" s="2" t="inlineStr">
        <is>
          <t>jeminise.com+cat-patchwork-quilt-set-animal-pattern-bedding-cat-pattern-quilt-set</t>
        </is>
      </c>
      <c r="B24" s="2" t="inlineStr">
        <is>
          <t>jeminise.com+cat-patchwork-quilt-set-animal-pattern-bedding-cat-pattern-quilt-set|47933460349127|GALLERY|1</t>
        </is>
      </c>
      <c r="C24" s="4" t="inlineStr">
        <is>
          <t>https://cdn.shopify.com/s/files/1/0792/5098/1063/files/4cb58385aa64c7ba3ce5dabd48014490cd060d90ab8ef7be5d1681dbc0c68a37.jpg?v=1787233666</t>
        </is>
      </c>
      <c r="D24" s="4" t="inlineStr">
        <is>
          <t>https://cdn.shopify.com/s/files/1/0792/5098/1063/files/4cb58385aa64c7ba3ce5dabd48014490cd060d90ab8ef7be5d1681dbc0c68a37.jpg?v=1787233666</t>
        </is>
      </c>
      <c r="E24" s="2" t="inlineStr">
        <is>
          <t>47933460349127</t>
        </is>
      </c>
      <c r="F24" s="2" t="inlineStr">
        <is>
          <t>47933460349127</t>
        </is>
      </c>
      <c r="G24" s="2" t="inlineStr"/>
      <c r="H24" s="2" t="inlineStr">
        <is>
          <t>GALLERY</t>
        </is>
      </c>
      <c r="I24" s="2" t="inlineStr">
        <is>
          <t>DIRECT_ORIGINAL_IMAGE_REQA_R7</t>
        </is>
      </c>
      <c r="J24" s="2" t="inlineStr">
        <is>
          <t>2026-09-08T23:27:07.723474+07:00</t>
        </is>
      </c>
      <c r="K24" s="2" t="inlineStr">
        <is>
          <t>Bed mockup with a large colorful cat face made from bright patchwork blocks on a dark background.</t>
        </is>
      </c>
      <c r="L24" s="2" t="inlineStr">
        <is>
          <t>Bed mockup with a large colorful cat face made from bright patchwork blocks on a dark background.</t>
        </is>
      </c>
      <c r="M24" s="2" t="inlineStr">
        <is>
          <t>Cat Patchwork Quilt Set, Animal Pattern Bedding, Cat Pattern Quilt Set Patchwork Style, Colorful Quilts Bedspread Twin Size, Throw Full Queen King Quilt Blanket</t>
        </is>
      </c>
      <c r="N24" s="2" t="inlineStr">
        <is>
          <t>SET</t>
        </is>
      </c>
      <c r="O24" s="2" t="inlineStr">
        <is>
          <t>Colorful cat face patchwork quilt set</t>
        </is>
      </c>
      <c r="P24" s="2" t="inlineStr">
        <is>
          <t>FULL</t>
        </is>
      </c>
      <c r="Q24" s="2" t="inlineStr">
        <is>
          <t>FULL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t>
        </is>
      </c>
      <c r="Z24" s="2" t="inlineStr">
        <is>
          <t>["D:\\Shopify_Workspace\\jeminise_seo\\seo_runs\\jeminise.com\\20260906_234129\\qa\\20260908_230550\\images\\005_01_47933460349127.jpg", "https://cdn.shopify.com/s/files/1/0792/5098/1063/files/4cb58385aa64c7ba3ce5dabd48014490cd060d90ab8ef7be5d1681dbc0c68a37.jpg?v=1787233666", "seo_runs\\jeminise.com\\20260906_234129\\evidence\\images\\5_cat-patchwork-quilt-set-animal-pattern-bedding-cat-pattern-quilt-set\\image_01_47933460349127.jpg; seo_runs\\jeminise.com\\20260906_234129\\evidence\\contact_sheets\\5_cat-patchwork-quilt-set-animal-pattern-bedding-cat-pattern-quilt-set.jpg"]</t>
        </is>
      </c>
    </row>
    <row r="25" ht="66" customHeight="1">
      <c r="A25" s="3" t="inlineStr">
        <is>
          <t>jeminise.com+cat-patchwork-quilt-set-animal-pattern-bedding-cat-pattern-quilt-set</t>
        </is>
      </c>
      <c r="B25" s="3" t="inlineStr">
        <is>
          <t>jeminise.com+cat-patchwork-quilt-set-animal-pattern-bedding-cat-pattern-quilt-set|47933460381895|GALLERY|2</t>
        </is>
      </c>
      <c r="C25" s="4" t="inlineStr">
        <is>
          <t>https://cdn.shopify.com/s/files/1/0792/5098/1063/files/94180d9f213d8233e384ef8416ec958afd6fe38eeda43d032fd598d852a3a274.jpg?v=1787233665</t>
        </is>
      </c>
      <c r="D25" s="4" t="inlineStr">
        <is>
          <t>https://cdn.shopify.com/s/files/1/0792/5098/1063/files/94180d9f213d8233e384ef8416ec958afd6fe38eeda43d032fd598d852a3a274.jpg?v=1787233665</t>
        </is>
      </c>
      <c r="E25" s="3" t="inlineStr">
        <is>
          <t>47933460381895</t>
        </is>
      </c>
      <c r="F25" s="3" t="inlineStr">
        <is>
          <t>47933460381895</t>
        </is>
      </c>
      <c r="G25" s="3" t="inlineStr"/>
      <c r="H25" s="3" t="inlineStr">
        <is>
          <t>GALLERY</t>
        </is>
      </c>
      <c r="I25" s="3" t="inlineStr">
        <is>
          <t>DIRECT_ORIGINAL_IMAGE_REQA_R7</t>
        </is>
      </c>
      <c r="J25" s="3" t="inlineStr">
        <is>
          <t>2026-09-08T23:27:07.723474+07:00</t>
        </is>
      </c>
      <c r="K25" s="3" t="inlineStr">
        <is>
          <t>Bedroom mockup with colorful cat patchwork quilt and premium printed craft callout.</t>
        </is>
      </c>
      <c r="L25" s="3" t="inlineStr">
        <is>
          <t>Bedroom mockup with colorful cat patchwork quilt and premium printed craft callout.</t>
        </is>
      </c>
      <c r="M25" s="3" t="inlineStr">
        <is>
          <t>Cat Patchwork Quilt Set, Animal Pattern Bedding, Cat Pattern Quilt Set Patchwork Style, Colorful Quilts Bedspread Twin Size, Throw Full Queen King Quilt Blanket</t>
        </is>
      </c>
      <c r="N25" s="3" t="inlineStr">
        <is>
          <t>SET</t>
        </is>
      </c>
      <c r="O25" s="3" t="inlineStr">
        <is>
          <t>Colorful cat patchwork quilt bedroom mockup</t>
        </is>
      </c>
      <c r="P25" s="3" t="inlineStr">
        <is>
          <t>FULL</t>
        </is>
      </c>
      <c r="Q25" s="3" t="inlineStr">
        <is>
          <t>FULL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t>
        </is>
      </c>
      <c r="Z25" s="3" t="inlineStr">
        <is>
          <t>["D:\\Shopify_Workspace\\jeminise_seo\\seo_runs\\jeminise.com\\20260906_234129\\qa\\20260908_230550\\images\\005_02_47933460381895.jpg", "https://cdn.shopify.com/s/files/1/0792/5098/1063/files/94180d9f213d8233e384ef8416ec958afd6fe38eeda43d032fd598d852a3a274.jpg?v=1787233665", "seo_runs\\jeminise.com\\20260906_234129\\evidence\\images\\5_cat-patchwork-quilt-set-animal-pattern-bedding-cat-pattern-quilt-set\\image_02_47933460381895.jpg; seo_runs\\jeminise.com\\20260906_234129\\evidence\\contact_sheets\\5_cat-patchwork-quilt-set-animal-pattern-bedding-cat-pattern-quilt-set.jpg"]</t>
        </is>
      </c>
    </row>
    <row r="26" ht="66" customHeight="1">
      <c r="A26" s="2" t="inlineStr">
        <is>
          <t>jeminise.com+cat-patchwork-quilt-set-animal-pattern-bedding-cat-pattern-quilt-set</t>
        </is>
      </c>
      <c r="B26" s="2" t="inlineStr">
        <is>
          <t>jeminise.com+cat-patchwork-quilt-set-animal-pattern-bedding-cat-pattern-quilt-set|47933460414663|GALLERY|3</t>
        </is>
      </c>
      <c r="C26" s="4" t="inlineStr">
        <is>
          <t>https://cdn.shopify.com/s/files/1/0792/5098/1063/files/a98e42be7f34a03d4b9ee94c19374ef39f213c4ad9c5936eb702be120e072cb3.jpg?v=1787233666</t>
        </is>
      </c>
      <c r="D26" s="4" t="inlineStr">
        <is>
          <t>https://cdn.shopify.com/s/files/1/0792/5098/1063/files/a98e42be7f34a03d4b9ee94c19374ef39f213c4ad9c5936eb702be120e072cb3.jpg?v=1787233666</t>
        </is>
      </c>
      <c r="E26" s="2" t="inlineStr">
        <is>
          <t>47933460414663</t>
        </is>
      </c>
      <c r="F26" s="2" t="inlineStr">
        <is>
          <t>47933460414663</t>
        </is>
      </c>
      <c r="G26" s="2" t="inlineStr"/>
      <c r="H26" s="2" t="inlineStr">
        <is>
          <t>GALLERY</t>
        </is>
      </c>
      <c r="I26" s="2" t="inlineStr">
        <is>
          <t>DIRECT_ORIGINAL_IMAGE_REQA_R7</t>
        </is>
      </c>
      <c r="J26" s="2" t="inlineStr">
        <is>
          <t>2026-09-08T23:27:07.723474+07:00</t>
        </is>
      </c>
      <c r="K26" s="2" t="inlineStr">
        <is>
          <t>Optional pillow shams panel showing coordinated colorful cat face sham artwork.</t>
        </is>
      </c>
      <c r="L26" s="2" t="inlineStr">
        <is>
          <t>Optional pillow shams panel showing coordinated colorful cat face sham artwork.</t>
        </is>
      </c>
      <c r="M26" s="2" t="inlineStr">
        <is>
          <t>Cat Patchwork Quilt Set, Animal Pattern Bedding, Cat Pattern Quilt Set Patchwork Style, Colorful Quilts Bedspread Twin Size, Throw Full Queen King Quilt Blanket</t>
        </is>
      </c>
      <c r="N26" s="2" t="inlineStr">
        <is>
          <t>SET</t>
        </is>
      </c>
      <c r="O26" s="2" t="inlineStr">
        <is>
          <t>Colorful cat patchwork optional pillow shams</t>
        </is>
      </c>
      <c r="P26" s="2" t="inlineStr">
        <is>
          <t>FULL</t>
        </is>
      </c>
      <c r="Q26" s="2" t="inlineStr">
        <is>
          <t>FULL</t>
        </is>
      </c>
      <c r="R26" s="2" t="inlineStr">
        <is>
          <t>FULL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t>
        </is>
      </c>
      <c r="Z26" s="2" t="inlineStr">
        <is>
          <t>["D:\\Shopify_Workspace\\jeminise_seo\\seo_runs\\jeminise.com\\20260906_234129\\qa\\20260908_230550\\images\\005_03_47933460414663.jpg", "https://cdn.shopify.com/s/files/1/0792/5098/1063/files/a98e42be7f34a03d4b9ee94c19374ef39f213c4ad9c5936eb702be120e072cb3.jpg?v=1787233666", "seo_runs\\jeminise.com\\20260906_234129\\evidence\\images\\5_cat-patchwork-quilt-set-animal-pattern-bedding-cat-pattern-quilt-set\\image_03_47933460414663.jpg; seo_runs\\jeminise.com\\20260906_234129\\evidence\\contact_sheets\\5_cat-patchwork-quilt-set-animal-pattern-bedding-cat-pattern-quilt-set.jpg"]</t>
        </is>
      </c>
    </row>
    <row r="27" ht="66" customHeight="1">
      <c r="A27" s="3" t="inlineStr">
        <is>
          <t>jeminise.com+cat-patchwork-quilt-set-animal-pattern-bedding-cat-pattern-quilt-set</t>
        </is>
      </c>
      <c r="B27" s="3" t="inlineStr">
        <is>
          <t>jeminise.com+cat-patchwork-quilt-set-animal-pattern-bedding-cat-pattern-quilt-set|47933460447431|GALLERY|4</t>
        </is>
      </c>
      <c r="C27" s="4" t="inlineStr">
        <is>
          <t>https://cdn.shopify.com/s/files/1/0792/5098/1063/files/06467b270df2093a70f746e873ebb0b88964a81ef45800624c02604fd1ec068a.jpg?v=1787233666</t>
        </is>
      </c>
      <c r="D27" s="4" t="inlineStr">
        <is>
          <t>https://cdn.shopify.com/s/files/1/0792/5098/1063/files/06467b270df2093a70f746e873ebb0b88964a81ef45800624c02604fd1ec068a.jpg?v=1787233666</t>
        </is>
      </c>
      <c r="E27" s="3" t="inlineStr">
        <is>
          <t>47933460447431</t>
        </is>
      </c>
      <c r="F27" s="3" t="inlineStr">
        <is>
          <t>47933460447431</t>
        </is>
      </c>
      <c r="G27" s="3" t="inlineStr"/>
      <c r="H27" s="3" t="inlineStr">
        <is>
          <t>GALLERY</t>
        </is>
      </c>
      <c r="I27" s="3" t="inlineStr">
        <is>
          <t>DIRECT_ORIGINAL_IMAGE_REQA_R7</t>
        </is>
      </c>
      <c r="J27" s="3" t="inlineStr">
        <is>
          <t>2026-09-08T23:27:07.723474+07:00</t>
        </is>
      </c>
      <c r="K27" s="3" t="inlineStr">
        <is>
          <t>Fabric feature panel showing soft breathable skin-friendly material and all-season use notes.</t>
        </is>
      </c>
      <c r="L27" s="3" t="inlineStr">
        <is>
          <t>Fabric feature panel showing soft breathable skin-friendly material and all-season use notes.</t>
        </is>
      </c>
      <c r="M27" s="3" t="inlineStr">
        <is>
          <t>Cat Patchwork Quilt Set, Animal Pattern Bedding, Cat Pattern Quilt Set Patchwork Style, Colorful Quilts Bedspread Twin Size, Throw Full Queen King Quilt Blanket</t>
        </is>
      </c>
      <c r="N27" s="3" t="inlineStr">
        <is>
          <t>SET</t>
        </is>
      </c>
      <c r="O27" s="3" t="inlineStr">
        <is>
          <t>Colorful cat quilt fabric feature panel</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t>
        </is>
      </c>
      <c r="Z27" s="3" t="inlineStr">
        <is>
          <t>["D:\\Shopify_Workspace\\jeminise_seo\\seo_runs\\jeminise.com\\20260906_234129\\qa\\20260908_230550\\images\\005_04_47933460447431.jpg", "https://cdn.shopify.com/s/files/1/0792/5098/1063/files/06467b270df2093a70f746e873ebb0b88964a81ef45800624c02604fd1ec068a.jpg?v=1787233666", "seo_runs\\jeminise.com\\20260906_234129\\evidence\\images\\5_cat-patchwork-quilt-set-animal-pattern-bedding-cat-pattern-quilt-set\\image_04_47933460447431.jpg; seo_runs\\jeminise.com\\20260906_234129\\evidence\\contact_sheets\\5_cat-patchwork-quilt-set-animal-pattern-bedding-cat-pattern-quilt-set.jpg"]</t>
        </is>
      </c>
    </row>
    <row r="28" ht="66" customHeight="1">
      <c r="A28" s="2" t="inlineStr">
        <is>
          <t>jeminise.com+cat-patchwork-quilt-set-animal-pattern-bedding-cat-pattern-quilt-set</t>
        </is>
      </c>
      <c r="B28" s="2" t="inlineStr">
        <is>
          <t>jeminise.com+cat-patchwork-quilt-set-animal-pattern-bedding-cat-pattern-quilt-set|47933460480199|GALLERY|5</t>
        </is>
      </c>
      <c r="C28" s="4" t="inlineStr">
        <is>
          <t>https://cdn.shopify.com/s/files/1/0792/5098/1063/files/1869de0465a480871b4b80a13c5f44c85e64ca5f22f90032fa07b5ca5660dbfb.jpg?v=1787233666</t>
        </is>
      </c>
      <c r="D28" s="4" t="inlineStr">
        <is>
          <t>https://cdn.shopify.com/s/files/1/0792/5098/1063/files/1869de0465a480871b4b80a13c5f44c85e64ca5f22f90032fa07b5ca5660dbfb.jpg?v=1787233666</t>
        </is>
      </c>
      <c r="E28" s="2" t="inlineStr">
        <is>
          <t>47933460480199</t>
        </is>
      </c>
      <c r="F28" s="2" t="inlineStr">
        <is>
          <t>47933460480199</t>
        </is>
      </c>
      <c r="G28" s="2" t="inlineStr"/>
      <c r="H28" s="2" t="inlineStr">
        <is>
          <t>GALLERY</t>
        </is>
      </c>
      <c r="I28" s="2" t="inlineStr">
        <is>
          <t>DIRECT_ORIGINAL_IMAGE_REQA_R7</t>
        </is>
      </c>
      <c r="J28" s="2" t="inlineStr">
        <is>
          <t>2026-09-08T23:27:07.723474+07:00</t>
        </is>
      </c>
      <c r="K28" s="2" t="inlineStr">
        <is>
          <t>Premium quilt set size chart for the colorful cat patchwork design.</t>
        </is>
      </c>
      <c r="L28" s="2" t="inlineStr">
        <is>
          <t>Premium quilt set size chart for the colorful cat patchwork design.</t>
        </is>
      </c>
      <c r="M28" s="2" t="inlineStr">
        <is>
          <t>Cat Patchwork Quilt Set, Animal Pattern Bedding, Cat Pattern Quilt Set Patchwork Style, Colorful Quilts Bedspread Twin Size, Throw Full Queen King Quilt Blanket</t>
        </is>
      </c>
      <c r="N28" s="2" t="inlineStr">
        <is>
          <t>SET</t>
        </is>
      </c>
      <c r="O28" s="2" t="inlineStr">
        <is>
          <t>Colorful cat patchwork quilt size chart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["D:\\Shopify_Workspace\\jeminise_seo\\seo_runs\\jeminise.com\\20260906_234129\\qa\\20260908_230550\\images\\005_05_47933460480199.jpg", "https://cdn.shopify.com/s/files/1/0792/5098/1063/files/1869de0465a480871b4b80a13c5f44c85e64ca5f22f90032fa07b5ca5660dbfb.jpg?v=1787233666", "seo_runs\\jeminise.com\\20260906_234129\\evidence\\images\\5_cat-patchwork-quilt-set-animal-pattern-bedding-cat-pattern-quilt-set\\image_05_47933460480199.jpg; seo_runs\\jeminise.com\\20260906_234129\\evidence\\contact_sheets\\5_cat-patchwork-quilt-set-animal-pattern-bedding-cat-pattern-quilt-set.jpg"]</t>
        </is>
      </c>
    </row>
    <row r="29" ht="66" customHeight="1">
      <c r="A29" s="3" t="inlineStr">
        <is>
          <t>jeminise.com+cat-patchwork-quilt-set-animal-pattern-bedding-cat-pattern-quilt-set</t>
        </is>
      </c>
      <c r="B29" s="3" t="inlineStr">
        <is>
          <t>jeminise.com+cat-patchwork-quilt-set-animal-pattern-bedding-cat-pattern-quilt-set|47933460512967|GALLERY|6</t>
        </is>
      </c>
      <c r="C29" s="4" t="inlineStr">
        <is>
          <t>https://cdn.shopify.com/s/files/1/0792/5098/1063/files/bac284f19ea6eaebff7bffc00fe351531fdc59f4eed7da6ff7803f1bb87999b1.jpg?v=1787233665</t>
        </is>
      </c>
      <c r="D29" s="4" t="inlineStr">
        <is>
          <t>https://cdn.shopify.com/s/files/1/0792/5098/1063/files/bac284f19ea6eaebff7bffc00fe351531fdc59f4eed7da6ff7803f1bb87999b1.jpg?v=1787233665</t>
        </is>
      </c>
      <c r="E29" s="3" t="inlineStr">
        <is>
          <t>47933460512967</t>
        </is>
      </c>
      <c r="F29" s="3" t="inlineStr">
        <is>
          <t>47933460512967</t>
        </is>
      </c>
      <c r="G29" s="3" t="inlineStr"/>
      <c r="H29" s="3" t="inlineStr">
        <is>
          <t>GALLERY</t>
        </is>
      </c>
      <c r="I29" s="3" t="inlineStr">
        <is>
          <t>DIRECT_ORIGINAL_IMAGE_REQA_R7</t>
        </is>
      </c>
      <c r="J29" s="3" t="inlineStr">
        <is>
          <t>2026-09-08T23:27:07.723474+07:00</t>
        </is>
      </c>
      <c r="K29" s="3" t="inlineStr">
        <is>
          <t>Bedspread feature panel with microfiber layers and care-resistance icons.</t>
        </is>
      </c>
      <c r="L29" s="3" t="inlineStr">
        <is>
          <t>Bedspread feature panel with microfiber layers and care-resistance icons.</t>
        </is>
      </c>
      <c r="M29" s="3" t="inlineStr">
        <is>
          <t>Cat Patchwork Quilt Set, Animal Pattern Bedding, Cat Pattern Quilt Set Patchwork Style, Colorful Quilts Bedspread Twin Size, Throw Full Queen King Quilt Blanket</t>
        </is>
      </c>
      <c r="N29" s="3" t="inlineStr">
        <is>
          <t>SET</t>
        </is>
      </c>
      <c r="O29" s="3" t="inlineStr">
        <is>
          <t>Colorful cat quilt bedspread feature panel</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t>
        </is>
      </c>
      <c r="Z29" s="3" t="inlineStr">
        <is>
          <t>["D:\\Shopify_Workspace\\jeminise_seo\\seo_runs\\jeminise.com\\20260906_234129\\qa\\20260908_230550\\images\\005_06_47933460512967.jpg", "https://cdn.shopify.com/s/files/1/0792/5098/1063/files/bac284f19ea6eaebff7bffc00fe351531fdc59f4eed7da6ff7803f1bb87999b1.jpg?v=1787233665", "seo_runs\\jeminise.com\\20260906_234129\\evidence\\images\\5_cat-patchwork-quilt-set-animal-pattern-bedding-cat-pattern-quilt-set\\image_06_47933460512967.jpg; seo_runs\\jeminise.com\\20260906_234129\\evidence\\contact_sheets\\5_cat-patchwork-quilt-set-animal-pattern-bedding-cat-pattern-quilt-set.jpg"]</t>
        </is>
      </c>
    </row>
    <row r="30" ht="66" customHeight="1">
      <c r="A30" s="2" t="inlineStr">
        <is>
          <t>jeminise.com+cat-patchwork-quilt-set-animal-pattern-bedding-cat-pattern-quilt-set</t>
        </is>
      </c>
      <c r="B30" s="2" t="inlineStr">
        <is>
          <t>jeminise.com+cat-patchwork-quilt-set-animal-pattern-bedding-cat-pattern-quilt-set|47933460545735|GALLERY|7</t>
        </is>
      </c>
      <c r="C30" s="4" t="inlineStr">
        <is>
          <t>https://cdn.shopify.com/s/files/1/0792/5098/1063/files/08d3fe0c396e254e929909cf54b1707f62fb396b6d05c2ab0c56c631789ab04d.jpg?v=1787233665</t>
        </is>
      </c>
      <c r="D30" s="4" t="inlineStr">
        <is>
          <t>https://cdn.shopify.com/s/files/1/0792/5098/1063/files/08d3fe0c396e254e929909cf54b1707f62fb396b6d05c2ab0c56c631789ab04d.jpg?v=1787233665</t>
        </is>
      </c>
      <c r="E30" s="2" t="inlineStr">
        <is>
          <t>47933460545735</t>
        </is>
      </c>
      <c r="F30" s="2" t="inlineStr">
        <is>
          <t>47933460545735</t>
        </is>
      </c>
      <c r="G30" s="2" t="inlineStr"/>
      <c r="H30" s="2" t="inlineStr">
        <is>
          <t>GALLERY</t>
        </is>
      </c>
      <c r="I30" s="2" t="inlineStr">
        <is>
          <t>DIRECT_ORIGINAL_IMAGE_REQA_R7</t>
        </is>
      </c>
      <c r="J30" s="2" t="inlineStr">
        <is>
          <t>2026-09-08T23:27:07.723474+07:00</t>
        </is>
      </c>
      <c r="K30" s="2" t="inlineStr">
        <is>
          <t>Second bedroom mockup showing the colorful cat face quilt from a different room angle.</t>
        </is>
      </c>
      <c r="L30" s="2" t="inlineStr">
        <is>
          <t>Second bedroom mockup showing the colorful cat face quilt from a different room angle.</t>
        </is>
      </c>
      <c r="M30" s="2" t="inlineStr">
        <is>
          <t>Cat Patchwork Quilt Set, Animal Pattern Bedding, Cat Pattern Quilt Set Patchwork Style, Colorful Quilts Bedspread Twin Size, Throw Full Queen King Quilt Blanket</t>
        </is>
      </c>
      <c r="N30" s="2" t="inlineStr">
        <is>
          <t>SET</t>
        </is>
      </c>
      <c r="O30" s="2" t="inlineStr">
        <is>
          <t>Colorful cat quilt second bedroom mockup</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t>
        </is>
      </c>
      <c r="Z30" s="2" t="inlineStr">
        <is>
          <t>["D:\\Shopify_Workspace\\jeminise_seo\\seo_runs\\jeminise.com\\20260906_234129\\qa\\20260908_230550\\images\\005_07_47933460545735.jpg", "https://cdn.shopify.com/s/files/1/0792/5098/1063/files/08d3fe0c396e254e929909cf54b1707f62fb396b6d05c2ab0c56c631789ab04d.jpg?v=1787233665", "seo_runs\\jeminise.com\\20260906_234129\\evidence\\images\\5_cat-patchwork-quilt-set-animal-pattern-bedding-cat-pattern-quilt-set\\image_07_47933460545735.jpg; seo_runs\\jeminise.com\\20260906_234129\\evidence\\contact_sheets\\5_cat-patchwork-quilt-set-animal-pattern-bedding-cat-pattern-quilt-set.jpg"]</t>
        </is>
      </c>
    </row>
    <row r="31" ht="66" customHeight="1">
      <c r="A31" s="3" t="inlineStr">
        <is>
          <t>jeminise.com+cat-quilt-set-cat-patchwork-style-printed-bedding-animal-patchwork</t>
        </is>
      </c>
      <c r="B31" s="3" t="inlineStr">
        <is>
          <t>jeminise.com+cat-quilt-set-cat-patchwork-style-printed-bedding-animal-patchwork|47933461725383|GALLERY|1</t>
        </is>
      </c>
      <c r="C31" s="4" t="inlineStr">
        <is>
          <t>https://cdn.shopify.com/s/files/1/0792/5098/1063/files/168d48c33af74fd729615aa6c0790691ec2ec8ab000886bd93c0851b05764cb5.jpg?v=1787233678</t>
        </is>
      </c>
      <c r="D31" s="4" t="inlineStr">
        <is>
          <t>https://cdn.shopify.com/s/files/1/0792/5098/1063/files/168d48c33af74fd729615aa6c0790691ec2ec8ab000886bd93c0851b05764cb5.jpg?v=1787233678</t>
        </is>
      </c>
      <c r="E31" s="3" t="inlineStr">
        <is>
          <t>47933461725383</t>
        </is>
      </c>
      <c r="F31" s="3" t="inlineStr">
        <is>
          <t>47933461725383</t>
        </is>
      </c>
      <c r="G31" s="3" t="inlineStr"/>
      <c r="H31" s="3" t="inlineStr">
        <is>
          <t>GALLERY</t>
        </is>
      </c>
      <c r="I31" s="3" t="inlineStr">
        <is>
          <t>DIRECT_ORIGINAL_IMAGE_REQA_R7</t>
        </is>
      </c>
      <c r="J31" s="3" t="inlineStr">
        <is>
          <t>2026-09-08T23:27:07.723474+07:00</t>
        </is>
      </c>
      <c r="K31" s="3" t="inlineStr">
        <is>
          <t>Bed mockup with a geometric sitting cat in warm orange and red patchwork on a beige leaf background.</t>
        </is>
      </c>
      <c r="L31" s="3" t="inlineStr">
        <is>
          <t>Bed mockup with a geometric sitting cat in warm orange and red patchwork on a beige leaf background.</t>
        </is>
      </c>
      <c r="M31" s="3" t="inlineStr">
        <is>
          <t>Cat Quilt Set - Cat Patchwork Style Printed Bedding, Animal Patchwork Bedset, Farmhouse Blanket with Pillowcases, Premium Quilt Pattern Bedding Set, Twin Full Queen Size</t>
        </is>
      </c>
      <c r="N31" s="3" t="inlineStr">
        <is>
          <t>SET</t>
        </is>
      </c>
      <c r="O31" s="3" t="inlineStr">
        <is>
          <t>Geometric sitting cat patchwork quilt set</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["D:\\Shopify_Workspace\\jeminise_seo\\seo_runs\\jeminise.com\\20260906_234129\\qa\\20260908_230550\\images\\006_01_47933461725383.jpg", "https://cdn.shopify.com/s/files/1/0792/5098/1063/files/168d48c33af74fd729615aa6c0790691ec2ec8ab000886bd93c0851b05764cb5.jpg?v=1787233678", "seo_runs\\jeminise.com\\20260906_234129\\evidence\\images\\6_cat-quilt-set-cat-patchwork-style-printed-bedding-animal-patchwork\\image_01_47933461725383.jpg; seo_runs\\jeminise.com\\20260906_234129\\evidence\\contact_sheets\\6_cat-quilt-set-cat-patchwork-style-printed-bedding-animal-patchwork.jpg"]</t>
        </is>
      </c>
    </row>
    <row r="32" ht="66" customHeight="1">
      <c r="A32" s="2" t="inlineStr">
        <is>
          <t>jeminise.com+cat-quilt-set-cat-patchwork-style-printed-bedding-animal-patchwork</t>
        </is>
      </c>
      <c r="B32" s="2" t="inlineStr">
        <is>
          <t>jeminise.com+cat-quilt-set-cat-patchwork-style-printed-bedding-animal-patchwork|47933461758151|GALLERY|2</t>
        </is>
      </c>
      <c r="C32" s="4" t="inlineStr">
        <is>
          <t>https://cdn.shopify.com/s/files/1/0792/5098/1063/files/5fb11ab02ba6d7c7d6dc7b600952eeed36e59dc4fd7d78e26290c5b4432ce84a.jpg?v=1787233677</t>
        </is>
      </c>
      <c r="D32" s="4" t="inlineStr">
        <is>
          <t>https://cdn.shopify.com/s/files/1/0792/5098/1063/files/5fb11ab02ba6d7c7d6dc7b600952eeed36e59dc4fd7d78e26290c5b4432ce84a.jpg?v=1787233677</t>
        </is>
      </c>
      <c r="E32" s="2" t="inlineStr">
        <is>
          <t>47933461758151</t>
        </is>
      </c>
      <c r="F32" s="2" t="inlineStr">
        <is>
          <t>47933461758151</t>
        </is>
      </c>
      <c r="G32" s="2" t="inlineStr"/>
      <c r="H32" s="2" t="inlineStr">
        <is>
          <t>GALLERY</t>
        </is>
      </c>
      <c r="I32" s="2" t="inlineStr">
        <is>
          <t>DIRECT_ORIGINAL_IMAGE_REQA_R7</t>
        </is>
      </c>
      <c r="J32" s="2" t="inlineStr">
        <is>
          <t>2026-09-08T23:27:07.723474+07:00</t>
        </is>
      </c>
      <c r="K32" s="2" t="inlineStr">
        <is>
          <t>Bedroom mockup with geometric cat patchwork quilt and premium printed craft callout.</t>
        </is>
      </c>
      <c r="L32" s="2" t="inlineStr">
        <is>
          <t>Bedroom mockup with geometric cat patchwork quilt and premium printed craft callout.</t>
        </is>
      </c>
      <c r="M32" s="2" t="inlineStr">
        <is>
          <t>Cat Quilt Set - Cat Patchwork Style Printed Bedding, Animal Patchwork Bedset, Farmhouse Blanket with Pillowcases, Premium Quilt Pattern Bedding Set, Twin Full Queen Size</t>
        </is>
      </c>
      <c r="N32" s="2" t="inlineStr">
        <is>
          <t>SET</t>
        </is>
      </c>
      <c r="O32" s="2" t="inlineStr">
        <is>
          <t>Geometric cat patchwork quilt bedroom mockup</t>
        </is>
      </c>
      <c r="P32" s="2" t="inlineStr">
        <is>
          <t>FULL</t>
        </is>
      </c>
      <c r="Q32" s="2" t="inlineStr">
        <is>
          <t>FULL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t>
        </is>
      </c>
      <c r="Z32" s="2" t="inlineStr">
        <is>
          <t>["D:\\Shopify_Workspace\\jeminise_seo\\seo_runs\\jeminise.com\\20260906_234129\\qa\\20260908_230550\\images\\006_02_47933461758151.jpg", "https://cdn.shopify.com/s/files/1/0792/5098/1063/files/5fb11ab02ba6d7c7d6dc7b600952eeed36e59dc4fd7d78e26290c5b4432ce84a.jpg?v=1787233677", "seo_runs\\jeminise.com\\20260906_234129\\evidence\\images\\6_cat-quilt-set-cat-patchwork-style-printed-bedding-animal-patchwork\\image_02_47933461758151.jpg; seo_runs\\jeminise.com\\20260906_234129\\evidence\\contact_sheets\\6_cat-quilt-set-cat-patchwork-style-printed-bedding-animal-patchwork.jpg"]</t>
        </is>
      </c>
    </row>
    <row r="33" ht="66" customHeight="1">
      <c r="A33" s="3" t="inlineStr">
        <is>
          <t>jeminise.com+cat-quilt-set-cat-patchwork-style-printed-bedding-animal-patchwork</t>
        </is>
      </c>
      <c r="B33" s="3" t="inlineStr">
        <is>
          <t>jeminise.com+cat-quilt-set-cat-patchwork-style-printed-bedding-animal-patchwork|47933461790919|GALLERY|3</t>
        </is>
      </c>
      <c r="C33" s="4" t="inlineStr">
        <is>
          <t>https://cdn.shopify.com/s/files/1/0792/5098/1063/files/016cba1137ec3b2b7bdd46e0d797a4962a5f54c2379fde509b2301ca87b4ad35.jpg?v=1787233678</t>
        </is>
      </c>
      <c r="D33" s="4" t="inlineStr">
        <is>
          <t>https://cdn.shopify.com/s/files/1/0792/5098/1063/files/016cba1137ec3b2b7bdd46e0d797a4962a5f54c2379fde509b2301ca87b4ad35.jpg?v=1787233678</t>
        </is>
      </c>
      <c r="E33" s="3" t="inlineStr">
        <is>
          <t>47933461790919</t>
        </is>
      </c>
      <c r="F33" s="3" t="inlineStr">
        <is>
          <t>47933461790919</t>
        </is>
      </c>
      <c r="G33" s="3" t="inlineStr"/>
      <c r="H33" s="3" t="inlineStr">
        <is>
          <t>GALLERY</t>
        </is>
      </c>
      <c r="I33" s="3" t="inlineStr">
        <is>
          <t>DIRECT_ORIGINAL_IMAGE_REQA_R7</t>
        </is>
      </c>
      <c r="J33" s="3" t="inlineStr">
        <is>
          <t>2026-09-08T23:27:07.723474+07:00</t>
        </is>
      </c>
      <c r="K33" s="3" t="inlineStr">
        <is>
          <t>Optional pillow shams panel showing coordinated geometric cat sham artwork.</t>
        </is>
      </c>
      <c r="L33" s="3" t="inlineStr">
        <is>
          <t>Optional pillow shams panel showing coordinated geometric cat sham artwork.</t>
        </is>
      </c>
      <c r="M33" s="3" t="inlineStr">
        <is>
          <t>Cat Quilt Set - Cat Patchwork Style Printed Bedding, Animal Patchwork Bedset, Farmhouse Blanket with Pillowcases, Premium Quilt Pattern Bedding Set, Twin Full Queen Size</t>
        </is>
      </c>
      <c r="N33" s="3" t="inlineStr">
        <is>
          <t>SET</t>
        </is>
      </c>
      <c r="O33" s="3" t="inlineStr">
        <is>
          <t>Geometric cat patchwork optional pillow shams</t>
        </is>
      </c>
      <c r="P33" s="3" t="inlineStr">
        <is>
          <t>FULL</t>
        </is>
      </c>
      <c r="Q33" s="3" t="inlineStr">
        <is>
          <t>FULL</t>
        </is>
      </c>
      <c r="R33" s="3" t="inlineStr">
        <is>
          <t>FULL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t>
        </is>
      </c>
      <c r="Z33" s="3" t="inlineStr">
        <is>
          <t>["D:\\Shopify_Workspace\\jeminise_seo\\seo_runs\\jeminise.com\\20260906_234129\\qa\\20260908_230550\\images\\006_03_47933461790919.jpg", "https://cdn.shopify.com/s/files/1/0792/5098/1063/files/016cba1137ec3b2b7bdd46e0d797a4962a5f54c2379fde509b2301ca87b4ad35.jpg?v=1787233678", "seo_runs\\jeminise.com\\20260906_234129\\evidence\\images\\6_cat-quilt-set-cat-patchwork-style-printed-bedding-animal-patchwork\\image_03_47933461790919.jpg; seo_runs\\jeminise.com\\20260906_234129\\evidence\\contact_sheets\\6_cat-quilt-set-cat-patchwork-style-printed-bedding-animal-patchwork.jpg"]</t>
        </is>
      </c>
    </row>
    <row r="34" ht="66" customHeight="1">
      <c r="A34" s="2" t="inlineStr">
        <is>
          <t>jeminise.com+cat-quilt-set-cat-patchwork-style-printed-bedding-animal-patchwork</t>
        </is>
      </c>
      <c r="B34" s="2" t="inlineStr">
        <is>
          <t>jeminise.com+cat-quilt-set-cat-patchwork-style-printed-bedding-animal-patchwork|47933461823687|GALLERY|4</t>
        </is>
      </c>
      <c r="C34" s="4" t="inlineStr">
        <is>
          <t>https://cdn.shopify.com/s/files/1/0792/5098/1063/files/f8cc70311d22e4bc770b45756e723f2451f8d0e3a5de4035dc223375ea6ac88e.jpg?v=1787233678</t>
        </is>
      </c>
      <c r="D34" s="4" t="inlineStr">
        <is>
          <t>https://cdn.shopify.com/s/files/1/0792/5098/1063/files/f8cc70311d22e4bc770b45756e723f2451f8d0e3a5de4035dc223375ea6ac88e.jpg?v=1787233678</t>
        </is>
      </c>
      <c r="E34" s="2" t="inlineStr">
        <is>
          <t>47933461823687</t>
        </is>
      </c>
      <c r="F34" s="2" t="inlineStr">
        <is>
          <t>47933461823687</t>
        </is>
      </c>
      <c r="G34" s="2" t="inlineStr"/>
      <c r="H34" s="2" t="inlineStr">
        <is>
          <t>GALLERY</t>
        </is>
      </c>
      <c r="I34" s="2" t="inlineStr">
        <is>
          <t>DIRECT_ORIGINAL_IMAGE_REQA_R7</t>
        </is>
      </c>
      <c r="J34" s="2" t="inlineStr">
        <is>
          <t>2026-09-08T23:27:07.723474+07:00</t>
        </is>
      </c>
      <c r="K34" s="2" t="inlineStr">
        <is>
          <t>Fabric feature panel showing soft breathable skin-friendly material and all-season use notes.</t>
        </is>
      </c>
      <c r="L34" s="2" t="inlineStr">
        <is>
          <t>Fabric feature panel showing soft breathable skin-friendly material and all-season use notes.</t>
        </is>
      </c>
      <c r="M34" s="2" t="inlineStr">
        <is>
          <t>Cat Quilt Set - Cat Patchwork Style Printed Bedding, Animal Patchwork Bedset, Farmhouse Blanket with Pillowcases, Premium Quilt Pattern Bedding Set, Twin Full Queen Size</t>
        </is>
      </c>
      <c r="N34" s="2" t="inlineStr">
        <is>
          <t>SET</t>
        </is>
      </c>
      <c r="O34" s="2" t="inlineStr">
        <is>
          <t>Geometric cat quilt fabric feature panel</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["D:\\Shopify_Workspace\\jeminise_seo\\seo_runs\\jeminise.com\\20260906_234129\\qa\\20260908_230550\\images\\006_04_47933461823687.jpg", "https://cdn.shopify.com/s/files/1/0792/5098/1063/files/f8cc70311d22e4bc770b45756e723f2451f8d0e3a5de4035dc223375ea6ac88e.jpg?v=1787233678", "seo_runs\\jeminise.com\\20260906_234129\\evidence\\images\\6_cat-quilt-set-cat-patchwork-style-printed-bedding-animal-patchwork\\image_04_47933461823687.jpg; seo_runs\\jeminise.com\\20260906_234129\\evidence\\contact_sheets\\6_cat-quilt-set-cat-patchwork-style-printed-bedding-animal-patchwork.jpg"]</t>
        </is>
      </c>
    </row>
    <row r="35" ht="66" customHeight="1">
      <c r="A35" s="3" t="inlineStr">
        <is>
          <t>jeminise.com+cat-quilt-set-cat-patchwork-style-printed-bedding-animal-patchwork</t>
        </is>
      </c>
      <c r="B35" s="3" t="inlineStr">
        <is>
          <t>jeminise.com+cat-quilt-set-cat-patchwork-style-printed-bedding-animal-patchwork|47933461856455|GALLERY|5</t>
        </is>
      </c>
      <c r="C35" s="4" t="inlineStr">
        <is>
          <t>https://cdn.shopify.com/s/files/1/0792/5098/1063/files/0b98d63f67b9b39913382ed53f2a21445b22531d2b9fff267d884d37d466742f.jpg?v=1787233678</t>
        </is>
      </c>
      <c r="D35" s="4" t="inlineStr">
        <is>
          <t>https://cdn.shopify.com/s/files/1/0792/5098/1063/files/0b98d63f67b9b39913382ed53f2a21445b22531d2b9fff267d884d37d466742f.jpg?v=1787233678</t>
        </is>
      </c>
      <c r="E35" s="3" t="inlineStr">
        <is>
          <t>47933461856455</t>
        </is>
      </c>
      <c r="F35" s="3" t="inlineStr">
        <is>
          <t>47933461856455</t>
        </is>
      </c>
      <c r="G35" s="3" t="inlineStr"/>
      <c r="H35" s="3" t="inlineStr">
        <is>
          <t>GALLERY</t>
        </is>
      </c>
      <c r="I35" s="3" t="inlineStr">
        <is>
          <t>DIRECT_ORIGINAL_IMAGE_REQA_R7</t>
        </is>
      </c>
      <c r="J35" s="3" t="inlineStr">
        <is>
          <t>2026-09-08T23:27:07.723474+07:00</t>
        </is>
      </c>
      <c r="K35" s="3" t="inlineStr">
        <is>
          <t>Premium quilt set size chart for the geometric cat patchwork design.</t>
        </is>
      </c>
      <c r="L35" s="3" t="inlineStr">
        <is>
          <t>Premium quilt set size chart for the geometric cat patchwork design.</t>
        </is>
      </c>
      <c r="M35" s="3" t="inlineStr">
        <is>
          <t>Cat Quilt Set - Cat Patchwork Style Printed Bedding, Animal Patchwork Bedset, Farmhouse Blanket with Pillowcases, Premium Quilt Pattern Bedding Set, Twin Full Queen Size</t>
        </is>
      </c>
      <c r="N35" s="3" t="inlineStr">
        <is>
          <t>SET</t>
        </is>
      </c>
      <c r="O35" s="3" t="inlineStr">
        <is>
          <t>Geometric cat patchwork quilt size chart</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["D:\\Shopify_Workspace\\jeminise_seo\\seo_runs\\jeminise.com\\20260906_234129\\qa\\20260908_230550\\images\\006_05_47933461856455.jpg", "https://cdn.shopify.com/s/files/1/0792/5098/1063/files/0b98d63f67b9b39913382ed53f2a21445b22531d2b9fff267d884d37d466742f.jpg?v=1787233678", "seo_runs\\jeminise.com\\20260906_234129\\evidence\\images\\6_cat-quilt-set-cat-patchwork-style-printed-bedding-animal-patchwork\\image_05_47933461856455.jpg; seo_runs\\jeminise.com\\20260906_234129\\evidence\\contact_sheets\\6_cat-quilt-set-cat-patchwork-style-printed-bedding-animal-patchwork.jpg"]</t>
        </is>
      </c>
    </row>
    <row r="36" ht="66" customHeight="1">
      <c r="A36" s="2" t="inlineStr">
        <is>
          <t>jeminise.com+cat-quilt-set-cat-patchwork-style-printed-bedding-animal-patchwork</t>
        </is>
      </c>
      <c r="B36" s="2" t="inlineStr">
        <is>
          <t>jeminise.com+cat-quilt-set-cat-patchwork-style-printed-bedding-animal-patchwork|47933461889223|GALLERY|6</t>
        </is>
      </c>
      <c r="C36" s="4" t="inlineStr">
        <is>
          <t>https://cdn.shopify.com/s/files/1/0792/5098/1063/files/5155a60b18436e391bed973022f7062d5434ddd6d570a51bc67a5fdb0c719df7.jpg?v=1787233678</t>
        </is>
      </c>
      <c r="D36" s="4" t="inlineStr">
        <is>
          <t>https://cdn.shopify.com/s/files/1/0792/5098/1063/files/5155a60b18436e391bed973022f7062d5434ddd6d570a51bc67a5fdb0c719df7.jpg?v=1787233678</t>
        </is>
      </c>
      <c r="E36" s="2" t="inlineStr">
        <is>
          <t>47933461889223</t>
        </is>
      </c>
      <c r="F36" s="2" t="inlineStr">
        <is>
          <t>47933461889223</t>
        </is>
      </c>
      <c r="G36" s="2" t="inlineStr"/>
      <c r="H36" s="2" t="inlineStr">
        <is>
          <t>GALLERY</t>
        </is>
      </c>
      <c r="I36" s="2" t="inlineStr">
        <is>
          <t>DIRECT_ORIGINAL_IMAGE_REQA_R7</t>
        </is>
      </c>
      <c r="J36" s="2" t="inlineStr">
        <is>
          <t>2026-09-08T23:27:07.723474+07:00</t>
        </is>
      </c>
      <c r="K36" s="2" t="inlineStr">
        <is>
          <t>Bedspread feature panel with microfiber layers and care-resistance icons.</t>
        </is>
      </c>
      <c r="L36" s="2" t="inlineStr">
        <is>
          <t>Bedspread feature panel with microfiber layers and care-resistance icons.</t>
        </is>
      </c>
      <c r="M36" s="2" t="inlineStr">
        <is>
          <t>Cat Quilt Set - Cat Patchwork Style Printed Bedding, Animal Patchwork Bedset, Farmhouse Blanket with Pillowcases, Premium Quilt Pattern Bedding Set, Twin Full Queen Size</t>
        </is>
      </c>
      <c r="N36" s="2" t="inlineStr">
        <is>
          <t>SET</t>
        </is>
      </c>
      <c r="O36" s="2" t="inlineStr">
        <is>
          <t>Geometric cat quilt bedspread feature panel</t>
        </is>
      </c>
      <c r="P36" s="2" t="inlineStr">
        <is>
          <t>FULL</t>
        </is>
      </c>
      <c r="Q36" s="2" t="inlineStr">
        <is>
          <t>FULL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t>
        </is>
      </c>
      <c r="Z36" s="2" t="inlineStr">
        <is>
          <t>["D:\\Shopify_Workspace\\jeminise_seo\\seo_runs\\jeminise.com\\20260906_234129\\qa\\20260908_230550\\images\\006_06_47933461889223.jpg", "https://cdn.shopify.com/s/files/1/0792/5098/1063/files/5155a60b18436e391bed973022f7062d5434ddd6d570a51bc67a5fdb0c719df7.jpg?v=1787233678", "seo_runs\\jeminise.com\\20260906_234129\\evidence\\images\\6_cat-quilt-set-cat-patchwork-style-printed-bedding-animal-patchwork\\image_06_47933461889223.jpg; seo_runs\\jeminise.com\\20260906_234129\\evidence\\contact_sheets\\6_cat-quilt-set-cat-patchwork-style-printed-bedding-animal-patchwork.jpg"]</t>
        </is>
      </c>
    </row>
    <row r="37" ht="66" customHeight="1">
      <c r="A37" s="3" t="inlineStr">
        <is>
          <t>jeminise.com+cat-quilt-set-cat-patchwork-style-printed-bedding-animal-patchwork</t>
        </is>
      </c>
      <c r="B37" s="3" t="inlineStr">
        <is>
          <t>jeminise.com+cat-quilt-set-cat-patchwork-style-printed-bedding-animal-patchwork|47933461921991|GALLERY|7</t>
        </is>
      </c>
      <c r="C37" s="4" t="inlineStr">
        <is>
          <t>https://cdn.shopify.com/s/files/1/0792/5098/1063/files/0df0c698011b3a8e7982071042b9453452548b6175c2c4076cc8bb84ebb1a277.jpg?v=1787233678</t>
        </is>
      </c>
      <c r="D37" s="4" t="inlineStr">
        <is>
          <t>https://cdn.shopify.com/s/files/1/0792/5098/1063/files/0df0c698011b3a8e7982071042b9453452548b6175c2c4076cc8bb84ebb1a277.jpg?v=1787233678</t>
        </is>
      </c>
      <c r="E37" s="3" t="inlineStr">
        <is>
          <t>47933461921991</t>
        </is>
      </c>
      <c r="F37" s="3" t="inlineStr">
        <is>
          <t>47933461921991</t>
        </is>
      </c>
      <c r="G37" s="3" t="inlineStr"/>
      <c r="H37" s="3" t="inlineStr">
        <is>
          <t>GALLERY</t>
        </is>
      </c>
      <c r="I37" s="3" t="inlineStr">
        <is>
          <t>DIRECT_ORIGINAL_IMAGE_REQA_R7</t>
        </is>
      </c>
      <c r="J37" s="3" t="inlineStr">
        <is>
          <t>2026-09-08T23:27:07.723474+07:00</t>
        </is>
      </c>
      <c r="K37" s="3" t="inlineStr">
        <is>
          <t>Second bedroom mockup showing the geometric cat quilt from a different room angle.</t>
        </is>
      </c>
      <c r="L37" s="3" t="inlineStr">
        <is>
          <t>Second bedroom mockup showing the geometric cat quilt from a different room angle.</t>
        </is>
      </c>
      <c r="M37" s="3" t="inlineStr">
        <is>
          <t>Cat Quilt Set - Cat Patchwork Style Printed Bedding, Animal Patchwork Bedset, Farmhouse Blanket with Pillowcases, Premium Quilt Pattern Bedding Set, Twin Full Queen Size</t>
        </is>
      </c>
      <c r="N37" s="3" t="inlineStr">
        <is>
          <t>SET</t>
        </is>
      </c>
      <c r="O37" s="3" t="inlineStr">
        <is>
          <t>Geometric cat quilt second bedroom mockup</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t>
        </is>
      </c>
      <c r="Z37" s="3" t="inlineStr">
        <is>
          <t>["D:\\Shopify_Workspace\\jeminise_seo\\seo_runs\\jeminise.com\\20260906_234129\\qa\\20260908_230550\\images\\006_07_47933461921991.jpg", "https://cdn.shopify.com/s/files/1/0792/5098/1063/files/0df0c698011b3a8e7982071042b9453452548b6175c2c4076cc8bb84ebb1a277.jpg?v=1787233678", "seo_runs\\jeminise.com\\20260906_234129\\evidence\\images\\6_cat-quilt-set-cat-patchwork-style-printed-bedding-animal-patchwork\\image_07_47933461921991.jpg; seo_runs\\jeminise.com\\20260906_234129\\evidence\\contact_sheets\\6_cat-quilt-set-cat-patchwork-style-printed-bedding-animal-patchwork.jpg"]</t>
        </is>
      </c>
    </row>
    <row r="38" ht="66" customHeight="1">
      <c r="A38" s="2" t="inlineStr">
        <is>
          <t>jeminise.com+celtic-and-fantasy-quilt-set-with-twisting-tree-trunk-and-exposed-roots-c7b1460bad-c7b1460bad</t>
        </is>
      </c>
      <c r="B38" s="2" t="inlineStr">
        <is>
          <t>jeminise.com+celtic-and-fantasy-quilt-set-with-twisting-tree-trunk-and-exposed-roots-c7b1460bad-c7b1460bad|47531997331655|GALLERY|1</t>
        </is>
      </c>
      <c r="C38" s="4" t="inlineStr">
        <is>
          <t>https://cdn.shopify.com/s/files/1/0792/5098/1063/files/fa88df693fa60cabcd0f81ce06bcd29af56cdf7514f68810d99ef599203c821d.jpg?v=1785047367</t>
        </is>
      </c>
      <c r="D38" s="4" t="inlineStr">
        <is>
          <t>https://cdn.shopify.com/s/files/1/0792/5098/1063/files/fa88df693fa60cabcd0f81ce06bcd29af56cdf7514f68810d99ef599203c821d.jpg?v=1785047367</t>
        </is>
      </c>
      <c r="E38" s="2" t="inlineStr">
        <is>
          <t>47531997331655</t>
        </is>
      </c>
      <c r="F38" s="2" t="inlineStr">
        <is>
          <t>47531997331655</t>
        </is>
      </c>
      <c r="G38" s="2" t="inlineStr"/>
      <c r="H38" s="2" t="inlineStr">
        <is>
          <t>GALLERY</t>
        </is>
      </c>
      <c r="I38" s="2" t="inlineStr">
        <is>
          <t>DIRECT_ORIGINAL_IMAGE_REQA_R7</t>
        </is>
      </c>
      <c r="J38" s="2" t="inlineStr">
        <is>
          <t>2026-09-08T23:27:07.723474+07:00</t>
        </is>
      </c>
      <c r="K38" s="2" t="inlineStr">
        <is>
          <t>Bed mockup with a twisting fantasy tree trunk, exposed roots, teal landscape accents and Celtic knot border.</t>
        </is>
      </c>
      <c r="L38" s="2" t="inlineStr">
        <is>
          <t>Bed mockup with a twisting fantasy tree trunk, exposed roots, teal landscape accents and Celtic knot border.</t>
        </is>
      </c>
      <c r="M38" s="2" t="inlineStr">
        <is>
          <t>Celtic and Fantasy Quilt Set with Twisting Tree Trunk And Exposed Roots</t>
        </is>
      </c>
      <c r="N38" s="2" t="inlineStr">
        <is>
          <t>SET</t>
        </is>
      </c>
      <c r="O38" s="2" t="inlineStr">
        <is>
          <t>Celtic fantasy tree quilt set on bed</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["D:\\Shopify_Workspace\\jeminise_seo\\seo_runs\\jeminise.com\\20260906_234129\\qa\\20260908_230550\\images\\007_01_47531997331655.jpg", "https://cdn.shopify.com/s/files/1/0792/5098/1063/files/fa88df693fa60cabcd0f81ce06bcd29af56cdf7514f68810d99ef599203c821d.jpg?v=1785047367", "seo_runs\\jeminise.com\\20260906_234129\\evidence\\images\\7_celtic-and-fantasy-quilt-set-with-twisting-tree-trunk-and-exposed-roots-c7b1460bad-c7b1460bad\\image_01_47531997331655.jpg;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row>
    <row r="39" ht="66" customHeight="1">
      <c r="A39" s="3" t="inlineStr">
        <is>
          <t>jeminise.com+celtic-and-fantasy-quilt-set-with-twisting-tree-trunk-and-exposed-roots-c7b1460bad-c7b1460bad</t>
        </is>
      </c>
      <c r="B39" s="3" t="inlineStr">
        <is>
          <t>jeminise.com+celtic-and-fantasy-quilt-set-with-twisting-tree-trunk-and-exposed-roots-c7b1460bad-c7b1460bad|47531997364423|GALLERY|2</t>
        </is>
      </c>
      <c r="C39" s="4" t="inlineStr">
        <is>
          <t>https://cdn.shopify.com/s/files/1/0792/5098/1063/files/77672c69bdca6fa3e34e5d859164a2661a0ec26b6ac10221a3df3171a6df2791.jpg?v=1785047367</t>
        </is>
      </c>
      <c r="D39" s="4" t="inlineStr">
        <is>
          <t>https://cdn.shopify.com/s/files/1/0792/5098/1063/files/77672c69bdca6fa3e34e5d859164a2661a0ec26b6ac10221a3df3171a6df2791.jpg?v=1785047367</t>
        </is>
      </c>
      <c r="E39" s="3" t="inlineStr">
        <is>
          <t>47531997364423</t>
        </is>
      </c>
      <c r="F39" s="3" t="inlineStr">
        <is>
          <t>47531997364423</t>
        </is>
      </c>
      <c r="G39" s="3" t="inlineStr"/>
      <c r="H39" s="3" t="inlineStr">
        <is>
          <t>GALLERY</t>
        </is>
      </c>
      <c r="I39" s="3" t="inlineStr">
        <is>
          <t>DIRECT_ORIGINAL_IMAGE_REQA_R7</t>
        </is>
      </c>
      <c r="J39" s="3" t="inlineStr">
        <is>
          <t>2026-09-08T23:27:07.723474+07:00</t>
        </is>
      </c>
      <c r="K39" s="3" t="inlineStr">
        <is>
          <t>Bedroom mockup showing the twisting Celtic fantasy tree quilt with coordinated pillow shams.</t>
        </is>
      </c>
      <c r="L39" s="3" t="inlineStr">
        <is>
          <t>Bedroom mockup showing the twisting Celtic fantasy tree quilt with coordinated pillow shams.</t>
        </is>
      </c>
      <c r="M39" s="3" t="inlineStr">
        <is>
          <t>Celtic and Fantasy Quilt Set with Twisting Tree Trunk And Exposed Roots</t>
        </is>
      </c>
      <c r="N39" s="3" t="inlineStr">
        <is>
          <t>SET</t>
        </is>
      </c>
      <c r="O39" s="3" t="inlineStr">
        <is>
          <t>Celtic fantasy tree quilt bedroom mockup</t>
        </is>
      </c>
      <c r="P39" s="3" t="inlineStr">
        <is>
          <t>FULL</t>
        </is>
      </c>
      <c r="Q39" s="3" t="inlineStr">
        <is>
          <t>FULL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t>
        </is>
      </c>
      <c r="Z39" s="3" t="inlineStr">
        <is>
          <t>["D:\\Shopify_Workspace\\jeminise_seo\\seo_runs\\jeminise.com\\20260906_234129\\qa\\20260908_230550\\images\\007_02_47531997364423.jpg", "https://cdn.shopify.com/s/files/1/0792/5098/1063/files/77672c69bdca6fa3e34e5d859164a2661a0ec26b6ac10221a3df3171a6df2791.jpg?v=1785047367", "seo_runs\\jeminise.com\\20260906_234129\\evidence\\images\\7_celtic-and-fantasy-quilt-set-with-twisting-tree-trunk-and-exposed-roots-c7b1460bad-c7b1460bad\\image_02_47531997364423.jpg;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row>
    <row r="40" ht="66" customHeight="1">
      <c r="A40" s="2" t="inlineStr">
        <is>
          <t>jeminise.com+celtic-and-fantasy-quilt-set-with-twisting-tree-trunk-and-exposed-roots-c7b1460bad-c7b1460bad</t>
        </is>
      </c>
      <c r="B40" s="2" t="inlineStr">
        <is>
          <t>jeminise.com+celtic-and-fantasy-quilt-set-with-twisting-tree-trunk-and-exposed-roots-c7b1460bad-c7b1460bad|47531997397191|GALLERY|3</t>
        </is>
      </c>
      <c r="C40" s="4" t="inlineStr">
        <is>
          <t>https://cdn.shopify.com/s/files/1/0792/5098/1063/files/ef4c0af4b6e931816fba2b315617ce40f57b62cc23bc9476fc29bcd9f7fea3ed.jpg?v=1785047367</t>
        </is>
      </c>
      <c r="D40" s="4" t="inlineStr">
        <is>
          <t>https://cdn.shopify.com/s/files/1/0792/5098/1063/files/ef4c0af4b6e931816fba2b315617ce40f57b62cc23bc9476fc29bcd9f7fea3ed.jpg?v=1785047367</t>
        </is>
      </c>
      <c r="E40" s="2" t="inlineStr">
        <is>
          <t>47531997397191</t>
        </is>
      </c>
      <c r="F40" s="2" t="inlineStr">
        <is>
          <t>47531997397191</t>
        </is>
      </c>
      <c r="G40" s="2" t="inlineStr"/>
      <c r="H40" s="2" t="inlineStr">
        <is>
          <t>GALLERY</t>
        </is>
      </c>
      <c r="I40" s="2" t="inlineStr">
        <is>
          <t>DIRECT_ORIGINAL_IMAGE_REQA_R7</t>
        </is>
      </c>
      <c r="J40" s="2" t="inlineStr">
        <is>
          <t>2026-09-08T23:27:07.723474+07:00</t>
        </is>
      </c>
      <c r="K40" s="2" t="inlineStr">
        <is>
          <t>Optional pillow shams panel showing coordinated Celtic fantasy tree artwork.</t>
        </is>
      </c>
      <c r="L40" s="2" t="inlineStr">
        <is>
          <t>Optional pillow shams panel showing coordinated Celtic fantasy tree artwork.</t>
        </is>
      </c>
      <c r="M40" s="2" t="inlineStr">
        <is>
          <t>Celtic and Fantasy Quilt Set with Twisting Tree Trunk And Exposed Roots</t>
        </is>
      </c>
      <c r="N40" s="2" t="inlineStr">
        <is>
          <t>SET</t>
        </is>
      </c>
      <c r="O40" s="2" t="inlineStr">
        <is>
          <t>Celtic fantasy tree optional pillow shams</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t>
        </is>
      </c>
      <c r="Z40" s="2" t="inlineStr">
        <is>
          <t>["D:\\Shopify_Workspace\\jeminise_seo\\seo_runs\\jeminise.com\\20260906_234129\\qa\\20260908_230550\\images\\007_03_47531997397191.jpg", "https://cdn.shopify.com/s/files/1/0792/5098/1063/files/ef4c0af4b6e931816fba2b315617ce40f57b62cc23bc9476fc29bcd9f7fea3ed.jpg?v=1785047367", "seo_runs\\jeminise.com\\20260906_234129\\evidence\\images\\7_celtic-and-fantasy-quilt-set-with-twisting-tree-trunk-and-exposed-roots-c7b1460bad-c7b1460bad\\image_03_47531997397191.jpg;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row>
    <row r="41" ht="66" customHeight="1">
      <c r="A41" s="3" t="inlineStr">
        <is>
          <t>jeminise.com+celtic-and-fantasy-quilt-set-with-twisting-tree-trunk-and-exposed-roots-c7b1460bad-c7b1460bad</t>
        </is>
      </c>
      <c r="B41" s="3" t="inlineStr">
        <is>
          <t>jeminise.com+celtic-and-fantasy-quilt-set-with-twisting-tree-trunk-and-exposed-roots-c7b1460bad-c7b1460bad|47531997429959|GALLERY|4</t>
        </is>
      </c>
      <c r="C41" s="4" t="inlineStr">
        <is>
          <t>https://cdn.shopify.com/s/files/1/0792/5098/1063/files/a0029afc03d47a3a82238a1bab89f1066c3687b3f06500badea074cba44f9e80.jpg?v=1785047367</t>
        </is>
      </c>
      <c r="D41" s="4" t="inlineStr">
        <is>
          <t>https://cdn.shopify.com/s/files/1/0792/5098/1063/files/a0029afc03d47a3a82238a1bab89f1066c3687b3f06500badea074cba44f9e80.jpg?v=1785047367</t>
        </is>
      </c>
      <c r="E41" s="3" t="inlineStr">
        <is>
          <t>47531997429959</t>
        </is>
      </c>
      <c r="F41" s="3" t="inlineStr">
        <is>
          <t>47531997429959</t>
        </is>
      </c>
      <c r="G41" s="3" t="inlineStr"/>
      <c r="H41" s="3" t="inlineStr">
        <is>
          <t>GALLERY</t>
        </is>
      </c>
      <c r="I41" s="3" t="inlineStr">
        <is>
          <t>DIRECT_ORIGINAL_IMAGE_REQA_R7</t>
        </is>
      </c>
      <c r="J41" s="3" t="inlineStr">
        <is>
          <t>2026-09-08T23:27:07.723474+07:00</t>
        </is>
      </c>
      <c r="K41" s="3" t="inlineStr">
        <is>
          <t>Fabric feature panel showing soft breathable skin-friendly material and all-season use notes.</t>
        </is>
      </c>
      <c r="L41" s="3" t="inlineStr">
        <is>
          <t>Fabric feature panel showing soft breathable skin-friendly material and all-season use notes.</t>
        </is>
      </c>
      <c r="M41" s="3" t="inlineStr">
        <is>
          <t>Celtic and Fantasy Quilt Set with Twisting Tree Trunk And Exposed Roots</t>
        </is>
      </c>
      <c r="N41" s="3" t="inlineStr">
        <is>
          <t>SET</t>
        </is>
      </c>
      <c r="O41" s="3" t="inlineStr">
        <is>
          <t>Celtic fantasy tree quilt fabric feature panel</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t>
        </is>
      </c>
      <c r="Z41" s="3" t="inlineStr">
        <is>
          <t>["D:\\Shopify_Workspace\\jeminise_seo\\seo_runs\\jeminise.com\\20260906_234129\\qa\\20260908_230550\\images\\007_04_47531997429959.jpg", "https://cdn.shopify.com/s/files/1/0792/5098/1063/files/a0029afc03d47a3a82238a1bab89f1066c3687b3f06500badea074cba44f9e80.jpg?v=1785047367", "seo_runs\\jeminise.com\\20260906_234129\\evidence\\images\\7_celtic-and-fantasy-quilt-set-with-twisting-tree-trunk-and-exposed-roots-c7b1460bad-c7b1460bad\\image_04_47531997429959.jpg;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row>
    <row r="42" ht="66" customHeight="1">
      <c r="A42" s="2" t="inlineStr">
        <is>
          <t>jeminise.com+celtic-and-fantasy-quilt-set-with-twisting-tree-trunk-and-exposed-roots-c7b1460bad-c7b1460bad</t>
        </is>
      </c>
      <c r="B42" s="2" t="inlineStr">
        <is>
          <t>jeminise.com+celtic-and-fantasy-quilt-set-with-twisting-tree-trunk-and-exposed-roots-c7b1460bad-c7b1460bad|47531997462727|GALLERY|5</t>
        </is>
      </c>
      <c r="C42" s="4" t="inlineStr">
        <is>
          <t>https://cdn.shopify.com/s/files/1/0792/5098/1063/files/ce768ad21d8034d259875beb1f86914d1af6b1b5f584dd33080fe12b5797fde7.jpg?v=1785047367</t>
        </is>
      </c>
      <c r="D42" s="4" t="inlineStr">
        <is>
          <t>https://cdn.shopify.com/s/files/1/0792/5098/1063/files/ce768ad21d8034d259875beb1f86914d1af6b1b5f584dd33080fe12b5797fde7.jpg?v=1785047367</t>
        </is>
      </c>
      <c r="E42" s="2" t="inlineStr">
        <is>
          <t>47531997462727</t>
        </is>
      </c>
      <c r="F42" s="2" t="inlineStr">
        <is>
          <t>47531997462727</t>
        </is>
      </c>
      <c r="G42" s="2" t="inlineStr"/>
      <c r="H42" s="2" t="inlineStr">
        <is>
          <t>GALLERY</t>
        </is>
      </c>
      <c r="I42" s="2" t="inlineStr">
        <is>
          <t>DIRECT_ORIGINAL_IMAGE_REQA_R7</t>
        </is>
      </c>
      <c r="J42" s="2" t="inlineStr">
        <is>
          <t>2026-09-08T23:27:07.723474+07:00</t>
        </is>
      </c>
      <c r="K42" s="2" t="inlineStr">
        <is>
          <t>Premium quilt set size chart for the Celtic fantasy tree design.</t>
        </is>
      </c>
      <c r="L42" s="2" t="inlineStr">
        <is>
          <t>Premium quilt set size chart for the Celtic fantasy tree design.</t>
        </is>
      </c>
      <c r="M42" s="2" t="inlineStr">
        <is>
          <t>Celtic and Fantasy Quilt Set with Twisting Tree Trunk And Exposed Roots</t>
        </is>
      </c>
      <c r="N42" s="2" t="inlineStr">
        <is>
          <t>SET</t>
        </is>
      </c>
      <c r="O42" s="2" t="inlineStr">
        <is>
          <t>Celtic fantasy tree quilt size chart</t>
        </is>
      </c>
      <c r="P42" s="2" t="inlineStr">
        <is>
          <t>FULL</t>
        </is>
      </c>
      <c r="Q42" s="2" t="inlineStr">
        <is>
          <t>FULL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t>
        </is>
      </c>
      <c r="Z42" s="2" t="inlineStr">
        <is>
          <t>["D:\\Shopify_Workspace\\jeminise_seo\\seo_runs\\jeminise.com\\20260906_234129\\qa\\20260908_230550\\images\\007_05_47531997462727.jpg", "https://cdn.shopify.com/s/files/1/0792/5098/1063/files/ce768ad21d8034d259875beb1f86914d1af6b1b5f584dd33080fe12b5797fde7.jpg?v=1785047367", "seo_runs\\jeminise.com\\20260906_234129\\evidence\\images\\7_celtic-and-fantasy-quilt-set-with-twisting-tree-trunk-and-exposed-roots-c7b1460bad-c7b1460bad\\image_05_47531997462727.jpg;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row>
    <row r="43" ht="66" customHeight="1">
      <c r="A43" s="3" t="inlineStr">
        <is>
          <t>jeminise.com+celtic-and-fantasy-quilt-set-with-twisting-tree-trunk-and-exposed-roots-c7b1460bad-c7b1460bad</t>
        </is>
      </c>
      <c r="B43" s="3" t="inlineStr">
        <is>
          <t>jeminise.com+celtic-and-fantasy-quilt-set-with-twisting-tree-trunk-and-exposed-roots-c7b1460bad-c7b1460bad|47531997495495|GALLERY|6</t>
        </is>
      </c>
      <c r="C43" s="4" t="inlineStr">
        <is>
          <t>https://cdn.shopify.com/s/files/1/0792/5098/1063/files/211a7f518d47f7ccc7aea2fcf7dd6eccdae71860c4b90e78d4de70ce53d36eb9.jpg?v=1785047367</t>
        </is>
      </c>
      <c r="D43" s="4" t="inlineStr">
        <is>
          <t>https://cdn.shopify.com/s/files/1/0792/5098/1063/files/211a7f518d47f7ccc7aea2fcf7dd6eccdae71860c4b90e78d4de70ce53d36eb9.jpg?v=1785047367</t>
        </is>
      </c>
      <c r="E43" s="3" t="inlineStr">
        <is>
          <t>47531997495495</t>
        </is>
      </c>
      <c r="F43" s="3" t="inlineStr">
        <is>
          <t>47531997495495</t>
        </is>
      </c>
      <c r="G43" s="3" t="inlineStr"/>
      <c r="H43" s="3" t="inlineStr">
        <is>
          <t>GALLERY</t>
        </is>
      </c>
      <c r="I43" s="3" t="inlineStr">
        <is>
          <t>DIRECT_ORIGINAL_IMAGE_REQA_R7</t>
        </is>
      </c>
      <c r="J43" s="3" t="inlineStr">
        <is>
          <t>2026-09-08T23:27:07.723474+07:00</t>
        </is>
      </c>
      <c r="K43" s="3" t="inlineStr">
        <is>
          <t>Bedspread feature panel with microfiber layers and care-resistance icons.</t>
        </is>
      </c>
      <c r="L43" s="3" t="inlineStr">
        <is>
          <t>Bedspread feature panel with microfiber layers and care-resistance icons.</t>
        </is>
      </c>
      <c r="M43" s="3" t="inlineStr">
        <is>
          <t>Celtic and Fantasy Quilt Set with Twisting Tree Trunk And Exposed Roots</t>
        </is>
      </c>
      <c r="N43" s="3" t="inlineStr">
        <is>
          <t>SET</t>
        </is>
      </c>
      <c r="O43" s="3" t="inlineStr">
        <is>
          <t>Celtic fantasy tree bedspread feature panel</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["D:\\Shopify_Workspace\\jeminise_seo\\seo_runs\\jeminise.com\\20260906_234129\\qa\\20260908_230550\\images\\007_06_47531997495495.jpg", "https://cdn.shopify.com/s/files/1/0792/5098/1063/files/211a7f518d47f7ccc7aea2fcf7dd6eccdae71860c4b90e78d4de70ce53d36eb9.jpg?v=1785047367", "seo_runs\\jeminise.com\\20260906_234129\\evidence\\images\\7_celtic-and-fantasy-quilt-set-with-twisting-tree-trunk-and-exposed-roots-c7b1460bad-c7b1460bad\\image_06_47531997495495.jpg;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row>
    <row r="44" ht="66" customHeight="1">
      <c r="A44" s="2" t="inlineStr">
        <is>
          <t>jeminise.com+celtic-and-fantasy-quilt-set-with-twisting-tree-trunk-and-exposed-roots-c7b1460bad-c7b1460bad</t>
        </is>
      </c>
      <c r="B44" s="2" t="inlineStr">
        <is>
          <t>jeminise.com+celtic-and-fantasy-quilt-set-with-twisting-tree-trunk-and-exposed-roots-c7b1460bad-c7b1460bad|47531997528263|GALLERY|7</t>
        </is>
      </c>
      <c r="C44" s="4" t="inlineStr">
        <is>
          <t>https://cdn.shopify.com/s/files/1/0792/5098/1063/files/285b33441b58fd0660e7d9fbad77f1aeb4d88a3e3678d0ef0a1341e0d0cab3fa.jpg?v=1785047367</t>
        </is>
      </c>
      <c r="D44" s="4" t="inlineStr">
        <is>
          <t>https://cdn.shopify.com/s/files/1/0792/5098/1063/files/285b33441b58fd0660e7d9fbad77f1aeb4d88a3e3678d0ef0a1341e0d0cab3fa.jpg?v=1785047367</t>
        </is>
      </c>
      <c r="E44" s="2" t="inlineStr">
        <is>
          <t>47531997528263</t>
        </is>
      </c>
      <c r="F44" s="2" t="inlineStr">
        <is>
          <t>47531997528263</t>
        </is>
      </c>
      <c r="G44" s="2" t="inlineStr"/>
      <c r="H44" s="2" t="inlineStr">
        <is>
          <t>GALLERY</t>
        </is>
      </c>
      <c r="I44" s="2" t="inlineStr">
        <is>
          <t>DIRECT_ORIGINAL_IMAGE_REQA_R7</t>
        </is>
      </c>
      <c r="J44" s="2" t="inlineStr">
        <is>
          <t>2026-09-08T23:27:07.723474+07:00</t>
        </is>
      </c>
      <c r="K44" s="2" t="inlineStr">
        <is>
          <t>Second bedroom mockup showing the Celtic fantasy tree quilt from a different room angle.</t>
        </is>
      </c>
      <c r="L44" s="2" t="inlineStr">
        <is>
          <t>Second bedroom mockup showing the Celtic fantasy tree quilt from a different room angle.</t>
        </is>
      </c>
      <c r="M44" s="2" t="inlineStr">
        <is>
          <t>Celtic and Fantasy Quilt Set with Twisting Tree Trunk And Exposed Roots</t>
        </is>
      </c>
      <c r="N44" s="2" t="inlineStr">
        <is>
          <t>SET</t>
        </is>
      </c>
      <c r="O44" s="2" t="inlineStr">
        <is>
          <t>Celtic fantasy tree second bedroom mockup</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t>
        </is>
      </c>
      <c r="Z44" s="2" t="inlineStr">
        <is>
          <t>["D:\\Shopify_Workspace\\jeminise_seo\\seo_runs\\jeminise.com\\20260906_234129\\qa\\20260908_230550\\images\\007_07_47531997528263.jpg", "https://cdn.shopify.com/s/files/1/0792/5098/1063/files/285b33441b58fd0660e7d9fbad77f1aeb4d88a3e3678d0ef0a1341e0d0cab3fa.jpg?v=1785047367", "seo_runs\\jeminise.com\\20260906_234129\\evidence\\images\\7_celtic-and-fantasy-quilt-set-with-twisting-tree-trunk-and-exposed-roots-c7b1460bad-c7b1460bad\\image_07_47531997528263.jpg;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row>
    <row r="45" ht="66" customHeight="1">
      <c r="A45" s="3" t="inlineStr">
        <is>
          <t>jeminise.com+celtic-mythology-tree-of-life-quilt-set-with-celtic-knotwork-border-12786aba7e-12786aba7e</t>
        </is>
      </c>
      <c r="B45" s="3" t="inlineStr">
        <is>
          <t>jeminise.com+celtic-mythology-tree-of-life-quilt-set-with-celtic-knotwork-border-12786aba7e-12786aba7e|47531950571719|GALLERY|1</t>
        </is>
      </c>
      <c r="C45" s="4" t="inlineStr">
        <is>
          <t>https://cdn.shopify.com/s/files/1/0792/5098/1063/files/eeee3be59c912ddfb95b556144ad283287f06b56c3797e9000aed4094e9c0f46.jpg?v=1785047188</t>
        </is>
      </c>
      <c r="D45" s="4" t="inlineStr">
        <is>
          <t>https://cdn.shopify.com/s/files/1/0792/5098/1063/files/eeee3be59c912ddfb95b556144ad283287f06b56c3797e9000aed4094e9c0f46.jpg?v=1785047188</t>
        </is>
      </c>
      <c r="E45" s="3" t="inlineStr">
        <is>
          <t>47531950571719</t>
        </is>
      </c>
      <c r="F45" s="3" t="inlineStr">
        <is>
          <t>47531950571719</t>
        </is>
      </c>
      <c r="G45" s="3" t="inlineStr"/>
      <c r="H45" s="3" t="inlineStr">
        <is>
          <t>GALLERY</t>
        </is>
      </c>
      <c r="I45" s="3" t="inlineStr">
        <is>
          <t>DIRECT_ORIGINAL_IMAGE_REQA_R7</t>
        </is>
      </c>
      <c r="J45" s="3" t="inlineStr">
        <is>
          <t>2026-09-08T23:27:07.723474+07:00</t>
        </is>
      </c>
      <c r="K45" s="3" t="inlineStr">
        <is>
          <t>Bed mockup with a green Tree of Life medallion and circular Celtic knotwork border.</t>
        </is>
      </c>
      <c r="L45" s="3" t="inlineStr">
        <is>
          <t>Bed mockup with a green Tree of Life medallion and circular Celtic knotwork border.</t>
        </is>
      </c>
      <c r="M45" s="3" t="inlineStr">
        <is>
          <t>Celtic Mythology Tree of Life Quilt Set With Celtic Knotwork Border</t>
        </is>
      </c>
      <c r="N45" s="3" t="inlineStr">
        <is>
          <t>SET</t>
        </is>
      </c>
      <c r="O45" s="3" t="inlineStr">
        <is>
          <t>Celtic Tree of Life quilt set on bed</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t>
        </is>
      </c>
      <c r="Z45" s="3" t="inlineStr">
        <is>
          <t>["D:\\Shopify_Workspace\\jeminise_seo\\seo_runs\\jeminise.com\\20260906_234129\\qa\\20260908_230550\\images\\008_01_47531950571719.jpg", "https://cdn.shopify.com/s/files/1/0792/5098/1063/files/eeee3be59c912ddfb95b556144ad283287f06b56c3797e9000aed4094e9c0f46.jpg?v=1785047188", "seo_runs\\jeminise.com\\20260906_234129\\evidence\\images\\8_celtic-mythology-tree-of-life-quilt-set-with-celtic-knotwork-border-12786aba7e-12786aba7e\\image_01_47531950571719.jpg;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row>
    <row r="46" ht="66" customHeight="1">
      <c r="A46" s="2" t="inlineStr">
        <is>
          <t>jeminise.com+celtic-mythology-tree-of-life-quilt-set-with-celtic-knotwork-border-12786aba7e-12786aba7e</t>
        </is>
      </c>
      <c r="B46" s="2" t="inlineStr">
        <is>
          <t>jeminise.com+celtic-mythology-tree-of-life-quilt-set-with-celtic-knotwork-border-12786aba7e-12786aba7e|47531950604487|GALLERY|2</t>
        </is>
      </c>
      <c r="C46" s="4" t="inlineStr">
        <is>
          <t>https://cdn.shopify.com/s/files/1/0792/5098/1063/files/b62d307163504bede5d79d6a1894e1fb2390a7f6bb97d231a74b900c216c6f10.jpg?v=1785047189</t>
        </is>
      </c>
      <c r="D46" s="4" t="inlineStr">
        <is>
          <t>https://cdn.shopify.com/s/files/1/0792/5098/1063/files/b62d307163504bede5d79d6a1894e1fb2390a7f6bb97d231a74b900c216c6f10.jpg?v=1785047189</t>
        </is>
      </c>
      <c r="E46" s="2" t="inlineStr">
        <is>
          <t>47531950604487</t>
        </is>
      </c>
      <c r="F46" s="2" t="inlineStr">
        <is>
          <t>47531950604487</t>
        </is>
      </c>
      <c r="G46" s="2" t="inlineStr"/>
      <c r="H46" s="2" t="inlineStr">
        <is>
          <t>GALLERY</t>
        </is>
      </c>
      <c r="I46" s="2" t="inlineStr">
        <is>
          <t>DIRECT_ORIGINAL_IMAGE_REQA_R7</t>
        </is>
      </c>
      <c r="J46" s="2" t="inlineStr">
        <is>
          <t>2026-09-08T23:27:07.723474+07:00</t>
        </is>
      </c>
      <c r="K46" s="2" t="inlineStr">
        <is>
          <t>Bedroom mockup showing the green Celtic Tree of Life quilt with coordinated pillow shams.</t>
        </is>
      </c>
      <c r="L46" s="2" t="inlineStr">
        <is>
          <t>Bedroom mockup showing the green Celtic Tree of Life quilt with coordinated pillow shams.</t>
        </is>
      </c>
      <c r="M46" s="2" t="inlineStr">
        <is>
          <t>Celtic Mythology Tree of Life Quilt Set With Celtic Knotwork Border</t>
        </is>
      </c>
      <c r="N46" s="2" t="inlineStr">
        <is>
          <t>SET</t>
        </is>
      </c>
      <c r="O46" s="2" t="inlineStr">
        <is>
          <t>Celtic Tree of Life quilt bedroom mockup</t>
        </is>
      </c>
      <c r="P46" s="2" t="inlineStr">
        <is>
          <t>FULL</t>
        </is>
      </c>
      <c r="Q46" s="2" t="inlineStr">
        <is>
          <t>FULL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t>
        </is>
      </c>
      <c r="Z46" s="2" t="inlineStr">
        <is>
          <t>["D:\\Shopify_Workspace\\jeminise_seo\\seo_runs\\jeminise.com\\20260906_234129\\qa\\20260908_230550\\images\\008_02_47531950604487.jpg", "https://cdn.shopify.com/s/files/1/0792/5098/1063/files/b62d307163504bede5d79d6a1894e1fb2390a7f6bb97d231a74b900c216c6f10.jpg?v=1785047189", "seo_runs\\jeminise.com\\20260906_234129\\evidence\\images\\8_celtic-mythology-tree-of-life-quilt-set-with-celtic-knotwork-border-12786aba7e-12786aba7e\\image_02_47531950604487.jpg;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row>
    <row r="47" ht="66" customHeight="1">
      <c r="A47" s="3" t="inlineStr">
        <is>
          <t>jeminise.com+celtic-mythology-tree-of-life-quilt-set-with-celtic-knotwork-border-12786aba7e-12786aba7e</t>
        </is>
      </c>
      <c r="B47" s="3" t="inlineStr">
        <is>
          <t>jeminise.com+celtic-mythology-tree-of-life-quilt-set-with-celtic-knotwork-border-12786aba7e-12786aba7e|47531950637255|GALLERY|3</t>
        </is>
      </c>
      <c r="C47" s="4" t="inlineStr">
        <is>
          <t>https://cdn.shopify.com/s/files/1/0792/5098/1063/files/492ae2152294ed05b1b9c9c476c3f0407f72dd5f9231dfabab608600dfcfca18.jpg?v=1785047188</t>
        </is>
      </c>
      <c r="D47" s="4" t="inlineStr">
        <is>
          <t>https://cdn.shopify.com/s/files/1/0792/5098/1063/files/492ae2152294ed05b1b9c9c476c3f0407f72dd5f9231dfabab608600dfcfca18.jpg?v=1785047188</t>
        </is>
      </c>
      <c r="E47" s="3" t="inlineStr">
        <is>
          <t>47531950637255</t>
        </is>
      </c>
      <c r="F47" s="3" t="inlineStr">
        <is>
          <t>47531950637255</t>
        </is>
      </c>
      <c r="G47" s="3" t="inlineStr"/>
      <c r="H47" s="3" t="inlineStr">
        <is>
          <t>GALLERY</t>
        </is>
      </c>
      <c r="I47" s="3" t="inlineStr">
        <is>
          <t>DIRECT_ORIGINAL_IMAGE_REQA_R7</t>
        </is>
      </c>
      <c r="J47" s="3" t="inlineStr">
        <is>
          <t>2026-09-08T23:27:07.723474+07:00</t>
        </is>
      </c>
      <c r="K47" s="3" t="inlineStr">
        <is>
          <t>Optional pillow shams panel showing coordinated green Tree of Life artwork.</t>
        </is>
      </c>
      <c r="L47" s="3" t="inlineStr">
        <is>
          <t>Optional pillow shams panel showing coordinated green Tree of Life artwork.</t>
        </is>
      </c>
      <c r="M47" s="3" t="inlineStr">
        <is>
          <t>Celtic Mythology Tree of Life Quilt Set With Celtic Knotwork Border</t>
        </is>
      </c>
      <c r="N47" s="3" t="inlineStr">
        <is>
          <t>SET</t>
        </is>
      </c>
      <c r="O47" s="3" t="inlineStr">
        <is>
          <t>Celtic Tree of Life optional pillow shams</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t>
        </is>
      </c>
      <c r="Z47" s="3" t="inlineStr">
        <is>
          <t>["D:\\Shopify_Workspace\\jeminise_seo\\seo_runs\\jeminise.com\\20260906_234129\\qa\\20260908_230550\\images\\008_03_47531950637255.jpg", "https://cdn.shopify.com/s/files/1/0792/5098/1063/files/492ae2152294ed05b1b9c9c476c3f0407f72dd5f9231dfabab608600dfcfca18.jpg?v=1785047188", "seo_runs\\jeminise.com\\20260906_234129\\evidence\\images\\8_celtic-mythology-tree-of-life-quilt-set-with-celtic-knotwork-border-12786aba7e-12786aba7e\\image_03_47531950637255.jpg;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row>
    <row r="48" ht="66" customHeight="1">
      <c r="A48" s="2" t="inlineStr">
        <is>
          <t>jeminise.com+celtic-mythology-tree-of-life-quilt-set-with-celtic-knotwork-border-12786aba7e-12786aba7e</t>
        </is>
      </c>
      <c r="B48" s="2" t="inlineStr">
        <is>
          <t>jeminise.com+celtic-mythology-tree-of-life-quilt-set-with-celtic-knotwork-border-12786aba7e-12786aba7e|47531950670023|GALLERY|4</t>
        </is>
      </c>
      <c r="C48" s="4" t="inlineStr">
        <is>
          <t>https://cdn.shopify.com/s/files/1/0792/5098/1063/files/d9597bfb2c08a10fed85d6814082edddf7b30bf76e5108fb36b1aee207514584.jpg?v=1785047189</t>
        </is>
      </c>
      <c r="D48" s="4" t="inlineStr">
        <is>
          <t>https://cdn.shopify.com/s/files/1/0792/5098/1063/files/d9597bfb2c08a10fed85d6814082edddf7b30bf76e5108fb36b1aee207514584.jpg?v=1785047189</t>
        </is>
      </c>
      <c r="E48" s="2" t="inlineStr">
        <is>
          <t>47531950670023</t>
        </is>
      </c>
      <c r="F48" s="2" t="inlineStr">
        <is>
          <t>47531950670023</t>
        </is>
      </c>
      <c r="G48" s="2" t="inlineStr"/>
      <c r="H48" s="2" t="inlineStr">
        <is>
          <t>GALLERY</t>
        </is>
      </c>
      <c r="I48" s="2" t="inlineStr">
        <is>
          <t>DIRECT_ORIGINAL_IMAGE_REQA_R7</t>
        </is>
      </c>
      <c r="J48" s="2" t="inlineStr">
        <is>
          <t>2026-09-08T23:27:07.723474+07:00</t>
        </is>
      </c>
      <c r="K48" s="2" t="inlineStr">
        <is>
          <t>Fabric feature panel showing soft breathable skin-friendly material and all-season use notes.</t>
        </is>
      </c>
      <c r="L48" s="2" t="inlineStr">
        <is>
          <t>Fabric feature panel showing soft breathable skin-friendly material and all-season use notes.</t>
        </is>
      </c>
      <c r="M48" s="2" t="inlineStr">
        <is>
          <t>Celtic Mythology Tree of Life Quilt Set With Celtic Knotwork Border</t>
        </is>
      </c>
      <c r="N48" s="2" t="inlineStr">
        <is>
          <t>SET</t>
        </is>
      </c>
      <c r="O48" s="2" t="inlineStr">
        <is>
          <t>Celtic Tree of Life quilt fabric feature panel</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t>
        </is>
      </c>
      <c r="Z48" s="2" t="inlineStr">
        <is>
          <t>["D:\\Shopify_Workspace\\jeminise_seo\\seo_runs\\jeminise.com\\20260906_234129\\qa\\20260908_230550\\images\\008_04_47531950670023.jpg", "https://cdn.shopify.com/s/files/1/0792/5098/1063/files/d9597bfb2c08a10fed85d6814082edddf7b30bf76e5108fb36b1aee207514584.jpg?v=1785047189", "seo_runs\\jeminise.com\\20260906_234129\\evidence\\images\\8_celtic-mythology-tree-of-life-quilt-set-with-celtic-knotwork-border-12786aba7e-12786aba7e\\image_04_47531950670023.jpg;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row>
    <row r="49" ht="66" customHeight="1">
      <c r="A49" s="3" t="inlineStr">
        <is>
          <t>jeminise.com+celtic-mythology-tree-of-life-quilt-set-with-celtic-knotwork-border-12786aba7e-12786aba7e</t>
        </is>
      </c>
      <c r="B49" s="3" t="inlineStr">
        <is>
          <t>jeminise.com+celtic-mythology-tree-of-life-quilt-set-with-celtic-knotwork-border-12786aba7e-12786aba7e|47531950702791|GALLERY|5</t>
        </is>
      </c>
      <c r="C49" s="4" t="inlineStr">
        <is>
          <t>https://cdn.shopify.com/s/files/1/0792/5098/1063/files/d48cccbb819c4ecffd7785e920fd2b840e50a24ee2a5033e47adf1a0f7ac2dd4.jpg?v=1785047189</t>
        </is>
      </c>
      <c r="D49" s="4" t="inlineStr">
        <is>
          <t>https://cdn.shopify.com/s/files/1/0792/5098/1063/files/d48cccbb819c4ecffd7785e920fd2b840e50a24ee2a5033e47adf1a0f7ac2dd4.jpg?v=1785047189</t>
        </is>
      </c>
      <c r="E49" s="3" t="inlineStr">
        <is>
          <t>47531950702791</t>
        </is>
      </c>
      <c r="F49" s="3" t="inlineStr">
        <is>
          <t>47531950702791</t>
        </is>
      </c>
      <c r="G49" s="3" t="inlineStr"/>
      <c r="H49" s="3" t="inlineStr">
        <is>
          <t>GALLERY</t>
        </is>
      </c>
      <c r="I49" s="3" t="inlineStr">
        <is>
          <t>DIRECT_ORIGINAL_IMAGE_REQA_R7</t>
        </is>
      </c>
      <c r="J49" s="3" t="inlineStr">
        <is>
          <t>2026-09-08T23:27:07.723474+07:00</t>
        </is>
      </c>
      <c r="K49" s="3" t="inlineStr">
        <is>
          <t>Premium quilt set size chart for the green Celtic Tree of Life design.</t>
        </is>
      </c>
      <c r="L49" s="3" t="inlineStr">
        <is>
          <t>Premium quilt set size chart for the green Celtic Tree of Life design.</t>
        </is>
      </c>
      <c r="M49" s="3" t="inlineStr">
        <is>
          <t>Celtic Mythology Tree of Life Quilt Set With Celtic Knotwork Border</t>
        </is>
      </c>
      <c r="N49" s="3" t="inlineStr">
        <is>
          <t>SET</t>
        </is>
      </c>
      <c r="O49" s="3" t="inlineStr">
        <is>
          <t>Celtic Tree of Life quilt size chart</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["D:\\Shopify_Workspace\\jeminise_seo\\seo_runs\\jeminise.com\\20260906_234129\\qa\\20260908_230550\\images\\008_05_47531950702791.jpg", "https://cdn.shopify.com/s/files/1/0792/5098/1063/files/d48cccbb819c4ecffd7785e920fd2b840e50a24ee2a5033e47adf1a0f7ac2dd4.jpg?v=1785047189", "seo_runs\\jeminise.com\\20260906_234129\\evidence\\images\\8_celtic-mythology-tree-of-life-quilt-set-with-celtic-knotwork-border-12786aba7e-12786aba7e\\image_05_47531950702791.jpg;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row>
    <row r="50" ht="66" customHeight="1">
      <c r="A50" s="2" t="inlineStr">
        <is>
          <t>jeminise.com+celtic-mythology-tree-of-life-quilt-set-with-celtic-knotwork-border-12786aba7e-12786aba7e</t>
        </is>
      </c>
      <c r="B50" s="2" t="inlineStr">
        <is>
          <t>jeminise.com+celtic-mythology-tree-of-life-quilt-set-with-celtic-knotwork-border-12786aba7e-12786aba7e|47531950735559|GALLERY|6</t>
        </is>
      </c>
      <c r="C50" s="4" t="inlineStr">
        <is>
          <t>https://cdn.shopify.com/s/files/1/0792/5098/1063/files/eb7addcbef4e997dedf995d8edc2c3fb7ac03e00ca967e746fc0f52cc5daca82.jpg?v=1785047189</t>
        </is>
      </c>
      <c r="D50" s="4" t="inlineStr">
        <is>
          <t>https://cdn.shopify.com/s/files/1/0792/5098/1063/files/eb7addcbef4e997dedf995d8edc2c3fb7ac03e00ca967e746fc0f52cc5daca82.jpg?v=1785047189</t>
        </is>
      </c>
      <c r="E50" s="2" t="inlineStr">
        <is>
          <t>47531950735559</t>
        </is>
      </c>
      <c r="F50" s="2" t="inlineStr">
        <is>
          <t>47531950735559</t>
        </is>
      </c>
      <c r="G50" s="2" t="inlineStr"/>
      <c r="H50" s="2" t="inlineStr">
        <is>
          <t>GALLERY</t>
        </is>
      </c>
      <c r="I50" s="2" t="inlineStr">
        <is>
          <t>DIRECT_ORIGINAL_IMAGE_REQA_R7</t>
        </is>
      </c>
      <c r="J50" s="2" t="inlineStr">
        <is>
          <t>2026-09-08T23:27:07.723474+07:00</t>
        </is>
      </c>
      <c r="K50" s="2" t="inlineStr">
        <is>
          <t>Bedspread feature panel with microfiber layers and care-resistance icons.</t>
        </is>
      </c>
      <c r="L50" s="2" t="inlineStr">
        <is>
          <t>Bedspread feature panel with microfiber layers and care-resistance icons.</t>
        </is>
      </c>
      <c r="M50" s="2" t="inlineStr">
        <is>
          <t>Celtic Mythology Tree of Life Quilt Set With Celtic Knotwork Border</t>
        </is>
      </c>
      <c r="N50" s="2" t="inlineStr">
        <is>
          <t>SET</t>
        </is>
      </c>
      <c r="O50" s="2" t="inlineStr">
        <is>
          <t>Celtic Tree of Life bedspread feature panel</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["D:\\Shopify_Workspace\\jeminise_seo\\seo_runs\\jeminise.com\\20260906_234129\\qa\\20260908_230550\\images\\008_06_47531950735559.jpg", "https://cdn.shopify.com/s/files/1/0792/5098/1063/files/eb7addcbef4e997dedf995d8edc2c3fb7ac03e00ca967e746fc0f52cc5daca82.jpg?v=1785047189", "seo_runs\\jeminise.com\\20260906_234129\\evidence\\images\\8_celtic-mythology-tree-of-life-quilt-set-with-celtic-knotwork-border-12786aba7e-12786aba7e\\image_06_47531950735559.jpg;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row>
    <row r="51" ht="66" customHeight="1">
      <c r="A51" s="3" t="inlineStr">
        <is>
          <t>jeminise.com+celtic-mythology-tree-of-life-quilt-set-with-celtic-knotwork-border-12786aba7e-12786aba7e</t>
        </is>
      </c>
      <c r="B51" s="3" t="inlineStr">
        <is>
          <t>jeminise.com+celtic-mythology-tree-of-life-quilt-set-with-celtic-knotwork-border-12786aba7e-12786aba7e|47531950768327|GALLERY|7</t>
        </is>
      </c>
      <c r="C51" s="4" t="inlineStr">
        <is>
          <t>https://cdn.shopify.com/s/files/1/0792/5098/1063/files/622bf0b0bbd2db15d18f7453d631905d39821f40d39fc016cd52742300cd6741.jpg?v=1785047189</t>
        </is>
      </c>
      <c r="D51" s="4" t="inlineStr">
        <is>
          <t>https://cdn.shopify.com/s/files/1/0792/5098/1063/files/622bf0b0bbd2db15d18f7453d631905d39821f40d39fc016cd52742300cd6741.jpg?v=1785047189</t>
        </is>
      </c>
      <c r="E51" s="3" t="inlineStr">
        <is>
          <t>47531950768327</t>
        </is>
      </c>
      <c r="F51" s="3" t="inlineStr">
        <is>
          <t>47531950768327</t>
        </is>
      </c>
      <c r="G51" s="3" t="inlineStr"/>
      <c r="H51" s="3" t="inlineStr">
        <is>
          <t>GALLERY</t>
        </is>
      </c>
      <c r="I51" s="3" t="inlineStr">
        <is>
          <t>DIRECT_ORIGINAL_IMAGE_REQA_R7</t>
        </is>
      </c>
      <c r="J51" s="3" t="inlineStr">
        <is>
          <t>2026-09-08T23:27:07.723474+07:00</t>
        </is>
      </c>
      <c r="K51" s="3" t="inlineStr">
        <is>
          <t>Second bedroom mockup showing the green Celtic Tree of Life quilt from a different room angle.</t>
        </is>
      </c>
      <c r="L51" s="3" t="inlineStr">
        <is>
          <t>Second bedroom mockup showing the green Celtic Tree of Life quilt from a different room angle.</t>
        </is>
      </c>
      <c r="M51" s="3" t="inlineStr">
        <is>
          <t>Celtic Mythology Tree of Life Quilt Set With Celtic Knotwork Border</t>
        </is>
      </c>
      <c r="N51" s="3" t="inlineStr">
        <is>
          <t>SET</t>
        </is>
      </c>
      <c r="O51" s="3" t="inlineStr">
        <is>
          <t>Celtic Tree of Life second bedroom mockup</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["D:\\Shopify_Workspace\\jeminise_seo\\seo_runs\\jeminise.com\\20260906_234129\\qa\\20260908_230550\\images\\008_07_47531950768327.jpg", "https://cdn.shopify.com/s/files/1/0792/5098/1063/files/622bf0b0bbd2db15d18f7453d631905d39821f40d39fc016cd52742300cd6741.jpg?v=1785047189", "seo_runs\\jeminise.com\\20260906_234129\\evidence\\images\\8_celtic-mythology-tree-of-life-quilt-set-with-celtic-knotwork-border-12786aba7e-12786aba7e\\image_07_47531950768327.jpg;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row>
    <row r="52" ht="66" customHeight="1">
      <c r="A52" s="2" t="inlineStr">
        <is>
          <t>jeminise.com+chicken-pattern-quilt-set-animal-patchwork-farmhouse-quilt-set</t>
        </is>
      </c>
      <c r="B52" s="2" t="inlineStr">
        <is>
          <t>jeminise.com+chicken-pattern-quilt-set-animal-patchwork-farmhouse-quilt-set|47933462118599|GALLERY|1</t>
        </is>
      </c>
      <c r="C52" s="4" t="inlineStr">
        <is>
          <t>https://cdn.shopify.com/s/files/1/0792/5098/1063/files/df2728478e8364bc96182ba33c31dd08dcdab3758f1c26ecd4c76bcfacdeadc5.jpg?v=1787233682</t>
        </is>
      </c>
      <c r="D52" s="4" t="inlineStr">
        <is>
          <t>https://cdn.shopify.com/s/files/1/0792/5098/1063/files/df2728478e8364bc96182ba33c31dd08dcdab3758f1c26ecd4c76bcfacdeadc5.jpg?v=1787233682</t>
        </is>
      </c>
      <c r="E52" s="2" t="inlineStr">
        <is>
          <t>47933462118599</t>
        </is>
      </c>
      <c r="F52" s="2" t="inlineStr">
        <is>
          <t>47933462118599</t>
        </is>
      </c>
      <c r="G52" s="2" t="inlineStr"/>
      <c r="H52" s="2" t="inlineStr">
        <is>
          <t>GALLERY</t>
        </is>
      </c>
      <c r="I52" s="2" t="inlineStr">
        <is>
          <t>DIRECT_ORIGINAL_IMAGE_REQA_R7</t>
        </is>
      </c>
      <c r="J52" s="2" t="inlineStr">
        <is>
          <t>2026-09-08T23:27:07.723474+07:00</t>
        </is>
      </c>
      <c r="K52" s="2" t="inlineStr">
        <is>
          <t>Bed mockup with farmhouse chicken, hen, rooster, nest and egg artwork with black patchwork accents.</t>
        </is>
      </c>
      <c r="L52" s="2" t="inlineStr">
        <is>
          <t>Bed mockup with farmhouse chicken, hen, rooster, nest and egg artwork with black patchwork accents.</t>
        </is>
      </c>
      <c r="M52" s="2" t="inlineStr">
        <is>
          <t>Chicken Pattern Quilt Set, Animal Patchwork Farmhouse Quilt Set Bedspread, Premium Pattern Quilt Bedspread, Bedding Gift for Lover Daughter Son Father Mother</t>
        </is>
      </c>
      <c r="N52" s="2" t="inlineStr">
        <is>
          <t>SET</t>
        </is>
      </c>
      <c r="O52" s="2" t="inlineStr">
        <is>
          <t>Farmhouse chicken patchwork quilt set</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["D:\\Shopify_Workspace\\jeminise_seo\\seo_runs\\jeminise.com\\20260906_234129\\qa\\20260908_230550\\images\\009_01_47933462118599.jpg", "https://cdn.shopify.com/s/files/1/0792/5098/1063/files/df2728478e8364bc96182ba33c31dd08dcdab3758f1c26ecd4c76bcfacdeadc5.jpg?v=1787233682", "seo_runs\\jeminise.com\\20260906_234129\\evidence\\images\\9_chicken-pattern-quilt-set-animal-patchwork-farmhouse-quilt-set\\image_01_47933462118599.jpg; seo_runs\\jeminise.com\\20260906_234129\\evidence\\contact_sheets\\9_chicken-pattern-quilt-set-animal-patchwork-farmhouse-quilt-set.jpg"]</t>
        </is>
      </c>
    </row>
    <row r="53" ht="66" customHeight="1">
      <c r="A53" s="3" t="inlineStr">
        <is>
          <t>jeminise.com+chicken-pattern-quilt-set-animal-patchwork-farmhouse-quilt-set</t>
        </is>
      </c>
      <c r="B53" s="3" t="inlineStr">
        <is>
          <t>jeminise.com+chicken-pattern-quilt-set-animal-patchwork-farmhouse-quilt-set|47933462151367|GALLERY|2</t>
        </is>
      </c>
      <c r="C53" s="4" t="inlineStr">
        <is>
          <t>https://cdn.shopify.com/s/files/1/0792/5098/1063/files/3fb22c532d2ea675077fa5f07538ad0693869d76604d9f54efbb12cf12dc3012.jpg?v=1787233682</t>
        </is>
      </c>
      <c r="D53" s="4" t="inlineStr">
        <is>
          <t>https://cdn.shopify.com/s/files/1/0792/5098/1063/files/3fb22c532d2ea675077fa5f07538ad0693869d76604d9f54efbb12cf12dc3012.jpg?v=1787233682</t>
        </is>
      </c>
      <c r="E53" s="3" t="inlineStr">
        <is>
          <t>47933462151367</t>
        </is>
      </c>
      <c r="F53" s="3" t="inlineStr">
        <is>
          <t>47933462151367</t>
        </is>
      </c>
      <c r="G53" s="3" t="inlineStr"/>
      <c r="H53" s="3" t="inlineStr">
        <is>
          <t>GALLERY</t>
        </is>
      </c>
      <c r="I53" s="3" t="inlineStr">
        <is>
          <t>DIRECT_ORIGINAL_IMAGE_REQA_R7</t>
        </is>
      </c>
      <c r="J53" s="3" t="inlineStr">
        <is>
          <t>2026-09-08T23:27:07.723474+07:00</t>
        </is>
      </c>
      <c r="K53" s="3" t="inlineStr">
        <is>
          <t>Bedroom mockup with farmhouse chicken patchwork quilt and premium printed craft callout.</t>
        </is>
      </c>
      <c r="L53" s="3" t="inlineStr">
        <is>
          <t>Bedroom mockup with farmhouse chicken patchwork quilt and premium printed craft callout.</t>
        </is>
      </c>
      <c r="M53" s="3" t="inlineStr">
        <is>
          <t>Chicken Pattern Quilt Set, Animal Patchwork Farmhouse Quilt Set Bedspread, Premium Pattern Quilt Bedspread, Bedding Gift for Lover Daughter Son Father Mother</t>
        </is>
      </c>
      <c r="N53" s="3" t="inlineStr">
        <is>
          <t>SET</t>
        </is>
      </c>
      <c r="O53" s="3" t="inlineStr">
        <is>
          <t>Farmhouse chicken quilt bedroom mockup</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t>
        </is>
      </c>
      <c r="Z53" s="3" t="inlineStr">
        <is>
          <t>["D:\\Shopify_Workspace\\jeminise_seo\\seo_runs\\jeminise.com\\20260906_234129\\qa\\20260908_230550\\images\\009_02_47933462151367.jpg", "https://cdn.shopify.com/s/files/1/0792/5098/1063/files/3fb22c532d2ea675077fa5f07538ad0693869d76604d9f54efbb12cf12dc3012.jpg?v=1787233682", "seo_runs\\jeminise.com\\20260906_234129\\evidence\\images\\9_chicken-pattern-quilt-set-animal-patchwork-farmhouse-quilt-set\\image_02_47933462151367.jpg; seo_runs\\jeminise.com\\20260906_234129\\evidence\\contact_sheets\\9_chicken-pattern-quilt-set-animal-patchwork-farmhouse-quilt-set.jpg"]</t>
        </is>
      </c>
    </row>
    <row r="54" ht="66" customHeight="1">
      <c r="A54" s="2" t="inlineStr">
        <is>
          <t>jeminise.com+chicken-pattern-quilt-set-animal-patchwork-farmhouse-quilt-set</t>
        </is>
      </c>
      <c r="B54" s="2" t="inlineStr">
        <is>
          <t>jeminise.com+chicken-pattern-quilt-set-animal-patchwork-farmhouse-quilt-set|47933462184135|GALLERY|3</t>
        </is>
      </c>
      <c r="C54" s="4" t="inlineStr">
        <is>
          <t>https://cdn.shopify.com/s/files/1/0792/5098/1063/files/015c23cc578e135b61ae727b347772c42c1d51319bdc062c7e1f665e85a0a3f3.jpg?v=1787233682</t>
        </is>
      </c>
      <c r="D54" s="4" t="inlineStr">
        <is>
          <t>https://cdn.shopify.com/s/files/1/0792/5098/1063/files/015c23cc578e135b61ae727b347772c42c1d51319bdc062c7e1f665e85a0a3f3.jpg?v=1787233682</t>
        </is>
      </c>
      <c r="E54" s="2" t="inlineStr">
        <is>
          <t>47933462184135</t>
        </is>
      </c>
      <c r="F54" s="2" t="inlineStr">
        <is>
          <t>47933462184135</t>
        </is>
      </c>
      <c r="G54" s="2" t="inlineStr"/>
      <c r="H54" s="2" t="inlineStr">
        <is>
          <t>GALLERY</t>
        </is>
      </c>
      <c r="I54" s="2" t="inlineStr">
        <is>
          <t>DIRECT_ORIGINAL_IMAGE_REQA_R7</t>
        </is>
      </c>
      <c r="J54" s="2" t="inlineStr">
        <is>
          <t>2026-09-08T23:27:07.723474+07:00</t>
        </is>
      </c>
      <c r="K54" s="2" t="inlineStr">
        <is>
          <t>Optional pillow shams panel showing coordinated chicken and hen patchwork artwork.</t>
        </is>
      </c>
      <c r="L54" s="2" t="inlineStr">
        <is>
          <t>Optional pillow shams panel showing coordinated chicken and hen patchwork artwork.</t>
        </is>
      </c>
      <c r="M54" s="2" t="inlineStr">
        <is>
          <t>Chicken Pattern Quilt Set, Animal Patchwork Farmhouse Quilt Set Bedspread, Premium Pattern Quilt Bedspread, Bedding Gift for Lover Daughter Son Father Mother</t>
        </is>
      </c>
      <c r="N54" s="2" t="inlineStr">
        <is>
          <t>SET</t>
        </is>
      </c>
      <c r="O54" s="2" t="inlineStr">
        <is>
          <t>Farmhouse chicken optional pillow shams</t>
        </is>
      </c>
      <c r="P54" s="2" t="inlineStr">
        <is>
          <t>FULL</t>
        </is>
      </c>
      <c r="Q54" s="2" t="inlineStr">
        <is>
          <t>FULL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t>
        </is>
      </c>
      <c r="Z54" s="2" t="inlineStr">
        <is>
          <t>["D:\\Shopify_Workspace\\jeminise_seo\\seo_runs\\jeminise.com\\20260906_234129\\qa\\20260908_230550\\images\\009_03_47933462184135.jpg", "https://cdn.shopify.com/s/files/1/0792/5098/1063/files/015c23cc578e135b61ae727b347772c42c1d51319bdc062c7e1f665e85a0a3f3.jpg?v=1787233682", "seo_runs\\jeminise.com\\20260906_234129\\evidence\\images\\9_chicken-pattern-quilt-set-animal-patchwork-farmhouse-quilt-set\\image_03_47933462184135.jpg; seo_runs\\jeminise.com\\20260906_234129\\evidence\\contact_sheets\\9_chicken-pattern-quilt-set-animal-patchwork-farmhouse-quilt-set.jpg"]</t>
        </is>
      </c>
    </row>
    <row r="55" ht="66" customHeight="1">
      <c r="A55" s="3" t="inlineStr">
        <is>
          <t>jeminise.com+chicken-pattern-quilt-set-animal-patchwork-farmhouse-quilt-set</t>
        </is>
      </c>
      <c r="B55" s="3" t="inlineStr">
        <is>
          <t>jeminise.com+chicken-pattern-quilt-set-animal-patchwork-farmhouse-quilt-set|47933462216903|GALLERY|4</t>
        </is>
      </c>
      <c r="C55" s="4" t="inlineStr">
        <is>
          <t>https://cdn.shopify.com/s/files/1/0792/5098/1063/files/044a88434534608756b0c91fa034b5bd3e06078ac0802d9eb409cbb4177ff68e.jpg?v=1787233682</t>
        </is>
      </c>
      <c r="D55" s="4" t="inlineStr">
        <is>
          <t>https://cdn.shopify.com/s/files/1/0792/5098/1063/files/044a88434534608756b0c91fa034b5bd3e06078ac0802d9eb409cbb4177ff68e.jpg?v=1787233682</t>
        </is>
      </c>
      <c r="E55" s="3" t="inlineStr">
        <is>
          <t>47933462216903</t>
        </is>
      </c>
      <c r="F55" s="3" t="inlineStr">
        <is>
          <t>47933462216903</t>
        </is>
      </c>
      <c r="G55" s="3" t="inlineStr"/>
      <c r="H55" s="3" t="inlineStr">
        <is>
          <t>GALLERY</t>
        </is>
      </c>
      <c r="I55" s="3" t="inlineStr">
        <is>
          <t>DIRECT_ORIGINAL_IMAGE_REQA_R7</t>
        </is>
      </c>
      <c r="J55" s="3" t="inlineStr">
        <is>
          <t>2026-09-08T23:27:07.723474+07:00</t>
        </is>
      </c>
      <c r="K55" s="3" t="inlineStr">
        <is>
          <t>Fabric feature panel showing soft breathable skin-friendly material and all-season use notes.</t>
        </is>
      </c>
      <c r="L55" s="3" t="inlineStr">
        <is>
          <t>Fabric feature panel showing soft breathable skin-friendly material and all-season use notes.</t>
        </is>
      </c>
      <c r="M55" s="3" t="inlineStr">
        <is>
          <t>Chicken Pattern Quilt Set, Animal Patchwork Farmhouse Quilt Set Bedspread, Premium Pattern Quilt Bedspread, Bedding Gift for Lover Daughter Son Father Mother</t>
        </is>
      </c>
      <c r="N55" s="3" t="inlineStr">
        <is>
          <t>SET</t>
        </is>
      </c>
      <c r="O55" s="3" t="inlineStr">
        <is>
          <t>Farmhouse chicken quilt fabric feature panel</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t>
        </is>
      </c>
      <c r="Z55" s="3" t="inlineStr">
        <is>
          <t>["D:\\Shopify_Workspace\\jeminise_seo\\seo_runs\\jeminise.com\\20260906_234129\\qa\\20260908_230550\\images\\009_04_47933462216903.jpg", "https://cdn.shopify.com/s/files/1/0792/5098/1063/files/044a88434534608756b0c91fa034b5bd3e06078ac0802d9eb409cbb4177ff68e.jpg?v=1787233682", "seo_runs\\jeminise.com\\20260906_234129\\evidence\\images\\9_chicken-pattern-quilt-set-animal-patchwork-farmhouse-quilt-set\\image_04_47933462216903.jpg; seo_runs\\jeminise.com\\20260906_234129\\evidence\\contact_sheets\\9_chicken-pattern-quilt-set-animal-patchwork-farmhouse-quilt-set.jpg"]</t>
        </is>
      </c>
    </row>
    <row r="56" ht="66" customHeight="1">
      <c r="A56" s="2" t="inlineStr">
        <is>
          <t>jeminise.com+chicken-pattern-quilt-set-animal-patchwork-farmhouse-quilt-set</t>
        </is>
      </c>
      <c r="B56" s="2" t="inlineStr">
        <is>
          <t>jeminise.com+chicken-pattern-quilt-set-animal-patchwork-farmhouse-quilt-set|47933462249671|GALLERY|5</t>
        </is>
      </c>
      <c r="C56" s="4" t="inlineStr">
        <is>
          <t>https://cdn.shopify.com/s/files/1/0792/5098/1063/files/8f7c582280e89587a9220b27404f887ca04a3550cb155e58214bec320e7e7a84.jpg?v=1787233682</t>
        </is>
      </c>
      <c r="D56" s="4" t="inlineStr">
        <is>
          <t>https://cdn.shopify.com/s/files/1/0792/5098/1063/files/8f7c582280e89587a9220b27404f887ca04a3550cb155e58214bec320e7e7a84.jpg?v=1787233682</t>
        </is>
      </c>
      <c r="E56" s="2" t="inlineStr">
        <is>
          <t>47933462249671</t>
        </is>
      </c>
      <c r="F56" s="2" t="inlineStr">
        <is>
          <t>47933462249671</t>
        </is>
      </c>
      <c r="G56" s="2" t="inlineStr"/>
      <c r="H56" s="2" t="inlineStr">
        <is>
          <t>GALLERY</t>
        </is>
      </c>
      <c r="I56" s="2" t="inlineStr">
        <is>
          <t>DIRECT_ORIGINAL_IMAGE_REQA_R7</t>
        </is>
      </c>
      <c r="J56" s="2" t="inlineStr">
        <is>
          <t>2026-09-08T23:27:07.723474+07:00</t>
        </is>
      </c>
      <c r="K56" s="2" t="inlineStr">
        <is>
          <t>Premium quilt set size chart for the farmhouse chicken patchwork design.</t>
        </is>
      </c>
      <c r="L56" s="2" t="inlineStr">
        <is>
          <t>Premium quilt set size chart for the farmhouse chicken patchwork design.</t>
        </is>
      </c>
      <c r="M56" s="2" t="inlineStr">
        <is>
          <t>Chicken Pattern Quilt Set, Animal Patchwork Farmhouse Quilt Set Bedspread, Premium Pattern Quilt Bedspread, Bedding Gift for Lover Daughter Son Father Mother</t>
        </is>
      </c>
      <c r="N56" s="2" t="inlineStr">
        <is>
          <t>SET</t>
        </is>
      </c>
      <c r="O56" s="2" t="inlineStr">
        <is>
          <t>Farmhouse chicken quilt size chart</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t>
        </is>
      </c>
      <c r="Z56" s="2" t="inlineStr">
        <is>
          <t>["D:\\Shopify_Workspace\\jeminise_seo\\seo_runs\\jeminise.com\\20260906_234129\\qa\\20260908_230550\\images\\009_05_47933462249671.jpg", "https://cdn.shopify.com/s/files/1/0792/5098/1063/files/8f7c582280e89587a9220b27404f887ca04a3550cb155e58214bec320e7e7a84.jpg?v=1787233682", "seo_runs\\jeminise.com\\20260906_234129\\evidence\\images\\9_chicken-pattern-quilt-set-animal-patchwork-farmhouse-quilt-set\\image_05_47933462249671.jpg; seo_runs\\jeminise.com\\20260906_234129\\evidence\\contact_sheets\\9_chicken-pattern-quilt-set-animal-patchwork-farmhouse-quilt-set.jpg"]</t>
        </is>
      </c>
    </row>
    <row r="57" ht="66" customHeight="1">
      <c r="A57" s="3" t="inlineStr">
        <is>
          <t>jeminise.com+chicken-pattern-quilt-set-animal-patchwork-farmhouse-quilt-set</t>
        </is>
      </c>
      <c r="B57" s="3" t="inlineStr">
        <is>
          <t>jeminise.com+chicken-pattern-quilt-set-animal-patchwork-farmhouse-quilt-set|47933462282439|GALLERY|6</t>
        </is>
      </c>
      <c r="C57" s="4" t="inlineStr">
        <is>
          <t>https://cdn.shopify.com/s/files/1/0792/5098/1063/files/1790d972d34f1676ff9960602f32a073d75ae00ce5514be8d583a1bee054cb72.jpg?v=1787233682</t>
        </is>
      </c>
      <c r="D57" s="4" t="inlineStr">
        <is>
          <t>https://cdn.shopify.com/s/files/1/0792/5098/1063/files/1790d972d34f1676ff9960602f32a073d75ae00ce5514be8d583a1bee054cb72.jpg?v=1787233682</t>
        </is>
      </c>
      <c r="E57" s="3" t="inlineStr">
        <is>
          <t>47933462282439</t>
        </is>
      </c>
      <c r="F57" s="3" t="inlineStr">
        <is>
          <t>47933462282439</t>
        </is>
      </c>
      <c r="G57" s="3" t="inlineStr"/>
      <c r="H57" s="3" t="inlineStr">
        <is>
          <t>GALLERY</t>
        </is>
      </c>
      <c r="I57" s="3" t="inlineStr">
        <is>
          <t>DIRECT_ORIGINAL_IMAGE_REQA_R7</t>
        </is>
      </c>
      <c r="J57" s="3" t="inlineStr">
        <is>
          <t>2026-09-08T23:27:07.723474+07:00</t>
        </is>
      </c>
      <c r="K57" s="3" t="inlineStr">
        <is>
          <t>Bedspread feature panel with microfiber layers and care-resistance icons.</t>
        </is>
      </c>
      <c r="L57" s="3" t="inlineStr">
        <is>
          <t>Bedspread feature panel with microfiber layers and care-resistance icons.</t>
        </is>
      </c>
      <c r="M57" s="3" t="inlineStr">
        <is>
          <t>Chicken Pattern Quilt Set, Animal Patchwork Farmhouse Quilt Set Bedspread, Premium Pattern Quilt Bedspread, Bedding Gift for Lover Daughter Son Father Mother</t>
        </is>
      </c>
      <c r="N57" s="3" t="inlineStr">
        <is>
          <t>SET</t>
        </is>
      </c>
      <c r="O57" s="3" t="inlineStr">
        <is>
          <t>Farmhouse chicken bedspread feature panel</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["D:\\Shopify_Workspace\\jeminise_seo\\seo_runs\\jeminise.com\\20260906_234129\\qa\\20260908_230550\\images\\009_06_47933462282439.jpg", "https://cdn.shopify.com/s/files/1/0792/5098/1063/files/1790d972d34f1676ff9960602f32a073d75ae00ce5514be8d583a1bee054cb72.jpg?v=1787233682", "seo_runs\\jeminise.com\\20260906_234129\\evidence\\images\\9_chicken-pattern-quilt-set-animal-patchwork-farmhouse-quilt-set\\image_06_47933462282439.jpg; seo_runs\\jeminise.com\\20260906_234129\\evidence\\contact_sheets\\9_chicken-pattern-quilt-set-animal-patchwork-farmhouse-quilt-set.jpg"]</t>
        </is>
      </c>
    </row>
    <row r="58" ht="66" customHeight="1">
      <c r="A58" s="2" t="inlineStr">
        <is>
          <t>jeminise.com+chicken-pattern-quilt-set-animal-patchwork-farmhouse-quilt-set</t>
        </is>
      </c>
      <c r="B58" s="2" t="inlineStr">
        <is>
          <t>jeminise.com+chicken-pattern-quilt-set-animal-patchwork-farmhouse-quilt-set|47933462315207|GALLERY|7</t>
        </is>
      </c>
      <c r="C58" s="4" t="inlineStr">
        <is>
          <t>https://cdn.shopify.com/s/files/1/0792/5098/1063/files/9b0208488bc2babfa22f4cf50f3e6213152506148e49cdd0bae5d159838e9105.jpg?v=1787233682</t>
        </is>
      </c>
      <c r="D58" s="4" t="inlineStr">
        <is>
          <t>https://cdn.shopify.com/s/files/1/0792/5098/1063/files/9b0208488bc2babfa22f4cf50f3e6213152506148e49cdd0bae5d159838e9105.jpg?v=1787233682</t>
        </is>
      </c>
      <c r="E58" s="2" t="inlineStr">
        <is>
          <t>47933462315207</t>
        </is>
      </c>
      <c r="F58" s="2" t="inlineStr">
        <is>
          <t>47933462315207</t>
        </is>
      </c>
      <c r="G58" s="2" t="inlineStr"/>
      <c r="H58" s="2" t="inlineStr">
        <is>
          <t>GALLERY</t>
        </is>
      </c>
      <c r="I58" s="2" t="inlineStr">
        <is>
          <t>DIRECT_ORIGINAL_IMAGE_REQA_R7</t>
        </is>
      </c>
      <c r="J58" s="2" t="inlineStr">
        <is>
          <t>2026-09-08T23:27:07.723474+07:00</t>
        </is>
      </c>
      <c r="K58" s="2" t="inlineStr">
        <is>
          <t>Second bedroom mockup showing the farmhouse chicken quilt from a different room angle.</t>
        </is>
      </c>
      <c r="L58" s="2" t="inlineStr">
        <is>
          <t>Second bedroom mockup showing the farmhouse chicken quilt from a different room angle.</t>
        </is>
      </c>
      <c r="M58" s="2" t="inlineStr">
        <is>
          <t>Chicken Pattern Quilt Set, Animal Patchwork Farmhouse Quilt Set Bedspread, Premium Pattern Quilt Bedspread, Bedding Gift for Lover Daughter Son Father Mother</t>
        </is>
      </c>
      <c r="N58" s="2" t="inlineStr">
        <is>
          <t>SET</t>
        </is>
      </c>
      <c r="O58" s="2" t="inlineStr">
        <is>
          <t>Farmhouse chicken second bedroom mockup</t>
        </is>
      </c>
      <c r="P58" s="2" t="inlineStr">
        <is>
          <t>FULL</t>
        </is>
      </c>
      <c r="Q58" s="2" t="inlineStr">
        <is>
          <t>FULL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t>
        </is>
      </c>
      <c r="Z58" s="2" t="inlineStr">
        <is>
          <t>["D:\\Shopify_Workspace\\jeminise_seo\\seo_runs\\jeminise.com\\20260906_234129\\qa\\20260908_230550\\images\\009_07_47933462315207.jpg", "https://cdn.shopify.com/s/files/1/0792/5098/1063/files/9b0208488bc2babfa22f4cf50f3e6213152506148e49cdd0bae5d159838e9105.jpg?v=1787233682", "seo_runs\\jeminise.com\\20260906_234129\\evidence\\images\\9_chicken-pattern-quilt-set-animal-patchwork-farmhouse-quilt-set\\image_07_47933462315207.jpg; seo_runs\\jeminise.com\\20260906_234129\\evidence\\contact_sheets\\9_chicken-pattern-quilt-set-animal-patchwork-farmhouse-quilt-set.jpg"]</t>
        </is>
      </c>
    </row>
    <row r="59" ht="66" customHeight="1">
      <c r="A59" s="3" t="inlineStr">
        <is>
          <t>jeminise.com+christian-bedding-set-inspirational-bible-verse-comforte-design-01</t>
        </is>
      </c>
      <c r="B59" s="3" t="inlineStr">
        <is>
          <t>jeminise.com+christian-bedding-set-inspirational-bible-verse-comforte-design-01|47933837967559|GALLERY|1</t>
        </is>
      </c>
      <c r="C59" s="4" t="inlineStr">
        <is>
          <t>https://cdn.shopify.com/s/files/1/0792/5098/1063/files/e0fe73b713afc62cfffb3946372bff45f6aba6f1bc25f209c29052448bc1decb.jpg?v=1787237695</t>
        </is>
      </c>
      <c r="D59" s="4" t="inlineStr">
        <is>
          <t>https://cdn.shopify.com/s/files/1/0792/5098/1063/files/e0fe73b713afc62cfffb3946372bff45f6aba6f1bc25f209c29052448bc1decb.jpg?v=1787237695</t>
        </is>
      </c>
      <c r="E59" s="3" t="inlineStr">
        <is>
          <t>47933837967559</t>
        </is>
      </c>
      <c r="F59" s="3" t="inlineStr">
        <is>
          <t>47933837967559</t>
        </is>
      </c>
      <c r="G59" s="3" t="inlineStr"/>
      <c r="H59" s="3" t="inlineStr">
        <is>
          <t>GALLERY</t>
        </is>
      </c>
      <c r="I59" s="3" t="inlineStr">
        <is>
          <t>DIRECT_ORIGINAL_IMAGE_REQA_R7</t>
        </is>
      </c>
      <c r="J59" s="3" t="inlineStr">
        <is>
          <t>2026-09-08T23:27:07.723474+07:00</t>
        </is>
      </c>
      <c r="K59" s="3" t="inlineStr">
        <is>
          <t>Personalized Christian bedding mockup with Jessica name, God Says I Am affirmation text, Bible verse labels, flowers and butterflies.</t>
        </is>
      </c>
      <c r="L59" s="3" t="inlineStr">
        <is>
          <t>Personalized Christian bedding mockup with Jessica name, God Says I Am affirmation text, Bible verse labels, flowers and butterflies.</t>
        </is>
      </c>
      <c r="M59" s="3" t="inlineStr">
        <is>
          <t>Christian Bedding Set – Inspirational Bible Verse Comforter – Religious Bedding for Women, Faith Gift for Mom, Daughter, Sister, Birthday &amp; Religious Gifts (God Says I am #1)</t>
        </is>
      </c>
      <c r="N59" s="3" t="inlineStr">
        <is>
          <t>SET</t>
        </is>
      </c>
      <c r="O59" s="3" t="inlineStr">
        <is>
          <t>Personalized God Says I Am Christian bedding set</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["D:\\Shopify_Workspace\\jeminise_seo\\seo_runs\\jeminise.com\\20260906_234129\\qa\\20260908_230550\\images\\010_01_47933837967559.jpg", "https://cdn.shopify.com/s/files/1/0792/5098/1063/files/e0fe73b713afc62cfffb3946372bff45f6aba6f1bc25f209c29052448bc1decb.jpg?v=1787237695", "seo_runs\\jeminise.com\\20260906_234129\\evidence\\images\\10_christian-bedding-set-inspirational-bible-verse-comforte-design-01\\image_01_47933837967559.jpg; seo_runs\\jeminise.com\\20260906_234129\\evidence\\contact_sheets\\10_christian-bedding-set-inspirational-bible-verse-comforte-design-01.jpg"]</t>
        </is>
      </c>
    </row>
    <row r="60" ht="66" customHeight="1">
      <c r="A60" s="2" t="inlineStr">
        <is>
          <t>jeminise.com+christian-bedding-set-inspirational-bible-verse-comforte-design-01</t>
        </is>
      </c>
      <c r="B60" s="2" t="inlineStr">
        <is>
          <t>jeminise.com+christian-bedding-set-inspirational-bible-verse-comforte-design-01|47933838000327|GALLERY|2</t>
        </is>
      </c>
      <c r="C60" s="4" t="inlineStr">
        <is>
          <t>https://cdn.shopify.com/s/files/1/0792/5098/1063/files/9a2ea3655358889bfb8939e5d43749d9fc1a68a15bb91eb7257e168947c5d449.jpg?v=1787237695</t>
        </is>
      </c>
      <c r="D60" s="4" t="inlineStr">
        <is>
          <t>https://cdn.shopify.com/s/files/1/0792/5098/1063/files/9a2ea3655358889bfb8939e5d43749d9fc1a68a15bb91eb7257e168947c5d449.jpg?v=1787237695</t>
        </is>
      </c>
      <c r="E60" s="2" t="inlineStr">
        <is>
          <t>47933838000327</t>
        </is>
      </c>
      <c r="F60" s="2" t="inlineStr">
        <is>
          <t>47933838000327</t>
        </is>
      </c>
      <c r="G60" s="2" t="inlineStr"/>
      <c r="H60" s="2" t="inlineStr">
        <is>
          <t>GALLERY</t>
        </is>
      </c>
      <c r="I60" s="2" t="inlineStr">
        <is>
          <t>DIRECT_ORIGINAL_IMAGE_REQA_R7</t>
        </is>
      </c>
      <c r="J60" s="2" t="inlineStr">
        <is>
          <t>2026-09-08T23:27:07.723474+07:00</t>
        </is>
      </c>
      <c r="K60" s="2" t="inlineStr">
        <is>
          <t>Bedroom mockup of the Christian bedding with Jessica pillowcases, purple affirmation blocks and floral artwork.</t>
        </is>
      </c>
      <c r="L60" s="2" t="inlineStr">
        <is>
          <t>Bedroom mockup of the Christian bedding with Jessica pillowcases, purple affirmation blocks and floral artwork.</t>
        </is>
      </c>
      <c r="M60" s="2" t="inlineStr">
        <is>
          <t>Christian Bedding Set – Inspirational Bible Verse Comforter – Religious Bedding for Women, Faith Gift for Mom, Daughter, Sister, Birthday &amp; Religious Gifts (God Says I am #1)</t>
        </is>
      </c>
      <c r="N60" s="2" t="inlineStr">
        <is>
          <t>SET</t>
        </is>
      </c>
      <c r="O60" s="2" t="inlineStr">
        <is>
          <t>God Says I Am Christian bedding bedroom mockup</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t>
        </is>
      </c>
      <c r="Z60" s="2" t="inlineStr">
        <is>
          <t>["D:\\Shopify_Workspace\\jeminise_seo\\seo_runs\\jeminise.com\\20260906_234129\\qa\\20260908_230550\\images\\010_02_47933838000327.jpg", "https://cdn.shopify.com/s/files/1/0792/5098/1063/files/9a2ea3655358889bfb8939e5d43749d9fc1a68a15bb91eb7257e168947c5d449.jpg?v=1787237695", "seo_runs\\jeminise.com\\20260906_234129\\evidence\\images\\10_christian-bedding-set-inspirational-bible-verse-comforte-design-01\\image_02_47933838000327.jpg; seo_runs\\jeminise.com\\20260906_234129\\evidence\\contact_sheets\\10_christian-bedding-set-inspirational-bible-verse-comforte-design-01.jpg"]</t>
        </is>
      </c>
    </row>
    <row r="61" ht="66" customHeight="1">
      <c r="A61" s="3" t="inlineStr">
        <is>
          <t>jeminise.com+christian-bedding-set-inspirational-bible-verse-comforte-design-01</t>
        </is>
      </c>
      <c r="B61" s="3" t="inlineStr">
        <is>
          <t>jeminise.com+christian-bedding-set-inspirational-bible-verse-comforte-design-01|47933838033095|GALLERY|3</t>
        </is>
      </c>
      <c r="C61" s="4" t="inlineStr">
        <is>
          <t>https://cdn.shopify.com/s/files/1/0792/5098/1063/files/50f96559dd878ae5bbee14ba7a34337ccd740d21a8ffe86a8a1be819656d26c0.jpg?v=1787237695</t>
        </is>
      </c>
      <c r="D61" s="4" t="inlineStr">
        <is>
          <t>https://cdn.shopify.com/s/files/1/0792/5098/1063/files/50f96559dd878ae5bbee14ba7a34337ccd740d21a8ffe86a8a1be819656d26c0.jpg?v=1787237695</t>
        </is>
      </c>
      <c r="E61" s="3" t="inlineStr">
        <is>
          <t>47933838033095</t>
        </is>
      </c>
      <c r="F61" s="3" t="inlineStr">
        <is>
          <t>47933838033095</t>
        </is>
      </c>
      <c r="G61" s="3" t="inlineStr"/>
      <c r="H61" s="3" t="inlineStr">
        <is>
          <t>GALLERY</t>
        </is>
      </c>
      <c r="I61" s="3" t="inlineStr">
        <is>
          <t>DIRECT_ORIGINAL_IMAGE_REQA_R7</t>
        </is>
      </c>
      <c r="J61" s="3" t="inlineStr">
        <is>
          <t>2026-09-08T23:27:07.723474+07:00</t>
        </is>
      </c>
      <c r="K61" s="3" t="inlineStr">
        <is>
          <t>Product type comparison panel showing duvet cover set and comforter set options for all-season use.</t>
        </is>
      </c>
      <c r="L61" s="3" t="inlineStr">
        <is>
          <t>Product type comparison panel showing duvet cover set and comforter set options for all-season use.</t>
        </is>
      </c>
      <c r="M61" s="3" t="inlineStr">
        <is>
          <t>Christian Bedding Set – Inspirational Bible Verse Comforter – Religious Bedding for Women, Faith Gift for Mom, Daughter, Sister, Birthday &amp; Religious Gifts (God Says I am #1)</t>
        </is>
      </c>
      <c r="N61" s="3" t="inlineStr">
        <is>
          <t>SET</t>
        </is>
      </c>
      <c r="O61" s="3" t="inlineStr">
        <is>
          <t>Christian bedding duvet cover and comforter options</t>
        </is>
      </c>
      <c r="P61" s="3" t="inlineStr">
        <is>
          <t>FULL</t>
        </is>
      </c>
      <c r="Q61" s="3" t="inlineStr">
        <is>
          <t>FULL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t>
        </is>
      </c>
      <c r="Z61" s="3" t="inlineStr">
        <is>
          <t>["D:\\Shopify_Workspace\\jeminise_seo\\seo_runs\\jeminise.com\\20260906_234129\\qa\\20260908_230550\\images\\010_03_47933838033095.jpg", "https://cdn.shopify.com/s/files/1/0792/5098/1063/files/50f96559dd878ae5bbee14ba7a34337ccd740d21a8ffe86a8a1be819656d26c0.jpg?v=1787237695", "seo_runs\\jeminise.com\\20260906_234129\\evidence\\images\\10_christian-bedding-set-inspirational-bible-verse-comforte-design-01\\image_03_47933838033095.jpg; seo_runs\\jeminise.com\\20260906_234129\\evidence\\contact_sheets\\10_christian-bedding-set-inspirational-bible-verse-comforte-design-01.jpg"]</t>
        </is>
      </c>
    </row>
    <row r="62" ht="66" customHeight="1">
      <c r="A62" s="2" t="inlineStr">
        <is>
          <t>jeminise.com+christian-bedding-set-inspirational-bible-verse-comforte-design-01</t>
        </is>
      </c>
      <c r="B62" s="2" t="inlineStr">
        <is>
          <t>jeminise.com+christian-bedding-set-inspirational-bible-verse-comforte-design-01|47933838065863|GALLERY|4</t>
        </is>
      </c>
      <c r="C62" s="4" t="inlineStr">
        <is>
          <t>https://cdn.shopify.com/s/files/1/0792/5098/1063/files/e177a63ec5fdef284072a06f2775ebbbf78d53d430946e0a479a9aea59e23193.jpg?v=1787237695</t>
        </is>
      </c>
      <c r="D62" s="4" t="inlineStr">
        <is>
          <t>https://cdn.shopify.com/s/files/1/0792/5098/1063/files/e177a63ec5fdef284072a06f2775ebbbf78d53d430946e0a479a9aea59e23193.jpg?v=1787237695</t>
        </is>
      </c>
      <c r="E62" s="2" t="inlineStr">
        <is>
          <t>47933838065863</t>
        </is>
      </c>
      <c r="F62" s="2" t="inlineStr">
        <is>
          <t>47933838065863</t>
        </is>
      </c>
      <c r="G62" s="2" t="inlineStr"/>
      <c r="H62" s="2" t="inlineStr">
        <is>
          <t>GALLERY</t>
        </is>
      </c>
      <c r="I62" s="2" t="inlineStr">
        <is>
          <t>DIRECT_ORIGINAL_IMAGE_REQA_R7</t>
        </is>
      </c>
      <c r="J62" s="2" t="inlineStr">
        <is>
          <t>2026-09-08T23:27:07.723474+07:00</t>
        </is>
      </c>
      <c r="K62" s="2" t="inlineStr">
        <is>
          <t>Feature panel showing microfiber callout, 3D printed pattern close-ups, soft filling and lightweight breathable notes.</t>
        </is>
      </c>
      <c r="L62" s="2" t="inlineStr">
        <is>
          <t>Feature panel showing microfiber callout, 3D printed pattern close-ups, soft filling and lightweight breathable notes.</t>
        </is>
      </c>
      <c r="M62" s="2" t="inlineStr">
        <is>
          <t>Christian Bedding Set – Inspirational Bible Verse Comforter – Religious Bedding for Women, Faith Gift for Mom, Daughter, Sister, Birthday &amp; Religious Gifts (God Says I am #1)</t>
        </is>
      </c>
      <c r="N62" s="2" t="inlineStr">
        <is>
          <t>SET</t>
        </is>
      </c>
      <c r="O62" s="2" t="inlineStr">
        <is>
          <t>Christian bedding microfiber feature panel</t>
        </is>
      </c>
      <c r="P62" s="2" t="inlineStr">
        <is>
          <t>FULL</t>
        </is>
      </c>
      <c r="Q62" s="2" t="inlineStr">
        <is>
          <t>FULL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t>
        </is>
      </c>
      <c r="Z62" s="2" t="inlineStr">
        <is>
          <t>["D:\\Shopify_Workspace\\jeminise_seo\\seo_runs\\jeminise.com\\20260906_234129\\qa\\20260908_230550\\images\\010_04_47933838065863.jpg", "https://cdn.shopify.com/s/files/1/0792/5098/1063/files/e177a63ec5fdef284072a06f2775ebbbf78d53d430946e0a479a9aea59e23193.jpg?v=1787237695", "seo_runs\\jeminise.com\\20260906_234129\\evidence\\images\\10_christian-bedding-set-inspirational-bible-verse-comforte-design-01\\image_04_47933838065863.jpg; seo_runs\\jeminise.com\\20260906_234129\\evidence\\contact_sheets\\10_christian-bedding-set-inspirational-bible-verse-comforte-design-01.jpg"]</t>
        </is>
      </c>
    </row>
    <row r="63" ht="66" customHeight="1">
      <c r="A63" s="3" t="inlineStr">
        <is>
          <t>jeminise.com+christian-bedding-set-inspirational-bible-verse-comforte-design-01</t>
        </is>
      </c>
      <c r="B63" s="3" t="inlineStr">
        <is>
          <t>jeminise.com+christian-bedding-set-inspirational-bible-verse-comforte-design-01|47933838098631|GALLERY|5</t>
        </is>
      </c>
      <c r="C63" s="4" t="inlineStr">
        <is>
          <t>https://cdn.shopify.com/s/files/1/0792/5098/1063/files/c0229b109e769b68f8c9f35623479c094bab31ad756f2c9dfcf50eadd39d92c5.jpg?v=1787237695</t>
        </is>
      </c>
      <c r="D63" s="4" t="inlineStr">
        <is>
          <t>https://cdn.shopify.com/s/files/1/0792/5098/1063/files/c0229b109e769b68f8c9f35623479c094bab31ad756f2c9dfcf50eadd39d92c5.jpg?v=1787237695</t>
        </is>
      </c>
      <c r="E63" s="3" t="inlineStr">
        <is>
          <t>47933838098631</t>
        </is>
      </c>
      <c r="F63" s="3" t="inlineStr">
        <is>
          <t>47933838098631</t>
        </is>
      </c>
      <c r="G63" s="3" t="inlineStr"/>
      <c r="H63" s="3" t="inlineStr">
        <is>
          <t>GALLERY</t>
        </is>
      </c>
      <c r="I63" s="3" t="inlineStr">
        <is>
          <t>DIRECT_ORIGINAL_IMAGE_REQA_R7</t>
        </is>
      </c>
      <c r="J63" s="3" t="inlineStr">
        <is>
          <t>2026-09-08T23:27:07.723474+07:00</t>
        </is>
      </c>
      <c r="K63" s="3" t="inlineStr">
        <is>
          <t>Birth month flowers panel showing flower illustrations for January through December.</t>
        </is>
      </c>
      <c r="L63" s="3" t="inlineStr">
        <is>
          <t>Birth month flowers panel showing flower illustrations for January through December.</t>
        </is>
      </c>
      <c r="M63" s="3" t="inlineStr">
        <is>
          <t>Christian Bedding Set – Inspirational Bible Verse Comforter – Religious Bedding for Women, Faith Gift for Mom, Daughter, Sister, Birthday &amp; Religious Gifts (God Says I am #1)</t>
        </is>
      </c>
      <c r="N63" s="3" t="inlineStr">
        <is>
          <t>SET</t>
        </is>
      </c>
      <c r="O63" s="3" t="inlineStr">
        <is>
          <t>Christian bedding birth month flowers panel</t>
        </is>
      </c>
      <c r="P63" s="3" t="inlineStr">
        <is>
          <t>FULL</t>
        </is>
      </c>
      <c r="Q63" s="3" t="inlineStr">
        <is>
          <t>FULL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t>
        </is>
      </c>
      <c r="Z63" s="3" t="inlineStr">
        <is>
          <t>["D:\\Shopify_Workspace\\jeminise_seo\\seo_runs\\jeminise.com\\20260906_234129\\qa\\20260908_230550\\images\\010_05_47933838098631.jpg", "https://cdn.shopify.com/s/files/1/0792/5098/1063/files/c0229b109e769b68f8c9f35623479c094bab31ad756f2c9dfcf50eadd39d92c5.jpg?v=1787237695", "seo_runs\\jeminise.com\\20260906_234129\\evidence\\images\\10_christian-bedding-set-inspirational-bible-verse-comforte-design-01\\image_05_47933838098631.jpg; seo_runs\\jeminise.com\\20260906_234129\\evidence\\contact_sheets\\10_christian-bedding-set-inspirational-bible-verse-comforte-design-01.jpg"]</t>
        </is>
      </c>
    </row>
    <row r="64" ht="66" customHeight="1">
      <c r="A64" s="2" t="inlineStr">
        <is>
          <t>jeminise.com+christian-bedding-set-inspirational-bible-verse-comforte-design-01</t>
        </is>
      </c>
      <c r="B64" s="2" t="inlineStr">
        <is>
          <t>jeminise.com+christian-bedding-set-inspirational-bible-verse-comforte-design-01|47933838131399|GALLERY|6</t>
        </is>
      </c>
      <c r="C64" s="4" t="inlineStr">
        <is>
          <t>https://cdn.shopify.com/s/files/1/0792/5098/1063/files/e22715b9d350060d7f718ca936fb51ae74bf407c9cd643e977844be314d468df.jpg?v=1787237695</t>
        </is>
      </c>
      <c r="D64" s="4" t="inlineStr">
        <is>
          <t>https://cdn.shopify.com/s/files/1/0792/5098/1063/files/e22715b9d350060d7f718ca936fb51ae74bf407c9cd643e977844be314d468df.jpg?v=1787237695</t>
        </is>
      </c>
      <c r="E64" s="2" t="inlineStr">
        <is>
          <t>47933838131399</t>
        </is>
      </c>
      <c r="F64" s="2" t="inlineStr">
        <is>
          <t>47933838131399</t>
        </is>
      </c>
      <c r="G64" s="2" t="inlineStr"/>
      <c r="H64" s="2" t="inlineStr">
        <is>
          <t>GALLERY</t>
        </is>
      </c>
      <c r="I64" s="2" t="inlineStr">
        <is>
          <t>DIRECT_ORIGINAL_IMAGE_REQA_R7</t>
        </is>
      </c>
      <c r="J64" s="2" t="inlineStr">
        <is>
          <t>2026-09-08T23:27:07.723474+07:00</t>
        </is>
      </c>
      <c r="K64" s="2" t="inlineStr">
        <is>
          <t>Close bedroom view showing the personalized Christian bedding with soft, lightweight, durable and breathable icons.</t>
        </is>
      </c>
      <c r="L64" s="2" t="inlineStr">
        <is>
          <t>Close bedroom view showing the personalized Christian bedding with soft, lightweight, durable and breathable icons.</t>
        </is>
      </c>
      <c r="M64" s="2" t="inlineStr">
        <is>
          <t>Christian Bedding Set – Inspirational Bible Verse Comforter – Religious Bedding for Women, Faith Gift for Mom, Daughter, Sister, Birthday &amp; Religious Gifts (God Says I am #1)</t>
        </is>
      </c>
      <c r="N64" s="2" t="inlineStr">
        <is>
          <t>SET</t>
        </is>
      </c>
      <c r="O64" s="2" t="inlineStr">
        <is>
          <t>Personalized Christian bedding feature icons</t>
        </is>
      </c>
      <c r="P64" s="2" t="inlineStr">
        <is>
          <t>FULL</t>
        </is>
      </c>
      <c r="Q64" s="2" t="inlineStr">
        <is>
          <t>FULL</t>
        </is>
      </c>
      <c r="R64" s="2" t="inlineStr">
        <is>
          <t>FULL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t>
        </is>
      </c>
      <c r="Z64" s="2" t="inlineStr">
        <is>
          <t>["D:\\Shopify_Workspace\\jeminise_seo\\seo_runs\\jeminise.com\\20260906_234129\\qa\\20260908_230550\\images\\010_06_47933838131399.jpg", "https://cdn.shopify.com/s/files/1/0792/5098/1063/files/e22715b9d350060d7f718ca936fb51ae74bf407c9cd643e977844be314d468df.jpg?v=1787237695", "seo_runs\\jeminise.com\\20260906_234129\\evidence\\images\\10_christian-bedding-set-inspirational-bible-verse-comforte-design-01\\image_06_47933838131399.jpg; seo_runs\\jeminise.com\\20260906_234129\\evidence\\contact_sheets\\10_christian-bedding-set-inspirational-bible-verse-comforte-design-01.jpg"]</t>
        </is>
      </c>
    </row>
    <row r="65" ht="66" customHeight="1">
      <c r="A65" s="3" t="inlineStr">
        <is>
          <t>jeminise.com+christian-bedding-set-inspirational-bible-verse-comforte-design-01</t>
        </is>
      </c>
      <c r="B65" s="3" t="inlineStr">
        <is>
          <t>jeminise.com+christian-bedding-set-inspirational-bible-verse-comforte-design-01|47933838164167|GALLERY|7</t>
        </is>
      </c>
      <c r="C65" s="4" t="inlineStr">
        <is>
          <t>https://cdn.shopify.com/s/files/1/0792/5098/1063/files/0e22a9fec09643a714af054217066178d4f7bc4d6266b6d2ff5c33c09cc10e88.jpg?v=1787237695</t>
        </is>
      </c>
      <c r="D65" s="4" t="inlineStr">
        <is>
          <t>https://cdn.shopify.com/s/files/1/0792/5098/1063/files/0e22a9fec09643a714af054217066178d4f7bc4d6266b6d2ff5c33c09cc10e88.jpg?v=1787237695</t>
        </is>
      </c>
      <c r="E65" s="3" t="inlineStr">
        <is>
          <t>47933838164167</t>
        </is>
      </c>
      <c r="F65" s="3" t="inlineStr">
        <is>
          <t>47933838164167</t>
        </is>
      </c>
      <c r="G65" s="3" t="inlineStr"/>
      <c r="H65" s="3" t="inlineStr">
        <is>
          <t>GALLERY</t>
        </is>
      </c>
      <c r="I65" s="3" t="inlineStr">
        <is>
          <t>DIRECT_ORIGINAL_IMAGE_REQA_R7</t>
        </is>
      </c>
      <c r="J65" s="3" t="inlineStr">
        <is>
          <t>2026-09-08T23:27:07.723474+07:00</t>
        </is>
      </c>
      <c r="K65" s="3" t="inlineStr">
        <is>
          <t>Stress-free easy care panel listing wrinkle-free, stain-proof, anti-pilling and wash-fade notes.</t>
        </is>
      </c>
      <c r="L65" s="3" t="inlineStr">
        <is>
          <t>Stress-free easy care panel listing wrinkle-free, stain-proof, anti-pilling and wash-fade notes.</t>
        </is>
      </c>
      <c r="M65" s="3" t="inlineStr">
        <is>
          <t>Christian Bedding Set – Inspirational Bible Verse Comforter – Religious Bedding for Women, Faith Gift for Mom, Daughter, Sister, Birthday &amp; Religious Gifts (God Says I am #1)</t>
        </is>
      </c>
      <c r="N65" s="3" t="inlineStr">
        <is>
          <t>SET</t>
        </is>
      </c>
      <c r="O65" s="3" t="inlineStr">
        <is>
          <t>Christian bedding easy care feature panel</t>
        </is>
      </c>
      <c r="P65" s="3" t="inlineStr">
        <is>
          <t>FULL</t>
        </is>
      </c>
      <c r="Q65" s="3" t="inlineStr">
        <is>
          <t>FULL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t>
        </is>
      </c>
      <c r="Z65" s="3" t="inlineStr">
        <is>
          <t>["D:\\Shopify_Workspace\\jeminise_seo\\seo_runs\\jeminise.com\\20260906_234129\\qa\\20260908_230550\\images\\010_07_47933838164167.jpg", "https://cdn.shopify.com/s/files/1/0792/5098/1063/files/0e22a9fec09643a714af054217066178d4f7bc4d6266b6d2ff5c33c09cc10e88.jpg?v=1787237695", "seo_runs\\jeminise.com\\20260906_234129\\evidence\\images\\10_christian-bedding-set-inspirational-bible-verse-comforte-design-01\\image_07_47933838164167.jpg; seo_runs\\jeminise.com\\20260906_234129\\evidence\\contact_sheets\\10_christian-bedding-set-inspirational-bible-verse-comforte-design-01.jpg"]</t>
        </is>
      </c>
    </row>
    <row r="66" ht="66" customHeight="1">
      <c r="A66" s="2" t="inlineStr">
        <is>
          <t>jeminise.com+christian-bedding-set-inspirational-bible-verse-comforte-design-01</t>
        </is>
      </c>
      <c r="B66" s="2" t="inlineStr">
        <is>
          <t>jeminise.com+christian-bedding-set-inspirational-bible-verse-comforte-design-01|47933838196935|GALLERY|8</t>
        </is>
      </c>
      <c r="C66" s="4" t="inlineStr">
        <is>
          <t>https://cdn.shopify.com/s/files/1/0792/5098/1063/files/d6b8438a259ef28ba839a68ba108f40464bc9629b0bc2168779fc7776c9cbffa.jpg?v=1787237695</t>
        </is>
      </c>
      <c r="D66" s="4" t="inlineStr">
        <is>
          <t>https://cdn.shopify.com/s/files/1/0792/5098/1063/files/d6b8438a259ef28ba839a68ba108f40464bc9629b0bc2168779fc7776c9cbffa.jpg?v=1787237695</t>
        </is>
      </c>
      <c r="E66" s="2" t="inlineStr">
        <is>
          <t>47933838196935</t>
        </is>
      </c>
      <c r="F66" s="2" t="inlineStr">
        <is>
          <t>47933838196935</t>
        </is>
      </c>
      <c r="G66" s="2" t="inlineStr"/>
      <c r="H66" s="2" t="inlineStr">
        <is>
          <t>GALLERY</t>
        </is>
      </c>
      <c r="I66" s="2" t="inlineStr">
        <is>
          <t>DIRECT_ORIGINAL_IMAGE_REQA_R7</t>
        </is>
      </c>
      <c r="J66" s="2" t="inlineStr">
        <is>
          <t>2026-09-08T23:27:07.723474+07:00</t>
        </is>
      </c>
      <c r="K66" s="2" t="inlineStr">
        <is>
          <t>Size dimension panel showing Twin, Full, Queen and King bedding dimensions.</t>
        </is>
      </c>
      <c r="L66" s="2" t="inlineStr">
        <is>
          <t>Size dimension panel showing Twin, Full, Queen and King bedding dimensions.</t>
        </is>
      </c>
      <c r="M66" s="2" t="inlineStr">
        <is>
          <t>Christian Bedding Set – Inspirational Bible Verse Comforter – Religious Bedding for Women, Faith Gift for Mom, Daughter, Sister, Birthday &amp; Religious Gifts (God Says I am #1)</t>
        </is>
      </c>
      <c r="N66" s="2" t="inlineStr">
        <is>
          <t>SET</t>
        </is>
      </c>
      <c r="O66" s="2" t="inlineStr">
        <is>
          <t>Christian bedding size dimension chart</t>
        </is>
      </c>
      <c r="P66" s="2" t="inlineStr">
        <is>
          <t>FULL</t>
        </is>
      </c>
      <c r="Q66" s="2" t="inlineStr">
        <is>
          <t>FULL</t>
        </is>
      </c>
      <c r="R66" s="2" t="inlineStr">
        <is>
          <t>FULL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t>
        </is>
      </c>
      <c r="Z66" s="2" t="inlineStr">
        <is>
          <t>["D:\\Shopify_Workspace\\jeminise_seo\\seo_runs\\jeminise.com\\20260906_234129\\qa\\20260908_230550\\images\\010_08_47933838196935.jpg", "https://cdn.shopify.com/s/files/1/0792/5098/1063/files/d6b8438a259ef28ba839a68ba108f40464bc9629b0bc2168779fc7776c9cbffa.jpg?v=1787237695", "seo_runs\\jeminise.com\\20260906_234129\\evidence\\images\\10_christian-bedding-set-inspirational-bible-verse-comforte-design-01\\image_08_47933838196935.jpg; seo_runs\\jeminise.com\\20260906_234129\\evidence\\contact_sheets\\10_christian-bedding-set-inspirational-bible-verse-comforte-design-01.jpg"]</t>
        </is>
      </c>
    </row>
  </sheetData>
  <autoFilter ref="A1:Z66"/>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M19"/>
  <sheetViews>
    <sheetView showGridLines="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20" customWidth="1" min="4" max="4"/>
    <col width="20" customWidth="1" min="5" max="5"/>
    <col width="24" customWidth="1" min="6" max="6"/>
    <col width="42" customWidth="1" min="7" max="7"/>
    <col width="42" customWidth="1" min="8" max="8"/>
    <col width="42" customWidth="1" min="9" max="9"/>
    <col width="42" customWidth="1" min="10" max="10"/>
    <col width="42" customWidth="1" min="11" max="11"/>
    <col width="42" customWidth="1" min="12" max="12"/>
    <col width="20" customWidth="1" min="13" max="13"/>
  </cols>
  <sheetData>
    <row r="1" ht="32" customHeight="1">
      <c r="A1" s="1" t="inlineStr">
        <is>
          <t>issue_id</t>
        </is>
      </c>
      <c r="B1" s="1" t="inlineStr">
        <is>
          <t>product_key</t>
        </is>
      </c>
      <c r="C1" s="1" t="inlineStr">
        <is>
          <t>qa_image_key</t>
        </is>
      </c>
      <c r="D1" s="1" t="inlineStr">
        <is>
          <t>inventory_position</t>
        </is>
      </c>
      <c r="E1" s="1" t="inlineStr">
        <is>
          <t>severity</t>
        </is>
      </c>
      <c r="F1" s="1" t="inlineStr">
        <is>
          <t>field</t>
        </is>
      </c>
      <c r="G1" s="1" t="inlineStr">
        <is>
          <t>submitted_value</t>
        </is>
      </c>
      <c r="H1" s="1" t="inlineStr">
        <is>
          <t>source_observation</t>
        </is>
      </c>
      <c r="I1" s="1" t="inlineStr">
        <is>
          <t>reason</t>
        </is>
      </c>
      <c r="J1" s="1" t="inlineStr">
        <is>
          <t>recommended_fix</t>
        </is>
      </c>
      <c r="K1" s="1" t="inlineStr">
        <is>
          <t>supporting_evidence</t>
        </is>
      </c>
      <c r="L1" s="1" t="inlineStr">
        <is>
          <t>recheck_condition</t>
        </is>
      </c>
      <c r="M1" s="1" t="inlineStr">
        <is>
          <t>status_in_this_run</t>
        </is>
      </c>
    </row>
    <row r="2" ht="84" customHeight="1">
      <c r="A2" s="2" t="inlineStr">
        <is>
          <t>R7-ISS-001-SIZE</t>
        </is>
      </c>
      <c r="B2" s="2" t="inlineStr">
        <is>
          <t>jeminise.com+autumn-cardinals-perched-above-large-sunflowers-quilt-with-cardinal-birds-9a3b408b20-9a3b408b20</t>
        </is>
      </c>
      <c r="C2" s="2" t="inlineStr"/>
      <c r="D2" s="2" t="n">
        <v>1</v>
      </c>
      <c r="E2" s="2" t="inlineStr">
        <is>
          <t>MAJOR</t>
        </is>
      </c>
      <c r="F2" s="2" t="inlineStr">
        <is>
          <t>description_proposed_html / selectable sizes</t>
        </is>
      </c>
      <c r="G2" s="2" t="inlineStr">
        <is>
          <t>The Cardinal Sunflower Autumn Quilt Set brings a warm fall look to the bedroom with red cardinals, oversized yellow sunflowers and orange leaf accents across the quilt and matching sham artwork. Design Details Red cardinal birds sit above large sunflower artwork on an autumn leaf background. The gallery includes a bed mockup, close-up quilt stitching, matching pillow sham artwork, a bedroom view and a size/component panel. Sizes and Set Details Shown size choices include Throw 60x70, Twin 70x80, Queen 80x90 and King 91x102. The panel shows one premium quilt with two standard shams available as optional add-ons. The quilt panel presents a soft, breathable fabric surface suitable for year-round bedroom use.</t>
        </is>
      </c>
      <c r="H2" s="2" t="inlineStr">
        <is>
          <t>Live selectors list Throw 60x70, Twin 68x86, Full 80x90, Queen 90x90 and King 102x91; r7 states Twin 70x80, omits Full, shifts Queen to 80x90 and reverses King dimensions.</t>
        </is>
      </c>
      <c r="I2" s="2" t="inlineStr">
        <is>
          <t>Customer-facing purchase dimensions conflict with the live selectable options.</t>
        </is>
      </c>
      <c r="J2" s="2" t="inlineStr">
        <is>
          <t>Replace the English size sentence with the exact live selector values and keep the image-panel discrepancy out of customer copy.</t>
        </is>
      </c>
      <c r="K2" s="2" t="inlineStr">
        <is>
          <t>https://jeminise.com/products/autumn-cardinals-perched-above-large-sunflowers-quilt-with-cardinal-birds-9a3b408b20-9a3b408b20; live_source_comparison.json; direct image review</t>
        </is>
      </c>
      <c r="L2" s="2" t="inlineStr">
        <is>
          <t>The description exactly matches the live size selector and explains any gallery-panel mismatch.</t>
        </is>
      </c>
      <c r="M2" s="2" t="inlineStr">
        <is>
          <t>OPEN</t>
        </is>
      </c>
    </row>
    <row r="3" ht="84" customHeight="1">
      <c r="A3" s="3" t="inlineStr">
        <is>
          <t>R7-ISS-003-SIZE</t>
        </is>
      </c>
      <c r="B3" s="3" t="inlineStr">
        <is>
          <t>jeminise.com+cardinals-perched-beside-decorated-christmas-tree-patchwork-winter-quilt-7cd7bc46a0-7cd7bc46a0</t>
        </is>
      </c>
      <c r="C3" s="3" t="inlineStr"/>
      <c r="D3" s="3" t="n">
        <v>3</v>
      </c>
      <c r="E3" s="3" t="inlineStr">
        <is>
          <t>MAJOR</t>
        </is>
      </c>
      <c r="F3" s="3" t="inlineStr">
        <is>
          <t>description_proposed_html / selectable sizes</t>
        </is>
      </c>
      <c r="G3" s="3" t="inlineStr">
        <is>
          <t>Red cardinals sit beside a decorated Christmas tree with hearts, ornaments, snowflakes and I Am Always With You remembrance text. This quilt set brings a gentle memorial theme into holiday bedding. Design Details Holiday tree scene with red cardinals and memorial wording. Heart ornaments, snowflakes and matching pillow sham artwork are visible. Gallery includes a bed mockup, close-up quilt stitching, pillow sham artwork, room view and set-size panel. Sizes and Set Details Shown size choices include Throw 60x70, Twin 70x80, Queen 80x90 and King 91x102. The panel shows one premium quilt with two standard shams available as optional add-ons. Confirm the selected size and pillowcase choice before checkout.</t>
        </is>
      </c>
      <c r="H3" s="3" t="inlineStr">
        <is>
          <t>Live selectors list Throw 60x70, Twin 68x86, Full 80x90, Queen 90x90 and King 102x91; r7 states Twin 70x80, omits Full, shifts Queen to 80x90 and reverses King dimensions.</t>
        </is>
      </c>
      <c r="I3" s="3" t="inlineStr">
        <is>
          <t>Customer-facing purchase dimensions conflict with the live selectable options.</t>
        </is>
      </c>
      <c r="J3" s="3" t="inlineStr">
        <is>
          <t>Replace the English size sentence with the exact live selector values and keep the image-panel discrepancy out of customer copy.</t>
        </is>
      </c>
      <c r="K3" s="3" t="inlineStr">
        <is>
          <t>https://jeminise.com/products/cardinals-perched-beside-decorated-christmas-tree-patchwork-winter-quilt-7cd7bc46a0-7cd7bc46a0; live_source_comparison.json; direct image review</t>
        </is>
      </c>
      <c r="L3" s="3" t="inlineStr">
        <is>
          <t>The description exactly matches the live size selector and explains any gallery-panel mismatch.</t>
        </is>
      </c>
      <c r="M3" s="3" t="inlineStr">
        <is>
          <t>OPEN</t>
        </is>
      </c>
    </row>
    <row r="4" ht="84" customHeight="1">
      <c r="A4" s="2" t="inlineStr">
        <is>
          <t>R7-ISS-004-SIZE</t>
        </is>
      </c>
      <c r="B4" s="2" t="inlineStr">
        <is>
          <t>jeminise.com+cardinals-perched-on-branch-with-roses-patchwork-winter-quilt-21ac904cd7-21ac904cd7</t>
        </is>
      </c>
      <c r="C4" s="2" t="inlineStr"/>
      <c r="D4" s="2" t="n">
        <v>4</v>
      </c>
      <c r="E4" s="2" t="inlineStr">
        <is>
          <t>MAJOR</t>
        </is>
      </c>
      <c r="F4" s="2" t="inlineStr">
        <is>
          <t>description_proposed_html / selectable sizes</t>
        </is>
      </c>
      <c r="G4" s="2" t="inlineStr">
        <is>
          <t>The Cardinal Roses Memorial Quilt Set uses a pair of cardinals on a branch with red roses, butterflies and I Am Always With You text for a softer remembrance bedding theme. Design Details The rose branch artwork separates this quilt from Christmas tree cardinal and general winter cardinal pages. The gallery includes the full bed mockup, close-up quilt texture, pillow sham, bedroom scene and size/component panel. Sizes and Set Details Shown size choices include Throw 60x70, Twin 70x80, Queen 80x90 and King 91x102. The panel shows one premium quilt with two standard shams available as optional add-ons. Use this product page for cardinal rose remembrance intent rather than broader Christmas cardinal queries.</t>
        </is>
      </c>
      <c r="H4" s="2" t="inlineStr">
        <is>
          <t>Live selectors list Throw 60x70, Twin 68x86, Full 80x90, Queen 90x90 and King 102x91; r7 states Twin 70x80, omits Full, shifts Queen to 80x90 and reverses King dimensions.</t>
        </is>
      </c>
      <c r="I4" s="2" t="inlineStr">
        <is>
          <t>Customer-facing purchase dimensions conflict with the live selectable options.</t>
        </is>
      </c>
      <c r="J4" s="2" t="inlineStr">
        <is>
          <t>Replace the English size sentence with the exact live selector values and keep the image-panel discrepancy out of customer copy.</t>
        </is>
      </c>
      <c r="K4" s="2" t="inlineStr">
        <is>
          <t>https://jeminise.com/products/cardinals-perched-on-branch-with-roses-patchwork-winter-quilt-21ac904cd7-21ac904cd7; live_source_comparison.json; direct image review</t>
        </is>
      </c>
      <c r="L4" s="2" t="inlineStr">
        <is>
          <t>The description exactly matches the live size selector and explains any gallery-panel mismatch.</t>
        </is>
      </c>
      <c r="M4" s="2" t="inlineStr">
        <is>
          <t>OPEN</t>
        </is>
      </c>
    </row>
    <row r="5" ht="84" customHeight="1">
      <c r="A5" s="3" t="inlineStr">
        <is>
          <t>R7-ISS-004-EDITORIAL</t>
        </is>
      </c>
      <c r="B5" s="3" t="inlineStr">
        <is>
          <t>jeminise.com+cardinals-perched-on-branch-with-roses-patchwork-winter-quilt-21ac904cd7-21ac904cd7</t>
        </is>
      </c>
      <c r="C5" s="3" t="inlineStr"/>
      <c r="D5" s="3" t="n">
        <v>4</v>
      </c>
      <c r="E5" s="3" t="inlineStr">
        <is>
          <t>MAJOR</t>
        </is>
      </c>
      <c r="F5" s="3" t="inlineStr">
        <is>
          <t>description_proposed_html</t>
        </is>
      </c>
      <c r="G5" s="3" t="inlineStr">
        <is>
          <t>The Cardinal Roses Memorial Quilt Set uses a pair of cardinals on a branch with red roses, butterflies and I Am Always With You text for a softer remembrance bedding theme. Design Details The rose branch artwork separates this quilt from Christmas tree cardinal and general winter cardinal pages. The gallery includes the full bed mockup, close-up quilt texture, pillow sham, bedroom scene and size/component panel. Sizes and Set Details Shown size choices include Throw 60x70, Twin 70x80, Queen 80x90 and King 91x102. The panel shows one premium quilt with two standard shams available as optional add-ons. Use this product page for cardinal rose remembrance intent rather than broader Christmas cardinal queries.</t>
        </is>
      </c>
      <c r="H5" s="3" t="inlineStr">
        <is>
          <t>The final sentence says: 'Use this product page for cardinal rose remembrance intent rather than broader Christmas cardinal queries.'</t>
        </is>
      </c>
      <c r="I5" s="3" t="inlineStr">
        <is>
          <t>This is SEO/editorial guidance, not customer-facing storefront copy.</t>
        </is>
      </c>
      <c r="J5" s="3" t="inlineStr">
        <is>
          <t>Remove the internal intent instruction and end with a customer-facing sentence about the verified rose/cardinal remembrance design.</t>
        </is>
      </c>
      <c r="K5" s="3" t="inlineStr">
        <is>
          <t>https://jeminise.com/products/cardinals-perched-on-branch-with-roses-patchwork-winter-quilt-21ac904cd7-21ac904cd7; frozen r7 workbook</t>
        </is>
      </c>
      <c r="L5" s="3" t="inlineStr">
        <is>
          <t>No workflow, keyword-mapping or page-targeting language remains in the description.</t>
        </is>
      </c>
      <c r="M5" s="3" t="inlineStr">
        <is>
          <t>OPEN</t>
        </is>
      </c>
    </row>
    <row r="6" ht="84" customHeight="1">
      <c r="A6" s="2" t="inlineStr">
        <is>
          <t>R7-ISS-001-HYP</t>
        </is>
      </c>
      <c r="B6" s="2" t="inlineStr">
        <is>
          <t>jeminise.com+autumn-cardinals-perched-above-large-sunflowers-quilt-with-cardinal-birds-9a3b408b20-9a3b408b20</t>
        </is>
      </c>
      <c r="C6" s="2" t="inlineStr"/>
      <c r="D6" s="2" t="n">
        <v>1</v>
      </c>
      <c r="E6" s="2" t="inlineStr">
        <is>
          <t>LIMITATION</t>
        </is>
      </c>
      <c r="F6" s="2" t="inlineStr">
        <is>
          <t>keyword_evidence_level</t>
        </is>
      </c>
      <c r="G6" s="2" t="inlineStr">
        <is>
          <t>HYPOTHESIS_ONLY</t>
        </is>
      </c>
      <c r="H6" s="2" t="inlineStr">
        <is>
          <t>Fresh SERP review supports related finished bedding intent but not demand magnitude for the exact long-tail query.</t>
        </is>
      </c>
      <c r="I6" s="2" t="inlineStr">
        <is>
          <t>No search-volume source was provided; the hypothesis label is honest but limits demand confidence.</t>
        </is>
      </c>
      <c r="J6" s="2" t="inlineStr">
        <is>
          <t>Keep HYPOTHESIS_ONLY or add dated Search Console/keyword-volume evidence; do not claim volume.</t>
        </is>
      </c>
      <c r="K6" s="2" t="inlineStr">
        <is>
          <t>serp_evidence.json</t>
        </is>
      </c>
      <c r="L6" s="2" t="inlineStr">
        <is>
          <t>Evidence level matches the actual source type.</t>
        </is>
      </c>
      <c r="M6" s="2" t="inlineStr">
        <is>
          <t>OPEN</t>
        </is>
      </c>
    </row>
    <row r="7" ht="84" customHeight="1">
      <c r="A7" s="3" t="inlineStr">
        <is>
          <t>R7-ISS-006-HYP</t>
        </is>
      </c>
      <c r="B7" s="3" t="inlineStr">
        <is>
          <t>jeminise.com+cat-quilt-set-cat-patchwork-style-printed-bedding-animal-patchwork</t>
        </is>
      </c>
      <c r="C7" s="3" t="inlineStr"/>
      <c r="D7" s="3" t="n">
        <v>6</v>
      </c>
      <c r="E7" s="3" t="inlineStr">
        <is>
          <t>LIMITATION</t>
        </is>
      </c>
      <c r="F7" s="3" t="inlineStr">
        <is>
          <t>keyword_evidence_level</t>
        </is>
      </c>
      <c r="G7" s="3" t="inlineStr">
        <is>
          <t>HYPOTHESIS_ONLY</t>
        </is>
      </c>
      <c r="H7" s="3" t="inlineStr">
        <is>
          <t>Fresh SERP review supports related finished bedding intent but not demand magnitude for the exact long-tail query.</t>
        </is>
      </c>
      <c r="I7" s="3" t="inlineStr">
        <is>
          <t>No search-volume source was provided; the hypothesis label is honest but limits demand confidence.</t>
        </is>
      </c>
      <c r="J7" s="3" t="inlineStr">
        <is>
          <t>Keep HYPOTHESIS_ONLY or add dated Search Console/keyword-volume evidence; do not claim volume.</t>
        </is>
      </c>
      <c r="K7" s="3" t="inlineStr">
        <is>
          <t>serp_evidence.json</t>
        </is>
      </c>
      <c r="L7" s="3" t="inlineStr">
        <is>
          <t>Evidence level matches the actual source type.</t>
        </is>
      </c>
      <c r="M7" s="3" t="inlineStr">
        <is>
          <t>OPEN</t>
        </is>
      </c>
    </row>
    <row r="8" ht="84" customHeight="1">
      <c r="A8" s="2" t="inlineStr">
        <is>
          <t>R7-ISS-002-ENC</t>
        </is>
      </c>
      <c r="B8" s="2" t="inlineStr">
        <is>
          <t>jeminise.com+bright-teal-yellow-softball-comforter-set-premium-sports-theme</t>
        </is>
      </c>
      <c r="C8" s="2" t="inlineStr"/>
      <c r="D8" s="2" t="n">
        <v>2</v>
      </c>
      <c r="E8" s="2" t="inlineStr">
        <is>
          <t>MINOR</t>
        </is>
      </c>
      <c r="F8" s="2" t="inlineStr">
        <is>
          <t>source title/H1 encoding</t>
        </is>
      </c>
      <c r="G8" s="2" t="inlineStr">
        <is>
          <t>Bright Teal Yellow Softball Comforter Set – Premium Sports Theme</t>
        </is>
      </c>
      <c r="H8" s="2" t="inlineStr">
        <is>
          <t>Bright Teal Yellow Softball Comforter Set – Premium Sports Theme</t>
        </is>
      </c>
      <c r="I8" s="2" t="inlineStr">
        <is>
          <t>The live source still renders a replacement character and/or truncated word; proposed fields are clean.</t>
        </is>
      </c>
      <c r="J8" s="2" t="inlineStr">
        <is>
          <t>Correct the source/admin title encoding separately; do not copy the malformed source string.</t>
        </is>
      </c>
      <c r="K8" s="2" t="inlineStr">
        <is>
          <t>https://jeminise.com/products/bright-teal-yellow-softball-comforter-set-premium-sports-theme; saved live HTML</t>
        </is>
      </c>
      <c r="L8" s="2" t="inlineStr">
        <is>
          <t>Live H1 renders the intended punctuation and complete wording.</t>
        </is>
      </c>
      <c r="M8" s="2" t="inlineStr">
        <is>
          <t>OPEN</t>
        </is>
      </c>
    </row>
    <row r="9" ht="84" customHeight="1">
      <c r="A9" s="3" t="inlineStr">
        <is>
          <t>R7-ISS-010-ENC</t>
        </is>
      </c>
      <c r="B9" s="3" t="inlineStr">
        <is>
          <t>jeminise.com+christian-bedding-set-inspirational-bible-verse-comforte-design-01</t>
        </is>
      </c>
      <c r="C9" s="3" t="inlineStr"/>
      <c r="D9" s="3" t="n">
        <v>10</v>
      </c>
      <c r="E9" s="3" t="inlineStr">
        <is>
          <t>MINOR</t>
        </is>
      </c>
      <c r="F9" s="3" t="inlineStr">
        <is>
          <t>source title/H1 encoding</t>
        </is>
      </c>
      <c r="G9" s="3" t="inlineStr">
        <is>
          <t>Christian Bedding Set – Inspirational Bible Verse Comforte - Design 01</t>
        </is>
      </c>
      <c r="H9" s="3" t="inlineStr">
        <is>
          <t>Christian Bedding Set – Inspirational Bible Verse Comforte - Design 01</t>
        </is>
      </c>
      <c r="I9" s="3" t="inlineStr">
        <is>
          <t>The live source still renders a replacement character and/or truncated word; proposed fields are clean.</t>
        </is>
      </c>
      <c r="J9" s="3" t="inlineStr">
        <is>
          <t>Correct the source/admin title encoding separately; do not copy the malformed source string.</t>
        </is>
      </c>
      <c r="K9" s="3" t="inlineStr">
        <is>
          <t>https://jeminise.com/products/christian-bedding-set-inspirational-bible-verse-comforte-design-01; saved live HTML</t>
        </is>
      </c>
      <c r="L9" s="3" t="inlineStr">
        <is>
          <t>Live H1 renders the intended punctuation and complete wording.</t>
        </is>
      </c>
      <c r="M9" s="3" t="inlineStr">
        <is>
          <t>OPEN</t>
        </is>
      </c>
    </row>
    <row r="10" ht="84" customHeight="1">
      <c r="A10" s="2" t="inlineStr">
        <is>
          <t>R7-ISS-001-TRACE</t>
        </is>
      </c>
      <c r="B10" s="2" t="inlineStr">
        <is>
          <t>jeminise.com+autumn-cardinals-perched-above-large-sunflowers-quilt-with-cardinal-birds-9a3b408b20-9a3b408b20</t>
        </is>
      </c>
      <c r="C10" s="2" t="inlineStr"/>
      <c r="D10" s="2" t="n">
        <v>1</v>
      </c>
      <c r="E10" s="2" t="inlineStr">
        <is>
          <t>LIMITATION</t>
        </is>
      </c>
      <c r="F10" s="2" t="inlineStr">
        <is>
          <t>revision lineage</t>
        </is>
      </c>
      <c r="G10" s="2" t="inlineStr">
        <is>
          <t>SEO_Products revision=r5; file revision=r7</t>
        </is>
      </c>
      <c r="H10" s="2" t="inlineStr">
        <is>
          <t>All 10 product rows and 65 image rows still state revision r5; revision_summary also retains r5 naming/path references.</t>
        </is>
      </c>
      <c r="I10" s="2" t="inlineStr">
        <is>
          <t>The file/hash is frozen unambiguously, but row-level lineage cannot independently prove r7 provenance.</t>
        </is>
      </c>
      <c r="J10" s="2" t="inlineStr">
        <is>
          <t>Update row-level revision and revision_summary paths to r7 without changing reviewed content.</t>
        </is>
      </c>
      <c r="K10" s="2" t="inlineStr">
        <is>
          <t>D:\Shopify_Workspace\jeminise_seo\resutls\jeminise.com\20260906_234129\revisions\qa_batch_001_r7\SEO_Product_Optimization_qa_batch_001_r7.xlsx; revision_summary.json</t>
        </is>
      </c>
      <c r="L10" s="2" t="inlineStr">
        <is>
          <t>File, sheet rows and revision_summary consistently identify r7.</t>
        </is>
      </c>
      <c r="M10" s="2" t="inlineStr">
        <is>
          <t>OPEN</t>
        </is>
      </c>
    </row>
    <row r="11" ht="84" customHeight="1">
      <c r="A11" s="3" t="inlineStr">
        <is>
          <t>R7-ISS-002-TRACE</t>
        </is>
      </c>
      <c r="B11" s="3" t="inlineStr">
        <is>
          <t>jeminise.com+bright-teal-yellow-softball-comforter-set-premium-sports-theme</t>
        </is>
      </c>
      <c r="C11" s="3" t="inlineStr"/>
      <c r="D11" s="3" t="n">
        <v>2</v>
      </c>
      <c r="E11" s="3" t="inlineStr">
        <is>
          <t>LIMITATION</t>
        </is>
      </c>
      <c r="F11" s="3" t="inlineStr">
        <is>
          <t>revision lineage</t>
        </is>
      </c>
      <c r="G11" s="3" t="inlineStr">
        <is>
          <t>SEO_Products revision=r5; file revision=r7</t>
        </is>
      </c>
      <c r="H11" s="3" t="inlineStr">
        <is>
          <t>All 10 product rows and 65 image rows still state revision r5; revision_summary also retains r5 naming/path references.</t>
        </is>
      </c>
      <c r="I11" s="3" t="inlineStr">
        <is>
          <t>The file/hash is frozen unambiguously, but row-level lineage cannot independently prove r7 provenance.</t>
        </is>
      </c>
      <c r="J11" s="3" t="inlineStr">
        <is>
          <t>Update row-level revision and revision_summary paths to r7 without changing reviewed content.</t>
        </is>
      </c>
      <c r="K11" s="3" t="inlineStr">
        <is>
          <t>D:\Shopify_Workspace\jeminise_seo\resutls\jeminise.com\20260906_234129\revisions\qa_batch_001_r7\SEO_Product_Optimization_qa_batch_001_r7.xlsx; revision_summary.json</t>
        </is>
      </c>
      <c r="L11" s="3" t="inlineStr">
        <is>
          <t>File, sheet rows and revision_summary consistently identify r7.</t>
        </is>
      </c>
      <c r="M11" s="3" t="inlineStr">
        <is>
          <t>OPEN</t>
        </is>
      </c>
    </row>
    <row r="12" ht="84" customHeight="1">
      <c r="A12" s="2" t="inlineStr">
        <is>
          <t>R7-ISS-003-TRACE</t>
        </is>
      </c>
      <c r="B12" s="2" t="inlineStr">
        <is>
          <t>jeminise.com+cardinals-perched-beside-decorated-christmas-tree-patchwork-winter-quilt-7cd7bc46a0-7cd7bc46a0</t>
        </is>
      </c>
      <c r="C12" s="2" t="inlineStr"/>
      <c r="D12" s="2" t="n">
        <v>3</v>
      </c>
      <c r="E12" s="2" t="inlineStr">
        <is>
          <t>LIMITATION</t>
        </is>
      </c>
      <c r="F12" s="2" t="inlineStr">
        <is>
          <t>revision lineage</t>
        </is>
      </c>
      <c r="G12" s="2" t="inlineStr">
        <is>
          <t>SEO_Products revision=r5; file revision=r7</t>
        </is>
      </c>
      <c r="H12" s="2" t="inlineStr">
        <is>
          <t>All 10 product rows and 65 image rows still state revision r5; revision_summary also retains r5 naming/path references.</t>
        </is>
      </c>
      <c r="I12" s="2" t="inlineStr">
        <is>
          <t>The file/hash is frozen unambiguously, but row-level lineage cannot independently prove r7 provenance.</t>
        </is>
      </c>
      <c r="J12" s="2" t="inlineStr">
        <is>
          <t>Update row-level revision and revision_summary paths to r7 without changing reviewed content.</t>
        </is>
      </c>
      <c r="K12" s="2" t="inlineStr">
        <is>
          <t>D:\Shopify_Workspace\jeminise_seo\resutls\jeminise.com\20260906_234129\revisions\qa_batch_001_r7\SEO_Product_Optimization_qa_batch_001_r7.xlsx; revision_summary.json</t>
        </is>
      </c>
      <c r="L12" s="2" t="inlineStr">
        <is>
          <t>File, sheet rows and revision_summary consistently identify r7.</t>
        </is>
      </c>
      <c r="M12" s="2" t="inlineStr">
        <is>
          <t>OPEN</t>
        </is>
      </c>
    </row>
    <row r="13" ht="84" customHeight="1">
      <c r="A13" s="3" t="inlineStr">
        <is>
          <t>R7-ISS-004-TRACE</t>
        </is>
      </c>
      <c r="B13" s="3" t="inlineStr">
        <is>
          <t>jeminise.com+cardinals-perched-on-branch-with-roses-patchwork-winter-quilt-21ac904cd7-21ac904cd7</t>
        </is>
      </c>
      <c r="C13" s="3" t="inlineStr"/>
      <c r="D13" s="3" t="n">
        <v>4</v>
      </c>
      <c r="E13" s="3" t="inlineStr">
        <is>
          <t>LIMITATION</t>
        </is>
      </c>
      <c r="F13" s="3" t="inlineStr">
        <is>
          <t>revision lineage</t>
        </is>
      </c>
      <c r="G13" s="3" t="inlineStr">
        <is>
          <t>SEO_Products revision=r5; file revision=r7</t>
        </is>
      </c>
      <c r="H13" s="3" t="inlineStr">
        <is>
          <t>All 10 product rows and 65 image rows still state revision r5; revision_summary also retains r5 naming/path references.</t>
        </is>
      </c>
      <c r="I13" s="3" t="inlineStr">
        <is>
          <t>The file/hash is frozen unambiguously, but row-level lineage cannot independently prove r7 provenance.</t>
        </is>
      </c>
      <c r="J13" s="3" t="inlineStr">
        <is>
          <t>Update row-level revision and revision_summary paths to r7 without changing reviewed content.</t>
        </is>
      </c>
      <c r="K13" s="3" t="inlineStr">
        <is>
          <t>D:\Shopify_Workspace\jeminise_seo\resutls\jeminise.com\20260906_234129\revisions\qa_batch_001_r7\SEO_Product_Optimization_qa_batch_001_r7.xlsx; revision_summary.json</t>
        </is>
      </c>
      <c r="L13" s="3" t="inlineStr">
        <is>
          <t>File, sheet rows and revision_summary consistently identify r7.</t>
        </is>
      </c>
      <c r="M13" s="3" t="inlineStr">
        <is>
          <t>OPEN</t>
        </is>
      </c>
    </row>
    <row r="14" ht="84" customHeight="1">
      <c r="A14" s="2" t="inlineStr">
        <is>
          <t>R7-ISS-005-TRACE</t>
        </is>
      </c>
      <c r="B14" s="2" t="inlineStr">
        <is>
          <t>jeminise.com+cat-patchwork-quilt-set-animal-pattern-bedding-cat-pattern-quilt-set</t>
        </is>
      </c>
      <c r="C14" s="2" t="inlineStr"/>
      <c r="D14" s="2" t="n">
        <v>5</v>
      </c>
      <c r="E14" s="2" t="inlineStr">
        <is>
          <t>LIMITATION</t>
        </is>
      </c>
      <c r="F14" s="2" t="inlineStr">
        <is>
          <t>revision lineage</t>
        </is>
      </c>
      <c r="G14" s="2" t="inlineStr">
        <is>
          <t>SEO_Products revision=r5; file revision=r7</t>
        </is>
      </c>
      <c r="H14" s="2" t="inlineStr">
        <is>
          <t>All 10 product rows and 65 image rows still state revision r5; revision_summary also retains r5 naming/path references.</t>
        </is>
      </c>
      <c r="I14" s="2" t="inlineStr">
        <is>
          <t>The file/hash is frozen unambiguously, but row-level lineage cannot independently prove r7 provenance.</t>
        </is>
      </c>
      <c r="J14" s="2" t="inlineStr">
        <is>
          <t>Update row-level revision and revision_summary paths to r7 without changing reviewed content.</t>
        </is>
      </c>
      <c r="K14" s="2" t="inlineStr">
        <is>
          <t>D:\Shopify_Workspace\jeminise_seo\resutls\jeminise.com\20260906_234129\revisions\qa_batch_001_r7\SEO_Product_Optimization_qa_batch_001_r7.xlsx; revision_summary.json</t>
        </is>
      </c>
      <c r="L14" s="2" t="inlineStr">
        <is>
          <t>File, sheet rows and revision_summary consistently identify r7.</t>
        </is>
      </c>
      <c r="M14" s="2" t="inlineStr">
        <is>
          <t>OPEN</t>
        </is>
      </c>
    </row>
    <row r="15" ht="84" customHeight="1">
      <c r="A15" s="3" t="inlineStr">
        <is>
          <t>R7-ISS-006-TRACE</t>
        </is>
      </c>
      <c r="B15" s="3" t="inlineStr">
        <is>
          <t>jeminise.com+cat-quilt-set-cat-patchwork-style-printed-bedding-animal-patchwork</t>
        </is>
      </c>
      <c r="C15" s="3" t="inlineStr"/>
      <c r="D15" s="3" t="n">
        <v>6</v>
      </c>
      <c r="E15" s="3" t="inlineStr">
        <is>
          <t>LIMITATION</t>
        </is>
      </c>
      <c r="F15" s="3" t="inlineStr">
        <is>
          <t>revision lineage</t>
        </is>
      </c>
      <c r="G15" s="3" t="inlineStr">
        <is>
          <t>SEO_Products revision=r5; file revision=r7</t>
        </is>
      </c>
      <c r="H15" s="3" t="inlineStr">
        <is>
          <t>All 10 product rows and 65 image rows still state revision r5; revision_summary also retains r5 naming/path references.</t>
        </is>
      </c>
      <c r="I15" s="3" t="inlineStr">
        <is>
          <t>The file/hash is frozen unambiguously, but row-level lineage cannot independently prove r7 provenance.</t>
        </is>
      </c>
      <c r="J15" s="3" t="inlineStr">
        <is>
          <t>Update row-level revision and revision_summary paths to r7 without changing reviewed content.</t>
        </is>
      </c>
      <c r="K15" s="3" t="inlineStr">
        <is>
          <t>D:\Shopify_Workspace\jeminise_seo\resutls\jeminise.com\20260906_234129\revisions\qa_batch_001_r7\SEO_Product_Optimization_qa_batch_001_r7.xlsx; revision_summary.json</t>
        </is>
      </c>
      <c r="L15" s="3" t="inlineStr">
        <is>
          <t>File, sheet rows and revision_summary consistently identify r7.</t>
        </is>
      </c>
      <c r="M15" s="3" t="inlineStr">
        <is>
          <t>OPEN</t>
        </is>
      </c>
    </row>
    <row r="16" ht="84" customHeight="1">
      <c r="A16" s="2" t="inlineStr">
        <is>
          <t>R7-ISS-007-TRACE</t>
        </is>
      </c>
      <c r="B16" s="2" t="inlineStr">
        <is>
          <t>jeminise.com+celtic-and-fantasy-quilt-set-with-twisting-tree-trunk-and-exposed-roots-c7b1460bad-c7b1460bad</t>
        </is>
      </c>
      <c r="C16" s="2" t="inlineStr"/>
      <c r="D16" s="2" t="n">
        <v>7</v>
      </c>
      <c r="E16" s="2" t="inlineStr">
        <is>
          <t>LIMITATION</t>
        </is>
      </c>
      <c r="F16" s="2" t="inlineStr">
        <is>
          <t>revision lineage</t>
        </is>
      </c>
      <c r="G16" s="2" t="inlineStr">
        <is>
          <t>SEO_Products revision=r5; file revision=r7</t>
        </is>
      </c>
      <c r="H16" s="2" t="inlineStr">
        <is>
          <t>All 10 product rows and 65 image rows still state revision r5; revision_summary also retains r5 naming/path references.</t>
        </is>
      </c>
      <c r="I16" s="2" t="inlineStr">
        <is>
          <t>The file/hash is frozen unambiguously, but row-level lineage cannot independently prove r7 provenance.</t>
        </is>
      </c>
      <c r="J16" s="2" t="inlineStr">
        <is>
          <t>Update row-level revision and revision_summary paths to r7 without changing reviewed content.</t>
        </is>
      </c>
      <c r="K16" s="2" t="inlineStr">
        <is>
          <t>D:\Shopify_Workspace\jeminise_seo\resutls\jeminise.com\20260906_234129\revisions\qa_batch_001_r7\SEO_Product_Optimization_qa_batch_001_r7.xlsx; revision_summary.json</t>
        </is>
      </c>
      <c r="L16" s="2" t="inlineStr">
        <is>
          <t>File, sheet rows and revision_summary consistently identify r7.</t>
        </is>
      </c>
      <c r="M16" s="2" t="inlineStr">
        <is>
          <t>OPEN</t>
        </is>
      </c>
    </row>
    <row r="17" ht="84" customHeight="1">
      <c r="A17" s="3" t="inlineStr">
        <is>
          <t>R7-ISS-008-TRACE</t>
        </is>
      </c>
      <c r="B17" s="3" t="inlineStr">
        <is>
          <t>jeminise.com+celtic-mythology-tree-of-life-quilt-set-with-celtic-knotwork-border-12786aba7e-12786aba7e</t>
        </is>
      </c>
      <c r="C17" s="3" t="inlineStr"/>
      <c r="D17" s="3" t="n">
        <v>8</v>
      </c>
      <c r="E17" s="3" t="inlineStr">
        <is>
          <t>LIMITATION</t>
        </is>
      </c>
      <c r="F17" s="3" t="inlineStr">
        <is>
          <t>revision lineage</t>
        </is>
      </c>
      <c r="G17" s="3" t="inlineStr">
        <is>
          <t>SEO_Products revision=r5; file revision=r7</t>
        </is>
      </c>
      <c r="H17" s="3" t="inlineStr">
        <is>
          <t>All 10 product rows and 65 image rows still state revision r5; revision_summary also retains r5 naming/path references.</t>
        </is>
      </c>
      <c r="I17" s="3" t="inlineStr">
        <is>
          <t>The file/hash is frozen unambiguously, but row-level lineage cannot independently prove r7 provenance.</t>
        </is>
      </c>
      <c r="J17" s="3" t="inlineStr">
        <is>
          <t>Update row-level revision and revision_summary paths to r7 without changing reviewed content.</t>
        </is>
      </c>
      <c r="K17" s="3" t="inlineStr">
        <is>
          <t>D:\Shopify_Workspace\jeminise_seo\resutls\jeminise.com\20260906_234129\revisions\qa_batch_001_r7\SEO_Product_Optimization_qa_batch_001_r7.xlsx; revision_summary.json</t>
        </is>
      </c>
      <c r="L17" s="3" t="inlineStr">
        <is>
          <t>File, sheet rows and revision_summary consistently identify r7.</t>
        </is>
      </c>
      <c r="M17" s="3" t="inlineStr">
        <is>
          <t>OPEN</t>
        </is>
      </c>
    </row>
    <row r="18" ht="84" customHeight="1">
      <c r="A18" s="2" t="inlineStr">
        <is>
          <t>R7-ISS-009-TRACE</t>
        </is>
      </c>
      <c r="B18" s="2" t="inlineStr">
        <is>
          <t>jeminise.com+chicken-pattern-quilt-set-animal-patchwork-farmhouse-quilt-set</t>
        </is>
      </c>
      <c r="C18" s="2" t="inlineStr"/>
      <c r="D18" s="2" t="n">
        <v>9</v>
      </c>
      <c r="E18" s="2" t="inlineStr">
        <is>
          <t>LIMITATION</t>
        </is>
      </c>
      <c r="F18" s="2" t="inlineStr">
        <is>
          <t>revision lineage</t>
        </is>
      </c>
      <c r="G18" s="2" t="inlineStr">
        <is>
          <t>SEO_Products revision=r5; file revision=r7</t>
        </is>
      </c>
      <c r="H18" s="2" t="inlineStr">
        <is>
          <t>All 10 product rows and 65 image rows still state revision r5; revision_summary also retains r5 naming/path references.</t>
        </is>
      </c>
      <c r="I18" s="2" t="inlineStr">
        <is>
          <t>The file/hash is frozen unambiguously, but row-level lineage cannot independently prove r7 provenance.</t>
        </is>
      </c>
      <c r="J18" s="2" t="inlineStr">
        <is>
          <t>Update row-level revision and revision_summary paths to r7 without changing reviewed content.</t>
        </is>
      </c>
      <c r="K18" s="2" t="inlineStr">
        <is>
          <t>D:\Shopify_Workspace\jeminise_seo\resutls\jeminise.com\20260906_234129\revisions\qa_batch_001_r7\SEO_Product_Optimization_qa_batch_001_r7.xlsx; revision_summary.json</t>
        </is>
      </c>
      <c r="L18" s="2" t="inlineStr">
        <is>
          <t>File, sheet rows and revision_summary consistently identify r7.</t>
        </is>
      </c>
      <c r="M18" s="2" t="inlineStr">
        <is>
          <t>OPEN</t>
        </is>
      </c>
    </row>
    <row r="19" ht="84" customHeight="1">
      <c r="A19" s="3" t="inlineStr">
        <is>
          <t>R7-ISS-010-TRACE</t>
        </is>
      </c>
      <c r="B19" s="3" t="inlineStr">
        <is>
          <t>jeminise.com+christian-bedding-set-inspirational-bible-verse-comforte-design-01</t>
        </is>
      </c>
      <c r="C19" s="3" t="inlineStr"/>
      <c r="D19" s="3" t="n">
        <v>10</v>
      </c>
      <c r="E19" s="3" t="inlineStr">
        <is>
          <t>LIMITATION</t>
        </is>
      </c>
      <c r="F19" s="3" t="inlineStr">
        <is>
          <t>revision lineage</t>
        </is>
      </c>
      <c r="G19" s="3" t="inlineStr">
        <is>
          <t>SEO_Products revision=r5; file revision=r7</t>
        </is>
      </c>
      <c r="H19" s="3" t="inlineStr">
        <is>
          <t>All 10 product rows and 65 image rows still state revision r5; revision_summary also retains r5 naming/path references.</t>
        </is>
      </c>
      <c r="I19" s="3" t="inlineStr">
        <is>
          <t>The file/hash is frozen unambiguously, but row-level lineage cannot independently prove r7 provenance.</t>
        </is>
      </c>
      <c r="J19" s="3" t="inlineStr">
        <is>
          <t>Update row-level revision and revision_summary paths to r7 without changing reviewed content.</t>
        </is>
      </c>
      <c r="K19" s="3" t="inlineStr">
        <is>
          <t>D:\Shopify_Workspace\jeminise_seo\resutls\jeminise.com\20260906_234129\revisions\qa_batch_001_r7\SEO_Product_Optimization_qa_batch_001_r7.xlsx; revision_summary.json</t>
        </is>
      </c>
      <c r="L19" s="3" t="inlineStr">
        <is>
          <t>File, sheet rows and revision_summary consistently identify r7.</t>
        </is>
      </c>
      <c r="M19" s="3" t="inlineStr">
        <is>
          <t>OPEN</t>
        </is>
      </c>
    </row>
  </sheetData>
  <autoFilter ref="A1:M19"/>
  <conditionalFormatting sqref="E2:E19">
    <cfRule type="expression" priority="1" dxfId="3">
      <formula>E2="CRITICAL"</formula>
    </cfRule>
    <cfRule type="expression" priority="2" dxfId="2">
      <formula>E2="MAJOR"</formula>
    </cfRule>
    <cfRule type="expression" priority="3" dxfId="1">
      <formula>E2="MINOR"</formula>
    </cfRule>
    <cfRule type="expression" priority="4" dxfId="4">
      <formula>E2="LIMITATION"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2026-09-08T16:27:07Z</dcterms:created>
  <dcterms:modified xmlns:dcterms="http://purl.org/dc/terms/" xmlns:xsi="http://www.w3.org/2001/XMLSchema-instance" xsi:type="dcterms:W3CDTF">2026-09-08T16:27:08Z</dcterms:modified>
</cp:coreProperties>
</file>