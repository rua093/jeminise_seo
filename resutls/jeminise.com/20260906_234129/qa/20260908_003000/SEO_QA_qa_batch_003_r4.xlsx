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'QA_Criteria'!$A$1:$K$111</definedName>
    <definedName name="_xlnm.Print_Titles" localSheetId="2">'QA_Criteria'!$1:$1</definedName>
    <definedName name="_xlnm._FilterDatabase" localSheetId="3" hidden="1">'QA_Images'!$A$1:$AA$51</definedName>
    <definedName name="_xlnm.Print_Titles" localSheetId="3">'QA_Images'!$1:$1</definedName>
    <definedName name="_xlnm._FilterDatabase" localSheetId="4" hidden="1">'QA_Issues'!$A$1:$K$9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hristmas-bedding-quilt-soft-microfiber-holiday-bedsprea-design-05" TargetMode="External" Id="rId1"/><Relationship Type="http://schemas.openxmlformats.org/officeDocument/2006/relationships/hyperlink" Target="https://jeminise.com/products/christmas-bedding-quilt-soft-microfiber-holiday-bedsprea-design-06" TargetMode="External" Id="rId2"/><Relationship Type="http://schemas.openxmlformats.org/officeDocument/2006/relationships/hyperlink" Target="https://jeminise.com/products/christmas-bedding-quilt-soft-microfiber-holiday-bedsprea-design-08" TargetMode="External" Id="rId3"/><Relationship Type="http://schemas.openxmlformats.org/officeDocument/2006/relationships/hyperlink" Target="https://jeminise.com/products/christmas-bedding-quilt-soft-microfiber-holiday-bedsprea-design-09" TargetMode="External" Id="rId4"/><Relationship Type="http://schemas.openxmlformats.org/officeDocument/2006/relationships/hyperlink" Target="https://jeminise.com/products/christmas-bedding-quilt-soft-microfiber-holiday-bedsprea-design-10" TargetMode="External" Id="rId5"/><Relationship Type="http://schemas.openxmlformats.org/officeDocument/2006/relationships/hyperlink" Target="https://jeminise.com/products/christmas-bedding-quilt-soft-microfiber-holiday-bedsprea-design-11" TargetMode="External" Id="rId6"/><Relationship Type="http://schemas.openxmlformats.org/officeDocument/2006/relationships/hyperlink" Target="https://jeminise.com/products/christmas-bedding-quilt-soft-microfiber-holiday-bedsprea-design-12" TargetMode="External" Id="rId7"/><Relationship Type="http://schemas.openxmlformats.org/officeDocument/2006/relationships/hyperlink" Target="https://jeminise.com/products/christmas-bedding-quilt-soft-microfiber-holiday-bedspread" TargetMode="External" Id="rId8"/><Relationship Type="http://schemas.openxmlformats.org/officeDocument/2006/relationships/hyperlink" Target="https://jeminise.com/products/christmas-cardinal-on-branch-within-patchwork-winter-quilt-892d70543a-892d70543a" TargetMode="External" Id="rId9"/><Relationship Type="http://schemas.openxmlformats.org/officeDocument/2006/relationships/hyperlink" Target="https://jeminise.com/products/christmas-cardinal-perched-on-branch-within-wreath-patchwork-winter-quilt-9e7c0b5896-9e7c0b5896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7db6811c66637965300a2e7b9c74cbf013694f223ecb0c00a52fba2970fa6e22.jpg?v=1787239304" TargetMode="External" Id="rId1"/><Relationship Type="http://schemas.openxmlformats.org/officeDocument/2006/relationships/hyperlink" Target="https://cdn.shopify.com/s/files/1/0792/5098/1063/files/7db6811c66637965300a2e7b9c74cbf013694f223ecb0c00a52fba2970fa6e22.jpg?v=1787239304" TargetMode="External" Id="rId2"/><Relationship Type="http://schemas.openxmlformats.org/officeDocument/2006/relationships/hyperlink" Target="https://cdn.shopify.com/s/files/1/0792/5098/1063/files/16c248973ae48e0a9cc4448f2002965ba9049a188545c2818d9f66e2db24f2a5.jpg?v=1787239304" TargetMode="External" Id="rId3"/><Relationship Type="http://schemas.openxmlformats.org/officeDocument/2006/relationships/hyperlink" Target="https://cdn.shopify.com/s/files/1/0792/5098/1063/files/16c248973ae48e0a9cc4448f2002965ba9049a188545c2818d9f66e2db24f2a5.jpg?v=1787239304" TargetMode="External" Id="rId4"/><Relationship Type="http://schemas.openxmlformats.org/officeDocument/2006/relationships/hyperlink" Target="https://cdn.shopify.com/s/files/1/0792/5098/1063/files/323ea5e3469590e61df70a45da30caeee15b2197d409a07ec242f1425c067466.jpg?v=1787239304" TargetMode="External" Id="rId5"/><Relationship Type="http://schemas.openxmlformats.org/officeDocument/2006/relationships/hyperlink" Target="https://cdn.shopify.com/s/files/1/0792/5098/1063/files/323ea5e3469590e61df70a45da30caeee15b2197d409a07ec242f1425c067466.jpg?v=1787239304" TargetMode="External" Id="rId6"/><Relationship Type="http://schemas.openxmlformats.org/officeDocument/2006/relationships/hyperlink" Target="https://cdn.shopify.com/s/files/1/0792/5098/1063/files/a9d73f05a5624e29d69e9f45c9035fc8ce6d17dce0280be079f2697dfabb6a95.jpg?v=1787239304" TargetMode="External" Id="rId7"/><Relationship Type="http://schemas.openxmlformats.org/officeDocument/2006/relationships/hyperlink" Target="https://cdn.shopify.com/s/files/1/0792/5098/1063/files/a9d73f05a5624e29d69e9f45c9035fc8ce6d17dce0280be079f2697dfabb6a95.jpg?v=1787239304" TargetMode="External" Id="rId8"/><Relationship Type="http://schemas.openxmlformats.org/officeDocument/2006/relationships/hyperlink" Target="https://cdn.shopify.com/s/files/1/0792/5098/1063/files/0461d860e029a4d27649c56e37e256172572e09064aab3d6823b9226c1ee8c9b.jpg?v=1787239304" TargetMode="External" Id="rId9"/><Relationship Type="http://schemas.openxmlformats.org/officeDocument/2006/relationships/hyperlink" Target="https://cdn.shopify.com/s/files/1/0792/5098/1063/files/0461d860e029a4d27649c56e37e256172572e09064aab3d6823b9226c1ee8c9b.jpg?v=1787239304" TargetMode="External" Id="rId10"/><Relationship Type="http://schemas.openxmlformats.org/officeDocument/2006/relationships/hyperlink" Target="https://cdn.shopify.com/s/files/1/0792/5098/1063/files/72e69cf5279e1503866df817e765ec4b9528ac9d374090ff6a383b64dc802f0f.jpg?v=1787239327" TargetMode="External" Id="rId11"/><Relationship Type="http://schemas.openxmlformats.org/officeDocument/2006/relationships/hyperlink" Target="https://cdn.shopify.com/s/files/1/0792/5098/1063/files/72e69cf5279e1503866df817e765ec4b9528ac9d374090ff6a383b64dc802f0f.jpg?v=1787239327" TargetMode="External" Id="rId12"/><Relationship Type="http://schemas.openxmlformats.org/officeDocument/2006/relationships/hyperlink" Target="https://cdn.shopify.com/s/files/1/0792/5098/1063/files/1f0bc53734f9d184eafeba37de9d2d68714be1c73b540fbe08ef60be1bc69fa5.jpg?v=1787239327" TargetMode="External" Id="rId13"/><Relationship Type="http://schemas.openxmlformats.org/officeDocument/2006/relationships/hyperlink" Target="https://cdn.shopify.com/s/files/1/0792/5098/1063/files/1f0bc53734f9d184eafeba37de9d2d68714be1c73b540fbe08ef60be1bc69fa5.jpg?v=1787239327" TargetMode="External" Id="rId14"/><Relationship Type="http://schemas.openxmlformats.org/officeDocument/2006/relationships/hyperlink" Target="https://cdn.shopify.com/s/files/1/0792/5098/1063/files/9f875161013c7183bc18456508e00b3634194100adb029e0ff7c1be3bada05cf.jpg?v=1787239327" TargetMode="External" Id="rId15"/><Relationship Type="http://schemas.openxmlformats.org/officeDocument/2006/relationships/hyperlink" Target="https://cdn.shopify.com/s/files/1/0792/5098/1063/files/9f875161013c7183bc18456508e00b3634194100adb029e0ff7c1be3bada05cf.jpg?v=1787239327" TargetMode="External" Id="rId16"/><Relationship Type="http://schemas.openxmlformats.org/officeDocument/2006/relationships/hyperlink" Target="https://cdn.shopify.com/s/files/1/0792/5098/1063/files/de596ab0879cec52ad5e2a96c2ef7ec529fa83fcec514ad55907502143e123a0.jpg?v=1787239327" TargetMode="External" Id="rId17"/><Relationship Type="http://schemas.openxmlformats.org/officeDocument/2006/relationships/hyperlink" Target="https://cdn.shopify.com/s/files/1/0792/5098/1063/files/de596ab0879cec52ad5e2a96c2ef7ec529fa83fcec514ad55907502143e123a0.jpg?v=1787239327" TargetMode="External" Id="rId18"/><Relationship Type="http://schemas.openxmlformats.org/officeDocument/2006/relationships/hyperlink" Target="https://cdn.shopify.com/s/files/1/0792/5098/1063/files/c551c6c00f378c8ae6d61af5e53faaf79a1375863eefd1febffb9ecee0e3e4c9.jpg?v=1787239327" TargetMode="External" Id="rId19"/><Relationship Type="http://schemas.openxmlformats.org/officeDocument/2006/relationships/hyperlink" Target="https://cdn.shopify.com/s/files/1/0792/5098/1063/files/c551c6c00f378c8ae6d61af5e53faaf79a1375863eefd1febffb9ecee0e3e4c9.jpg?v=1787239327" TargetMode="External" Id="rId20"/><Relationship Type="http://schemas.openxmlformats.org/officeDocument/2006/relationships/hyperlink" Target="https://cdn.shopify.com/s/files/1/0792/5098/1063/files/46ac5bc18554d3c8eef4fcfd803278c3caa3d66a0c5dad038cb8e03d55416938.jpg?v=1787239336" TargetMode="External" Id="rId21"/><Relationship Type="http://schemas.openxmlformats.org/officeDocument/2006/relationships/hyperlink" Target="https://cdn.shopify.com/s/files/1/0792/5098/1063/files/46ac5bc18554d3c8eef4fcfd803278c3caa3d66a0c5dad038cb8e03d55416938.jpg?v=1787239336" TargetMode="External" Id="rId22"/><Relationship Type="http://schemas.openxmlformats.org/officeDocument/2006/relationships/hyperlink" Target="https://cdn.shopify.com/s/files/1/0792/5098/1063/files/6253d0d99a44a39ec73a70fccf1fd5474c4304769ed308a2bce71e6ae7fc6773.jpg?v=1787239336" TargetMode="External" Id="rId23"/><Relationship Type="http://schemas.openxmlformats.org/officeDocument/2006/relationships/hyperlink" Target="https://cdn.shopify.com/s/files/1/0792/5098/1063/files/6253d0d99a44a39ec73a70fccf1fd5474c4304769ed308a2bce71e6ae7fc6773.jpg?v=1787239336" TargetMode="External" Id="rId24"/><Relationship Type="http://schemas.openxmlformats.org/officeDocument/2006/relationships/hyperlink" Target="https://cdn.shopify.com/s/files/1/0792/5098/1063/files/2de8ef1ba93562897c63ce73c8318e5dfa629b1dde66298ab9a0975f5c8e67fa.jpg?v=1787239336" TargetMode="External" Id="rId25"/><Relationship Type="http://schemas.openxmlformats.org/officeDocument/2006/relationships/hyperlink" Target="https://cdn.shopify.com/s/files/1/0792/5098/1063/files/2de8ef1ba93562897c63ce73c8318e5dfa629b1dde66298ab9a0975f5c8e67fa.jpg?v=1787239336" TargetMode="External" Id="rId26"/><Relationship Type="http://schemas.openxmlformats.org/officeDocument/2006/relationships/hyperlink" Target="https://cdn.shopify.com/s/files/1/0792/5098/1063/files/3b2f22710d1a46e0e095953b6c975ddfea342c3464885dc25bfef9b9378fdb2e.jpg?v=1787239336" TargetMode="External" Id="rId27"/><Relationship Type="http://schemas.openxmlformats.org/officeDocument/2006/relationships/hyperlink" Target="https://cdn.shopify.com/s/files/1/0792/5098/1063/files/3b2f22710d1a46e0e095953b6c975ddfea342c3464885dc25bfef9b9378fdb2e.jpg?v=1787239336" TargetMode="External" Id="rId28"/><Relationship Type="http://schemas.openxmlformats.org/officeDocument/2006/relationships/hyperlink" Target="https://cdn.shopify.com/s/files/1/0792/5098/1063/files/0dee6830a719b55bc41e1ff6962d26e0a61f2f790098df31d82ccf6c573e00bb.jpg?v=1787239336" TargetMode="External" Id="rId29"/><Relationship Type="http://schemas.openxmlformats.org/officeDocument/2006/relationships/hyperlink" Target="https://cdn.shopify.com/s/files/1/0792/5098/1063/files/0dee6830a719b55bc41e1ff6962d26e0a61f2f790098df31d82ccf6c573e00bb.jpg?v=1787239336" TargetMode="External" Id="rId30"/><Relationship Type="http://schemas.openxmlformats.org/officeDocument/2006/relationships/hyperlink" Target="https://cdn.shopify.com/s/files/1/0792/5098/1063/files/d2bc26d7e0a1539757ff02234b818258378a4fed938876959c8d6c2a9252ab74.jpg?v=1787239380" TargetMode="External" Id="rId31"/><Relationship Type="http://schemas.openxmlformats.org/officeDocument/2006/relationships/hyperlink" Target="https://cdn.shopify.com/s/files/1/0792/5098/1063/files/d2bc26d7e0a1539757ff02234b818258378a4fed938876959c8d6c2a9252ab74.jpg?v=1787239380" TargetMode="External" Id="rId32"/><Relationship Type="http://schemas.openxmlformats.org/officeDocument/2006/relationships/hyperlink" Target="https://cdn.shopify.com/s/files/1/0792/5098/1063/files/92819bbb1bab62430498426868c03f6a71d83b02976baffe6e9ae7c163a8d57a.jpg?v=1787239380" TargetMode="External" Id="rId33"/><Relationship Type="http://schemas.openxmlformats.org/officeDocument/2006/relationships/hyperlink" Target="https://cdn.shopify.com/s/files/1/0792/5098/1063/files/92819bbb1bab62430498426868c03f6a71d83b02976baffe6e9ae7c163a8d57a.jpg?v=1787239380" TargetMode="External" Id="rId34"/><Relationship Type="http://schemas.openxmlformats.org/officeDocument/2006/relationships/hyperlink" Target="https://cdn.shopify.com/s/files/1/0792/5098/1063/files/8b9b39ff116a9ed0e810e59f32df8035bc7842af460038e5fe9e42fe52d11d2b.jpg?v=1787239380" TargetMode="External" Id="rId35"/><Relationship Type="http://schemas.openxmlformats.org/officeDocument/2006/relationships/hyperlink" Target="https://cdn.shopify.com/s/files/1/0792/5098/1063/files/8b9b39ff116a9ed0e810e59f32df8035bc7842af460038e5fe9e42fe52d11d2b.jpg?v=1787239380" TargetMode="External" Id="rId36"/><Relationship Type="http://schemas.openxmlformats.org/officeDocument/2006/relationships/hyperlink" Target="https://cdn.shopify.com/s/files/1/0792/5098/1063/files/ff6861c326fe77551be0989f5304657a44c60df7dd12c0c301ad5ca8d111f257.jpg?v=1787239380" TargetMode="External" Id="rId37"/><Relationship Type="http://schemas.openxmlformats.org/officeDocument/2006/relationships/hyperlink" Target="https://cdn.shopify.com/s/files/1/0792/5098/1063/files/ff6861c326fe77551be0989f5304657a44c60df7dd12c0c301ad5ca8d111f257.jpg?v=1787239380" TargetMode="External" Id="rId38"/><Relationship Type="http://schemas.openxmlformats.org/officeDocument/2006/relationships/hyperlink" Target="https://cdn.shopify.com/s/files/1/0792/5098/1063/files/a525d08980e5d668ee538fa59be8827c6e640884669920a738b16cc49b1b4c24.jpg?v=1787239380" TargetMode="External" Id="rId39"/><Relationship Type="http://schemas.openxmlformats.org/officeDocument/2006/relationships/hyperlink" Target="https://cdn.shopify.com/s/files/1/0792/5098/1063/files/a525d08980e5d668ee538fa59be8827c6e640884669920a738b16cc49b1b4c24.jpg?v=1787239380" TargetMode="External" Id="rId40"/><Relationship Type="http://schemas.openxmlformats.org/officeDocument/2006/relationships/hyperlink" Target="https://cdn.shopify.com/s/files/1/0792/5098/1063/files/c9012211f4a80fc29b04e6c36a6d06286d3bcd99481ba14bb0f48bbd8dc22628.jpg?v=1787239292" TargetMode="External" Id="rId41"/><Relationship Type="http://schemas.openxmlformats.org/officeDocument/2006/relationships/hyperlink" Target="https://cdn.shopify.com/s/files/1/0792/5098/1063/files/c9012211f4a80fc29b04e6c36a6d06286d3bcd99481ba14bb0f48bbd8dc22628.jpg?v=1787239292" TargetMode="External" Id="rId42"/><Relationship Type="http://schemas.openxmlformats.org/officeDocument/2006/relationships/hyperlink" Target="https://cdn.shopify.com/s/files/1/0792/5098/1063/files/839d3838d97a9792a8c1011e15becc2872cb904640fdb176e9d34c9ec4a1382f.jpg?v=1787239292" TargetMode="External" Id="rId43"/><Relationship Type="http://schemas.openxmlformats.org/officeDocument/2006/relationships/hyperlink" Target="https://cdn.shopify.com/s/files/1/0792/5098/1063/files/839d3838d97a9792a8c1011e15becc2872cb904640fdb176e9d34c9ec4a1382f.jpg?v=1787239292" TargetMode="External" Id="rId44"/><Relationship Type="http://schemas.openxmlformats.org/officeDocument/2006/relationships/hyperlink" Target="https://cdn.shopify.com/s/files/1/0792/5098/1063/files/029f59325955756dff3beb424bb93f337eade1161d1694ef1f392a84a004e0d4.jpg?v=1787239292" TargetMode="External" Id="rId45"/><Relationship Type="http://schemas.openxmlformats.org/officeDocument/2006/relationships/hyperlink" Target="https://cdn.shopify.com/s/files/1/0792/5098/1063/files/029f59325955756dff3beb424bb93f337eade1161d1694ef1f392a84a004e0d4.jpg?v=1787239292" TargetMode="External" Id="rId46"/><Relationship Type="http://schemas.openxmlformats.org/officeDocument/2006/relationships/hyperlink" Target="https://cdn.shopify.com/s/files/1/0792/5098/1063/files/b12a3b8244039f69fe8236f2263a3bb2f6cef1a9d48030f14c267fcc7b0cf9e0.jpg?v=1787239292" TargetMode="External" Id="rId47"/><Relationship Type="http://schemas.openxmlformats.org/officeDocument/2006/relationships/hyperlink" Target="https://cdn.shopify.com/s/files/1/0792/5098/1063/files/b12a3b8244039f69fe8236f2263a3bb2f6cef1a9d48030f14c267fcc7b0cf9e0.jpg?v=1787239292" TargetMode="External" Id="rId48"/><Relationship Type="http://schemas.openxmlformats.org/officeDocument/2006/relationships/hyperlink" Target="https://cdn.shopify.com/s/files/1/0792/5098/1063/files/db17975966105e572ee398b3501c29ac2c8a38f61dae4eb1e3d795982c917bc2.jpg?v=1787239292" TargetMode="External" Id="rId49"/><Relationship Type="http://schemas.openxmlformats.org/officeDocument/2006/relationships/hyperlink" Target="https://cdn.shopify.com/s/files/1/0792/5098/1063/files/db17975966105e572ee398b3501c29ac2c8a38f61dae4eb1e3d795982c917bc2.jpg?v=1787239292" TargetMode="External" Id="rId50"/><Relationship Type="http://schemas.openxmlformats.org/officeDocument/2006/relationships/hyperlink" Target="https://cdn.shopify.com/s/files/1/0792/5098/1063/files/cfd15964c5a578a0d72eca69fce5d3b6e69d208ab70ee89a4fecaa6fc490d6dc.jpg?v=1787239369" TargetMode="External" Id="rId51"/><Relationship Type="http://schemas.openxmlformats.org/officeDocument/2006/relationships/hyperlink" Target="https://cdn.shopify.com/s/files/1/0792/5098/1063/files/cfd15964c5a578a0d72eca69fce5d3b6e69d208ab70ee89a4fecaa6fc490d6dc.jpg?v=1787239369" TargetMode="External" Id="rId52"/><Relationship Type="http://schemas.openxmlformats.org/officeDocument/2006/relationships/hyperlink" Target="https://cdn.shopify.com/s/files/1/0792/5098/1063/files/86e7cf9fde4b0b585dedce2199d4a124a61ae29e25d0eeffb64f5836d7944670.jpg?v=1787239369" TargetMode="External" Id="rId53"/><Relationship Type="http://schemas.openxmlformats.org/officeDocument/2006/relationships/hyperlink" Target="https://cdn.shopify.com/s/files/1/0792/5098/1063/files/86e7cf9fde4b0b585dedce2199d4a124a61ae29e25d0eeffb64f5836d7944670.jpg?v=1787239369" TargetMode="External" Id="rId54"/><Relationship Type="http://schemas.openxmlformats.org/officeDocument/2006/relationships/hyperlink" Target="https://cdn.shopify.com/s/files/1/0792/5098/1063/files/831baca24e7f78fe5b238f870105905aebb283699f1d966c44611c51f763376c.jpg?v=1787239368" TargetMode="External" Id="rId55"/><Relationship Type="http://schemas.openxmlformats.org/officeDocument/2006/relationships/hyperlink" Target="https://cdn.shopify.com/s/files/1/0792/5098/1063/files/831baca24e7f78fe5b238f870105905aebb283699f1d966c44611c51f763376c.jpg?v=1787239368" TargetMode="External" Id="rId56"/><Relationship Type="http://schemas.openxmlformats.org/officeDocument/2006/relationships/hyperlink" Target="https://cdn.shopify.com/s/files/1/0792/5098/1063/files/2f4d4c35afff8f2089e0135e46abde6f635650c9769aa95164023d71bd8441f7.jpg?v=1787239368" TargetMode="External" Id="rId57"/><Relationship Type="http://schemas.openxmlformats.org/officeDocument/2006/relationships/hyperlink" Target="https://cdn.shopify.com/s/files/1/0792/5098/1063/files/2f4d4c35afff8f2089e0135e46abde6f635650c9769aa95164023d71bd8441f7.jpg?v=1787239368" TargetMode="External" Id="rId58"/><Relationship Type="http://schemas.openxmlformats.org/officeDocument/2006/relationships/hyperlink" Target="https://cdn.shopify.com/s/files/1/0792/5098/1063/files/1061d99508b65a3791be2f40d46d11d955f9c37d218235d1ab797254f993a666.jpg?v=1787239369" TargetMode="External" Id="rId59"/><Relationship Type="http://schemas.openxmlformats.org/officeDocument/2006/relationships/hyperlink" Target="https://cdn.shopify.com/s/files/1/0792/5098/1063/files/1061d99508b65a3791be2f40d46d11d955f9c37d218235d1ab797254f993a666.jpg?v=1787239369" TargetMode="External" Id="rId60"/><Relationship Type="http://schemas.openxmlformats.org/officeDocument/2006/relationships/hyperlink" Target="https://cdn.shopify.com/s/files/1/0792/5098/1063/files/76a7585bd4cd30b07b5040b9e886936f39bc38e39d68a0e9ad8c7762fc463cc2.jpg?v=1787239299" TargetMode="External" Id="rId61"/><Relationship Type="http://schemas.openxmlformats.org/officeDocument/2006/relationships/hyperlink" Target="https://cdn.shopify.com/s/files/1/0792/5098/1063/files/76a7585bd4cd30b07b5040b9e886936f39bc38e39d68a0e9ad8c7762fc463cc2.jpg?v=1787239299" TargetMode="External" Id="rId62"/><Relationship Type="http://schemas.openxmlformats.org/officeDocument/2006/relationships/hyperlink" Target="https://cdn.shopify.com/s/files/1/0792/5098/1063/files/771b444bc3c1e5abffae2b5c7e4c8a21e7d9116e9df079048baf711d9cdab5de.jpg?v=1787239299" TargetMode="External" Id="rId63"/><Relationship Type="http://schemas.openxmlformats.org/officeDocument/2006/relationships/hyperlink" Target="https://cdn.shopify.com/s/files/1/0792/5098/1063/files/771b444bc3c1e5abffae2b5c7e4c8a21e7d9116e9df079048baf711d9cdab5de.jpg?v=1787239299" TargetMode="External" Id="rId64"/><Relationship Type="http://schemas.openxmlformats.org/officeDocument/2006/relationships/hyperlink" Target="https://cdn.shopify.com/s/files/1/0792/5098/1063/files/1633b2e89fa22831d4dc4a89053d8f3b3c491963e2b6b8e797728b03f280d901.jpg?v=1787239299" TargetMode="External" Id="rId65"/><Relationship Type="http://schemas.openxmlformats.org/officeDocument/2006/relationships/hyperlink" Target="https://cdn.shopify.com/s/files/1/0792/5098/1063/files/1633b2e89fa22831d4dc4a89053d8f3b3c491963e2b6b8e797728b03f280d901.jpg?v=1787239299" TargetMode="External" Id="rId66"/><Relationship Type="http://schemas.openxmlformats.org/officeDocument/2006/relationships/hyperlink" Target="https://cdn.shopify.com/s/files/1/0792/5098/1063/files/8f72705c73157de73c90d17e957027dab4c5f6da82cd04f8c0291ff9478cbcb5.jpg?v=1787239299" TargetMode="External" Id="rId67"/><Relationship Type="http://schemas.openxmlformats.org/officeDocument/2006/relationships/hyperlink" Target="https://cdn.shopify.com/s/files/1/0792/5098/1063/files/8f72705c73157de73c90d17e957027dab4c5f6da82cd04f8c0291ff9478cbcb5.jpg?v=1787239299" TargetMode="External" Id="rId68"/><Relationship Type="http://schemas.openxmlformats.org/officeDocument/2006/relationships/hyperlink" Target="https://cdn.shopify.com/s/files/1/0792/5098/1063/files/581cabcc8f29304036025dfeda00684fc9b10f6fda52339d78d676869aca4f8d.jpg?v=1787239300" TargetMode="External" Id="rId69"/><Relationship Type="http://schemas.openxmlformats.org/officeDocument/2006/relationships/hyperlink" Target="https://cdn.shopify.com/s/files/1/0792/5098/1063/files/581cabcc8f29304036025dfeda00684fc9b10f6fda52339d78d676869aca4f8d.jpg?v=1787239300" TargetMode="External" Id="rId70"/><Relationship Type="http://schemas.openxmlformats.org/officeDocument/2006/relationships/hyperlink" Target="https://cdn.shopify.com/s/files/1/0792/5098/1063/files/46766faf8cb22969ec6d9243d29501302e7d75e6617406cd4d523e3d582c385e.jpg?v=1787239287" TargetMode="External" Id="rId71"/><Relationship Type="http://schemas.openxmlformats.org/officeDocument/2006/relationships/hyperlink" Target="https://cdn.shopify.com/s/files/1/0792/5098/1063/files/46766faf8cb22969ec6d9243d29501302e7d75e6617406cd4d523e3d582c385e.jpg?v=1787239287" TargetMode="External" Id="rId72"/><Relationship Type="http://schemas.openxmlformats.org/officeDocument/2006/relationships/hyperlink" Target="https://cdn.shopify.com/s/files/1/0792/5098/1063/files/aefdb300474b2be72d2922e6647c41bde3bb061800ef5a5d164b41494b81fb19.jpg?v=1787239287" TargetMode="External" Id="rId73"/><Relationship Type="http://schemas.openxmlformats.org/officeDocument/2006/relationships/hyperlink" Target="https://cdn.shopify.com/s/files/1/0792/5098/1063/files/aefdb300474b2be72d2922e6647c41bde3bb061800ef5a5d164b41494b81fb19.jpg?v=1787239287" TargetMode="External" Id="rId74"/><Relationship Type="http://schemas.openxmlformats.org/officeDocument/2006/relationships/hyperlink" Target="https://cdn.shopify.com/s/files/1/0792/5098/1063/files/3a3d71b9e950f5c9823b2552370a6a4a7cba089c4b15f174d2430e5fa07d5a5d.jpg?v=1787239286" TargetMode="External" Id="rId75"/><Relationship Type="http://schemas.openxmlformats.org/officeDocument/2006/relationships/hyperlink" Target="https://cdn.shopify.com/s/files/1/0792/5098/1063/files/3a3d71b9e950f5c9823b2552370a6a4a7cba089c4b15f174d2430e5fa07d5a5d.jpg?v=1787239286" TargetMode="External" Id="rId76"/><Relationship Type="http://schemas.openxmlformats.org/officeDocument/2006/relationships/hyperlink" Target="https://cdn.shopify.com/s/files/1/0792/5098/1063/files/7066a2433b3f12d4cacd6f4e8cc8c23427cc728f21337e12f0e0996e3b9d0eac.jpg?v=1787239286" TargetMode="External" Id="rId77"/><Relationship Type="http://schemas.openxmlformats.org/officeDocument/2006/relationships/hyperlink" Target="https://cdn.shopify.com/s/files/1/0792/5098/1063/files/7066a2433b3f12d4cacd6f4e8cc8c23427cc728f21337e12f0e0996e3b9d0eac.jpg?v=1787239286" TargetMode="External" Id="rId78"/><Relationship Type="http://schemas.openxmlformats.org/officeDocument/2006/relationships/hyperlink" Target="https://cdn.shopify.com/s/files/1/0792/5098/1063/files/7b383fdda314586dd2b1631d354d11f6044cf860e78d60b0da30f368498ad48f.jpg?v=1787239286" TargetMode="External" Id="rId79"/><Relationship Type="http://schemas.openxmlformats.org/officeDocument/2006/relationships/hyperlink" Target="https://cdn.shopify.com/s/files/1/0792/5098/1063/files/7b383fdda314586dd2b1631d354d11f6044cf860e78d60b0da30f368498ad48f.jpg?v=1787239286" TargetMode="External" Id="rId80"/><Relationship Type="http://schemas.openxmlformats.org/officeDocument/2006/relationships/hyperlink" Target="https://cdn.shopify.com/s/files/1/0792/5098/1063/files/bf28c41377cdb7a1ead58c1b8bf6522ea073b8840f5304f63418bda5d7a7b388.jpg?v=1785098877" TargetMode="External" Id="rId81"/><Relationship Type="http://schemas.openxmlformats.org/officeDocument/2006/relationships/hyperlink" Target="https://cdn.shopify.com/s/files/1/0792/5098/1063/files/bf28c41377cdb7a1ead58c1b8bf6522ea073b8840f5304f63418bda5d7a7b388.jpg?v=1785098877" TargetMode="External" Id="rId82"/><Relationship Type="http://schemas.openxmlformats.org/officeDocument/2006/relationships/hyperlink" Target="https://cdn.shopify.com/s/files/1/0792/5098/1063/files/81f3805955113fdaf94272a97be66d4eb8728684496654f5010e77aa4ab8e87b.jpg?v=1785098877" TargetMode="External" Id="rId83"/><Relationship Type="http://schemas.openxmlformats.org/officeDocument/2006/relationships/hyperlink" Target="https://cdn.shopify.com/s/files/1/0792/5098/1063/files/81f3805955113fdaf94272a97be66d4eb8728684496654f5010e77aa4ab8e87b.jpg?v=1785098877" TargetMode="External" Id="rId84"/><Relationship Type="http://schemas.openxmlformats.org/officeDocument/2006/relationships/hyperlink" Target="https://cdn.shopify.com/s/files/1/0792/5098/1063/files/71627aa23557dde06f36d989c7eea33ac95d6403196bf70fbc4eefcf56b6e70f.jpg?v=1785098877" TargetMode="External" Id="rId85"/><Relationship Type="http://schemas.openxmlformats.org/officeDocument/2006/relationships/hyperlink" Target="https://cdn.shopify.com/s/files/1/0792/5098/1063/files/71627aa23557dde06f36d989c7eea33ac95d6403196bf70fbc4eefcf56b6e70f.jpg?v=1785098877" TargetMode="External" Id="rId86"/><Relationship Type="http://schemas.openxmlformats.org/officeDocument/2006/relationships/hyperlink" Target="https://cdn.shopify.com/s/files/1/0792/5098/1063/files/b845f1cebf41c07e8603d709af5f48108735e52a2b08909404bc927ce2f2fba6.jpg?v=1785098877" TargetMode="External" Id="rId87"/><Relationship Type="http://schemas.openxmlformats.org/officeDocument/2006/relationships/hyperlink" Target="https://cdn.shopify.com/s/files/1/0792/5098/1063/files/b845f1cebf41c07e8603d709af5f48108735e52a2b08909404bc927ce2f2fba6.jpg?v=1785098877" TargetMode="External" Id="rId88"/><Relationship Type="http://schemas.openxmlformats.org/officeDocument/2006/relationships/hyperlink" Target="https://cdn.shopify.com/s/files/1/0792/5098/1063/files/1fac1cce8b7ccababe2eb09442d3c916aba2c52da0db73e8cf64b748a51cde9b.jpg?v=1785098877" TargetMode="External" Id="rId89"/><Relationship Type="http://schemas.openxmlformats.org/officeDocument/2006/relationships/hyperlink" Target="https://cdn.shopify.com/s/files/1/0792/5098/1063/files/1fac1cce8b7ccababe2eb09442d3c916aba2c52da0db73e8cf64b748a51cde9b.jpg?v=1785098877" TargetMode="External" Id="rId90"/><Relationship Type="http://schemas.openxmlformats.org/officeDocument/2006/relationships/hyperlink" Target="https://cdn.shopify.com/s/files/1/0792/5098/1063/files/7f0f7c972b51dc5c33f101a4d3a2b691df2bbeddf273a1476dd88ac51d509beb.jpg?v=1785099457" TargetMode="External" Id="rId91"/><Relationship Type="http://schemas.openxmlformats.org/officeDocument/2006/relationships/hyperlink" Target="https://cdn.shopify.com/s/files/1/0792/5098/1063/files/7f0f7c972b51dc5c33f101a4d3a2b691df2bbeddf273a1476dd88ac51d509beb.jpg?v=1785099457" TargetMode="External" Id="rId92"/><Relationship Type="http://schemas.openxmlformats.org/officeDocument/2006/relationships/hyperlink" Target="https://cdn.shopify.com/s/files/1/0792/5098/1063/files/5e721c7639a6dabb93bc6beaa75f1f177b995a54e6852aab0e8a13d284356650.jpg?v=1785099457" TargetMode="External" Id="rId93"/><Relationship Type="http://schemas.openxmlformats.org/officeDocument/2006/relationships/hyperlink" Target="https://cdn.shopify.com/s/files/1/0792/5098/1063/files/5e721c7639a6dabb93bc6beaa75f1f177b995a54e6852aab0e8a13d284356650.jpg?v=1785099457" TargetMode="External" Id="rId94"/><Relationship Type="http://schemas.openxmlformats.org/officeDocument/2006/relationships/hyperlink" Target="https://cdn.shopify.com/s/files/1/0792/5098/1063/files/d9efdd2323a7b245add351d35c70df2b8916ba50b2c07232a28ce2618017c7ca.jpg?v=1785099457" TargetMode="External" Id="rId95"/><Relationship Type="http://schemas.openxmlformats.org/officeDocument/2006/relationships/hyperlink" Target="https://cdn.shopify.com/s/files/1/0792/5098/1063/files/d9efdd2323a7b245add351d35c70df2b8916ba50b2c07232a28ce2618017c7ca.jpg?v=1785099457" TargetMode="External" Id="rId96"/><Relationship Type="http://schemas.openxmlformats.org/officeDocument/2006/relationships/hyperlink" Target="https://cdn.shopify.com/s/files/1/0792/5098/1063/files/b311d7393465380998bca8b3a9210a013c229b61d664f3dce0691513d873c82e.jpg?v=1785099457" TargetMode="External" Id="rId97"/><Relationship Type="http://schemas.openxmlformats.org/officeDocument/2006/relationships/hyperlink" Target="https://cdn.shopify.com/s/files/1/0792/5098/1063/files/b311d7393465380998bca8b3a9210a013c229b61d664f3dce0691513d873c82e.jpg?v=1785099457" TargetMode="External" Id="rId98"/><Relationship Type="http://schemas.openxmlformats.org/officeDocument/2006/relationships/hyperlink" Target="https://cdn.shopify.com/s/files/1/0792/5098/1063/files/b3f4b380fddc0b4717e5a8960ebd73a239442861c5a0cc84575c35c7339c41e1.jpg?v=1785099457" TargetMode="External" Id="rId99"/><Relationship Type="http://schemas.openxmlformats.org/officeDocument/2006/relationships/hyperlink" Target="https://cdn.shopify.com/s/files/1/0792/5098/1063/files/b3f4b380fddc0b4717e5a8960ebd73a239442861c5a0cc84575c35c7339c41e1.jpg?v=1785099457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Independent QA rubric.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D:\Shopify_Workspace\jeminise_seo\resutls\jeminise.com\20260906_234129\revisions\qa_batch_003_r4\SEO_Product_Optimization_qa_batch_003_r4.xlsx</t>
        </is>
      </c>
      <c r="C3" s="3" t="inlineStr">
        <is>
          <t>Frozen r4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B235E900891385FCB71315357E88AD305844D8DB719C21B424B709B4EACB3FDA</t>
        </is>
      </c>
      <c r="C4" s="2" t="inlineStr">
        <is>
          <t>Hash matched snapshot before and after QA.</t>
        </is>
      </c>
    </row>
    <row r="5" ht="42" customHeight="1">
      <c r="A5" s="3" t="inlineStr">
        <is>
          <t>qa_run_id</t>
        </is>
      </c>
      <c r="B5" s="3" t="inlineStr">
        <is>
          <t>20260908_003000</t>
        </is>
      </c>
      <c r="C5" s="3" t="inlineStr">
        <is>
          <t>Independent re-QA run.</t>
        </is>
      </c>
    </row>
    <row r="6" ht="42" customHeight="1">
      <c r="A6" s="2" t="inlineStr">
        <is>
          <t>batch_id</t>
        </is>
      </c>
      <c r="B6" s="2" t="inlineStr">
        <is>
          <t>qa_batch_003_r4</t>
        </is>
      </c>
      <c r="C6" s="2" t="inlineStr">
        <is>
          <t>Inventory positions 21-30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Official product keys.</t>
        </is>
      </c>
    </row>
    <row r="8" ht="42" customHeight="1">
      <c r="A8" s="2" t="inlineStr">
        <is>
          <t>images_checked</t>
        </is>
      </c>
      <c r="B8" s="2" t="inlineStr">
        <is>
          <t>50/50</t>
        </is>
      </c>
      <c r="C8" s="2" t="inlineStr">
        <is>
          <t>Full image coverage.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Average product score.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Products 25 and 27 are below the 85-point QA_PASS threshold.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Status counts.</t>
        </is>
      </c>
    </row>
    <row r="12" ht="42" customHeight="1">
      <c r="A12" s="2" t="inlineStr">
        <is>
          <t>issue_counts</t>
        </is>
      </c>
      <c r="B12" s="2" t="inlineStr">
        <is>
          <t>{"MINOR": 8}</t>
        </is>
      </c>
      <c r="C12" s="2" t="inlineStr">
        <is>
          <t>Severity counts.</t>
        </is>
      </c>
    </row>
    <row r="13" ht="42" customHeight="1">
      <c r="A13" s="3" t="inlineStr">
        <is>
          <t>admin_export</t>
        </is>
      </c>
      <c r="B13" s="3" t="inlineStr">
        <is>
          <t>products_export_1.csv; 50/50 image-alt matches</t>
        </is>
      </c>
      <c r="C13" s="3" t="inlineStr">
        <is>
          <t>R4 baseline.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Five-sheet QA workbook.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21</v>
      </c>
      <c r="B2" s="2" t="inlineStr">
        <is>
          <t>jeminise.com+christmas-bedding-quilt-soft-microfiber-holiday-bedsprea-design-05</t>
        </is>
      </c>
      <c r="C2" s="4" t="inlineStr">
        <is>
          <t>https://jeminise.com/products/christmas-bedding-quilt-soft-microfiber-holiday-bedsprea-design-05</t>
        </is>
      </c>
      <c r="D2" s="2" t="inlineStr">
        <is>
          <t>christmas-bedding-quilt-soft-microfiber-holiday-bedsprea-design-05</t>
        </is>
      </c>
      <c r="E2" s="2" t="inlineStr">
        <is>
          <t>8867157835975</t>
        </is>
      </c>
      <c r="F2" s="2" t="inlineStr">
        <is>
          <t>r4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5</v>
      </c>
      <c r="O2" s="2" t="n">
        <v>5</v>
      </c>
      <c r="P2" s="2" t="b">
        <v>1</v>
      </c>
      <c r="Q2" s="6" t="n">
        <v>1</v>
      </c>
      <c r="R2" s="2">
        <f>COUNTIFS('QA_Issues'!$B$2:$B$9,B2,'QA_Issues'!$D$2:$D$9,"CRITICAL")</f>
        <v/>
      </c>
      <c r="S2" s="2">
        <f>COUNTIFS('QA_Issues'!$B$2:$B$9,B2,'QA_Issues'!$D$2:$D$9,"MAJOR")</f>
        <v/>
      </c>
      <c r="T2" s="2">
        <f>COUNTIFS('QA_Issues'!$B$2:$B$9,B2,'QA_Issues'!$D$2:$D$9,"MINOR")</f>
        <v/>
      </c>
      <c r="U2" s="2">
        <f>COUNTIFS('QA_Issues'!$B$2:$B$9,B2,'QA_Issues'!$D$2:$D$9,"LIMITATION")</f>
        <v/>
      </c>
      <c r="V2" s="2" t="inlineStr">
        <is>
          <t>["R4-ISS-021-ENC"]</t>
        </is>
      </c>
      <c r="W2" s="2" t="inlineStr">
        <is>
          <t>["evidence_batch_003_021", "https://jeminise.com/products/christmas-bedding-quilt-soft-microfiber-holiday-bedsprea-design-05", "serp_qa_021"]</t>
        </is>
      </c>
    </row>
    <row r="3" ht="42" customHeight="1">
      <c r="A3" s="3" t="n">
        <v>22</v>
      </c>
      <c r="B3" s="3" t="inlineStr">
        <is>
          <t>jeminise.com+christmas-bedding-quilt-soft-microfiber-holiday-bedsprea-design-06</t>
        </is>
      </c>
      <c r="C3" s="4" t="inlineStr">
        <is>
          <t>https://jeminise.com/products/christmas-bedding-quilt-soft-microfiber-holiday-bedsprea-design-06</t>
        </is>
      </c>
      <c r="D3" s="3" t="inlineStr">
        <is>
          <t>christmas-bedding-quilt-soft-microfiber-holiday-bedsprea-design-06</t>
        </is>
      </c>
      <c r="E3" s="3" t="inlineStr">
        <is>
          <t>8867157868743</t>
        </is>
      </c>
      <c r="F3" s="3" t="inlineStr">
        <is>
          <t>r4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5</v>
      </c>
      <c r="O3" s="3" t="n">
        <v>5</v>
      </c>
      <c r="P3" s="3" t="b">
        <v>1</v>
      </c>
      <c r="Q3" s="8" t="n">
        <v>1</v>
      </c>
      <c r="R3" s="3">
        <f>COUNTIFS('QA_Issues'!$B$2:$B$9,B3,'QA_Issues'!$D$2:$D$9,"CRITICAL")</f>
        <v/>
      </c>
      <c r="S3" s="3">
        <f>COUNTIFS('QA_Issues'!$B$2:$B$9,B3,'QA_Issues'!$D$2:$D$9,"MAJOR")</f>
        <v/>
      </c>
      <c r="T3" s="3">
        <f>COUNTIFS('QA_Issues'!$B$2:$B$9,B3,'QA_Issues'!$D$2:$D$9,"MINOR")</f>
        <v/>
      </c>
      <c r="U3" s="3">
        <f>COUNTIFS('QA_Issues'!$B$2:$B$9,B3,'QA_Issues'!$D$2:$D$9,"LIMITATION")</f>
        <v/>
      </c>
      <c r="V3" s="3" t="inlineStr">
        <is>
          <t>["R4-ISS-022-ENC"]</t>
        </is>
      </c>
      <c r="W3" s="3" t="inlineStr">
        <is>
          <t>["evidence_batch_003_022", "https://jeminise.com/products/christmas-bedding-quilt-soft-microfiber-holiday-bedsprea-design-06", "serp_qa_022"]</t>
        </is>
      </c>
    </row>
    <row r="4" ht="42" customHeight="1">
      <c r="A4" s="2" t="n">
        <v>23</v>
      </c>
      <c r="B4" s="2" t="inlineStr">
        <is>
          <t>jeminise.com+christmas-bedding-quilt-soft-microfiber-holiday-bedsprea-design-08</t>
        </is>
      </c>
      <c r="C4" s="4" t="inlineStr">
        <is>
          <t>https://jeminise.com/products/christmas-bedding-quilt-soft-microfiber-holiday-bedsprea-design-08</t>
        </is>
      </c>
      <c r="D4" s="2" t="inlineStr">
        <is>
          <t>christmas-bedding-quilt-soft-microfiber-holiday-bedsprea-design-08</t>
        </is>
      </c>
      <c r="E4" s="2" t="inlineStr">
        <is>
          <t>8867157999815</t>
        </is>
      </c>
      <c r="F4" s="2" t="inlineStr">
        <is>
          <t>r4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5</v>
      </c>
      <c r="O4" s="2" t="n">
        <v>5</v>
      </c>
      <c r="P4" s="2" t="b">
        <v>1</v>
      </c>
      <c r="Q4" s="6" t="n">
        <v>1</v>
      </c>
      <c r="R4" s="2">
        <f>COUNTIFS('QA_Issues'!$B$2:$B$9,B4,'QA_Issues'!$D$2:$D$9,"CRITICAL")</f>
        <v/>
      </c>
      <c r="S4" s="2">
        <f>COUNTIFS('QA_Issues'!$B$2:$B$9,B4,'QA_Issues'!$D$2:$D$9,"MAJOR")</f>
        <v/>
      </c>
      <c r="T4" s="2">
        <f>COUNTIFS('QA_Issues'!$B$2:$B$9,B4,'QA_Issues'!$D$2:$D$9,"MINOR")</f>
        <v/>
      </c>
      <c r="U4" s="2">
        <f>COUNTIFS('QA_Issues'!$B$2:$B$9,B4,'QA_Issues'!$D$2:$D$9,"LIMITATION")</f>
        <v/>
      </c>
      <c r="V4" s="2" t="inlineStr">
        <is>
          <t>["R4-ISS-023-ENC"]</t>
        </is>
      </c>
      <c r="W4" s="2" t="inlineStr">
        <is>
          <t>["evidence_batch_003_023", "https://jeminise.com/products/christmas-bedding-quilt-soft-microfiber-holiday-bedsprea-design-08", "serp_qa_023"]</t>
        </is>
      </c>
    </row>
    <row r="5" ht="42" customHeight="1">
      <c r="A5" s="3" t="n">
        <v>24</v>
      </c>
      <c r="B5" s="3" t="inlineStr">
        <is>
          <t>jeminise.com+christmas-bedding-quilt-soft-microfiber-holiday-bedsprea-design-09</t>
        </is>
      </c>
      <c r="C5" s="4" t="inlineStr">
        <is>
          <t>https://jeminise.com/products/christmas-bedding-quilt-soft-microfiber-holiday-bedsprea-design-09</t>
        </is>
      </c>
      <c r="D5" s="3" t="inlineStr">
        <is>
          <t>christmas-bedding-quilt-soft-microfiber-holiday-bedsprea-design-09</t>
        </is>
      </c>
      <c r="E5" s="3" t="inlineStr">
        <is>
          <t>8867158393031</t>
        </is>
      </c>
      <c r="F5" s="3" t="inlineStr">
        <is>
          <t>r4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5</v>
      </c>
      <c r="O5" s="3" t="n">
        <v>5</v>
      </c>
      <c r="P5" s="3" t="b">
        <v>1</v>
      </c>
      <c r="Q5" s="8" t="n">
        <v>1</v>
      </c>
      <c r="R5" s="3">
        <f>COUNTIFS('QA_Issues'!$B$2:$B$9,B5,'QA_Issues'!$D$2:$D$9,"CRITICAL")</f>
        <v/>
      </c>
      <c r="S5" s="3">
        <f>COUNTIFS('QA_Issues'!$B$2:$B$9,B5,'QA_Issues'!$D$2:$D$9,"MAJOR")</f>
        <v/>
      </c>
      <c r="T5" s="3">
        <f>COUNTIFS('QA_Issues'!$B$2:$B$9,B5,'QA_Issues'!$D$2:$D$9,"MINOR")</f>
        <v/>
      </c>
      <c r="U5" s="3">
        <f>COUNTIFS('QA_Issues'!$B$2:$B$9,B5,'QA_Issues'!$D$2:$D$9,"LIMITATION")</f>
        <v/>
      </c>
      <c r="V5" s="3" t="inlineStr">
        <is>
          <t>["R4-ISS-024-ENC"]</t>
        </is>
      </c>
      <c r="W5" s="3" t="inlineStr">
        <is>
          <t>["evidence_batch_003_024", "https://jeminise.com/products/christmas-bedding-quilt-soft-microfiber-holiday-bedsprea-design-09", "serp_qa_024"]</t>
        </is>
      </c>
    </row>
    <row r="6" ht="42" customHeight="1">
      <c r="A6" s="2" t="n">
        <v>25</v>
      </c>
      <c r="B6" s="2" t="inlineStr">
        <is>
          <t>jeminise.com+christmas-bedding-quilt-soft-microfiber-holiday-bedsprea-design-10</t>
        </is>
      </c>
      <c r="C6" s="4" t="inlineStr">
        <is>
          <t>https://jeminise.com/products/christmas-bedding-quilt-soft-microfiber-holiday-bedsprea-design-10</t>
        </is>
      </c>
      <c r="D6" s="2" t="inlineStr">
        <is>
          <t>christmas-bedding-quilt-soft-microfiber-holiday-bedsprea-design-10</t>
        </is>
      </c>
      <c r="E6" s="2" t="inlineStr">
        <is>
          <t>8867157737671</t>
        </is>
      </c>
      <c r="F6" s="2" t="inlineStr">
        <is>
          <t>r4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5</v>
      </c>
      <c r="O6" s="2" t="n">
        <v>5</v>
      </c>
      <c r="P6" s="2" t="b">
        <v>1</v>
      </c>
      <c r="Q6" s="6" t="n">
        <v>1</v>
      </c>
      <c r="R6" s="2">
        <f>COUNTIFS('QA_Issues'!$B$2:$B$9,B6,'QA_Issues'!$D$2:$D$9,"CRITICAL")</f>
        <v/>
      </c>
      <c r="S6" s="2">
        <f>COUNTIFS('QA_Issues'!$B$2:$B$9,B6,'QA_Issues'!$D$2:$D$9,"MAJOR")</f>
        <v/>
      </c>
      <c r="T6" s="2">
        <f>COUNTIFS('QA_Issues'!$B$2:$B$9,B6,'QA_Issues'!$D$2:$D$9,"MINOR")</f>
        <v/>
      </c>
      <c r="U6" s="2">
        <f>COUNTIFS('QA_Issues'!$B$2:$B$9,B6,'QA_Issues'!$D$2:$D$9,"LIMITATION")</f>
        <v/>
      </c>
      <c r="V6" s="2" t="inlineStr">
        <is>
          <t>["R4-ISS-025-ENC"]</t>
        </is>
      </c>
      <c r="W6" s="2" t="inlineStr">
        <is>
          <t>["evidence_batch_003_025", "https://jeminise.com/products/christmas-bedding-quilt-soft-microfiber-holiday-bedsprea-design-10", "serp_qa_025"]</t>
        </is>
      </c>
    </row>
    <row r="7" ht="42" customHeight="1">
      <c r="A7" s="3" t="n">
        <v>26</v>
      </c>
      <c r="B7" s="3" t="inlineStr">
        <is>
          <t>jeminise.com+christmas-bedding-quilt-soft-microfiber-holiday-bedsprea-design-11</t>
        </is>
      </c>
      <c r="C7" s="4" t="inlineStr">
        <is>
          <t>https://jeminise.com/products/christmas-bedding-quilt-soft-microfiber-holiday-bedsprea-design-11</t>
        </is>
      </c>
      <c r="D7" s="3" t="inlineStr">
        <is>
          <t>christmas-bedding-quilt-soft-microfiber-holiday-bedsprea-design-11</t>
        </is>
      </c>
      <c r="E7" s="3" t="inlineStr">
        <is>
          <t>8867158261959</t>
        </is>
      </c>
      <c r="F7" s="3" t="inlineStr">
        <is>
          <t>r4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5</v>
      </c>
      <c r="O7" s="3" t="n">
        <v>5</v>
      </c>
      <c r="P7" s="3" t="b">
        <v>1</v>
      </c>
      <c r="Q7" s="8" t="n">
        <v>1</v>
      </c>
      <c r="R7" s="3">
        <f>COUNTIFS('QA_Issues'!$B$2:$B$9,B7,'QA_Issues'!$D$2:$D$9,"CRITICAL")</f>
        <v/>
      </c>
      <c r="S7" s="3">
        <f>COUNTIFS('QA_Issues'!$B$2:$B$9,B7,'QA_Issues'!$D$2:$D$9,"MAJOR")</f>
        <v/>
      </c>
      <c r="T7" s="3">
        <f>COUNTIFS('QA_Issues'!$B$2:$B$9,B7,'QA_Issues'!$D$2:$D$9,"MINOR")</f>
        <v/>
      </c>
      <c r="U7" s="3">
        <f>COUNTIFS('QA_Issues'!$B$2:$B$9,B7,'QA_Issues'!$D$2:$D$9,"LIMITATION")</f>
        <v/>
      </c>
      <c r="V7" s="3" t="inlineStr">
        <is>
          <t>["R4-ISS-026-ENC"]</t>
        </is>
      </c>
      <c r="W7" s="3" t="inlineStr">
        <is>
          <t>["evidence_batch_003_026", "https://jeminise.com/products/christmas-bedding-quilt-soft-microfiber-holiday-bedsprea-design-11", "serp_qa_026"]</t>
        </is>
      </c>
    </row>
    <row r="8" ht="42" customHeight="1">
      <c r="A8" s="2" t="n">
        <v>27</v>
      </c>
      <c r="B8" s="2" t="inlineStr">
        <is>
          <t>jeminise.com+christmas-bedding-quilt-soft-microfiber-holiday-bedsprea-design-12</t>
        </is>
      </c>
      <c r="C8" s="4" t="inlineStr">
        <is>
          <t>https://jeminise.com/products/christmas-bedding-quilt-soft-microfiber-holiday-bedsprea-design-12</t>
        </is>
      </c>
      <c r="D8" s="2" t="inlineStr">
        <is>
          <t>christmas-bedding-quilt-soft-microfiber-holiday-bedsprea-design-12</t>
        </is>
      </c>
      <c r="E8" s="2" t="inlineStr">
        <is>
          <t>8867157803207</t>
        </is>
      </c>
      <c r="F8" s="2" t="inlineStr">
        <is>
          <t>r4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5</v>
      </c>
      <c r="O8" s="2" t="n">
        <v>5</v>
      </c>
      <c r="P8" s="2" t="b">
        <v>1</v>
      </c>
      <c r="Q8" s="6" t="n">
        <v>1</v>
      </c>
      <c r="R8" s="2">
        <f>COUNTIFS('QA_Issues'!$B$2:$B$9,B8,'QA_Issues'!$D$2:$D$9,"CRITICAL")</f>
        <v/>
      </c>
      <c r="S8" s="2">
        <f>COUNTIFS('QA_Issues'!$B$2:$B$9,B8,'QA_Issues'!$D$2:$D$9,"MAJOR")</f>
        <v/>
      </c>
      <c r="T8" s="2">
        <f>COUNTIFS('QA_Issues'!$B$2:$B$9,B8,'QA_Issues'!$D$2:$D$9,"MINOR")</f>
        <v/>
      </c>
      <c r="U8" s="2">
        <f>COUNTIFS('QA_Issues'!$B$2:$B$9,B8,'QA_Issues'!$D$2:$D$9,"LIMITATION")</f>
        <v/>
      </c>
      <c r="V8" s="2" t="inlineStr">
        <is>
          <t>["R4-ISS-027-ENC"]</t>
        </is>
      </c>
      <c r="W8" s="2" t="inlineStr">
        <is>
          <t>["evidence_batch_003_027", "https://jeminise.com/products/christmas-bedding-quilt-soft-microfiber-holiday-bedsprea-design-12", "serp_qa_027"]</t>
        </is>
      </c>
    </row>
    <row r="9" ht="42" customHeight="1">
      <c r="A9" s="3" t="n">
        <v>28</v>
      </c>
      <c r="B9" s="3" t="inlineStr">
        <is>
          <t>jeminise.com+christmas-bedding-quilt-soft-microfiber-holiday-bedspread</t>
        </is>
      </c>
      <c r="C9" s="4" t="inlineStr">
        <is>
          <t>https://jeminise.com/products/christmas-bedding-quilt-soft-microfiber-holiday-bedspread</t>
        </is>
      </c>
      <c r="D9" s="3" t="inlineStr">
        <is>
          <t>christmas-bedding-quilt-soft-microfiber-holiday-bedspread</t>
        </is>
      </c>
      <c r="E9" s="3" t="inlineStr">
        <is>
          <t>8867157704903</t>
        </is>
      </c>
      <c r="F9" s="3" t="inlineStr">
        <is>
          <t>r4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5</v>
      </c>
      <c r="O9" s="3" t="n">
        <v>5</v>
      </c>
      <c r="P9" s="3" t="b">
        <v>1</v>
      </c>
      <c r="Q9" s="8" t="n">
        <v>1</v>
      </c>
      <c r="R9" s="3">
        <f>COUNTIFS('QA_Issues'!$B$2:$B$9,B9,'QA_Issues'!$D$2:$D$9,"CRITICAL")</f>
        <v/>
      </c>
      <c r="S9" s="3">
        <f>COUNTIFS('QA_Issues'!$B$2:$B$9,B9,'QA_Issues'!$D$2:$D$9,"MAJOR")</f>
        <v/>
      </c>
      <c r="T9" s="3">
        <f>COUNTIFS('QA_Issues'!$B$2:$B$9,B9,'QA_Issues'!$D$2:$D$9,"MINOR")</f>
        <v/>
      </c>
      <c r="U9" s="3">
        <f>COUNTIFS('QA_Issues'!$B$2:$B$9,B9,'QA_Issues'!$D$2:$D$9,"LIMITATION")</f>
        <v/>
      </c>
      <c r="V9" s="3" t="inlineStr">
        <is>
          <t>["R4-ISS-028-ENC"]</t>
        </is>
      </c>
      <c r="W9" s="3" t="inlineStr">
        <is>
          <t>["evidence_batch_003_028", "https://jeminise.com/products/christmas-bedding-quilt-soft-microfiber-holiday-bedspread", "serp_qa_028"]</t>
        </is>
      </c>
    </row>
    <row r="10" ht="42" customHeight="1">
      <c r="A10" s="2" t="n">
        <v>29</v>
      </c>
      <c r="B10" s="2" t="inlineStr">
        <is>
          <t>jeminise.com+christmas-cardinal-on-branch-within-patchwork-winter-quilt-892d70543a-892d70543a</t>
        </is>
      </c>
      <c r="C10" s="4" t="inlineStr">
        <is>
          <t>https://jeminise.com/products/christmas-cardinal-on-branch-within-patchwork-winter-quilt-892d70543a-892d70543a</t>
        </is>
      </c>
      <c r="D10" s="2" t="inlineStr">
        <is>
          <t>christmas-cardinal-on-branch-within-patchwork-winter-quilt-892d70543a-892d70543a</t>
        </is>
      </c>
      <c r="E10" s="2" t="inlineStr">
        <is>
          <t>8834708111559</t>
        </is>
      </c>
      <c r="F10" s="2" t="inlineStr">
        <is>
          <t>r4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5</v>
      </c>
      <c r="O10" s="2" t="n">
        <v>5</v>
      </c>
      <c r="P10" s="2" t="b">
        <v>1</v>
      </c>
      <c r="Q10" s="6" t="n">
        <v>1</v>
      </c>
      <c r="R10" s="2">
        <f>COUNTIFS('QA_Issues'!$B$2:$B$9,B10,'QA_Issues'!$D$2:$D$9,"CRITICAL")</f>
        <v/>
      </c>
      <c r="S10" s="2">
        <f>COUNTIFS('QA_Issues'!$B$2:$B$9,B10,'QA_Issues'!$D$2:$D$9,"MAJOR")</f>
        <v/>
      </c>
      <c r="T10" s="2">
        <f>COUNTIFS('QA_Issues'!$B$2:$B$9,B10,'QA_Issues'!$D$2:$D$9,"MINOR")</f>
        <v/>
      </c>
      <c r="U10" s="2">
        <f>COUNTIFS('QA_Issues'!$B$2:$B$9,B10,'QA_Issues'!$D$2:$D$9,"LIMITATION")</f>
        <v/>
      </c>
      <c r="V10" s="2" t="inlineStr">
        <is>
          <t>[]</t>
        </is>
      </c>
      <c r="W10" s="2" t="inlineStr">
        <is>
          <t>["evidence_batch_003_029", "https://jeminise.com/products/christmas-cardinal-on-branch-within-patchwork-winter-quilt-892d70543a-892d70543a", "serp_qa_029"]</t>
        </is>
      </c>
    </row>
    <row r="11" ht="42" customHeight="1">
      <c r="A11" s="3" t="n">
        <v>30</v>
      </c>
      <c r="B11" s="3" t="inlineStr">
        <is>
          <t>jeminise.com+christmas-cardinal-perched-on-branch-within-wreath-patchwork-winter-quilt-9e7c0b5896-9e7c0b5896</t>
        </is>
      </c>
      <c r="C11" s="4" t="inlineStr">
        <is>
          <t>https://jeminise.com/products/christmas-cardinal-perched-on-branch-within-wreath-patchwork-winter-quilt-9e7c0b5896-9e7c0b5896</t>
        </is>
      </c>
      <c r="D11" s="3" t="inlineStr">
        <is>
          <t>christmas-cardinal-perched-on-branch-within-wreath-patchwork-winter-quilt-9e7c0b5896-9e7c0b5896</t>
        </is>
      </c>
      <c r="E11" s="3" t="inlineStr">
        <is>
          <t>8834727805127</t>
        </is>
      </c>
      <c r="F11" s="3" t="inlineStr">
        <is>
          <t>r4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5</v>
      </c>
      <c r="O11" s="3" t="n">
        <v>5</v>
      </c>
      <c r="P11" s="3" t="b">
        <v>1</v>
      </c>
      <c r="Q11" s="8" t="n">
        <v>1</v>
      </c>
      <c r="R11" s="3">
        <f>COUNTIFS('QA_Issues'!$B$2:$B$9,B11,'QA_Issues'!$D$2:$D$9,"CRITICAL")</f>
        <v/>
      </c>
      <c r="S11" s="3">
        <f>COUNTIFS('QA_Issues'!$B$2:$B$9,B11,'QA_Issues'!$D$2:$D$9,"MAJOR")</f>
        <v/>
      </c>
      <c r="T11" s="3">
        <f>COUNTIFS('QA_Issues'!$B$2:$B$9,B11,'QA_Issues'!$D$2:$D$9,"MINOR")</f>
        <v/>
      </c>
      <c r="U11" s="3">
        <f>COUNTIFS('QA_Issues'!$B$2:$B$9,B11,'QA_Issues'!$D$2:$D$9,"LIMITATION")</f>
        <v/>
      </c>
      <c r="V11" s="3" t="inlineStr">
        <is>
          <t>[]</t>
        </is>
      </c>
      <c r="W11" s="3" t="inlineStr">
        <is>
          <t>["evidence_batch_003_030", "https://jeminise.com/products/christmas-cardinal-perched-on-branch-within-wreath-patchwork-winter-quilt-9e7c0b5896-9e7c0b5896", "serp_qa_030"]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  <col width="11" customWidth="1" min="11" max="11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  <c r="K1" s="1" t="inlineStr">
        <is>
          <t>revision</t>
        </is>
      </c>
    </row>
    <row r="2" ht="42" customHeight="1">
      <c r="A2" s="2" t="inlineStr">
        <is>
          <t>jeminise.com+christmas-bedding-quilt-soft-microfiber-holiday-bedsprea-design-05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IF(B2="I1",AVERAGEIF('QA_Images'!$A$2:$A$51,A2,'QA_Images'!$T$2:$T$51)/100,IF(D2="FULL",1,IF(D2="PARTIAL",0.5,IF(D2="FAIL",0,""))))</f>
        <v/>
      </c>
      <c r="F2" s="5">
        <f>IF(E2="",0,C2*E2)</f>
        <v/>
      </c>
      <c r="G2" s="5">
        <f>IF(B2="I1",20*AVERAGEIF('QA_Images'!$A$2:$A$51,A2,'QA_Images'!$U$2:$U$51)/100,IF(D2="NOT_CHECKED",0,C2))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["evidence_batch_003_021", "https://jeminise.com/products/christmas-bedding-quilt-soft-microfiber-holiday-bedsprea-design-05", "serp_qa_021"]</t>
        </is>
      </c>
      <c r="J2" s="2" t="inlineStr">
        <is>
          <t>["R4-ISS-021-ENC"]</t>
        </is>
      </c>
      <c r="K2" s="2" t="inlineStr">
        <is>
          <t>r4</t>
        </is>
      </c>
    </row>
    <row r="3" ht="42" customHeight="1">
      <c r="A3" s="3" t="inlineStr">
        <is>
          <t>jeminise.com+christmas-bedding-quilt-soft-microfiber-holiday-bedsprea-design-05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IF(B3="I1",AVERAGEIF('QA_Images'!$A$2:$A$51,A3,'QA_Images'!$T$2:$T$51)/100,IF(D3="FULL",1,IF(D3="PARTIAL",0.5,IF(D3="FAIL",0,""))))</f>
        <v/>
      </c>
      <c r="F3" s="7">
        <f>IF(E3="",0,C3*E3)</f>
        <v/>
      </c>
      <c r="G3" s="7">
        <f>IF(B3="I1",20*AVERAGEIF('QA_Images'!$A$2:$A$51,A3,'QA_Images'!$U$2:$U$51)/100,IF(D3="NOT_CHECKED",0,C3))</f>
        <v/>
      </c>
      <c r="H3" s="3" t="inlineStr">
        <is>
          <t>Đối chiếu material, dimensions, components, variants và personalization với product.js live, body HTML và gallery.</t>
        </is>
      </c>
      <c r="I3" s="3" t="inlineStr">
        <is>
          <t>["evidence_batch_003_021", "https://jeminise.com/products/christmas-bedding-quilt-soft-microfiber-holiday-bedsprea-design-05", "serp_qa_021"]</t>
        </is>
      </c>
      <c r="J3" s="3" t="inlineStr">
        <is>
          <t>["R4-ISS-021-ENC"]</t>
        </is>
      </c>
      <c r="K3" s="3" t="inlineStr">
        <is>
          <t>r4</t>
        </is>
      </c>
    </row>
    <row r="4" ht="42" customHeight="1">
      <c r="A4" s="2" t="inlineStr">
        <is>
          <t>jeminise.com+christmas-bedding-quilt-soft-microfiber-holiday-bedsprea-design-05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IF(B4="I1",AVERAGEIF('QA_Images'!$A$2:$A$51,A4,'QA_Images'!$T$2:$T$51)/100,IF(D4="FULL",1,IF(D4="PARTIAL",0.5,IF(D4="FAIL",0,""))))</f>
        <v/>
      </c>
      <c r="F4" s="5">
        <f>IF(E4="",0,C4*E4)</f>
        <v/>
      </c>
      <c r="G4" s="5">
        <f>IF(B4="I1",20*AVERAGEIF('QA_Images'!$A$2:$A$51,A4,'QA_Images'!$U$2:$U$51)/100,IF(D4="NOT_CHECKED",0,C4))</f>
        <v/>
      </c>
      <c r="H4" s="2" t="inlineStr">
        <is>
          <t>Đối chiếu long-tail với thiết kế trực tiếp nhìn thấy và nguy cơ trùng intent trong cụm Christmas/cardinal.</t>
        </is>
      </c>
      <c r="I4" s="2" t="inlineStr">
        <is>
          <t>["evidence_batch_003_021", "https://jeminise.com/products/christmas-bedding-quilt-soft-microfiber-holiday-bedsprea-design-05", "serp_qa_021"]</t>
        </is>
      </c>
      <c r="J4" s="2" t="inlineStr">
        <is>
          <t>["R4-ISS-021-ENC"]</t>
        </is>
      </c>
      <c r="K4" s="2" t="inlineStr">
        <is>
          <t>r4</t>
        </is>
      </c>
    </row>
    <row r="5" ht="42" customHeight="1">
      <c r="A5" s="3" t="inlineStr">
        <is>
          <t>jeminise.com+christmas-bedding-quilt-soft-microfiber-holiday-bedsprea-design-05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IF(B5="I1",AVERAGEIF('QA_Images'!$A$2:$A$51,A5,'QA_Images'!$T$2:$T$51)/100,IF(D5="FULL",1,IF(D5="PARTIAL",0.5,IF(D5="FAIL",0,""))))</f>
        <v/>
      </c>
      <c r="F5" s="7">
        <f>IF(E5="",0,C5*E5)</f>
        <v/>
      </c>
      <c r="G5" s="7">
        <f>IF(B5="I1",20*AVERAGEIF('QA_Images'!$A$2:$A$51,A5,'QA_Images'!$U$2:$U$51)/100,IF(D5="NOT_CHECKED",0,C5))</f>
        <v/>
      </c>
      <c r="H5" s="3" t="inlineStr">
        <is>
          <t>Đã đọc lại primary và comparator SERP theo US intent; đánh giá product/kit/pattern result type.</t>
        </is>
      </c>
      <c r="I5" s="3" t="inlineStr">
        <is>
          <t>["evidence_batch_003_021", "https://jeminise.com/products/christmas-bedding-quilt-soft-microfiber-holiday-bedsprea-design-05", "serp_qa_021"]</t>
        </is>
      </c>
      <c r="J5" s="3" t="inlineStr">
        <is>
          <t>["R4-ISS-021-ENC"]</t>
        </is>
      </c>
      <c r="K5" s="3" t="inlineStr">
        <is>
          <t>r4</t>
        </is>
      </c>
    </row>
    <row r="6" ht="42" customHeight="1">
      <c r="A6" s="2" t="inlineStr">
        <is>
          <t>jeminise.com+christmas-bedding-quilt-soft-microfiber-holiday-bedsprea-design-05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IF(B6="I1",AVERAGEIF('QA_Images'!$A$2:$A$51,A6,'QA_Images'!$T$2:$T$51)/100,IF(D6="FULL",1,IF(D6="PARTIAL",0.5,IF(D6="FAIL",0,""))))</f>
        <v/>
      </c>
      <c r="F6" s="5">
        <f>IF(E6="",0,C6*E6)</f>
        <v/>
      </c>
      <c r="G6" s="5">
        <f>IF(B6="I1",20*AVERAGEIF('QA_Images'!$A$2:$A$51,A6,'QA_Images'!$U$2:$U$51)/100,IF(D6="NOT_CHECKED",0,C6))</f>
        <v/>
      </c>
      <c r="H6" s="2" t="inlineStr">
        <is>
          <t>Không suy diễn volume; phân biệt SERP_ONLY và HYPOTHESIS_ONLY.</t>
        </is>
      </c>
      <c r="I6" s="2" t="inlineStr">
        <is>
          <t>["evidence_batch_003_021", "https://jeminise.com/products/christmas-bedding-quilt-soft-microfiber-holiday-bedsprea-design-05", "serp_qa_021"]</t>
        </is>
      </c>
      <c r="J6" s="2" t="inlineStr">
        <is>
          <t>["R4-ISS-021-ENC"]</t>
        </is>
      </c>
      <c r="K6" s="2" t="inlineStr">
        <is>
          <t>r4</t>
        </is>
      </c>
    </row>
    <row r="7" ht="42" customHeight="1">
      <c r="A7" s="3" t="inlineStr">
        <is>
          <t>jeminise.com+christmas-bedding-quilt-soft-microfiber-holiday-bedsprea-design-05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IF(B7="I1",AVERAGEIF('QA_Images'!$A$2:$A$51,A7,'QA_Images'!$T$2:$T$51)/100,IF(D7="FULL",1,IF(D7="PARTIAL",0.5,IF(D7="FAIL",0,""))))</f>
        <v/>
      </c>
      <c r="F7" s="7">
        <f>IF(E7="",0,C7*E7)</f>
        <v/>
      </c>
      <c r="G7" s="7">
        <f>IF(B7="I1",20*AVERAGEIF('QA_Images'!$A$2:$A$51,A7,'QA_Images'!$U$2:$U$51)/100,IF(D7="NOT_CHECKED",0,C7))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["evidence_batch_003_021", "https://jeminise.com/products/christmas-bedding-quilt-soft-microfiber-holiday-bedsprea-design-05", "serp_qa_021"]</t>
        </is>
      </c>
      <c r="J7" s="3" t="inlineStr">
        <is>
          <t>["R4-ISS-021-ENC"]</t>
        </is>
      </c>
      <c r="K7" s="3" t="inlineStr">
        <is>
          <t>r4</t>
        </is>
      </c>
    </row>
    <row r="8" ht="42" customHeight="1">
      <c r="A8" s="2" t="inlineStr">
        <is>
          <t>jeminise.com+christmas-bedding-quilt-soft-microfiber-holiday-bedsprea-design-05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IF(B8="I1",AVERAGEIF('QA_Images'!$A$2:$A$51,A8,'QA_Images'!$T$2:$T$51)/100,IF(D8="FULL",1,IF(D8="PARTIAL",0.5,IF(D8="FAIL",0,""))))</f>
        <v/>
      </c>
      <c r="F8" s="5">
        <f>IF(E8="",0,C8*E8)</f>
        <v/>
      </c>
      <c r="G8" s="5">
        <f>IF(B8="I1",20*AVERAGEIF('QA_Images'!$A$2:$A$51,A8,'QA_Images'!$U$2:$U$51)/100,IF(D8="NOT_CHECKED",0,C8))</f>
        <v/>
      </c>
      <c r="H8" s="2" t="inlineStr">
        <is>
          <t>Đánh giá H1 đề xuất độc lập với SEO title và đối chiếu lỗi ký tự nguồn.</t>
        </is>
      </c>
      <c r="I8" s="2" t="inlineStr">
        <is>
          <t>["evidence_batch_003_021", "https://jeminise.com/products/christmas-bedding-quilt-soft-microfiber-holiday-bedsprea-design-05", "serp_qa_021"]</t>
        </is>
      </c>
      <c r="J8" s="2" t="inlineStr">
        <is>
          <t>["R4-ISS-021-ENC"]</t>
        </is>
      </c>
      <c r="K8" s="2" t="inlineStr">
        <is>
          <t>r4</t>
        </is>
      </c>
    </row>
    <row r="9" ht="42" customHeight="1">
      <c r="A9" s="3" t="inlineStr">
        <is>
          <t>jeminise.com+christmas-bedding-quilt-soft-microfiber-holiday-bedsprea-design-05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IF(B9="I1",AVERAGEIF('QA_Images'!$A$2:$A$51,A9,'QA_Images'!$T$2:$T$51)/100,IF(D9="FULL",1,IF(D9="PARTIAL",0.5,IF(D9="FAIL",0,""))))</f>
        <v/>
      </c>
      <c r="F9" s="7">
        <f>IF(E9="",0,C9*E9)</f>
        <v/>
      </c>
      <c r="G9" s="7">
        <f>IF(B9="I1",20*AVERAGEIF('QA_Images'!$A$2:$A$51,A9,'QA_Images'!$U$2:$U$51)/100,IF(D9="NOT_CHECKED",0,C9))</f>
        <v/>
      </c>
      <c r="H9" s="3" t="inlineStr">
        <is>
          <t>Đánh giá meta description về tính cụ thể và căn cứ claim.</t>
        </is>
      </c>
      <c r="I9" s="3" t="inlineStr">
        <is>
          <t>["evidence_batch_003_021", "https://jeminise.com/products/christmas-bedding-quilt-soft-microfiber-holiday-bedsprea-design-05", "serp_qa_021"]</t>
        </is>
      </c>
      <c r="J9" s="3" t="inlineStr">
        <is>
          <t>["R4-ISS-021-ENC"]</t>
        </is>
      </c>
      <c r="K9" s="3" t="inlineStr">
        <is>
          <t>r4</t>
        </is>
      </c>
    </row>
    <row r="10" ht="42" customHeight="1">
      <c r="A10" s="2" t="inlineStr">
        <is>
          <t>jeminise.com+christmas-bedding-quilt-soft-microfiber-holiday-bedsprea-design-05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IF(B10="I1",AVERAGEIF('QA_Images'!$A$2:$A$51,A10,'QA_Images'!$T$2:$T$51)/100,IF(D10="FULL",1,IF(D10="PARTIAL",0.5,IF(D10="FAIL",0,""))))</f>
        <v/>
      </c>
      <c r="F10" s="5">
        <f>IF(E10="",0,C10*E10)</f>
        <v/>
      </c>
      <c r="G10" s="5">
        <f>IF(B10="I1",20*AVERAGEIF('QA_Images'!$A$2:$A$51,A10,'QA_Images'!$U$2:$U$51)/100,IF(D10="NOT_CHECKED",0,C10))</f>
        <v/>
      </c>
      <c r="H10" s="2" t="inlineStr">
        <is>
          <t>Description SET có HTML đầy đủ nhưng chứa câu nội bộ 'This draft should be reviewed...' và dữ liệu nguồn thô/mâu thuẫn; chưa phải nội dung publish-ready.</t>
        </is>
      </c>
      <c r="I10" s="2" t="inlineStr">
        <is>
          <t>["evidence_batch_003_021", "https://jeminise.com/products/christmas-bedding-quilt-soft-microfiber-holiday-bedsprea-design-05", "serp_qa_021"]</t>
        </is>
      </c>
      <c r="J10" s="2" t="inlineStr">
        <is>
          <t>["R4-ISS-021-ENC"]</t>
        </is>
      </c>
      <c r="K10" s="2" t="inlineStr">
        <is>
          <t>r4</t>
        </is>
      </c>
    </row>
    <row r="11" ht="42" customHeight="1">
      <c r="A11" s="3" t="inlineStr">
        <is>
          <t>jeminise.com+christmas-bedding-quilt-soft-microfiber-holiday-bedsprea-design-05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IF(B11="I1",AVERAGEIF('QA_Images'!$A$2:$A$51,A11,'QA_Images'!$T$2:$T$51)/100,IF(D11="FULL",1,IF(D11="PARTIAL",0.5,IF(D11="FAIL",0,""))))</f>
        <v/>
      </c>
      <c r="F11" s="7">
        <f>IF(E11="",0,C11*E11)</f>
        <v/>
      </c>
      <c r="G11" s="7">
        <f>IF(B11="I1",20*AVERAGEIF('QA_Images'!$A$2:$A$51,A11,'QA_Images'!$U$2:$U$51)/100,IF(D11="NOT_CHECKED",0,C11))</f>
        <v/>
      </c>
      <c r="H11" s="3" t="inlineStr">
        <is>
          <t>Derived from directly checked r4 media records: 100.0/100.</t>
        </is>
      </c>
      <c r="I11" s="3" t="inlineStr">
        <is>
          <t>["evidence_batch_003_021", "https://jeminise.com/products/christmas-bedding-quilt-soft-microfiber-holiday-bedsprea-design-05", "serp_qa_021"]</t>
        </is>
      </c>
      <c r="J11" s="3" t="inlineStr">
        <is>
          <t>["R4-ISS-021-ENC"]</t>
        </is>
      </c>
      <c r="K11" s="3" t="inlineStr">
        <is>
          <t>r4</t>
        </is>
      </c>
    </row>
    <row r="12" ht="42" customHeight="1">
      <c r="A12" s="2" t="inlineStr">
        <is>
          <t>jeminise.com+christmas-bedding-quilt-soft-microfiber-holiday-bedsprea-design-05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IF(B12="I1",AVERAGEIF('QA_Images'!$A$2:$A$51,A12,'QA_Images'!$T$2:$T$51)/100,IF(D12="FULL",1,IF(D12="PARTIAL",0.5,IF(D12="FAIL",0,""))))</f>
        <v/>
      </c>
      <c r="F12" s="5">
        <f>IF(E12="",0,C12*E12)</f>
        <v/>
      </c>
      <c r="G12" s="5">
        <f>IF(B12="I1",20*AVERAGEIF('QA_Images'!$A$2:$A$51,A12,'QA_Images'!$U$2:$U$51)/100,IF(D12="NOT_CHECKED",0,C12))</f>
        <v/>
      </c>
      <c r="H12" s="2" t="inlineStr">
        <is>
          <t>Kiểm tra liên kết product key/handle/evidence/revision giữa workbook, snapshot và nguồn live.</t>
        </is>
      </c>
      <c r="I12" s="2" t="inlineStr">
        <is>
          <t>["evidence_batch_003_021", "https://jeminise.com/products/christmas-bedding-quilt-soft-microfiber-holiday-bedsprea-design-05", "serp_qa_021"]</t>
        </is>
      </c>
      <c r="J12" s="2" t="inlineStr">
        <is>
          <t>["R4-ISS-021-ENC"]</t>
        </is>
      </c>
      <c r="K12" s="2" t="inlineStr">
        <is>
          <t>r4</t>
        </is>
      </c>
    </row>
    <row r="13" ht="42" customHeight="1">
      <c r="A13" s="3" t="inlineStr">
        <is>
          <t>jeminise.com+christmas-bedding-quilt-soft-microfiber-holiday-bedsprea-design-06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IF(B13="I1",AVERAGEIF('QA_Images'!$A$2:$A$51,A13,'QA_Images'!$T$2:$T$51)/100,IF(D13="FULL",1,IF(D13="PARTIAL",0.5,IF(D13="FAIL",0,""))))</f>
        <v/>
      </c>
      <c r="F13" s="7">
        <f>IF(E13="",0,C13*E13)</f>
        <v/>
      </c>
      <c r="G13" s="7">
        <f>IF(B13="I1",20*AVERAGEIF('QA_Images'!$A$2:$A$51,A13,'QA_Images'!$U$2:$U$51)/100,IF(D13="NOT_CHECKED",0,C13))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["evidence_batch_003_022", "https://jeminise.com/products/christmas-bedding-quilt-soft-microfiber-holiday-bedsprea-design-06", "serp_qa_022"]</t>
        </is>
      </c>
      <c r="J13" s="3" t="inlineStr">
        <is>
          <t>["R4-ISS-022-ENC"]</t>
        </is>
      </c>
      <c r="K13" s="3" t="inlineStr">
        <is>
          <t>r4</t>
        </is>
      </c>
    </row>
    <row r="14" ht="42" customHeight="1">
      <c r="A14" s="2" t="inlineStr">
        <is>
          <t>jeminise.com+christmas-bedding-quilt-soft-microfiber-holiday-bedsprea-design-06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IF(B14="I1",AVERAGEIF('QA_Images'!$A$2:$A$51,A14,'QA_Images'!$T$2:$T$51)/100,IF(D14="FULL",1,IF(D14="PARTIAL",0.5,IF(D14="FAIL",0,""))))</f>
        <v/>
      </c>
      <c r="F14" s="5">
        <f>IF(E14="",0,C14*E14)</f>
        <v/>
      </c>
      <c r="G14" s="5">
        <f>IF(B14="I1",20*AVERAGEIF('QA_Images'!$A$2:$A$51,A14,'QA_Images'!$U$2:$U$51)/100,IF(D14="NOT_CHECKED",0,C14))</f>
        <v/>
      </c>
      <c r="H14" s="2" t="inlineStr">
        <is>
          <t>Đối chiếu material, dimensions, components, variants và personalization với product.js live, body HTML và gallery.</t>
        </is>
      </c>
      <c r="I14" s="2" t="inlineStr">
        <is>
          <t>["evidence_batch_003_022", "https://jeminise.com/products/christmas-bedding-quilt-soft-microfiber-holiday-bedsprea-design-06", "serp_qa_022"]</t>
        </is>
      </c>
      <c r="J14" s="2" t="inlineStr">
        <is>
          <t>["R4-ISS-022-ENC"]</t>
        </is>
      </c>
      <c r="K14" s="2" t="inlineStr">
        <is>
          <t>r4</t>
        </is>
      </c>
    </row>
    <row r="15" ht="42" customHeight="1">
      <c r="A15" s="3" t="inlineStr">
        <is>
          <t>jeminise.com+christmas-bedding-quilt-soft-microfiber-holiday-bedsprea-design-06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IF(B15="I1",AVERAGEIF('QA_Images'!$A$2:$A$51,A15,'QA_Images'!$T$2:$T$51)/100,IF(D15="FULL",1,IF(D15="PARTIAL",0.5,IF(D15="FAIL",0,""))))</f>
        <v/>
      </c>
      <c r="F15" s="7">
        <f>IF(E15="",0,C15*E15)</f>
        <v/>
      </c>
      <c r="G15" s="7">
        <f>IF(B15="I1",20*AVERAGEIF('QA_Images'!$A$2:$A$51,A15,'QA_Images'!$U$2:$U$51)/100,IF(D15="NOT_CHECKED",0,C15))</f>
        <v/>
      </c>
      <c r="H15" s="3" t="inlineStr">
        <is>
          <t>Đối chiếu long-tail với thiết kế trực tiếp nhìn thấy và nguy cơ trùng intent trong cụm Christmas/cardinal.</t>
        </is>
      </c>
      <c r="I15" s="3" t="inlineStr">
        <is>
          <t>["evidence_batch_003_022", "https://jeminise.com/products/christmas-bedding-quilt-soft-microfiber-holiday-bedsprea-design-06", "serp_qa_022"]</t>
        </is>
      </c>
      <c r="J15" s="3" t="inlineStr">
        <is>
          <t>["R4-ISS-022-ENC"]</t>
        </is>
      </c>
      <c r="K15" s="3" t="inlineStr">
        <is>
          <t>r4</t>
        </is>
      </c>
    </row>
    <row r="16" ht="42" customHeight="1">
      <c r="A16" s="2" t="inlineStr">
        <is>
          <t>jeminise.com+christmas-bedding-quilt-soft-microfiber-holiday-bedsprea-design-06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IF(B16="I1",AVERAGEIF('QA_Images'!$A$2:$A$51,A16,'QA_Images'!$T$2:$T$51)/100,IF(D16="FULL",1,IF(D16="PARTIAL",0.5,IF(D16="FAIL",0,""))))</f>
        <v/>
      </c>
      <c r="F16" s="5">
        <f>IF(E16="",0,C16*E16)</f>
        <v/>
      </c>
      <c r="G16" s="5">
        <f>IF(B16="I1",20*AVERAGEIF('QA_Images'!$A$2:$A$51,A16,'QA_Images'!$U$2:$U$51)/100,IF(D16="NOT_CHECKED",0,C16))</f>
        <v/>
      </c>
      <c r="H16" s="2" t="inlineStr">
        <is>
          <t>Đã đọc lại primary và comparator SERP theo US intent; đánh giá product/kit/pattern result type.</t>
        </is>
      </c>
      <c r="I16" s="2" t="inlineStr">
        <is>
          <t>["evidence_batch_003_022", "https://jeminise.com/products/christmas-bedding-quilt-soft-microfiber-holiday-bedsprea-design-06", "serp_qa_022"]</t>
        </is>
      </c>
      <c r="J16" s="2" t="inlineStr">
        <is>
          <t>["R4-ISS-022-ENC"]</t>
        </is>
      </c>
      <c r="K16" s="2" t="inlineStr">
        <is>
          <t>r4</t>
        </is>
      </c>
    </row>
    <row r="17" ht="42" customHeight="1">
      <c r="A17" s="3" t="inlineStr">
        <is>
          <t>jeminise.com+christmas-bedding-quilt-soft-microfiber-holiday-bedsprea-design-06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IF(B17="I1",AVERAGEIF('QA_Images'!$A$2:$A$51,A17,'QA_Images'!$T$2:$T$51)/100,IF(D17="FULL",1,IF(D17="PARTIAL",0.5,IF(D17="FAIL",0,""))))</f>
        <v/>
      </c>
      <c r="F17" s="7">
        <f>IF(E17="",0,C17*E17)</f>
        <v/>
      </c>
      <c r="G17" s="7">
        <f>IF(B17="I1",20*AVERAGEIF('QA_Images'!$A$2:$A$51,A17,'QA_Images'!$U$2:$U$51)/100,IF(D17="NOT_CHECKED",0,C17))</f>
        <v/>
      </c>
      <c r="H17" s="3" t="inlineStr">
        <is>
          <t>Không suy diễn volume; phân biệt SERP_ONLY và HYPOTHESIS_ONLY.</t>
        </is>
      </c>
      <c r="I17" s="3" t="inlineStr">
        <is>
          <t>["evidence_batch_003_022", "https://jeminise.com/products/christmas-bedding-quilt-soft-microfiber-holiday-bedsprea-design-06", "serp_qa_022"]</t>
        </is>
      </c>
      <c r="J17" s="3" t="inlineStr">
        <is>
          <t>["R4-ISS-022-ENC"]</t>
        </is>
      </c>
      <c r="K17" s="3" t="inlineStr">
        <is>
          <t>r4</t>
        </is>
      </c>
    </row>
    <row r="18" ht="42" customHeight="1">
      <c r="A18" s="2" t="inlineStr">
        <is>
          <t>jeminise.com+christmas-bedding-quilt-soft-microfiber-holiday-bedsprea-design-06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IF(B18="I1",AVERAGEIF('QA_Images'!$A$2:$A$51,A18,'QA_Images'!$T$2:$T$51)/100,IF(D18="FULL",1,IF(D18="PARTIAL",0.5,IF(D18="FAIL",0,""))))</f>
        <v/>
      </c>
      <c r="F18" s="5">
        <f>IF(E18="",0,C18*E18)</f>
        <v/>
      </c>
      <c r="G18" s="5">
        <f>IF(B18="I1",20*AVERAGEIF('QA_Images'!$A$2:$A$51,A18,'QA_Images'!$U$2:$U$51)/100,IF(D18="NOT_CHECKED",0,C18))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["evidence_batch_003_022", "https://jeminise.com/products/christmas-bedding-quilt-soft-microfiber-holiday-bedsprea-design-06", "serp_qa_022"]</t>
        </is>
      </c>
      <c r="J18" s="2" t="inlineStr">
        <is>
          <t>["R4-ISS-022-ENC"]</t>
        </is>
      </c>
      <c r="K18" s="2" t="inlineStr">
        <is>
          <t>r4</t>
        </is>
      </c>
    </row>
    <row r="19" ht="42" customHeight="1">
      <c r="A19" s="3" t="inlineStr">
        <is>
          <t>jeminise.com+christmas-bedding-quilt-soft-microfiber-holiday-bedsprea-design-06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IF(B19="I1",AVERAGEIF('QA_Images'!$A$2:$A$51,A19,'QA_Images'!$T$2:$T$51)/100,IF(D19="FULL",1,IF(D19="PARTIAL",0.5,IF(D19="FAIL",0,""))))</f>
        <v/>
      </c>
      <c r="F19" s="7">
        <f>IF(E19="",0,C19*E19)</f>
        <v/>
      </c>
      <c r="G19" s="7">
        <f>IF(B19="I1",20*AVERAGEIF('QA_Images'!$A$2:$A$51,A19,'QA_Images'!$U$2:$U$51)/100,IF(D19="NOT_CHECKED",0,C19))</f>
        <v/>
      </c>
      <c r="H19" s="3" t="inlineStr">
        <is>
          <t>Đánh giá H1 đề xuất độc lập với SEO title và đối chiếu lỗi ký tự nguồn.</t>
        </is>
      </c>
      <c r="I19" s="3" t="inlineStr">
        <is>
          <t>["evidence_batch_003_022", "https://jeminise.com/products/christmas-bedding-quilt-soft-microfiber-holiday-bedsprea-design-06", "serp_qa_022"]</t>
        </is>
      </c>
      <c r="J19" s="3" t="inlineStr">
        <is>
          <t>["R4-ISS-022-ENC"]</t>
        </is>
      </c>
      <c r="K19" s="3" t="inlineStr">
        <is>
          <t>r4</t>
        </is>
      </c>
    </row>
    <row r="20" ht="42" customHeight="1">
      <c r="A20" s="2" t="inlineStr">
        <is>
          <t>jeminise.com+christmas-bedding-quilt-soft-microfiber-holiday-bedsprea-design-06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IF(B20="I1",AVERAGEIF('QA_Images'!$A$2:$A$51,A20,'QA_Images'!$T$2:$T$51)/100,IF(D20="FULL",1,IF(D20="PARTIAL",0.5,IF(D20="FAIL",0,""))))</f>
        <v/>
      </c>
      <c r="F20" s="5">
        <f>IF(E20="",0,C20*E20)</f>
        <v/>
      </c>
      <c r="G20" s="5">
        <f>IF(B20="I1",20*AVERAGEIF('QA_Images'!$A$2:$A$51,A20,'QA_Images'!$U$2:$U$51)/100,IF(D20="NOT_CHECKED",0,C20))</f>
        <v/>
      </c>
      <c r="H20" s="2" t="inlineStr">
        <is>
          <t>Đánh giá meta description về tính cụ thể và căn cứ claim.</t>
        </is>
      </c>
      <c r="I20" s="2" t="inlineStr">
        <is>
          <t>["evidence_batch_003_022", "https://jeminise.com/products/christmas-bedding-quilt-soft-microfiber-holiday-bedsprea-design-06", "serp_qa_022"]</t>
        </is>
      </c>
      <c r="J20" s="2" t="inlineStr">
        <is>
          <t>["R4-ISS-022-ENC"]</t>
        </is>
      </c>
      <c r="K20" s="2" t="inlineStr">
        <is>
          <t>r4</t>
        </is>
      </c>
    </row>
    <row r="21" ht="42" customHeight="1">
      <c r="A21" s="3" t="inlineStr">
        <is>
          <t>jeminise.com+christmas-bedding-quilt-soft-microfiber-holiday-bedsprea-design-06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IF(B21="I1",AVERAGEIF('QA_Images'!$A$2:$A$51,A21,'QA_Images'!$T$2:$T$51)/100,IF(D21="FULL",1,IF(D21="PARTIAL",0.5,IF(D21="FAIL",0,""))))</f>
        <v/>
      </c>
      <c r="F21" s="7">
        <f>IF(E21="",0,C21*E21)</f>
        <v/>
      </c>
      <c r="G21" s="7">
        <f>IF(B21="I1",20*AVERAGEIF('QA_Images'!$A$2:$A$51,A21,'QA_Images'!$U$2:$U$51)/100,IF(D21="NOT_CHECKED",0,C21))</f>
        <v/>
      </c>
      <c r="H21" s="3" t="inlineStr">
        <is>
          <t>Description SET có HTML đầy đủ nhưng chứa câu nội bộ 'This draft should be reviewed...' và dữ liệu nguồn thô/mâu thuẫn; chưa phải nội dung publish-ready.</t>
        </is>
      </c>
      <c r="I21" s="3" t="inlineStr">
        <is>
          <t>["evidence_batch_003_022", "https://jeminise.com/products/christmas-bedding-quilt-soft-microfiber-holiday-bedsprea-design-06", "serp_qa_022"]</t>
        </is>
      </c>
      <c r="J21" s="3" t="inlineStr">
        <is>
          <t>["R4-ISS-022-ENC"]</t>
        </is>
      </c>
      <c r="K21" s="3" t="inlineStr">
        <is>
          <t>r4</t>
        </is>
      </c>
    </row>
    <row r="22" ht="42" customHeight="1">
      <c r="A22" s="2" t="inlineStr">
        <is>
          <t>jeminise.com+christmas-bedding-quilt-soft-microfiber-holiday-bedsprea-design-06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IF(B22="I1",AVERAGEIF('QA_Images'!$A$2:$A$51,A22,'QA_Images'!$T$2:$T$51)/100,IF(D22="FULL",1,IF(D22="PARTIAL",0.5,IF(D22="FAIL",0,""))))</f>
        <v/>
      </c>
      <c r="F22" s="5">
        <f>IF(E22="",0,C22*E22)</f>
        <v/>
      </c>
      <c r="G22" s="5">
        <f>IF(B22="I1",20*AVERAGEIF('QA_Images'!$A$2:$A$51,A22,'QA_Images'!$U$2:$U$51)/100,IF(D22="NOT_CHECKED",0,C22))</f>
        <v/>
      </c>
      <c r="H22" s="2" t="inlineStr">
        <is>
          <t>Derived from directly checked r4 media records: 100.0/100.</t>
        </is>
      </c>
      <c r="I22" s="2" t="inlineStr">
        <is>
          <t>["evidence_batch_003_022", "https://jeminise.com/products/christmas-bedding-quilt-soft-microfiber-holiday-bedsprea-design-06", "serp_qa_022"]</t>
        </is>
      </c>
      <c r="J22" s="2" t="inlineStr">
        <is>
          <t>["R4-ISS-022-ENC"]</t>
        </is>
      </c>
      <c r="K22" s="2" t="inlineStr">
        <is>
          <t>r4</t>
        </is>
      </c>
    </row>
    <row r="23" ht="42" customHeight="1">
      <c r="A23" s="3" t="inlineStr">
        <is>
          <t>jeminise.com+christmas-bedding-quilt-soft-microfiber-holiday-bedsprea-design-06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IF(B23="I1",AVERAGEIF('QA_Images'!$A$2:$A$51,A23,'QA_Images'!$T$2:$T$51)/100,IF(D23="FULL",1,IF(D23="PARTIAL",0.5,IF(D23="FAIL",0,""))))</f>
        <v/>
      </c>
      <c r="F23" s="7">
        <f>IF(E23="",0,C23*E23)</f>
        <v/>
      </c>
      <c r="G23" s="7">
        <f>IF(B23="I1",20*AVERAGEIF('QA_Images'!$A$2:$A$51,A23,'QA_Images'!$U$2:$U$51)/100,IF(D23="NOT_CHECKED",0,C23))</f>
        <v/>
      </c>
      <c r="H23" s="3" t="inlineStr">
        <is>
          <t>Kiểm tra liên kết product key/handle/evidence/revision giữa workbook, snapshot và nguồn live.</t>
        </is>
      </c>
      <c r="I23" s="3" t="inlineStr">
        <is>
          <t>["evidence_batch_003_022", "https://jeminise.com/products/christmas-bedding-quilt-soft-microfiber-holiday-bedsprea-design-06", "serp_qa_022"]</t>
        </is>
      </c>
      <c r="J23" s="3" t="inlineStr">
        <is>
          <t>["R4-ISS-022-ENC"]</t>
        </is>
      </c>
      <c r="K23" s="3" t="inlineStr">
        <is>
          <t>r4</t>
        </is>
      </c>
    </row>
    <row r="24" ht="42" customHeight="1">
      <c r="A24" s="2" t="inlineStr">
        <is>
          <t>jeminise.com+christmas-bedding-quilt-soft-microfiber-holiday-bedsprea-design-08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IF(B24="I1",AVERAGEIF('QA_Images'!$A$2:$A$51,A24,'QA_Images'!$T$2:$T$51)/100,IF(D24="FULL",1,IF(D24="PARTIAL",0.5,IF(D24="FAIL",0,""))))</f>
        <v/>
      </c>
      <c r="F24" s="5">
        <f>IF(E24="",0,C24*E24)</f>
        <v/>
      </c>
      <c r="G24" s="5">
        <f>IF(B24="I1",20*AVERAGEIF('QA_Images'!$A$2:$A$51,A24,'QA_Images'!$U$2:$U$51)/100,IF(D24="NOT_CHECKED",0,C24))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["evidence_batch_003_023", "https://jeminise.com/products/christmas-bedding-quilt-soft-microfiber-holiday-bedsprea-design-08", "serp_qa_023"]</t>
        </is>
      </c>
      <c r="J24" s="2" t="inlineStr">
        <is>
          <t>["R4-ISS-023-ENC"]</t>
        </is>
      </c>
      <c r="K24" s="2" t="inlineStr">
        <is>
          <t>r4</t>
        </is>
      </c>
    </row>
    <row r="25" ht="42" customHeight="1">
      <c r="A25" s="3" t="inlineStr">
        <is>
          <t>jeminise.com+christmas-bedding-quilt-soft-microfiber-holiday-bedsprea-design-08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IF(B25="I1",AVERAGEIF('QA_Images'!$A$2:$A$51,A25,'QA_Images'!$T$2:$T$51)/100,IF(D25="FULL",1,IF(D25="PARTIAL",0.5,IF(D25="FAIL",0,""))))</f>
        <v/>
      </c>
      <c r="F25" s="7">
        <f>IF(E25="",0,C25*E25)</f>
        <v/>
      </c>
      <c r="G25" s="7">
        <f>IF(B25="I1",20*AVERAGEIF('QA_Images'!$A$2:$A$51,A25,'QA_Images'!$U$2:$U$51)/100,IF(D25="NOT_CHECKED",0,C25))</f>
        <v/>
      </c>
      <c r="H25" s="3" t="inlineStr">
        <is>
          <t>Đối chiếu material, dimensions, components, variants và personalization với product.js live, body HTML và gallery.</t>
        </is>
      </c>
      <c r="I25" s="3" t="inlineStr">
        <is>
          <t>["evidence_batch_003_023", "https://jeminise.com/products/christmas-bedding-quilt-soft-microfiber-holiday-bedsprea-design-08", "serp_qa_023"]</t>
        </is>
      </c>
      <c r="J25" s="3" t="inlineStr">
        <is>
          <t>["R4-ISS-023-ENC"]</t>
        </is>
      </c>
      <c r="K25" s="3" t="inlineStr">
        <is>
          <t>r4</t>
        </is>
      </c>
    </row>
    <row r="26" ht="42" customHeight="1">
      <c r="A26" s="2" t="inlineStr">
        <is>
          <t>jeminise.com+christmas-bedding-quilt-soft-microfiber-holiday-bedsprea-design-08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IF(B26="I1",AVERAGEIF('QA_Images'!$A$2:$A$51,A26,'QA_Images'!$T$2:$T$51)/100,IF(D26="FULL",1,IF(D26="PARTIAL",0.5,IF(D26="FAIL",0,""))))</f>
        <v/>
      </c>
      <c r="F26" s="5">
        <f>IF(E26="",0,C26*E26)</f>
        <v/>
      </c>
      <c r="G26" s="5">
        <f>IF(B26="I1",20*AVERAGEIF('QA_Images'!$A$2:$A$51,A26,'QA_Images'!$U$2:$U$51)/100,IF(D26="NOT_CHECKED",0,C26))</f>
        <v/>
      </c>
      <c r="H26" s="2" t="inlineStr">
        <is>
          <t>Đối chiếu long-tail với thiết kế trực tiếp nhìn thấy và nguy cơ trùng intent trong cụm Christmas/cardinal.</t>
        </is>
      </c>
      <c r="I26" s="2" t="inlineStr">
        <is>
          <t>["evidence_batch_003_023", "https://jeminise.com/products/christmas-bedding-quilt-soft-microfiber-holiday-bedsprea-design-08", "serp_qa_023"]</t>
        </is>
      </c>
      <c r="J26" s="2" t="inlineStr">
        <is>
          <t>["R4-ISS-023-ENC"]</t>
        </is>
      </c>
      <c r="K26" s="2" t="inlineStr">
        <is>
          <t>r4</t>
        </is>
      </c>
    </row>
    <row r="27" ht="42" customHeight="1">
      <c r="A27" s="3" t="inlineStr">
        <is>
          <t>jeminise.com+christmas-bedding-quilt-soft-microfiber-holiday-bedsprea-design-08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IF(B27="I1",AVERAGEIF('QA_Images'!$A$2:$A$51,A27,'QA_Images'!$T$2:$T$51)/100,IF(D27="FULL",1,IF(D27="PARTIAL",0.5,IF(D27="FAIL",0,""))))</f>
        <v/>
      </c>
      <c r="F27" s="7">
        <f>IF(E27="",0,C27*E27)</f>
        <v/>
      </c>
      <c r="G27" s="7">
        <f>IF(B27="I1",20*AVERAGEIF('QA_Images'!$A$2:$A$51,A27,'QA_Images'!$U$2:$U$51)/100,IF(D27="NOT_CHECKED",0,C27))</f>
        <v/>
      </c>
      <c r="H27" s="3" t="inlineStr">
        <is>
          <t>Đã đọc lại primary và comparator SERP theo US intent; đánh giá product/kit/pattern result type.</t>
        </is>
      </c>
      <c r="I27" s="3" t="inlineStr">
        <is>
          <t>["evidence_batch_003_023", "https://jeminise.com/products/christmas-bedding-quilt-soft-microfiber-holiday-bedsprea-design-08", "serp_qa_023"]</t>
        </is>
      </c>
      <c r="J27" s="3" t="inlineStr">
        <is>
          <t>["R4-ISS-023-ENC"]</t>
        </is>
      </c>
      <c r="K27" s="3" t="inlineStr">
        <is>
          <t>r4</t>
        </is>
      </c>
    </row>
    <row r="28" ht="42" customHeight="1">
      <c r="A28" s="2" t="inlineStr">
        <is>
          <t>jeminise.com+christmas-bedding-quilt-soft-microfiber-holiday-bedsprea-design-08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IF(B28="I1",AVERAGEIF('QA_Images'!$A$2:$A$51,A28,'QA_Images'!$T$2:$T$51)/100,IF(D28="FULL",1,IF(D28="PARTIAL",0.5,IF(D28="FAIL",0,""))))</f>
        <v/>
      </c>
      <c r="F28" s="5">
        <f>IF(E28="",0,C28*E28)</f>
        <v/>
      </c>
      <c r="G28" s="5">
        <f>IF(B28="I1",20*AVERAGEIF('QA_Images'!$A$2:$A$51,A28,'QA_Images'!$U$2:$U$51)/100,IF(D28="NOT_CHECKED",0,C28))</f>
        <v/>
      </c>
      <c r="H28" s="2" t="inlineStr">
        <is>
          <t>Không suy diễn volume; phân biệt SERP_ONLY và HYPOTHESIS_ONLY.</t>
        </is>
      </c>
      <c r="I28" s="2" t="inlineStr">
        <is>
          <t>["evidence_batch_003_023", "https://jeminise.com/products/christmas-bedding-quilt-soft-microfiber-holiday-bedsprea-design-08", "serp_qa_023"]</t>
        </is>
      </c>
      <c r="J28" s="2" t="inlineStr">
        <is>
          <t>["R4-ISS-023-ENC"]</t>
        </is>
      </c>
      <c r="K28" s="2" t="inlineStr">
        <is>
          <t>r4</t>
        </is>
      </c>
    </row>
    <row r="29" ht="42" customHeight="1">
      <c r="A29" s="3" t="inlineStr">
        <is>
          <t>jeminise.com+christmas-bedding-quilt-soft-microfiber-holiday-bedsprea-design-08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IF(B29="I1",AVERAGEIF('QA_Images'!$A$2:$A$51,A29,'QA_Images'!$T$2:$T$51)/100,IF(D29="FULL",1,IF(D29="PARTIAL",0.5,IF(D29="FAIL",0,""))))</f>
        <v/>
      </c>
      <c r="F29" s="7">
        <f>IF(E29="",0,C29*E29)</f>
        <v/>
      </c>
      <c r="G29" s="7">
        <f>IF(B29="I1",20*AVERAGEIF('QA_Images'!$A$2:$A$51,A29,'QA_Images'!$U$2:$U$51)/100,IF(D29="NOT_CHECKED",0,C29))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["evidence_batch_003_023", "https://jeminise.com/products/christmas-bedding-quilt-soft-microfiber-holiday-bedsprea-design-08", "serp_qa_023"]</t>
        </is>
      </c>
      <c r="J29" s="3" t="inlineStr">
        <is>
          <t>["R4-ISS-023-ENC"]</t>
        </is>
      </c>
      <c r="K29" s="3" t="inlineStr">
        <is>
          <t>r4</t>
        </is>
      </c>
    </row>
    <row r="30" ht="42" customHeight="1">
      <c r="A30" s="2" t="inlineStr">
        <is>
          <t>jeminise.com+christmas-bedding-quilt-soft-microfiber-holiday-bedsprea-design-08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IF(B30="I1",AVERAGEIF('QA_Images'!$A$2:$A$51,A30,'QA_Images'!$T$2:$T$51)/100,IF(D30="FULL",1,IF(D30="PARTIAL",0.5,IF(D30="FAIL",0,""))))</f>
        <v/>
      </c>
      <c r="F30" s="5">
        <f>IF(E30="",0,C30*E30)</f>
        <v/>
      </c>
      <c r="G30" s="5">
        <f>IF(B30="I1",20*AVERAGEIF('QA_Images'!$A$2:$A$51,A30,'QA_Images'!$U$2:$U$51)/100,IF(D30="NOT_CHECKED",0,C30))</f>
        <v/>
      </c>
      <c r="H30" s="2" t="inlineStr">
        <is>
          <t>Đánh giá H1 đề xuất độc lập với SEO title và đối chiếu lỗi ký tự nguồn.</t>
        </is>
      </c>
      <c r="I30" s="2" t="inlineStr">
        <is>
          <t>["evidence_batch_003_023", "https://jeminise.com/products/christmas-bedding-quilt-soft-microfiber-holiday-bedsprea-design-08", "serp_qa_023"]</t>
        </is>
      </c>
      <c r="J30" s="2" t="inlineStr">
        <is>
          <t>["R4-ISS-023-ENC"]</t>
        </is>
      </c>
      <c r="K30" s="2" t="inlineStr">
        <is>
          <t>r4</t>
        </is>
      </c>
    </row>
    <row r="31" ht="42" customHeight="1">
      <c r="A31" s="3" t="inlineStr">
        <is>
          <t>jeminise.com+christmas-bedding-quilt-soft-microfiber-holiday-bedsprea-design-08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IF(B31="I1",AVERAGEIF('QA_Images'!$A$2:$A$51,A31,'QA_Images'!$T$2:$T$51)/100,IF(D31="FULL",1,IF(D31="PARTIAL",0.5,IF(D31="FAIL",0,""))))</f>
        <v/>
      </c>
      <c r="F31" s="7">
        <f>IF(E31="",0,C31*E31)</f>
        <v/>
      </c>
      <c r="G31" s="7">
        <f>IF(B31="I1",20*AVERAGEIF('QA_Images'!$A$2:$A$51,A31,'QA_Images'!$U$2:$U$51)/100,IF(D31="NOT_CHECKED",0,C31))</f>
        <v/>
      </c>
      <c r="H31" s="3" t="inlineStr">
        <is>
          <t>Đánh giá meta description về tính cụ thể và căn cứ claim.</t>
        </is>
      </c>
      <c r="I31" s="3" t="inlineStr">
        <is>
          <t>["evidence_batch_003_023", "https://jeminise.com/products/christmas-bedding-quilt-soft-microfiber-holiday-bedsprea-design-08", "serp_qa_023"]</t>
        </is>
      </c>
      <c r="J31" s="3" t="inlineStr">
        <is>
          <t>["R4-ISS-023-ENC"]</t>
        </is>
      </c>
      <c r="K31" s="3" t="inlineStr">
        <is>
          <t>r4</t>
        </is>
      </c>
    </row>
    <row r="32" ht="42" customHeight="1">
      <c r="A32" s="2" t="inlineStr">
        <is>
          <t>jeminise.com+christmas-bedding-quilt-soft-microfiber-holiday-bedsprea-design-08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IF(B32="I1",AVERAGEIF('QA_Images'!$A$2:$A$51,A32,'QA_Images'!$T$2:$T$51)/100,IF(D32="FULL",1,IF(D32="PARTIAL",0.5,IF(D32="FAIL",0,""))))</f>
        <v/>
      </c>
      <c r="F32" s="5">
        <f>IF(E32="",0,C32*E32)</f>
        <v/>
      </c>
      <c r="G32" s="5">
        <f>IF(B32="I1",20*AVERAGEIF('QA_Images'!$A$2:$A$51,A32,'QA_Images'!$U$2:$U$51)/100,IF(D32="NOT_CHECKED",0,C32))</f>
        <v/>
      </c>
      <c r="H32" s="2" t="inlineStr">
        <is>
          <t>Description SET có HTML đầy đủ nhưng chứa câu nội bộ 'This draft should be reviewed...' và dữ liệu nguồn thô/mâu thuẫn; chưa phải nội dung publish-ready.</t>
        </is>
      </c>
      <c r="I32" s="2" t="inlineStr">
        <is>
          <t>["evidence_batch_003_023", "https://jeminise.com/products/christmas-bedding-quilt-soft-microfiber-holiday-bedsprea-design-08", "serp_qa_023"]</t>
        </is>
      </c>
      <c r="J32" s="2" t="inlineStr">
        <is>
          <t>["R4-ISS-023-ENC"]</t>
        </is>
      </c>
      <c r="K32" s="2" t="inlineStr">
        <is>
          <t>r4</t>
        </is>
      </c>
    </row>
    <row r="33" ht="42" customHeight="1">
      <c r="A33" s="3" t="inlineStr">
        <is>
          <t>jeminise.com+christmas-bedding-quilt-soft-microfiber-holiday-bedsprea-design-08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IF(B33="I1",AVERAGEIF('QA_Images'!$A$2:$A$51,A33,'QA_Images'!$T$2:$T$51)/100,IF(D33="FULL",1,IF(D33="PARTIAL",0.5,IF(D33="FAIL",0,""))))</f>
        <v/>
      </c>
      <c r="F33" s="7">
        <f>IF(E33="",0,C33*E33)</f>
        <v/>
      </c>
      <c r="G33" s="7">
        <f>IF(B33="I1",20*AVERAGEIF('QA_Images'!$A$2:$A$51,A33,'QA_Images'!$U$2:$U$51)/100,IF(D33="NOT_CHECKED",0,C33))</f>
        <v/>
      </c>
      <c r="H33" s="3" t="inlineStr">
        <is>
          <t>Derived from directly checked r4 media records: 100.0/100.</t>
        </is>
      </c>
      <c r="I33" s="3" t="inlineStr">
        <is>
          <t>["evidence_batch_003_023", "https://jeminise.com/products/christmas-bedding-quilt-soft-microfiber-holiday-bedsprea-design-08", "serp_qa_023"]</t>
        </is>
      </c>
      <c r="J33" s="3" t="inlineStr">
        <is>
          <t>["R4-ISS-023-ENC"]</t>
        </is>
      </c>
      <c r="K33" s="3" t="inlineStr">
        <is>
          <t>r4</t>
        </is>
      </c>
    </row>
    <row r="34" ht="42" customHeight="1">
      <c r="A34" s="2" t="inlineStr">
        <is>
          <t>jeminise.com+christmas-bedding-quilt-soft-microfiber-holiday-bedsprea-design-08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IF(B34="I1",AVERAGEIF('QA_Images'!$A$2:$A$51,A34,'QA_Images'!$T$2:$T$51)/100,IF(D34="FULL",1,IF(D34="PARTIAL",0.5,IF(D34="FAIL",0,""))))</f>
        <v/>
      </c>
      <c r="F34" s="5">
        <f>IF(E34="",0,C34*E34)</f>
        <v/>
      </c>
      <c r="G34" s="5">
        <f>IF(B34="I1",20*AVERAGEIF('QA_Images'!$A$2:$A$51,A34,'QA_Images'!$U$2:$U$51)/100,IF(D34="NOT_CHECKED",0,C34))</f>
        <v/>
      </c>
      <c r="H34" s="2" t="inlineStr">
        <is>
          <t>Kiểm tra liên kết product key/handle/evidence/revision giữa workbook, snapshot và nguồn live.</t>
        </is>
      </c>
      <c r="I34" s="2" t="inlineStr">
        <is>
          <t>["evidence_batch_003_023", "https://jeminise.com/products/christmas-bedding-quilt-soft-microfiber-holiday-bedsprea-design-08", "serp_qa_023"]</t>
        </is>
      </c>
      <c r="J34" s="2" t="inlineStr">
        <is>
          <t>["R4-ISS-023-ENC"]</t>
        </is>
      </c>
      <c r="K34" s="2" t="inlineStr">
        <is>
          <t>r4</t>
        </is>
      </c>
    </row>
    <row r="35" ht="42" customHeight="1">
      <c r="A35" s="3" t="inlineStr">
        <is>
          <t>jeminise.com+christmas-bedding-quilt-soft-microfiber-holiday-bedsprea-design-09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IF(B35="I1",AVERAGEIF('QA_Images'!$A$2:$A$51,A35,'QA_Images'!$T$2:$T$51)/100,IF(D35="FULL",1,IF(D35="PARTIAL",0.5,IF(D35="FAIL",0,""))))</f>
        <v/>
      </c>
      <c r="F35" s="7">
        <f>IF(E35="",0,C35*E35)</f>
        <v/>
      </c>
      <c r="G35" s="7">
        <f>IF(B35="I1",20*AVERAGEIF('QA_Images'!$A$2:$A$51,A35,'QA_Images'!$U$2:$U$51)/100,IF(D35="NOT_CHECKED",0,C35))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["evidence_batch_003_024", "https://jeminise.com/products/christmas-bedding-quilt-soft-microfiber-holiday-bedsprea-design-09", "serp_qa_024"]</t>
        </is>
      </c>
      <c r="J35" s="3" t="inlineStr">
        <is>
          <t>["R4-ISS-024-ENC"]</t>
        </is>
      </c>
      <c r="K35" s="3" t="inlineStr">
        <is>
          <t>r4</t>
        </is>
      </c>
    </row>
    <row r="36" ht="42" customHeight="1">
      <c r="A36" s="2" t="inlineStr">
        <is>
          <t>jeminise.com+christmas-bedding-quilt-soft-microfiber-holiday-bedsprea-design-09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IF(B36="I1",AVERAGEIF('QA_Images'!$A$2:$A$51,A36,'QA_Images'!$T$2:$T$51)/100,IF(D36="FULL",1,IF(D36="PARTIAL",0.5,IF(D36="FAIL",0,""))))</f>
        <v/>
      </c>
      <c r="F36" s="5">
        <f>IF(E36="",0,C36*E36)</f>
        <v/>
      </c>
      <c r="G36" s="5">
        <f>IF(B36="I1",20*AVERAGEIF('QA_Images'!$A$2:$A$51,A36,'QA_Images'!$U$2:$U$51)/100,IF(D36="NOT_CHECKED",0,C36))</f>
        <v/>
      </c>
      <c r="H36" s="2" t="inlineStr">
        <is>
          <t>Đối chiếu material, dimensions, components, variants và personalization với product.js live, body HTML và gallery.</t>
        </is>
      </c>
      <c r="I36" s="2" t="inlineStr">
        <is>
          <t>["evidence_batch_003_024", "https://jeminise.com/products/christmas-bedding-quilt-soft-microfiber-holiday-bedsprea-design-09", "serp_qa_024"]</t>
        </is>
      </c>
      <c r="J36" s="2" t="inlineStr">
        <is>
          <t>["R4-ISS-024-ENC"]</t>
        </is>
      </c>
      <c r="K36" s="2" t="inlineStr">
        <is>
          <t>r4</t>
        </is>
      </c>
    </row>
    <row r="37" ht="42" customHeight="1">
      <c r="A37" s="3" t="inlineStr">
        <is>
          <t>jeminise.com+christmas-bedding-quilt-soft-microfiber-holiday-bedsprea-design-09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IF(B37="I1",AVERAGEIF('QA_Images'!$A$2:$A$51,A37,'QA_Images'!$T$2:$T$51)/100,IF(D37="FULL",1,IF(D37="PARTIAL",0.5,IF(D37="FAIL",0,""))))</f>
        <v/>
      </c>
      <c r="F37" s="7">
        <f>IF(E37="",0,C37*E37)</f>
        <v/>
      </c>
      <c r="G37" s="7">
        <f>IF(B37="I1",20*AVERAGEIF('QA_Images'!$A$2:$A$51,A37,'QA_Images'!$U$2:$U$51)/100,IF(D37="NOT_CHECKED",0,C37))</f>
        <v/>
      </c>
      <c r="H37" s="3" t="inlineStr">
        <is>
          <t>Đối chiếu long-tail với thiết kế trực tiếp nhìn thấy và nguy cơ trùng intent trong cụm Christmas/cardinal.</t>
        </is>
      </c>
      <c r="I37" s="3" t="inlineStr">
        <is>
          <t>["evidence_batch_003_024", "https://jeminise.com/products/christmas-bedding-quilt-soft-microfiber-holiday-bedsprea-design-09", "serp_qa_024"]</t>
        </is>
      </c>
      <c r="J37" s="3" t="inlineStr">
        <is>
          <t>["R4-ISS-024-ENC"]</t>
        </is>
      </c>
      <c r="K37" s="3" t="inlineStr">
        <is>
          <t>r4</t>
        </is>
      </c>
    </row>
    <row r="38" ht="42" customHeight="1">
      <c r="A38" s="2" t="inlineStr">
        <is>
          <t>jeminise.com+christmas-bedding-quilt-soft-microfiber-holiday-bedsprea-design-09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IF(B38="I1",AVERAGEIF('QA_Images'!$A$2:$A$51,A38,'QA_Images'!$T$2:$T$51)/100,IF(D38="FULL",1,IF(D38="PARTIAL",0.5,IF(D38="FAIL",0,""))))</f>
        <v/>
      </c>
      <c r="F38" s="5">
        <f>IF(E38="",0,C38*E38)</f>
        <v/>
      </c>
      <c r="G38" s="5">
        <f>IF(B38="I1",20*AVERAGEIF('QA_Images'!$A$2:$A$51,A38,'QA_Images'!$U$2:$U$51)/100,IF(D38="NOT_CHECKED",0,C38))</f>
        <v/>
      </c>
      <c r="H38" s="2" t="inlineStr">
        <is>
          <t>Đã đọc lại primary và comparator SERP theo US intent; đánh giá product/kit/pattern result type.</t>
        </is>
      </c>
      <c r="I38" s="2" t="inlineStr">
        <is>
          <t>["evidence_batch_003_024", "https://jeminise.com/products/christmas-bedding-quilt-soft-microfiber-holiday-bedsprea-design-09", "serp_qa_024"]</t>
        </is>
      </c>
      <c r="J38" s="2" t="inlineStr">
        <is>
          <t>["R4-ISS-024-ENC"]</t>
        </is>
      </c>
      <c r="K38" s="2" t="inlineStr">
        <is>
          <t>r4</t>
        </is>
      </c>
    </row>
    <row r="39" ht="42" customHeight="1">
      <c r="A39" s="3" t="inlineStr">
        <is>
          <t>jeminise.com+christmas-bedding-quilt-soft-microfiber-holiday-bedsprea-design-09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IF(B39="I1",AVERAGEIF('QA_Images'!$A$2:$A$51,A39,'QA_Images'!$T$2:$T$51)/100,IF(D39="FULL",1,IF(D39="PARTIAL",0.5,IF(D39="FAIL",0,""))))</f>
        <v/>
      </c>
      <c r="F39" s="7">
        <f>IF(E39="",0,C39*E39)</f>
        <v/>
      </c>
      <c r="G39" s="7">
        <f>IF(B39="I1",20*AVERAGEIF('QA_Images'!$A$2:$A$51,A39,'QA_Images'!$U$2:$U$51)/100,IF(D39="NOT_CHECKED",0,C39))</f>
        <v/>
      </c>
      <c r="H39" s="3" t="inlineStr">
        <is>
          <t>Không suy diễn volume; phân biệt SERP_ONLY và HYPOTHESIS_ONLY.</t>
        </is>
      </c>
      <c r="I39" s="3" t="inlineStr">
        <is>
          <t>["evidence_batch_003_024", "https://jeminise.com/products/christmas-bedding-quilt-soft-microfiber-holiday-bedsprea-design-09", "serp_qa_024"]</t>
        </is>
      </c>
      <c r="J39" s="3" t="inlineStr">
        <is>
          <t>["R4-ISS-024-ENC"]</t>
        </is>
      </c>
      <c r="K39" s="3" t="inlineStr">
        <is>
          <t>r4</t>
        </is>
      </c>
    </row>
    <row r="40" ht="42" customHeight="1">
      <c r="A40" s="2" t="inlineStr">
        <is>
          <t>jeminise.com+christmas-bedding-quilt-soft-microfiber-holiday-bedsprea-design-09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IF(B40="I1",AVERAGEIF('QA_Images'!$A$2:$A$51,A40,'QA_Images'!$T$2:$T$51)/100,IF(D40="FULL",1,IF(D40="PARTIAL",0.5,IF(D40="FAIL",0,""))))</f>
        <v/>
      </c>
      <c r="F40" s="5">
        <f>IF(E40="",0,C40*E40)</f>
        <v/>
      </c>
      <c r="G40" s="5">
        <f>IF(B40="I1",20*AVERAGEIF('QA_Images'!$A$2:$A$51,A40,'QA_Images'!$U$2:$U$51)/100,IF(D40="NOT_CHECKED",0,C40))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["evidence_batch_003_024", "https://jeminise.com/products/christmas-bedding-quilt-soft-microfiber-holiday-bedsprea-design-09", "serp_qa_024"]</t>
        </is>
      </c>
      <c r="J40" s="2" t="inlineStr">
        <is>
          <t>["R4-ISS-024-ENC"]</t>
        </is>
      </c>
      <c r="K40" s="2" t="inlineStr">
        <is>
          <t>r4</t>
        </is>
      </c>
    </row>
    <row r="41" ht="42" customHeight="1">
      <c r="A41" s="3" t="inlineStr">
        <is>
          <t>jeminise.com+christmas-bedding-quilt-soft-microfiber-holiday-bedsprea-design-09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IF(B41="I1",AVERAGEIF('QA_Images'!$A$2:$A$51,A41,'QA_Images'!$T$2:$T$51)/100,IF(D41="FULL",1,IF(D41="PARTIAL",0.5,IF(D41="FAIL",0,""))))</f>
        <v/>
      </c>
      <c r="F41" s="7">
        <f>IF(E41="",0,C41*E41)</f>
        <v/>
      </c>
      <c r="G41" s="7">
        <f>IF(B41="I1",20*AVERAGEIF('QA_Images'!$A$2:$A$51,A41,'QA_Images'!$U$2:$U$51)/100,IF(D41="NOT_CHECKED",0,C41))</f>
        <v/>
      </c>
      <c r="H41" s="3" t="inlineStr">
        <is>
          <t>Đánh giá H1 đề xuất độc lập với SEO title và đối chiếu lỗi ký tự nguồn.</t>
        </is>
      </c>
      <c r="I41" s="3" t="inlineStr">
        <is>
          <t>["evidence_batch_003_024", "https://jeminise.com/products/christmas-bedding-quilt-soft-microfiber-holiday-bedsprea-design-09", "serp_qa_024"]</t>
        </is>
      </c>
      <c r="J41" s="3" t="inlineStr">
        <is>
          <t>["R4-ISS-024-ENC"]</t>
        </is>
      </c>
      <c r="K41" s="3" t="inlineStr">
        <is>
          <t>r4</t>
        </is>
      </c>
    </row>
    <row r="42" ht="42" customHeight="1">
      <c r="A42" s="2" t="inlineStr">
        <is>
          <t>jeminise.com+christmas-bedding-quilt-soft-microfiber-holiday-bedsprea-design-09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IF(B42="I1",AVERAGEIF('QA_Images'!$A$2:$A$51,A42,'QA_Images'!$T$2:$T$51)/100,IF(D42="FULL",1,IF(D42="PARTIAL",0.5,IF(D42="FAIL",0,""))))</f>
        <v/>
      </c>
      <c r="F42" s="5">
        <f>IF(E42="",0,C42*E42)</f>
        <v/>
      </c>
      <c r="G42" s="5">
        <f>IF(B42="I1",20*AVERAGEIF('QA_Images'!$A$2:$A$51,A42,'QA_Images'!$U$2:$U$51)/100,IF(D42="NOT_CHECKED",0,C42))</f>
        <v/>
      </c>
      <c r="H42" s="2" t="inlineStr">
        <is>
          <t>Đánh giá meta description về tính cụ thể và căn cứ claim.</t>
        </is>
      </c>
      <c r="I42" s="2" t="inlineStr">
        <is>
          <t>["evidence_batch_003_024", "https://jeminise.com/products/christmas-bedding-quilt-soft-microfiber-holiday-bedsprea-design-09", "serp_qa_024"]</t>
        </is>
      </c>
      <c r="J42" s="2" t="inlineStr">
        <is>
          <t>["R4-ISS-024-ENC"]</t>
        </is>
      </c>
      <c r="K42" s="2" t="inlineStr">
        <is>
          <t>r4</t>
        </is>
      </c>
    </row>
    <row r="43" ht="42" customHeight="1">
      <c r="A43" s="3" t="inlineStr">
        <is>
          <t>jeminise.com+christmas-bedding-quilt-soft-microfiber-holiday-bedsprea-design-09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IF(B43="I1",AVERAGEIF('QA_Images'!$A$2:$A$51,A43,'QA_Images'!$T$2:$T$51)/100,IF(D43="FULL",1,IF(D43="PARTIAL",0.5,IF(D43="FAIL",0,""))))</f>
        <v/>
      </c>
      <c r="F43" s="7">
        <f>IF(E43="",0,C43*E43)</f>
        <v/>
      </c>
      <c r="G43" s="7">
        <f>IF(B43="I1",20*AVERAGEIF('QA_Images'!$A$2:$A$51,A43,'QA_Images'!$U$2:$U$51)/100,IF(D43="NOT_CHECKED",0,C43))</f>
        <v/>
      </c>
      <c r="H43" s="3" t="inlineStr">
        <is>
          <t>Description SET có HTML đầy đủ nhưng chứa câu nội bộ 'This draft should be reviewed...' và dữ liệu nguồn thô/mâu thuẫn; chưa phải nội dung publish-ready.</t>
        </is>
      </c>
      <c r="I43" s="3" t="inlineStr">
        <is>
          <t>["evidence_batch_003_024", "https://jeminise.com/products/christmas-bedding-quilt-soft-microfiber-holiday-bedsprea-design-09", "serp_qa_024"]</t>
        </is>
      </c>
      <c r="J43" s="3" t="inlineStr">
        <is>
          <t>["R4-ISS-024-ENC"]</t>
        </is>
      </c>
      <c r="K43" s="3" t="inlineStr">
        <is>
          <t>r4</t>
        </is>
      </c>
    </row>
    <row r="44" ht="42" customHeight="1">
      <c r="A44" s="2" t="inlineStr">
        <is>
          <t>jeminise.com+christmas-bedding-quilt-soft-microfiber-holiday-bedsprea-design-09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IF(B44="I1",AVERAGEIF('QA_Images'!$A$2:$A$51,A44,'QA_Images'!$T$2:$T$51)/100,IF(D44="FULL",1,IF(D44="PARTIAL",0.5,IF(D44="FAIL",0,""))))</f>
        <v/>
      </c>
      <c r="F44" s="5">
        <f>IF(E44="",0,C44*E44)</f>
        <v/>
      </c>
      <c r="G44" s="5">
        <f>IF(B44="I1",20*AVERAGEIF('QA_Images'!$A$2:$A$51,A44,'QA_Images'!$U$2:$U$51)/100,IF(D44="NOT_CHECKED",0,C44))</f>
        <v/>
      </c>
      <c r="H44" s="2" t="inlineStr">
        <is>
          <t>Derived from directly checked r4 media records: 100.0/100.</t>
        </is>
      </c>
      <c r="I44" s="2" t="inlineStr">
        <is>
          <t>["evidence_batch_003_024", "https://jeminise.com/products/christmas-bedding-quilt-soft-microfiber-holiday-bedsprea-design-09", "serp_qa_024"]</t>
        </is>
      </c>
      <c r="J44" s="2" t="inlineStr">
        <is>
          <t>["R4-ISS-024-ENC"]</t>
        </is>
      </c>
      <c r="K44" s="2" t="inlineStr">
        <is>
          <t>r4</t>
        </is>
      </c>
    </row>
    <row r="45" ht="42" customHeight="1">
      <c r="A45" s="3" t="inlineStr">
        <is>
          <t>jeminise.com+christmas-bedding-quilt-soft-microfiber-holiday-bedsprea-design-09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IF(B45="I1",AVERAGEIF('QA_Images'!$A$2:$A$51,A45,'QA_Images'!$T$2:$T$51)/100,IF(D45="FULL",1,IF(D45="PARTIAL",0.5,IF(D45="FAIL",0,""))))</f>
        <v/>
      </c>
      <c r="F45" s="7">
        <f>IF(E45="",0,C45*E45)</f>
        <v/>
      </c>
      <c r="G45" s="7">
        <f>IF(B45="I1",20*AVERAGEIF('QA_Images'!$A$2:$A$51,A45,'QA_Images'!$U$2:$U$51)/100,IF(D45="NOT_CHECKED",0,C45))</f>
        <v/>
      </c>
      <c r="H45" s="3" t="inlineStr">
        <is>
          <t>Kiểm tra liên kết product key/handle/evidence/revision giữa workbook, snapshot và nguồn live.</t>
        </is>
      </c>
      <c r="I45" s="3" t="inlineStr">
        <is>
          <t>["evidence_batch_003_024", "https://jeminise.com/products/christmas-bedding-quilt-soft-microfiber-holiday-bedsprea-design-09", "serp_qa_024"]</t>
        </is>
      </c>
      <c r="J45" s="3" t="inlineStr">
        <is>
          <t>["R4-ISS-024-ENC"]</t>
        </is>
      </c>
      <c r="K45" s="3" t="inlineStr">
        <is>
          <t>r4</t>
        </is>
      </c>
    </row>
    <row r="46" ht="42" customHeight="1">
      <c r="A46" s="2" t="inlineStr">
        <is>
          <t>jeminise.com+christmas-bedding-quilt-soft-microfiber-holiday-bedsprea-design-10</t>
        </is>
      </c>
      <c r="B46" s="2" t="inlineStr">
        <is>
          <t>P1</t>
        </is>
      </c>
      <c r="C46" s="2" t="n">
        <v>15</v>
      </c>
      <c r="D46" s="2" t="inlineStr">
        <is>
          <t>FAIL</t>
        </is>
      </c>
      <c r="E46" s="5">
        <f>IF(B46="I1",AVERAGEIF('QA_Images'!$A$2:$A$51,A46,'QA_Images'!$T$2:$T$51)/100,IF(D46="FULL",1,IF(D46="PARTIAL",0.5,IF(D46="FAIL",0,""))))</f>
        <v/>
      </c>
      <c r="F46" s="5">
        <f>IF(E46="",0,C46*E46)</f>
        <v/>
      </c>
      <c r="G46" s="5">
        <f>IF(B46="I1",20*AVERAGEIF('QA_Images'!$A$2:$A$51,A46,'QA_Images'!$U$2:$U$51)/100,IF(D46="NOT_CHECKED",0,C46))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["evidence_batch_003_025", "https://jeminise.com/products/christmas-bedding-quilt-soft-microfiber-holiday-bedsprea-design-10", "serp_qa_025"]</t>
        </is>
      </c>
      <c r="J46" s="2" t="inlineStr">
        <is>
          <t>["R4-ISS-025-ENC"]</t>
        </is>
      </c>
      <c r="K46" s="2" t="inlineStr">
        <is>
          <t>r4</t>
        </is>
      </c>
    </row>
    <row r="47" ht="42" customHeight="1">
      <c r="A47" s="3" t="inlineStr">
        <is>
          <t>jeminise.com+christmas-bedding-quilt-soft-microfiber-holiday-bedsprea-design-10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IF(B47="I1",AVERAGEIF('QA_Images'!$A$2:$A$51,A47,'QA_Images'!$T$2:$T$51)/100,IF(D47="FULL",1,IF(D47="PARTIAL",0.5,IF(D47="FAIL",0,""))))</f>
        <v/>
      </c>
      <c r="F47" s="7">
        <f>IF(E47="",0,C47*E47)</f>
        <v/>
      </c>
      <c r="G47" s="7">
        <f>IF(B47="I1",20*AVERAGEIF('QA_Images'!$A$2:$A$51,A47,'QA_Images'!$U$2:$U$51)/100,IF(D47="NOT_CHECKED",0,C47))</f>
        <v/>
      </c>
      <c r="H47" s="3" t="inlineStr">
        <is>
          <t>Đối chiếu material, dimensions, components, variants và personalization với product.js live, body HTML và gallery.</t>
        </is>
      </c>
      <c r="I47" s="3" t="inlineStr">
        <is>
          <t>["evidence_batch_003_025", "https://jeminise.com/products/christmas-bedding-quilt-soft-microfiber-holiday-bedsprea-design-10", "serp_qa_025"]</t>
        </is>
      </c>
      <c r="J47" s="3" t="inlineStr">
        <is>
          <t>["R4-ISS-025-ENC"]</t>
        </is>
      </c>
      <c r="K47" s="3" t="inlineStr">
        <is>
          <t>r4</t>
        </is>
      </c>
    </row>
    <row r="48" ht="42" customHeight="1">
      <c r="A48" s="2" t="inlineStr">
        <is>
          <t>jeminise.com+christmas-bedding-quilt-soft-microfiber-holiday-bedsprea-design-10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IF(B48="I1",AVERAGEIF('QA_Images'!$A$2:$A$51,A48,'QA_Images'!$T$2:$T$51)/100,IF(D48="FULL",1,IF(D48="PARTIAL",0.5,IF(D48="FAIL",0,""))))</f>
        <v/>
      </c>
      <c r="F48" s="5">
        <f>IF(E48="",0,C48*E48)</f>
        <v/>
      </c>
      <c r="G48" s="5">
        <f>IF(B48="I1",20*AVERAGEIF('QA_Images'!$A$2:$A$51,A48,'QA_Images'!$U$2:$U$51)/100,IF(D48="NOT_CHECKED",0,C48))</f>
        <v/>
      </c>
      <c r="H48" s="2" t="inlineStr">
        <is>
          <t>Đối chiếu long-tail với thiết kế trực tiếp nhìn thấy và nguy cơ trùng intent trong cụm Christmas/cardinal.</t>
        </is>
      </c>
      <c r="I48" s="2" t="inlineStr">
        <is>
          <t>["evidence_batch_003_025", "https://jeminise.com/products/christmas-bedding-quilt-soft-microfiber-holiday-bedsprea-design-10", "serp_qa_025"]</t>
        </is>
      </c>
      <c r="J48" s="2" t="inlineStr">
        <is>
          <t>["R4-ISS-025-ENC"]</t>
        </is>
      </c>
      <c r="K48" s="2" t="inlineStr">
        <is>
          <t>r4</t>
        </is>
      </c>
    </row>
    <row r="49" ht="42" customHeight="1">
      <c r="A49" s="3" t="inlineStr">
        <is>
          <t>jeminise.com+christmas-bedding-quilt-soft-microfiber-holiday-bedsprea-design-10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IF(B49="I1",AVERAGEIF('QA_Images'!$A$2:$A$51,A49,'QA_Images'!$T$2:$T$51)/100,IF(D49="FULL",1,IF(D49="PARTIAL",0.5,IF(D49="FAIL",0,""))))</f>
        <v/>
      </c>
      <c r="F49" s="7">
        <f>IF(E49="",0,C49*E49)</f>
        <v/>
      </c>
      <c r="G49" s="7">
        <f>IF(B49="I1",20*AVERAGEIF('QA_Images'!$A$2:$A$51,A49,'QA_Images'!$U$2:$U$51)/100,IF(D49="NOT_CHECKED",0,C49))</f>
        <v/>
      </c>
      <c r="H49" s="3" t="inlineStr">
        <is>
          <t>Đã đọc lại primary và comparator SERP theo US intent; đánh giá product/kit/pattern result type.</t>
        </is>
      </c>
      <c r="I49" s="3" t="inlineStr">
        <is>
          <t>["evidence_batch_003_025", "https://jeminise.com/products/christmas-bedding-quilt-soft-microfiber-holiday-bedsprea-design-10", "serp_qa_025"]</t>
        </is>
      </c>
      <c r="J49" s="3" t="inlineStr">
        <is>
          <t>["R4-ISS-025-ENC"]</t>
        </is>
      </c>
      <c r="K49" s="3" t="inlineStr">
        <is>
          <t>r4</t>
        </is>
      </c>
    </row>
    <row r="50" ht="42" customHeight="1">
      <c r="A50" s="2" t="inlineStr">
        <is>
          <t>jeminise.com+christmas-bedding-quilt-soft-microfiber-holiday-bedsprea-design-10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IF(B50="I1",AVERAGEIF('QA_Images'!$A$2:$A$51,A50,'QA_Images'!$T$2:$T$51)/100,IF(D50="FULL",1,IF(D50="PARTIAL",0.5,IF(D50="FAIL",0,""))))</f>
        <v/>
      </c>
      <c r="F50" s="5">
        <f>IF(E50="",0,C50*E50)</f>
        <v/>
      </c>
      <c r="G50" s="5">
        <f>IF(B50="I1",20*AVERAGEIF('QA_Images'!$A$2:$A$51,A50,'QA_Images'!$U$2:$U$51)/100,IF(D50="NOT_CHECKED",0,C50))</f>
        <v/>
      </c>
      <c r="H50" s="2" t="inlineStr">
        <is>
          <t>Không suy diễn volume; phân biệt SERP_ONLY và HYPOTHESIS_ONLY.</t>
        </is>
      </c>
      <c r="I50" s="2" t="inlineStr">
        <is>
          <t>["evidence_batch_003_025", "https://jeminise.com/products/christmas-bedding-quilt-soft-microfiber-holiday-bedsprea-design-10", "serp_qa_025"]</t>
        </is>
      </c>
      <c r="J50" s="2" t="inlineStr">
        <is>
          <t>["R4-ISS-025-ENC"]</t>
        </is>
      </c>
      <c r="K50" s="2" t="inlineStr">
        <is>
          <t>r4</t>
        </is>
      </c>
    </row>
    <row r="51" ht="42" customHeight="1">
      <c r="A51" s="3" t="inlineStr">
        <is>
          <t>jeminise.com+christmas-bedding-quilt-soft-microfiber-holiday-bedsprea-design-10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IF(B51="I1",AVERAGEIF('QA_Images'!$A$2:$A$51,A51,'QA_Images'!$T$2:$T$51)/100,IF(D51="FULL",1,IF(D51="PARTIAL",0.5,IF(D51="FAIL",0,""))))</f>
        <v/>
      </c>
      <c r="F51" s="7">
        <f>IF(E51="",0,C51*E51)</f>
        <v/>
      </c>
      <c r="G51" s="7">
        <f>IF(B51="I1",20*AVERAGEIF('QA_Images'!$A$2:$A$51,A51,'QA_Images'!$U$2:$U$51)/100,IF(D51="NOT_CHECKED",0,C51))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["evidence_batch_003_025", "https://jeminise.com/products/christmas-bedding-quilt-soft-microfiber-holiday-bedsprea-design-10", "serp_qa_025"]</t>
        </is>
      </c>
      <c r="J51" s="3" t="inlineStr">
        <is>
          <t>["R4-ISS-025-ENC"]</t>
        </is>
      </c>
      <c r="K51" s="3" t="inlineStr">
        <is>
          <t>r4</t>
        </is>
      </c>
    </row>
    <row r="52" ht="42" customHeight="1">
      <c r="A52" s="2" t="inlineStr">
        <is>
          <t>jeminise.com+christmas-bedding-quilt-soft-microfiber-holiday-bedsprea-design-10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IF(B52="I1",AVERAGEIF('QA_Images'!$A$2:$A$51,A52,'QA_Images'!$T$2:$T$51)/100,IF(D52="FULL",1,IF(D52="PARTIAL",0.5,IF(D52="FAIL",0,""))))</f>
        <v/>
      </c>
      <c r="F52" s="5">
        <f>IF(E52="",0,C52*E52)</f>
        <v/>
      </c>
      <c r="G52" s="5">
        <f>IF(B52="I1",20*AVERAGEIF('QA_Images'!$A$2:$A$51,A52,'QA_Images'!$U$2:$U$51)/100,IF(D52="NOT_CHECKED",0,C52))</f>
        <v/>
      </c>
      <c r="H52" s="2" t="inlineStr">
        <is>
          <t>Đánh giá H1 đề xuất độc lập với SEO title và đối chiếu lỗi ký tự nguồn.</t>
        </is>
      </c>
      <c r="I52" s="2" t="inlineStr">
        <is>
          <t>["evidence_batch_003_025", "https://jeminise.com/products/christmas-bedding-quilt-soft-microfiber-holiday-bedsprea-design-10", "serp_qa_025"]</t>
        </is>
      </c>
      <c r="J52" s="2" t="inlineStr">
        <is>
          <t>["R4-ISS-025-ENC"]</t>
        </is>
      </c>
      <c r="K52" s="2" t="inlineStr">
        <is>
          <t>r4</t>
        </is>
      </c>
    </row>
    <row r="53" ht="42" customHeight="1">
      <c r="A53" s="3" t="inlineStr">
        <is>
          <t>jeminise.com+christmas-bedding-quilt-soft-microfiber-holiday-bedsprea-design-10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IF(B53="I1",AVERAGEIF('QA_Images'!$A$2:$A$51,A53,'QA_Images'!$T$2:$T$51)/100,IF(D53="FULL",1,IF(D53="PARTIAL",0.5,IF(D53="FAIL",0,""))))</f>
        <v/>
      </c>
      <c r="F53" s="7">
        <f>IF(E53="",0,C53*E53)</f>
        <v/>
      </c>
      <c r="G53" s="7">
        <f>IF(B53="I1",20*AVERAGEIF('QA_Images'!$A$2:$A$51,A53,'QA_Images'!$U$2:$U$51)/100,IF(D53="NOT_CHECKED",0,C53))</f>
        <v/>
      </c>
      <c r="H53" s="3" t="inlineStr">
        <is>
          <t>Đánh giá meta description về tính cụ thể và căn cứ claim.</t>
        </is>
      </c>
      <c r="I53" s="3" t="inlineStr">
        <is>
          <t>["evidence_batch_003_025", "https://jeminise.com/products/christmas-bedding-quilt-soft-microfiber-holiday-bedsprea-design-10", "serp_qa_025"]</t>
        </is>
      </c>
      <c r="J53" s="3" t="inlineStr">
        <is>
          <t>["R4-ISS-025-ENC"]</t>
        </is>
      </c>
      <c r="K53" s="3" t="inlineStr">
        <is>
          <t>r4</t>
        </is>
      </c>
    </row>
    <row r="54" ht="42" customHeight="1">
      <c r="A54" s="2" t="inlineStr">
        <is>
          <t>jeminise.com+christmas-bedding-quilt-soft-microfiber-holiday-bedsprea-design-10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IF(B54="I1",AVERAGEIF('QA_Images'!$A$2:$A$51,A54,'QA_Images'!$T$2:$T$51)/100,IF(D54="FULL",1,IF(D54="PARTIAL",0.5,IF(D54="FAIL",0,""))))</f>
        <v/>
      </c>
      <c r="F54" s="5">
        <f>IF(E54="",0,C54*E54)</f>
        <v/>
      </c>
      <c r="G54" s="5">
        <f>IF(B54="I1",20*AVERAGEIF('QA_Images'!$A$2:$A$51,A54,'QA_Images'!$U$2:$U$51)/100,IF(D54="NOT_CHECKED",0,C54))</f>
        <v/>
      </c>
      <c r="H54" s="2" t="inlineStr">
        <is>
          <t>Description SET có HTML đầy đủ nhưng chứa câu nội bộ 'This draft should be reviewed...' và dữ liệu nguồn thô/mâu thuẫn; chưa phải nội dung publish-ready.</t>
        </is>
      </c>
      <c r="I54" s="2" t="inlineStr">
        <is>
          <t>["evidence_batch_003_025", "https://jeminise.com/products/christmas-bedding-quilt-soft-microfiber-holiday-bedsprea-design-10", "serp_qa_025"]</t>
        </is>
      </c>
      <c r="J54" s="2" t="inlineStr">
        <is>
          <t>["R4-ISS-025-ENC"]</t>
        </is>
      </c>
      <c r="K54" s="2" t="inlineStr">
        <is>
          <t>r4</t>
        </is>
      </c>
    </row>
    <row r="55" ht="42" customHeight="1">
      <c r="A55" s="3" t="inlineStr">
        <is>
          <t>jeminise.com+christmas-bedding-quilt-soft-microfiber-holiday-bedsprea-design-10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IF(B55="I1",AVERAGEIF('QA_Images'!$A$2:$A$51,A55,'QA_Images'!$T$2:$T$51)/100,IF(D55="FULL",1,IF(D55="PARTIAL",0.5,IF(D55="FAIL",0,""))))</f>
        <v/>
      </c>
      <c r="F55" s="7">
        <f>IF(E55="",0,C55*E55)</f>
        <v/>
      </c>
      <c r="G55" s="7">
        <f>IF(B55="I1",20*AVERAGEIF('QA_Images'!$A$2:$A$51,A55,'QA_Images'!$U$2:$U$51)/100,IF(D55="NOT_CHECKED",0,C55))</f>
        <v/>
      </c>
      <c r="H55" s="3" t="inlineStr">
        <is>
          <t>Derived from directly checked r4 media records: 100.0/100.</t>
        </is>
      </c>
      <c r="I55" s="3" t="inlineStr">
        <is>
          <t>["evidence_batch_003_025", "https://jeminise.com/products/christmas-bedding-quilt-soft-microfiber-holiday-bedsprea-design-10", "serp_qa_025"]</t>
        </is>
      </c>
      <c r="J55" s="3" t="inlineStr">
        <is>
          <t>["R4-ISS-025-ENC"]</t>
        </is>
      </c>
      <c r="K55" s="3" t="inlineStr">
        <is>
          <t>r4</t>
        </is>
      </c>
    </row>
    <row r="56" ht="42" customHeight="1">
      <c r="A56" s="2" t="inlineStr">
        <is>
          <t>jeminise.com+christmas-bedding-quilt-soft-microfiber-holiday-bedsprea-design-10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IF(B56="I1",AVERAGEIF('QA_Images'!$A$2:$A$51,A56,'QA_Images'!$T$2:$T$51)/100,IF(D56="FULL",1,IF(D56="PARTIAL",0.5,IF(D56="FAIL",0,""))))</f>
        <v/>
      </c>
      <c r="F56" s="5">
        <f>IF(E56="",0,C56*E56)</f>
        <v/>
      </c>
      <c r="G56" s="5">
        <f>IF(B56="I1",20*AVERAGEIF('QA_Images'!$A$2:$A$51,A56,'QA_Images'!$U$2:$U$51)/100,IF(D56="NOT_CHECKED",0,C56))</f>
        <v/>
      </c>
      <c r="H56" s="2" t="inlineStr">
        <is>
          <t>Kiểm tra liên kết product key/handle/evidence/revision giữa workbook, snapshot và nguồn live.</t>
        </is>
      </c>
      <c r="I56" s="2" t="inlineStr">
        <is>
          <t>["evidence_batch_003_025", "https://jeminise.com/products/christmas-bedding-quilt-soft-microfiber-holiday-bedsprea-design-10", "serp_qa_025"]</t>
        </is>
      </c>
      <c r="J56" s="2" t="inlineStr">
        <is>
          <t>["R4-ISS-025-ENC"]</t>
        </is>
      </c>
      <c r="K56" s="2" t="inlineStr">
        <is>
          <t>r4</t>
        </is>
      </c>
    </row>
    <row r="57" ht="42" customHeight="1">
      <c r="A57" s="3" t="inlineStr">
        <is>
          <t>jeminise.com+christmas-bedding-quilt-soft-microfiber-holiday-bedsprea-design-11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IF(B57="I1",AVERAGEIF('QA_Images'!$A$2:$A$51,A57,'QA_Images'!$T$2:$T$51)/100,IF(D57="FULL",1,IF(D57="PARTIAL",0.5,IF(D57="FAIL",0,""))))</f>
        <v/>
      </c>
      <c r="F57" s="7">
        <f>IF(E57="",0,C57*E57)</f>
        <v/>
      </c>
      <c r="G57" s="7">
        <f>IF(B57="I1",20*AVERAGEIF('QA_Images'!$A$2:$A$51,A57,'QA_Images'!$U$2:$U$51)/100,IF(D57="NOT_CHECKED",0,C57))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["evidence_batch_003_026", "https://jeminise.com/products/christmas-bedding-quilt-soft-microfiber-holiday-bedsprea-design-11", "serp_qa_026"]</t>
        </is>
      </c>
      <c r="J57" s="3" t="inlineStr">
        <is>
          <t>["R4-ISS-026-ENC"]</t>
        </is>
      </c>
      <c r="K57" s="3" t="inlineStr">
        <is>
          <t>r4</t>
        </is>
      </c>
    </row>
    <row r="58" ht="42" customHeight="1">
      <c r="A58" s="2" t="inlineStr">
        <is>
          <t>jeminise.com+christmas-bedding-quilt-soft-microfiber-holiday-bedsprea-design-11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IF(B58="I1",AVERAGEIF('QA_Images'!$A$2:$A$51,A58,'QA_Images'!$T$2:$T$51)/100,IF(D58="FULL",1,IF(D58="PARTIAL",0.5,IF(D58="FAIL",0,""))))</f>
        <v/>
      </c>
      <c r="F58" s="5">
        <f>IF(E58="",0,C58*E58)</f>
        <v/>
      </c>
      <c r="G58" s="5">
        <f>IF(B58="I1",20*AVERAGEIF('QA_Images'!$A$2:$A$51,A58,'QA_Images'!$U$2:$U$51)/100,IF(D58="NOT_CHECKED",0,C58))</f>
        <v/>
      </c>
      <c r="H58" s="2" t="inlineStr">
        <is>
          <t>Đối chiếu material, dimensions, components, variants và personalization với product.js live, body HTML và gallery.</t>
        </is>
      </c>
      <c r="I58" s="2" t="inlineStr">
        <is>
          <t>["evidence_batch_003_026", "https://jeminise.com/products/christmas-bedding-quilt-soft-microfiber-holiday-bedsprea-design-11", "serp_qa_026"]</t>
        </is>
      </c>
      <c r="J58" s="2" t="inlineStr">
        <is>
          <t>["R4-ISS-026-ENC"]</t>
        </is>
      </c>
      <c r="K58" s="2" t="inlineStr">
        <is>
          <t>r4</t>
        </is>
      </c>
    </row>
    <row r="59" ht="42" customHeight="1">
      <c r="A59" s="3" t="inlineStr">
        <is>
          <t>jeminise.com+christmas-bedding-quilt-soft-microfiber-holiday-bedsprea-design-11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IF(B59="I1",AVERAGEIF('QA_Images'!$A$2:$A$51,A59,'QA_Images'!$T$2:$T$51)/100,IF(D59="FULL",1,IF(D59="PARTIAL",0.5,IF(D59="FAIL",0,""))))</f>
        <v/>
      </c>
      <c r="F59" s="7">
        <f>IF(E59="",0,C59*E59)</f>
        <v/>
      </c>
      <c r="G59" s="7">
        <f>IF(B59="I1",20*AVERAGEIF('QA_Images'!$A$2:$A$51,A59,'QA_Images'!$U$2:$U$51)/100,IF(D59="NOT_CHECKED",0,C59))</f>
        <v/>
      </c>
      <c r="H59" s="3" t="inlineStr">
        <is>
          <t>Đối chiếu long-tail với thiết kế trực tiếp nhìn thấy và nguy cơ trùng intent trong cụm Christmas/cardinal.</t>
        </is>
      </c>
      <c r="I59" s="3" t="inlineStr">
        <is>
          <t>["evidence_batch_003_026", "https://jeminise.com/products/christmas-bedding-quilt-soft-microfiber-holiday-bedsprea-design-11", "serp_qa_026"]</t>
        </is>
      </c>
      <c r="J59" s="3" t="inlineStr">
        <is>
          <t>["R4-ISS-026-ENC"]</t>
        </is>
      </c>
      <c r="K59" s="3" t="inlineStr">
        <is>
          <t>r4</t>
        </is>
      </c>
    </row>
    <row r="60" ht="42" customHeight="1">
      <c r="A60" s="2" t="inlineStr">
        <is>
          <t>jeminise.com+christmas-bedding-quilt-soft-microfiber-holiday-bedsprea-design-11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IF(B60="I1",AVERAGEIF('QA_Images'!$A$2:$A$51,A60,'QA_Images'!$T$2:$T$51)/100,IF(D60="FULL",1,IF(D60="PARTIAL",0.5,IF(D60="FAIL",0,""))))</f>
        <v/>
      </c>
      <c r="F60" s="5">
        <f>IF(E60="",0,C60*E60)</f>
        <v/>
      </c>
      <c r="G60" s="5">
        <f>IF(B60="I1",20*AVERAGEIF('QA_Images'!$A$2:$A$51,A60,'QA_Images'!$U$2:$U$51)/100,IF(D60="NOT_CHECKED",0,C60))</f>
        <v/>
      </c>
      <c r="H60" s="2" t="inlineStr">
        <is>
          <t>Đã đọc lại primary và comparator SERP theo US intent; đánh giá product/kit/pattern result type.</t>
        </is>
      </c>
      <c r="I60" s="2" t="inlineStr">
        <is>
          <t>["evidence_batch_003_026", "https://jeminise.com/products/christmas-bedding-quilt-soft-microfiber-holiday-bedsprea-design-11", "serp_qa_026"]</t>
        </is>
      </c>
      <c r="J60" s="2" t="inlineStr">
        <is>
          <t>["R4-ISS-026-ENC"]</t>
        </is>
      </c>
      <c r="K60" s="2" t="inlineStr">
        <is>
          <t>r4</t>
        </is>
      </c>
    </row>
    <row r="61" ht="42" customHeight="1">
      <c r="A61" s="3" t="inlineStr">
        <is>
          <t>jeminise.com+christmas-bedding-quilt-soft-microfiber-holiday-bedsprea-design-11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IF(B61="I1",AVERAGEIF('QA_Images'!$A$2:$A$51,A61,'QA_Images'!$T$2:$T$51)/100,IF(D61="FULL",1,IF(D61="PARTIAL",0.5,IF(D61="FAIL",0,""))))</f>
        <v/>
      </c>
      <c r="F61" s="7">
        <f>IF(E61="",0,C61*E61)</f>
        <v/>
      </c>
      <c r="G61" s="7">
        <f>IF(B61="I1",20*AVERAGEIF('QA_Images'!$A$2:$A$51,A61,'QA_Images'!$U$2:$U$51)/100,IF(D61="NOT_CHECKED",0,C61))</f>
        <v/>
      </c>
      <c r="H61" s="3" t="inlineStr">
        <is>
          <t>Không suy diễn volume; phân biệt SERP_ONLY và HYPOTHESIS_ONLY.</t>
        </is>
      </c>
      <c r="I61" s="3" t="inlineStr">
        <is>
          <t>["evidence_batch_003_026", "https://jeminise.com/products/christmas-bedding-quilt-soft-microfiber-holiday-bedsprea-design-11", "serp_qa_026"]</t>
        </is>
      </c>
      <c r="J61" s="3" t="inlineStr">
        <is>
          <t>["R4-ISS-026-ENC"]</t>
        </is>
      </c>
      <c r="K61" s="3" t="inlineStr">
        <is>
          <t>r4</t>
        </is>
      </c>
    </row>
    <row r="62" ht="42" customHeight="1">
      <c r="A62" s="2" t="inlineStr">
        <is>
          <t>jeminise.com+christmas-bedding-quilt-soft-microfiber-holiday-bedsprea-design-11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IF(B62="I1",AVERAGEIF('QA_Images'!$A$2:$A$51,A62,'QA_Images'!$T$2:$T$51)/100,IF(D62="FULL",1,IF(D62="PARTIAL",0.5,IF(D62="FAIL",0,""))))</f>
        <v/>
      </c>
      <c r="F62" s="5">
        <f>IF(E62="",0,C62*E62)</f>
        <v/>
      </c>
      <c r="G62" s="5">
        <f>IF(B62="I1",20*AVERAGEIF('QA_Images'!$A$2:$A$51,A62,'QA_Images'!$U$2:$U$51)/100,IF(D62="NOT_CHECKED",0,C62))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["evidence_batch_003_026", "https://jeminise.com/products/christmas-bedding-quilt-soft-microfiber-holiday-bedsprea-design-11", "serp_qa_026"]</t>
        </is>
      </c>
      <c r="J62" s="2" t="inlineStr">
        <is>
          <t>["R4-ISS-026-ENC"]</t>
        </is>
      </c>
      <c r="K62" s="2" t="inlineStr">
        <is>
          <t>r4</t>
        </is>
      </c>
    </row>
    <row r="63" ht="42" customHeight="1">
      <c r="A63" s="3" t="inlineStr">
        <is>
          <t>jeminise.com+christmas-bedding-quilt-soft-microfiber-holiday-bedsprea-design-11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IF(B63="I1",AVERAGEIF('QA_Images'!$A$2:$A$51,A63,'QA_Images'!$T$2:$T$51)/100,IF(D63="FULL",1,IF(D63="PARTIAL",0.5,IF(D63="FAIL",0,""))))</f>
        <v/>
      </c>
      <c r="F63" s="7">
        <f>IF(E63="",0,C63*E63)</f>
        <v/>
      </c>
      <c r="G63" s="7">
        <f>IF(B63="I1",20*AVERAGEIF('QA_Images'!$A$2:$A$51,A63,'QA_Images'!$U$2:$U$51)/100,IF(D63="NOT_CHECKED",0,C63))</f>
        <v/>
      </c>
      <c r="H63" s="3" t="inlineStr">
        <is>
          <t>Đánh giá H1 đề xuất độc lập với SEO title và đối chiếu lỗi ký tự nguồn.</t>
        </is>
      </c>
      <c r="I63" s="3" t="inlineStr">
        <is>
          <t>["evidence_batch_003_026", "https://jeminise.com/products/christmas-bedding-quilt-soft-microfiber-holiday-bedsprea-design-11", "serp_qa_026"]</t>
        </is>
      </c>
      <c r="J63" s="3" t="inlineStr">
        <is>
          <t>["R4-ISS-026-ENC"]</t>
        </is>
      </c>
      <c r="K63" s="3" t="inlineStr">
        <is>
          <t>r4</t>
        </is>
      </c>
    </row>
    <row r="64" ht="42" customHeight="1">
      <c r="A64" s="2" t="inlineStr">
        <is>
          <t>jeminise.com+christmas-bedding-quilt-soft-microfiber-holiday-bedsprea-design-11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IF(B64="I1",AVERAGEIF('QA_Images'!$A$2:$A$51,A64,'QA_Images'!$T$2:$T$51)/100,IF(D64="FULL",1,IF(D64="PARTIAL",0.5,IF(D64="FAIL",0,""))))</f>
        <v/>
      </c>
      <c r="F64" s="5">
        <f>IF(E64="",0,C64*E64)</f>
        <v/>
      </c>
      <c r="G64" s="5">
        <f>IF(B64="I1",20*AVERAGEIF('QA_Images'!$A$2:$A$51,A64,'QA_Images'!$U$2:$U$51)/100,IF(D64="NOT_CHECKED",0,C64))</f>
        <v/>
      </c>
      <c r="H64" s="2" t="inlineStr">
        <is>
          <t>Đánh giá meta description về tính cụ thể và căn cứ claim.</t>
        </is>
      </c>
      <c r="I64" s="2" t="inlineStr">
        <is>
          <t>["evidence_batch_003_026", "https://jeminise.com/products/christmas-bedding-quilt-soft-microfiber-holiday-bedsprea-design-11", "serp_qa_026"]</t>
        </is>
      </c>
      <c r="J64" s="2" t="inlineStr">
        <is>
          <t>["R4-ISS-026-ENC"]</t>
        </is>
      </c>
      <c r="K64" s="2" t="inlineStr">
        <is>
          <t>r4</t>
        </is>
      </c>
    </row>
    <row r="65" ht="42" customHeight="1">
      <c r="A65" s="3" t="inlineStr">
        <is>
          <t>jeminise.com+christmas-bedding-quilt-soft-microfiber-holiday-bedsprea-design-11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IF(B65="I1",AVERAGEIF('QA_Images'!$A$2:$A$51,A65,'QA_Images'!$T$2:$T$51)/100,IF(D65="FULL",1,IF(D65="PARTIAL",0.5,IF(D65="FAIL",0,""))))</f>
        <v/>
      </c>
      <c r="F65" s="7">
        <f>IF(E65="",0,C65*E65)</f>
        <v/>
      </c>
      <c r="G65" s="7">
        <f>IF(B65="I1",20*AVERAGEIF('QA_Images'!$A$2:$A$51,A65,'QA_Images'!$U$2:$U$51)/100,IF(D65="NOT_CHECKED",0,C65))</f>
        <v/>
      </c>
      <c r="H65" s="3" t="inlineStr">
        <is>
          <t>Description SET có HTML đầy đủ nhưng chứa câu nội bộ 'This draft should be reviewed...' và dữ liệu nguồn thô/mâu thuẫn; chưa phải nội dung publish-ready.</t>
        </is>
      </c>
      <c r="I65" s="3" t="inlineStr">
        <is>
          <t>["evidence_batch_003_026", "https://jeminise.com/products/christmas-bedding-quilt-soft-microfiber-holiday-bedsprea-design-11", "serp_qa_026"]</t>
        </is>
      </c>
      <c r="J65" s="3" t="inlineStr">
        <is>
          <t>["R4-ISS-026-ENC"]</t>
        </is>
      </c>
      <c r="K65" s="3" t="inlineStr">
        <is>
          <t>r4</t>
        </is>
      </c>
    </row>
    <row r="66" ht="42" customHeight="1">
      <c r="A66" s="2" t="inlineStr">
        <is>
          <t>jeminise.com+christmas-bedding-quilt-soft-microfiber-holiday-bedsprea-design-11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IF(B66="I1",AVERAGEIF('QA_Images'!$A$2:$A$51,A66,'QA_Images'!$T$2:$T$51)/100,IF(D66="FULL",1,IF(D66="PARTIAL",0.5,IF(D66="FAIL",0,""))))</f>
        <v/>
      </c>
      <c r="F66" s="5">
        <f>IF(E66="",0,C66*E66)</f>
        <v/>
      </c>
      <c r="G66" s="5">
        <f>IF(B66="I1",20*AVERAGEIF('QA_Images'!$A$2:$A$51,A66,'QA_Images'!$U$2:$U$51)/100,IF(D66="NOT_CHECKED",0,C66))</f>
        <v/>
      </c>
      <c r="H66" s="2" t="inlineStr">
        <is>
          <t>Derived from directly checked r4 media records: 100.0/100.</t>
        </is>
      </c>
      <c r="I66" s="2" t="inlineStr">
        <is>
          <t>["evidence_batch_003_026", "https://jeminise.com/products/christmas-bedding-quilt-soft-microfiber-holiday-bedsprea-design-11", "serp_qa_026"]</t>
        </is>
      </c>
      <c r="J66" s="2" t="inlineStr">
        <is>
          <t>["R4-ISS-026-ENC"]</t>
        </is>
      </c>
      <c r="K66" s="2" t="inlineStr">
        <is>
          <t>r4</t>
        </is>
      </c>
    </row>
    <row r="67" ht="42" customHeight="1">
      <c r="A67" s="3" t="inlineStr">
        <is>
          <t>jeminise.com+christmas-bedding-quilt-soft-microfiber-holiday-bedsprea-design-11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IF(B67="I1",AVERAGEIF('QA_Images'!$A$2:$A$51,A67,'QA_Images'!$T$2:$T$51)/100,IF(D67="FULL",1,IF(D67="PARTIAL",0.5,IF(D67="FAIL",0,""))))</f>
        <v/>
      </c>
      <c r="F67" s="7">
        <f>IF(E67="",0,C67*E67)</f>
        <v/>
      </c>
      <c r="G67" s="7">
        <f>IF(B67="I1",20*AVERAGEIF('QA_Images'!$A$2:$A$51,A67,'QA_Images'!$U$2:$U$51)/100,IF(D67="NOT_CHECKED",0,C67))</f>
        <v/>
      </c>
      <c r="H67" s="3" t="inlineStr">
        <is>
          <t>Kiểm tra liên kết product key/handle/evidence/revision giữa workbook, snapshot và nguồn live.</t>
        </is>
      </c>
      <c r="I67" s="3" t="inlineStr">
        <is>
          <t>["evidence_batch_003_026", "https://jeminise.com/products/christmas-bedding-quilt-soft-microfiber-holiday-bedsprea-design-11", "serp_qa_026"]</t>
        </is>
      </c>
      <c r="J67" s="3" t="inlineStr">
        <is>
          <t>["R4-ISS-026-ENC"]</t>
        </is>
      </c>
      <c r="K67" s="3" t="inlineStr">
        <is>
          <t>r4</t>
        </is>
      </c>
    </row>
    <row r="68" ht="42" customHeight="1">
      <c r="A68" s="2" t="inlineStr">
        <is>
          <t>jeminise.com+christmas-bedding-quilt-soft-microfiber-holiday-bedsprea-design-12</t>
        </is>
      </c>
      <c r="B68" s="2" t="inlineStr">
        <is>
          <t>P1</t>
        </is>
      </c>
      <c r="C68" s="2" t="n">
        <v>15</v>
      </c>
      <c r="D68" s="2" t="inlineStr">
        <is>
          <t>FAIL</t>
        </is>
      </c>
      <c r="E68" s="5">
        <f>IF(B68="I1",AVERAGEIF('QA_Images'!$A$2:$A$51,A68,'QA_Images'!$T$2:$T$51)/100,IF(D68="FULL",1,IF(D68="PARTIAL",0.5,IF(D68="FAIL",0,""))))</f>
        <v/>
      </c>
      <c r="F68" s="5">
        <f>IF(E68="",0,C68*E68)</f>
        <v/>
      </c>
      <c r="G68" s="5">
        <f>IF(B68="I1",20*AVERAGEIF('QA_Images'!$A$2:$A$51,A68,'QA_Images'!$U$2:$U$51)/100,IF(D68="NOT_CHECKED",0,C68))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["evidence_batch_003_027", "https://jeminise.com/products/christmas-bedding-quilt-soft-microfiber-holiday-bedsprea-design-12", "serp_qa_027"]</t>
        </is>
      </c>
      <c r="J68" s="2" t="inlineStr">
        <is>
          <t>["R4-ISS-027-ENC"]</t>
        </is>
      </c>
      <c r="K68" s="2" t="inlineStr">
        <is>
          <t>r4</t>
        </is>
      </c>
    </row>
    <row r="69" ht="42" customHeight="1">
      <c r="A69" s="3" t="inlineStr">
        <is>
          <t>jeminise.com+christmas-bedding-quilt-soft-microfiber-holiday-bedsprea-design-12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IF(B69="I1",AVERAGEIF('QA_Images'!$A$2:$A$51,A69,'QA_Images'!$T$2:$T$51)/100,IF(D69="FULL",1,IF(D69="PARTIAL",0.5,IF(D69="FAIL",0,""))))</f>
        <v/>
      </c>
      <c r="F69" s="7">
        <f>IF(E69="",0,C69*E69)</f>
        <v/>
      </c>
      <c r="G69" s="7">
        <f>IF(B69="I1",20*AVERAGEIF('QA_Images'!$A$2:$A$51,A69,'QA_Images'!$U$2:$U$51)/100,IF(D69="NOT_CHECKED",0,C69))</f>
        <v/>
      </c>
      <c r="H69" s="3" t="inlineStr">
        <is>
          <t>Đối chiếu material, dimensions, components, variants và personalization với product.js live, body HTML và gallery.</t>
        </is>
      </c>
      <c r="I69" s="3" t="inlineStr">
        <is>
          <t>["evidence_batch_003_027", "https://jeminise.com/products/christmas-bedding-quilt-soft-microfiber-holiday-bedsprea-design-12", "serp_qa_027"]</t>
        </is>
      </c>
      <c r="J69" s="3" t="inlineStr">
        <is>
          <t>["R4-ISS-027-ENC"]</t>
        </is>
      </c>
      <c r="K69" s="3" t="inlineStr">
        <is>
          <t>r4</t>
        </is>
      </c>
    </row>
    <row r="70" ht="42" customHeight="1">
      <c r="A70" s="2" t="inlineStr">
        <is>
          <t>jeminise.com+christmas-bedding-quilt-soft-microfiber-holiday-bedsprea-design-12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IF(B70="I1",AVERAGEIF('QA_Images'!$A$2:$A$51,A70,'QA_Images'!$T$2:$T$51)/100,IF(D70="FULL",1,IF(D70="PARTIAL",0.5,IF(D70="FAIL",0,""))))</f>
        <v/>
      </c>
      <c r="F70" s="5">
        <f>IF(E70="",0,C70*E70)</f>
        <v/>
      </c>
      <c r="G70" s="5">
        <f>IF(B70="I1",20*AVERAGEIF('QA_Images'!$A$2:$A$51,A70,'QA_Images'!$U$2:$U$51)/100,IF(D70="NOT_CHECKED",0,C70))</f>
        <v/>
      </c>
      <c r="H70" s="2" t="inlineStr">
        <is>
          <t>Đối chiếu long-tail với thiết kế trực tiếp nhìn thấy và nguy cơ trùng intent trong cụm Christmas/cardinal.</t>
        </is>
      </c>
      <c r="I70" s="2" t="inlineStr">
        <is>
          <t>["evidence_batch_003_027", "https://jeminise.com/products/christmas-bedding-quilt-soft-microfiber-holiday-bedsprea-design-12", "serp_qa_027"]</t>
        </is>
      </c>
      <c r="J70" s="2" t="inlineStr">
        <is>
          <t>["R4-ISS-027-ENC"]</t>
        </is>
      </c>
      <c r="K70" s="2" t="inlineStr">
        <is>
          <t>r4</t>
        </is>
      </c>
    </row>
    <row r="71" ht="42" customHeight="1">
      <c r="A71" s="3" t="inlineStr">
        <is>
          <t>jeminise.com+christmas-bedding-quilt-soft-microfiber-holiday-bedsprea-design-12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IF(B71="I1",AVERAGEIF('QA_Images'!$A$2:$A$51,A71,'QA_Images'!$T$2:$T$51)/100,IF(D71="FULL",1,IF(D71="PARTIAL",0.5,IF(D71="FAIL",0,""))))</f>
        <v/>
      </c>
      <c r="F71" s="7">
        <f>IF(E71="",0,C71*E71)</f>
        <v/>
      </c>
      <c r="G71" s="7">
        <f>IF(B71="I1",20*AVERAGEIF('QA_Images'!$A$2:$A$51,A71,'QA_Images'!$U$2:$U$51)/100,IF(D71="NOT_CHECKED",0,C71))</f>
        <v/>
      </c>
      <c r="H71" s="3" t="inlineStr">
        <is>
          <t>Đã đọc lại primary và comparator SERP theo US intent; đánh giá product/kit/pattern result type.</t>
        </is>
      </c>
      <c r="I71" s="3" t="inlineStr">
        <is>
          <t>["evidence_batch_003_027", "https://jeminise.com/products/christmas-bedding-quilt-soft-microfiber-holiday-bedsprea-design-12", "serp_qa_027"]</t>
        </is>
      </c>
      <c r="J71" s="3" t="inlineStr">
        <is>
          <t>["R4-ISS-027-ENC"]</t>
        </is>
      </c>
      <c r="K71" s="3" t="inlineStr">
        <is>
          <t>r4</t>
        </is>
      </c>
    </row>
    <row r="72" ht="42" customHeight="1">
      <c r="A72" s="2" t="inlineStr">
        <is>
          <t>jeminise.com+christmas-bedding-quilt-soft-microfiber-holiday-bedsprea-design-12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IF(B72="I1",AVERAGEIF('QA_Images'!$A$2:$A$51,A72,'QA_Images'!$T$2:$T$51)/100,IF(D72="FULL",1,IF(D72="PARTIAL",0.5,IF(D72="FAIL",0,""))))</f>
        <v/>
      </c>
      <c r="F72" s="5">
        <f>IF(E72="",0,C72*E72)</f>
        <v/>
      </c>
      <c r="G72" s="5">
        <f>IF(B72="I1",20*AVERAGEIF('QA_Images'!$A$2:$A$51,A72,'QA_Images'!$U$2:$U$51)/100,IF(D72="NOT_CHECKED",0,C72))</f>
        <v/>
      </c>
      <c r="H72" s="2" t="inlineStr">
        <is>
          <t>Không suy diễn volume; phân biệt SERP_ONLY và HYPOTHESIS_ONLY.</t>
        </is>
      </c>
      <c r="I72" s="2" t="inlineStr">
        <is>
          <t>["evidence_batch_003_027", "https://jeminise.com/products/christmas-bedding-quilt-soft-microfiber-holiday-bedsprea-design-12", "serp_qa_027"]</t>
        </is>
      </c>
      <c r="J72" s="2" t="inlineStr">
        <is>
          <t>["R4-ISS-027-ENC"]</t>
        </is>
      </c>
      <c r="K72" s="2" t="inlineStr">
        <is>
          <t>r4</t>
        </is>
      </c>
    </row>
    <row r="73" ht="42" customHeight="1">
      <c r="A73" s="3" t="inlineStr">
        <is>
          <t>jeminise.com+christmas-bedding-quilt-soft-microfiber-holiday-bedsprea-design-12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IF(B73="I1",AVERAGEIF('QA_Images'!$A$2:$A$51,A73,'QA_Images'!$T$2:$T$51)/100,IF(D73="FULL",1,IF(D73="PARTIAL",0.5,IF(D73="FAIL",0,""))))</f>
        <v/>
      </c>
      <c r="F73" s="7">
        <f>IF(E73="",0,C73*E73)</f>
        <v/>
      </c>
      <c r="G73" s="7">
        <f>IF(B73="I1",20*AVERAGEIF('QA_Images'!$A$2:$A$51,A73,'QA_Images'!$U$2:$U$51)/100,IF(D73="NOT_CHECKED",0,C73))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["evidence_batch_003_027", "https://jeminise.com/products/christmas-bedding-quilt-soft-microfiber-holiday-bedsprea-design-12", "serp_qa_027"]</t>
        </is>
      </c>
      <c r="J73" s="3" t="inlineStr">
        <is>
          <t>["R4-ISS-027-ENC"]</t>
        </is>
      </c>
      <c r="K73" s="3" t="inlineStr">
        <is>
          <t>r4</t>
        </is>
      </c>
    </row>
    <row r="74" ht="42" customHeight="1">
      <c r="A74" s="2" t="inlineStr">
        <is>
          <t>jeminise.com+christmas-bedding-quilt-soft-microfiber-holiday-bedsprea-design-12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IF(B74="I1",AVERAGEIF('QA_Images'!$A$2:$A$51,A74,'QA_Images'!$T$2:$T$51)/100,IF(D74="FULL",1,IF(D74="PARTIAL",0.5,IF(D74="FAIL",0,""))))</f>
        <v/>
      </c>
      <c r="F74" s="5">
        <f>IF(E74="",0,C74*E74)</f>
        <v/>
      </c>
      <c r="G74" s="5">
        <f>IF(B74="I1",20*AVERAGEIF('QA_Images'!$A$2:$A$51,A74,'QA_Images'!$U$2:$U$51)/100,IF(D74="NOT_CHECKED",0,C74))</f>
        <v/>
      </c>
      <c r="H74" s="2" t="inlineStr">
        <is>
          <t>Đánh giá H1 đề xuất độc lập với SEO title và đối chiếu lỗi ký tự nguồn.</t>
        </is>
      </c>
      <c r="I74" s="2" t="inlineStr">
        <is>
          <t>["evidence_batch_003_027", "https://jeminise.com/products/christmas-bedding-quilt-soft-microfiber-holiday-bedsprea-design-12", "serp_qa_027"]</t>
        </is>
      </c>
      <c r="J74" s="2" t="inlineStr">
        <is>
          <t>["R4-ISS-027-ENC"]</t>
        </is>
      </c>
      <c r="K74" s="2" t="inlineStr">
        <is>
          <t>r4</t>
        </is>
      </c>
    </row>
    <row r="75" ht="42" customHeight="1">
      <c r="A75" s="3" t="inlineStr">
        <is>
          <t>jeminise.com+christmas-bedding-quilt-soft-microfiber-holiday-bedsprea-design-12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IF(B75="I1",AVERAGEIF('QA_Images'!$A$2:$A$51,A75,'QA_Images'!$T$2:$T$51)/100,IF(D75="FULL",1,IF(D75="PARTIAL",0.5,IF(D75="FAIL",0,""))))</f>
        <v/>
      </c>
      <c r="F75" s="7">
        <f>IF(E75="",0,C75*E75)</f>
        <v/>
      </c>
      <c r="G75" s="7">
        <f>IF(B75="I1",20*AVERAGEIF('QA_Images'!$A$2:$A$51,A75,'QA_Images'!$U$2:$U$51)/100,IF(D75="NOT_CHECKED",0,C75))</f>
        <v/>
      </c>
      <c r="H75" s="3" t="inlineStr">
        <is>
          <t>Đánh giá meta description về tính cụ thể và căn cứ claim.</t>
        </is>
      </c>
      <c r="I75" s="3" t="inlineStr">
        <is>
          <t>["evidence_batch_003_027", "https://jeminise.com/products/christmas-bedding-quilt-soft-microfiber-holiday-bedsprea-design-12", "serp_qa_027"]</t>
        </is>
      </c>
      <c r="J75" s="3" t="inlineStr">
        <is>
          <t>["R4-ISS-027-ENC"]</t>
        </is>
      </c>
      <c r="K75" s="3" t="inlineStr">
        <is>
          <t>r4</t>
        </is>
      </c>
    </row>
    <row r="76" ht="42" customHeight="1">
      <c r="A76" s="2" t="inlineStr">
        <is>
          <t>jeminise.com+christmas-bedding-quilt-soft-microfiber-holiday-bedsprea-design-12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IF(B76="I1",AVERAGEIF('QA_Images'!$A$2:$A$51,A76,'QA_Images'!$T$2:$T$51)/100,IF(D76="FULL",1,IF(D76="PARTIAL",0.5,IF(D76="FAIL",0,""))))</f>
        <v/>
      </c>
      <c r="F76" s="5">
        <f>IF(E76="",0,C76*E76)</f>
        <v/>
      </c>
      <c r="G76" s="5">
        <f>IF(B76="I1",20*AVERAGEIF('QA_Images'!$A$2:$A$51,A76,'QA_Images'!$U$2:$U$51)/100,IF(D76="NOT_CHECKED",0,C76))</f>
        <v/>
      </c>
      <c r="H76" s="2" t="inlineStr">
        <is>
          <t>Description SET có HTML đầy đủ nhưng chứa câu nội bộ 'This draft should be reviewed...' và dữ liệu nguồn thô/mâu thuẫn; chưa phải nội dung publish-ready.</t>
        </is>
      </c>
      <c r="I76" s="2" t="inlineStr">
        <is>
          <t>["evidence_batch_003_027", "https://jeminise.com/products/christmas-bedding-quilt-soft-microfiber-holiday-bedsprea-design-12", "serp_qa_027"]</t>
        </is>
      </c>
      <c r="J76" s="2" t="inlineStr">
        <is>
          <t>["R4-ISS-027-ENC"]</t>
        </is>
      </c>
      <c r="K76" s="2" t="inlineStr">
        <is>
          <t>r4</t>
        </is>
      </c>
    </row>
    <row r="77" ht="42" customHeight="1">
      <c r="A77" s="3" t="inlineStr">
        <is>
          <t>jeminise.com+christmas-bedding-quilt-soft-microfiber-holiday-bedsprea-design-12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IF(B77="I1",AVERAGEIF('QA_Images'!$A$2:$A$51,A77,'QA_Images'!$T$2:$T$51)/100,IF(D77="FULL",1,IF(D77="PARTIAL",0.5,IF(D77="FAIL",0,""))))</f>
        <v/>
      </c>
      <c r="F77" s="7">
        <f>IF(E77="",0,C77*E77)</f>
        <v/>
      </c>
      <c r="G77" s="7">
        <f>IF(B77="I1",20*AVERAGEIF('QA_Images'!$A$2:$A$51,A77,'QA_Images'!$U$2:$U$51)/100,IF(D77="NOT_CHECKED",0,C77))</f>
        <v/>
      </c>
      <c r="H77" s="3" t="inlineStr">
        <is>
          <t>Derived from directly checked r4 media records: 100.0/100.</t>
        </is>
      </c>
      <c r="I77" s="3" t="inlineStr">
        <is>
          <t>["evidence_batch_003_027", "https://jeminise.com/products/christmas-bedding-quilt-soft-microfiber-holiday-bedsprea-design-12", "serp_qa_027"]</t>
        </is>
      </c>
      <c r="J77" s="3" t="inlineStr">
        <is>
          <t>["R4-ISS-027-ENC"]</t>
        </is>
      </c>
      <c r="K77" s="3" t="inlineStr">
        <is>
          <t>r4</t>
        </is>
      </c>
    </row>
    <row r="78" ht="42" customHeight="1">
      <c r="A78" s="2" t="inlineStr">
        <is>
          <t>jeminise.com+christmas-bedding-quilt-soft-microfiber-holiday-bedsprea-design-12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IF(B78="I1",AVERAGEIF('QA_Images'!$A$2:$A$51,A78,'QA_Images'!$T$2:$T$51)/100,IF(D78="FULL",1,IF(D78="PARTIAL",0.5,IF(D78="FAIL",0,""))))</f>
        <v/>
      </c>
      <c r="F78" s="5">
        <f>IF(E78="",0,C78*E78)</f>
        <v/>
      </c>
      <c r="G78" s="5">
        <f>IF(B78="I1",20*AVERAGEIF('QA_Images'!$A$2:$A$51,A78,'QA_Images'!$U$2:$U$51)/100,IF(D78="NOT_CHECKED",0,C78))</f>
        <v/>
      </c>
      <c r="H78" s="2" t="inlineStr">
        <is>
          <t>Kiểm tra liên kết product key/handle/evidence/revision giữa workbook, snapshot và nguồn live.</t>
        </is>
      </c>
      <c r="I78" s="2" t="inlineStr">
        <is>
          <t>["evidence_batch_003_027", "https://jeminise.com/products/christmas-bedding-quilt-soft-microfiber-holiday-bedsprea-design-12", "serp_qa_027"]</t>
        </is>
      </c>
      <c r="J78" s="2" t="inlineStr">
        <is>
          <t>["R4-ISS-027-ENC"]</t>
        </is>
      </c>
      <c r="K78" s="2" t="inlineStr">
        <is>
          <t>r4</t>
        </is>
      </c>
    </row>
    <row r="79" ht="42" customHeight="1">
      <c r="A79" s="3" t="inlineStr">
        <is>
          <t>jeminise.com+christmas-bedding-quilt-soft-microfiber-holiday-bedspread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IF(B79="I1",AVERAGEIF('QA_Images'!$A$2:$A$51,A79,'QA_Images'!$T$2:$T$51)/100,IF(D79="FULL",1,IF(D79="PARTIAL",0.5,IF(D79="FAIL",0,""))))</f>
        <v/>
      </c>
      <c r="F79" s="7">
        <f>IF(E79="",0,C79*E79)</f>
        <v/>
      </c>
      <c r="G79" s="7">
        <f>IF(B79="I1",20*AVERAGEIF('QA_Images'!$A$2:$A$51,A79,'QA_Images'!$U$2:$U$51)/100,IF(D79="NOT_CHECKED",0,C79))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["evidence_batch_003_028", "https://jeminise.com/products/christmas-bedding-quilt-soft-microfiber-holiday-bedspread", "serp_qa_028"]</t>
        </is>
      </c>
      <c r="J79" s="3" t="inlineStr">
        <is>
          <t>["R4-ISS-028-ENC"]</t>
        </is>
      </c>
      <c r="K79" s="3" t="inlineStr">
        <is>
          <t>r4</t>
        </is>
      </c>
    </row>
    <row r="80" ht="42" customHeight="1">
      <c r="A80" s="2" t="inlineStr">
        <is>
          <t>jeminise.com+christmas-bedding-quilt-soft-microfiber-holiday-bedspread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IF(B80="I1",AVERAGEIF('QA_Images'!$A$2:$A$51,A80,'QA_Images'!$T$2:$T$51)/100,IF(D80="FULL",1,IF(D80="PARTIAL",0.5,IF(D80="FAIL",0,""))))</f>
        <v/>
      </c>
      <c r="F80" s="5">
        <f>IF(E80="",0,C80*E80)</f>
        <v/>
      </c>
      <c r="G80" s="5">
        <f>IF(B80="I1",20*AVERAGEIF('QA_Images'!$A$2:$A$51,A80,'QA_Images'!$U$2:$U$51)/100,IF(D80="NOT_CHECKED",0,C80))</f>
        <v/>
      </c>
      <c r="H80" s="2" t="inlineStr">
        <is>
          <t>Đối chiếu material, dimensions, components, variants và personalization với product.js live, body HTML và gallery.</t>
        </is>
      </c>
      <c r="I80" s="2" t="inlineStr">
        <is>
          <t>["evidence_batch_003_028", "https://jeminise.com/products/christmas-bedding-quilt-soft-microfiber-holiday-bedspread", "serp_qa_028"]</t>
        </is>
      </c>
      <c r="J80" s="2" t="inlineStr">
        <is>
          <t>["R4-ISS-028-ENC"]</t>
        </is>
      </c>
      <c r="K80" s="2" t="inlineStr">
        <is>
          <t>r4</t>
        </is>
      </c>
    </row>
    <row r="81" ht="42" customHeight="1">
      <c r="A81" s="3" t="inlineStr">
        <is>
          <t>jeminise.com+christmas-bedding-quilt-soft-microfiber-holiday-bedspread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IF(B81="I1",AVERAGEIF('QA_Images'!$A$2:$A$51,A81,'QA_Images'!$T$2:$T$51)/100,IF(D81="FULL",1,IF(D81="PARTIAL",0.5,IF(D81="FAIL",0,""))))</f>
        <v/>
      </c>
      <c r="F81" s="7">
        <f>IF(E81="",0,C81*E81)</f>
        <v/>
      </c>
      <c r="G81" s="7">
        <f>IF(B81="I1",20*AVERAGEIF('QA_Images'!$A$2:$A$51,A81,'QA_Images'!$U$2:$U$51)/100,IF(D81="NOT_CHECKED",0,C81))</f>
        <v/>
      </c>
      <c r="H81" s="3" t="inlineStr">
        <is>
          <t>Đối chiếu long-tail với thiết kế trực tiếp nhìn thấy và nguy cơ trùng intent trong cụm Christmas/cardinal.</t>
        </is>
      </c>
      <c r="I81" s="3" t="inlineStr">
        <is>
          <t>["evidence_batch_003_028", "https://jeminise.com/products/christmas-bedding-quilt-soft-microfiber-holiday-bedspread", "serp_qa_028"]</t>
        </is>
      </c>
      <c r="J81" s="3" t="inlineStr">
        <is>
          <t>["R4-ISS-028-ENC"]</t>
        </is>
      </c>
      <c r="K81" s="3" t="inlineStr">
        <is>
          <t>r4</t>
        </is>
      </c>
    </row>
    <row r="82" ht="42" customHeight="1">
      <c r="A82" s="2" t="inlineStr">
        <is>
          <t>jeminise.com+christmas-bedding-quilt-soft-microfiber-holiday-bedspread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IF(B82="I1",AVERAGEIF('QA_Images'!$A$2:$A$51,A82,'QA_Images'!$T$2:$T$51)/100,IF(D82="FULL",1,IF(D82="PARTIAL",0.5,IF(D82="FAIL",0,""))))</f>
        <v/>
      </c>
      <c r="F82" s="5">
        <f>IF(E82="",0,C82*E82)</f>
        <v/>
      </c>
      <c r="G82" s="5">
        <f>IF(B82="I1",20*AVERAGEIF('QA_Images'!$A$2:$A$51,A82,'QA_Images'!$U$2:$U$51)/100,IF(D82="NOT_CHECKED",0,C82))</f>
        <v/>
      </c>
      <c r="H82" s="2" t="inlineStr">
        <is>
          <t>Đã đọc lại primary và comparator SERP theo US intent; đánh giá product/kit/pattern result type.</t>
        </is>
      </c>
      <c r="I82" s="2" t="inlineStr">
        <is>
          <t>["evidence_batch_003_028", "https://jeminise.com/products/christmas-bedding-quilt-soft-microfiber-holiday-bedspread", "serp_qa_028"]</t>
        </is>
      </c>
      <c r="J82" s="2" t="inlineStr">
        <is>
          <t>["R4-ISS-028-ENC"]</t>
        </is>
      </c>
      <c r="K82" s="2" t="inlineStr">
        <is>
          <t>r4</t>
        </is>
      </c>
    </row>
    <row r="83" ht="42" customHeight="1">
      <c r="A83" s="3" t="inlineStr">
        <is>
          <t>jeminise.com+christmas-bedding-quilt-soft-microfiber-holiday-bedspread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IF(B83="I1",AVERAGEIF('QA_Images'!$A$2:$A$51,A83,'QA_Images'!$T$2:$T$51)/100,IF(D83="FULL",1,IF(D83="PARTIAL",0.5,IF(D83="FAIL",0,""))))</f>
        <v/>
      </c>
      <c r="F83" s="7">
        <f>IF(E83="",0,C83*E83)</f>
        <v/>
      </c>
      <c r="G83" s="7">
        <f>IF(B83="I1",20*AVERAGEIF('QA_Images'!$A$2:$A$51,A83,'QA_Images'!$U$2:$U$51)/100,IF(D83="NOT_CHECKED",0,C83))</f>
        <v/>
      </c>
      <c r="H83" s="3" t="inlineStr">
        <is>
          <t>Không suy diễn volume; phân biệt SERP_ONLY và HYPOTHESIS_ONLY.</t>
        </is>
      </c>
      <c r="I83" s="3" t="inlineStr">
        <is>
          <t>["evidence_batch_003_028", "https://jeminise.com/products/christmas-bedding-quilt-soft-microfiber-holiday-bedspread", "serp_qa_028"]</t>
        </is>
      </c>
      <c r="J83" s="3" t="inlineStr">
        <is>
          <t>["R4-ISS-028-ENC"]</t>
        </is>
      </c>
      <c r="K83" s="3" t="inlineStr">
        <is>
          <t>r4</t>
        </is>
      </c>
    </row>
    <row r="84" ht="42" customHeight="1">
      <c r="A84" s="2" t="inlineStr">
        <is>
          <t>jeminise.com+christmas-bedding-quilt-soft-microfiber-holiday-bedspread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IF(B84="I1",AVERAGEIF('QA_Images'!$A$2:$A$51,A84,'QA_Images'!$T$2:$T$51)/100,IF(D84="FULL",1,IF(D84="PARTIAL",0.5,IF(D84="FAIL",0,""))))</f>
        <v/>
      </c>
      <c r="F84" s="5">
        <f>IF(E84="",0,C84*E84)</f>
        <v/>
      </c>
      <c r="G84" s="5">
        <f>IF(B84="I1",20*AVERAGEIF('QA_Images'!$A$2:$A$51,A84,'QA_Images'!$U$2:$U$51)/100,IF(D84="NOT_CHECKED",0,C84))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["evidence_batch_003_028", "https://jeminise.com/products/christmas-bedding-quilt-soft-microfiber-holiday-bedspread", "serp_qa_028"]</t>
        </is>
      </c>
      <c r="J84" s="2" t="inlineStr">
        <is>
          <t>["R4-ISS-028-ENC"]</t>
        </is>
      </c>
      <c r="K84" s="2" t="inlineStr">
        <is>
          <t>r4</t>
        </is>
      </c>
    </row>
    <row r="85" ht="42" customHeight="1">
      <c r="A85" s="3" t="inlineStr">
        <is>
          <t>jeminise.com+christmas-bedding-quilt-soft-microfiber-holiday-bedspread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IF(B85="I1",AVERAGEIF('QA_Images'!$A$2:$A$51,A85,'QA_Images'!$T$2:$T$51)/100,IF(D85="FULL",1,IF(D85="PARTIAL",0.5,IF(D85="FAIL",0,""))))</f>
        <v/>
      </c>
      <c r="F85" s="7">
        <f>IF(E85="",0,C85*E85)</f>
        <v/>
      </c>
      <c r="G85" s="7">
        <f>IF(B85="I1",20*AVERAGEIF('QA_Images'!$A$2:$A$51,A85,'QA_Images'!$U$2:$U$51)/100,IF(D85="NOT_CHECKED",0,C85))</f>
        <v/>
      </c>
      <c r="H85" s="3" t="inlineStr">
        <is>
          <t>Đánh giá H1 đề xuất độc lập với SEO title và đối chiếu lỗi ký tự nguồn.</t>
        </is>
      </c>
      <c r="I85" s="3" t="inlineStr">
        <is>
          <t>["evidence_batch_003_028", "https://jeminise.com/products/christmas-bedding-quilt-soft-microfiber-holiday-bedspread", "serp_qa_028"]</t>
        </is>
      </c>
      <c r="J85" s="3" t="inlineStr">
        <is>
          <t>["R4-ISS-028-ENC"]</t>
        </is>
      </c>
      <c r="K85" s="3" t="inlineStr">
        <is>
          <t>r4</t>
        </is>
      </c>
    </row>
    <row r="86" ht="42" customHeight="1">
      <c r="A86" s="2" t="inlineStr">
        <is>
          <t>jeminise.com+christmas-bedding-quilt-soft-microfiber-holiday-bedspread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IF(B86="I1",AVERAGEIF('QA_Images'!$A$2:$A$51,A86,'QA_Images'!$T$2:$T$51)/100,IF(D86="FULL",1,IF(D86="PARTIAL",0.5,IF(D86="FAIL",0,""))))</f>
        <v/>
      </c>
      <c r="F86" s="5">
        <f>IF(E86="",0,C86*E86)</f>
        <v/>
      </c>
      <c r="G86" s="5">
        <f>IF(B86="I1",20*AVERAGEIF('QA_Images'!$A$2:$A$51,A86,'QA_Images'!$U$2:$U$51)/100,IF(D86="NOT_CHECKED",0,C86))</f>
        <v/>
      </c>
      <c r="H86" s="2" t="inlineStr">
        <is>
          <t>Đánh giá meta description về tính cụ thể và căn cứ claim.</t>
        </is>
      </c>
      <c r="I86" s="2" t="inlineStr">
        <is>
          <t>["evidence_batch_003_028", "https://jeminise.com/products/christmas-bedding-quilt-soft-microfiber-holiday-bedspread", "serp_qa_028"]</t>
        </is>
      </c>
      <c r="J86" s="2" t="inlineStr">
        <is>
          <t>["R4-ISS-028-ENC"]</t>
        </is>
      </c>
      <c r="K86" s="2" t="inlineStr">
        <is>
          <t>r4</t>
        </is>
      </c>
    </row>
    <row r="87" ht="42" customHeight="1">
      <c r="A87" s="3" t="inlineStr">
        <is>
          <t>jeminise.com+christmas-bedding-quilt-soft-microfiber-holiday-bedspread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IF(B87="I1",AVERAGEIF('QA_Images'!$A$2:$A$51,A87,'QA_Images'!$T$2:$T$51)/100,IF(D87="FULL",1,IF(D87="PARTIAL",0.5,IF(D87="FAIL",0,""))))</f>
        <v/>
      </c>
      <c r="F87" s="7">
        <f>IF(E87="",0,C87*E87)</f>
        <v/>
      </c>
      <c r="G87" s="7">
        <f>IF(B87="I1",20*AVERAGEIF('QA_Images'!$A$2:$A$51,A87,'QA_Images'!$U$2:$U$51)/100,IF(D87="NOT_CHECKED",0,C87))</f>
        <v/>
      </c>
      <c r="H87" s="3" t="inlineStr">
        <is>
          <t>Description SET có HTML đầy đủ nhưng chứa câu nội bộ 'This draft should be reviewed...' và dữ liệu nguồn thô/mâu thuẫn; chưa phải nội dung publish-ready.</t>
        </is>
      </c>
      <c r="I87" s="3" t="inlineStr">
        <is>
          <t>["evidence_batch_003_028", "https://jeminise.com/products/christmas-bedding-quilt-soft-microfiber-holiday-bedspread", "serp_qa_028"]</t>
        </is>
      </c>
      <c r="J87" s="3" t="inlineStr">
        <is>
          <t>["R4-ISS-028-ENC"]</t>
        </is>
      </c>
      <c r="K87" s="3" t="inlineStr">
        <is>
          <t>r4</t>
        </is>
      </c>
    </row>
    <row r="88" ht="42" customHeight="1">
      <c r="A88" s="2" t="inlineStr">
        <is>
          <t>jeminise.com+christmas-bedding-quilt-soft-microfiber-holiday-bedspread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IF(B88="I1",AVERAGEIF('QA_Images'!$A$2:$A$51,A88,'QA_Images'!$T$2:$T$51)/100,IF(D88="FULL",1,IF(D88="PARTIAL",0.5,IF(D88="FAIL",0,""))))</f>
        <v/>
      </c>
      <c r="F88" s="5">
        <f>IF(E88="",0,C88*E88)</f>
        <v/>
      </c>
      <c r="G88" s="5">
        <f>IF(B88="I1",20*AVERAGEIF('QA_Images'!$A$2:$A$51,A88,'QA_Images'!$U$2:$U$51)/100,IF(D88="NOT_CHECKED",0,C88))</f>
        <v/>
      </c>
      <c r="H88" s="2" t="inlineStr">
        <is>
          <t>Derived from directly checked r4 media records: 100.0/100.</t>
        </is>
      </c>
      <c r="I88" s="2" t="inlineStr">
        <is>
          <t>["evidence_batch_003_028", "https://jeminise.com/products/christmas-bedding-quilt-soft-microfiber-holiday-bedspread", "serp_qa_028"]</t>
        </is>
      </c>
      <c r="J88" s="2" t="inlineStr">
        <is>
          <t>["R4-ISS-028-ENC"]</t>
        </is>
      </c>
      <c r="K88" s="2" t="inlineStr">
        <is>
          <t>r4</t>
        </is>
      </c>
    </row>
    <row r="89" ht="42" customHeight="1">
      <c r="A89" s="3" t="inlineStr">
        <is>
          <t>jeminise.com+christmas-bedding-quilt-soft-microfiber-holiday-bedspread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IF(B89="I1",AVERAGEIF('QA_Images'!$A$2:$A$51,A89,'QA_Images'!$T$2:$T$51)/100,IF(D89="FULL",1,IF(D89="PARTIAL",0.5,IF(D89="FAIL",0,""))))</f>
        <v/>
      </c>
      <c r="F89" s="7">
        <f>IF(E89="",0,C89*E89)</f>
        <v/>
      </c>
      <c r="G89" s="7">
        <f>IF(B89="I1",20*AVERAGEIF('QA_Images'!$A$2:$A$51,A89,'QA_Images'!$U$2:$U$51)/100,IF(D89="NOT_CHECKED",0,C89))</f>
        <v/>
      </c>
      <c r="H89" s="3" t="inlineStr">
        <is>
          <t>Kiểm tra liên kết product key/handle/evidence/revision giữa workbook, snapshot và nguồn live.</t>
        </is>
      </c>
      <c r="I89" s="3" t="inlineStr">
        <is>
          <t>["evidence_batch_003_028", "https://jeminise.com/products/christmas-bedding-quilt-soft-microfiber-holiday-bedspread", "serp_qa_028"]</t>
        </is>
      </c>
      <c r="J89" s="3" t="inlineStr">
        <is>
          <t>["R4-ISS-028-ENC"]</t>
        </is>
      </c>
      <c r="K89" s="3" t="inlineStr">
        <is>
          <t>r4</t>
        </is>
      </c>
    </row>
    <row r="90" ht="42" customHeight="1">
      <c r="A90" s="2" t="inlineStr">
        <is>
          <t>jeminise.com+christmas-cardinal-on-branch-within-patchwork-winter-quilt-892d70543a-892d70543a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IF(B90="I1",AVERAGEIF('QA_Images'!$A$2:$A$51,A90,'QA_Images'!$T$2:$T$51)/100,IF(D90="FULL",1,IF(D90="PARTIAL",0.5,IF(D90="FAIL",0,""))))</f>
        <v/>
      </c>
      <c r="F90" s="5">
        <f>IF(E90="",0,C90*E90)</f>
        <v/>
      </c>
      <c r="G90" s="5">
        <f>IF(B90="I1",20*AVERAGEIF('QA_Images'!$A$2:$A$51,A90,'QA_Images'!$U$2:$U$51)/100,IF(D90="NOT_CHECKED",0,C90))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["evidence_batch_003_029", "https://jeminise.com/products/christmas-cardinal-on-branch-within-patchwork-winter-quilt-892d70543a-892d70543a", "serp_qa_029"]</t>
        </is>
      </c>
      <c r="J90" s="2" t="inlineStr">
        <is>
          <t>[]</t>
        </is>
      </c>
      <c r="K90" s="2" t="inlineStr">
        <is>
          <t>r4</t>
        </is>
      </c>
    </row>
    <row r="91" ht="42" customHeight="1">
      <c r="A91" s="3" t="inlineStr">
        <is>
          <t>jeminise.com+christmas-cardinal-on-branch-within-patchwork-winter-quilt-892d70543a-892d70543a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IF(B91="I1",AVERAGEIF('QA_Images'!$A$2:$A$51,A91,'QA_Images'!$T$2:$T$51)/100,IF(D91="FULL",1,IF(D91="PARTIAL",0.5,IF(D91="FAIL",0,""))))</f>
        <v/>
      </c>
      <c r="F91" s="7">
        <f>IF(E91="",0,C91*E91)</f>
        <v/>
      </c>
      <c r="G91" s="7">
        <f>IF(B91="I1",20*AVERAGEIF('QA_Images'!$A$2:$A$51,A91,'QA_Images'!$U$2:$U$51)/100,IF(D91="NOT_CHECKED",0,C91))</f>
        <v/>
      </c>
      <c r="H91" s="3" t="inlineStr">
        <is>
          <t>Đối chiếu material, dimensions, components, variants và personalization với product.js live, body HTML và gallery.</t>
        </is>
      </c>
      <c r="I91" s="3" t="inlineStr">
        <is>
          <t>["evidence_batch_003_029", "https://jeminise.com/products/christmas-cardinal-on-branch-within-patchwork-winter-quilt-892d70543a-892d70543a", "serp_qa_029"]</t>
        </is>
      </c>
      <c r="J91" s="3" t="inlineStr">
        <is>
          <t>[]</t>
        </is>
      </c>
      <c r="K91" s="3" t="inlineStr">
        <is>
          <t>r4</t>
        </is>
      </c>
    </row>
    <row r="92" ht="42" customHeight="1">
      <c r="A92" s="2" t="inlineStr">
        <is>
          <t>jeminise.com+christmas-cardinal-on-branch-within-patchwork-winter-quilt-892d70543a-892d70543a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IF(B92="I1",AVERAGEIF('QA_Images'!$A$2:$A$51,A92,'QA_Images'!$T$2:$T$51)/100,IF(D92="FULL",1,IF(D92="PARTIAL",0.5,IF(D92="FAIL",0,""))))</f>
        <v/>
      </c>
      <c r="F92" s="5">
        <f>IF(E92="",0,C92*E92)</f>
        <v/>
      </c>
      <c r="G92" s="5">
        <f>IF(B92="I1",20*AVERAGEIF('QA_Images'!$A$2:$A$51,A92,'QA_Images'!$U$2:$U$51)/100,IF(D92="NOT_CHECKED",0,C92))</f>
        <v/>
      </c>
      <c r="H92" s="2" t="inlineStr">
        <is>
          <t>Đối chiếu long-tail với thiết kế trực tiếp nhìn thấy và nguy cơ trùng intent trong cụm Christmas/cardinal.</t>
        </is>
      </c>
      <c r="I92" s="2" t="inlineStr">
        <is>
          <t>["evidence_batch_003_029", "https://jeminise.com/products/christmas-cardinal-on-branch-within-patchwork-winter-quilt-892d70543a-892d70543a", "serp_qa_029"]</t>
        </is>
      </c>
      <c r="J92" s="2" t="inlineStr">
        <is>
          <t>[]</t>
        </is>
      </c>
      <c r="K92" s="2" t="inlineStr">
        <is>
          <t>r4</t>
        </is>
      </c>
    </row>
    <row r="93" ht="42" customHeight="1">
      <c r="A93" s="3" t="inlineStr">
        <is>
          <t>jeminise.com+christmas-cardinal-on-branch-within-patchwork-winter-quilt-892d70543a-892d70543a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IF(B93="I1",AVERAGEIF('QA_Images'!$A$2:$A$51,A93,'QA_Images'!$T$2:$T$51)/100,IF(D93="FULL",1,IF(D93="PARTIAL",0.5,IF(D93="FAIL",0,""))))</f>
        <v/>
      </c>
      <c r="F93" s="7">
        <f>IF(E93="",0,C93*E93)</f>
        <v/>
      </c>
      <c r="G93" s="7">
        <f>IF(B93="I1",20*AVERAGEIF('QA_Images'!$A$2:$A$51,A93,'QA_Images'!$U$2:$U$51)/100,IF(D93="NOT_CHECKED",0,C93))</f>
        <v/>
      </c>
      <c r="H93" s="3" t="inlineStr">
        <is>
          <t>Đã đọc lại primary và comparator SERP theo US intent; đánh giá product/kit/pattern result type.</t>
        </is>
      </c>
      <c r="I93" s="3" t="inlineStr">
        <is>
          <t>["evidence_batch_003_029", "https://jeminise.com/products/christmas-cardinal-on-branch-within-patchwork-winter-quilt-892d70543a-892d70543a", "serp_qa_029"]</t>
        </is>
      </c>
      <c r="J93" s="3" t="inlineStr">
        <is>
          <t>[]</t>
        </is>
      </c>
      <c r="K93" s="3" t="inlineStr">
        <is>
          <t>r4</t>
        </is>
      </c>
    </row>
    <row r="94" ht="42" customHeight="1">
      <c r="A94" s="2" t="inlineStr">
        <is>
          <t>jeminise.com+christmas-cardinal-on-branch-within-patchwork-winter-quilt-892d70543a-892d70543a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IF(B94="I1",AVERAGEIF('QA_Images'!$A$2:$A$51,A94,'QA_Images'!$T$2:$T$51)/100,IF(D94="FULL",1,IF(D94="PARTIAL",0.5,IF(D94="FAIL",0,""))))</f>
        <v/>
      </c>
      <c r="F94" s="5">
        <f>IF(E94="",0,C94*E94)</f>
        <v/>
      </c>
      <c r="G94" s="5">
        <f>IF(B94="I1",20*AVERAGEIF('QA_Images'!$A$2:$A$51,A94,'QA_Images'!$U$2:$U$51)/100,IF(D94="NOT_CHECKED",0,C94))</f>
        <v/>
      </c>
      <c r="H94" s="2" t="inlineStr">
        <is>
          <t>Không suy diễn volume; phân biệt SERP_ONLY và HYPOTHESIS_ONLY.</t>
        </is>
      </c>
      <c r="I94" s="2" t="inlineStr">
        <is>
          <t>["evidence_batch_003_029", "https://jeminise.com/products/christmas-cardinal-on-branch-within-patchwork-winter-quilt-892d70543a-892d70543a", "serp_qa_029"]</t>
        </is>
      </c>
      <c r="J94" s="2" t="inlineStr">
        <is>
          <t>[]</t>
        </is>
      </c>
      <c r="K94" s="2" t="inlineStr">
        <is>
          <t>r4</t>
        </is>
      </c>
    </row>
    <row r="95" ht="42" customHeight="1">
      <c r="A95" s="3" t="inlineStr">
        <is>
          <t>jeminise.com+christmas-cardinal-on-branch-within-patchwork-winter-quilt-892d70543a-892d70543a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IF(B95="I1",AVERAGEIF('QA_Images'!$A$2:$A$51,A95,'QA_Images'!$T$2:$T$51)/100,IF(D95="FULL",1,IF(D95="PARTIAL",0.5,IF(D95="FAIL",0,""))))</f>
        <v/>
      </c>
      <c r="F95" s="7">
        <f>IF(E95="",0,C95*E95)</f>
        <v/>
      </c>
      <c r="G95" s="7">
        <f>IF(B95="I1",20*AVERAGEIF('QA_Images'!$A$2:$A$51,A95,'QA_Images'!$U$2:$U$51)/100,IF(D95="NOT_CHECKED",0,C95))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["evidence_batch_003_029", "https://jeminise.com/products/christmas-cardinal-on-branch-within-patchwork-winter-quilt-892d70543a-892d70543a", "serp_qa_029"]</t>
        </is>
      </c>
      <c r="J95" s="3" t="inlineStr">
        <is>
          <t>[]</t>
        </is>
      </c>
      <c r="K95" s="3" t="inlineStr">
        <is>
          <t>r4</t>
        </is>
      </c>
    </row>
    <row r="96" ht="42" customHeight="1">
      <c r="A96" s="2" t="inlineStr">
        <is>
          <t>jeminise.com+christmas-cardinal-on-branch-within-patchwork-winter-quilt-892d70543a-892d70543a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IF(B96="I1",AVERAGEIF('QA_Images'!$A$2:$A$51,A96,'QA_Images'!$T$2:$T$51)/100,IF(D96="FULL",1,IF(D96="PARTIAL",0.5,IF(D96="FAIL",0,""))))</f>
        <v/>
      </c>
      <c r="F96" s="5">
        <f>IF(E96="",0,C96*E96)</f>
        <v/>
      </c>
      <c r="G96" s="5">
        <f>IF(B96="I1",20*AVERAGEIF('QA_Images'!$A$2:$A$51,A96,'QA_Images'!$U$2:$U$51)/100,IF(D96="NOT_CHECKED",0,C96))</f>
        <v/>
      </c>
      <c r="H96" s="2" t="inlineStr">
        <is>
          <t>Đánh giá H1 đề xuất độc lập với SEO title và đối chiếu lỗi ký tự nguồn.</t>
        </is>
      </c>
      <c r="I96" s="2" t="inlineStr">
        <is>
          <t>["evidence_batch_003_029", "https://jeminise.com/products/christmas-cardinal-on-branch-within-patchwork-winter-quilt-892d70543a-892d70543a", "serp_qa_029"]</t>
        </is>
      </c>
      <c r="J96" s="2" t="inlineStr">
        <is>
          <t>[]</t>
        </is>
      </c>
      <c r="K96" s="2" t="inlineStr">
        <is>
          <t>r4</t>
        </is>
      </c>
    </row>
    <row r="97" ht="42" customHeight="1">
      <c r="A97" s="3" t="inlineStr">
        <is>
          <t>jeminise.com+christmas-cardinal-on-branch-within-patchwork-winter-quilt-892d70543a-892d70543a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IF(B97="I1",AVERAGEIF('QA_Images'!$A$2:$A$51,A97,'QA_Images'!$T$2:$T$51)/100,IF(D97="FULL",1,IF(D97="PARTIAL",0.5,IF(D97="FAIL",0,""))))</f>
        <v/>
      </c>
      <c r="F97" s="7">
        <f>IF(E97="",0,C97*E97)</f>
        <v/>
      </c>
      <c r="G97" s="7">
        <f>IF(B97="I1",20*AVERAGEIF('QA_Images'!$A$2:$A$51,A97,'QA_Images'!$U$2:$U$51)/100,IF(D97="NOT_CHECKED",0,C97))</f>
        <v/>
      </c>
      <c r="H97" s="3" t="inlineStr">
        <is>
          <t>Đánh giá meta description về tính cụ thể và căn cứ claim.</t>
        </is>
      </c>
      <c r="I97" s="3" t="inlineStr">
        <is>
          <t>["evidence_batch_003_029", "https://jeminise.com/products/christmas-cardinal-on-branch-within-patchwork-winter-quilt-892d70543a-892d70543a", "serp_qa_029"]</t>
        </is>
      </c>
      <c r="J97" s="3" t="inlineStr">
        <is>
          <t>[]</t>
        </is>
      </c>
      <c r="K97" s="3" t="inlineStr">
        <is>
          <t>r4</t>
        </is>
      </c>
    </row>
    <row r="98" ht="42" customHeight="1">
      <c r="A98" s="2" t="inlineStr">
        <is>
          <t>jeminise.com+christmas-cardinal-on-branch-within-patchwork-winter-quilt-892d70543a-892d70543a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IF(B98="I1",AVERAGEIF('QA_Images'!$A$2:$A$51,A98,'QA_Images'!$T$2:$T$51)/100,IF(D98="FULL",1,IF(D98="PARTIAL",0.5,IF(D98="FAIL",0,""))))</f>
        <v/>
      </c>
      <c r="F98" s="5">
        <f>IF(E98="",0,C98*E98)</f>
        <v/>
      </c>
      <c r="G98" s="5">
        <f>IF(B98="I1",20*AVERAGEIF('QA_Images'!$A$2:$A$51,A98,'QA_Images'!$U$2:$U$51)/100,IF(D98="NOT_CHECKED",0,C98))</f>
        <v/>
      </c>
      <c r="H98" s="2" t="inlineStr">
        <is>
          <t>Description SET có HTML đầy đủ nhưng chứa câu nội bộ 'This draft should be reviewed...' và dữ liệu nguồn thô/mâu thuẫn; chưa phải nội dung publish-ready.</t>
        </is>
      </c>
      <c r="I98" s="2" t="inlineStr">
        <is>
          <t>["evidence_batch_003_029", "https://jeminise.com/products/christmas-cardinal-on-branch-within-patchwork-winter-quilt-892d70543a-892d70543a", "serp_qa_029"]</t>
        </is>
      </c>
      <c r="J98" s="2" t="inlineStr">
        <is>
          <t>[]</t>
        </is>
      </c>
      <c r="K98" s="2" t="inlineStr">
        <is>
          <t>r4</t>
        </is>
      </c>
    </row>
    <row r="99" ht="42" customHeight="1">
      <c r="A99" s="3" t="inlineStr">
        <is>
          <t>jeminise.com+christmas-cardinal-on-branch-within-patchwork-winter-quilt-892d70543a-892d70543a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IF(B99="I1",AVERAGEIF('QA_Images'!$A$2:$A$51,A99,'QA_Images'!$T$2:$T$51)/100,IF(D99="FULL",1,IF(D99="PARTIAL",0.5,IF(D99="FAIL",0,""))))</f>
        <v/>
      </c>
      <c r="F99" s="7">
        <f>IF(E99="",0,C99*E99)</f>
        <v/>
      </c>
      <c r="G99" s="7">
        <f>IF(B99="I1",20*AVERAGEIF('QA_Images'!$A$2:$A$51,A99,'QA_Images'!$U$2:$U$51)/100,IF(D99="NOT_CHECKED",0,C99))</f>
        <v/>
      </c>
      <c r="H99" s="3" t="inlineStr">
        <is>
          <t>Derived from directly checked r4 media records: 100.0/100.</t>
        </is>
      </c>
      <c r="I99" s="3" t="inlineStr">
        <is>
          <t>["evidence_batch_003_029", "https://jeminise.com/products/christmas-cardinal-on-branch-within-patchwork-winter-quilt-892d70543a-892d70543a", "serp_qa_029"]</t>
        </is>
      </c>
      <c r="J99" s="3" t="inlineStr">
        <is>
          <t>[]</t>
        </is>
      </c>
      <c r="K99" s="3" t="inlineStr">
        <is>
          <t>r4</t>
        </is>
      </c>
    </row>
    <row r="100" ht="42" customHeight="1">
      <c r="A100" s="2" t="inlineStr">
        <is>
          <t>jeminise.com+christmas-cardinal-on-branch-within-patchwork-winter-quilt-892d70543a-892d70543a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IF(B100="I1",AVERAGEIF('QA_Images'!$A$2:$A$51,A100,'QA_Images'!$T$2:$T$51)/100,IF(D100="FULL",1,IF(D100="PARTIAL",0.5,IF(D100="FAIL",0,""))))</f>
        <v/>
      </c>
      <c r="F100" s="5">
        <f>IF(E100="",0,C100*E100)</f>
        <v/>
      </c>
      <c r="G100" s="5">
        <f>IF(B100="I1",20*AVERAGEIF('QA_Images'!$A$2:$A$51,A100,'QA_Images'!$U$2:$U$51)/100,IF(D100="NOT_CHECKED",0,C100))</f>
        <v/>
      </c>
      <c r="H100" s="2" t="inlineStr">
        <is>
          <t>Kiểm tra liên kết product key/handle/evidence/revision giữa workbook, snapshot và nguồn live.</t>
        </is>
      </c>
      <c r="I100" s="2" t="inlineStr">
        <is>
          <t>["evidence_batch_003_029", "https://jeminise.com/products/christmas-cardinal-on-branch-within-patchwork-winter-quilt-892d70543a-892d70543a", "serp_qa_029"]</t>
        </is>
      </c>
      <c r="J100" s="2" t="inlineStr">
        <is>
          <t>[]</t>
        </is>
      </c>
      <c r="K100" s="2" t="inlineStr">
        <is>
          <t>r4</t>
        </is>
      </c>
    </row>
    <row r="101" ht="42" customHeight="1">
      <c r="A101" s="3" t="inlineStr">
        <is>
          <t>jeminise.com+christmas-cardinal-perched-on-branch-within-wreath-patchwork-winter-quilt-9e7c0b5896-9e7c0b5896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IF(B101="I1",AVERAGEIF('QA_Images'!$A$2:$A$51,A101,'QA_Images'!$T$2:$T$51)/100,IF(D101="FULL",1,IF(D101="PARTIAL",0.5,IF(D101="FAIL",0,""))))</f>
        <v/>
      </c>
      <c r="F101" s="7">
        <f>IF(E101="",0,C101*E101)</f>
        <v/>
      </c>
      <c r="G101" s="7">
        <f>IF(B101="I1",20*AVERAGEIF('QA_Images'!$A$2:$A$51,A101,'QA_Images'!$U$2:$U$51)/100,IF(D101="NOT_CHECKED",0,C101))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["evidence_batch_003_030", "https://jeminise.com/products/christmas-cardinal-perched-on-branch-within-wreath-patchwork-winter-quilt-9e7c0b5896-9e7c0b5896", "serp_qa_030"]</t>
        </is>
      </c>
      <c r="J101" s="3" t="inlineStr">
        <is>
          <t>[]</t>
        </is>
      </c>
      <c r="K101" s="3" t="inlineStr">
        <is>
          <t>r4</t>
        </is>
      </c>
    </row>
    <row r="102" ht="42" customHeight="1">
      <c r="A102" s="2" t="inlineStr">
        <is>
          <t>jeminise.com+christmas-cardinal-perched-on-branch-within-wreath-patchwork-winter-quilt-9e7c0b5896-9e7c0b5896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IF(B102="I1",AVERAGEIF('QA_Images'!$A$2:$A$51,A102,'QA_Images'!$T$2:$T$51)/100,IF(D102="FULL",1,IF(D102="PARTIAL",0.5,IF(D102="FAIL",0,""))))</f>
        <v/>
      </c>
      <c r="F102" s="5">
        <f>IF(E102="",0,C102*E102)</f>
        <v/>
      </c>
      <c r="G102" s="5">
        <f>IF(B102="I1",20*AVERAGEIF('QA_Images'!$A$2:$A$51,A102,'QA_Images'!$U$2:$U$51)/100,IF(D102="NOT_CHECKED",0,C102))</f>
        <v/>
      </c>
      <c r="H102" s="2" t="inlineStr">
        <is>
          <t>Đối chiếu material, dimensions, components, variants và personalization với product.js live, body HTML và gallery.</t>
        </is>
      </c>
      <c r="I102" s="2" t="inlineStr">
        <is>
          <t>["evidence_batch_003_030", "https://jeminise.com/products/christmas-cardinal-perched-on-branch-within-wreath-patchwork-winter-quilt-9e7c0b5896-9e7c0b5896", "serp_qa_030"]</t>
        </is>
      </c>
      <c r="J102" s="2" t="inlineStr">
        <is>
          <t>[]</t>
        </is>
      </c>
      <c r="K102" s="2" t="inlineStr">
        <is>
          <t>r4</t>
        </is>
      </c>
    </row>
    <row r="103" ht="42" customHeight="1">
      <c r="A103" s="3" t="inlineStr">
        <is>
          <t>jeminise.com+christmas-cardinal-perched-on-branch-within-wreath-patchwork-winter-quilt-9e7c0b5896-9e7c0b5896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IF(B103="I1",AVERAGEIF('QA_Images'!$A$2:$A$51,A103,'QA_Images'!$T$2:$T$51)/100,IF(D103="FULL",1,IF(D103="PARTIAL",0.5,IF(D103="FAIL",0,""))))</f>
        <v/>
      </c>
      <c r="F103" s="7">
        <f>IF(E103="",0,C103*E103)</f>
        <v/>
      </c>
      <c r="G103" s="7">
        <f>IF(B103="I1",20*AVERAGEIF('QA_Images'!$A$2:$A$51,A103,'QA_Images'!$U$2:$U$51)/100,IF(D103="NOT_CHECKED",0,C103))</f>
        <v/>
      </c>
      <c r="H103" s="3" t="inlineStr">
        <is>
          <t>Đối chiếu long-tail với thiết kế trực tiếp nhìn thấy và nguy cơ trùng intent trong cụm Christmas/cardinal.</t>
        </is>
      </c>
      <c r="I103" s="3" t="inlineStr">
        <is>
          <t>["evidence_batch_003_030", "https://jeminise.com/products/christmas-cardinal-perched-on-branch-within-wreath-patchwork-winter-quilt-9e7c0b5896-9e7c0b5896", "serp_qa_030"]</t>
        </is>
      </c>
      <c r="J103" s="3" t="inlineStr">
        <is>
          <t>[]</t>
        </is>
      </c>
      <c r="K103" s="3" t="inlineStr">
        <is>
          <t>r4</t>
        </is>
      </c>
    </row>
    <row r="104" ht="42" customHeight="1">
      <c r="A104" s="2" t="inlineStr">
        <is>
          <t>jeminise.com+christmas-cardinal-perched-on-branch-within-wreath-patchwork-winter-quilt-9e7c0b5896-9e7c0b5896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IF(B104="I1",AVERAGEIF('QA_Images'!$A$2:$A$51,A104,'QA_Images'!$T$2:$T$51)/100,IF(D104="FULL",1,IF(D104="PARTIAL",0.5,IF(D104="FAIL",0,""))))</f>
        <v/>
      </c>
      <c r="F104" s="5">
        <f>IF(E104="",0,C104*E104)</f>
        <v/>
      </c>
      <c r="G104" s="5">
        <f>IF(B104="I1",20*AVERAGEIF('QA_Images'!$A$2:$A$51,A104,'QA_Images'!$U$2:$U$51)/100,IF(D104="NOT_CHECKED",0,C104))</f>
        <v/>
      </c>
      <c r="H104" s="2" t="inlineStr">
        <is>
          <t>Đã đọc lại primary và comparator SERP theo US intent; đánh giá product/kit/pattern result type.</t>
        </is>
      </c>
      <c r="I104" s="2" t="inlineStr">
        <is>
          <t>["evidence_batch_003_030", "https://jeminise.com/products/christmas-cardinal-perched-on-branch-within-wreath-patchwork-winter-quilt-9e7c0b5896-9e7c0b5896", "serp_qa_030"]</t>
        </is>
      </c>
      <c r="J104" s="2" t="inlineStr">
        <is>
          <t>[]</t>
        </is>
      </c>
      <c r="K104" s="2" t="inlineStr">
        <is>
          <t>r4</t>
        </is>
      </c>
    </row>
    <row r="105" ht="42" customHeight="1">
      <c r="A105" s="3" t="inlineStr">
        <is>
          <t>jeminise.com+christmas-cardinal-perched-on-branch-within-wreath-patchwork-winter-quilt-9e7c0b5896-9e7c0b5896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IF(B105="I1",AVERAGEIF('QA_Images'!$A$2:$A$51,A105,'QA_Images'!$T$2:$T$51)/100,IF(D105="FULL",1,IF(D105="PARTIAL",0.5,IF(D105="FAIL",0,""))))</f>
        <v/>
      </c>
      <c r="F105" s="7">
        <f>IF(E105="",0,C105*E105)</f>
        <v/>
      </c>
      <c r="G105" s="7">
        <f>IF(B105="I1",20*AVERAGEIF('QA_Images'!$A$2:$A$51,A105,'QA_Images'!$U$2:$U$51)/100,IF(D105="NOT_CHECKED",0,C105))</f>
        <v/>
      </c>
      <c r="H105" s="3" t="inlineStr">
        <is>
          <t>Không suy diễn volume; phân biệt SERP_ONLY và HYPOTHESIS_ONLY.</t>
        </is>
      </c>
      <c r="I105" s="3" t="inlineStr">
        <is>
          <t>["evidence_batch_003_030", "https://jeminise.com/products/christmas-cardinal-perched-on-branch-within-wreath-patchwork-winter-quilt-9e7c0b5896-9e7c0b5896", "serp_qa_030"]</t>
        </is>
      </c>
      <c r="J105" s="3" t="inlineStr">
        <is>
          <t>[]</t>
        </is>
      </c>
      <c r="K105" s="3" t="inlineStr">
        <is>
          <t>r4</t>
        </is>
      </c>
    </row>
    <row r="106" ht="42" customHeight="1">
      <c r="A106" s="2" t="inlineStr">
        <is>
          <t>jeminise.com+christmas-cardinal-perched-on-branch-within-wreath-patchwork-winter-quilt-9e7c0b5896-9e7c0b5896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IF(B106="I1",AVERAGEIF('QA_Images'!$A$2:$A$51,A106,'QA_Images'!$T$2:$T$51)/100,IF(D106="FULL",1,IF(D106="PARTIAL",0.5,IF(D106="FAIL",0,""))))</f>
        <v/>
      </c>
      <c r="F106" s="5">
        <f>IF(E106="",0,C106*E106)</f>
        <v/>
      </c>
      <c r="G106" s="5">
        <f>IF(B106="I1",20*AVERAGEIF('QA_Images'!$A$2:$A$51,A106,'QA_Images'!$U$2:$U$51)/100,IF(D106="NOT_CHECKED",0,C106))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["evidence_batch_003_030", "https://jeminise.com/products/christmas-cardinal-perched-on-branch-within-wreath-patchwork-winter-quilt-9e7c0b5896-9e7c0b5896", "serp_qa_030"]</t>
        </is>
      </c>
      <c r="J106" s="2" t="inlineStr">
        <is>
          <t>[]</t>
        </is>
      </c>
      <c r="K106" s="2" t="inlineStr">
        <is>
          <t>r4</t>
        </is>
      </c>
    </row>
    <row r="107" ht="42" customHeight="1">
      <c r="A107" s="3" t="inlineStr">
        <is>
          <t>jeminise.com+christmas-cardinal-perched-on-branch-within-wreath-patchwork-winter-quilt-9e7c0b5896-9e7c0b5896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IF(B107="I1",AVERAGEIF('QA_Images'!$A$2:$A$51,A107,'QA_Images'!$T$2:$T$51)/100,IF(D107="FULL",1,IF(D107="PARTIAL",0.5,IF(D107="FAIL",0,""))))</f>
        <v/>
      </c>
      <c r="F107" s="7">
        <f>IF(E107="",0,C107*E107)</f>
        <v/>
      </c>
      <c r="G107" s="7">
        <f>IF(B107="I1",20*AVERAGEIF('QA_Images'!$A$2:$A$51,A107,'QA_Images'!$U$2:$U$51)/100,IF(D107="NOT_CHECKED",0,C107))</f>
        <v/>
      </c>
      <c r="H107" s="3" t="inlineStr">
        <is>
          <t>Đánh giá H1 đề xuất độc lập với SEO title và đối chiếu lỗi ký tự nguồn.</t>
        </is>
      </c>
      <c r="I107" s="3" t="inlineStr">
        <is>
          <t>["evidence_batch_003_030", "https://jeminise.com/products/christmas-cardinal-perched-on-branch-within-wreath-patchwork-winter-quilt-9e7c0b5896-9e7c0b5896", "serp_qa_030"]</t>
        </is>
      </c>
      <c r="J107" s="3" t="inlineStr">
        <is>
          <t>[]</t>
        </is>
      </c>
      <c r="K107" s="3" t="inlineStr">
        <is>
          <t>r4</t>
        </is>
      </c>
    </row>
    <row r="108" ht="42" customHeight="1">
      <c r="A108" s="2" t="inlineStr">
        <is>
          <t>jeminise.com+christmas-cardinal-perched-on-branch-within-wreath-patchwork-winter-quilt-9e7c0b5896-9e7c0b5896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IF(B108="I1",AVERAGEIF('QA_Images'!$A$2:$A$51,A108,'QA_Images'!$T$2:$T$51)/100,IF(D108="FULL",1,IF(D108="PARTIAL",0.5,IF(D108="FAIL",0,""))))</f>
        <v/>
      </c>
      <c r="F108" s="5">
        <f>IF(E108="",0,C108*E108)</f>
        <v/>
      </c>
      <c r="G108" s="5">
        <f>IF(B108="I1",20*AVERAGEIF('QA_Images'!$A$2:$A$51,A108,'QA_Images'!$U$2:$U$51)/100,IF(D108="NOT_CHECKED",0,C108))</f>
        <v/>
      </c>
      <c r="H108" s="2" t="inlineStr">
        <is>
          <t>Đánh giá meta description về tính cụ thể và căn cứ claim.</t>
        </is>
      </c>
      <c r="I108" s="2" t="inlineStr">
        <is>
          <t>["evidence_batch_003_030", "https://jeminise.com/products/christmas-cardinal-perched-on-branch-within-wreath-patchwork-winter-quilt-9e7c0b5896-9e7c0b5896", "serp_qa_030"]</t>
        </is>
      </c>
      <c r="J108" s="2" t="inlineStr">
        <is>
          <t>[]</t>
        </is>
      </c>
      <c r="K108" s="2" t="inlineStr">
        <is>
          <t>r4</t>
        </is>
      </c>
    </row>
    <row r="109" ht="42" customHeight="1">
      <c r="A109" s="3" t="inlineStr">
        <is>
          <t>jeminise.com+christmas-cardinal-perched-on-branch-within-wreath-patchwork-winter-quilt-9e7c0b5896-9e7c0b5896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IF(B109="I1",AVERAGEIF('QA_Images'!$A$2:$A$51,A109,'QA_Images'!$T$2:$T$51)/100,IF(D109="FULL",1,IF(D109="PARTIAL",0.5,IF(D109="FAIL",0,""))))</f>
        <v/>
      </c>
      <c r="F109" s="7">
        <f>IF(E109="",0,C109*E109)</f>
        <v/>
      </c>
      <c r="G109" s="7">
        <f>IF(B109="I1",20*AVERAGEIF('QA_Images'!$A$2:$A$51,A109,'QA_Images'!$U$2:$U$51)/100,IF(D109="NOT_CHECKED",0,C109))</f>
        <v/>
      </c>
      <c r="H109" s="3" t="inlineStr">
        <is>
          <t>Description SET có HTML đầy đủ nhưng chứa câu nội bộ 'This draft should be reviewed...' và dữ liệu nguồn thô/mâu thuẫn; chưa phải nội dung publish-ready.</t>
        </is>
      </c>
      <c r="I109" s="3" t="inlineStr">
        <is>
          <t>["evidence_batch_003_030", "https://jeminise.com/products/christmas-cardinal-perched-on-branch-within-wreath-patchwork-winter-quilt-9e7c0b5896-9e7c0b5896", "serp_qa_030"]</t>
        </is>
      </c>
      <c r="J109" s="3" t="inlineStr">
        <is>
          <t>[]</t>
        </is>
      </c>
      <c r="K109" s="3" t="inlineStr">
        <is>
          <t>r4</t>
        </is>
      </c>
    </row>
    <row r="110" ht="42" customHeight="1">
      <c r="A110" s="2" t="inlineStr">
        <is>
          <t>jeminise.com+christmas-cardinal-perched-on-branch-within-wreath-patchwork-winter-quilt-9e7c0b5896-9e7c0b5896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IF(B110="I1",AVERAGEIF('QA_Images'!$A$2:$A$51,A110,'QA_Images'!$T$2:$T$51)/100,IF(D110="FULL",1,IF(D110="PARTIAL",0.5,IF(D110="FAIL",0,""))))</f>
        <v/>
      </c>
      <c r="F110" s="5">
        <f>IF(E110="",0,C110*E110)</f>
        <v/>
      </c>
      <c r="G110" s="5">
        <f>IF(B110="I1",20*AVERAGEIF('QA_Images'!$A$2:$A$51,A110,'QA_Images'!$U$2:$U$51)/100,IF(D110="NOT_CHECKED",0,C110))</f>
        <v/>
      </c>
      <c r="H110" s="2" t="inlineStr">
        <is>
          <t>Derived from directly checked r4 media records: 100.0/100.</t>
        </is>
      </c>
      <c r="I110" s="2" t="inlineStr">
        <is>
          <t>["evidence_batch_003_030", "https://jeminise.com/products/christmas-cardinal-perched-on-branch-within-wreath-patchwork-winter-quilt-9e7c0b5896-9e7c0b5896", "serp_qa_030"]</t>
        </is>
      </c>
      <c r="J110" s="2" t="inlineStr">
        <is>
          <t>[]</t>
        </is>
      </c>
      <c r="K110" s="2" t="inlineStr">
        <is>
          <t>r4</t>
        </is>
      </c>
    </row>
    <row r="111" ht="42" customHeight="1">
      <c r="A111" s="3" t="inlineStr">
        <is>
          <t>jeminise.com+christmas-cardinal-perched-on-branch-within-wreath-patchwork-winter-quilt-9e7c0b5896-9e7c0b5896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IF(B111="I1",AVERAGEIF('QA_Images'!$A$2:$A$51,A111,'QA_Images'!$T$2:$T$51)/100,IF(D111="FULL",1,IF(D111="PARTIAL",0.5,IF(D111="FAIL",0,""))))</f>
        <v/>
      </c>
      <c r="F111" s="7">
        <f>IF(E111="",0,C111*E111)</f>
        <v/>
      </c>
      <c r="G111" s="7">
        <f>IF(B111="I1",20*AVERAGEIF('QA_Images'!$A$2:$A$51,A111,'QA_Images'!$U$2:$U$51)/100,IF(D111="NOT_CHECKED",0,C111))</f>
        <v/>
      </c>
      <c r="H111" s="3" t="inlineStr">
        <is>
          <t>Kiểm tra liên kết product key/handle/evidence/revision giữa workbook, snapshot và nguồn live.</t>
        </is>
      </c>
      <c r="I111" s="3" t="inlineStr">
        <is>
          <t>["evidence_batch_003_030", "https://jeminise.com/products/christmas-cardinal-perched-on-branch-within-wreath-patchwork-winter-quilt-9e7c0b5896-9e7c0b5896", "serp_qa_030"]</t>
        </is>
      </c>
      <c r="J111" s="3" t="inlineStr">
        <is>
          <t>[]</t>
        </is>
      </c>
      <c r="K111" s="3" t="inlineStr">
        <is>
          <t>r4</t>
        </is>
      </c>
    </row>
  </sheetData>
  <autoFilter ref="A1:K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  <col width="11" customWidth="1" min="27" max="27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 ht="66" customHeight="1">
      <c r="A2" s="2" t="inlineStr">
        <is>
          <t>jeminise.com+christmas-bedding-quilt-soft-microfiber-holiday-bedsprea-design-05</t>
        </is>
      </c>
      <c r="B2" s="2" t="inlineStr">
        <is>
          <t>qaimg_3b1892f0f41c718e</t>
        </is>
      </c>
      <c r="C2" s="4" t="inlineStr">
        <is>
          <t>https://cdn.shopify.com/s/files/1/0792/5098/1063/files/7db6811c66637965300a2e7b9c74cbf013694f223ecb0c00a52fba2970fa6e22.jpg?v=1787239304</t>
        </is>
      </c>
      <c r="D2" s="4" t="inlineStr">
        <is>
          <t>https://cdn.shopify.com/s/files/1/0792/5098/1063/files/7db6811c66637965300a2e7b9c74cbf013694f223ecb0c00a52fba2970fa6e22.jpg?v=1787239304</t>
        </is>
      </c>
      <c r="E2" s="2" t="inlineStr">
        <is>
          <t>38895268790471</t>
        </is>
      </c>
      <c r="F2" s="2" t="inlineStr">
        <is>
          <t>47934032314567</t>
        </is>
      </c>
      <c r="G2" s="2" t="inlineStr"/>
      <c r="H2" s="2" t="inlineStr">
        <is>
          <t>GALLERY</t>
        </is>
      </c>
      <c r="I2" s="2" t="inlineStr">
        <is>
          <t>DIRECT_ORIGINAL_IMAGE_REQA + R4_MEDIA_ID_COMPARISON</t>
        </is>
      </c>
      <c r="J2" s="2" t="inlineStr">
        <is>
          <t>2026-09-07T22:20:44.842298+07:00</t>
        </is>
      </c>
      <c r="K2" s="2" t="inlineStr">
        <is>
          <t>Front bedroom mockup of a cream Christmas quilt with a gingerbread man, candy cane, green bow and peppermint border.</t>
        </is>
      </c>
      <c r="L2" s="2" t="inlineStr">
        <is>
          <t>Main bed mockup showing cream gingerbread man and candy cane Christmas quilt.</t>
        </is>
      </c>
      <c r="M2" s="2" t="inlineStr">
        <is>
          <t>Christmas Bedding Quilt – Soft Microfiber Holiday Bedspread, Lightweight Winter Bedding, Cozy Xmas Quilts for Couch, Bedroom &amp; Seasonal Home Decorations (Christmas Quilt-DS05)</t>
        </is>
      </c>
      <c r="N2" s="2" t="inlineStr">
        <is>
          <t>SET</t>
        </is>
      </c>
      <c r="O2" s="2" t="inlineStr">
        <is>
          <t>Personalized Gingerbread Candy Cane Christmas Quilt Set product image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["seo_runs\\jeminise.com\\20260906_234129\\evidence\\images\\21_christmas-bedding-quilt-soft-microfiber-holiday-bedsprea-design-05\\image_01_47934032314567.jpg; seo_runs\\jeminise.com\\20260906_234129\\evidence\\contact_sheets\\21_christmas-bedding-quilt-soft-microfiber-holiday-bedsprea-design-05.jpg", "https://jeminise.com/products/christmas-bedding-quilt-soft-microfiber-holiday-bedsprea-design-05", "https://cdn.shopify.com/s/files/1/0792/5098/1063/files/7db6811c66637965300a2e7b9c74cbf013694f223ecb0c00a52fba2970fa6e22.jpg?v=1787239304"]</t>
        </is>
      </c>
      <c r="AA2" s="2" t="inlineStr">
        <is>
          <t>r4</t>
        </is>
      </c>
    </row>
    <row r="3" ht="66" customHeight="1">
      <c r="A3" s="3" t="inlineStr">
        <is>
          <t>jeminise.com+christmas-bedding-quilt-soft-microfiber-holiday-bedsprea-design-05</t>
        </is>
      </c>
      <c r="B3" s="3" t="inlineStr">
        <is>
          <t>qaimg_d60f2c3e4da9bb23</t>
        </is>
      </c>
      <c r="C3" s="4" t="inlineStr">
        <is>
          <t>https://cdn.shopify.com/s/files/1/0792/5098/1063/files/16c248973ae48e0a9cc4448f2002965ba9049a188545c2818d9f66e2db24f2a5.jpg?v=1787239304</t>
        </is>
      </c>
      <c r="D3" s="4" t="inlineStr">
        <is>
          <t>https://cdn.shopify.com/s/files/1/0792/5098/1063/files/16c248973ae48e0a9cc4448f2002965ba9049a188545c2818d9f66e2db24f2a5.jpg?v=1787239304</t>
        </is>
      </c>
      <c r="E3" s="3" t="inlineStr">
        <is>
          <t>38895268823239</t>
        </is>
      </c>
      <c r="F3" s="3" t="inlineStr">
        <is>
          <t>47934032347335</t>
        </is>
      </c>
      <c r="G3" s="3" t="inlineStr"/>
      <c r="H3" s="3" t="inlineStr">
        <is>
          <t>GALLERY</t>
        </is>
      </c>
      <c r="I3" s="3" t="inlineStr">
        <is>
          <t>DIRECT_ORIGINAL_IMAGE_REQA + R4_MEDIA_ID_COMPARISON</t>
        </is>
      </c>
      <c r="J3" s="3" t="inlineStr">
        <is>
          <t>2026-09-07T22:20:44.842298+07:00</t>
        </is>
      </c>
      <c r="K3" s="3" t="inlineStr">
        <is>
          <t>Angled bedroom mockup of the same gingerbread-and-candy-cane Christmas quilt.</t>
        </is>
      </c>
      <c r="L3" s="3" t="inlineStr">
        <is>
          <t>Angled bedroom mockup showing the cream gingerbread man and candy cane Christmas quilt quilt and matching shams.</t>
        </is>
      </c>
      <c r="M3" s="3" t="inlineStr">
        <is>
          <t>Christmas Bedding Quilt – Soft Microfiber Holiday Bedspread, Lightweight Winter Bedding, Cozy Xmas Quilts for Couch, Bedroom &amp; Seasonal Home Decorations (Christmas Quilt-DS05)</t>
        </is>
      </c>
      <c r="N3" s="3" t="inlineStr">
        <is>
          <t>SET</t>
        </is>
      </c>
      <c r="O3" s="3" t="inlineStr">
        <is>
          <t>Personalized Gingerbread Candy Cane Christmas Quilt Set product image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["seo_runs\\jeminise.com\\20260906_234129\\evidence\\images\\21_christmas-bedding-quilt-soft-microfiber-holiday-bedsprea-design-05\\image_02_47934032347335.jpg; seo_runs\\jeminise.com\\20260906_234129\\evidence\\contact_sheets\\21_christmas-bedding-quilt-soft-microfiber-holiday-bedsprea-design-05.jpg", "https://jeminise.com/products/christmas-bedding-quilt-soft-microfiber-holiday-bedsprea-design-05", "https://cdn.shopify.com/s/files/1/0792/5098/1063/files/16c248973ae48e0a9cc4448f2002965ba9049a188545c2818d9f66e2db24f2a5.jpg?v=1787239304"]</t>
        </is>
      </c>
      <c r="AA3" s="3" t="inlineStr">
        <is>
          <t>r4</t>
        </is>
      </c>
    </row>
    <row r="4" ht="66" customHeight="1">
      <c r="A4" s="2" t="inlineStr">
        <is>
          <t>jeminise.com+christmas-bedding-quilt-soft-microfiber-holiday-bedsprea-design-05</t>
        </is>
      </c>
      <c r="B4" s="2" t="inlineStr">
        <is>
          <t>qaimg_a89e6c5c17ce820f</t>
        </is>
      </c>
      <c r="C4" s="4" t="inlineStr">
        <is>
          <t>https://cdn.shopify.com/s/files/1/0792/5098/1063/files/323ea5e3469590e61df70a45da30caeee15b2197d409a07ec242f1425c067466.jpg?v=1787239304</t>
        </is>
      </c>
      <c r="D4" s="4" t="inlineStr">
        <is>
          <t>https://cdn.shopify.com/s/files/1/0792/5098/1063/files/323ea5e3469590e61df70a45da30caeee15b2197d409a07ec242f1425c067466.jpg?v=1787239304</t>
        </is>
      </c>
      <c r="E4" s="2" t="inlineStr">
        <is>
          <t>38895268856007</t>
        </is>
      </c>
      <c r="F4" s="2" t="inlineStr">
        <is>
          <t>47934032380103</t>
        </is>
      </c>
      <c r="G4" s="2" t="inlineStr"/>
      <c r="H4" s="2" t="inlineStr">
        <is>
          <t>GALLERY</t>
        </is>
      </c>
      <c r="I4" s="2" t="inlineStr">
        <is>
          <t>DIRECT_ORIGINAL_IMAGE_REQA + R4_MEDIA_ID_COMPARISON</t>
        </is>
      </c>
      <c r="J4" s="2" t="inlineStr">
        <is>
          <t>2026-09-07T22:20:44.842298+07:00</t>
        </is>
      </c>
      <c r="K4" s="2" t="inlineStr">
        <is>
          <t>Close-up of the printed gingerbread bow and candy-cane surface with visible quilting lines.</t>
        </is>
      </c>
      <c r="L4" s="2" t="inlineStr">
        <is>
          <t>Matching pillow sham with cream gingerbread man and candy cane Christmas quilt artwork.</t>
        </is>
      </c>
      <c r="M4" s="2" t="inlineStr">
        <is>
          <t>Christmas Bedding Quilt – Soft Microfiber Holiday Bedspread, Lightweight Winter Bedding, Cozy Xmas Quilts for Couch, Bedroom &amp; Seasonal Home Decorations (Christmas Quilt-DS05)</t>
        </is>
      </c>
      <c r="N4" s="2" t="inlineStr">
        <is>
          <t>SET</t>
        </is>
      </c>
      <c r="O4" s="2" t="inlineStr">
        <is>
          <t>Personalized Gingerbread Candy Cane Christmas Quilt Set product image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["seo_runs\\jeminise.com\\20260906_234129\\evidence\\images\\21_christmas-bedding-quilt-soft-microfiber-holiday-bedsprea-design-05\\image_03_47934032380103.jpg; seo_runs\\jeminise.com\\20260906_234129\\evidence\\contact_sheets\\21_christmas-bedding-quilt-soft-microfiber-holiday-bedsprea-design-05.jpg", "https://jeminise.com/products/christmas-bedding-quilt-soft-microfiber-holiday-bedsprea-design-05", "https://cdn.shopify.com/s/files/1/0792/5098/1063/files/323ea5e3469590e61df70a45da30caeee15b2197d409a07ec242f1425c067466.jpg?v=1787239304"]</t>
        </is>
      </c>
      <c r="AA4" s="2" t="inlineStr">
        <is>
          <t>r4</t>
        </is>
      </c>
    </row>
    <row r="5" ht="66" customHeight="1">
      <c r="A5" s="3" t="inlineStr">
        <is>
          <t>jeminise.com+christmas-bedding-quilt-soft-microfiber-holiday-bedsprea-design-05</t>
        </is>
      </c>
      <c r="B5" s="3" t="inlineStr">
        <is>
          <t>qaimg_7d7c7bc9d4c25ee7</t>
        </is>
      </c>
      <c r="C5" s="4" t="inlineStr">
        <is>
          <t>https://cdn.shopify.com/s/files/1/0792/5098/1063/files/a9d73f05a5624e29d69e9f45c9035fc8ce6d17dce0280be079f2697dfabb6a95.jpg?v=1787239304</t>
        </is>
      </c>
      <c r="D5" s="4" t="inlineStr">
        <is>
          <t>https://cdn.shopify.com/s/files/1/0792/5098/1063/files/a9d73f05a5624e29d69e9f45c9035fc8ce6d17dce0280be079f2697dfabb6a95.jpg?v=1787239304</t>
        </is>
      </c>
      <c r="E5" s="3" t="inlineStr">
        <is>
          <t>38895268888775</t>
        </is>
      </c>
      <c r="F5" s="3" t="inlineStr">
        <is>
          <t>47934032412871</t>
        </is>
      </c>
      <c r="G5" s="3" t="inlineStr"/>
      <c r="H5" s="3" t="inlineStr">
        <is>
          <t>GALLERY</t>
        </is>
      </c>
      <c r="I5" s="3" t="inlineStr">
        <is>
          <t>DIRECT_ORIGINAL_IMAGE_REQA + R4_MEDIA_ID_COMPARISON</t>
        </is>
      </c>
      <c r="J5" s="3" t="inlineStr">
        <is>
          <t>2026-09-07T22:20:44.842298+07:00</t>
        </is>
      </c>
      <c r="K5" s="3" t="inlineStr">
        <is>
          <t>Isolated matching pillow sham with gingerbread man and candy cane artwork.</t>
        </is>
      </c>
      <c r="L5" s="3" t="inlineStr">
        <is>
          <t>Close-up view of the printed/quilted texture and cream gingerbread man and candy cane Christmas quilt detail.</t>
        </is>
      </c>
      <c r="M5" s="3" t="inlineStr">
        <is>
          <t>Christmas Bedding Quilt – Soft Microfiber Holiday Bedspread, Lightweight Winter Bedding, Cozy Xmas Quilts for Couch, Bedroom &amp; Seasonal Home Decorations (Christmas Quilt-DS05)</t>
        </is>
      </c>
      <c r="N5" s="3" t="inlineStr">
        <is>
          <t>SET</t>
        </is>
      </c>
      <c r="O5" s="3" t="inlineStr">
        <is>
          <t>Personalized Gingerbread Candy Cane Christmas Quilt Set product image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[]</t>
        </is>
      </c>
      <c r="Z5" s="3" t="inlineStr">
        <is>
          <t>["seo_runs\\jeminise.com\\20260906_234129\\evidence\\images\\21_christmas-bedding-quilt-soft-microfiber-holiday-bedsprea-design-05\\image_04_47934032412871.jpg; seo_runs\\jeminise.com\\20260906_234129\\evidence\\contact_sheets\\21_christmas-bedding-quilt-soft-microfiber-holiday-bedsprea-design-05.jpg", "https://jeminise.com/products/christmas-bedding-quilt-soft-microfiber-holiday-bedsprea-design-05", "https://cdn.shopify.com/s/files/1/0792/5098/1063/files/a9d73f05a5624e29d69e9f45c9035fc8ce6d17dce0280be079f2697dfabb6a95.jpg?v=1787239304"]</t>
        </is>
      </c>
      <c r="AA5" s="3" t="inlineStr">
        <is>
          <t>r4</t>
        </is>
      </c>
    </row>
    <row r="6" ht="66" customHeight="1">
      <c r="A6" s="2" t="inlineStr">
        <is>
          <t>jeminise.com+christmas-bedding-quilt-soft-microfiber-holiday-bedsprea-design-05</t>
        </is>
      </c>
      <c r="B6" s="2" t="inlineStr">
        <is>
          <t>qaimg_79be3ce8e550e4ae</t>
        </is>
      </c>
      <c r="C6" s="4" t="inlineStr">
        <is>
          <t>https://cdn.shopify.com/s/files/1/0792/5098/1063/files/0461d860e029a4d27649c56e37e256172572e09064aab3d6823b9226c1ee8c9b.jpg?v=1787239304</t>
        </is>
      </c>
      <c r="D6" s="4" t="inlineStr">
        <is>
          <t>https://cdn.shopify.com/s/files/1/0792/5098/1063/files/0461d860e029a4d27649c56e37e256172572e09064aab3d6823b9226c1ee8c9b.jpg?v=1787239304</t>
        </is>
      </c>
      <c r="E6" s="2" t="inlineStr">
        <is>
          <t>38895268921543</t>
        </is>
      </c>
      <c r="F6" s="2" t="inlineStr">
        <is>
          <t>47934032445639</t>
        </is>
      </c>
      <c r="G6" s="2" t="inlineStr"/>
      <c r="H6" s="2" t="inlineStr">
        <is>
          <t>GALLERY</t>
        </is>
      </c>
      <c r="I6" s="2" t="inlineStr">
        <is>
          <t>DIRECT_ORIGINAL_IMAGE_REQA + R4_MEDIA_ID_COMPARISON</t>
        </is>
      </c>
      <c r="J6" s="2" t="inlineStr">
        <is>
          <t>2026-09-07T22:20:44.842298+07:00</t>
        </is>
      </c>
      <c r="K6" s="2" t="inlineStr">
        <is>
          <t>Included-components and size graphic: one premium quilt plus two optional standard shams; Throw, Twin, Queen and King dimensions.</t>
        </is>
      </c>
      <c r="L6" s="2" t="inlineStr">
        <is>
          <t>Included-components and size information image for the quilt set.</t>
        </is>
      </c>
      <c r="M6" s="2" t="inlineStr">
        <is>
          <t>Christmas Bedding Quilt – Soft Microfiber Holiday Bedspread, Lightweight Winter Bedding, Cozy Xmas Quilts for Couch, Bedroom &amp; Seasonal Home Decorations (Christmas Quilt-DS05)</t>
        </is>
      </c>
      <c r="N6" s="2" t="inlineStr">
        <is>
          <t>SET</t>
        </is>
      </c>
      <c r="O6" s="2" t="inlineStr">
        <is>
          <t>Personalized Gingerbread Candy Cane Christmas Quilt Set product image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["seo_runs\\jeminise.com\\20260906_234129\\evidence\\images\\21_christmas-bedding-quilt-soft-microfiber-holiday-bedsprea-design-05\\image_05_47934032445639.jpg; seo_runs\\jeminise.com\\20260906_234129\\evidence\\contact_sheets\\21_christmas-bedding-quilt-soft-microfiber-holiday-bedsprea-design-05.jpg", "https://jeminise.com/products/christmas-bedding-quilt-soft-microfiber-holiday-bedsprea-design-05", "https://cdn.shopify.com/s/files/1/0792/5098/1063/files/0461d860e029a4d27649c56e37e256172572e09064aab3d6823b9226c1ee8c9b.jpg?v=1787239304"]</t>
        </is>
      </c>
      <c r="AA6" s="2" t="inlineStr">
        <is>
          <t>r4</t>
        </is>
      </c>
    </row>
    <row r="7" ht="66" customHeight="1">
      <c r="A7" s="3" t="inlineStr">
        <is>
          <t>jeminise.com+christmas-bedding-quilt-soft-microfiber-holiday-bedsprea-design-06</t>
        </is>
      </c>
      <c r="B7" s="3" t="inlineStr">
        <is>
          <t>qaimg_d8049b1aff78f5fa</t>
        </is>
      </c>
      <c r="C7" s="4" t="inlineStr">
        <is>
          <t>https://cdn.shopify.com/s/files/1/0792/5098/1063/files/72e69cf5279e1503866df817e765ec4b9528ac9d374090ff6a383b64dc802f0f.jpg?v=1787239327</t>
        </is>
      </c>
      <c r="D7" s="4" t="inlineStr">
        <is>
          <t>https://cdn.shopify.com/s/files/1/0792/5098/1063/files/72e69cf5279e1503866df817e765ec4b9528ac9d374090ff6a383b64dc802f0f.jpg?v=1787239327</t>
        </is>
      </c>
      <c r="E7" s="3" t="inlineStr">
        <is>
          <t>38895272100039</t>
        </is>
      </c>
      <c r="F7" s="3" t="inlineStr">
        <is>
          <t>47934035427527</t>
        </is>
      </c>
      <c r="G7" s="3" t="inlineStr"/>
      <c r="H7" s="3" t="inlineStr">
        <is>
          <t>GALLERY</t>
        </is>
      </c>
      <c r="I7" s="3" t="inlineStr">
        <is>
          <t>DIRECT_ORIGINAL_IMAGE_REQA + R4_MEDIA_ID_COMPARISON</t>
        </is>
      </c>
      <c r="J7" s="3" t="inlineStr">
        <is>
          <t>2026-09-07T22:20:44.842298+07:00</t>
        </is>
      </c>
      <c r="K7" s="3" t="inlineStr">
        <is>
          <t>Front bedroom mockup of a black Christmas-tree quilt with ornaments, snowflakes and wrapped gifts.</t>
        </is>
      </c>
      <c r="L7" s="3" t="inlineStr">
        <is>
          <t>Main bed mockup showing black Christmas tree quilt with ornaments and gifts.</t>
        </is>
      </c>
      <c r="M7" s="3" t="inlineStr">
        <is>
          <t>Christmas Bedding Quilt – Soft Microfiber Holiday Bedspread, Lightweight Winter Bedding, Cozy Xmas Quilts for Couch, Bedroom &amp; Seasonal Home Decorations (Christmas Quilt-DS06)</t>
        </is>
      </c>
      <c r="N7" s="3" t="inlineStr">
        <is>
          <t>SET</t>
        </is>
      </c>
      <c r="O7" s="3" t="inlineStr">
        <is>
          <t>Personalized Black Christmas Tree Quilt Set product image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["seo_runs\\jeminise.com\\20260906_234129\\evidence\\images\\22_christmas-bedding-quilt-soft-microfiber-holiday-bedsprea-design-06\\image_01_47934035427527.jpg; seo_runs\\jeminise.com\\20260906_234129\\evidence\\contact_sheets\\22_christmas-bedding-quilt-soft-microfiber-holiday-bedsprea-design-06.jpg", "https://jeminise.com/products/christmas-bedding-quilt-soft-microfiber-holiday-bedsprea-design-06", "https://cdn.shopify.com/s/files/1/0792/5098/1063/files/72e69cf5279e1503866df817e765ec4b9528ac9d374090ff6a383b64dc802f0f.jpg?v=1787239327"]</t>
        </is>
      </c>
      <c r="AA7" s="3" t="inlineStr">
        <is>
          <t>r4</t>
        </is>
      </c>
    </row>
    <row r="8" ht="66" customHeight="1">
      <c r="A8" s="2" t="inlineStr">
        <is>
          <t>jeminise.com+christmas-bedding-quilt-soft-microfiber-holiday-bedsprea-design-06</t>
        </is>
      </c>
      <c r="B8" s="2" t="inlineStr">
        <is>
          <t>qaimg_8b1396097d5a8e9d</t>
        </is>
      </c>
      <c r="C8" s="4" t="inlineStr">
        <is>
          <t>https://cdn.shopify.com/s/files/1/0792/5098/1063/files/1f0bc53734f9d184eafeba37de9d2d68714be1c73b540fbe08ef60be1bc69fa5.jpg?v=1787239327</t>
        </is>
      </c>
      <c r="D8" s="4" t="inlineStr">
        <is>
          <t>https://cdn.shopify.com/s/files/1/0792/5098/1063/files/1f0bc53734f9d184eafeba37de9d2d68714be1c73b540fbe08ef60be1bc69fa5.jpg?v=1787239327</t>
        </is>
      </c>
      <c r="E8" s="2" t="inlineStr">
        <is>
          <t>38895272132807</t>
        </is>
      </c>
      <c r="F8" s="2" t="inlineStr">
        <is>
          <t>47934035460295</t>
        </is>
      </c>
      <c r="G8" s="2" t="inlineStr"/>
      <c r="H8" s="2" t="inlineStr">
        <is>
          <t>GALLERY</t>
        </is>
      </c>
      <c r="I8" s="2" t="inlineStr">
        <is>
          <t>DIRECT_ORIGINAL_IMAGE_REQA + R4_MEDIA_ID_COMPARISON</t>
        </is>
      </c>
      <c r="J8" s="2" t="inlineStr">
        <is>
          <t>2026-09-07T22:20:44.842298+07:00</t>
        </is>
      </c>
      <c r="K8" s="2" t="inlineStr">
        <is>
          <t>Angled bedroom mockup of the same black Christmas-tree quilt.</t>
        </is>
      </c>
      <c r="L8" s="2" t="inlineStr">
        <is>
          <t>Angled bedroom mockup showing the black Christmas tree quilt with ornaments and gifts quilt and matching shams.</t>
        </is>
      </c>
      <c r="M8" s="2" t="inlineStr">
        <is>
          <t>Christmas Bedding Quilt – Soft Microfiber Holiday Bedspread, Lightweight Winter Bedding, Cozy Xmas Quilts for Couch, Bedroom &amp; Seasonal Home Decorations (Christmas Quilt-DS06)</t>
        </is>
      </c>
      <c r="N8" s="2" t="inlineStr">
        <is>
          <t>SET</t>
        </is>
      </c>
      <c r="O8" s="2" t="inlineStr">
        <is>
          <t>Personalized Black Christmas Tree Quilt Set product image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["seo_runs\\jeminise.com\\20260906_234129\\evidence\\images\\22_christmas-bedding-quilt-soft-microfiber-holiday-bedsprea-design-06\\image_02_47934035460295.jpg; seo_runs\\jeminise.com\\20260906_234129\\evidence\\contact_sheets\\22_christmas-bedding-quilt-soft-microfiber-holiday-bedsprea-design-06.jpg", "https://jeminise.com/products/christmas-bedding-quilt-soft-microfiber-holiday-bedsprea-design-06", "https://cdn.shopify.com/s/files/1/0792/5098/1063/files/1f0bc53734f9d184eafeba37de9d2d68714be1c73b540fbe08ef60be1bc69fa5.jpg?v=1787239327"]</t>
        </is>
      </c>
      <c r="AA8" s="2" t="inlineStr">
        <is>
          <t>r4</t>
        </is>
      </c>
    </row>
    <row r="9" ht="66" customHeight="1">
      <c r="A9" s="3" t="inlineStr">
        <is>
          <t>jeminise.com+christmas-bedding-quilt-soft-microfiber-holiday-bedsprea-design-06</t>
        </is>
      </c>
      <c r="B9" s="3" t="inlineStr">
        <is>
          <t>qaimg_4ad323b46fbb3b15</t>
        </is>
      </c>
      <c r="C9" s="4" t="inlineStr">
        <is>
          <t>https://cdn.shopify.com/s/files/1/0792/5098/1063/files/9f875161013c7183bc18456508e00b3634194100adb029e0ff7c1be3bada05cf.jpg?v=1787239327</t>
        </is>
      </c>
      <c r="D9" s="4" t="inlineStr">
        <is>
          <t>https://cdn.shopify.com/s/files/1/0792/5098/1063/files/9f875161013c7183bc18456508e00b3634194100adb029e0ff7c1be3bada05cf.jpg?v=1787239327</t>
        </is>
      </c>
      <c r="E9" s="3" t="inlineStr">
        <is>
          <t>38895272165575</t>
        </is>
      </c>
      <c r="F9" s="3" t="inlineStr">
        <is>
          <t>47934035493063</t>
        </is>
      </c>
      <c r="G9" s="3" t="inlineStr"/>
      <c r="H9" s="3" t="inlineStr">
        <is>
          <t>GALLERY</t>
        </is>
      </c>
      <c r="I9" s="3" t="inlineStr">
        <is>
          <t>DIRECT_ORIGINAL_IMAGE_REQA + R4_MEDIA_ID_COMPARISON</t>
        </is>
      </c>
      <c r="J9" s="3" t="inlineStr">
        <is>
          <t>2026-09-07T22:20:44.842298+07:00</t>
        </is>
      </c>
      <c r="K9" s="3" t="inlineStr">
        <is>
          <t>Isolated matching pillow sham with decorated tree and gift artwork.</t>
        </is>
      </c>
      <c r="L9" s="3" t="inlineStr">
        <is>
          <t>Matching pillow sham with black Christmas tree quilt with ornaments and gifts artwork.</t>
        </is>
      </c>
      <c r="M9" s="3" t="inlineStr">
        <is>
          <t>Christmas Bedding Quilt – Soft Microfiber Holiday Bedspread, Lightweight Winter Bedding, Cozy Xmas Quilts for Couch, Bedroom &amp; Seasonal Home Decorations (Christmas Quilt-DS06)</t>
        </is>
      </c>
      <c r="N9" s="3" t="inlineStr">
        <is>
          <t>SET</t>
        </is>
      </c>
      <c r="O9" s="3" t="inlineStr">
        <is>
          <t>Personalized Black Christmas Tree Quilt Set product image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["seo_runs\\jeminise.com\\20260906_234129\\evidence\\images\\22_christmas-bedding-quilt-soft-microfiber-holiday-bedsprea-design-06\\image_03_47934035493063.jpg; seo_runs\\jeminise.com\\20260906_234129\\evidence\\contact_sheets\\22_christmas-bedding-quilt-soft-microfiber-holiday-bedsprea-design-06.jpg", "https://jeminise.com/products/christmas-bedding-quilt-soft-microfiber-holiday-bedsprea-design-06", "https://cdn.shopify.com/s/files/1/0792/5098/1063/files/9f875161013c7183bc18456508e00b3634194100adb029e0ff7c1be3bada05cf.jpg?v=1787239327"]</t>
        </is>
      </c>
      <c r="AA9" s="3" t="inlineStr">
        <is>
          <t>r4</t>
        </is>
      </c>
    </row>
    <row r="10" ht="66" customHeight="1">
      <c r="A10" s="2" t="inlineStr">
        <is>
          <t>jeminise.com+christmas-bedding-quilt-soft-microfiber-holiday-bedsprea-design-06</t>
        </is>
      </c>
      <c r="B10" s="2" t="inlineStr">
        <is>
          <t>qaimg_89cedf4228b13065</t>
        </is>
      </c>
      <c r="C10" s="4" t="inlineStr">
        <is>
          <t>https://cdn.shopify.com/s/files/1/0792/5098/1063/files/de596ab0879cec52ad5e2a96c2ef7ec529fa83fcec514ad55907502143e123a0.jpg?v=1787239327</t>
        </is>
      </c>
      <c r="D10" s="4" t="inlineStr">
        <is>
          <t>https://cdn.shopify.com/s/files/1/0792/5098/1063/files/de596ab0879cec52ad5e2a96c2ef7ec529fa83fcec514ad55907502143e123a0.jpg?v=1787239327</t>
        </is>
      </c>
      <c r="E10" s="2" t="inlineStr">
        <is>
          <t>38895272198343</t>
        </is>
      </c>
      <c r="F10" s="2" t="inlineStr">
        <is>
          <t>47934035525831</t>
        </is>
      </c>
      <c r="G10" s="2" t="inlineStr"/>
      <c r="H10" s="2" t="inlineStr">
        <is>
          <t>GALLERY</t>
        </is>
      </c>
      <c r="I10" s="2" t="inlineStr">
        <is>
          <t>DIRECT_ORIGINAL_IMAGE_REQA + R4_MEDIA_ID_COMPARISON</t>
        </is>
      </c>
      <c r="J10" s="2" t="inlineStr">
        <is>
          <t>2026-09-07T22:20:44.842298+07:00</t>
        </is>
      </c>
      <c r="K10" s="2" t="inlineStr">
        <is>
          <t>Close-up of the printed Christmas-tree surface with visible quilting lines.</t>
        </is>
      </c>
      <c r="L10" s="2" t="inlineStr">
        <is>
          <t>Close-up view of the printed/quilted texture and black Christmas tree quilt with ornaments and gifts detail.</t>
        </is>
      </c>
      <c r="M10" s="2" t="inlineStr">
        <is>
          <t>Christmas Bedding Quilt – Soft Microfiber Holiday Bedspread, Lightweight Winter Bedding, Cozy Xmas Quilts for Couch, Bedroom &amp; Seasonal Home Decorations (Christmas Quilt-DS06)</t>
        </is>
      </c>
      <c r="N10" s="2" t="inlineStr">
        <is>
          <t>SET</t>
        </is>
      </c>
      <c r="O10" s="2" t="inlineStr">
        <is>
          <t>Personalized Black Christmas Tree Quilt Set product image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["seo_runs\\jeminise.com\\20260906_234129\\evidence\\images\\22_christmas-bedding-quilt-soft-microfiber-holiday-bedsprea-design-06\\image_04_47934035525831.jpg; seo_runs\\jeminise.com\\20260906_234129\\evidence\\contact_sheets\\22_christmas-bedding-quilt-soft-microfiber-holiday-bedsprea-design-06.jpg", "https://jeminise.com/products/christmas-bedding-quilt-soft-microfiber-holiday-bedsprea-design-06", "https://cdn.shopify.com/s/files/1/0792/5098/1063/files/de596ab0879cec52ad5e2a96c2ef7ec529fa83fcec514ad55907502143e123a0.jpg?v=1787239327"]</t>
        </is>
      </c>
      <c r="AA10" s="2" t="inlineStr">
        <is>
          <t>r4</t>
        </is>
      </c>
    </row>
    <row r="11" ht="66" customHeight="1">
      <c r="A11" s="3" t="inlineStr">
        <is>
          <t>jeminise.com+christmas-bedding-quilt-soft-microfiber-holiday-bedsprea-design-06</t>
        </is>
      </c>
      <c r="B11" s="3" t="inlineStr">
        <is>
          <t>qaimg_29ecfa2fd03f1c9f</t>
        </is>
      </c>
      <c r="C11" s="4" t="inlineStr">
        <is>
          <t>https://cdn.shopify.com/s/files/1/0792/5098/1063/files/c551c6c00f378c8ae6d61af5e53faaf79a1375863eefd1febffb9ecee0e3e4c9.jpg?v=1787239327</t>
        </is>
      </c>
      <c r="D11" s="4" t="inlineStr">
        <is>
          <t>https://cdn.shopify.com/s/files/1/0792/5098/1063/files/c551c6c00f378c8ae6d61af5e53faaf79a1375863eefd1febffb9ecee0e3e4c9.jpg?v=1787239327</t>
        </is>
      </c>
      <c r="E11" s="3" t="inlineStr">
        <is>
          <t>38895272231111</t>
        </is>
      </c>
      <c r="F11" s="3" t="inlineStr">
        <is>
          <t>47934035558599</t>
        </is>
      </c>
      <c r="G11" s="3" t="inlineStr"/>
      <c r="H11" s="3" t="inlineStr">
        <is>
          <t>GALLERY</t>
        </is>
      </c>
      <c r="I11" s="3" t="inlineStr">
        <is>
          <t>DIRECT_ORIGINAL_IMAGE_REQA + R4_MEDIA_ID_COMPARISON</t>
        </is>
      </c>
      <c r="J11" s="3" t="inlineStr">
        <is>
          <t>2026-09-07T22:20:44.842298+07:00</t>
        </is>
      </c>
      <c r="K11" s="3" t="inlineStr">
        <is>
          <t>Included-components and size graphic: one premium quilt plus two optional standard shams; Throw, Twin, Queen and King dimensions.</t>
        </is>
      </c>
      <c r="L11" s="3" t="inlineStr">
        <is>
          <t>Included-components and size information image for the quilt set.</t>
        </is>
      </c>
      <c r="M11" s="3" t="inlineStr">
        <is>
          <t>Christmas Bedding Quilt – Soft Microfiber Holiday Bedspread, Lightweight Winter Bedding, Cozy Xmas Quilts for Couch, Bedroom &amp; Seasonal Home Decorations (Christmas Quilt-DS06)</t>
        </is>
      </c>
      <c r="N11" s="3" t="inlineStr">
        <is>
          <t>SET</t>
        </is>
      </c>
      <c r="O11" s="3" t="inlineStr">
        <is>
          <t>Personalized Black Christmas Tree Quilt Set product image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["seo_runs\\jeminise.com\\20260906_234129\\evidence\\images\\22_christmas-bedding-quilt-soft-microfiber-holiday-bedsprea-design-06\\image_05_47934035558599.jpg; seo_runs\\jeminise.com\\20260906_234129\\evidence\\contact_sheets\\22_christmas-bedding-quilt-soft-microfiber-holiday-bedsprea-design-06.jpg", "https://jeminise.com/products/christmas-bedding-quilt-soft-microfiber-holiday-bedsprea-design-06", "https://cdn.shopify.com/s/files/1/0792/5098/1063/files/c551c6c00f378c8ae6d61af5e53faaf79a1375863eefd1febffb9ecee0e3e4c9.jpg?v=1787239327"]</t>
        </is>
      </c>
      <c r="AA11" s="3" t="inlineStr">
        <is>
          <t>r4</t>
        </is>
      </c>
    </row>
    <row r="12" ht="66" customHeight="1">
      <c r="A12" s="2" t="inlineStr">
        <is>
          <t>jeminise.com+christmas-bedding-quilt-soft-microfiber-holiday-bedsprea-design-08</t>
        </is>
      </c>
      <c r="B12" s="2" t="inlineStr">
        <is>
          <t>qaimg_953ca80518f15da6</t>
        </is>
      </c>
      <c r="C12" s="4" t="inlineStr">
        <is>
          <t>https://cdn.shopify.com/s/files/1/0792/5098/1063/files/46ac5bc18554d3c8eef4fcfd803278c3caa3d66a0c5dad038cb8e03d55416938.jpg?v=1787239336</t>
        </is>
      </c>
      <c r="D12" s="4" t="inlineStr">
        <is>
          <t>https://cdn.shopify.com/s/files/1/0792/5098/1063/files/46ac5bc18554d3c8eef4fcfd803278c3caa3d66a0c5dad038cb8e03d55416938.jpg?v=1787239336</t>
        </is>
      </c>
      <c r="E12" s="2" t="inlineStr">
        <is>
          <t>38895273083079</t>
        </is>
      </c>
      <c r="F12" s="2" t="inlineStr">
        <is>
          <t>47934036541639</t>
        </is>
      </c>
      <c r="G12" s="2" t="inlineStr"/>
      <c r="H12" s="2" t="inlineStr">
        <is>
          <t>GALLERY</t>
        </is>
      </c>
      <c r="I12" s="2" t="inlineStr">
        <is>
          <t>DIRECT_ORIGINAL_IMAGE_REQA + R4_MEDIA_ID_COMPARISON</t>
        </is>
      </c>
      <c r="J12" s="2" t="inlineStr">
        <is>
          <t>2026-09-07T22:20:44.842298+07:00</t>
        </is>
      </c>
      <c r="K12" s="2" t="inlineStr">
        <is>
          <t>Front bedroom mockup of a soft blue-and-cream winter quilt with red cardinals, snowy birdhouse and wreath.</t>
        </is>
      </c>
      <c r="L12" s="2" t="inlineStr">
        <is>
          <t>Main bed mockup showing winter cardinal birdhouse quilt in soft blue and cream.</t>
        </is>
      </c>
      <c r="M12" s="2" t="inlineStr">
        <is>
          <t>Christmas Bedding Quilt – Soft Microfiber Holiday Bedspread, Lightweight Winter Bedding, Cozy Xmas Quilts for Couch, Bedroom &amp; Seasonal Home Decorations (Christmas Quilt-DS08)</t>
        </is>
      </c>
      <c r="N12" s="2" t="inlineStr">
        <is>
          <t>SET</t>
        </is>
      </c>
      <c r="O12" s="2" t="inlineStr">
        <is>
          <t>Personalized Winter Cardinal Birdhouse Quilt Set product image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["seo_runs\\jeminise.com\\20260906_234129\\evidence\\images\\23_christmas-bedding-quilt-soft-microfiber-holiday-bedsprea-design-08\\image_01_47934036541639.jpg; seo_runs\\jeminise.com\\20260906_234129\\evidence\\contact_sheets\\23_christmas-bedding-quilt-soft-microfiber-holiday-bedsprea-design-08.jpg", "https://jeminise.com/products/christmas-bedding-quilt-soft-microfiber-holiday-bedsprea-design-08", "https://cdn.shopify.com/s/files/1/0792/5098/1063/files/46ac5bc18554d3c8eef4fcfd803278c3caa3d66a0c5dad038cb8e03d55416938.jpg?v=1787239336"]</t>
        </is>
      </c>
      <c r="AA12" s="2" t="inlineStr">
        <is>
          <t>r4</t>
        </is>
      </c>
    </row>
    <row r="13" ht="66" customHeight="1">
      <c r="A13" s="3" t="inlineStr">
        <is>
          <t>jeminise.com+christmas-bedding-quilt-soft-microfiber-holiday-bedsprea-design-08</t>
        </is>
      </c>
      <c r="B13" s="3" t="inlineStr">
        <is>
          <t>qaimg_9b3592ddada7bedd</t>
        </is>
      </c>
      <c r="C13" s="4" t="inlineStr">
        <is>
          <t>https://cdn.shopify.com/s/files/1/0792/5098/1063/files/6253d0d99a44a39ec73a70fccf1fd5474c4304769ed308a2bce71e6ae7fc6773.jpg?v=1787239336</t>
        </is>
      </c>
      <c r="D13" s="4" t="inlineStr">
        <is>
          <t>https://cdn.shopify.com/s/files/1/0792/5098/1063/files/6253d0d99a44a39ec73a70fccf1fd5474c4304769ed308a2bce71e6ae7fc6773.jpg?v=1787239336</t>
        </is>
      </c>
      <c r="E13" s="3" t="inlineStr">
        <is>
          <t>38895273115847</t>
        </is>
      </c>
      <c r="F13" s="3" t="inlineStr">
        <is>
          <t>47934036574407</t>
        </is>
      </c>
      <c r="G13" s="3" t="inlineStr"/>
      <c r="H13" s="3" t="inlineStr">
        <is>
          <t>GALLERY</t>
        </is>
      </c>
      <c r="I13" s="3" t="inlineStr">
        <is>
          <t>DIRECT_ORIGINAL_IMAGE_REQA + R4_MEDIA_ID_COMPARISON</t>
        </is>
      </c>
      <c r="J13" s="3" t="inlineStr">
        <is>
          <t>2026-09-07T22:20:44.842298+07:00</t>
        </is>
      </c>
      <c r="K13" s="3" t="inlineStr">
        <is>
          <t>Angled bedroom mockup of the same cardinal-and-birdhouse winter quilt.</t>
        </is>
      </c>
      <c r="L13" s="3" t="inlineStr">
        <is>
          <t>Angled bedroom mockup showing the winter cardinal birdhouse quilt in soft blue and cream quilt and matching shams.</t>
        </is>
      </c>
      <c r="M13" s="3" t="inlineStr">
        <is>
          <t>Christmas Bedding Quilt – Soft Microfiber Holiday Bedspread, Lightweight Winter Bedding, Cozy Xmas Quilts for Couch, Bedroom &amp; Seasonal Home Decorations (Christmas Quilt-DS08)</t>
        </is>
      </c>
      <c r="N13" s="3" t="inlineStr">
        <is>
          <t>SET</t>
        </is>
      </c>
      <c r="O13" s="3" t="inlineStr">
        <is>
          <t>Personalized Winter Cardinal Birdhouse Quilt Set product image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["seo_runs\\jeminise.com\\20260906_234129\\evidence\\images\\23_christmas-bedding-quilt-soft-microfiber-holiday-bedsprea-design-08\\image_02_47934036574407.jpg; seo_runs\\jeminise.com\\20260906_234129\\evidence\\contact_sheets\\23_christmas-bedding-quilt-soft-microfiber-holiday-bedsprea-design-08.jpg", "https://jeminise.com/products/christmas-bedding-quilt-soft-microfiber-holiday-bedsprea-design-08", "https://cdn.shopify.com/s/files/1/0792/5098/1063/files/6253d0d99a44a39ec73a70fccf1fd5474c4304769ed308a2bce71e6ae7fc6773.jpg?v=1787239336"]</t>
        </is>
      </c>
      <c r="AA13" s="3" t="inlineStr">
        <is>
          <t>r4</t>
        </is>
      </c>
    </row>
    <row r="14" ht="66" customHeight="1">
      <c r="A14" s="2" t="inlineStr">
        <is>
          <t>jeminise.com+christmas-bedding-quilt-soft-microfiber-holiday-bedsprea-design-08</t>
        </is>
      </c>
      <c r="B14" s="2" t="inlineStr">
        <is>
          <t>qaimg_326b2ee63be4dfcb</t>
        </is>
      </c>
      <c r="C14" s="4" t="inlineStr">
        <is>
          <t>https://cdn.shopify.com/s/files/1/0792/5098/1063/files/2de8ef1ba93562897c63ce73c8318e5dfa629b1dde66298ab9a0975f5c8e67fa.jpg?v=1787239336</t>
        </is>
      </c>
      <c r="D14" s="4" t="inlineStr">
        <is>
          <t>https://cdn.shopify.com/s/files/1/0792/5098/1063/files/2de8ef1ba93562897c63ce73c8318e5dfa629b1dde66298ab9a0975f5c8e67fa.jpg?v=1787239336</t>
        </is>
      </c>
      <c r="E14" s="2" t="inlineStr">
        <is>
          <t>38895273148615</t>
        </is>
      </c>
      <c r="F14" s="2" t="inlineStr">
        <is>
          <t>47934036607175</t>
        </is>
      </c>
      <c r="G14" s="2" t="inlineStr"/>
      <c r="H14" s="2" t="inlineStr">
        <is>
          <t>GALLERY</t>
        </is>
      </c>
      <c r="I14" s="2" t="inlineStr">
        <is>
          <t>DIRECT_ORIGINAL_IMAGE_REQA + R4_MEDIA_ID_COMPARISON</t>
        </is>
      </c>
      <c r="J14" s="2" t="inlineStr">
        <is>
          <t>2026-09-07T22:20:44.842298+07:00</t>
        </is>
      </c>
      <c r="K14" s="2" t="inlineStr">
        <is>
          <t>Isolated matching pillow sham with two red cardinals and snowy birdhouse artwork.</t>
        </is>
      </c>
      <c r="L14" s="2" t="inlineStr">
        <is>
          <t>Matching pillow sham with winter cardinal birdhouse quilt in soft blue and cream artwork.</t>
        </is>
      </c>
      <c r="M14" s="2" t="inlineStr">
        <is>
          <t>Christmas Bedding Quilt – Soft Microfiber Holiday Bedspread, Lightweight Winter Bedding, Cozy Xmas Quilts for Couch, Bedroom &amp; Seasonal Home Decorations (Christmas Quilt-DS08)</t>
        </is>
      </c>
      <c r="N14" s="2" t="inlineStr">
        <is>
          <t>SET</t>
        </is>
      </c>
      <c r="O14" s="2" t="inlineStr">
        <is>
          <t>Personalized Winter Cardinal Birdhouse Quilt Set product image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["seo_runs\\jeminise.com\\20260906_234129\\evidence\\images\\23_christmas-bedding-quilt-soft-microfiber-holiday-bedsprea-design-08\\image_03_47934036607175.jpg; seo_runs\\jeminise.com\\20260906_234129\\evidence\\contact_sheets\\23_christmas-bedding-quilt-soft-microfiber-holiday-bedsprea-design-08.jpg", "https://jeminise.com/products/christmas-bedding-quilt-soft-microfiber-holiday-bedsprea-design-08", "https://cdn.shopify.com/s/files/1/0792/5098/1063/files/2de8ef1ba93562897c63ce73c8318e5dfa629b1dde66298ab9a0975f5c8e67fa.jpg?v=1787239336"]</t>
        </is>
      </c>
      <c r="AA14" s="2" t="inlineStr">
        <is>
          <t>r4</t>
        </is>
      </c>
    </row>
    <row r="15" ht="66" customHeight="1">
      <c r="A15" s="3" t="inlineStr">
        <is>
          <t>jeminise.com+christmas-bedding-quilt-soft-microfiber-holiday-bedsprea-design-08</t>
        </is>
      </c>
      <c r="B15" s="3" t="inlineStr">
        <is>
          <t>qaimg_b962a24650ba5a38</t>
        </is>
      </c>
      <c r="C15" s="4" t="inlineStr">
        <is>
          <t>https://cdn.shopify.com/s/files/1/0792/5098/1063/files/3b2f22710d1a46e0e095953b6c975ddfea342c3464885dc25bfef9b9378fdb2e.jpg?v=1787239336</t>
        </is>
      </c>
      <c r="D15" s="4" t="inlineStr">
        <is>
          <t>https://cdn.shopify.com/s/files/1/0792/5098/1063/files/3b2f22710d1a46e0e095953b6c975ddfea342c3464885dc25bfef9b9378fdb2e.jpg?v=1787239336</t>
        </is>
      </c>
      <c r="E15" s="3" t="inlineStr">
        <is>
          <t>38895273181383</t>
        </is>
      </c>
      <c r="F15" s="3" t="inlineStr">
        <is>
          <t>47934036639943</t>
        </is>
      </c>
      <c r="G15" s="3" t="inlineStr"/>
      <c r="H15" s="3" t="inlineStr">
        <is>
          <t>GALLERY</t>
        </is>
      </c>
      <c r="I15" s="3" t="inlineStr">
        <is>
          <t>DIRECT_ORIGINAL_IMAGE_REQA + R4_MEDIA_ID_COMPARISON</t>
        </is>
      </c>
      <c r="J15" s="3" t="inlineStr">
        <is>
          <t>2026-09-07T22:20:44.842298+07:00</t>
        </is>
      </c>
      <c r="K15" s="3" t="inlineStr">
        <is>
          <t>Close-up of the printed cardinal, birdhouse and wreath surface with visible quilting lines.</t>
        </is>
      </c>
      <c r="L15" s="3" t="inlineStr">
        <is>
          <t>Close-up view of the printed/quilted texture and winter cardinal birdhouse quilt in soft blue and cream detail.</t>
        </is>
      </c>
      <c r="M15" s="3" t="inlineStr">
        <is>
          <t>Christmas Bedding Quilt – Soft Microfiber Holiday Bedspread, Lightweight Winter Bedding, Cozy Xmas Quilts for Couch, Bedroom &amp; Seasonal Home Decorations (Christmas Quilt-DS08)</t>
        </is>
      </c>
      <c r="N15" s="3" t="inlineStr">
        <is>
          <t>SET</t>
        </is>
      </c>
      <c r="O15" s="3" t="inlineStr">
        <is>
          <t>Personalized Winter Cardinal Birdhouse Quilt Set product image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["seo_runs\\jeminise.com\\20260906_234129\\evidence\\images\\23_christmas-bedding-quilt-soft-microfiber-holiday-bedsprea-design-08\\image_04_47934036639943.jpg; seo_runs\\jeminise.com\\20260906_234129\\evidence\\contact_sheets\\23_christmas-bedding-quilt-soft-microfiber-holiday-bedsprea-design-08.jpg", "https://jeminise.com/products/christmas-bedding-quilt-soft-microfiber-holiday-bedsprea-design-08", "https://cdn.shopify.com/s/files/1/0792/5098/1063/files/3b2f22710d1a46e0e095953b6c975ddfea342c3464885dc25bfef9b9378fdb2e.jpg?v=1787239336"]</t>
        </is>
      </c>
      <c r="AA15" s="3" t="inlineStr">
        <is>
          <t>r4</t>
        </is>
      </c>
    </row>
    <row r="16" ht="66" customHeight="1">
      <c r="A16" s="2" t="inlineStr">
        <is>
          <t>jeminise.com+christmas-bedding-quilt-soft-microfiber-holiday-bedsprea-design-08</t>
        </is>
      </c>
      <c r="B16" s="2" t="inlineStr">
        <is>
          <t>qaimg_7e6547018439f403</t>
        </is>
      </c>
      <c r="C16" s="4" t="inlineStr">
        <is>
          <t>https://cdn.shopify.com/s/files/1/0792/5098/1063/files/0dee6830a719b55bc41e1ff6962d26e0a61f2f790098df31d82ccf6c573e00bb.jpg?v=1787239336</t>
        </is>
      </c>
      <c r="D16" s="4" t="inlineStr">
        <is>
          <t>https://cdn.shopify.com/s/files/1/0792/5098/1063/files/0dee6830a719b55bc41e1ff6962d26e0a61f2f790098df31d82ccf6c573e00bb.jpg?v=1787239336</t>
        </is>
      </c>
      <c r="E16" s="2" t="inlineStr">
        <is>
          <t>38895273214151</t>
        </is>
      </c>
      <c r="F16" s="2" t="inlineStr">
        <is>
          <t>47934036672711</t>
        </is>
      </c>
      <c r="G16" s="2" t="inlineStr"/>
      <c r="H16" s="2" t="inlineStr">
        <is>
          <t>GALLERY</t>
        </is>
      </c>
      <c r="I16" s="2" t="inlineStr">
        <is>
          <t>DIRECT_ORIGINAL_IMAGE_REQA + R4_MEDIA_ID_COMPARISON</t>
        </is>
      </c>
      <c r="J16" s="2" t="inlineStr">
        <is>
          <t>2026-09-07T22:20:44.842298+07:00</t>
        </is>
      </c>
      <c r="K16" s="2" t="inlineStr">
        <is>
          <t>Included-components and size graphic: one premium quilt plus two optional standard shams; Throw, Twin, Queen and King dimensions.</t>
        </is>
      </c>
      <c r="L16" s="2" t="inlineStr">
        <is>
          <t>Included-components and size information image for the quilt set.</t>
        </is>
      </c>
      <c r="M16" s="2" t="inlineStr">
        <is>
          <t>Christmas Bedding Quilt – Soft Microfiber Holiday Bedspread, Lightweight Winter Bedding, Cozy Xmas Quilts for Couch, Bedroom &amp; Seasonal Home Decorations (Christmas Quilt-DS08)</t>
        </is>
      </c>
      <c r="N16" s="2" t="inlineStr">
        <is>
          <t>SET</t>
        </is>
      </c>
      <c r="O16" s="2" t="inlineStr">
        <is>
          <t>Personalized Winter Cardinal Birdhouse Quilt Set product image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["seo_runs\\jeminise.com\\20260906_234129\\evidence\\images\\23_christmas-bedding-quilt-soft-microfiber-holiday-bedsprea-design-08\\image_05_47934036672711.jpg; seo_runs\\jeminise.com\\20260906_234129\\evidence\\contact_sheets\\23_christmas-bedding-quilt-soft-microfiber-holiday-bedsprea-design-08.jpg", "https://jeminise.com/products/christmas-bedding-quilt-soft-microfiber-holiday-bedsprea-design-08", "https://cdn.shopify.com/s/files/1/0792/5098/1063/files/0dee6830a719b55bc41e1ff6962d26e0a61f2f790098df31d82ccf6c573e00bb.jpg?v=1787239336"]</t>
        </is>
      </c>
      <c r="AA16" s="2" t="inlineStr">
        <is>
          <t>r4</t>
        </is>
      </c>
    </row>
    <row r="17" ht="66" customHeight="1">
      <c r="A17" s="3" t="inlineStr">
        <is>
          <t>jeminise.com+christmas-bedding-quilt-soft-microfiber-holiday-bedsprea-design-09</t>
        </is>
      </c>
      <c r="B17" s="3" t="inlineStr">
        <is>
          <t>qaimg_16b72d9c4f7d71ff</t>
        </is>
      </c>
      <c r="C17" s="4" t="inlineStr">
        <is>
          <t>https://cdn.shopify.com/s/files/1/0792/5098/1063/files/d2bc26d7e0a1539757ff02234b818258378a4fed938876959c8d6c2a9252ab74.jpg?v=1787239380</t>
        </is>
      </c>
      <c r="D17" s="4" t="inlineStr">
        <is>
          <t>https://cdn.shopify.com/s/files/1/0792/5098/1063/files/d2bc26d7e0a1539757ff02234b818258378a4fed938876959c8d6c2a9252ab74.jpg?v=1787239380</t>
        </is>
      </c>
      <c r="E17" s="3" t="inlineStr">
        <is>
          <t>38895277342919</t>
        </is>
      </c>
      <c r="F17" s="3" t="inlineStr">
        <is>
          <t>47934040703175</t>
        </is>
      </c>
      <c r="G17" s="3" t="inlineStr"/>
      <c r="H17" s="3" t="inlineStr">
        <is>
          <t>GALLERY</t>
        </is>
      </c>
      <c r="I17" s="3" t="inlineStr">
        <is>
          <t>DIRECT_ORIGINAL_IMAGE_REQA + R4_MEDIA_ID_COMPARISON</t>
        </is>
      </c>
      <c r="J17" s="3" t="inlineStr">
        <is>
          <t>2026-09-07T22:20:44.842298+07:00</t>
        </is>
      </c>
      <c r="K17" s="3" t="inlineStr">
        <is>
          <t>Front bedroom mockup of a large gingerbread figure in a green hat and scarf, surrounded by gifts, cookies and a snowy village.</t>
        </is>
      </c>
      <c r="L17" s="3" t="inlineStr">
        <is>
          <t>Main bed mockup showing snowman Christmas village quilt with gifts and cookies.</t>
        </is>
      </c>
      <c r="M17" s="3" t="inlineStr">
        <is>
          <t>Christmas Bedding Quilt – Soft Microfiber Holiday Bedspread, Lightweight Winter Bedding, Cozy Xmas Quilts for Couch, Bedroom &amp; Seasonal Home Decorations (Christmas Quilt-DS09)</t>
        </is>
      </c>
      <c r="N17" s="3" t="inlineStr">
        <is>
          <t>SET</t>
        </is>
      </c>
      <c r="O17" s="3" t="inlineStr">
        <is>
          <t>Personalized Gingerbread Christmas Village Quilt Set product image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["seo_runs\\jeminise.com\\20260906_234129\\evidence\\images\\24_christmas-bedding-quilt-soft-microfiber-holiday-bedsprea-design-09\\image_01_47934040703175.jpg; seo_runs\\jeminise.com\\20260906_234129\\evidence\\contact_sheets\\24_christmas-bedding-quilt-soft-microfiber-holiday-bedsprea-design-09.jpg", "https://jeminise.com/products/christmas-bedding-quilt-soft-microfiber-holiday-bedsprea-design-09", "https://cdn.shopify.com/s/files/1/0792/5098/1063/files/d2bc26d7e0a1539757ff02234b818258378a4fed938876959c8d6c2a9252ab74.jpg?v=1787239380"]</t>
        </is>
      </c>
      <c r="AA17" s="3" t="inlineStr">
        <is>
          <t>r4</t>
        </is>
      </c>
    </row>
    <row r="18" ht="66" customHeight="1">
      <c r="A18" s="2" t="inlineStr">
        <is>
          <t>jeminise.com+christmas-bedding-quilt-soft-microfiber-holiday-bedsprea-design-09</t>
        </is>
      </c>
      <c r="B18" s="2" t="inlineStr">
        <is>
          <t>qaimg_b1a6746c5dfcdcc8</t>
        </is>
      </c>
      <c r="C18" s="4" t="inlineStr">
        <is>
          <t>https://cdn.shopify.com/s/files/1/0792/5098/1063/files/92819bbb1bab62430498426868c03f6a71d83b02976baffe6e9ae7c163a8d57a.jpg?v=1787239380</t>
        </is>
      </c>
      <c r="D18" s="4" t="inlineStr">
        <is>
          <t>https://cdn.shopify.com/s/files/1/0792/5098/1063/files/92819bbb1bab62430498426868c03f6a71d83b02976baffe6e9ae7c163a8d57a.jpg?v=1787239380</t>
        </is>
      </c>
      <c r="E18" s="2" t="inlineStr">
        <is>
          <t>38895277375687</t>
        </is>
      </c>
      <c r="F18" s="2" t="inlineStr">
        <is>
          <t>47934040735943</t>
        </is>
      </c>
      <c r="G18" s="2" t="inlineStr"/>
      <c r="H18" s="2" t="inlineStr">
        <is>
          <t>GALLERY</t>
        </is>
      </c>
      <c r="I18" s="2" t="inlineStr">
        <is>
          <t>DIRECT_ORIGINAL_IMAGE_REQA + R4_MEDIA_ID_COMPARISON</t>
        </is>
      </c>
      <c r="J18" s="2" t="inlineStr">
        <is>
          <t>2026-09-07T22:20:44.842298+07:00</t>
        </is>
      </c>
      <c r="K18" s="2" t="inlineStr">
        <is>
          <t>Angled bedroom mockup of the same gingerbread Christmas-village quilt.</t>
        </is>
      </c>
      <c r="L18" s="2" t="inlineStr">
        <is>
          <t>Angled bedroom mockup showing the snowman Christmas village quilt with gifts and cookies quilt and matching shams.</t>
        </is>
      </c>
      <c r="M18" s="2" t="inlineStr">
        <is>
          <t>Christmas Bedding Quilt – Soft Microfiber Holiday Bedspread, Lightweight Winter Bedding, Cozy Xmas Quilts for Couch, Bedroom &amp; Seasonal Home Decorations (Christmas Quilt-DS09)</t>
        </is>
      </c>
      <c r="N18" s="2" t="inlineStr">
        <is>
          <t>SET</t>
        </is>
      </c>
      <c r="O18" s="2" t="inlineStr">
        <is>
          <t>Personalized Gingerbread Christmas Village Quilt Set product image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["seo_runs\\jeminise.com\\20260906_234129\\evidence\\images\\24_christmas-bedding-quilt-soft-microfiber-holiday-bedsprea-design-09\\image_02_47934040735943.jpg; seo_runs\\jeminise.com\\20260906_234129\\evidence\\contact_sheets\\24_christmas-bedding-quilt-soft-microfiber-holiday-bedsprea-design-09.jpg", "https://jeminise.com/products/christmas-bedding-quilt-soft-microfiber-holiday-bedsprea-design-09", "https://cdn.shopify.com/s/files/1/0792/5098/1063/files/92819bbb1bab62430498426868c03f6a71d83b02976baffe6e9ae7c163a8d57a.jpg?v=1787239380"]</t>
        </is>
      </c>
      <c r="AA18" s="2" t="inlineStr">
        <is>
          <t>r4</t>
        </is>
      </c>
    </row>
    <row r="19" ht="66" customHeight="1">
      <c r="A19" s="3" t="inlineStr">
        <is>
          <t>jeminise.com+christmas-bedding-quilt-soft-microfiber-holiday-bedsprea-design-09</t>
        </is>
      </c>
      <c r="B19" s="3" t="inlineStr">
        <is>
          <t>qaimg_46fb9878904faf29</t>
        </is>
      </c>
      <c r="C19" s="4" t="inlineStr">
        <is>
          <t>https://cdn.shopify.com/s/files/1/0792/5098/1063/files/8b9b39ff116a9ed0e810e59f32df8035bc7842af460038e5fe9e42fe52d11d2b.jpg?v=1787239380</t>
        </is>
      </c>
      <c r="D19" s="4" t="inlineStr">
        <is>
          <t>https://cdn.shopify.com/s/files/1/0792/5098/1063/files/8b9b39ff116a9ed0e810e59f32df8035bc7842af460038e5fe9e42fe52d11d2b.jpg?v=1787239380</t>
        </is>
      </c>
      <c r="E19" s="3" t="inlineStr">
        <is>
          <t>38895277408455</t>
        </is>
      </c>
      <c r="F19" s="3" t="inlineStr">
        <is>
          <t>47934040768711</t>
        </is>
      </c>
      <c r="G19" s="3" t="inlineStr"/>
      <c r="H19" s="3" t="inlineStr">
        <is>
          <t>GALLERY</t>
        </is>
      </c>
      <c r="I19" s="3" t="inlineStr">
        <is>
          <t>DIRECT_ORIGINAL_IMAGE_REQA + R4_MEDIA_ID_COMPARISON</t>
        </is>
      </c>
      <c r="J19" s="3" t="inlineStr">
        <is>
          <t>2026-09-07T22:20:44.842298+07:00</t>
        </is>
      </c>
      <c r="K19" s="3" t="inlineStr">
        <is>
          <t>Isolated matching pillow sham with gingerbread figure, gifts, cookies and village artwork.</t>
        </is>
      </c>
      <c r="L19" s="3" t="inlineStr">
        <is>
          <t>Matching pillow sham with snowman Christmas village quilt with gifts and cookies artwork.</t>
        </is>
      </c>
      <c r="M19" s="3" t="inlineStr">
        <is>
          <t>Christmas Bedding Quilt – Soft Microfiber Holiday Bedspread, Lightweight Winter Bedding, Cozy Xmas Quilts for Couch, Bedroom &amp; Seasonal Home Decorations (Christmas Quilt-DS09)</t>
        </is>
      </c>
      <c r="N19" s="3" t="inlineStr">
        <is>
          <t>SET</t>
        </is>
      </c>
      <c r="O19" s="3" t="inlineStr">
        <is>
          <t>Personalized Gingerbread Christmas Village Quilt Set product image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["seo_runs\\jeminise.com\\20260906_234129\\evidence\\images\\24_christmas-bedding-quilt-soft-microfiber-holiday-bedsprea-design-09\\image_03_47934040768711.jpg; seo_runs\\jeminise.com\\20260906_234129\\evidence\\contact_sheets\\24_christmas-bedding-quilt-soft-microfiber-holiday-bedsprea-design-09.jpg", "https://jeminise.com/products/christmas-bedding-quilt-soft-microfiber-holiday-bedsprea-design-09", "https://cdn.shopify.com/s/files/1/0792/5098/1063/files/8b9b39ff116a9ed0e810e59f32df8035bc7842af460038e5fe9e42fe52d11d2b.jpg?v=1787239380"]</t>
        </is>
      </c>
      <c r="AA19" s="3" t="inlineStr">
        <is>
          <t>r4</t>
        </is>
      </c>
    </row>
    <row r="20" ht="66" customHeight="1">
      <c r="A20" s="2" t="inlineStr">
        <is>
          <t>jeminise.com+christmas-bedding-quilt-soft-microfiber-holiday-bedsprea-design-09</t>
        </is>
      </c>
      <c r="B20" s="2" t="inlineStr">
        <is>
          <t>qaimg_01435ed35bfd87a3</t>
        </is>
      </c>
      <c r="C20" s="4" t="inlineStr">
        <is>
          <t>https://cdn.shopify.com/s/files/1/0792/5098/1063/files/ff6861c326fe77551be0989f5304657a44c60df7dd12c0c301ad5ca8d111f257.jpg?v=1787239380</t>
        </is>
      </c>
      <c r="D20" s="4" t="inlineStr">
        <is>
          <t>https://cdn.shopify.com/s/files/1/0792/5098/1063/files/ff6861c326fe77551be0989f5304657a44c60df7dd12c0c301ad5ca8d111f257.jpg?v=1787239380</t>
        </is>
      </c>
      <c r="E20" s="2" t="inlineStr">
        <is>
          <t>38895277441223</t>
        </is>
      </c>
      <c r="F20" s="2" t="inlineStr">
        <is>
          <t>47934040801479</t>
        </is>
      </c>
      <c r="G20" s="2" t="inlineStr"/>
      <c r="H20" s="2" t="inlineStr">
        <is>
          <t>GALLERY</t>
        </is>
      </c>
      <c r="I20" s="2" t="inlineStr">
        <is>
          <t>DIRECT_ORIGINAL_IMAGE_REQA + R4_MEDIA_ID_COMPARISON</t>
        </is>
      </c>
      <c r="J20" s="2" t="inlineStr">
        <is>
          <t>2026-09-07T22:20:44.842298+07:00</t>
        </is>
      </c>
      <c r="K20" s="2" t="inlineStr">
        <is>
          <t>Close-up of the gingerbread scarf and icing detail with visible quilting lines.</t>
        </is>
      </c>
      <c r="L20" s="2" t="inlineStr">
        <is>
          <t>Close-up view of the printed/quilted texture and snowman Christmas village quilt with gifts and cookies detail.</t>
        </is>
      </c>
      <c r="M20" s="2" t="inlineStr">
        <is>
          <t>Christmas Bedding Quilt – Soft Microfiber Holiday Bedspread, Lightweight Winter Bedding, Cozy Xmas Quilts for Couch, Bedroom &amp; Seasonal Home Decorations (Christmas Quilt-DS09)</t>
        </is>
      </c>
      <c r="N20" s="2" t="inlineStr">
        <is>
          <t>SET</t>
        </is>
      </c>
      <c r="O20" s="2" t="inlineStr">
        <is>
          <t>Personalized Gingerbread Christmas Village Quilt Set product image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["seo_runs\\jeminise.com\\20260906_234129\\evidence\\images\\24_christmas-bedding-quilt-soft-microfiber-holiday-bedsprea-design-09\\image_04_47934040801479.jpg; seo_runs\\jeminise.com\\20260906_234129\\evidence\\contact_sheets\\24_christmas-bedding-quilt-soft-microfiber-holiday-bedsprea-design-09.jpg", "https://jeminise.com/products/christmas-bedding-quilt-soft-microfiber-holiday-bedsprea-design-09", "https://cdn.shopify.com/s/files/1/0792/5098/1063/files/ff6861c326fe77551be0989f5304657a44c60df7dd12c0c301ad5ca8d111f257.jpg?v=1787239380"]</t>
        </is>
      </c>
      <c r="AA20" s="2" t="inlineStr">
        <is>
          <t>r4</t>
        </is>
      </c>
    </row>
    <row r="21" ht="66" customHeight="1">
      <c r="A21" s="3" t="inlineStr">
        <is>
          <t>jeminise.com+christmas-bedding-quilt-soft-microfiber-holiday-bedsprea-design-09</t>
        </is>
      </c>
      <c r="B21" s="3" t="inlineStr">
        <is>
          <t>qaimg_de4b99063db907eb</t>
        </is>
      </c>
      <c r="C21" s="4" t="inlineStr">
        <is>
          <t>https://cdn.shopify.com/s/files/1/0792/5098/1063/files/a525d08980e5d668ee538fa59be8827c6e640884669920a738b16cc49b1b4c24.jpg?v=1787239380</t>
        </is>
      </c>
      <c r="D21" s="4" t="inlineStr">
        <is>
          <t>https://cdn.shopify.com/s/files/1/0792/5098/1063/files/a525d08980e5d668ee538fa59be8827c6e640884669920a738b16cc49b1b4c24.jpg?v=1787239380</t>
        </is>
      </c>
      <c r="E21" s="3" t="inlineStr">
        <is>
          <t>38895277473991</t>
        </is>
      </c>
      <c r="F21" s="3" t="inlineStr">
        <is>
          <t>47934040834247</t>
        </is>
      </c>
      <c r="G21" s="3" t="inlineStr"/>
      <c r="H21" s="3" t="inlineStr">
        <is>
          <t>GALLERY</t>
        </is>
      </c>
      <c r="I21" s="3" t="inlineStr">
        <is>
          <t>DIRECT_ORIGINAL_IMAGE_REQA + R4_MEDIA_ID_COMPARISON</t>
        </is>
      </c>
      <c r="J21" s="3" t="inlineStr">
        <is>
          <t>2026-09-07T22:20:44.842298+07:00</t>
        </is>
      </c>
      <c r="K21" s="3" t="inlineStr">
        <is>
          <t>Included-components and size graphic: one premium quilt plus two optional standard shams; Throw, Twin, Queen and King dimensions.</t>
        </is>
      </c>
      <c r="L21" s="3" t="inlineStr">
        <is>
          <t>Included-components and size information image for the quilt set.</t>
        </is>
      </c>
      <c r="M21" s="3" t="inlineStr">
        <is>
          <t>Christmas Bedding Quilt – Soft Microfiber Holiday Bedspread, Lightweight Winter Bedding, Cozy Xmas Quilts for Couch, Bedroom &amp; Seasonal Home Decorations (Christmas Quilt-DS09)</t>
        </is>
      </c>
      <c r="N21" s="3" t="inlineStr">
        <is>
          <t>SET</t>
        </is>
      </c>
      <c r="O21" s="3" t="inlineStr">
        <is>
          <t>Personalized Gingerbread Christmas Village Quilt Set product image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["seo_runs\\jeminise.com\\20260906_234129\\evidence\\images\\24_christmas-bedding-quilt-soft-microfiber-holiday-bedsprea-design-09\\image_05_47934040834247.jpg; seo_runs\\jeminise.com\\20260906_234129\\evidence\\contact_sheets\\24_christmas-bedding-quilt-soft-microfiber-holiday-bedsprea-design-09.jpg", "https://jeminise.com/products/christmas-bedding-quilt-soft-microfiber-holiday-bedsprea-design-09", "https://cdn.shopify.com/s/files/1/0792/5098/1063/files/a525d08980e5d668ee538fa59be8827c6e640884669920a738b16cc49b1b4c24.jpg?v=1787239380"]</t>
        </is>
      </c>
      <c r="AA21" s="3" t="inlineStr">
        <is>
          <t>r4</t>
        </is>
      </c>
    </row>
    <row r="22" ht="66" customHeight="1">
      <c r="A22" s="2" t="inlineStr">
        <is>
          <t>jeminise.com+christmas-bedding-quilt-soft-microfiber-holiday-bedsprea-design-10</t>
        </is>
      </c>
      <c r="B22" s="2" t="inlineStr">
        <is>
          <t>qaimg_bec15977767a6049</t>
        </is>
      </c>
      <c r="C22" s="4" t="inlineStr">
        <is>
          <t>https://cdn.shopify.com/s/files/1/0792/5098/1063/files/c9012211f4a80fc29b04e6c36a6d06286d3bcd99481ba14bb0f48bbd8dc22628.jpg?v=1787239292</t>
        </is>
      </c>
      <c r="D22" s="4" t="inlineStr">
        <is>
          <t>https://cdn.shopify.com/s/files/1/0792/5098/1063/files/c9012211f4a80fc29b04e6c36a6d06286d3bcd99481ba14bb0f48bbd8dc22628.jpg?v=1787239292</t>
        </is>
      </c>
      <c r="E22" s="2" t="inlineStr">
        <is>
          <t>38895266922695</t>
        </is>
      </c>
      <c r="F22" s="2" t="inlineStr">
        <is>
          <t>47934030708935</t>
        </is>
      </c>
      <c r="G22" s="2" t="inlineStr"/>
      <c r="H22" s="2" t="inlineStr">
        <is>
          <t>GALLERY</t>
        </is>
      </c>
      <c r="I22" s="2" t="inlineStr">
        <is>
          <t>DIRECT_ORIGINAL_IMAGE_REQA + R4_MEDIA_ID_COMPARISON</t>
        </is>
      </c>
      <c r="J22" s="2" t="inlineStr">
        <is>
          <t>2026-09-07T22:20:44.842298+07:00</t>
        </is>
      </c>
      <c r="K22" s="2" t="inlineStr">
        <is>
          <t>Front bedroom mockup of a red Christmas quilt with a snowman, cardinal birds, pine trees and holly.</t>
        </is>
      </c>
      <c r="L22" s="2" t="inlineStr">
        <is>
          <t>Main bed mockup showing red snowman quilt with cardinal birds and pine trees.</t>
        </is>
      </c>
      <c r="M22" s="2" t="inlineStr">
        <is>
          <t>Christmas Bedding Quilt – Soft Microfiber Holiday Bedspread, Lightweight Winter Bedding, Cozy Xmas Quilts for Couch, Bedroom &amp; Seasonal Home Decorations (Christmas Quilt-DS10)</t>
        </is>
      </c>
      <c r="N22" s="2" t="inlineStr">
        <is>
          <t>SET</t>
        </is>
      </c>
      <c r="O22" s="2" t="inlineStr">
        <is>
          <t>Personalized Snowman and Cardinals Christmas Quilt Set product image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["seo_runs\\jeminise.com\\20260906_234129\\evidence\\images\\25_christmas-bedding-quilt-soft-microfiber-holiday-bedsprea-design-10\\image_01_47934030708935.jpg; seo_runs\\jeminise.com\\20260906_234129\\evidence\\contact_sheets\\25_christmas-bedding-quilt-soft-microfiber-holiday-bedsprea-design-10.jpg", "https://jeminise.com/products/christmas-bedding-quilt-soft-microfiber-holiday-bedsprea-design-10", "https://cdn.shopify.com/s/files/1/0792/5098/1063/files/c9012211f4a80fc29b04e6c36a6d06286d3bcd99481ba14bb0f48bbd8dc22628.jpg?v=1787239292"]</t>
        </is>
      </c>
      <c r="AA22" s="2" t="inlineStr">
        <is>
          <t>r4</t>
        </is>
      </c>
    </row>
    <row r="23" ht="66" customHeight="1">
      <c r="A23" s="3" t="inlineStr">
        <is>
          <t>jeminise.com+christmas-bedding-quilt-soft-microfiber-holiday-bedsprea-design-10</t>
        </is>
      </c>
      <c r="B23" s="3" t="inlineStr">
        <is>
          <t>qaimg_580175efb542e8fe</t>
        </is>
      </c>
      <c r="C23" s="4" t="inlineStr">
        <is>
          <t>https://cdn.shopify.com/s/files/1/0792/5098/1063/files/839d3838d97a9792a8c1011e15becc2872cb904640fdb176e9d34c9ec4a1382f.jpg?v=1787239292</t>
        </is>
      </c>
      <c r="D23" s="4" t="inlineStr">
        <is>
          <t>https://cdn.shopify.com/s/files/1/0792/5098/1063/files/839d3838d97a9792a8c1011e15becc2872cb904640fdb176e9d34c9ec4a1382f.jpg?v=1787239292</t>
        </is>
      </c>
      <c r="E23" s="3" t="inlineStr">
        <is>
          <t>38895266955463</t>
        </is>
      </c>
      <c r="F23" s="3" t="inlineStr">
        <is>
          <t>47934030741703</t>
        </is>
      </c>
      <c r="G23" s="3" t="inlineStr"/>
      <c r="H23" s="3" t="inlineStr">
        <is>
          <t>GALLERY</t>
        </is>
      </c>
      <c r="I23" s="3" t="inlineStr">
        <is>
          <t>DIRECT_ORIGINAL_IMAGE_REQA + R4_MEDIA_ID_COMPARISON</t>
        </is>
      </c>
      <c r="J23" s="3" t="inlineStr">
        <is>
          <t>2026-09-07T22:20:44.842298+07:00</t>
        </is>
      </c>
      <c r="K23" s="3" t="inlineStr">
        <is>
          <t>Angled bedroom mockup of the same red snowman-and-cardinal quilt.</t>
        </is>
      </c>
      <c r="L23" s="3" t="inlineStr">
        <is>
          <t>Angled bedroom mockup showing the red snowman quilt with cardinal birds and pine trees quilt and matching shams.</t>
        </is>
      </c>
      <c r="M23" s="3" t="inlineStr">
        <is>
          <t>Christmas Bedding Quilt – Soft Microfiber Holiday Bedspread, Lightweight Winter Bedding, Cozy Xmas Quilts for Couch, Bedroom &amp; Seasonal Home Decorations (Christmas Quilt-DS10)</t>
        </is>
      </c>
      <c r="N23" s="3" t="inlineStr">
        <is>
          <t>SET</t>
        </is>
      </c>
      <c r="O23" s="3" t="inlineStr">
        <is>
          <t>Personalized Snowman and Cardinals Christmas Quilt Set product image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["seo_runs\\jeminise.com\\20260906_234129\\evidence\\images\\25_christmas-bedding-quilt-soft-microfiber-holiday-bedsprea-design-10\\image_02_47934030741703.jpg; seo_runs\\jeminise.com\\20260906_234129\\evidence\\contact_sheets\\25_christmas-bedding-quilt-soft-microfiber-holiday-bedsprea-design-10.jpg", "https://jeminise.com/products/christmas-bedding-quilt-soft-microfiber-holiday-bedsprea-design-10", "https://cdn.shopify.com/s/files/1/0792/5098/1063/files/839d3838d97a9792a8c1011e15becc2872cb904640fdb176e9d34c9ec4a1382f.jpg?v=1787239292"]</t>
        </is>
      </c>
      <c r="AA23" s="3" t="inlineStr">
        <is>
          <t>r4</t>
        </is>
      </c>
    </row>
    <row r="24" ht="66" customHeight="1">
      <c r="A24" s="2" t="inlineStr">
        <is>
          <t>jeminise.com+christmas-bedding-quilt-soft-microfiber-holiday-bedsprea-design-10</t>
        </is>
      </c>
      <c r="B24" s="2" t="inlineStr">
        <is>
          <t>qaimg_475d612843981ab6</t>
        </is>
      </c>
      <c r="C24" s="4" t="inlineStr">
        <is>
          <t>https://cdn.shopify.com/s/files/1/0792/5098/1063/files/029f59325955756dff3beb424bb93f337eade1161d1694ef1f392a84a004e0d4.jpg?v=1787239292</t>
        </is>
      </c>
      <c r="D24" s="4" t="inlineStr">
        <is>
          <t>https://cdn.shopify.com/s/files/1/0792/5098/1063/files/029f59325955756dff3beb424bb93f337eade1161d1694ef1f392a84a004e0d4.jpg?v=1787239292</t>
        </is>
      </c>
      <c r="E24" s="2" t="inlineStr">
        <is>
          <t>38895266988231</t>
        </is>
      </c>
      <c r="F24" s="2" t="inlineStr">
        <is>
          <t>47934030774471</t>
        </is>
      </c>
      <c r="G24" s="2" t="inlineStr"/>
      <c r="H24" s="2" t="inlineStr">
        <is>
          <t>GALLERY</t>
        </is>
      </c>
      <c r="I24" s="2" t="inlineStr">
        <is>
          <t>DIRECT_ORIGINAL_IMAGE_REQA + R4_MEDIA_ID_COMPARISON</t>
        </is>
      </c>
      <c r="J24" s="2" t="inlineStr">
        <is>
          <t>2026-09-07T22:20:44.842298+07:00</t>
        </is>
      </c>
      <c r="K24" s="2" t="inlineStr">
        <is>
          <t>Isolated matching pillow sham with snowman and cardinals.</t>
        </is>
      </c>
      <c r="L24" s="2" t="inlineStr">
        <is>
          <t>Matching pillow sham with red snowman quilt with cardinal birds and pine trees artwork.</t>
        </is>
      </c>
      <c r="M24" s="2" t="inlineStr">
        <is>
          <t>Christmas Bedding Quilt – Soft Microfiber Holiday Bedspread, Lightweight Winter Bedding, Cozy Xmas Quilts for Couch, Bedroom &amp; Seasonal Home Decorations (Christmas Quilt-DS10)</t>
        </is>
      </c>
      <c r="N24" s="2" t="inlineStr">
        <is>
          <t>SET</t>
        </is>
      </c>
      <c r="O24" s="2" t="inlineStr">
        <is>
          <t>Personalized Snowman and Cardinals Christmas Quilt Set product image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["seo_runs\\jeminise.com\\20260906_234129\\evidence\\images\\25_christmas-bedding-quilt-soft-microfiber-holiday-bedsprea-design-10\\image_03_47934030774471.jpg; seo_runs\\jeminise.com\\20260906_234129\\evidence\\contact_sheets\\25_christmas-bedding-quilt-soft-microfiber-holiday-bedsprea-design-10.jpg", "https://jeminise.com/products/christmas-bedding-quilt-soft-microfiber-holiday-bedsprea-design-10", "https://cdn.shopify.com/s/files/1/0792/5098/1063/files/029f59325955756dff3beb424bb93f337eade1161d1694ef1f392a84a004e0d4.jpg?v=1787239292"]</t>
        </is>
      </c>
      <c r="AA24" s="2" t="inlineStr">
        <is>
          <t>r4</t>
        </is>
      </c>
    </row>
    <row r="25" ht="66" customHeight="1">
      <c r="A25" s="3" t="inlineStr">
        <is>
          <t>jeminise.com+christmas-bedding-quilt-soft-microfiber-holiday-bedsprea-design-10</t>
        </is>
      </c>
      <c r="B25" s="3" t="inlineStr">
        <is>
          <t>qaimg_27839bbd7a011485</t>
        </is>
      </c>
      <c r="C25" s="4" t="inlineStr">
        <is>
          <t>https://cdn.shopify.com/s/files/1/0792/5098/1063/files/b12a3b8244039f69fe8236f2263a3bb2f6cef1a9d48030f14c267fcc7b0cf9e0.jpg?v=1787239292</t>
        </is>
      </c>
      <c r="D25" s="4" t="inlineStr">
        <is>
          <t>https://cdn.shopify.com/s/files/1/0792/5098/1063/files/b12a3b8244039f69fe8236f2263a3bb2f6cef1a9d48030f14c267fcc7b0cf9e0.jpg?v=1787239292</t>
        </is>
      </c>
      <c r="E25" s="3" t="inlineStr">
        <is>
          <t>38895267020999</t>
        </is>
      </c>
      <c r="F25" s="3" t="inlineStr">
        <is>
          <t>47934030807239</t>
        </is>
      </c>
      <c r="G25" s="3" t="inlineStr"/>
      <c r="H25" s="3" t="inlineStr">
        <is>
          <t>GALLERY</t>
        </is>
      </c>
      <c r="I25" s="3" t="inlineStr">
        <is>
          <t>DIRECT_ORIGINAL_IMAGE_REQA + R4_MEDIA_ID_COMPARISON</t>
        </is>
      </c>
      <c r="J25" s="3" t="inlineStr">
        <is>
          <t>2026-09-07T22:20:44.842298+07:00</t>
        </is>
      </c>
      <c r="K25" s="3" t="inlineStr">
        <is>
          <t>Close-up of the printed snowman scarf and cardinal surface with visible quilting lines.</t>
        </is>
      </c>
      <c r="L25" s="3" t="inlineStr">
        <is>
          <t>Close-up view of the printed/quilted texture and red snowman quilt with cardinal birds and pine trees detail.</t>
        </is>
      </c>
      <c r="M25" s="3" t="inlineStr">
        <is>
          <t>Christmas Bedding Quilt – Soft Microfiber Holiday Bedspread, Lightweight Winter Bedding, Cozy Xmas Quilts for Couch, Bedroom &amp; Seasonal Home Decorations (Christmas Quilt-DS10)</t>
        </is>
      </c>
      <c r="N25" s="3" t="inlineStr">
        <is>
          <t>SET</t>
        </is>
      </c>
      <c r="O25" s="3" t="inlineStr">
        <is>
          <t>Personalized Snowman and Cardinals Christmas Quilt Set product image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["seo_runs\\jeminise.com\\20260906_234129\\evidence\\images\\25_christmas-bedding-quilt-soft-microfiber-holiday-bedsprea-design-10\\image_04_47934030807239.jpg; seo_runs\\jeminise.com\\20260906_234129\\evidence\\contact_sheets\\25_christmas-bedding-quilt-soft-microfiber-holiday-bedsprea-design-10.jpg", "https://jeminise.com/products/christmas-bedding-quilt-soft-microfiber-holiday-bedsprea-design-10", "https://cdn.shopify.com/s/files/1/0792/5098/1063/files/b12a3b8244039f69fe8236f2263a3bb2f6cef1a9d48030f14c267fcc7b0cf9e0.jpg?v=1787239292"]</t>
        </is>
      </c>
      <c r="AA25" s="3" t="inlineStr">
        <is>
          <t>r4</t>
        </is>
      </c>
    </row>
    <row r="26" ht="66" customHeight="1">
      <c r="A26" s="2" t="inlineStr">
        <is>
          <t>jeminise.com+christmas-bedding-quilt-soft-microfiber-holiday-bedsprea-design-10</t>
        </is>
      </c>
      <c r="B26" s="2" t="inlineStr">
        <is>
          <t>qaimg_c0475919dd64391b</t>
        </is>
      </c>
      <c r="C26" s="4" t="inlineStr">
        <is>
          <t>https://cdn.shopify.com/s/files/1/0792/5098/1063/files/db17975966105e572ee398b3501c29ac2c8a38f61dae4eb1e3d795982c917bc2.jpg?v=1787239292</t>
        </is>
      </c>
      <c r="D26" s="4" t="inlineStr">
        <is>
          <t>https://cdn.shopify.com/s/files/1/0792/5098/1063/files/db17975966105e572ee398b3501c29ac2c8a38f61dae4eb1e3d795982c917bc2.jpg?v=1787239292</t>
        </is>
      </c>
      <c r="E26" s="2" t="inlineStr">
        <is>
          <t>38895267053767</t>
        </is>
      </c>
      <c r="F26" s="2" t="inlineStr">
        <is>
          <t>47934030840007</t>
        </is>
      </c>
      <c r="G26" s="2" t="inlineStr"/>
      <c r="H26" s="2" t="inlineStr">
        <is>
          <t>GALLERY</t>
        </is>
      </c>
      <c r="I26" s="2" t="inlineStr">
        <is>
          <t>DIRECT_ORIGINAL_IMAGE_REQA + R4_MEDIA_ID_COMPARISON</t>
        </is>
      </c>
      <c r="J26" s="2" t="inlineStr">
        <is>
          <t>2026-09-07T22:20:44.842298+07:00</t>
        </is>
      </c>
      <c r="K26" s="2" t="inlineStr">
        <is>
          <t>Included-components and size graphic: one premium quilt plus two optional standard shams; Throw, Twin, Queen and King dimensions.</t>
        </is>
      </c>
      <c r="L26" s="2" t="inlineStr">
        <is>
          <t>Included-components and size information image for the quilt set.</t>
        </is>
      </c>
      <c r="M26" s="2" t="inlineStr">
        <is>
          <t>Christmas Bedding Quilt – Soft Microfiber Holiday Bedspread, Lightweight Winter Bedding, Cozy Xmas Quilts for Couch, Bedroom &amp; Seasonal Home Decorations (Christmas Quilt-DS10)</t>
        </is>
      </c>
      <c r="N26" s="2" t="inlineStr">
        <is>
          <t>SET</t>
        </is>
      </c>
      <c r="O26" s="2" t="inlineStr">
        <is>
          <t>Personalized Snowman and Cardinals Christmas Quilt Set product image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["seo_runs\\jeminise.com\\20260906_234129\\evidence\\images\\25_christmas-bedding-quilt-soft-microfiber-holiday-bedsprea-design-10\\image_05_47934030840007.jpg; seo_runs\\jeminise.com\\20260906_234129\\evidence\\contact_sheets\\25_christmas-bedding-quilt-soft-microfiber-holiday-bedsprea-design-10.jpg", "https://jeminise.com/products/christmas-bedding-quilt-soft-microfiber-holiday-bedsprea-design-10", "https://cdn.shopify.com/s/files/1/0792/5098/1063/files/db17975966105e572ee398b3501c29ac2c8a38f61dae4eb1e3d795982c917bc2.jpg?v=1787239292"]</t>
        </is>
      </c>
      <c r="AA26" s="2" t="inlineStr">
        <is>
          <t>r4</t>
        </is>
      </c>
    </row>
    <row r="27" ht="66" customHeight="1">
      <c r="A27" s="3" t="inlineStr">
        <is>
          <t>jeminise.com+christmas-bedding-quilt-soft-microfiber-holiday-bedsprea-design-11</t>
        </is>
      </c>
      <c r="B27" s="3" t="inlineStr">
        <is>
          <t>qaimg_5551a4d9a03d6b10</t>
        </is>
      </c>
      <c r="C27" s="4" t="inlineStr">
        <is>
          <t>https://cdn.shopify.com/s/files/1/0792/5098/1063/files/cfd15964c5a578a0d72eca69fce5d3b6e69d208ab70ee89a4fecaa6fc490d6dc.jpg?v=1787239369</t>
        </is>
      </c>
      <c r="D27" s="4" t="inlineStr">
        <is>
          <t>https://cdn.shopify.com/s/files/1/0792/5098/1063/files/cfd15964c5a578a0d72eca69fce5d3b6e69d208ab70ee89a4fecaa6fc490d6dc.jpg?v=1787239369</t>
        </is>
      </c>
      <c r="E27" s="3" t="inlineStr">
        <is>
          <t>38895276425415</t>
        </is>
      </c>
      <c r="F27" s="3" t="inlineStr">
        <is>
          <t>47934039851207</t>
        </is>
      </c>
      <c r="G27" s="3" t="inlineStr"/>
      <c r="H27" s="3" t="inlineStr">
        <is>
          <t>GALLERY</t>
        </is>
      </c>
      <c r="I27" s="3" t="inlineStr">
        <is>
          <t>DIRECT_ORIGINAL_IMAGE_REQA + R4_MEDIA_ID_COMPARISON</t>
        </is>
      </c>
      <c r="J27" s="3" t="inlineStr">
        <is>
          <t>2026-09-07T22:20:44.842298+07:00</t>
        </is>
      </c>
      <c r="K27" s="3" t="inlineStr">
        <is>
          <t>Front bedroom mockup of a white Christmas quilt with a black-and-gray tree, red and gold stars, and check border.</t>
        </is>
      </c>
      <c r="L27" s="3" t="inlineStr">
        <is>
          <t>Main bed mockup showing white Christmas tree quilt with red and gold stars.</t>
        </is>
      </c>
      <c r="M27" s="3" t="inlineStr">
        <is>
          <t>Christmas Bedding Quilt – Soft Microfiber Holiday Bedspread, Lightweight Winter Bedding, Cozy Xmas Quilts for Couch, Bedroom &amp; Seasonal Home Decorations (Christmas Quilt-DS11)</t>
        </is>
      </c>
      <c r="N27" s="3" t="inlineStr">
        <is>
          <t>SET</t>
        </is>
      </c>
      <c r="O27" s="3" t="inlineStr">
        <is>
          <t>Personalized White Christmas Tree Quilt Set product image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["seo_runs\\jeminise.com\\20260906_234129\\evidence\\images\\26_christmas-bedding-quilt-soft-microfiber-holiday-bedsprea-design-11\\image_01_47934039851207.jpg; seo_runs\\jeminise.com\\20260906_234129\\evidence\\contact_sheets\\26_christmas-bedding-quilt-soft-microfiber-holiday-bedsprea-design-11.jpg", "https://jeminise.com/products/christmas-bedding-quilt-soft-microfiber-holiday-bedsprea-design-11", "https://cdn.shopify.com/s/files/1/0792/5098/1063/files/cfd15964c5a578a0d72eca69fce5d3b6e69d208ab70ee89a4fecaa6fc490d6dc.jpg?v=1787239369"]</t>
        </is>
      </c>
      <c r="AA27" s="3" t="inlineStr">
        <is>
          <t>r4</t>
        </is>
      </c>
    </row>
    <row r="28" ht="66" customHeight="1">
      <c r="A28" s="2" t="inlineStr">
        <is>
          <t>jeminise.com+christmas-bedding-quilt-soft-microfiber-holiday-bedsprea-design-11</t>
        </is>
      </c>
      <c r="B28" s="2" t="inlineStr">
        <is>
          <t>qaimg_37465cea10072c9c</t>
        </is>
      </c>
      <c r="C28" s="4" t="inlineStr">
        <is>
          <t>https://cdn.shopify.com/s/files/1/0792/5098/1063/files/86e7cf9fde4b0b585dedce2199d4a124a61ae29e25d0eeffb64f5836d7944670.jpg?v=1787239369</t>
        </is>
      </c>
      <c r="D28" s="4" t="inlineStr">
        <is>
          <t>https://cdn.shopify.com/s/files/1/0792/5098/1063/files/86e7cf9fde4b0b585dedce2199d4a124a61ae29e25d0eeffb64f5836d7944670.jpg?v=1787239369</t>
        </is>
      </c>
      <c r="E28" s="2" t="inlineStr">
        <is>
          <t>38895276458183</t>
        </is>
      </c>
      <c r="F28" s="2" t="inlineStr">
        <is>
          <t>47934039883975</t>
        </is>
      </c>
      <c r="G28" s="2" t="inlineStr"/>
      <c r="H28" s="2" t="inlineStr">
        <is>
          <t>GALLERY</t>
        </is>
      </c>
      <c r="I28" s="2" t="inlineStr">
        <is>
          <t>DIRECT_ORIGINAL_IMAGE_REQA + R4_MEDIA_ID_COMPARISON</t>
        </is>
      </c>
      <c r="J28" s="2" t="inlineStr">
        <is>
          <t>2026-09-07T22:20:44.842298+07:00</t>
        </is>
      </c>
      <c r="K28" s="2" t="inlineStr">
        <is>
          <t>Angled bedroom mockup of the same white Christmas-tree quilt.</t>
        </is>
      </c>
      <c r="L28" s="2" t="inlineStr">
        <is>
          <t>Angled bedroom mockup showing the white Christmas tree quilt with red and gold stars quilt and matching shams.</t>
        </is>
      </c>
      <c r="M28" s="2" t="inlineStr">
        <is>
          <t>Christmas Bedding Quilt – Soft Microfiber Holiday Bedspread, Lightweight Winter Bedding, Cozy Xmas Quilts for Couch, Bedroom &amp; Seasonal Home Decorations (Christmas Quilt-DS11)</t>
        </is>
      </c>
      <c r="N28" s="2" t="inlineStr">
        <is>
          <t>SET</t>
        </is>
      </c>
      <c r="O28" s="2" t="inlineStr">
        <is>
          <t>Personalized White Christmas Tree Quilt Set product image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["seo_runs\\jeminise.com\\20260906_234129\\evidence\\images\\26_christmas-bedding-quilt-soft-microfiber-holiday-bedsprea-design-11\\image_02_47934039883975.jpg; seo_runs\\jeminise.com\\20260906_234129\\evidence\\contact_sheets\\26_christmas-bedding-quilt-soft-microfiber-holiday-bedsprea-design-11.jpg", "https://jeminise.com/products/christmas-bedding-quilt-soft-microfiber-holiday-bedsprea-design-11", "https://cdn.shopify.com/s/files/1/0792/5098/1063/files/86e7cf9fde4b0b585dedce2199d4a124a61ae29e25d0eeffb64f5836d7944670.jpg?v=1787239369"]</t>
        </is>
      </c>
      <c r="AA28" s="2" t="inlineStr">
        <is>
          <t>r4</t>
        </is>
      </c>
    </row>
    <row r="29" ht="66" customHeight="1">
      <c r="A29" s="3" t="inlineStr">
        <is>
          <t>jeminise.com+christmas-bedding-quilt-soft-microfiber-holiday-bedsprea-design-11</t>
        </is>
      </c>
      <c r="B29" s="3" t="inlineStr">
        <is>
          <t>qaimg_9cbf0a7be5a13435</t>
        </is>
      </c>
      <c r="C29" s="4" t="inlineStr">
        <is>
          <t>https://cdn.shopify.com/s/files/1/0792/5098/1063/files/831baca24e7f78fe5b238f870105905aebb283699f1d966c44611c51f763376c.jpg?v=1787239368</t>
        </is>
      </c>
      <c r="D29" s="4" t="inlineStr">
        <is>
          <t>https://cdn.shopify.com/s/files/1/0792/5098/1063/files/831baca24e7f78fe5b238f870105905aebb283699f1d966c44611c51f763376c.jpg?v=1787239368</t>
        </is>
      </c>
      <c r="E29" s="3" t="inlineStr">
        <is>
          <t>38895276490951</t>
        </is>
      </c>
      <c r="F29" s="3" t="inlineStr">
        <is>
          <t>47934039916743</t>
        </is>
      </c>
      <c r="G29" s="3" t="inlineStr"/>
      <c r="H29" s="3" t="inlineStr">
        <is>
          <t>GALLERY</t>
        </is>
      </c>
      <c r="I29" s="3" t="inlineStr">
        <is>
          <t>DIRECT_ORIGINAL_IMAGE_REQA + R4_MEDIA_ID_COMPARISON</t>
        </is>
      </c>
      <c r="J29" s="3" t="inlineStr">
        <is>
          <t>2026-09-07T22:20:44.842298+07:00</t>
        </is>
      </c>
      <c r="K29" s="3" t="inlineStr">
        <is>
          <t>Isolated matching pillow sham with black, gray, red and gold Christmas tree.</t>
        </is>
      </c>
      <c r="L29" s="3" t="inlineStr">
        <is>
          <t>Matching pillow sham with white Christmas tree quilt with red and gold stars artwork.</t>
        </is>
      </c>
      <c r="M29" s="3" t="inlineStr">
        <is>
          <t>Christmas Bedding Quilt – Soft Microfiber Holiday Bedspread, Lightweight Winter Bedding, Cozy Xmas Quilts for Couch, Bedroom &amp; Seasonal Home Decorations (Christmas Quilt-DS11)</t>
        </is>
      </c>
      <c r="N29" s="3" t="inlineStr">
        <is>
          <t>SET</t>
        </is>
      </c>
      <c r="O29" s="3" t="inlineStr">
        <is>
          <t>Personalized White Christmas Tree Quilt Set product image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["seo_runs\\jeminise.com\\20260906_234129\\evidence\\images\\26_christmas-bedding-quilt-soft-microfiber-holiday-bedsprea-design-11\\image_03_47934039916743.jpg; seo_runs\\jeminise.com\\20260906_234129\\evidence\\contact_sheets\\26_christmas-bedding-quilt-soft-microfiber-holiday-bedsprea-design-11.jpg", "https://jeminise.com/products/christmas-bedding-quilt-soft-microfiber-holiday-bedsprea-design-11", "https://cdn.shopify.com/s/files/1/0792/5098/1063/files/831baca24e7f78fe5b238f870105905aebb283699f1d966c44611c51f763376c.jpg?v=1787239368"]</t>
        </is>
      </c>
      <c r="AA29" s="3" t="inlineStr">
        <is>
          <t>r4</t>
        </is>
      </c>
    </row>
    <row r="30" ht="66" customHeight="1">
      <c r="A30" s="2" t="inlineStr">
        <is>
          <t>jeminise.com+christmas-bedding-quilt-soft-microfiber-holiday-bedsprea-design-11</t>
        </is>
      </c>
      <c r="B30" s="2" t="inlineStr">
        <is>
          <t>qaimg_e4449039b2335780</t>
        </is>
      </c>
      <c r="C30" s="4" t="inlineStr">
        <is>
          <t>https://cdn.shopify.com/s/files/1/0792/5098/1063/files/2f4d4c35afff8f2089e0135e46abde6f635650c9769aa95164023d71bd8441f7.jpg?v=1787239368</t>
        </is>
      </c>
      <c r="D30" s="4" t="inlineStr">
        <is>
          <t>https://cdn.shopify.com/s/files/1/0792/5098/1063/files/2f4d4c35afff8f2089e0135e46abde6f635650c9769aa95164023d71bd8441f7.jpg?v=1787239368</t>
        </is>
      </c>
      <c r="E30" s="2" t="inlineStr">
        <is>
          <t>38895276523719</t>
        </is>
      </c>
      <c r="F30" s="2" t="inlineStr">
        <is>
          <t>47934039949511</t>
        </is>
      </c>
      <c r="G30" s="2" t="inlineStr"/>
      <c r="H30" s="2" t="inlineStr">
        <is>
          <t>GALLERY</t>
        </is>
      </c>
      <c r="I30" s="2" t="inlineStr">
        <is>
          <t>DIRECT_ORIGINAL_IMAGE_REQA + R4_MEDIA_ID_COMPARISON</t>
        </is>
      </c>
      <c r="J30" s="2" t="inlineStr">
        <is>
          <t>2026-09-07T22:20:44.842298+07:00</t>
        </is>
      </c>
      <c r="K30" s="2" t="inlineStr">
        <is>
          <t>Close-up of the printed tree branches and star ornaments with visible quilting lines.</t>
        </is>
      </c>
      <c r="L30" s="2" t="inlineStr">
        <is>
          <t>Close-up view of the printed/quilted texture and white Christmas tree quilt with red and gold stars detail.</t>
        </is>
      </c>
      <c r="M30" s="2" t="inlineStr">
        <is>
          <t>Christmas Bedding Quilt – Soft Microfiber Holiday Bedspread, Lightweight Winter Bedding, Cozy Xmas Quilts for Couch, Bedroom &amp; Seasonal Home Decorations (Christmas Quilt-DS11)</t>
        </is>
      </c>
      <c r="N30" s="2" t="inlineStr">
        <is>
          <t>SET</t>
        </is>
      </c>
      <c r="O30" s="2" t="inlineStr">
        <is>
          <t>Personalized White Christmas Tree Quilt Set product image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["seo_runs\\jeminise.com\\20260906_234129\\evidence\\images\\26_christmas-bedding-quilt-soft-microfiber-holiday-bedsprea-design-11\\image_04_47934039949511.jpg; seo_runs\\jeminise.com\\20260906_234129\\evidence\\contact_sheets\\26_christmas-bedding-quilt-soft-microfiber-holiday-bedsprea-design-11.jpg", "https://jeminise.com/products/christmas-bedding-quilt-soft-microfiber-holiday-bedsprea-design-11", "https://cdn.shopify.com/s/files/1/0792/5098/1063/files/2f4d4c35afff8f2089e0135e46abde6f635650c9769aa95164023d71bd8441f7.jpg?v=1787239368"]</t>
        </is>
      </c>
      <c r="AA30" s="2" t="inlineStr">
        <is>
          <t>r4</t>
        </is>
      </c>
    </row>
    <row r="31" ht="66" customHeight="1">
      <c r="A31" s="3" t="inlineStr">
        <is>
          <t>jeminise.com+christmas-bedding-quilt-soft-microfiber-holiday-bedsprea-design-11</t>
        </is>
      </c>
      <c r="B31" s="3" t="inlineStr">
        <is>
          <t>qaimg_2860a1119a18c5fd</t>
        </is>
      </c>
      <c r="C31" s="4" t="inlineStr">
        <is>
          <t>https://cdn.shopify.com/s/files/1/0792/5098/1063/files/1061d99508b65a3791be2f40d46d11d955f9c37d218235d1ab797254f993a666.jpg?v=1787239369</t>
        </is>
      </c>
      <c r="D31" s="4" t="inlineStr">
        <is>
          <t>https://cdn.shopify.com/s/files/1/0792/5098/1063/files/1061d99508b65a3791be2f40d46d11d955f9c37d218235d1ab797254f993a666.jpg?v=1787239369</t>
        </is>
      </c>
      <c r="E31" s="3" t="inlineStr">
        <is>
          <t>38895276556487</t>
        </is>
      </c>
      <c r="F31" s="3" t="inlineStr">
        <is>
          <t>47934039982279</t>
        </is>
      </c>
      <c r="G31" s="3" t="inlineStr"/>
      <c r="H31" s="3" t="inlineStr">
        <is>
          <t>GALLERY</t>
        </is>
      </c>
      <c r="I31" s="3" t="inlineStr">
        <is>
          <t>DIRECT_ORIGINAL_IMAGE_REQA + R4_MEDIA_ID_COMPARISON</t>
        </is>
      </c>
      <c r="J31" s="3" t="inlineStr">
        <is>
          <t>2026-09-07T22:20:44.842298+07:00</t>
        </is>
      </c>
      <c r="K31" s="3" t="inlineStr">
        <is>
          <t>Included-components and size graphic: one premium quilt plus two optional standard shams; Throw, Twin, Queen and King dimensions.</t>
        </is>
      </c>
      <c r="L31" s="3" t="inlineStr">
        <is>
          <t>Included-components and size information image for the quilt set.</t>
        </is>
      </c>
      <c r="M31" s="3" t="inlineStr">
        <is>
          <t>Christmas Bedding Quilt – Soft Microfiber Holiday Bedspread, Lightweight Winter Bedding, Cozy Xmas Quilts for Couch, Bedroom &amp; Seasonal Home Decorations (Christmas Quilt-DS11)</t>
        </is>
      </c>
      <c r="N31" s="3" t="inlineStr">
        <is>
          <t>SET</t>
        </is>
      </c>
      <c r="O31" s="3" t="inlineStr">
        <is>
          <t>Personalized White Christmas Tree Quilt Set product image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["seo_runs\\jeminise.com\\20260906_234129\\evidence\\images\\26_christmas-bedding-quilt-soft-microfiber-holiday-bedsprea-design-11\\image_05_47934039982279.jpg; seo_runs\\jeminise.com\\20260906_234129\\evidence\\contact_sheets\\26_christmas-bedding-quilt-soft-microfiber-holiday-bedsprea-design-11.jpg", "https://jeminise.com/products/christmas-bedding-quilt-soft-microfiber-holiday-bedsprea-design-11", "https://cdn.shopify.com/s/files/1/0792/5098/1063/files/1061d99508b65a3791be2f40d46d11d955f9c37d218235d1ab797254f993a666.jpg?v=1787239369"]</t>
        </is>
      </c>
      <c r="AA31" s="3" t="inlineStr">
        <is>
          <t>r4</t>
        </is>
      </c>
    </row>
    <row r="32" ht="66" customHeight="1">
      <c r="A32" s="2" t="inlineStr">
        <is>
          <t>jeminise.com+christmas-bedding-quilt-soft-microfiber-holiday-bedsprea-design-12</t>
        </is>
      </c>
      <c r="B32" s="2" t="inlineStr">
        <is>
          <t>qaimg_dc5e1143e3c71a76</t>
        </is>
      </c>
      <c r="C32" s="4" t="inlineStr">
        <is>
          <t>https://cdn.shopify.com/s/files/1/0792/5098/1063/files/76a7585bd4cd30b07b5040b9e886936f39bc38e39d68a0e9ad8c7762fc463cc2.jpg?v=1787239299</t>
        </is>
      </c>
      <c r="D32" s="4" t="inlineStr">
        <is>
          <t>https://cdn.shopify.com/s/files/1/0792/5098/1063/files/76a7585bd4cd30b07b5040b9e886936f39bc38e39d68a0e9ad8c7762fc463cc2.jpg?v=1787239299</t>
        </is>
      </c>
      <c r="E32" s="2" t="inlineStr">
        <is>
          <t>38895268200647</t>
        </is>
      </c>
      <c r="F32" s="2" t="inlineStr">
        <is>
          <t>47934031659207</t>
        </is>
      </c>
      <c r="G32" s="2" t="inlineStr"/>
      <c r="H32" s="2" t="inlineStr">
        <is>
          <t>GALLERY</t>
        </is>
      </c>
      <c r="I32" s="2" t="inlineStr">
        <is>
          <t>DIRECT_ORIGINAL_IMAGE_REQA + R4_MEDIA_ID_COMPARISON</t>
        </is>
      </c>
      <c r="J32" s="2" t="inlineStr">
        <is>
          <t>2026-09-07T22:20:44.842298+07:00</t>
        </is>
      </c>
      <c r="K32" s="2" t="inlineStr">
        <is>
          <t>Front bedroom mockup of a deep-red Christmas quilt with two snowmen, a red cardinal, a brown cardinal and pine greenery.</t>
        </is>
      </c>
      <c r="L32" s="2" t="inlineStr">
        <is>
          <t>Main bed mockup showing red snowman pair and cardinal Christmas quilt.</t>
        </is>
      </c>
      <c r="M32" s="2" t="inlineStr">
        <is>
          <t>Christmas Bedding Quilt – Soft Microfiber Holiday Bedspread, Lightweight Winter Bedding, Cozy Xmas Quilts for Couch, Bedroom &amp; Seasonal Home Decorations (Christmas Quilt-DS12)</t>
        </is>
      </c>
      <c r="N32" s="2" t="inlineStr">
        <is>
          <t>SET</t>
        </is>
      </c>
      <c r="O32" s="2" t="inlineStr">
        <is>
          <t>Personalized Two Snowmen and Cardinals Christmas Quilt Set product image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["seo_runs\\jeminise.com\\20260906_234129\\evidence\\images\\27_christmas-bedding-quilt-soft-microfiber-holiday-bedsprea-design-12\\image_01_47934031659207.jpg; seo_runs\\jeminise.com\\20260906_234129\\evidence\\contact_sheets\\27_christmas-bedding-quilt-soft-microfiber-holiday-bedsprea-design-12.jpg", "https://jeminise.com/products/christmas-bedding-quilt-soft-microfiber-holiday-bedsprea-design-12", "https://cdn.shopify.com/s/files/1/0792/5098/1063/files/76a7585bd4cd30b07b5040b9e886936f39bc38e39d68a0e9ad8c7762fc463cc2.jpg?v=1787239299"]</t>
        </is>
      </c>
      <c r="AA32" s="2" t="inlineStr">
        <is>
          <t>r4</t>
        </is>
      </c>
    </row>
    <row r="33" ht="66" customHeight="1">
      <c r="A33" s="3" t="inlineStr">
        <is>
          <t>jeminise.com+christmas-bedding-quilt-soft-microfiber-holiday-bedsprea-design-12</t>
        </is>
      </c>
      <c r="B33" s="3" t="inlineStr">
        <is>
          <t>qaimg_33ff6f81bbad5c6e</t>
        </is>
      </c>
      <c r="C33" s="4" t="inlineStr">
        <is>
          <t>https://cdn.shopify.com/s/files/1/0792/5098/1063/files/771b444bc3c1e5abffae2b5c7e4c8a21e7d9116e9df079048baf711d9cdab5de.jpg?v=1787239299</t>
        </is>
      </c>
      <c r="D33" s="4" t="inlineStr">
        <is>
          <t>https://cdn.shopify.com/s/files/1/0792/5098/1063/files/771b444bc3c1e5abffae2b5c7e4c8a21e7d9116e9df079048baf711d9cdab5de.jpg?v=1787239299</t>
        </is>
      </c>
      <c r="E33" s="3" t="inlineStr">
        <is>
          <t>38895268233415</t>
        </is>
      </c>
      <c r="F33" s="3" t="inlineStr">
        <is>
          <t>47934031691975</t>
        </is>
      </c>
      <c r="G33" s="3" t="inlineStr"/>
      <c r="H33" s="3" t="inlineStr">
        <is>
          <t>GALLERY</t>
        </is>
      </c>
      <c r="I33" s="3" t="inlineStr">
        <is>
          <t>DIRECT_ORIGINAL_IMAGE_REQA + R4_MEDIA_ID_COMPARISON</t>
        </is>
      </c>
      <c r="J33" s="3" t="inlineStr">
        <is>
          <t>2026-09-07T22:20:44.842298+07:00</t>
        </is>
      </c>
      <c r="K33" s="3" t="inlineStr">
        <is>
          <t>Angled bedroom mockup of the same snowman-and-cardinal quilt.</t>
        </is>
      </c>
      <c r="L33" s="3" t="inlineStr">
        <is>
          <t>Angled bedroom mockup showing the red snowman pair and cardinal Christmas quilt quilt and matching shams.</t>
        </is>
      </c>
      <c r="M33" s="3" t="inlineStr">
        <is>
          <t>Christmas Bedding Quilt – Soft Microfiber Holiday Bedspread, Lightweight Winter Bedding, Cozy Xmas Quilts for Couch, Bedroom &amp; Seasonal Home Decorations (Christmas Quilt-DS12)</t>
        </is>
      </c>
      <c r="N33" s="3" t="inlineStr">
        <is>
          <t>SET</t>
        </is>
      </c>
      <c r="O33" s="3" t="inlineStr">
        <is>
          <t>Personalized Two Snowmen and Cardinals Christmas Quilt Set product image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["seo_runs\\jeminise.com\\20260906_234129\\evidence\\images\\27_christmas-bedding-quilt-soft-microfiber-holiday-bedsprea-design-12\\image_02_47934031691975.jpg; seo_runs\\jeminise.com\\20260906_234129\\evidence\\contact_sheets\\27_christmas-bedding-quilt-soft-microfiber-holiday-bedsprea-design-12.jpg", "https://jeminise.com/products/christmas-bedding-quilt-soft-microfiber-holiday-bedsprea-design-12", "https://cdn.shopify.com/s/files/1/0792/5098/1063/files/771b444bc3c1e5abffae2b5c7e4c8a21e7d9116e9df079048baf711d9cdab5de.jpg?v=1787239299"]</t>
        </is>
      </c>
      <c r="AA33" s="3" t="inlineStr">
        <is>
          <t>r4</t>
        </is>
      </c>
    </row>
    <row r="34" ht="66" customHeight="1">
      <c r="A34" s="2" t="inlineStr">
        <is>
          <t>jeminise.com+christmas-bedding-quilt-soft-microfiber-holiday-bedsprea-design-12</t>
        </is>
      </c>
      <c r="B34" s="2" t="inlineStr">
        <is>
          <t>qaimg_57acd3f49c071414</t>
        </is>
      </c>
      <c r="C34" s="4" t="inlineStr">
        <is>
          <t>https://cdn.shopify.com/s/files/1/0792/5098/1063/files/1633b2e89fa22831d4dc4a89053d8f3b3c491963e2b6b8e797728b03f280d901.jpg?v=1787239299</t>
        </is>
      </c>
      <c r="D34" s="4" t="inlineStr">
        <is>
          <t>https://cdn.shopify.com/s/files/1/0792/5098/1063/files/1633b2e89fa22831d4dc4a89053d8f3b3c491963e2b6b8e797728b03f280d901.jpg?v=1787239299</t>
        </is>
      </c>
      <c r="E34" s="2" t="inlineStr">
        <is>
          <t>38895268266183</t>
        </is>
      </c>
      <c r="F34" s="2" t="inlineStr">
        <is>
          <t>47934031724743</t>
        </is>
      </c>
      <c r="G34" s="2" t="inlineStr"/>
      <c r="H34" s="2" t="inlineStr">
        <is>
          <t>GALLERY</t>
        </is>
      </c>
      <c r="I34" s="2" t="inlineStr">
        <is>
          <t>DIRECT_ORIGINAL_IMAGE_REQA + R4_MEDIA_ID_COMPARISON</t>
        </is>
      </c>
      <c r="J34" s="2" t="inlineStr">
        <is>
          <t>2026-09-07T22:20:44.842298+07:00</t>
        </is>
      </c>
      <c r="K34" s="2" t="inlineStr">
        <is>
          <t>Isolated matching pillow sham with the snowman pair and cardinals.</t>
        </is>
      </c>
      <c r="L34" s="2" t="inlineStr">
        <is>
          <t>Matching pillow sham with red snowman pair and cardinal Christmas quilt artwork.</t>
        </is>
      </c>
      <c r="M34" s="2" t="inlineStr">
        <is>
          <t>Christmas Bedding Quilt – Soft Microfiber Holiday Bedspread, Lightweight Winter Bedding, Cozy Xmas Quilts for Couch, Bedroom &amp; Seasonal Home Decorations (Christmas Quilt-DS12)</t>
        </is>
      </c>
      <c r="N34" s="2" t="inlineStr">
        <is>
          <t>SET</t>
        </is>
      </c>
      <c r="O34" s="2" t="inlineStr">
        <is>
          <t>Personalized Two Snowmen and Cardinals Christmas Quilt Set product image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["seo_runs\\jeminise.com\\20260906_234129\\evidence\\images\\27_christmas-bedding-quilt-soft-microfiber-holiday-bedsprea-design-12\\image_03_47934031724743.jpg; seo_runs\\jeminise.com\\20260906_234129\\evidence\\contact_sheets\\27_christmas-bedding-quilt-soft-microfiber-holiday-bedsprea-design-12.jpg", "https://jeminise.com/products/christmas-bedding-quilt-soft-microfiber-holiday-bedsprea-design-12", "https://cdn.shopify.com/s/files/1/0792/5098/1063/files/1633b2e89fa22831d4dc4a89053d8f3b3c491963e2b6b8e797728b03f280d901.jpg?v=1787239299"]</t>
        </is>
      </c>
      <c r="AA34" s="2" t="inlineStr">
        <is>
          <t>r4</t>
        </is>
      </c>
    </row>
    <row r="35" ht="66" customHeight="1">
      <c r="A35" s="3" t="inlineStr">
        <is>
          <t>jeminise.com+christmas-bedding-quilt-soft-microfiber-holiday-bedsprea-design-12</t>
        </is>
      </c>
      <c r="B35" s="3" t="inlineStr">
        <is>
          <t>qaimg_bb26ce77178acab9</t>
        </is>
      </c>
      <c r="C35" s="4" t="inlineStr">
        <is>
          <t>https://cdn.shopify.com/s/files/1/0792/5098/1063/files/8f72705c73157de73c90d17e957027dab4c5f6da82cd04f8c0291ff9478cbcb5.jpg?v=1787239299</t>
        </is>
      </c>
      <c r="D35" s="4" t="inlineStr">
        <is>
          <t>https://cdn.shopify.com/s/files/1/0792/5098/1063/files/8f72705c73157de73c90d17e957027dab4c5f6da82cd04f8c0291ff9478cbcb5.jpg?v=1787239299</t>
        </is>
      </c>
      <c r="E35" s="3" t="inlineStr">
        <is>
          <t>38895268298951</t>
        </is>
      </c>
      <c r="F35" s="3" t="inlineStr">
        <is>
          <t>47934031757511</t>
        </is>
      </c>
      <c r="G35" s="3" t="inlineStr"/>
      <c r="H35" s="3" t="inlineStr">
        <is>
          <t>GALLERY</t>
        </is>
      </c>
      <c r="I35" s="3" t="inlineStr">
        <is>
          <t>DIRECT_ORIGINAL_IMAGE_REQA + R4_MEDIA_ID_COMPARISON</t>
        </is>
      </c>
      <c r="J35" s="3" t="inlineStr">
        <is>
          <t>2026-09-07T22:20:44.842298+07:00</t>
        </is>
      </c>
      <c r="K35" s="3" t="inlineStr">
        <is>
          <t>Close-up of the printed snowman and brown cardinal surface with visible quilting lines.</t>
        </is>
      </c>
      <c r="L35" s="3" t="inlineStr">
        <is>
          <t>Close-up view of the printed/quilted texture and red snowman pair and cardinal Christmas quilt detail.</t>
        </is>
      </c>
      <c r="M35" s="3" t="inlineStr">
        <is>
          <t>Christmas Bedding Quilt – Soft Microfiber Holiday Bedspread, Lightweight Winter Bedding, Cozy Xmas Quilts for Couch, Bedroom &amp; Seasonal Home Decorations (Christmas Quilt-DS12)</t>
        </is>
      </c>
      <c r="N35" s="3" t="inlineStr">
        <is>
          <t>SET</t>
        </is>
      </c>
      <c r="O35" s="3" t="inlineStr">
        <is>
          <t>Personalized Two Snowmen and Cardinals Christmas Quilt Set product image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["seo_runs\\jeminise.com\\20260906_234129\\evidence\\images\\27_christmas-bedding-quilt-soft-microfiber-holiday-bedsprea-design-12\\image_04_47934031757511.jpg; seo_runs\\jeminise.com\\20260906_234129\\evidence\\contact_sheets\\27_christmas-bedding-quilt-soft-microfiber-holiday-bedsprea-design-12.jpg", "https://jeminise.com/products/christmas-bedding-quilt-soft-microfiber-holiday-bedsprea-design-12", "https://cdn.shopify.com/s/files/1/0792/5098/1063/files/8f72705c73157de73c90d17e957027dab4c5f6da82cd04f8c0291ff9478cbcb5.jpg?v=1787239299"]</t>
        </is>
      </c>
      <c r="AA35" s="3" t="inlineStr">
        <is>
          <t>r4</t>
        </is>
      </c>
    </row>
    <row r="36" ht="66" customHeight="1">
      <c r="A36" s="2" t="inlineStr">
        <is>
          <t>jeminise.com+christmas-bedding-quilt-soft-microfiber-holiday-bedsprea-design-12</t>
        </is>
      </c>
      <c r="B36" s="2" t="inlineStr">
        <is>
          <t>qaimg_c0935362bc0621c1</t>
        </is>
      </c>
      <c r="C36" s="4" t="inlineStr">
        <is>
          <t>https://cdn.shopify.com/s/files/1/0792/5098/1063/files/581cabcc8f29304036025dfeda00684fc9b10f6fda52339d78d676869aca4f8d.jpg?v=1787239300</t>
        </is>
      </c>
      <c r="D36" s="4" t="inlineStr">
        <is>
          <t>https://cdn.shopify.com/s/files/1/0792/5098/1063/files/581cabcc8f29304036025dfeda00684fc9b10f6fda52339d78d676869aca4f8d.jpg?v=1787239300</t>
        </is>
      </c>
      <c r="E36" s="2" t="inlineStr">
        <is>
          <t>38895268331719</t>
        </is>
      </c>
      <c r="F36" s="2" t="inlineStr">
        <is>
          <t>47934031790279</t>
        </is>
      </c>
      <c r="G36" s="2" t="inlineStr"/>
      <c r="H36" s="2" t="inlineStr">
        <is>
          <t>GALLERY</t>
        </is>
      </c>
      <c r="I36" s="2" t="inlineStr">
        <is>
          <t>DIRECT_ORIGINAL_IMAGE_REQA + R4_MEDIA_ID_COMPARISON</t>
        </is>
      </c>
      <c r="J36" s="2" t="inlineStr">
        <is>
          <t>2026-09-07T22:20:44.842298+07:00</t>
        </is>
      </c>
      <c r="K36" s="2" t="inlineStr">
        <is>
          <t>Included-components and size graphic: one premium quilt plus two optional standard shams; Throw, Twin, Queen and King dimensions.</t>
        </is>
      </c>
      <c r="L36" s="2" t="inlineStr">
        <is>
          <t>Included-components and size information image for the quilt set.</t>
        </is>
      </c>
      <c r="M36" s="2" t="inlineStr">
        <is>
          <t>Christmas Bedding Quilt – Soft Microfiber Holiday Bedspread, Lightweight Winter Bedding, Cozy Xmas Quilts for Couch, Bedroom &amp; Seasonal Home Decorations (Christmas Quilt-DS12)</t>
        </is>
      </c>
      <c r="N36" s="2" t="inlineStr">
        <is>
          <t>SET</t>
        </is>
      </c>
      <c r="O36" s="2" t="inlineStr">
        <is>
          <t>Personalized Two Snowmen and Cardinals Christmas Quilt Set product image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["seo_runs\\jeminise.com\\20260906_234129\\evidence\\images\\27_christmas-bedding-quilt-soft-microfiber-holiday-bedsprea-design-12\\image_05_47934031790279.jpg; seo_runs\\jeminise.com\\20260906_234129\\evidence\\contact_sheets\\27_christmas-bedding-quilt-soft-microfiber-holiday-bedsprea-design-12.jpg", "https://jeminise.com/products/christmas-bedding-quilt-soft-microfiber-holiday-bedsprea-design-12", "https://cdn.shopify.com/s/files/1/0792/5098/1063/files/581cabcc8f29304036025dfeda00684fc9b10f6fda52339d78d676869aca4f8d.jpg?v=1787239300"]</t>
        </is>
      </c>
      <c r="AA36" s="2" t="inlineStr">
        <is>
          <t>r4</t>
        </is>
      </c>
    </row>
    <row r="37" ht="66" customHeight="1">
      <c r="A37" s="3" t="inlineStr">
        <is>
          <t>jeminise.com+christmas-bedding-quilt-soft-microfiber-holiday-bedspread</t>
        </is>
      </c>
      <c r="B37" s="3" t="inlineStr">
        <is>
          <t>qaimg_86cce1059f130ece</t>
        </is>
      </c>
      <c r="C37" s="4" t="inlineStr">
        <is>
          <t>https://cdn.shopify.com/s/files/1/0792/5098/1063/files/46766faf8cb22969ec6d9243d29501302e7d75e6617406cd4d523e3d582c385e.jpg?v=1787239287</t>
        </is>
      </c>
      <c r="D37" s="4" t="inlineStr">
        <is>
          <t>https://cdn.shopify.com/s/files/1/0792/5098/1063/files/46766faf8cb22969ec6d9243d29501302e7d75e6617406cd4d523e3d582c385e.jpg?v=1787239287</t>
        </is>
      </c>
      <c r="E37" s="3" t="inlineStr">
        <is>
          <t>38895265480903</t>
        </is>
      </c>
      <c r="F37" s="3" t="inlineStr">
        <is>
          <t>47934029234375</t>
        </is>
      </c>
      <c r="G37" s="3" t="inlineStr"/>
      <c r="H37" s="3" t="inlineStr">
        <is>
          <t>GALLERY</t>
        </is>
      </c>
      <c r="I37" s="3" t="inlineStr">
        <is>
          <t>DIRECT_ORIGINAL_IMAGE_REQA + R4_MEDIA_ID_COMPARISON</t>
        </is>
      </c>
      <c r="J37" s="3" t="inlineStr">
        <is>
          <t>2026-09-07T22:20:44.842298+07:00</t>
        </is>
      </c>
      <c r="K37" s="3" t="inlineStr">
        <is>
          <t>Front bedroom mockup of a cream vintage-style Christmas-tree quilt with ornaments, wrapped gifts and an ornate border.</t>
        </is>
      </c>
      <c r="L37" s="3" t="inlineStr">
        <is>
          <t>Main bed mockup showing vintage cream Christmas tree quilt with wrapped gifts.</t>
        </is>
      </c>
      <c r="M37" s="3" t="inlineStr">
        <is>
          <t>Christmas Bedding Quilt – Soft Microfiber Holiday Bedspread, Lightweight Winter Bedding, Cozy Xmas Quilts for Couch, Bedroom &amp; Seasonal Home Decorations (Christmas Quilt-DS07)</t>
        </is>
      </c>
      <c r="N37" s="3" t="inlineStr">
        <is>
          <t>SET</t>
        </is>
      </c>
      <c r="O37" s="3" t="inlineStr">
        <is>
          <t>Personalized Vintage Christmas Tree Quilt Set product image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["seo_runs\\jeminise.com\\20260906_234129\\evidence\\images\\28_christmas-bedding-quilt-soft-microfiber-holiday-bedspread\\image_01_47934029234375.jpg; seo_runs\\jeminise.com\\20260906_234129\\evidence\\contact_sheets\\28_christmas-bedding-quilt-soft-microfiber-holiday-bedspread.jpg", "https://jeminise.com/products/christmas-bedding-quilt-soft-microfiber-holiday-bedspread", "https://cdn.shopify.com/s/files/1/0792/5098/1063/files/46766faf8cb22969ec6d9243d29501302e7d75e6617406cd4d523e3d582c385e.jpg?v=1787239287"]</t>
        </is>
      </c>
      <c r="AA37" s="3" t="inlineStr">
        <is>
          <t>r4</t>
        </is>
      </c>
    </row>
    <row r="38" ht="66" customHeight="1">
      <c r="A38" s="2" t="inlineStr">
        <is>
          <t>jeminise.com+christmas-bedding-quilt-soft-microfiber-holiday-bedspread</t>
        </is>
      </c>
      <c r="B38" s="2" t="inlineStr">
        <is>
          <t>qaimg_5583749b5228ff04</t>
        </is>
      </c>
      <c r="C38" s="4" t="inlineStr">
        <is>
          <t>https://cdn.shopify.com/s/files/1/0792/5098/1063/files/aefdb300474b2be72d2922e6647c41bde3bb061800ef5a5d164b41494b81fb19.jpg?v=1787239287</t>
        </is>
      </c>
      <c r="D38" s="4" t="inlineStr">
        <is>
          <t>https://cdn.shopify.com/s/files/1/0792/5098/1063/files/aefdb300474b2be72d2922e6647c41bde3bb061800ef5a5d164b41494b81fb19.jpg?v=1787239287</t>
        </is>
      </c>
      <c r="E38" s="2" t="inlineStr">
        <is>
          <t>38895265513671</t>
        </is>
      </c>
      <c r="F38" s="2" t="inlineStr">
        <is>
          <t>47934029267143</t>
        </is>
      </c>
      <c r="G38" s="2" t="inlineStr"/>
      <c r="H38" s="2" t="inlineStr">
        <is>
          <t>GALLERY</t>
        </is>
      </c>
      <c r="I38" s="2" t="inlineStr">
        <is>
          <t>DIRECT_ORIGINAL_IMAGE_REQA + R4_MEDIA_ID_COMPARISON</t>
        </is>
      </c>
      <c r="J38" s="2" t="inlineStr">
        <is>
          <t>2026-09-07T22:20:44.842298+07:00</t>
        </is>
      </c>
      <c r="K38" s="2" t="inlineStr">
        <is>
          <t>Angled bedroom mockup of the same cream Christmas-tree quilt.</t>
        </is>
      </c>
      <c r="L38" s="2" t="inlineStr">
        <is>
          <t>Angled bedroom mockup showing the vintage cream Christmas tree quilt with wrapped gifts quilt and matching shams.</t>
        </is>
      </c>
      <c r="M38" s="2" t="inlineStr">
        <is>
          <t>Christmas Bedding Quilt – Soft Microfiber Holiday Bedspread, Lightweight Winter Bedding, Cozy Xmas Quilts for Couch, Bedroom &amp; Seasonal Home Decorations (Christmas Quilt-DS07)</t>
        </is>
      </c>
      <c r="N38" s="2" t="inlineStr">
        <is>
          <t>SET</t>
        </is>
      </c>
      <c r="O38" s="2" t="inlineStr">
        <is>
          <t>Personalized Vintage Christmas Tree Quilt Set product image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["seo_runs\\jeminise.com\\20260906_234129\\evidence\\images\\28_christmas-bedding-quilt-soft-microfiber-holiday-bedspread\\image_02_47934029267143.jpg; seo_runs\\jeminise.com\\20260906_234129\\evidence\\contact_sheets\\28_christmas-bedding-quilt-soft-microfiber-holiday-bedspread.jpg", "https://jeminise.com/products/christmas-bedding-quilt-soft-microfiber-holiday-bedspread", "https://cdn.shopify.com/s/files/1/0792/5098/1063/files/aefdb300474b2be72d2922e6647c41bde3bb061800ef5a5d164b41494b81fb19.jpg?v=1787239287"]</t>
        </is>
      </c>
      <c r="AA38" s="2" t="inlineStr">
        <is>
          <t>r4</t>
        </is>
      </c>
    </row>
    <row r="39" ht="66" customHeight="1">
      <c r="A39" s="3" t="inlineStr">
        <is>
          <t>jeminise.com+christmas-bedding-quilt-soft-microfiber-holiday-bedspread</t>
        </is>
      </c>
      <c r="B39" s="3" t="inlineStr">
        <is>
          <t>qaimg_c6a90d111fc78977</t>
        </is>
      </c>
      <c r="C39" s="4" t="inlineStr">
        <is>
          <t>https://cdn.shopify.com/s/files/1/0792/5098/1063/files/3a3d71b9e950f5c9823b2552370a6a4a7cba089c4b15f174d2430e5fa07d5a5d.jpg?v=1787239286</t>
        </is>
      </c>
      <c r="D39" s="4" t="inlineStr">
        <is>
          <t>https://cdn.shopify.com/s/files/1/0792/5098/1063/files/3a3d71b9e950f5c9823b2552370a6a4a7cba089c4b15f174d2430e5fa07d5a5d.jpg?v=1787239286</t>
        </is>
      </c>
      <c r="E39" s="3" t="inlineStr">
        <is>
          <t>38895265546439</t>
        </is>
      </c>
      <c r="F39" s="3" t="inlineStr">
        <is>
          <t>47934029299911</t>
        </is>
      </c>
      <c r="G39" s="3" t="inlineStr"/>
      <c r="H39" s="3" t="inlineStr">
        <is>
          <t>GALLERY</t>
        </is>
      </c>
      <c r="I39" s="3" t="inlineStr">
        <is>
          <t>DIRECT_ORIGINAL_IMAGE_REQA + R4_MEDIA_ID_COMPARISON</t>
        </is>
      </c>
      <c r="J39" s="3" t="inlineStr">
        <is>
          <t>2026-09-07T22:20:44.842298+07:00</t>
        </is>
      </c>
      <c r="K39" s="3" t="inlineStr">
        <is>
          <t>Isolated matching pillow sham with decorated tree and wrapped gifts.</t>
        </is>
      </c>
      <c r="L39" s="3" t="inlineStr">
        <is>
          <t>Matching pillow sham with vintage cream Christmas tree quilt with wrapped gifts artwork.</t>
        </is>
      </c>
      <c r="M39" s="3" t="inlineStr">
        <is>
          <t>Christmas Bedding Quilt – Soft Microfiber Holiday Bedspread, Lightweight Winter Bedding, Cozy Xmas Quilts for Couch, Bedroom &amp; Seasonal Home Decorations (Christmas Quilt-DS07)</t>
        </is>
      </c>
      <c r="N39" s="3" t="inlineStr">
        <is>
          <t>SET</t>
        </is>
      </c>
      <c r="O39" s="3" t="inlineStr">
        <is>
          <t>Personalized Vintage Christmas Tree Quilt Set product image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["seo_runs\\jeminise.com\\20260906_234129\\evidence\\images\\28_christmas-bedding-quilt-soft-microfiber-holiday-bedspread\\image_03_47934029299911.jpg; seo_runs\\jeminise.com\\20260906_234129\\evidence\\contact_sheets\\28_christmas-bedding-quilt-soft-microfiber-holiday-bedspread.jpg", "https://jeminise.com/products/christmas-bedding-quilt-soft-microfiber-holiday-bedspread", "https://cdn.shopify.com/s/files/1/0792/5098/1063/files/3a3d71b9e950f5c9823b2552370a6a4a7cba089c4b15f174d2430e5fa07d5a5d.jpg?v=1787239286"]</t>
        </is>
      </c>
      <c r="AA39" s="3" t="inlineStr">
        <is>
          <t>r4</t>
        </is>
      </c>
    </row>
    <row r="40" ht="66" customHeight="1">
      <c r="A40" s="2" t="inlineStr">
        <is>
          <t>jeminise.com+christmas-bedding-quilt-soft-microfiber-holiday-bedspread</t>
        </is>
      </c>
      <c r="B40" s="2" t="inlineStr">
        <is>
          <t>qaimg_4a1cc3380473cea6</t>
        </is>
      </c>
      <c r="C40" s="4" t="inlineStr">
        <is>
          <t>https://cdn.shopify.com/s/files/1/0792/5098/1063/files/7066a2433b3f12d4cacd6f4e8cc8c23427cc728f21337e12f0e0996e3b9d0eac.jpg?v=1787239286</t>
        </is>
      </c>
      <c r="D40" s="4" t="inlineStr">
        <is>
          <t>https://cdn.shopify.com/s/files/1/0792/5098/1063/files/7066a2433b3f12d4cacd6f4e8cc8c23427cc728f21337e12f0e0996e3b9d0eac.jpg?v=1787239286</t>
        </is>
      </c>
      <c r="E40" s="2" t="inlineStr">
        <is>
          <t>38895265579207</t>
        </is>
      </c>
      <c r="F40" s="2" t="inlineStr">
        <is>
          <t>47934029332679</t>
        </is>
      </c>
      <c r="G40" s="2" t="inlineStr"/>
      <c r="H40" s="2" t="inlineStr">
        <is>
          <t>GALLERY</t>
        </is>
      </c>
      <c r="I40" s="2" t="inlineStr">
        <is>
          <t>DIRECT_ORIGINAL_IMAGE_REQA + R4_MEDIA_ID_COMPARISON</t>
        </is>
      </c>
      <c r="J40" s="2" t="inlineStr">
        <is>
          <t>2026-09-07T22:20:44.842298+07:00</t>
        </is>
      </c>
      <c r="K40" s="2" t="inlineStr">
        <is>
          <t>Close-up of the printed ornaments and tree branches with visible quilting lines.</t>
        </is>
      </c>
      <c r="L40" s="2" t="inlineStr">
        <is>
          <t>Close-up view of the printed/quilted texture and vintage cream Christmas tree quilt with wrapped gifts detail.</t>
        </is>
      </c>
      <c r="M40" s="2" t="inlineStr">
        <is>
          <t>Christmas Bedding Quilt – Soft Microfiber Holiday Bedspread, Lightweight Winter Bedding, Cozy Xmas Quilts for Couch, Bedroom &amp; Seasonal Home Decorations (Christmas Quilt-DS07)</t>
        </is>
      </c>
      <c r="N40" s="2" t="inlineStr">
        <is>
          <t>SET</t>
        </is>
      </c>
      <c r="O40" s="2" t="inlineStr">
        <is>
          <t>Personalized Vintage Christmas Tree Quilt Set product image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["seo_runs\\jeminise.com\\20260906_234129\\evidence\\images\\28_christmas-bedding-quilt-soft-microfiber-holiday-bedspread\\image_04_47934029332679.jpg; seo_runs\\jeminise.com\\20260906_234129\\evidence\\contact_sheets\\28_christmas-bedding-quilt-soft-microfiber-holiday-bedspread.jpg", "https://jeminise.com/products/christmas-bedding-quilt-soft-microfiber-holiday-bedspread", "https://cdn.shopify.com/s/files/1/0792/5098/1063/files/7066a2433b3f12d4cacd6f4e8cc8c23427cc728f21337e12f0e0996e3b9d0eac.jpg?v=1787239286"]</t>
        </is>
      </c>
      <c r="AA40" s="2" t="inlineStr">
        <is>
          <t>r4</t>
        </is>
      </c>
    </row>
    <row r="41" ht="66" customHeight="1">
      <c r="A41" s="3" t="inlineStr">
        <is>
          <t>jeminise.com+christmas-bedding-quilt-soft-microfiber-holiday-bedspread</t>
        </is>
      </c>
      <c r="B41" s="3" t="inlineStr">
        <is>
          <t>qaimg_a92619e150b3e30d</t>
        </is>
      </c>
      <c r="C41" s="4" t="inlineStr">
        <is>
          <t>https://cdn.shopify.com/s/files/1/0792/5098/1063/files/7b383fdda314586dd2b1631d354d11f6044cf860e78d60b0da30f368498ad48f.jpg?v=1787239286</t>
        </is>
      </c>
      <c r="D41" s="4" t="inlineStr">
        <is>
          <t>https://cdn.shopify.com/s/files/1/0792/5098/1063/files/7b383fdda314586dd2b1631d354d11f6044cf860e78d60b0da30f368498ad48f.jpg?v=1787239286</t>
        </is>
      </c>
      <c r="E41" s="3" t="inlineStr">
        <is>
          <t>38895265611975</t>
        </is>
      </c>
      <c r="F41" s="3" t="inlineStr">
        <is>
          <t>47934029365447</t>
        </is>
      </c>
      <c r="G41" s="3" t="inlineStr"/>
      <c r="H41" s="3" t="inlineStr">
        <is>
          <t>GALLERY</t>
        </is>
      </c>
      <c r="I41" s="3" t="inlineStr">
        <is>
          <t>DIRECT_ORIGINAL_IMAGE_REQA + R4_MEDIA_ID_COMPARISON</t>
        </is>
      </c>
      <c r="J41" s="3" t="inlineStr">
        <is>
          <t>2026-09-07T22:20:44.842298+07:00</t>
        </is>
      </c>
      <c r="K41" s="3" t="inlineStr">
        <is>
          <t>Included-components and size graphic: one premium quilt plus two optional standard shams; Throw, Twin, Queen and King dimensions.</t>
        </is>
      </c>
      <c r="L41" s="3" t="inlineStr">
        <is>
          <t>Included-components and size information image for the quilt set.</t>
        </is>
      </c>
      <c r="M41" s="3" t="inlineStr">
        <is>
          <t>Christmas Bedding Quilt – Soft Microfiber Holiday Bedspread, Lightweight Winter Bedding, Cozy Xmas Quilts for Couch, Bedroom &amp; Seasonal Home Decorations (Christmas Quilt-DS07)</t>
        </is>
      </c>
      <c r="N41" s="3" t="inlineStr">
        <is>
          <t>SET</t>
        </is>
      </c>
      <c r="O41" s="3" t="inlineStr">
        <is>
          <t>Personalized Vintage Christmas Tree Quilt Set product image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["seo_runs\\jeminise.com\\20260906_234129\\evidence\\images\\28_christmas-bedding-quilt-soft-microfiber-holiday-bedspread\\image_05_47934029365447.jpg; seo_runs\\jeminise.com\\20260906_234129\\evidence\\contact_sheets\\28_christmas-bedding-quilt-soft-microfiber-holiday-bedspread.jpg", "https://jeminise.com/products/christmas-bedding-quilt-soft-microfiber-holiday-bedspread", "https://cdn.shopify.com/s/files/1/0792/5098/1063/files/7b383fdda314586dd2b1631d354d11f6044cf860e78d60b0da30f368498ad48f.jpg?v=1787239286"]</t>
        </is>
      </c>
      <c r="AA41" s="3" t="inlineStr">
        <is>
          <t>r4</t>
        </is>
      </c>
    </row>
    <row r="42" ht="66" customHeight="1">
      <c r="A42" s="2" t="inlineStr">
        <is>
          <t>jeminise.com+christmas-cardinal-on-branch-within-patchwork-winter-quilt-892d70543a-892d70543a</t>
        </is>
      </c>
      <c r="B42" s="2" t="inlineStr">
        <is>
          <t>qaimg_caed76b5267d9c06</t>
        </is>
      </c>
      <c r="C42" s="4" t="inlineStr">
        <is>
          <t>https://cdn.shopify.com/s/files/1/0792/5098/1063/files/bf28c41377cdb7a1ead58c1b8bf6522ea073b8840f5304f63418bda5d7a7b388.jpg?v=1785098877</t>
        </is>
      </c>
      <c r="D42" s="4" t="inlineStr">
        <is>
          <t>https://cdn.shopify.com/s/files/1/0792/5098/1063/files/bf28c41377cdb7a1ead58c1b8bf6522ea073b8840f5304f63418bda5d7a7b388.jpg?v=1785098877</t>
        </is>
      </c>
      <c r="E42" s="2" t="inlineStr">
        <is>
          <t>38506540302535</t>
        </is>
      </c>
      <c r="F42" s="2" t="inlineStr">
        <is>
          <t>47539978830023</t>
        </is>
      </c>
      <c r="G42" s="2" t="inlineStr"/>
      <c r="H42" s="2" t="inlineStr">
        <is>
          <t>GALLERY</t>
        </is>
      </c>
      <c r="I42" s="2" t="inlineStr">
        <is>
          <t>DIRECT_ORIGINAL_IMAGE_REQA + R4_MEDIA_ID_COMPARISON</t>
        </is>
      </c>
      <c r="J42" s="2" t="inlineStr">
        <is>
          <t>2026-09-07T22:20:44.842298+07:00</t>
        </is>
      </c>
      <c r="K42" s="2" t="inlineStr">
        <is>
          <t>Front bedroom mockup of a red-and-white patchwork Christmas quilt with a cardinal and the words I am Always With You.</t>
        </is>
      </c>
      <c r="L42" s="2" t="inlineStr">
        <is>
          <t>Main bed mockup showing Christmas cardinal memorial quilt with I am Always With You text.</t>
        </is>
      </c>
      <c r="M42" s="2" t="inlineStr">
        <is>
          <t>Christmas Cardinal on Branch Within Patchwork Winter Quilt</t>
        </is>
      </c>
      <c r="N42" s="2" t="inlineStr">
        <is>
          <t>SET</t>
        </is>
      </c>
      <c r="O42" s="2" t="inlineStr">
        <is>
          <t>Cardinal Memorial Christmas Quilt Set product image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["seo_runs\\jeminise.com\\20260906_234129\\evidence\\images\\29_christmas-cardinal-on-branch-within-patchwork-winter-quilt-892d70543a-892d70543a\\image_01_47539978830023.jpg; seo_runs\\jeminise.com\\20260906_234129\\evidence\\contact_sheets\\29_christmas-cardinal-on-branch-within-patchwork-winter-quilt-892d70543a-892d70543a.jpg", "https://jeminise.com/products/christmas-cardinal-on-branch-within-patchwork-winter-quilt-892d70543a-892d70543a", "https://cdn.shopify.com/s/files/1/0792/5098/1063/files/bf28c41377cdb7a1ead58c1b8bf6522ea073b8840f5304f63418bda5d7a7b388.jpg?v=1785098877"]</t>
        </is>
      </c>
      <c r="AA42" s="2" t="inlineStr">
        <is>
          <t>r4</t>
        </is>
      </c>
    </row>
    <row r="43" ht="66" customHeight="1">
      <c r="A43" s="3" t="inlineStr">
        <is>
          <t>jeminise.com+christmas-cardinal-on-branch-within-patchwork-winter-quilt-892d70543a-892d70543a</t>
        </is>
      </c>
      <c r="B43" s="3" t="inlineStr">
        <is>
          <t>qaimg_6f8e4b452f03bb9d</t>
        </is>
      </c>
      <c r="C43" s="4" t="inlineStr">
        <is>
          <t>https://cdn.shopify.com/s/files/1/0792/5098/1063/files/81f3805955113fdaf94272a97be66d4eb8728684496654f5010e77aa4ab8e87b.jpg?v=1785098877</t>
        </is>
      </c>
      <c r="D43" s="4" t="inlineStr">
        <is>
          <t>https://cdn.shopify.com/s/files/1/0792/5098/1063/files/81f3805955113fdaf94272a97be66d4eb8728684496654f5010e77aa4ab8e87b.jpg?v=1785098877</t>
        </is>
      </c>
      <c r="E43" s="3" t="inlineStr">
        <is>
          <t>38506540335303</t>
        </is>
      </c>
      <c r="F43" s="3" t="inlineStr">
        <is>
          <t>47539978862791</t>
        </is>
      </c>
      <c r="G43" s="3" t="inlineStr"/>
      <c r="H43" s="3" t="inlineStr">
        <is>
          <t>GALLERY</t>
        </is>
      </c>
      <c r="I43" s="3" t="inlineStr">
        <is>
          <t>DIRECT_ORIGINAL_IMAGE_REQA + R4_MEDIA_ID_COMPARISON</t>
        </is>
      </c>
      <c r="J43" s="3" t="inlineStr">
        <is>
          <t>2026-09-07T22:20:44.842298+07:00</t>
        </is>
      </c>
      <c r="K43" s="3" t="inlineStr">
        <is>
          <t>Close-up of the cardinal and the visible words I am Always With You.</t>
        </is>
      </c>
      <c r="L43" s="3" t="inlineStr">
        <is>
          <t>Angled bedroom mockup showing the Christmas cardinal memorial quilt with I am Always With You text quilt and matching shams.</t>
        </is>
      </c>
      <c r="M43" s="3" t="inlineStr">
        <is>
          <t>Christmas Cardinal on Branch Within Patchwork Winter Quilt</t>
        </is>
      </c>
      <c r="N43" s="3" t="inlineStr">
        <is>
          <t>SET</t>
        </is>
      </c>
      <c r="O43" s="3" t="inlineStr">
        <is>
          <t>Cardinal Memorial Christmas Quilt Set product image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["seo_runs\\jeminise.com\\20260906_234129\\evidence\\images\\29_christmas-cardinal-on-branch-within-patchwork-winter-quilt-892d70543a-892d70543a\\image_02_47539978862791.jpg; seo_runs\\jeminise.com\\20260906_234129\\evidence\\contact_sheets\\29_christmas-cardinal-on-branch-within-patchwork-winter-quilt-892d70543a-892d70543a.jpg", "https://jeminise.com/products/christmas-cardinal-on-branch-within-patchwork-winter-quilt-892d70543a-892d70543a", "https://cdn.shopify.com/s/files/1/0792/5098/1063/files/81f3805955113fdaf94272a97be66d4eb8728684496654f5010e77aa4ab8e87b.jpg?v=1785098877"]</t>
        </is>
      </c>
      <c r="AA43" s="3" t="inlineStr">
        <is>
          <t>r4</t>
        </is>
      </c>
    </row>
    <row r="44" ht="66" customHeight="1">
      <c r="A44" s="2" t="inlineStr">
        <is>
          <t>jeminise.com+christmas-cardinal-on-branch-within-patchwork-winter-quilt-892d70543a-892d70543a</t>
        </is>
      </c>
      <c r="B44" s="2" t="inlineStr">
        <is>
          <t>qaimg_d53c032f00be7ac8</t>
        </is>
      </c>
      <c r="C44" s="4" t="inlineStr">
        <is>
          <t>https://cdn.shopify.com/s/files/1/0792/5098/1063/files/71627aa23557dde06f36d989c7eea33ac95d6403196bf70fbc4eefcf56b6e70f.jpg?v=1785098877</t>
        </is>
      </c>
      <c r="D44" s="4" t="inlineStr">
        <is>
          <t>https://cdn.shopify.com/s/files/1/0792/5098/1063/files/71627aa23557dde06f36d989c7eea33ac95d6403196bf70fbc4eefcf56b6e70f.jpg?v=1785098877</t>
        </is>
      </c>
      <c r="E44" s="2" t="inlineStr">
        <is>
          <t>38506540368071</t>
        </is>
      </c>
      <c r="F44" s="2" t="inlineStr">
        <is>
          <t>47539978895559</t>
        </is>
      </c>
      <c r="G44" s="2" t="inlineStr"/>
      <c r="H44" s="2" t="inlineStr">
        <is>
          <t>GALLERY</t>
        </is>
      </c>
      <c r="I44" s="2" t="inlineStr">
        <is>
          <t>DIRECT_ORIGINAL_IMAGE_REQA + R4_MEDIA_ID_COMPARISON</t>
        </is>
      </c>
      <c r="J44" s="2" t="inlineStr">
        <is>
          <t>2026-09-07T22:20:44.842298+07:00</t>
        </is>
      </c>
      <c r="K44" s="2" t="inlineStr">
        <is>
          <t>Isolated matching pillow sham with cardinal, poinsettias, roses, bells, hearts and berries.</t>
        </is>
      </c>
      <c r="L44" s="2" t="inlineStr">
        <is>
          <t>Matching pillow sham with Christmas cardinal memorial quilt with I am Always With You text artwork.</t>
        </is>
      </c>
      <c r="M44" s="2" t="inlineStr">
        <is>
          <t>Christmas Cardinal on Branch Within Patchwork Winter Quilt</t>
        </is>
      </c>
      <c r="N44" s="2" t="inlineStr">
        <is>
          <t>SET</t>
        </is>
      </c>
      <c r="O44" s="2" t="inlineStr">
        <is>
          <t>Cardinal Memorial Christmas Quilt Set product image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["seo_runs\\jeminise.com\\20260906_234129\\evidence\\images\\29_christmas-cardinal-on-branch-within-patchwork-winter-quilt-892d70543a-892d70543a\\image_03_47539978895559.jpg; seo_runs\\jeminise.com\\20260906_234129\\evidence\\contact_sheets\\29_christmas-cardinal-on-branch-within-patchwork-winter-quilt-892d70543a-892d70543a.jpg", "https://jeminise.com/products/christmas-cardinal-on-branch-within-patchwork-winter-quilt-892d70543a-892d70543a", "https://cdn.shopify.com/s/files/1/0792/5098/1063/files/71627aa23557dde06f36d989c7eea33ac95d6403196bf70fbc4eefcf56b6e70f.jpg?v=1785098877"]</t>
        </is>
      </c>
      <c r="AA44" s="2" t="inlineStr">
        <is>
          <t>r4</t>
        </is>
      </c>
    </row>
    <row r="45" ht="66" customHeight="1">
      <c r="A45" s="3" t="inlineStr">
        <is>
          <t>jeminise.com+christmas-cardinal-on-branch-within-patchwork-winter-quilt-892d70543a-892d70543a</t>
        </is>
      </c>
      <c r="B45" s="3" t="inlineStr">
        <is>
          <t>qaimg_e2228d6d5c073799</t>
        </is>
      </c>
      <c r="C45" s="4" t="inlineStr">
        <is>
          <t>https://cdn.shopify.com/s/files/1/0792/5098/1063/files/b845f1cebf41c07e8603d709af5f48108735e52a2b08909404bc927ce2f2fba6.jpg?v=1785098877</t>
        </is>
      </c>
      <c r="D45" s="4" t="inlineStr">
        <is>
          <t>https://cdn.shopify.com/s/files/1/0792/5098/1063/files/b845f1cebf41c07e8603d709af5f48108735e52a2b08909404bc927ce2f2fba6.jpg?v=1785098877</t>
        </is>
      </c>
      <c r="E45" s="3" t="inlineStr">
        <is>
          <t>38506540400839</t>
        </is>
      </c>
      <c r="F45" s="3" t="inlineStr">
        <is>
          <t>47539978928327</t>
        </is>
      </c>
      <c r="G45" s="3" t="inlineStr"/>
      <c r="H45" s="3" t="inlineStr">
        <is>
          <t>GALLERY</t>
        </is>
      </c>
      <c r="I45" s="3" t="inlineStr">
        <is>
          <t>DIRECT_ORIGINAL_IMAGE_REQA + R4_MEDIA_ID_COMPARISON</t>
        </is>
      </c>
      <c r="J45" s="3" t="inlineStr">
        <is>
          <t>2026-09-07T22:20:44.842298+07:00</t>
        </is>
      </c>
      <c r="K45" s="3" t="inlineStr">
        <is>
          <t>Angled bedroom mockup of the same cardinal memorial-style Christmas quilt.</t>
        </is>
      </c>
      <c r="L45" s="3" t="inlineStr">
        <is>
          <t>Close-up view of the printed/quilted texture and Christmas cardinal memorial quilt with I am Always With You text detail.</t>
        </is>
      </c>
      <c r="M45" s="3" t="inlineStr">
        <is>
          <t>Christmas Cardinal on Branch Within Patchwork Winter Quilt</t>
        </is>
      </c>
      <c r="N45" s="3" t="inlineStr">
        <is>
          <t>SET</t>
        </is>
      </c>
      <c r="O45" s="3" t="inlineStr">
        <is>
          <t>Cardinal Memorial Christmas Quilt Set product image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["seo_runs\\jeminise.com\\20260906_234129\\evidence\\images\\29_christmas-cardinal-on-branch-within-patchwork-winter-quilt-892d70543a-892d70543a\\image_04_47539978928327.jpg; seo_runs\\jeminise.com\\20260906_234129\\evidence\\contact_sheets\\29_christmas-cardinal-on-branch-within-patchwork-winter-quilt-892d70543a-892d70543a.jpg", "https://jeminise.com/products/christmas-cardinal-on-branch-within-patchwork-winter-quilt-892d70543a-892d70543a", "https://cdn.shopify.com/s/files/1/0792/5098/1063/files/b845f1cebf41c07e8603d709af5f48108735e52a2b08909404bc927ce2f2fba6.jpg?v=1785098877"]</t>
        </is>
      </c>
      <c r="AA45" s="3" t="inlineStr">
        <is>
          <t>r4</t>
        </is>
      </c>
    </row>
    <row r="46" ht="66" customHeight="1">
      <c r="A46" s="2" t="inlineStr">
        <is>
          <t>jeminise.com+christmas-cardinal-on-branch-within-patchwork-winter-quilt-892d70543a-892d70543a</t>
        </is>
      </c>
      <c r="B46" s="2" t="inlineStr">
        <is>
          <t>qaimg_890443a584183493</t>
        </is>
      </c>
      <c r="C46" s="4" t="inlineStr">
        <is>
          <t>https://cdn.shopify.com/s/files/1/0792/5098/1063/files/1fac1cce8b7ccababe2eb09442d3c916aba2c52da0db73e8cf64b748a51cde9b.jpg?v=1785098877</t>
        </is>
      </c>
      <c r="D46" s="4" t="inlineStr">
        <is>
          <t>https://cdn.shopify.com/s/files/1/0792/5098/1063/files/1fac1cce8b7ccababe2eb09442d3c916aba2c52da0db73e8cf64b748a51cde9b.jpg?v=1785098877</t>
        </is>
      </c>
      <c r="E46" s="2" t="inlineStr">
        <is>
          <t>38506540433607</t>
        </is>
      </c>
      <c r="F46" s="2" t="inlineStr">
        <is>
          <t>47539978961095</t>
        </is>
      </c>
      <c r="G46" s="2" t="inlineStr"/>
      <c r="H46" s="2" t="inlineStr">
        <is>
          <t>GALLERY</t>
        </is>
      </c>
      <c r="I46" s="2" t="inlineStr">
        <is>
          <t>DIRECT_ORIGINAL_IMAGE_REQA + R4_MEDIA_ID_COMPARISON</t>
        </is>
      </c>
      <c r="J46" s="2" t="inlineStr">
        <is>
          <t>2026-09-07T22:20:44.842298+07:00</t>
        </is>
      </c>
      <c r="K46" s="2" t="inlineStr">
        <is>
          <t>Included-components and size graphic: one premium quilt plus two or four optional standard shams; Throw, Twin, Queen and King dimensions.</t>
        </is>
      </c>
      <c r="L46" s="2" t="inlineStr">
        <is>
          <t>Included-components and size information image for the quilt set.</t>
        </is>
      </c>
      <c r="M46" s="2" t="inlineStr">
        <is>
          <t>Christmas Cardinal on Branch Within Patchwork Winter Quilt</t>
        </is>
      </c>
      <c r="N46" s="2" t="inlineStr">
        <is>
          <t>SET</t>
        </is>
      </c>
      <c r="O46" s="2" t="inlineStr">
        <is>
          <t>Cardinal Memorial Christmas Quilt Set product image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["seo_runs\\jeminise.com\\20260906_234129\\evidence\\images\\29_christmas-cardinal-on-branch-within-patchwork-winter-quilt-892d70543a-892d70543a\\image_05_47539978961095.jpg; seo_runs\\jeminise.com\\20260906_234129\\evidence\\contact_sheets\\29_christmas-cardinal-on-branch-within-patchwork-winter-quilt-892d70543a-892d70543a.jpg", "https://jeminise.com/products/christmas-cardinal-on-branch-within-patchwork-winter-quilt-892d70543a-892d70543a", "https://cdn.shopify.com/s/files/1/0792/5098/1063/files/1fac1cce8b7ccababe2eb09442d3c916aba2c52da0db73e8cf64b748a51cde9b.jpg?v=1785098877"]</t>
        </is>
      </c>
      <c r="AA46" s="2" t="inlineStr">
        <is>
          <t>r4</t>
        </is>
      </c>
    </row>
    <row r="47" ht="66" customHeight="1">
      <c r="A47" s="3" t="inlineStr">
        <is>
          <t>jeminise.com+christmas-cardinal-perched-on-branch-within-wreath-patchwork-winter-quilt-9e7c0b5896-9e7c0b5896</t>
        </is>
      </c>
      <c r="B47" s="3" t="inlineStr">
        <is>
          <t>qaimg_86e799885b3d195c</t>
        </is>
      </c>
      <c r="C47" s="4" t="inlineStr">
        <is>
          <t>https://cdn.shopify.com/s/files/1/0792/5098/1063/files/7f0f7c972b51dc5c33f101a4d3a2b691df2bbeddf273a1476dd88ac51d509beb.jpg?v=1785099457</t>
        </is>
      </c>
      <c r="D47" s="4" t="inlineStr">
        <is>
          <t>https://cdn.shopify.com/s/files/1/0792/5098/1063/files/7f0f7c972b51dc5c33f101a4d3a2b691df2bbeddf273a1476dd88ac51d509beb.jpg?v=1785099457</t>
        </is>
      </c>
      <c r="E47" s="3" t="inlineStr">
        <is>
          <t>38506601447623</t>
        </is>
      </c>
      <c r="F47" s="3" t="inlineStr">
        <is>
          <t>47540040990919</t>
        </is>
      </c>
      <c r="G47" s="3" t="inlineStr"/>
      <c r="H47" s="3" t="inlineStr">
        <is>
          <t>GALLERY</t>
        </is>
      </c>
      <c r="I47" s="3" t="inlineStr">
        <is>
          <t>DIRECT_ORIGINAL_IMAGE_REQA + R4_MEDIA_ID_COMPARISON</t>
        </is>
      </c>
      <c r="J47" s="3" t="inlineStr">
        <is>
          <t>2026-09-07T22:20:44.842298+07:00</t>
        </is>
      </c>
      <c r="K47" s="3" t="inlineStr">
        <is>
          <t>Front bedroom mockup of a cardinal-in-wreath Christmas quilt printed with the sample name Sophia.</t>
        </is>
      </c>
      <c r="L47" s="3" t="inlineStr">
        <is>
          <t>Main bed mockup showing personalized Christmas cardinal quilt with the name Sophia.</t>
        </is>
      </c>
      <c r="M47" s="3" t="inlineStr">
        <is>
          <t>Christmas Cardinal Perched on Branch Within Wreath Patchwork Winter Quilt</t>
        </is>
      </c>
      <c r="N47" s="3" t="inlineStr">
        <is>
          <t>SET</t>
        </is>
      </c>
      <c r="O47" s="3" t="inlineStr">
        <is>
          <t>Cardinal Christmas Wreath Quilt Set product image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["seo_runs\\jeminise.com\\20260906_234129\\evidence\\images\\30_christmas-cardinal-perched-on-branch-within-wreath-patchwork-winter-quilt-9e7c0b5896-9e7c0b5896\\image_01_47540040990919.jpg; seo_runs\\jeminise.com\\20260906_234129\\evidence\\contact_sheets\\30_christmas-cardinal-perched-on-branch-within-wreath-patchwork-winter-quilt-9e7c0b5896-9e7c0b5896.jpg", "https://jeminise.com/products/christmas-cardinal-perched-on-branch-within-wreath-patchwork-winter-quilt-9e7c0b5896-9e7c0b5896", "https://cdn.shopify.com/s/files/1/0792/5098/1063/files/7f0f7c972b51dc5c33f101a4d3a2b691df2bbeddf273a1476dd88ac51d509beb.jpg?v=1785099457"]</t>
        </is>
      </c>
      <c r="AA47" s="3" t="inlineStr">
        <is>
          <t>r4</t>
        </is>
      </c>
    </row>
    <row r="48" ht="66" customHeight="1">
      <c r="A48" s="2" t="inlineStr">
        <is>
          <t>jeminise.com+christmas-cardinal-perched-on-branch-within-wreath-patchwork-winter-quilt-9e7c0b5896-9e7c0b5896</t>
        </is>
      </c>
      <c r="B48" s="2" t="inlineStr">
        <is>
          <t>qaimg_12ed9125ff4ce7a8</t>
        </is>
      </c>
      <c r="C48" s="4" t="inlineStr">
        <is>
          <t>https://cdn.shopify.com/s/files/1/0792/5098/1063/files/5e721c7639a6dabb93bc6beaa75f1f177b995a54e6852aab0e8a13d284356650.jpg?v=1785099457</t>
        </is>
      </c>
      <c r="D48" s="4" t="inlineStr">
        <is>
          <t>https://cdn.shopify.com/s/files/1/0792/5098/1063/files/5e721c7639a6dabb93bc6beaa75f1f177b995a54e6852aab0e8a13d284356650.jpg?v=1785099457</t>
        </is>
      </c>
      <c r="E48" s="2" t="inlineStr">
        <is>
          <t>38506601480391</t>
        </is>
      </c>
      <c r="F48" s="2" t="inlineStr">
        <is>
          <t>47540041023687</t>
        </is>
      </c>
      <c r="G48" s="2" t="inlineStr"/>
      <c r="H48" s="2" t="inlineStr">
        <is>
          <t>GALLERY</t>
        </is>
      </c>
      <c r="I48" s="2" t="inlineStr">
        <is>
          <t>DIRECT_ORIGINAL_IMAGE_REQA + R4_MEDIA_ID_COMPARISON</t>
        </is>
      </c>
      <c r="J48" s="2" t="inlineStr">
        <is>
          <t>2026-09-07T22:20:44.842298+07:00</t>
        </is>
      </c>
      <c r="K48" s="2" t="inlineStr">
        <is>
          <t>Close-up of the cardinal, pine, holly berries and pinecones with visible quilting lines.</t>
        </is>
      </c>
      <c r="L48" s="2" t="inlineStr">
        <is>
          <t>Angled bedroom mockup showing the personalized Christmas cardinal quilt with the name Sophia quilt and matching shams.</t>
        </is>
      </c>
      <c r="M48" s="2" t="inlineStr">
        <is>
          <t>Christmas Cardinal Perched on Branch Within Wreath Patchwork Winter Quilt</t>
        </is>
      </c>
      <c r="N48" s="2" t="inlineStr">
        <is>
          <t>SET</t>
        </is>
      </c>
      <c r="O48" s="2" t="inlineStr">
        <is>
          <t>Cardinal Christmas Wreath Quilt Set product image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["seo_runs\\jeminise.com\\20260906_234129\\evidence\\images\\30_christmas-cardinal-perched-on-branch-within-wreath-patchwork-winter-quilt-9e7c0b5896-9e7c0b5896\\image_02_47540041023687.jpg; seo_runs\\jeminise.com\\20260906_234129\\evidence\\contact_sheets\\30_christmas-cardinal-perched-on-branch-within-wreath-patchwork-winter-quilt-9e7c0b5896-9e7c0b5896.jpg", "https://jeminise.com/products/christmas-cardinal-perched-on-branch-within-wreath-patchwork-winter-quilt-9e7c0b5896-9e7c0b5896", "https://cdn.shopify.com/s/files/1/0792/5098/1063/files/5e721c7639a6dabb93bc6beaa75f1f177b995a54e6852aab0e8a13d284356650.jpg?v=1785099457"]</t>
        </is>
      </c>
      <c r="AA48" s="2" t="inlineStr">
        <is>
          <t>r4</t>
        </is>
      </c>
    </row>
    <row r="49" ht="66" customHeight="1">
      <c r="A49" s="3" t="inlineStr">
        <is>
          <t>jeminise.com+christmas-cardinal-perched-on-branch-within-wreath-patchwork-winter-quilt-9e7c0b5896-9e7c0b5896</t>
        </is>
      </c>
      <c r="B49" s="3" t="inlineStr">
        <is>
          <t>qaimg_0866c6e8df0a369e</t>
        </is>
      </c>
      <c r="C49" s="4" t="inlineStr">
        <is>
          <t>https://cdn.shopify.com/s/files/1/0792/5098/1063/files/d9efdd2323a7b245add351d35c70df2b8916ba50b2c07232a28ce2618017c7ca.jpg?v=1785099457</t>
        </is>
      </c>
      <c r="D49" s="4" t="inlineStr">
        <is>
          <t>https://cdn.shopify.com/s/files/1/0792/5098/1063/files/d9efdd2323a7b245add351d35c70df2b8916ba50b2c07232a28ce2618017c7ca.jpg?v=1785099457</t>
        </is>
      </c>
      <c r="E49" s="3" t="inlineStr">
        <is>
          <t>38506601513159</t>
        </is>
      </c>
      <c r="F49" s="3" t="inlineStr">
        <is>
          <t>47540041056455</t>
        </is>
      </c>
      <c r="G49" s="3" t="inlineStr"/>
      <c r="H49" s="3" t="inlineStr">
        <is>
          <t>GALLERY</t>
        </is>
      </c>
      <c r="I49" s="3" t="inlineStr">
        <is>
          <t>DIRECT_ORIGINAL_IMAGE_REQA + R4_MEDIA_ID_COMPARISON</t>
        </is>
      </c>
      <c r="J49" s="3" t="inlineStr">
        <is>
          <t>2026-09-07T22:20:44.842298+07:00</t>
        </is>
      </c>
      <c r="K49" s="3" t="inlineStr">
        <is>
          <t>Isolated matching pillow sham printed with the sample name Sophia.</t>
        </is>
      </c>
      <c r="L49" s="3" t="inlineStr">
        <is>
          <t>Matching pillow sham with personalized Christmas cardinal quilt with the name Sophia artwork.</t>
        </is>
      </c>
      <c r="M49" s="3" t="inlineStr">
        <is>
          <t>Christmas Cardinal Perched on Branch Within Wreath Patchwork Winter Quilt</t>
        </is>
      </c>
      <c r="N49" s="3" t="inlineStr">
        <is>
          <t>SET</t>
        </is>
      </c>
      <c r="O49" s="3" t="inlineStr">
        <is>
          <t>Cardinal Christmas Wreath Quilt Set product image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["seo_runs\\jeminise.com\\20260906_234129\\evidence\\images\\30_christmas-cardinal-perched-on-branch-within-wreath-patchwork-winter-quilt-9e7c0b5896-9e7c0b5896\\image_03_47540041056455.jpg; seo_runs\\jeminise.com\\20260906_234129\\evidence\\contact_sheets\\30_christmas-cardinal-perched-on-branch-within-wreath-patchwork-winter-quilt-9e7c0b5896-9e7c0b5896.jpg", "https://jeminise.com/products/christmas-cardinal-perched-on-branch-within-wreath-patchwork-winter-quilt-9e7c0b5896-9e7c0b5896", "https://cdn.shopify.com/s/files/1/0792/5098/1063/files/d9efdd2323a7b245add351d35c70df2b8916ba50b2c07232a28ce2618017c7ca.jpg?v=1785099457"]</t>
        </is>
      </c>
      <c r="AA49" s="3" t="inlineStr">
        <is>
          <t>r4</t>
        </is>
      </c>
    </row>
    <row r="50" ht="66" customHeight="1">
      <c r="A50" s="2" t="inlineStr">
        <is>
          <t>jeminise.com+christmas-cardinal-perched-on-branch-within-wreath-patchwork-winter-quilt-9e7c0b5896-9e7c0b5896</t>
        </is>
      </c>
      <c r="B50" s="2" t="inlineStr">
        <is>
          <t>qaimg_8f99a0c24b4a3fb1</t>
        </is>
      </c>
      <c r="C50" s="4" t="inlineStr">
        <is>
          <t>https://cdn.shopify.com/s/files/1/0792/5098/1063/files/b311d7393465380998bca8b3a9210a013c229b61d664f3dce0691513d873c82e.jpg?v=1785099457</t>
        </is>
      </c>
      <c r="D50" s="4" t="inlineStr">
        <is>
          <t>https://cdn.shopify.com/s/files/1/0792/5098/1063/files/b311d7393465380998bca8b3a9210a013c229b61d664f3dce0691513d873c82e.jpg?v=1785099457</t>
        </is>
      </c>
      <c r="E50" s="2" t="inlineStr">
        <is>
          <t>38506601545927</t>
        </is>
      </c>
      <c r="F50" s="2" t="inlineStr">
        <is>
          <t>47540041089223</t>
        </is>
      </c>
      <c r="G50" s="2" t="inlineStr"/>
      <c r="H50" s="2" t="inlineStr">
        <is>
          <t>GALLERY</t>
        </is>
      </c>
      <c r="I50" s="2" t="inlineStr">
        <is>
          <t>DIRECT_ORIGINAL_IMAGE_REQA + R4_MEDIA_ID_COMPARISON</t>
        </is>
      </c>
      <c r="J50" s="2" t="inlineStr">
        <is>
          <t>2026-09-07T22:20:44.842298+07:00</t>
        </is>
      </c>
      <c r="K50" s="2" t="inlineStr">
        <is>
          <t>Angled bedroom mockup of the same cardinal-in-wreath quilt printed with Sophia.</t>
        </is>
      </c>
      <c r="L50" s="2" t="inlineStr">
        <is>
          <t>Close-up view of the printed/quilted texture and personalized Christmas cardinal quilt with the name Sophia detail.</t>
        </is>
      </c>
      <c r="M50" s="2" t="inlineStr">
        <is>
          <t>Christmas Cardinal Perched on Branch Within Wreath Patchwork Winter Quilt</t>
        </is>
      </c>
      <c r="N50" s="2" t="inlineStr">
        <is>
          <t>SET</t>
        </is>
      </c>
      <c r="O50" s="2" t="inlineStr">
        <is>
          <t>Cardinal Christmas Wreath Quilt Set product image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["seo_runs\\jeminise.com\\20260906_234129\\evidence\\images\\30_christmas-cardinal-perched-on-branch-within-wreath-patchwork-winter-quilt-9e7c0b5896-9e7c0b5896\\image_04_47540041089223.jpg; seo_runs\\jeminise.com\\20260906_234129\\evidence\\contact_sheets\\30_christmas-cardinal-perched-on-branch-within-wreath-patchwork-winter-quilt-9e7c0b5896-9e7c0b5896.jpg", "https://jeminise.com/products/christmas-cardinal-perched-on-branch-within-wreath-patchwork-winter-quilt-9e7c0b5896-9e7c0b5896", "https://cdn.shopify.com/s/files/1/0792/5098/1063/files/b311d7393465380998bca8b3a9210a013c229b61d664f3dce0691513d873c82e.jpg?v=1785099457"]</t>
        </is>
      </c>
      <c r="AA50" s="2" t="inlineStr">
        <is>
          <t>r4</t>
        </is>
      </c>
    </row>
    <row r="51" ht="66" customHeight="1">
      <c r="A51" s="3" t="inlineStr">
        <is>
          <t>jeminise.com+christmas-cardinal-perched-on-branch-within-wreath-patchwork-winter-quilt-9e7c0b5896-9e7c0b5896</t>
        </is>
      </c>
      <c r="B51" s="3" t="inlineStr">
        <is>
          <t>qaimg_9a84bd44cfba746c</t>
        </is>
      </c>
      <c r="C51" s="4" t="inlineStr">
        <is>
          <t>https://cdn.shopify.com/s/files/1/0792/5098/1063/files/b3f4b380fddc0b4717e5a8960ebd73a239442861c5a0cc84575c35c7339c41e1.jpg?v=1785099457</t>
        </is>
      </c>
      <c r="D51" s="4" t="inlineStr">
        <is>
          <t>https://cdn.shopify.com/s/files/1/0792/5098/1063/files/b3f4b380fddc0b4717e5a8960ebd73a239442861c5a0cc84575c35c7339c41e1.jpg?v=1785099457</t>
        </is>
      </c>
      <c r="E51" s="3" t="inlineStr">
        <is>
          <t>38506601578695</t>
        </is>
      </c>
      <c r="F51" s="3" t="inlineStr">
        <is>
          <t>47540041121991</t>
        </is>
      </c>
      <c r="G51" s="3" t="inlineStr"/>
      <c r="H51" s="3" t="inlineStr">
        <is>
          <t>GALLERY</t>
        </is>
      </c>
      <c r="I51" s="3" t="inlineStr">
        <is>
          <t>DIRECT_ORIGINAL_IMAGE_REQA + R4_MEDIA_ID_COMPARISON</t>
        </is>
      </c>
      <c r="J51" s="3" t="inlineStr">
        <is>
          <t>2026-09-07T22:20:44.842298+07:00</t>
        </is>
      </c>
      <c r="K51" s="3" t="inlineStr">
        <is>
          <t>Included-components and size graphic: one premium quilt plus two optional standard shams; Throw, Twin, Queen and King dimensions.</t>
        </is>
      </c>
      <c r="L51" s="3" t="inlineStr">
        <is>
          <t>Included-components and size information image for the quilt set.</t>
        </is>
      </c>
      <c r="M51" s="3" t="inlineStr">
        <is>
          <t>Christmas Cardinal Perched on Branch Within Wreath Patchwork Winter Quilt</t>
        </is>
      </c>
      <c r="N51" s="3" t="inlineStr">
        <is>
          <t>SET</t>
        </is>
      </c>
      <c r="O51" s="3" t="inlineStr">
        <is>
          <t>Cardinal Christmas Wreath Quilt Set product image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["seo_runs\\jeminise.com\\20260906_234129\\evidence\\images\\30_christmas-cardinal-perched-on-branch-within-wreath-patchwork-winter-quilt-9e7c0b5896-9e7c0b5896\\image_05_47540041121991.jpg; seo_runs\\jeminise.com\\20260906_234129\\evidence\\contact_sheets\\30_christmas-cardinal-perched-on-branch-within-wreath-patchwork-winter-quilt-9e7c0b5896-9e7c0b5896.jpg", "https://jeminise.com/products/christmas-cardinal-perched-on-branch-within-wreath-patchwork-winter-quilt-9e7c0b5896-9e7c0b5896", "https://cdn.shopify.com/s/files/1/0792/5098/1063/files/b3f4b380fddc0b4717e5a8960ebd73a239442861c5a0cc84575c35c7339c41e1.jpg?v=1785099457"]</t>
        </is>
      </c>
      <c r="AA51" s="3" t="inlineStr">
        <is>
          <t>r4</t>
        </is>
      </c>
    </row>
  </sheetData>
  <autoFilter ref="A1:AA5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R4-ISS-021-ENC</t>
        </is>
      </c>
      <c r="B2" s="2" t="inlineStr">
        <is>
          <t>jeminise.com+christmas-bedding-quilt-soft-microfiber-holiday-bedsprea-design-05</t>
        </is>
      </c>
      <c r="C2" s="2" t="inlineStr"/>
      <c r="D2" s="2" t="inlineStr">
        <is>
          <t>MINOR</t>
        </is>
      </c>
      <c r="E2" s="2" t="inlineStr">
        <is>
          <t>title_current/H1_current</t>
        </is>
      </c>
      <c r="F2" s="2" t="inlineStr">
        <is>
          <t>Christmas Bedding Quilt – Soft Microfiber Holiday Bedsprea - Design 05</t>
        </is>
      </c>
      <c r="G2" s="2" t="inlineStr">
        <is>
          <t>Christmas Bedding Quilt – Soft Microfiber Holiday Bedsprea - Design 05</t>
        </is>
      </c>
      <c r="H2" s="2" t="inlineStr">
        <is>
          <t>Title/H1 live chứa ký tự thay thế U+FFFD và từ Bedsprea bị cắt. R4 retains this as a source-encoding cleanup only.</t>
        </is>
      </c>
      <c r="I2" s="2" t="inlineStr">
        <is>
          <t>Personalized Gingerbread Candy Cane Christmas Quilt Set</t>
        </is>
      </c>
      <c r="J2" s="2" t="inlineStr">
        <is>
          <t>https://jeminise.com/products/christmas-bedding-quilt-soft-microfiber-holiday-bedsprea-design-05</t>
        </is>
      </c>
      <c r="K2" s="2" t="inlineStr">
        <is>
          <t>Rendered title and H1 no longer contain U+FFFD or truncated words.</t>
        </is>
      </c>
    </row>
    <row r="3" ht="84" customHeight="1">
      <c r="A3" s="3" t="inlineStr">
        <is>
          <t>R4-ISS-022-ENC</t>
        </is>
      </c>
      <c r="B3" s="3" t="inlineStr">
        <is>
          <t>jeminise.com+christmas-bedding-quilt-soft-microfiber-holiday-bedsprea-design-06</t>
        </is>
      </c>
      <c r="C3" s="3" t="inlineStr"/>
      <c r="D3" s="3" t="inlineStr">
        <is>
          <t>MINOR</t>
        </is>
      </c>
      <c r="E3" s="3" t="inlineStr">
        <is>
          <t>title_current/H1_current</t>
        </is>
      </c>
      <c r="F3" s="3" t="inlineStr">
        <is>
          <t>Christmas Bedding Quilt – Soft Microfiber Holiday Bedsprea - Design 06</t>
        </is>
      </c>
      <c r="G3" s="3" t="inlineStr">
        <is>
          <t>Christmas Bedding Quilt – Soft Microfiber Holiday Bedsprea - Design 06</t>
        </is>
      </c>
      <c r="H3" s="3" t="inlineStr">
        <is>
          <t>Title/H1 live chứa ký tự thay thế U+FFFD và từ Bedsprea bị cắt. R4 retains this as a source-encoding cleanup only.</t>
        </is>
      </c>
      <c r="I3" s="3" t="inlineStr">
        <is>
          <t>Personalized Black Christmas Tree Quilt Set</t>
        </is>
      </c>
      <c r="J3" s="3" t="inlineStr">
        <is>
          <t>https://jeminise.com/products/christmas-bedding-quilt-soft-microfiber-holiday-bedsprea-design-06</t>
        </is>
      </c>
      <c r="K3" s="3" t="inlineStr">
        <is>
          <t>Rendered title and H1 no longer contain U+FFFD or truncated words.</t>
        </is>
      </c>
    </row>
    <row r="4" ht="84" customHeight="1">
      <c r="A4" s="2" t="inlineStr">
        <is>
          <t>R4-ISS-023-ENC</t>
        </is>
      </c>
      <c r="B4" s="2" t="inlineStr">
        <is>
          <t>jeminise.com+christmas-bedding-quilt-soft-microfiber-holiday-bedsprea-design-08</t>
        </is>
      </c>
      <c r="C4" s="2" t="inlineStr"/>
      <c r="D4" s="2" t="inlineStr">
        <is>
          <t>MINOR</t>
        </is>
      </c>
      <c r="E4" s="2" t="inlineStr">
        <is>
          <t>title_current/H1_current</t>
        </is>
      </c>
      <c r="F4" s="2" t="inlineStr">
        <is>
          <t>Christmas Bedding Quilt – Soft Microfiber Holiday Bedsprea - Design 08</t>
        </is>
      </c>
      <c r="G4" s="2" t="inlineStr">
        <is>
          <t>Christmas Bedding Quilt – Soft Microfiber Holiday Bedsprea - Design 08</t>
        </is>
      </c>
      <c r="H4" s="2" t="inlineStr">
        <is>
          <t>Title/H1 live chứa ký tự thay thế U+FFFD và từ Bedsprea bị cắt. R4 retains this as a source-encoding cleanup only.</t>
        </is>
      </c>
      <c r="I4" s="2" t="inlineStr">
        <is>
          <t>Personalized Winter Cardinal Birdhouse Quilt Set</t>
        </is>
      </c>
      <c r="J4" s="2" t="inlineStr">
        <is>
          <t>https://jeminise.com/products/christmas-bedding-quilt-soft-microfiber-holiday-bedsprea-design-08</t>
        </is>
      </c>
      <c r="K4" s="2" t="inlineStr">
        <is>
          <t>Rendered title and H1 no longer contain U+FFFD or truncated words.</t>
        </is>
      </c>
    </row>
    <row r="5" ht="84" customHeight="1">
      <c r="A5" s="3" t="inlineStr">
        <is>
          <t>R4-ISS-024-ENC</t>
        </is>
      </c>
      <c r="B5" s="3" t="inlineStr">
        <is>
          <t>jeminise.com+christmas-bedding-quilt-soft-microfiber-holiday-bedsprea-design-09</t>
        </is>
      </c>
      <c r="C5" s="3" t="inlineStr"/>
      <c r="D5" s="3" t="inlineStr">
        <is>
          <t>MINOR</t>
        </is>
      </c>
      <c r="E5" s="3" t="inlineStr">
        <is>
          <t>title_current/H1_current</t>
        </is>
      </c>
      <c r="F5" s="3" t="inlineStr">
        <is>
          <t>Christmas Bedding Quilt – Soft Microfiber Holiday Bedsprea - Design 09</t>
        </is>
      </c>
      <c r="G5" s="3" t="inlineStr">
        <is>
          <t>Christmas Bedding Quilt – Soft Microfiber Holiday Bedsprea - Design 09</t>
        </is>
      </c>
      <c r="H5" s="3" t="inlineStr">
        <is>
          <t>Title/H1 live chứa ký tự thay thế U+FFFD và từ Bedsprea bị cắt. R4 retains this as a source-encoding cleanup only.</t>
        </is>
      </c>
      <c r="I5" s="3" t="inlineStr">
        <is>
          <t>Personalized Gingerbread Christmas Village Quilt Set</t>
        </is>
      </c>
      <c r="J5" s="3" t="inlineStr">
        <is>
          <t>https://jeminise.com/products/christmas-bedding-quilt-soft-microfiber-holiday-bedsprea-design-09</t>
        </is>
      </c>
      <c r="K5" s="3" t="inlineStr">
        <is>
          <t>Rendered title and H1 no longer contain U+FFFD or truncated words.</t>
        </is>
      </c>
    </row>
    <row r="6" ht="84" customHeight="1">
      <c r="A6" s="2" t="inlineStr">
        <is>
          <t>R4-ISS-025-ENC</t>
        </is>
      </c>
      <c r="B6" s="2" t="inlineStr">
        <is>
          <t>jeminise.com+christmas-bedding-quilt-soft-microfiber-holiday-bedsprea-design-10</t>
        </is>
      </c>
      <c r="C6" s="2" t="inlineStr"/>
      <c r="D6" s="2" t="inlineStr">
        <is>
          <t>MINOR</t>
        </is>
      </c>
      <c r="E6" s="2" t="inlineStr">
        <is>
          <t>title_current/H1_current</t>
        </is>
      </c>
      <c r="F6" s="2" t="inlineStr">
        <is>
          <t>Christmas Bedding Quilt – Soft Microfiber Holiday Bedsprea - Design 10</t>
        </is>
      </c>
      <c r="G6" s="2" t="inlineStr">
        <is>
          <t>Christmas Bedding Quilt – Soft Microfiber Holiday Bedsprea - Design 10</t>
        </is>
      </c>
      <c r="H6" s="2" t="inlineStr">
        <is>
          <t>Title/H1 live chứa ký tự thay thế U+FFFD và từ Bedsprea bị cắt. R4 retains this as a source-encoding cleanup only.</t>
        </is>
      </c>
      <c r="I6" s="2" t="inlineStr">
        <is>
          <t>Personalized Snowman and Cardinals Christmas Quilt Set</t>
        </is>
      </c>
      <c r="J6" s="2" t="inlineStr">
        <is>
          <t>https://jeminise.com/products/christmas-bedding-quilt-soft-microfiber-holiday-bedsprea-design-10</t>
        </is>
      </c>
      <c r="K6" s="2" t="inlineStr">
        <is>
          <t>Rendered title and H1 no longer contain U+FFFD or truncated words.</t>
        </is>
      </c>
    </row>
    <row r="7" ht="84" customHeight="1">
      <c r="A7" s="3" t="inlineStr">
        <is>
          <t>R4-ISS-026-ENC</t>
        </is>
      </c>
      <c r="B7" s="3" t="inlineStr">
        <is>
          <t>jeminise.com+christmas-bedding-quilt-soft-microfiber-holiday-bedsprea-design-11</t>
        </is>
      </c>
      <c r="C7" s="3" t="inlineStr"/>
      <c r="D7" s="3" t="inlineStr">
        <is>
          <t>MINOR</t>
        </is>
      </c>
      <c r="E7" s="3" t="inlineStr">
        <is>
          <t>title_current/H1_current</t>
        </is>
      </c>
      <c r="F7" s="3" t="inlineStr">
        <is>
          <t>Christmas Bedding Quilt – Soft Microfiber Holiday Bedsprea - Design 11</t>
        </is>
      </c>
      <c r="G7" s="3" t="inlineStr">
        <is>
          <t>Christmas Bedding Quilt – Soft Microfiber Holiday Bedsprea - Design 11</t>
        </is>
      </c>
      <c r="H7" s="3" t="inlineStr">
        <is>
          <t>Title/H1 live chứa ký tự thay thế U+FFFD và từ Bedsprea bị cắt. R4 retains this as a source-encoding cleanup only.</t>
        </is>
      </c>
      <c r="I7" s="3" t="inlineStr">
        <is>
          <t>Personalized White Christmas Tree Quilt Set</t>
        </is>
      </c>
      <c r="J7" s="3" t="inlineStr">
        <is>
          <t>https://jeminise.com/products/christmas-bedding-quilt-soft-microfiber-holiday-bedsprea-design-11</t>
        </is>
      </c>
      <c r="K7" s="3" t="inlineStr">
        <is>
          <t>Rendered title and H1 no longer contain U+FFFD or truncated words.</t>
        </is>
      </c>
    </row>
    <row r="8" ht="84" customHeight="1">
      <c r="A8" s="2" t="inlineStr">
        <is>
          <t>R4-ISS-027-ENC</t>
        </is>
      </c>
      <c r="B8" s="2" t="inlineStr">
        <is>
          <t>jeminise.com+christmas-bedding-quilt-soft-microfiber-holiday-bedsprea-design-12</t>
        </is>
      </c>
      <c r="C8" s="2" t="inlineStr"/>
      <c r="D8" s="2" t="inlineStr">
        <is>
          <t>MINOR</t>
        </is>
      </c>
      <c r="E8" s="2" t="inlineStr">
        <is>
          <t>title_current/H1_current</t>
        </is>
      </c>
      <c r="F8" s="2" t="inlineStr">
        <is>
          <t>Christmas Bedding Quilt – Soft Microfiber Holiday Bedsprea - Design 12</t>
        </is>
      </c>
      <c r="G8" s="2" t="inlineStr">
        <is>
          <t>Christmas Bedding Quilt – Soft Microfiber Holiday Bedsprea - Design 12</t>
        </is>
      </c>
      <c r="H8" s="2" t="inlineStr">
        <is>
          <t>Title/H1 live chứa ký tự thay thế U+FFFD và từ Bedsprea bị cắt. R4 retains this as a source-encoding cleanup only.</t>
        </is>
      </c>
      <c r="I8" s="2" t="inlineStr">
        <is>
          <t>Personalized Two Snowmen and Cardinals Christmas Quilt Set</t>
        </is>
      </c>
      <c r="J8" s="2" t="inlineStr">
        <is>
          <t>https://jeminise.com/products/christmas-bedding-quilt-soft-microfiber-holiday-bedsprea-design-12</t>
        </is>
      </c>
      <c r="K8" s="2" t="inlineStr">
        <is>
          <t>Rendered title and H1 no longer contain U+FFFD or truncated words.</t>
        </is>
      </c>
    </row>
    <row r="9" ht="84" customHeight="1">
      <c r="A9" s="3" t="inlineStr">
        <is>
          <t>R4-ISS-028-ENC</t>
        </is>
      </c>
      <c r="B9" s="3" t="inlineStr">
        <is>
          <t>jeminise.com+christmas-bedding-quilt-soft-microfiber-holiday-bedspread</t>
        </is>
      </c>
      <c r="C9" s="3" t="inlineStr"/>
      <c r="D9" s="3" t="inlineStr">
        <is>
          <t>MINOR</t>
        </is>
      </c>
      <c r="E9" s="3" t="inlineStr">
        <is>
          <t>title_current/H1_current</t>
        </is>
      </c>
      <c r="F9" s="3" t="inlineStr">
        <is>
          <t>Christmas Bedding Quilt – Soft Microfiber Holiday Bedspread</t>
        </is>
      </c>
      <c r="G9" s="3" t="inlineStr">
        <is>
          <t>Christmas Bedding Quilt – Soft Microfiber Holiday Bedspread</t>
        </is>
      </c>
      <c r="H9" s="3" t="inlineStr">
        <is>
          <t>Title/H1 live chứa ký tự thay thế U+FFFD và từ Bedsprea bị cắt. R4 retains this as a source-encoding cleanup only.</t>
        </is>
      </c>
      <c r="I9" s="3" t="inlineStr">
        <is>
          <t>Personalized Vintage Christmas Tree Quilt Set</t>
        </is>
      </c>
      <c r="J9" s="3" t="inlineStr">
        <is>
          <t>https://jeminise.com/products/christmas-bedding-quilt-soft-microfiber-holiday-bedspread</t>
        </is>
      </c>
      <c r="K9" s="3" t="inlineStr">
        <is>
          <t>Rendered title and H1 no longer contain U+FFFD or truncated words.</t>
        </is>
      </c>
    </row>
  </sheetData>
  <autoFilter ref="A1:K9"/>
  <conditionalFormatting sqref="D2:D9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2026-09-08T01:54:41Z</dcterms:created>
  <dcterms:modified xmlns:dcterms="http://purl.org/dc/terms/" xmlns:xsi="http://www.w3.org/2001/XMLSchema-instance" xsi:type="dcterms:W3CDTF">2026-09-08T01:54:41Z</dcterms:modified>
</cp:coreProperties>
</file>